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yaniv/private/Maplestory-Damage-Calculator/"/>
    </mc:Choice>
  </mc:AlternateContent>
  <xr:revisionPtr revIDLastSave="0" documentId="13_ncr:1_{074C042F-37BD-FF43-A7A9-58AFB8C0B66A}" xr6:coauthVersionLast="47" xr6:coauthVersionMax="47" xr10:uidLastSave="{00000000-0000-0000-0000-000000000000}"/>
  <bookViews>
    <workbookView xWindow="-38400" yWindow="1340" windowWidth="38400" windowHeight="19500" activeTab="1" xr2:uid="{00000000-000D-0000-FFFF-FFFF00000000}"/>
  </bookViews>
  <sheets>
    <sheet name="README" sheetId="1" r:id="rId1"/>
    <sheet name="Inputs" sheetId="2" r:id="rId2"/>
    <sheet name="FactorTable" sheetId="3" r:id="rId3"/>
    <sheet name="Skills" sheetId="4" r:id="rId4"/>
    <sheet name="Calc" sheetId="5" r:id="rId5"/>
    <sheet name="Summary" sheetId="6" r:id="rId6"/>
    <sheet name="Sensitivity" sheetId="7" r:id="rId7"/>
    <sheet name="CubeData" sheetId="8" r:id="rId8"/>
    <sheet name="PotentialCub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068" i="7" l="1"/>
  <c r="S1068" i="7"/>
  <c r="I1068" i="7"/>
  <c r="H1068" i="7"/>
  <c r="D1068" i="7"/>
  <c r="E1068" i="7" s="1"/>
  <c r="F1068" i="7" s="1"/>
  <c r="J1068" i="7" s="1"/>
  <c r="C1068" i="7"/>
  <c r="O1068" i="7" s="1"/>
  <c r="B1068" i="7"/>
  <c r="A1068" i="7"/>
  <c r="V1067" i="7"/>
  <c r="I1067" i="7"/>
  <c r="H1067" i="7"/>
  <c r="G1067" i="7"/>
  <c r="D1067" i="7"/>
  <c r="E1067" i="7" s="1"/>
  <c r="F1067" i="7" s="1"/>
  <c r="C1067" i="7"/>
  <c r="B1067" i="7"/>
  <c r="A1067" i="7"/>
  <c r="V1066" i="7"/>
  <c r="I1066" i="7"/>
  <c r="H1066" i="7"/>
  <c r="G1066" i="7"/>
  <c r="D1066" i="7"/>
  <c r="E1066" i="7" s="1"/>
  <c r="F1066" i="7" s="1"/>
  <c r="C1066" i="7"/>
  <c r="B1066" i="7"/>
  <c r="A1066" i="7"/>
  <c r="V1065" i="7"/>
  <c r="I1065" i="7"/>
  <c r="H1065" i="7"/>
  <c r="G1065" i="7"/>
  <c r="D1065" i="7"/>
  <c r="E1065" i="7" s="1"/>
  <c r="F1065" i="7" s="1"/>
  <c r="C1065" i="7"/>
  <c r="B1065" i="7"/>
  <c r="A1065" i="7"/>
  <c r="V1064" i="7"/>
  <c r="S1064" i="7"/>
  <c r="I1064" i="7"/>
  <c r="H1064" i="7"/>
  <c r="D1064" i="7"/>
  <c r="E1064" i="7" s="1"/>
  <c r="F1064" i="7" s="1"/>
  <c r="J1064" i="7" s="1"/>
  <c r="C1064" i="7"/>
  <c r="O1064" i="7" s="1"/>
  <c r="B1064" i="7"/>
  <c r="A1064" i="7"/>
  <c r="V1063" i="7"/>
  <c r="I1063" i="7"/>
  <c r="H1063" i="7"/>
  <c r="G1063" i="7"/>
  <c r="D1063" i="7"/>
  <c r="E1063" i="7" s="1"/>
  <c r="F1063" i="7" s="1"/>
  <c r="C1063" i="7"/>
  <c r="B1063" i="7"/>
  <c r="A1063" i="7"/>
  <c r="V1062" i="7"/>
  <c r="I1062" i="7"/>
  <c r="H1062" i="7"/>
  <c r="G1062" i="7"/>
  <c r="D1062" i="7"/>
  <c r="E1062" i="7" s="1"/>
  <c r="F1062" i="7" s="1"/>
  <c r="C1062" i="7"/>
  <c r="B1062" i="7"/>
  <c r="A1062" i="7"/>
  <c r="V1061" i="7"/>
  <c r="I1061" i="7"/>
  <c r="H1061" i="7"/>
  <c r="G1061" i="7"/>
  <c r="D1061" i="7"/>
  <c r="E1061" i="7" s="1"/>
  <c r="F1061" i="7" s="1"/>
  <c r="C1061" i="7"/>
  <c r="B1061" i="7"/>
  <c r="A1061" i="7"/>
  <c r="V1060" i="7"/>
  <c r="I1060" i="7"/>
  <c r="H1060" i="7"/>
  <c r="G1060" i="7"/>
  <c r="D1060" i="7"/>
  <c r="E1060" i="7" s="1"/>
  <c r="F1060" i="7" s="1"/>
  <c r="C1060" i="7"/>
  <c r="B1060" i="7"/>
  <c r="A1060" i="7"/>
  <c r="V1059" i="7"/>
  <c r="S1059" i="7"/>
  <c r="I1059" i="7"/>
  <c r="H1059" i="7"/>
  <c r="G1059" i="7"/>
  <c r="D1059" i="7"/>
  <c r="E1059" i="7" s="1"/>
  <c r="F1059" i="7" s="1"/>
  <c r="C1059" i="7"/>
  <c r="B1059" i="7"/>
  <c r="A1059" i="7"/>
  <c r="V1058" i="7"/>
  <c r="S1058" i="7"/>
  <c r="I1058" i="7"/>
  <c r="H1058" i="7"/>
  <c r="G1058" i="7"/>
  <c r="F1058" i="7"/>
  <c r="B1073" i="7" s="1"/>
  <c r="B1074" i="7" s="1"/>
  <c r="D1058" i="7"/>
  <c r="E1058" i="7" s="1"/>
  <c r="C1058" i="7"/>
  <c r="B1058" i="7"/>
  <c r="A1058" i="7"/>
  <c r="V1057" i="7"/>
  <c r="S1057" i="7"/>
  <c r="I1057" i="7"/>
  <c r="H1057" i="7"/>
  <c r="G1057" i="7"/>
  <c r="D1057" i="7"/>
  <c r="E1057" i="7" s="1"/>
  <c r="F1057" i="7" s="1"/>
  <c r="C1057" i="7"/>
  <c r="B1057" i="7"/>
  <c r="A1057" i="7"/>
  <c r="V1056" i="7"/>
  <c r="S1056" i="7"/>
  <c r="I1056" i="7"/>
  <c r="H1056" i="7"/>
  <c r="D1056" i="7"/>
  <c r="E1056" i="7" s="1"/>
  <c r="F1056" i="7" s="1"/>
  <c r="J1056" i="7" s="1"/>
  <c r="C1056" i="7"/>
  <c r="B1056" i="7"/>
  <c r="A1056" i="7"/>
  <c r="V1055" i="7"/>
  <c r="S1055" i="7"/>
  <c r="I1055" i="7"/>
  <c r="H1055" i="7"/>
  <c r="G1055" i="7"/>
  <c r="D1055" i="7"/>
  <c r="E1055" i="7" s="1"/>
  <c r="F1055" i="7" s="1"/>
  <c r="J1055" i="7" s="1"/>
  <c r="C1055" i="7"/>
  <c r="B1055" i="7"/>
  <c r="A1055" i="7"/>
  <c r="V1054" i="7"/>
  <c r="I1054" i="7"/>
  <c r="H1054" i="7"/>
  <c r="G1054" i="7"/>
  <c r="D1054" i="7"/>
  <c r="E1054" i="7" s="1"/>
  <c r="F1054" i="7" s="1"/>
  <c r="J1054" i="7" s="1"/>
  <c r="C1054" i="7"/>
  <c r="B1054" i="7"/>
  <c r="A1054" i="7"/>
  <c r="V1053" i="7"/>
  <c r="S1053" i="7"/>
  <c r="I1053" i="7"/>
  <c r="H1053" i="7"/>
  <c r="G1053" i="7"/>
  <c r="D1053" i="7"/>
  <c r="E1053" i="7" s="1"/>
  <c r="F1053" i="7" s="1"/>
  <c r="J1053" i="7" s="1"/>
  <c r="C1053" i="7"/>
  <c r="B1053" i="7"/>
  <c r="A1053" i="7"/>
  <c r="V1052" i="7"/>
  <c r="I1052" i="7"/>
  <c r="H1052" i="7"/>
  <c r="G1052" i="7"/>
  <c r="D1052" i="7"/>
  <c r="E1052" i="7" s="1"/>
  <c r="F1052" i="7" s="1"/>
  <c r="B1071" i="7" s="1"/>
  <c r="C1052" i="7"/>
  <c r="B1052" i="7"/>
  <c r="A1052" i="7"/>
  <c r="V1051" i="7"/>
  <c r="I1051" i="7"/>
  <c r="H1051" i="7"/>
  <c r="G1051" i="7"/>
  <c r="F1051" i="7"/>
  <c r="B1070" i="7" s="1"/>
  <c r="D1051" i="7"/>
  <c r="E1051" i="7" s="1"/>
  <c r="C1051" i="7"/>
  <c r="B1051" i="7"/>
  <c r="A1051" i="7"/>
  <c r="V1050" i="7"/>
  <c r="S1050" i="7"/>
  <c r="H1050" i="7"/>
  <c r="G1050" i="7"/>
  <c r="D1050" i="7"/>
  <c r="E1050" i="7" s="1"/>
  <c r="F1050" i="7" s="1"/>
  <c r="J1050" i="7" s="1"/>
  <c r="C1050" i="7"/>
  <c r="B1050" i="7"/>
  <c r="A1050" i="7"/>
  <c r="V1049" i="7"/>
  <c r="S1049" i="7"/>
  <c r="I1049" i="7"/>
  <c r="H1049" i="7"/>
  <c r="D1049" i="7"/>
  <c r="E1049" i="7" s="1"/>
  <c r="F1049" i="7" s="1"/>
  <c r="J1049" i="7" s="1"/>
  <c r="C1049" i="7"/>
  <c r="B1049" i="7"/>
  <c r="A1049" i="7"/>
  <c r="V1048" i="7"/>
  <c r="S1048" i="7"/>
  <c r="H1048" i="7"/>
  <c r="D1048" i="7"/>
  <c r="E1048" i="7" s="1"/>
  <c r="F1048" i="7" s="1"/>
  <c r="J1048" i="7" s="1"/>
  <c r="C1048" i="7"/>
  <c r="B1048" i="7"/>
  <c r="A1048" i="7"/>
  <c r="V1047" i="7"/>
  <c r="S1047" i="7"/>
  <c r="H1047" i="7"/>
  <c r="G1047" i="7"/>
  <c r="D1047" i="7"/>
  <c r="E1047" i="7" s="1"/>
  <c r="F1047" i="7" s="1"/>
  <c r="J1047" i="7" s="1"/>
  <c r="C1047" i="7"/>
  <c r="B1047" i="7"/>
  <c r="A1047" i="7"/>
  <c r="V1046" i="7"/>
  <c r="S1046" i="7"/>
  <c r="I1046" i="7"/>
  <c r="H1046" i="7"/>
  <c r="G1046" i="7"/>
  <c r="D1046" i="7"/>
  <c r="E1046" i="7" s="1"/>
  <c r="F1046" i="7" s="1"/>
  <c r="B1072" i="7" s="1"/>
  <c r="C1046" i="7"/>
  <c r="B1046" i="7"/>
  <c r="A1046" i="7"/>
  <c r="V1045" i="7"/>
  <c r="S1045" i="7"/>
  <c r="H1045" i="7"/>
  <c r="G1045" i="7"/>
  <c r="D1045" i="7"/>
  <c r="E1045" i="7" s="1"/>
  <c r="F1045" i="7" s="1"/>
  <c r="J1045" i="7" s="1"/>
  <c r="C1045" i="7"/>
  <c r="B1045" i="7"/>
  <c r="A1045" i="7"/>
  <c r="V1044" i="7"/>
  <c r="S1044" i="7"/>
  <c r="H1044" i="7"/>
  <c r="G1044" i="7"/>
  <c r="D1044" i="7"/>
  <c r="E1044" i="7" s="1"/>
  <c r="F1044" i="7" s="1"/>
  <c r="J1044" i="7" s="1"/>
  <c r="C1044" i="7"/>
  <c r="B1044" i="7"/>
  <c r="A1044" i="7"/>
  <c r="V1043" i="7"/>
  <c r="S1043" i="7"/>
  <c r="H1043" i="7"/>
  <c r="D1043" i="7"/>
  <c r="E1043" i="7" s="1"/>
  <c r="F1043" i="7" s="1"/>
  <c r="J1043" i="7" s="1"/>
  <c r="C1043" i="7"/>
  <c r="B1043" i="7"/>
  <c r="A1043" i="7"/>
  <c r="V1042" i="7"/>
  <c r="T1042" i="7"/>
  <c r="T1043" i="7" s="1"/>
  <c r="T1044" i="7" s="1"/>
  <c r="F1042" i="7" s="1"/>
  <c r="J1042" i="7" s="1"/>
  <c r="R1042" i="7"/>
  <c r="R1043" i="7" s="1"/>
  <c r="I1042" i="7"/>
  <c r="H1042" i="7"/>
  <c r="G1042" i="7"/>
  <c r="C1042" i="7"/>
  <c r="B1075" i="7" s="1"/>
  <c r="B1042" i="7"/>
  <c r="A1042" i="7"/>
  <c r="V1026" i="7"/>
  <c r="S1026" i="7"/>
  <c r="I1026" i="7"/>
  <c r="H1026" i="7"/>
  <c r="D1026" i="7"/>
  <c r="E1026" i="7" s="1"/>
  <c r="F1026" i="7" s="1"/>
  <c r="J1026" i="7" s="1"/>
  <c r="C1026" i="7"/>
  <c r="O1026" i="7" s="1"/>
  <c r="B1026" i="7"/>
  <c r="A1026" i="7"/>
  <c r="V1025" i="7"/>
  <c r="I1025" i="7"/>
  <c r="H1025" i="7"/>
  <c r="G1025" i="7"/>
  <c r="D1025" i="7"/>
  <c r="E1025" i="7" s="1"/>
  <c r="F1025" i="7" s="1"/>
  <c r="C1025" i="7"/>
  <c r="B1025" i="7"/>
  <c r="A1025" i="7"/>
  <c r="V1024" i="7"/>
  <c r="I1024" i="7"/>
  <c r="H1024" i="7"/>
  <c r="G1024" i="7"/>
  <c r="D1024" i="7"/>
  <c r="E1024" i="7" s="1"/>
  <c r="F1024" i="7" s="1"/>
  <c r="C1024" i="7"/>
  <c r="B1024" i="7"/>
  <c r="A1024" i="7"/>
  <c r="V1023" i="7"/>
  <c r="I1023" i="7"/>
  <c r="H1023" i="7"/>
  <c r="G1023" i="7"/>
  <c r="D1023" i="7"/>
  <c r="E1023" i="7" s="1"/>
  <c r="F1023" i="7" s="1"/>
  <c r="C1023" i="7"/>
  <c r="B1023" i="7"/>
  <c r="A1023" i="7"/>
  <c r="V1022" i="7"/>
  <c r="S1022" i="7"/>
  <c r="I1022" i="7"/>
  <c r="H1022" i="7"/>
  <c r="D1022" i="7"/>
  <c r="E1022" i="7" s="1"/>
  <c r="F1022" i="7" s="1"/>
  <c r="J1022" i="7" s="1"/>
  <c r="C1022" i="7"/>
  <c r="O1022" i="7" s="1"/>
  <c r="B1022" i="7"/>
  <c r="A1022" i="7"/>
  <c r="V1021" i="7"/>
  <c r="I1021" i="7"/>
  <c r="H1021" i="7"/>
  <c r="G1021" i="7"/>
  <c r="D1021" i="7"/>
  <c r="E1021" i="7" s="1"/>
  <c r="F1021" i="7" s="1"/>
  <c r="C1021" i="7"/>
  <c r="B1021" i="7"/>
  <c r="A1021" i="7"/>
  <c r="V1020" i="7"/>
  <c r="I1020" i="7"/>
  <c r="H1020" i="7"/>
  <c r="G1020" i="7"/>
  <c r="D1020" i="7"/>
  <c r="E1020" i="7" s="1"/>
  <c r="F1020" i="7" s="1"/>
  <c r="C1020" i="7"/>
  <c r="B1020" i="7"/>
  <c r="A1020" i="7"/>
  <c r="V1019" i="7"/>
  <c r="I1019" i="7"/>
  <c r="H1019" i="7"/>
  <c r="G1019" i="7"/>
  <c r="D1019" i="7"/>
  <c r="E1019" i="7" s="1"/>
  <c r="F1019" i="7" s="1"/>
  <c r="C1019" i="7"/>
  <c r="B1019" i="7"/>
  <c r="A1019" i="7"/>
  <c r="V1018" i="7"/>
  <c r="I1018" i="7"/>
  <c r="H1018" i="7"/>
  <c r="G1018" i="7"/>
  <c r="D1018" i="7"/>
  <c r="E1018" i="7" s="1"/>
  <c r="F1018" i="7" s="1"/>
  <c r="C1018" i="7"/>
  <c r="B1018" i="7"/>
  <c r="A1018" i="7"/>
  <c r="V1017" i="7"/>
  <c r="S1017" i="7"/>
  <c r="I1017" i="7"/>
  <c r="H1017" i="7"/>
  <c r="G1017" i="7"/>
  <c r="D1017" i="7"/>
  <c r="E1017" i="7" s="1"/>
  <c r="F1017" i="7" s="1"/>
  <c r="C1017" i="7"/>
  <c r="B1017" i="7"/>
  <c r="A1017" i="7"/>
  <c r="V1016" i="7"/>
  <c r="S1016" i="7"/>
  <c r="I1016" i="7"/>
  <c r="H1016" i="7"/>
  <c r="G1016" i="7"/>
  <c r="F1016" i="7"/>
  <c r="B1031" i="7" s="1"/>
  <c r="B1032" i="7" s="1"/>
  <c r="D1016" i="7"/>
  <c r="E1016" i="7" s="1"/>
  <c r="C1016" i="7"/>
  <c r="B1016" i="7"/>
  <c r="A1016" i="7"/>
  <c r="V1015" i="7"/>
  <c r="S1015" i="7"/>
  <c r="I1015" i="7"/>
  <c r="H1015" i="7"/>
  <c r="G1015" i="7"/>
  <c r="D1015" i="7"/>
  <c r="E1015" i="7" s="1"/>
  <c r="F1015" i="7" s="1"/>
  <c r="C1015" i="7"/>
  <c r="B1015" i="7"/>
  <c r="A1015" i="7"/>
  <c r="V1014" i="7"/>
  <c r="S1014" i="7"/>
  <c r="I1014" i="7"/>
  <c r="H1014" i="7"/>
  <c r="D1014" i="7"/>
  <c r="E1014" i="7" s="1"/>
  <c r="F1014" i="7" s="1"/>
  <c r="J1014" i="7" s="1"/>
  <c r="C1014" i="7"/>
  <c r="B1014" i="7"/>
  <c r="A1014" i="7"/>
  <c r="V1013" i="7"/>
  <c r="S1013" i="7"/>
  <c r="I1013" i="7"/>
  <c r="H1013" i="7"/>
  <c r="G1013" i="7"/>
  <c r="D1013" i="7"/>
  <c r="E1013" i="7" s="1"/>
  <c r="F1013" i="7" s="1"/>
  <c r="J1013" i="7" s="1"/>
  <c r="C1013" i="7"/>
  <c r="B1013" i="7"/>
  <c r="A1013" i="7"/>
  <c r="V1012" i="7"/>
  <c r="I1012" i="7"/>
  <c r="H1012" i="7"/>
  <c r="G1012" i="7"/>
  <c r="D1012" i="7"/>
  <c r="E1012" i="7" s="1"/>
  <c r="F1012" i="7" s="1"/>
  <c r="J1012" i="7" s="1"/>
  <c r="C1012" i="7"/>
  <c r="B1012" i="7"/>
  <c r="A1012" i="7"/>
  <c r="V1011" i="7"/>
  <c r="S1011" i="7"/>
  <c r="I1011" i="7"/>
  <c r="H1011" i="7"/>
  <c r="G1011" i="7"/>
  <c r="D1011" i="7"/>
  <c r="E1011" i="7" s="1"/>
  <c r="F1011" i="7" s="1"/>
  <c r="J1011" i="7" s="1"/>
  <c r="C1011" i="7"/>
  <c r="B1011" i="7"/>
  <c r="A1011" i="7"/>
  <c r="V1010" i="7"/>
  <c r="I1010" i="7"/>
  <c r="H1010" i="7"/>
  <c r="G1010" i="7"/>
  <c r="D1010" i="7"/>
  <c r="E1010" i="7" s="1"/>
  <c r="F1010" i="7" s="1"/>
  <c r="B1029" i="7" s="1"/>
  <c r="C1010" i="7"/>
  <c r="B1010" i="7"/>
  <c r="A1010" i="7"/>
  <c r="V1009" i="7"/>
  <c r="I1009" i="7"/>
  <c r="H1009" i="7"/>
  <c r="G1009" i="7"/>
  <c r="F1009" i="7"/>
  <c r="B1028" i="7" s="1"/>
  <c r="D1009" i="7"/>
  <c r="E1009" i="7" s="1"/>
  <c r="C1009" i="7"/>
  <c r="B1009" i="7"/>
  <c r="A1009" i="7"/>
  <c r="V1008" i="7"/>
  <c r="S1008" i="7"/>
  <c r="H1008" i="7"/>
  <c r="G1008" i="7"/>
  <c r="D1008" i="7"/>
  <c r="E1008" i="7" s="1"/>
  <c r="F1008" i="7" s="1"/>
  <c r="J1008" i="7" s="1"/>
  <c r="C1008" i="7"/>
  <c r="B1008" i="7"/>
  <c r="A1008" i="7"/>
  <c r="V1007" i="7"/>
  <c r="S1007" i="7"/>
  <c r="I1007" i="7"/>
  <c r="H1007" i="7"/>
  <c r="D1007" i="7"/>
  <c r="E1007" i="7" s="1"/>
  <c r="F1007" i="7" s="1"/>
  <c r="J1007" i="7" s="1"/>
  <c r="C1007" i="7"/>
  <c r="B1007" i="7"/>
  <c r="A1007" i="7"/>
  <c r="V1006" i="7"/>
  <c r="S1006" i="7"/>
  <c r="H1006" i="7"/>
  <c r="D1006" i="7"/>
  <c r="E1006" i="7" s="1"/>
  <c r="F1006" i="7" s="1"/>
  <c r="J1006" i="7" s="1"/>
  <c r="C1006" i="7"/>
  <c r="B1006" i="7"/>
  <c r="A1006" i="7"/>
  <c r="V1005" i="7"/>
  <c r="S1005" i="7"/>
  <c r="H1005" i="7"/>
  <c r="G1005" i="7"/>
  <c r="D1005" i="7"/>
  <c r="E1005" i="7" s="1"/>
  <c r="F1005" i="7" s="1"/>
  <c r="J1005" i="7" s="1"/>
  <c r="C1005" i="7"/>
  <c r="B1005" i="7"/>
  <c r="A1005" i="7"/>
  <c r="V1004" i="7"/>
  <c r="S1004" i="7"/>
  <c r="I1004" i="7"/>
  <c r="H1004" i="7"/>
  <c r="G1004" i="7"/>
  <c r="D1004" i="7"/>
  <c r="E1004" i="7" s="1"/>
  <c r="F1004" i="7" s="1"/>
  <c r="C1004" i="7"/>
  <c r="B1004" i="7"/>
  <c r="A1004" i="7"/>
  <c r="V1003" i="7"/>
  <c r="S1003" i="7"/>
  <c r="H1003" i="7"/>
  <c r="G1003" i="7"/>
  <c r="D1003" i="7"/>
  <c r="E1003" i="7" s="1"/>
  <c r="F1003" i="7" s="1"/>
  <c r="J1003" i="7" s="1"/>
  <c r="C1003" i="7"/>
  <c r="B1003" i="7"/>
  <c r="A1003" i="7"/>
  <c r="V1002" i="7"/>
  <c r="S1002" i="7"/>
  <c r="H1002" i="7"/>
  <c r="G1002" i="7"/>
  <c r="D1002" i="7"/>
  <c r="E1002" i="7" s="1"/>
  <c r="F1002" i="7" s="1"/>
  <c r="J1002" i="7" s="1"/>
  <c r="C1002" i="7"/>
  <c r="B1002" i="7"/>
  <c r="A1002" i="7"/>
  <c r="V1001" i="7"/>
  <c r="B1033" i="7" s="1"/>
  <c r="S1001" i="7"/>
  <c r="D1001" i="7"/>
  <c r="E1001" i="7" s="1"/>
  <c r="F1001" i="7" s="1"/>
  <c r="J1001" i="7" s="1"/>
  <c r="C1001" i="7"/>
  <c r="B1001" i="7"/>
  <c r="A1001" i="7"/>
  <c r="V1000" i="7"/>
  <c r="T1000" i="7"/>
  <c r="T1001" i="7" s="1"/>
  <c r="T1002" i="7" s="1"/>
  <c r="F1000" i="7" s="1"/>
  <c r="J1000" i="7" s="1"/>
  <c r="R1000" i="7"/>
  <c r="R1001" i="7" s="1"/>
  <c r="I1000" i="7"/>
  <c r="C1000" i="7"/>
  <c r="B1000" i="7"/>
  <c r="A1000" i="7"/>
  <c r="S984" i="7"/>
  <c r="I984" i="7"/>
  <c r="H984" i="7"/>
  <c r="D984" i="7"/>
  <c r="E984" i="7" s="1"/>
  <c r="F984" i="7" s="1"/>
  <c r="J984" i="7" s="1"/>
  <c r="C984" i="7"/>
  <c r="O984" i="7" s="1"/>
  <c r="B984" i="7"/>
  <c r="A984" i="7"/>
  <c r="V983" i="7"/>
  <c r="I983" i="7"/>
  <c r="H983" i="7"/>
  <c r="G983" i="7"/>
  <c r="D983" i="7"/>
  <c r="E983" i="7" s="1"/>
  <c r="F983" i="7" s="1"/>
  <c r="C983" i="7"/>
  <c r="B983" i="7"/>
  <c r="A983" i="7"/>
  <c r="V982" i="7"/>
  <c r="I982" i="7"/>
  <c r="H982" i="7"/>
  <c r="G982" i="7"/>
  <c r="D982" i="7"/>
  <c r="E982" i="7" s="1"/>
  <c r="F982" i="7" s="1"/>
  <c r="C982" i="7"/>
  <c r="B982" i="7"/>
  <c r="A982" i="7"/>
  <c r="V981" i="7"/>
  <c r="I981" i="7"/>
  <c r="H981" i="7"/>
  <c r="G981" i="7"/>
  <c r="D981" i="7"/>
  <c r="E981" i="7" s="1"/>
  <c r="F981" i="7" s="1"/>
  <c r="C981" i="7"/>
  <c r="B981" i="7"/>
  <c r="A981" i="7"/>
  <c r="V980" i="7"/>
  <c r="S980" i="7"/>
  <c r="I980" i="7"/>
  <c r="H980" i="7"/>
  <c r="D980" i="7"/>
  <c r="E980" i="7" s="1"/>
  <c r="F980" i="7" s="1"/>
  <c r="J980" i="7" s="1"/>
  <c r="C980" i="7"/>
  <c r="O980" i="7" s="1"/>
  <c r="B980" i="7"/>
  <c r="A980" i="7"/>
  <c r="V979" i="7"/>
  <c r="I979" i="7"/>
  <c r="H979" i="7"/>
  <c r="G979" i="7"/>
  <c r="D979" i="7"/>
  <c r="E979" i="7" s="1"/>
  <c r="F979" i="7" s="1"/>
  <c r="C979" i="7"/>
  <c r="B979" i="7"/>
  <c r="A979" i="7"/>
  <c r="V978" i="7"/>
  <c r="I978" i="7"/>
  <c r="H978" i="7"/>
  <c r="G978" i="7"/>
  <c r="D978" i="7"/>
  <c r="E978" i="7" s="1"/>
  <c r="F978" i="7" s="1"/>
  <c r="C978" i="7"/>
  <c r="B978" i="7"/>
  <c r="A978" i="7"/>
  <c r="V977" i="7"/>
  <c r="I977" i="7"/>
  <c r="H977" i="7"/>
  <c r="G977" i="7"/>
  <c r="D977" i="7"/>
  <c r="E977" i="7" s="1"/>
  <c r="F977" i="7" s="1"/>
  <c r="C977" i="7"/>
  <c r="B977" i="7"/>
  <c r="A977" i="7"/>
  <c r="V976" i="7"/>
  <c r="I976" i="7"/>
  <c r="D976" i="7"/>
  <c r="E976" i="7" s="1"/>
  <c r="F976" i="7" s="1"/>
  <c r="C976" i="7"/>
  <c r="B976" i="7"/>
  <c r="A976" i="7"/>
  <c r="V975" i="7"/>
  <c r="S975" i="7"/>
  <c r="I975" i="7"/>
  <c r="D975" i="7"/>
  <c r="E975" i="7" s="1"/>
  <c r="F975" i="7" s="1"/>
  <c r="C975" i="7"/>
  <c r="B975" i="7"/>
  <c r="A975" i="7"/>
  <c r="V974" i="7"/>
  <c r="S974" i="7"/>
  <c r="I974" i="7"/>
  <c r="F974" i="7"/>
  <c r="B989" i="7" s="1"/>
  <c r="B990" i="7" s="1"/>
  <c r="D974" i="7"/>
  <c r="E974" i="7" s="1"/>
  <c r="C974" i="7"/>
  <c r="B974" i="7"/>
  <c r="A974" i="7"/>
  <c r="V973" i="7"/>
  <c r="S973" i="7"/>
  <c r="I973" i="7"/>
  <c r="D973" i="7"/>
  <c r="E973" i="7" s="1"/>
  <c r="F973" i="7" s="1"/>
  <c r="C973" i="7"/>
  <c r="B973" i="7"/>
  <c r="A973" i="7"/>
  <c r="V972" i="7"/>
  <c r="S972" i="7"/>
  <c r="I972" i="7"/>
  <c r="H972" i="7"/>
  <c r="D972" i="7"/>
  <c r="E972" i="7" s="1"/>
  <c r="F972" i="7" s="1"/>
  <c r="J972" i="7" s="1"/>
  <c r="C972" i="7"/>
  <c r="B972" i="7"/>
  <c r="A972" i="7"/>
  <c r="V971" i="7"/>
  <c r="S971" i="7"/>
  <c r="I971" i="7"/>
  <c r="H971" i="7"/>
  <c r="G971" i="7"/>
  <c r="D971" i="7"/>
  <c r="E971" i="7" s="1"/>
  <c r="F971" i="7" s="1"/>
  <c r="J971" i="7" s="1"/>
  <c r="C971" i="7"/>
  <c r="B971" i="7"/>
  <c r="A971" i="7"/>
  <c r="V970" i="7"/>
  <c r="I970" i="7"/>
  <c r="H970" i="7"/>
  <c r="G970" i="7"/>
  <c r="D970" i="7"/>
  <c r="E970" i="7" s="1"/>
  <c r="F970" i="7" s="1"/>
  <c r="J970" i="7" s="1"/>
  <c r="C970" i="7"/>
  <c r="B970" i="7"/>
  <c r="A970" i="7"/>
  <c r="V969" i="7"/>
  <c r="S969" i="7"/>
  <c r="I969" i="7"/>
  <c r="H969" i="7"/>
  <c r="G969" i="7"/>
  <c r="D969" i="7"/>
  <c r="E969" i="7" s="1"/>
  <c r="C969" i="7"/>
  <c r="B969" i="7"/>
  <c r="A969" i="7"/>
  <c r="V968" i="7"/>
  <c r="I968" i="7"/>
  <c r="D968" i="7"/>
  <c r="E968" i="7" s="1"/>
  <c r="F968" i="7" s="1"/>
  <c r="B987" i="7" s="1"/>
  <c r="C968" i="7"/>
  <c r="B968" i="7"/>
  <c r="A968" i="7"/>
  <c r="V967" i="7"/>
  <c r="I967" i="7"/>
  <c r="F967" i="7"/>
  <c r="B986" i="7" s="1"/>
  <c r="D967" i="7"/>
  <c r="E967" i="7" s="1"/>
  <c r="C967" i="7"/>
  <c r="B967" i="7"/>
  <c r="A967" i="7"/>
  <c r="V966" i="7"/>
  <c r="S966" i="7"/>
  <c r="D966" i="7"/>
  <c r="E966" i="7" s="1"/>
  <c r="F966" i="7" s="1"/>
  <c r="J966" i="7" s="1"/>
  <c r="C966" i="7"/>
  <c r="B966" i="7"/>
  <c r="A966" i="7"/>
  <c r="S965" i="7"/>
  <c r="I965" i="7"/>
  <c r="D965" i="7"/>
  <c r="E965" i="7" s="1"/>
  <c r="C965" i="7"/>
  <c r="B965" i="7"/>
  <c r="A965" i="7"/>
  <c r="V964" i="7"/>
  <c r="S964" i="7"/>
  <c r="D964" i="7"/>
  <c r="E964" i="7" s="1"/>
  <c r="F964" i="7" s="1"/>
  <c r="J964" i="7" s="1"/>
  <c r="C964" i="7"/>
  <c r="B964" i="7"/>
  <c r="A964" i="7"/>
  <c r="V963" i="7"/>
  <c r="S963" i="7"/>
  <c r="H963" i="7"/>
  <c r="G963" i="7"/>
  <c r="D963" i="7"/>
  <c r="E963" i="7" s="1"/>
  <c r="F963" i="7" s="1"/>
  <c r="J963" i="7" s="1"/>
  <c r="C963" i="7"/>
  <c r="B963" i="7"/>
  <c r="A963" i="7"/>
  <c r="V962" i="7"/>
  <c r="S962" i="7"/>
  <c r="I962" i="7"/>
  <c r="H962" i="7"/>
  <c r="G962" i="7"/>
  <c r="D962" i="7"/>
  <c r="E962" i="7" s="1"/>
  <c r="F962" i="7" s="1"/>
  <c r="B988" i="7" s="1"/>
  <c r="C962" i="7"/>
  <c r="B962" i="7"/>
  <c r="A962" i="7"/>
  <c r="V961" i="7"/>
  <c r="S961" i="7"/>
  <c r="H961" i="7"/>
  <c r="G961" i="7"/>
  <c r="D961" i="7"/>
  <c r="E961" i="7" s="1"/>
  <c r="F961" i="7" s="1"/>
  <c r="J961" i="7" s="1"/>
  <c r="C961" i="7"/>
  <c r="B961" i="7"/>
  <c r="A961" i="7"/>
  <c r="V960" i="7"/>
  <c r="S960" i="7"/>
  <c r="H960" i="7"/>
  <c r="G960" i="7"/>
  <c r="D960" i="7"/>
  <c r="E960" i="7" s="1"/>
  <c r="F960" i="7" s="1"/>
  <c r="J960" i="7" s="1"/>
  <c r="C960" i="7"/>
  <c r="B960" i="7"/>
  <c r="A960" i="7"/>
  <c r="V959" i="7"/>
  <c r="S959" i="7"/>
  <c r="H959" i="7"/>
  <c r="D959" i="7"/>
  <c r="E959" i="7" s="1"/>
  <c r="F959" i="7" s="1"/>
  <c r="J959" i="7" s="1"/>
  <c r="C959" i="7"/>
  <c r="B959" i="7"/>
  <c r="A959" i="7"/>
  <c r="V958" i="7"/>
  <c r="T958" i="7"/>
  <c r="T959" i="7" s="1"/>
  <c r="T960" i="7" s="1"/>
  <c r="F958" i="7" s="1"/>
  <c r="J958" i="7" s="1"/>
  <c r="R958" i="7"/>
  <c r="R959" i="7" s="1"/>
  <c r="I958" i="7"/>
  <c r="C958" i="7"/>
  <c r="B958" i="7"/>
  <c r="A958" i="7"/>
  <c r="V942" i="7"/>
  <c r="S942" i="7"/>
  <c r="I942" i="7"/>
  <c r="H942" i="7"/>
  <c r="D942" i="7"/>
  <c r="E942" i="7" s="1"/>
  <c r="F942" i="7" s="1"/>
  <c r="J942" i="7" s="1"/>
  <c r="C942" i="7"/>
  <c r="O942" i="7" s="1"/>
  <c r="B942" i="7"/>
  <c r="A942" i="7"/>
  <c r="V941" i="7"/>
  <c r="I941" i="7"/>
  <c r="H941" i="7"/>
  <c r="G941" i="7"/>
  <c r="D941" i="7"/>
  <c r="E941" i="7" s="1"/>
  <c r="F941" i="7" s="1"/>
  <c r="C941" i="7"/>
  <c r="B941" i="7"/>
  <c r="A941" i="7"/>
  <c r="V940" i="7"/>
  <c r="I940" i="7"/>
  <c r="H940" i="7"/>
  <c r="G940" i="7"/>
  <c r="D940" i="7"/>
  <c r="E940" i="7" s="1"/>
  <c r="F940" i="7" s="1"/>
  <c r="C940" i="7"/>
  <c r="B940" i="7"/>
  <c r="A940" i="7"/>
  <c r="V939" i="7"/>
  <c r="I939" i="7"/>
  <c r="H939" i="7"/>
  <c r="G939" i="7"/>
  <c r="D939" i="7"/>
  <c r="E939" i="7" s="1"/>
  <c r="F939" i="7" s="1"/>
  <c r="C939" i="7"/>
  <c r="B939" i="7"/>
  <c r="A939" i="7"/>
  <c r="V938" i="7"/>
  <c r="S938" i="7"/>
  <c r="I938" i="7"/>
  <c r="H938" i="7"/>
  <c r="D938" i="7"/>
  <c r="E938" i="7" s="1"/>
  <c r="F938" i="7" s="1"/>
  <c r="J938" i="7" s="1"/>
  <c r="C938" i="7"/>
  <c r="O938" i="7" s="1"/>
  <c r="B938" i="7"/>
  <c r="A938" i="7"/>
  <c r="V937" i="7"/>
  <c r="I937" i="7"/>
  <c r="H937" i="7"/>
  <c r="G937" i="7"/>
  <c r="D937" i="7"/>
  <c r="E937" i="7" s="1"/>
  <c r="F937" i="7" s="1"/>
  <c r="C937" i="7"/>
  <c r="B937" i="7"/>
  <c r="A937" i="7"/>
  <c r="V936" i="7"/>
  <c r="I936" i="7"/>
  <c r="H936" i="7"/>
  <c r="G936" i="7"/>
  <c r="D936" i="7"/>
  <c r="E936" i="7" s="1"/>
  <c r="F936" i="7" s="1"/>
  <c r="C936" i="7"/>
  <c r="B936" i="7"/>
  <c r="A936" i="7"/>
  <c r="V935" i="7"/>
  <c r="I935" i="7"/>
  <c r="H935" i="7"/>
  <c r="G935" i="7"/>
  <c r="D935" i="7"/>
  <c r="E935" i="7" s="1"/>
  <c r="F935" i="7" s="1"/>
  <c r="C935" i="7"/>
  <c r="B935" i="7"/>
  <c r="A935" i="7"/>
  <c r="V934" i="7"/>
  <c r="I934" i="7"/>
  <c r="H934" i="7"/>
  <c r="G934" i="7"/>
  <c r="D934" i="7"/>
  <c r="E934" i="7" s="1"/>
  <c r="F934" i="7" s="1"/>
  <c r="C934" i="7"/>
  <c r="B934" i="7"/>
  <c r="A934" i="7"/>
  <c r="V933" i="7"/>
  <c r="S933" i="7"/>
  <c r="I933" i="7"/>
  <c r="H933" i="7"/>
  <c r="G933" i="7"/>
  <c r="D933" i="7"/>
  <c r="E933" i="7" s="1"/>
  <c r="F933" i="7" s="1"/>
  <c r="C933" i="7"/>
  <c r="B933" i="7"/>
  <c r="A933" i="7"/>
  <c r="V932" i="7"/>
  <c r="S932" i="7"/>
  <c r="I932" i="7"/>
  <c r="H932" i="7"/>
  <c r="G932" i="7"/>
  <c r="F932" i="7"/>
  <c r="B947" i="7" s="1"/>
  <c r="B948" i="7" s="1"/>
  <c r="D932" i="7"/>
  <c r="E932" i="7" s="1"/>
  <c r="C932" i="7"/>
  <c r="B932" i="7"/>
  <c r="A932" i="7"/>
  <c r="V931" i="7"/>
  <c r="S931" i="7"/>
  <c r="I931" i="7"/>
  <c r="H931" i="7"/>
  <c r="G931" i="7"/>
  <c r="D931" i="7"/>
  <c r="E931" i="7" s="1"/>
  <c r="F931" i="7" s="1"/>
  <c r="C931" i="7"/>
  <c r="B931" i="7"/>
  <c r="A931" i="7"/>
  <c r="V930" i="7"/>
  <c r="S930" i="7"/>
  <c r="I930" i="7"/>
  <c r="H930" i="7"/>
  <c r="D930" i="7"/>
  <c r="E930" i="7" s="1"/>
  <c r="F930" i="7" s="1"/>
  <c r="J930" i="7" s="1"/>
  <c r="C930" i="7"/>
  <c r="B930" i="7"/>
  <c r="A930" i="7"/>
  <c r="V929" i="7"/>
  <c r="S929" i="7"/>
  <c r="I929" i="7"/>
  <c r="H929" i="7"/>
  <c r="G929" i="7"/>
  <c r="D929" i="7"/>
  <c r="E929" i="7" s="1"/>
  <c r="F929" i="7" s="1"/>
  <c r="J929" i="7" s="1"/>
  <c r="C929" i="7"/>
  <c r="B929" i="7"/>
  <c r="A929" i="7"/>
  <c r="V928" i="7"/>
  <c r="I928" i="7"/>
  <c r="D928" i="7"/>
  <c r="E928" i="7" s="1"/>
  <c r="F928" i="7" s="1"/>
  <c r="J928" i="7" s="1"/>
  <c r="C928" i="7"/>
  <c r="B928" i="7"/>
  <c r="A928" i="7"/>
  <c r="V927" i="7"/>
  <c r="S927" i="7"/>
  <c r="I927" i="7"/>
  <c r="H927" i="7"/>
  <c r="G927" i="7"/>
  <c r="D927" i="7"/>
  <c r="E927" i="7" s="1"/>
  <c r="F927" i="7" s="1"/>
  <c r="J927" i="7" s="1"/>
  <c r="C927" i="7"/>
  <c r="B927" i="7"/>
  <c r="A927" i="7"/>
  <c r="V926" i="7"/>
  <c r="I926" i="7"/>
  <c r="H926" i="7"/>
  <c r="G926" i="7"/>
  <c r="D926" i="7"/>
  <c r="E926" i="7" s="1"/>
  <c r="F926" i="7" s="1"/>
  <c r="B945" i="7" s="1"/>
  <c r="C926" i="7"/>
  <c r="B926" i="7"/>
  <c r="A926" i="7"/>
  <c r="V925" i="7"/>
  <c r="I925" i="7"/>
  <c r="H925" i="7"/>
  <c r="G925" i="7"/>
  <c r="F925" i="7"/>
  <c r="B944" i="7" s="1"/>
  <c r="D925" i="7"/>
  <c r="E925" i="7" s="1"/>
  <c r="C925" i="7"/>
  <c r="B925" i="7"/>
  <c r="A925" i="7"/>
  <c r="V924" i="7"/>
  <c r="S924" i="7"/>
  <c r="H924" i="7"/>
  <c r="G924" i="7"/>
  <c r="D924" i="7"/>
  <c r="E924" i="7" s="1"/>
  <c r="F924" i="7" s="1"/>
  <c r="J924" i="7" s="1"/>
  <c r="C924" i="7"/>
  <c r="B924" i="7"/>
  <c r="A924" i="7"/>
  <c r="V923" i="7"/>
  <c r="S923" i="7"/>
  <c r="I923" i="7"/>
  <c r="H923" i="7"/>
  <c r="D923" i="7"/>
  <c r="E923" i="7" s="1"/>
  <c r="F923" i="7" s="1"/>
  <c r="J923" i="7" s="1"/>
  <c r="C923" i="7"/>
  <c r="B923" i="7"/>
  <c r="A923" i="7"/>
  <c r="V922" i="7"/>
  <c r="S922" i="7"/>
  <c r="H922" i="7"/>
  <c r="D922" i="7"/>
  <c r="E922" i="7" s="1"/>
  <c r="F922" i="7" s="1"/>
  <c r="J922" i="7" s="1"/>
  <c r="C922" i="7"/>
  <c r="B922" i="7"/>
  <c r="A922" i="7"/>
  <c r="V921" i="7"/>
  <c r="S921" i="7"/>
  <c r="H921" i="7"/>
  <c r="G921" i="7"/>
  <c r="D921" i="7"/>
  <c r="E921" i="7" s="1"/>
  <c r="F921" i="7" s="1"/>
  <c r="J921" i="7" s="1"/>
  <c r="C921" i="7"/>
  <c r="B921" i="7"/>
  <c r="A921" i="7"/>
  <c r="V920" i="7"/>
  <c r="S920" i="7"/>
  <c r="I920" i="7"/>
  <c r="H920" i="7"/>
  <c r="G920" i="7"/>
  <c r="D920" i="7"/>
  <c r="E920" i="7" s="1"/>
  <c r="F920" i="7" s="1"/>
  <c r="B946" i="7" s="1"/>
  <c r="C920" i="7"/>
  <c r="B920" i="7"/>
  <c r="A920" i="7"/>
  <c r="V919" i="7"/>
  <c r="S919" i="7"/>
  <c r="H919" i="7"/>
  <c r="G919" i="7"/>
  <c r="D919" i="7"/>
  <c r="E919" i="7" s="1"/>
  <c r="F919" i="7" s="1"/>
  <c r="J919" i="7" s="1"/>
  <c r="C919" i="7"/>
  <c r="B919" i="7"/>
  <c r="A919" i="7"/>
  <c r="V918" i="7"/>
  <c r="S918" i="7"/>
  <c r="H918" i="7"/>
  <c r="G918" i="7"/>
  <c r="D918" i="7"/>
  <c r="E918" i="7" s="1"/>
  <c r="F918" i="7" s="1"/>
  <c r="J918" i="7" s="1"/>
  <c r="C918" i="7"/>
  <c r="B918" i="7"/>
  <c r="A918" i="7"/>
  <c r="V917" i="7"/>
  <c r="S917" i="7"/>
  <c r="H917" i="7"/>
  <c r="D917" i="7"/>
  <c r="E917" i="7" s="1"/>
  <c r="F917" i="7" s="1"/>
  <c r="J917" i="7" s="1"/>
  <c r="C917" i="7"/>
  <c r="B917" i="7"/>
  <c r="A917" i="7"/>
  <c r="V916" i="7"/>
  <c r="T916" i="7"/>
  <c r="T917" i="7" s="1"/>
  <c r="T918" i="7" s="1"/>
  <c r="F916" i="7" s="1"/>
  <c r="J916" i="7" s="1"/>
  <c r="R916" i="7"/>
  <c r="R917" i="7" s="1"/>
  <c r="I916" i="7"/>
  <c r="H916" i="7"/>
  <c r="G916" i="7"/>
  <c r="C916" i="7"/>
  <c r="B949" i="7" s="1"/>
  <c r="B916" i="7"/>
  <c r="A916" i="7"/>
  <c r="V900" i="7"/>
  <c r="S900" i="7"/>
  <c r="I900" i="7"/>
  <c r="H900" i="7"/>
  <c r="D900" i="7"/>
  <c r="E900" i="7" s="1"/>
  <c r="F900" i="7" s="1"/>
  <c r="J900" i="7" s="1"/>
  <c r="C900" i="7"/>
  <c r="O900" i="7" s="1"/>
  <c r="B900" i="7"/>
  <c r="A900" i="7"/>
  <c r="V899" i="7"/>
  <c r="I899" i="7"/>
  <c r="H899" i="7"/>
  <c r="G899" i="7"/>
  <c r="D899" i="7"/>
  <c r="E899" i="7" s="1"/>
  <c r="F899" i="7" s="1"/>
  <c r="C899" i="7"/>
  <c r="B899" i="7"/>
  <c r="A899" i="7"/>
  <c r="V898" i="7"/>
  <c r="I898" i="7"/>
  <c r="H898" i="7"/>
  <c r="G898" i="7"/>
  <c r="D898" i="7"/>
  <c r="E898" i="7" s="1"/>
  <c r="F898" i="7" s="1"/>
  <c r="C898" i="7"/>
  <c r="B898" i="7"/>
  <c r="A898" i="7"/>
  <c r="V897" i="7"/>
  <c r="I897" i="7"/>
  <c r="H897" i="7"/>
  <c r="G897" i="7"/>
  <c r="D897" i="7"/>
  <c r="E897" i="7" s="1"/>
  <c r="F897" i="7" s="1"/>
  <c r="C897" i="7"/>
  <c r="B897" i="7"/>
  <c r="A897" i="7"/>
  <c r="V896" i="7"/>
  <c r="S896" i="7"/>
  <c r="I896" i="7"/>
  <c r="H896" i="7"/>
  <c r="D896" i="7"/>
  <c r="E896" i="7" s="1"/>
  <c r="F896" i="7" s="1"/>
  <c r="J896" i="7" s="1"/>
  <c r="C896" i="7"/>
  <c r="O896" i="7" s="1"/>
  <c r="B896" i="7"/>
  <c r="A896" i="7"/>
  <c r="V895" i="7"/>
  <c r="I895" i="7"/>
  <c r="H895" i="7"/>
  <c r="G895" i="7"/>
  <c r="D895" i="7"/>
  <c r="E895" i="7" s="1"/>
  <c r="F895" i="7" s="1"/>
  <c r="C895" i="7"/>
  <c r="B895" i="7"/>
  <c r="A895" i="7"/>
  <c r="V894" i="7"/>
  <c r="I894" i="7"/>
  <c r="H894" i="7"/>
  <c r="G894" i="7"/>
  <c r="D894" i="7"/>
  <c r="E894" i="7" s="1"/>
  <c r="F894" i="7" s="1"/>
  <c r="C894" i="7"/>
  <c r="B894" i="7"/>
  <c r="A894" i="7"/>
  <c r="V893" i="7"/>
  <c r="I893" i="7"/>
  <c r="H893" i="7"/>
  <c r="G893" i="7"/>
  <c r="D893" i="7"/>
  <c r="E893" i="7" s="1"/>
  <c r="F893" i="7" s="1"/>
  <c r="C893" i="7"/>
  <c r="B893" i="7"/>
  <c r="A893" i="7"/>
  <c r="V892" i="7"/>
  <c r="I892" i="7"/>
  <c r="H892" i="7"/>
  <c r="G892" i="7"/>
  <c r="D892" i="7"/>
  <c r="E892" i="7" s="1"/>
  <c r="F892" i="7" s="1"/>
  <c r="C892" i="7"/>
  <c r="B892" i="7"/>
  <c r="A892" i="7"/>
  <c r="V891" i="7"/>
  <c r="S891" i="7"/>
  <c r="I891" i="7"/>
  <c r="H891" i="7"/>
  <c r="G891" i="7"/>
  <c r="D891" i="7"/>
  <c r="E891" i="7" s="1"/>
  <c r="F891" i="7" s="1"/>
  <c r="C891" i="7"/>
  <c r="B891" i="7"/>
  <c r="A891" i="7"/>
  <c r="V890" i="7"/>
  <c r="S890" i="7"/>
  <c r="I890" i="7"/>
  <c r="H890" i="7"/>
  <c r="G890" i="7"/>
  <c r="F890" i="7"/>
  <c r="B905" i="7" s="1"/>
  <c r="B906" i="7" s="1"/>
  <c r="D890" i="7"/>
  <c r="E890" i="7" s="1"/>
  <c r="C890" i="7"/>
  <c r="B890" i="7"/>
  <c r="A890" i="7"/>
  <c r="V889" i="7"/>
  <c r="S889" i="7"/>
  <c r="I889" i="7"/>
  <c r="H889" i="7"/>
  <c r="G889" i="7"/>
  <c r="D889" i="7"/>
  <c r="E889" i="7" s="1"/>
  <c r="F889" i="7" s="1"/>
  <c r="C889" i="7"/>
  <c r="B889" i="7"/>
  <c r="A889" i="7"/>
  <c r="V888" i="7"/>
  <c r="S888" i="7"/>
  <c r="I888" i="7"/>
  <c r="H888" i="7"/>
  <c r="D888" i="7"/>
  <c r="E888" i="7" s="1"/>
  <c r="F888" i="7" s="1"/>
  <c r="J888" i="7" s="1"/>
  <c r="C888" i="7"/>
  <c r="B888" i="7"/>
  <c r="A888" i="7"/>
  <c r="V887" i="7"/>
  <c r="S887" i="7"/>
  <c r="I887" i="7"/>
  <c r="H887" i="7"/>
  <c r="G887" i="7"/>
  <c r="D887" i="7"/>
  <c r="E887" i="7" s="1"/>
  <c r="F887" i="7" s="1"/>
  <c r="J887" i="7" s="1"/>
  <c r="C887" i="7"/>
  <c r="B887" i="7"/>
  <c r="A887" i="7"/>
  <c r="V886" i="7"/>
  <c r="I886" i="7"/>
  <c r="H886" i="7"/>
  <c r="G886" i="7"/>
  <c r="D886" i="7"/>
  <c r="E886" i="7" s="1"/>
  <c r="F886" i="7" s="1"/>
  <c r="J886" i="7" s="1"/>
  <c r="C886" i="7"/>
  <c r="B886" i="7"/>
  <c r="A886" i="7"/>
  <c r="V885" i="7"/>
  <c r="S885" i="7"/>
  <c r="I885" i="7"/>
  <c r="H885" i="7"/>
  <c r="G885" i="7"/>
  <c r="D885" i="7"/>
  <c r="E885" i="7" s="1"/>
  <c r="F885" i="7" s="1"/>
  <c r="J885" i="7" s="1"/>
  <c r="C885" i="7"/>
  <c r="B885" i="7"/>
  <c r="A885" i="7"/>
  <c r="V884" i="7"/>
  <c r="I884" i="7"/>
  <c r="H884" i="7"/>
  <c r="G884" i="7"/>
  <c r="D884" i="7"/>
  <c r="E884" i="7" s="1"/>
  <c r="F884" i="7" s="1"/>
  <c r="B903" i="7" s="1"/>
  <c r="C884" i="7"/>
  <c r="B884" i="7"/>
  <c r="A884" i="7"/>
  <c r="V883" i="7"/>
  <c r="I883" i="7"/>
  <c r="H883" i="7"/>
  <c r="G883" i="7"/>
  <c r="F883" i="7"/>
  <c r="B902" i="7" s="1"/>
  <c r="D883" i="7"/>
  <c r="E883" i="7" s="1"/>
  <c r="C883" i="7"/>
  <c r="B883" i="7"/>
  <c r="A883" i="7"/>
  <c r="V882" i="7"/>
  <c r="S882" i="7"/>
  <c r="H882" i="7"/>
  <c r="G882" i="7"/>
  <c r="D882" i="7"/>
  <c r="E882" i="7" s="1"/>
  <c r="F882" i="7" s="1"/>
  <c r="J882" i="7" s="1"/>
  <c r="C882" i="7"/>
  <c r="B882" i="7"/>
  <c r="A882" i="7"/>
  <c r="V881" i="7"/>
  <c r="S881" i="7"/>
  <c r="I881" i="7"/>
  <c r="H881" i="7"/>
  <c r="D881" i="7"/>
  <c r="E881" i="7" s="1"/>
  <c r="F881" i="7" s="1"/>
  <c r="J881" i="7" s="1"/>
  <c r="C881" i="7"/>
  <c r="B881" i="7"/>
  <c r="A881" i="7"/>
  <c r="V880" i="7"/>
  <c r="S880" i="7"/>
  <c r="H880" i="7"/>
  <c r="D880" i="7"/>
  <c r="E880" i="7" s="1"/>
  <c r="F880" i="7" s="1"/>
  <c r="J880" i="7" s="1"/>
  <c r="C880" i="7"/>
  <c r="B880" i="7"/>
  <c r="A880" i="7"/>
  <c r="V879" i="7"/>
  <c r="S879" i="7"/>
  <c r="H879" i="7"/>
  <c r="G879" i="7"/>
  <c r="D879" i="7"/>
  <c r="E879" i="7" s="1"/>
  <c r="F879" i="7" s="1"/>
  <c r="J879" i="7" s="1"/>
  <c r="C879" i="7"/>
  <c r="B879" i="7"/>
  <c r="A879" i="7"/>
  <c r="V878" i="7"/>
  <c r="S878" i="7"/>
  <c r="I878" i="7"/>
  <c r="H878" i="7"/>
  <c r="G878" i="7"/>
  <c r="D878" i="7"/>
  <c r="E878" i="7" s="1"/>
  <c r="F878" i="7" s="1"/>
  <c r="C878" i="7"/>
  <c r="B878" i="7"/>
  <c r="A878" i="7"/>
  <c r="V877" i="7"/>
  <c r="S877" i="7"/>
  <c r="H877" i="7"/>
  <c r="G877" i="7"/>
  <c r="D877" i="7"/>
  <c r="E877" i="7" s="1"/>
  <c r="F877" i="7" s="1"/>
  <c r="J877" i="7" s="1"/>
  <c r="C877" i="7"/>
  <c r="B877" i="7"/>
  <c r="A877" i="7"/>
  <c r="V876" i="7"/>
  <c r="S876" i="7"/>
  <c r="H876" i="7"/>
  <c r="G876" i="7"/>
  <c r="D876" i="7"/>
  <c r="E876" i="7" s="1"/>
  <c r="F876" i="7" s="1"/>
  <c r="J876" i="7" s="1"/>
  <c r="C876" i="7"/>
  <c r="B876" i="7"/>
  <c r="A876" i="7"/>
  <c r="V875" i="7"/>
  <c r="S875" i="7"/>
  <c r="H875" i="7"/>
  <c r="D875" i="7"/>
  <c r="E875" i="7" s="1"/>
  <c r="F875" i="7" s="1"/>
  <c r="J875" i="7" s="1"/>
  <c r="C875" i="7"/>
  <c r="B875" i="7"/>
  <c r="A875" i="7"/>
  <c r="V874" i="7"/>
  <c r="T874" i="7"/>
  <c r="T875" i="7" s="1"/>
  <c r="T876" i="7" s="1"/>
  <c r="F874" i="7" s="1"/>
  <c r="J874" i="7" s="1"/>
  <c r="R874" i="7"/>
  <c r="R875" i="7" s="1"/>
  <c r="I874" i="7"/>
  <c r="H874" i="7"/>
  <c r="G874" i="7"/>
  <c r="C874" i="7"/>
  <c r="B907" i="7" s="1"/>
  <c r="B874" i="7"/>
  <c r="A874" i="7"/>
  <c r="V858" i="7"/>
  <c r="S858" i="7"/>
  <c r="O858" i="7"/>
  <c r="I858" i="7"/>
  <c r="D858" i="7"/>
  <c r="E858" i="7" s="1"/>
  <c r="F858" i="7" s="1"/>
  <c r="J858" i="7" s="1"/>
  <c r="C858" i="7"/>
  <c r="B858" i="7"/>
  <c r="A858" i="7"/>
  <c r="V857" i="7"/>
  <c r="I857" i="7"/>
  <c r="D857" i="7"/>
  <c r="E857" i="7" s="1"/>
  <c r="F857" i="7" s="1"/>
  <c r="C857" i="7"/>
  <c r="B857" i="7"/>
  <c r="A857" i="7"/>
  <c r="V856" i="7"/>
  <c r="I856" i="7"/>
  <c r="D856" i="7"/>
  <c r="E856" i="7" s="1"/>
  <c r="F856" i="7" s="1"/>
  <c r="C856" i="7"/>
  <c r="B856" i="7"/>
  <c r="A856" i="7"/>
  <c r="V855" i="7"/>
  <c r="I855" i="7"/>
  <c r="D855" i="7"/>
  <c r="E855" i="7" s="1"/>
  <c r="F855" i="7" s="1"/>
  <c r="C855" i="7"/>
  <c r="B855" i="7"/>
  <c r="A855" i="7"/>
  <c r="V854" i="7"/>
  <c r="S854" i="7"/>
  <c r="I854" i="7"/>
  <c r="H854" i="7"/>
  <c r="D854" i="7"/>
  <c r="E854" i="7" s="1"/>
  <c r="F854" i="7" s="1"/>
  <c r="J854" i="7" s="1"/>
  <c r="C854" i="7"/>
  <c r="O854" i="7" s="1"/>
  <c r="B854" i="7"/>
  <c r="A854" i="7"/>
  <c r="V853" i="7"/>
  <c r="I853" i="7"/>
  <c r="H853" i="7"/>
  <c r="G853" i="7"/>
  <c r="D853" i="7"/>
  <c r="E853" i="7" s="1"/>
  <c r="F853" i="7" s="1"/>
  <c r="C853" i="7"/>
  <c r="B853" i="7"/>
  <c r="A853" i="7"/>
  <c r="V852" i="7"/>
  <c r="I852" i="7"/>
  <c r="H852" i="7"/>
  <c r="G852" i="7"/>
  <c r="D852" i="7"/>
  <c r="E852" i="7" s="1"/>
  <c r="F852" i="7" s="1"/>
  <c r="C852" i="7"/>
  <c r="B852" i="7"/>
  <c r="A852" i="7"/>
  <c r="V851" i="7"/>
  <c r="I851" i="7"/>
  <c r="H851" i="7"/>
  <c r="G851" i="7"/>
  <c r="D851" i="7"/>
  <c r="E851" i="7" s="1"/>
  <c r="F851" i="7" s="1"/>
  <c r="C851" i="7"/>
  <c r="B851" i="7"/>
  <c r="A851" i="7"/>
  <c r="V850" i="7"/>
  <c r="I850" i="7"/>
  <c r="H850" i="7"/>
  <c r="G850" i="7"/>
  <c r="D850" i="7"/>
  <c r="E850" i="7" s="1"/>
  <c r="F850" i="7" s="1"/>
  <c r="C850" i="7"/>
  <c r="B850" i="7"/>
  <c r="A850" i="7"/>
  <c r="V849" i="7"/>
  <c r="S849" i="7"/>
  <c r="I849" i="7"/>
  <c r="H849" i="7"/>
  <c r="G849" i="7"/>
  <c r="D849" i="7"/>
  <c r="E849" i="7" s="1"/>
  <c r="F849" i="7" s="1"/>
  <c r="C849" i="7"/>
  <c r="B849" i="7"/>
  <c r="A849" i="7"/>
  <c r="V848" i="7"/>
  <c r="S848" i="7"/>
  <c r="I848" i="7"/>
  <c r="H848" i="7"/>
  <c r="G848" i="7"/>
  <c r="F848" i="7"/>
  <c r="B863" i="7" s="1"/>
  <c r="B864" i="7" s="1"/>
  <c r="D848" i="7"/>
  <c r="E848" i="7" s="1"/>
  <c r="C848" i="7"/>
  <c r="B848" i="7"/>
  <c r="A848" i="7"/>
  <c r="V847" i="7"/>
  <c r="S847" i="7"/>
  <c r="I847" i="7"/>
  <c r="H847" i="7"/>
  <c r="G847" i="7"/>
  <c r="D847" i="7"/>
  <c r="E847" i="7" s="1"/>
  <c r="F847" i="7" s="1"/>
  <c r="C847" i="7"/>
  <c r="B847" i="7"/>
  <c r="A847" i="7"/>
  <c r="V846" i="7"/>
  <c r="S846" i="7"/>
  <c r="I846" i="7"/>
  <c r="H846" i="7"/>
  <c r="D846" i="7"/>
  <c r="E846" i="7" s="1"/>
  <c r="F846" i="7" s="1"/>
  <c r="J846" i="7" s="1"/>
  <c r="C846" i="7"/>
  <c r="B846" i="7"/>
  <c r="A846" i="7"/>
  <c r="V845" i="7"/>
  <c r="S845" i="7"/>
  <c r="I845" i="7"/>
  <c r="H845" i="7"/>
  <c r="G845" i="7"/>
  <c r="D845" i="7"/>
  <c r="E845" i="7" s="1"/>
  <c r="F845" i="7" s="1"/>
  <c r="J845" i="7" s="1"/>
  <c r="C845" i="7"/>
  <c r="B845" i="7"/>
  <c r="A845" i="7"/>
  <c r="V844" i="7"/>
  <c r="I844" i="7"/>
  <c r="H844" i="7"/>
  <c r="G844" i="7"/>
  <c r="D844" i="7"/>
  <c r="E844" i="7" s="1"/>
  <c r="F844" i="7" s="1"/>
  <c r="J844" i="7" s="1"/>
  <c r="C844" i="7"/>
  <c r="B844" i="7"/>
  <c r="A844" i="7"/>
  <c r="V843" i="7"/>
  <c r="S843" i="7"/>
  <c r="I843" i="7"/>
  <c r="H843" i="7"/>
  <c r="G843" i="7"/>
  <c r="D843" i="7"/>
  <c r="E843" i="7" s="1"/>
  <c r="F843" i="7" s="1"/>
  <c r="J843" i="7" s="1"/>
  <c r="C843" i="7"/>
  <c r="B843" i="7"/>
  <c r="A843" i="7"/>
  <c r="V842" i="7"/>
  <c r="I842" i="7"/>
  <c r="H842" i="7"/>
  <c r="G842" i="7"/>
  <c r="D842" i="7"/>
  <c r="E842" i="7" s="1"/>
  <c r="F842" i="7" s="1"/>
  <c r="B861" i="7" s="1"/>
  <c r="C842" i="7"/>
  <c r="B842" i="7"/>
  <c r="A842" i="7"/>
  <c r="V841" i="7"/>
  <c r="I841" i="7"/>
  <c r="H841" i="7"/>
  <c r="G841" i="7"/>
  <c r="F841" i="7"/>
  <c r="B860" i="7" s="1"/>
  <c r="D841" i="7"/>
  <c r="E841" i="7" s="1"/>
  <c r="C841" i="7"/>
  <c r="B841" i="7"/>
  <c r="A841" i="7"/>
  <c r="V840" i="7"/>
  <c r="S840" i="7"/>
  <c r="H840" i="7"/>
  <c r="G840" i="7"/>
  <c r="D840" i="7"/>
  <c r="E840" i="7" s="1"/>
  <c r="F840" i="7" s="1"/>
  <c r="J840" i="7" s="1"/>
  <c r="C840" i="7"/>
  <c r="B840" i="7"/>
  <c r="A840" i="7"/>
  <c r="V839" i="7"/>
  <c r="S839" i="7"/>
  <c r="I839" i="7"/>
  <c r="H839" i="7"/>
  <c r="D839" i="7"/>
  <c r="E839" i="7" s="1"/>
  <c r="F839" i="7" s="1"/>
  <c r="J839" i="7" s="1"/>
  <c r="C839" i="7"/>
  <c r="B839" i="7"/>
  <c r="A839" i="7"/>
  <c r="V838" i="7"/>
  <c r="S838" i="7"/>
  <c r="H838" i="7"/>
  <c r="D838" i="7"/>
  <c r="E838" i="7" s="1"/>
  <c r="F838" i="7" s="1"/>
  <c r="J838" i="7" s="1"/>
  <c r="C838" i="7"/>
  <c r="B838" i="7"/>
  <c r="A838" i="7"/>
  <c r="V837" i="7"/>
  <c r="S837" i="7"/>
  <c r="H837" i="7"/>
  <c r="G837" i="7"/>
  <c r="D837" i="7"/>
  <c r="E837" i="7" s="1"/>
  <c r="F837" i="7" s="1"/>
  <c r="J837" i="7" s="1"/>
  <c r="C837" i="7"/>
  <c r="B837" i="7"/>
  <c r="A837" i="7"/>
  <c r="V836" i="7"/>
  <c r="S836" i="7"/>
  <c r="I836" i="7"/>
  <c r="H836" i="7"/>
  <c r="G836" i="7"/>
  <c r="D836" i="7"/>
  <c r="E836" i="7" s="1"/>
  <c r="F836" i="7" s="1"/>
  <c r="C836" i="7"/>
  <c r="B836" i="7"/>
  <c r="A836" i="7"/>
  <c r="V835" i="7"/>
  <c r="S835" i="7"/>
  <c r="H835" i="7"/>
  <c r="G835" i="7"/>
  <c r="D835" i="7"/>
  <c r="E835" i="7" s="1"/>
  <c r="F835" i="7" s="1"/>
  <c r="J835" i="7" s="1"/>
  <c r="C835" i="7"/>
  <c r="B835" i="7"/>
  <c r="A835" i="7"/>
  <c r="V834" i="7"/>
  <c r="S834" i="7"/>
  <c r="H834" i="7"/>
  <c r="G834" i="7"/>
  <c r="D834" i="7"/>
  <c r="E834" i="7" s="1"/>
  <c r="F834" i="7" s="1"/>
  <c r="J834" i="7" s="1"/>
  <c r="C834" i="7"/>
  <c r="B834" i="7"/>
  <c r="A834" i="7"/>
  <c r="V833" i="7"/>
  <c r="S833" i="7"/>
  <c r="H833" i="7"/>
  <c r="D833" i="7"/>
  <c r="E833" i="7" s="1"/>
  <c r="F833" i="7" s="1"/>
  <c r="J833" i="7" s="1"/>
  <c r="C833" i="7"/>
  <c r="B833" i="7"/>
  <c r="A833" i="7"/>
  <c r="V832" i="7"/>
  <c r="T832" i="7"/>
  <c r="T833" i="7" s="1"/>
  <c r="T834" i="7" s="1"/>
  <c r="F832" i="7" s="1"/>
  <c r="J832" i="7" s="1"/>
  <c r="R832" i="7"/>
  <c r="R833" i="7" s="1"/>
  <c r="I832" i="7"/>
  <c r="H832" i="7"/>
  <c r="G832" i="7"/>
  <c r="C832" i="7"/>
  <c r="B865" i="7" s="1"/>
  <c r="B832" i="7"/>
  <c r="A832" i="7"/>
  <c r="V816" i="7"/>
  <c r="S816" i="7"/>
  <c r="I816" i="7"/>
  <c r="H816" i="7"/>
  <c r="D816" i="7"/>
  <c r="E816" i="7" s="1"/>
  <c r="F816" i="7" s="1"/>
  <c r="J816" i="7" s="1"/>
  <c r="C816" i="7"/>
  <c r="O816" i="7" s="1"/>
  <c r="B816" i="7"/>
  <c r="A816" i="7"/>
  <c r="V815" i="7"/>
  <c r="I815" i="7"/>
  <c r="H815" i="7"/>
  <c r="G815" i="7"/>
  <c r="D815" i="7"/>
  <c r="E815" i="7" s="1"/>
  <c r="F815" i="7" s="1"/>
  <c r="C815" i="7"/>
  <c r="B815" i="7"/>
  <c r="A815" i="7"/>
  <c r="V814" i="7"/>
  <c r="I814" i="7"/>
  <c r="H814" i="7"/>
  <c r="G814" i="7"/>
  <c r="D814" i="7"/>
  <c r="E814" i="7" s="1"/>
  <c r="F814" i="7" s="1"/>
  <c r="C814" i="7"/>
  <c r="B814" i="7"/>
  <c r="A814" i="7"/>
  <c r="V813" i="7"/>
  <c r="I813" i="7"/>
  <c r="H813" i="7"/>
  <c r="G813" i="7"/>
  <c r="D813" i="7"/>
  <c r="E813" i="7" s="1"/>
  <c r="F813" i="7" s="1"/>
  <c r="C813" i="7"/>
  <c r="B813" i="7"/>
  <c r="A813" i="7"/>
  <c r="V812" i="7"/>
  <c r="S812" i="7"/>
  <c r="I812" i="7"/>
  <c r="H812" i="7"/>
  <c r="D812" i="7"/>
  <c r="E812" i="7" s="1"/>
  <c r="F812" i="7" s="1"/>
  <c r="J812" i="7" s="1"/>
  <c r="C812" i="7"/>
  <c r="O812" i="7" s="1"/>
  <c r="B812" i="7"/>
  <c r="A812" i="7"/>
  <c r="V811" i="7"/>
  <c r="I811" i="7"/>
  <c r="H811" i="7"/>
  <c r="G811" i="7"/>
  <c r="D811" i="7"/>
  <c r="E811" i="7" s="1"/>
  <c r="F811" i="7" s="1"/>
  <c r="C811" i="7"/>
  <c r="B811" i="7"/>
  <c r="A811" i="7"/>
  <c r="V810" i="7"/>
  <c r="I810" i="7"/>
  <c r="H810" i="7"/>
  <c r="G810" i="7"/>
  <c r="D810" i="7"/>
  <c r="E810" i="7" s="1"/>
  <c r="F810" i="7" s="1"/>
  <c r="C810" i="7"/>
  <c r="B810" i="7"/>
  <c r="A810" i="7"/>
  <c r="V809" i="7"/>
  <c r="I809" i="7"/>
  <c r="H809" i="7"/>
  <c r="G809" i="7"/>
  <c r="D809" i="7"/>
  <c r="E809" i="7" s="1"/>
  <c r="F809" i="7" s="1"/>
  <c r="C809" i="7"/>
  <c r="B809" i="7"/>
  <c r="A809" i="7"/>
  <c r="V808" i="7"/>
  <c r="I808" i="7"/>
  <c r="H808" i="7"/>
  <c r="G808" i="7"/>
  <c r="D808" i="7"/>
  <c r="E808" i="7" s="1"/>
  <c r="F808" i="7" s="1"/>
  <c r="C808" i="7"/>
  <c r="B808" i="7"/>
  <c r="A808" i="7"/>
  <c r="V807" i="7"/>
  <c r="S807" i="7"/>
  <c r="I807" i="7"/>
  <c r="H807" i="7"/>
  <c r="G807" i="7"/>
  <c r="D807" i="7"/>
  <c r="E807" i="7" s="1"/>
  <c r="F807" i="7" s="1"/>
  <c r="C807" i="7"/>
  <c r="B807" i="7"/>
  <c r="A807" i="7"/>
  <c r="V806" i="7"/>
  <c r="S806" i="7"/>
  <c r="I806" i="7"/>
  <c r="H806" i="7"/>
  <c r="G806" i="7"/>
  <c r="F806" i="7"/>
  <c r="B821" i="7" s="1"/>
  <c r="B822" i="7" s="1"/>
  <c r="D806" i="7"/>
  <c r="E806" i="7" s="1"/>
  <c r="C806" i="7"/>
  <c r="B806" i="7"/>
  <c r="A806" i="7"/>
  <c r="V805" i="7"/>
  <c r="S805" i="7"/>
  <c r="I805" i="7"/>
  <c r="H805" i="7"/>
  <c r="G805" i="7"/>
  <c r="D805" i="7"/>
  <c r="E805" i="7" s="1"/>
  <c r="F805" i="7" s="1"/>
  <c r="C805" i="7"/>
  <c r="B805" i="7"/>
  <c r="A805" i="7"/>
  <c r="V804" i="7"/>
  <c r="S804" i="7"/>
  <c r="I804" i="7"/>
  <c r="H804" i="7"/>
  <c r="D804" i="7"/>
  <c r="E804" i="7" s="1"/>
  <c r="F804" i="7" s="1"/>
  <c r="J804" i="7" s="1"/>
  <c r="C804" i="7"/>
  <c r="B804" i="7"/>
  <c r="A804" i="7"/>
  <c r="V803" i="7"/>
  <c r="S803" i="7"/>
  <c r="I803" i="7"/>
  <c r="H803" i="7"/>
  <c r="G803" i="7"/>
  <c r="D803" i="7"/>
  <c r="E803" i="7" s="1"/>
  <c r="F803" i="7" s="1"/>
  <c r="J803" i="7" s="1"/>
  <c r="C803" i="7"/>
  <c r="B803" i="7"/>
  <c r="A803" i="7"/>
  <c r="V802" i="7"/>
  <c r="I802" i="7"/>
  <c r="H802" i="7"/>
  <c r="G802" i="7"/>
  <c r="D802" i="7"/>
  <c r="E802" i="7" s="1"/>
  <c r="F802" i="7" s="1"/>
  <c r="J802" i="7" s="1"/>
  <c r="C802" i="7"/>
  <c r="B802" i="7"/>
  <c r="A802" i="7"/>
  <c r="V801" i="7"/>
  <c r="S801" i="7"/>
  <c r="I801" i="7"/>
  <c r="H801" i="7"/>
  <c r="G801" i="7"/>
  <c r="D801" i="7"/>
  <c r="E801" i="7" s="1"/>
  <c r="F801" i="7" s="1"/>
  <c r="J801" i="7" s="1"/>
  <c r="C801" i="7"/>
  <c r="B801" i="7"/>
  <c r="A801" i="7"/>
  <c r="V800" i="7"/>
  <c r="I800" i="7"/>
  <c r="H800" i="7"/>
  <c r="G800" i="7"/>
  <c r="D800" i="7"/>
  <c r="E800" i="7" s="1"/>
  <c r="F800" i="7" s="1"/>
  <c r="B819" i="7" s="1"/>
  <c r="C800" i="7"/>
  <c r="B800" i="7"/>
  <c r="A800" i="7"/>
  <c r="V799" i="7"/>
  <c r="I799" i="7"/>
  <c r="F799" i="7"/>
  <c r="B818" i="7" s="1"/>
  <c r="D799" i="7"/>
  <c r="E799" i="7" s="1"/>
  <c r="C799" i="7"/>
  <c r="B799" i="7"/>
  <c r="A799" i="7"/>
  <c r="V798" i="7"/>
  <c r="S798" i="7"/>
  <c r="D798" i="7"/>
  <c r="E798" i="7" s="1"/>
  <c r="F798" i="7" s="1"/>
  <c r="J798" i="7" s="1"/>
  <c r="C798" i="7"/>
  <c r="B798" i="7"/>
  <c r="A798" i="7"/>
  <c r="S797" i="7"/>
  <c r="I797" i="7"/>
  <c r="D797" i="7"/>
  <c r="E797" i="7" s="1"/>
  <c r="C797" i="7"/>
  <c r="B797" i="7"/>
  <c r="A797" i="7"/>
  <c r="V796" i="7"/>
  <c r="S796" i="7"/>
  <c r="D796" i="7"/>
  <c r="E796" i="7" s="1"/>
  <c r="F796" i="7" s="1"/>
  <c r="J796" i="7" s="1"/>
  <c r="C796" i="7"/>
  <c r="B796" i="7"/>
  <c r="A796" i="7"/>
  <c r="V795" i="7"/>
  <c r="S795" i="7"/>
  <c r="D795" i="7"/>
  <c r="E795" i="7" s="1"/>
  <c r="F795" i="7" s="1"/>
  <c r="J795" i="7" s="1"/>
  <c r="C795" i="7"/>
  <c r="B795" i="7"/>
  <c r="A795" i="7"/>
  <c r="V794" i="7"/>
  <c r="S794" i="7"/>
  <c r="I794" i="7"/>
  <c r="D794" i="7"/>
  <c r="E794" i="7" s="1"/>
  <c r="F794" i="7" s="1"/>
  <c r="B820" i="7" s="1"/>
  <c r="C794" i="7"/>
  <c r="B794" i="7"/>
  <c r="A794" i="7"/>
  <c r="V793" i="7"/>
  <c r="S793" i="7"/>
  <c r="D793" i="7"/>
  <c r="E793" i="7" s="1"/>
  <c r="F793" i="7" s="1"/>
  <c r="J793" i="7" s="1"/>
  <c r="C793" i="7"/>
  <c r="B793" i="7"/>
  <c r="A793" i="7"/>
  <c r="V792" i="7"/>
  <c r="S792" i="7"/>
  <c r="D792" i="7"/>
  <c r="E792" i="7" s="1"/>
  <c r="F792" i="7" s="1"/>
  <c r="J792" i="7" s="1"/>
  <c r="C792" i="7"/>
  <c r="B792" i="7"/>
  <c r="A792" i="7"/>
  <c r="V791" i="7"/>
  <c r="S791" i="7"/>
  <c r="D791" i="7"/>
  <c r="E791" i="7" s="1"/>
  <c r="F791" i="7" s="1"/>
  <c r="J791" i="7" s="1"/>
  <c r="C791" i="7"/>
  <c r="B791" i="7"/>
  <c r="A791" i="7"/>
  <c r="V790" i="7"/>
  <c r="T790" i="7"/>
  <c r="T791" i="7" s="1"/>
  <c r="T792" i="7" s="1"/>
  <c r="F790" i="7" s="1"/>
  <c r="J790" i="7" s="1"/>
  <c r="R790" i="7"/>
  <c r="R791" i="7" s="1"/>
  <c r="I790" i="7"/>
  <c r="C790" i="7"/>
  <c r="B790" i="7"/>
  <c r="A790" i="7"/>
  <c r="S774" i="7"/>
  <c r="I774" i="7"/>
  <c r="H774" i="7"/>
  <c r="D774" i="7"/>
  <c r="E774" i="7" s="1"/>
  <c r="F774" i="7" s="1"/>
  <c r="J774" i="7" s="1"/>
  <c r="C774" i="7"/>
  <c r="O774" i="7" s="1"/>
  <c r="B774" i="7"/>
  <c r="A774" i="7"/>
  <c r="V773" i="7"/>
  <c r="I773" i="7"/>
  <c r="H773" i="7"/>
  <c r="G773" i="7"/>
  <c r="D773" i="7"/>
  <c r="E773" i="7" s="1"/>
  <c r="F773" i="7" s="1"/>
  <c r="C773" i="7"/>
  <c r="B773" i="7"/>
  <c r="A773" i="7"/>
  <c r="V772" i="7"/>
  <c r="I772" i="7"/>
  <c r="H772" i="7"/>
  <c r="G772" i="7"/>
  <c r="D772" i="7"/>
  <c r="E772" i="7" s="1"/>
  <c r="F772" i="7" s="1"/>
  <c r="C772" i="7"/>
  <c r="B772" i="7"/>
  <c r="A772" i="7"/>
  <c r="V771" i="7"/>
  <c r="I771" i="7"/>
  <c r="H771" i="7"/>
  <c r="G771" i="7"/>
  <c r="D771" i="7"/>
  <c r="E771" i="7" s="1"/>
  <c r="F771" i="7" s="1"/>
  <c r="C771" i="7"/>
  <c r="B771" i="7"/>
  <c r="A771" i="7"/>
  <c r="V770" i="7"/>
  <c r="S770" i="7"/>
  <c r="I770" i="7"/>
  <c r="H770" i="7"/>
  <c r="D770" i="7"/>
  <c r="E770" i="7" s="1"/>
  <c r="F770" i="7" s="1"/>
  <c r="J770" i="7" s="1"/>
  <c r="C770" i="7"/>
  <c r="O770" i="7" s="1"/>
  <c r="B770" i="7"/>
  <c r="A770" i="7"/>
  <c r="V769" i="7"/>
  <c r="I769" i="7"/>
  <c r="H769" i="7"/>
  <c r="G769" i="7"/>
  <c r="D769" i="7"/>
  <c r="E769" i="7" s="1"/>
  <c r="F769" i="7" s="1"/>
  <c r="C769" i="7"/>
  <c r="B769" i="7"/>
  <c r="A769" i="7"/>
  <c r="V768" i="7"/>
  <c r="I768" i="7"/>
  <c r="H768" i="7"/>
  <c r="G768" i="7"/>
  <c r="D768" i="7"/>
  <c r="E768" i="7" s="1"/>
  <c r="F768" i="7" s="1"/>
  <c r="C768" i="7"/>
  <c r="B768" i="7"/>
  <c r="A768" i="7"/>
  <c r="V767" i="7"/>
  <c r="I767" i="7"/>
  <c r="H767" i="7"/>
  <c r="G767" i="7"/>
  <c r="D767" i="7"/>
  <c r="E767" i="7" s="1"/>
  <c r="F767" i="7" s="1"/>
  <c r="C767" i="7"/>
  <c r="B767" i="7"/>
  <c r="A767" i="7"/>
  <c r="V766" i="7"/>
  <c r="I766" i="7"/>
  <c r="D766" i="7"/>
  <c r="E766" i="7" s="1"/>
  <c r="F766" i="7" s="1"/>
  <c r="C766" i="7"/>
  <c r="B766" i="7"/>
  <c r="A766" i="7"/>
  <c r="V765" i="7"/>
  <c r="S765" i="7"/>
  <c r="I765" i="7"/>
  <c r="D765" i="7"/>
  <c r="E765" i="7" s="1"/>
  <c r="F765" i="7" s="1"/>
  <c r="C765" i="7"/>
  <c r="B765" i="7"/>
  <c r="A765" i="7"/>
  <c r="V764" i="7"/>
  <c r="S764" i="7"/>
  <c r="I764" i="7"/>
  <c r="F764" i="7"/>
  <c r="B779" i="7" s="1"/>
  <c r="B780" i="7" s="1"/>
  <c r="D764" i="7"/>
  <c r="E764" i="7" s="1"/>
  <c r="C764" i="7"/>
  <c r="B764" i="7"/>
  <c r="A764" i="7"/>
  <c r="V763" i="7"/>
  <c r="S763" i="7"/>
  <c r="I763" i="7"/>
  <c r="D763" i="7"/>
  <c r="E763" i="7" s="1"/>
  <c r="F763" i="7" s="1"/>
  <c r="C763" i="7"/>
  <c r="B763" i="7"/>
  <c r="A763" i="7"/>
  <c r="V762" i="7"/>
  <c r="S762" i="7"/>
  <c r="I762" i="7"/>
  <c r="H762" i="7"/>
  <c r="D762" i="7"/>
  <c r="E762" i="7" s="1"/>
  <c r="F762" i="7" s="1"/>
  <c r="J762" i="7" s="1"/>
  <c r="C762" i="7"/>
  <c r="B762" i="7"/>
  <c r="A762" i="7"/>
  <c r="V761" i="7"/>
  <c r="S761" i="7"/>
  <c r="I761" i="7"/>
  <c r="H761" i="7"/>
  <c r="G761" i="7"/>
  <c r="D761" i="7"/>
  <c r="E761" i="7" s="1"/>
  <c r="F761" i="7" s="1"/>
  <c r="J761" i="7" s="1"/>
  <c r="C761" i="7"/>
  <c r="B761" i="7"/>
  <c r="A761" i="7"/>
  <c r="V760" i="7"/>
  <c r="I760" i="7"/>
  <c r="H760" i="7"/>
  <c r="G760" i="7"/>
  <c r="D760" i="7"/>
  <c r="E760" i="7" s="1"/>
  <c r="F760" i="7" s="1"/>
  <c r="J760" i="7" s="1"/>
  <c r="C760" i="7"/>
  <c r="B760" i="7"/>
  <c r="A760" i="7"/>
  <c r="V759" i="7"/>
  <c r="S759" i="7"/>
  <c r="I759" i="7"/>
  <c r="H759" i="7"/>
  <c r="G759" i="7"/>
  <c r="D759" i="7"/>
  <c r="E759" i="7" s="1"/>
  <c r="C759" i="7"/>
  <c r="B759" i="7"/>
  <c r="A759" i="7"/>
  <c r="V758" i="7"/>
  <c r="I758" i="7"/>
  <c r="H758" i="7"/>
  <c r="G758" i="7"/>
  <c r="D758" i="7"/>
  <c r="E758" i="7" s="1"/>
  <c r="F758" i="7" s="1"/>
  <c r="B777" i="7" s="1"/>
  <c r="C758" i="7"/>
  <c r="B758" i="7"/>
  <c r="A758" i="7"/>
  <c r="V757" i="7"/>
  <c r="I757" i="7"/>
  <c r="F757" i="7"/>
  <c r="B776" i="7" s="1"/>
  <c r="D757" i="7"/>
  <c r="E757" i="7" s="1"/>
  <c r="C757" i="7"/>
  <c r="B757" i="7"/>
  <c r="A757" i="7"/>
  <c r="V756" i="7"/>
  <c r="S756" i="7"/>
  <c r="D756" i="7"/>
  <c r="E756" i="7" s="1"/>
  <c r="F756" i="7" s="1"/>
  <c r="J756" i="7" s="1"/>
  <c r="C756" i="7"/>
  <c r="B756" i="7"/>
  <c r="A756" i="7"/>
  <c r="S755" i="7"/>
  <c r="I755" i="7"/>
  <c r="D755" i="7"/>
  <c r="E755" i="7" s="1"/>
  <c r="C755" i="7"/>
  <c r="B755" i="7"/>
  <c r="A755" i="7"/>
  <c r="V754" i="7"/>
  <c r="S754" i="7"/>
  <c r="D754" i="7"/>
  <c r="E754" i="7" s="1"/>
  <c r="F754" i="7" s="1"/>
  <c r="J754" i="7" s="1"/>
  <c r="C754" i="7"/>
  <c r="B754" i="7"/>
  <c r="A754" i="7"/>
  <c r="V753" i="7"/>
  <c r="S753" i="7"/>
  <c r="D753" i="7"/>
  <c r="E753" i="7" s="1"/>
  <c r="F753" i="7" s="1"/>
  <c r="J753" i="7" s="1"/>
  <c r="C753" i="7"/>
  <c r="B753" i="7"/>
  <c r="A753" i="7"/>
  <c r="V752" i="7"/>
  <c r="S752" i="7"/>
  <c r="I752" i="7"/>
  <c r="D752" i="7"/>
  <c r="E752" i="7" s="1"/>
  <c r="F752" i="7" s="1"/>
  <c r="B778" i="7" s="1"/>
  <c r="C752" i="7"/>
  <c r="B752" i="7"/>
  <c r="A752" i="7"/>
  <c r="V751" i="7"/>
  <c r="S751" i="7"/>
  <c r="D751" i="7"/>
  <c r="E751" i="7" s="1"/>
  <c r="F751" i="7" s="1"/>
  <c r="J751" i="7" s="1"/>
  <c r="C751" i="7"/>
  <c r="B751" i="7"/>
  <c r="A751" i="7"/>
  <c r="V750" i="7"/>
  <c r="S750" i="7"/>
  <c r="D750" i="7"/>
  <c r="E750" i="7" s="1"/>
  <c r="F750" i="7" s="1"/>
  <c r="J750" i="7" s="1"/>
  <c r="C750" i="7"/>
  <c r="B750" i="7"/>
  <c r="A750" i="7"/>
  <c r="V749" i="7"/>
  <c r="S749" i="7"/>
  <c r="D749" i="7"/>
  <c r="E749" i="7" s="1"/>
  <c r="F749" i="7" s="1"/>
  <c r="J749" i="7" s="1"/>
  <c r="C749" i="7"/>
  <c r="B749" i="7"/>
  <c r="A749" i="7"/>
  <c r="V748" i="7"/>
  <c r="T748" i="7"/>
  <c r="T749" i="7" s="1"/>
  <c r="T750" i="7" s="1"/>
  <c r="F748" i="7" s="1"/>
  <c r="J748" i="7" s="1"/>
  <c r="R748" i="7"/>
  <c r="R749" i="7" s="1"/>
  <c r="I748" i="7"/>
  <c r="C748" i="7"/>
  <c r="B748" i="7"/>
  <c r="A748" i="7"/>
  <c r="S732" i="7"/>
  <c r="I732" i="7"/>
  <c r="H732" i="7"/>
  <c r="D732" i="7"/>
  <c r="E732" i="7" s="1"/>
  <c r="F732" i="7" s="1"/>
  <c r="J732" i="7" s="1"/>
  <c r="C732" i="7"/>
  <c r="O732" i="7" s="1"/>
  <c r="B732" i="7"/>
  <c r="A732" i="7"/>
  <c r="V731" i="7"/>
  <c r="I731" i="7"/>
  <c r="H731" i="7"/>
  <c r="G731" i="7"/>
  <c r="D731" i="7"/>
  <c r="E731" i="7" s="1"/>
  <c r="F731" i="7" s="1"/>
  <c r="C731" i="7"/>
  <c r="B731" i="7"/>
  <c r="A731" i="7"/>
  <c r="V730" i="7"/>
  <c r="I730" i="7"/>
  <c r="H730" i="7"/>
  <c r="G730" i="7"/>
  <c r="D730" i="7"/>
  <c r="E730" i="7" s="1"/>
  <c r="F730" i="7" s="1"/>
  <c r="C730" i="7"/>
  <c r="B730" i="7"/>
  <c r="A730" i="7"/>
  <c r="V729" i="7"/>
  <c r="I729" i="7"/>
  <c r="H729" i="7"/>
  <c r="G729" i="7"/>
  <c r="D729" i="7"/>
  <c r="E729" i="7" s="1"/>
  <c r="F729" i="7" s="1"/>
  <c r="C729" i="7"/>
  <c r="B729" i="7"/>
  <c r="A729" i="7"/>
  <c r="V728" i="7"/>
  <c r="S728" i="7"/>
  <c r="I728" i="7"/>
  <c r="H728" i="7"/>
  <c r="D728" i="7"/>
  <c r="E728" i="7" s="1"/>
  <c r="F728" i="7" s="1"/>
  <c r="J728" i="7" s="1"/>
  <c r="C728" i="7"/>
  <c r="O728" i="7" s="1"/>
  <c r="B728" i="7"/>
  <c r="A728" i="7"/>
  <c r="V727" i="7"/>
  <c r="I727" i="7"/>
  <c r="H727" i="7"/>
  <c r="G727" i="7"/>
  <c r="D727" i="7"/>
  <c r="E727" i="7" s="1"/>
  <c r="F727" i="7" s="1"/>
  <c r="C727" i="7"/>
  <c r="B727" i="7"/>
  <c r="A727" i="7"/>
  <c r="V726" i="7"/>
  <c r="I726" i="7"/>
  <c r="H726" i="7"/>
  <c r="G726" i="7"/>
  <c r="D726" i="7"/>
  <c r="E726" i="7" s="1"/>
  <c r="F726" i="7" s="1"/>
  <c r="C726" i="7"/>
  <c r="B726" i="7"/>
  <c r="A726" i="7"/>
  <c r="V725" i="7"/>
  <c r="I725" i="7"/>
  <c r="H725" i="7"/>
  <c r="G725" i="7"/>
  <c r="D725" i="7"/>
  <c r="E725" i="7" s="1"/>
  <c r="F725" i="7" s="1"/>
  <c r="C725" i="7"/>
  <c r="B725" i="7"/>
  <c r="A725" i="7"/>
  <c r="V724" i="7"/>
  <c r="I724" i="7"/>
  <c r="H724" i="7"/>
  <c r="G724" i="7"/>
  <c r="D724" i="7"/>
  <c r="E724" i="7" s="1"/>
  <c r="F724" i="7" s="1"/>
  <c r="C724" i="7"/>
  <c r="B724" i="7"/>
  <c r="A724" i="7"/>
  <c r="V723" i="7"/>
  <c r="S723" i="7"/>
  <c r="I723" i="7"/>
  <c r="H723" i="7"/>
  <c r="G723" i="7"/>
  <c r="D723" i="7"/>
  <c r="E723" i="7" s="1"/>
  <c r="F723" i="7" s="1"/>
  <c r="C723" i="7"/>
  <c r="B723" i="7"/>
  <c r="A723" i="7"/>
  <c r="V722" i="7"/>
  <c r="S722" i="7"/>
  <c r="I722" i="7"/>
  <c r="H722" i="7"/>
  <c r="G722" i="7"/>
  <c r="F722" i="7"/>
  <c r="B737" i="7" s="1"/>
  <c r="B738" i="7" s="1"/>
  <c r="D722" i="7"/>
  <c r="E722" i="7" s="1"/>
  <c r="C722" i="7"/>
  <c r="B722" i="7"/>
  <c r="A722" i="7"/>
  <c r="V721" i="7"/>
  <c r="S721" i="7"/>
  <c r="I721" i="7"/>
  <c r="H721" i="7"/>
  <c r="G721" i="7"/>
  <c r="D721" i="7"/>
  <c r="E721" i="7" s="1"/>
  <c r="F721" i="7" s="1"/>
  <c r="C721" i="7"/>
  <c r="B721" i="7"/>
  <c r="A721" i="7"/>
  <c r="V720" i="7"/>
  <c r="S720" i="7"/>
  <c r="I720" i="7"/>
  <c r="H720" i="7"/>
  <c r="D720" i="7"/>
  <c r="E720" i="7" s="1"/>
  <c r="F720" i="7" s="1"/>
  <c r="J720" i="7" s="1"/>
  <c r="C720" i="7"/>
  <c r="B720" i="7"/>
  <c r="A720" i="7"/>
  <c r="V719" i="7"/>
  <c r="S719" i="7"/>
  <c r="I719" i="7"/>
  <c r="H719" i="7"/>
  <c r="G719" i="7"/>
  <c r="D719" i="7"/>
  <c r="E719" i="7" s="1"/>
  <c r="F719" i="7" s="1"/>
  <c r="J719" i="7" s="1"/>
  <c r="C719" i="7"/>
  <c r="B719" i="7"/>
  <c r="A719" i="7"/>
  <c r="V718" i="7"/>
  <c r="I718" i="7"/>
  <c r="H718" i="7"/>
  <c r="G718" i="7"/>
  <c r="D718" i="7"/>
  <c r="E718" i="7" s="1"/>
  <c r="F718" i="7" s="1"/>
  <c r="J718" i="7" s="1"/>
  <c r="C718" i="7"/>
  <c r="B718" i="7"/>
  <c r="A718" i="7"/>
  <c r="V717" i="7"/>
  <c r="S717" i="7"/>
  <c r="I717" i="7"/>
  <c r="H717" i="7"/>
  <c r="G717" i="7"/>
  <c r="D717" i="7"/>
  <c r="E717" i="7" s="1"/>
  <c r="F717" i="7" s="1"/>
  <c r="J717" i="7" s="1"/>
  <c r="C717" i="7"/>
  <c r="B717" i="7"/>
  <c r="A717" i="7"/>
  <c r="V716" i="7"/>
  <c r="I716" i="7"/>
  <c r="H716" i="7"/>
  <c r="G716" i="7"/>
  <c r="D716" i="7"/>
  <c r="E716" i="7" s="1"/>
  <c r="F716" i="7" s="1"/>
  <c r="B735" i="7" s="1"/>
  <c r="C716" i="7"/>
  <c r="B716" i="7"/>
  <c r="A716" i="7"/>
  <c r="V715" i="7"/>
  <c r="I715" i="7"/>
  <c r="H715" i="7"/>
  <c r="G715" i="7"/>
  <c r="F715" i="7"/>
  <c r="B734" i="7" s="1"/>
  <c r="D715" i="7"/>
  <c r="E715" i="7" s="1"/>
  <c r="C715" i="7"/>
  <c r="B715" i="7"/>
  <c r="A715" i="7"/>
  <c r="V714" i="7"/>
  <c r="S714" i="7"/>
  <c r="H714" i="7"/>
  <c r="G714" i="7"/>
  <c r="D714" i="7"/>
  <c r="E714" i="7" s="1"/>
  <c r="F714" i="7" s="1"/>
  <c r="J714" i="7" s="1"/>
  <c r="C714" i="7"/>
  <c r="B714" i="7"/>
  <c r="A714" i="7"/>
  <c r="V713" i="7"/>
  <c r="S713" i="7"/>
  <c r="I713" i="7"/>
  <c r="H713" i="7"/>
  <c r="D713" i="7"/>
  <c r="E713" i="7" s="1"/>
  <c r="F713" i="7" s="1"/>
  <c r="J713" i="7" s="1"/>
  <c r="C713" i="7"/>
  <c r="B713" i="7"/>
  <c r="A713" i="7"/>
  <c r="V712" i="7"/>
  <c r="S712" i="7"/>
  <c r="H712" i="7"/>
  <c r="D712" i="7"/>
  <c r="E712" i="7" s="1"/>
  <c r="F712" i="7" s="1"/>
  <c r="J712" i="7" s="1"/>
  <c r="C712" i="7"/>
  <c r="B712" i="7"/>
  <c r="A712" i="7"/>
  <c r="V711" i="7"/>
  <c r="S711" i="7"/>
  <c r="H711" i="7"/>
  <c r="G711" i="7"/>
  <c r="D711" i="7"/>
  <c r="E711" i="7" s="1"/>
  <c r="F711" i="7" s="1"/>
  <c r="J711" i="7" s="1"/>
  <c r="C711" i="7"/>
  <c r="B711" i="7"/>
  <c r="A711" i="7"/>
  <c r="V710" i="7"/>
  <c r="S710" i="7"/>
  <c r="I710" i="7"/>
  <c r="H710" i="7"/>
  <c r="G710" i="7"/>
  <c r="D710" i="7"/>
  <c r="E710" i="7" s="1"/>
  <c r="F710" i="7" s="1"/>
  <c r="C710" i="7"/>
  <c r="B710" i="7"/>
  <c r="A710" i="7"/>
  <c r="V709" i="7"/>
  <c r="S709" i="7"/>
  <c r="H709" i="7"/>
  <c r="G709" i="7"/>
  <c r="D709" i="7"/>
  <c r="E709" i="7" s="1"/>
  <c r="F709" i="7" s="1"/>
  <c r="J709" i="7" s="1"/>
  <c r="C709" i="7"/>
  <c r="B709" i="7"/>
  <c r="A709" i="7"/>
  <c r="V708" i="7"/>
  <c r="S708" i="7"/>
  <c r="H708" i="7"/>
  <c r="G708" i="7"/>
  <c r="D708" i="7"/>
  <c r="E708" i="7" s="1"/>
  <c r="F708" i="7" s="1"/>
  <c r="J708" i="7" s="1"/>
  <c r="C708" i="7"/>
  <c r="B708" i="7"/>
  <c r="A708" i="7"/>
  <c r="V707" i="7"/>
  <c r="S707" i="7"/>
  <c r="H707" i="7"/>
  <c r="D707" i="7"/>
  <c r="E707" i="7" s="1"/>
  <c r="F707" i="7" s="1"/>
  <c r="J707" i="7" s="1"/>
  <c r="C707" i="7"/>
  <c r="B707" i="7"/>
  <c r="A707" i="7"/>
  <c r="V706" i="7"/>
  <c r="T706" i="7"/>
  <c r="T707" i="7" s="1"/>
  <c r="T708" i="7" s="1"/>
  <c r="F706" i="7" s="1"/>
  <c r="J706" i="7" s="1"/>
  <c r="R706" i="7"/>
  <c r="R707" i="7" s="1"/>
  <c r="I706" i="7"/>
  <c r="H706" i="7"/>
  <c r="G706" i="7"/>
  <c r="C706" i="7"/>
  <c r="B706" i="7"/>
  <c r="A706" i="7"/>
  <c r="V690" i="7"/>
  <c r="S690" i="7"/>
  <c r="I690" i="7"/>
  <c r="H690" i="7"/>
  <c r="D690" i="7"/>
  <c r="E690" i="7" s="1"/>
  <c r="F690" i="7" s="1"/>
  <c r="J690" i="7" s="1"/>
  <c r="C690" i="7"/>
  <c r="O690" i="7" s="1"/>
  <c r="B690" i="7"/>
  <c r="A690" i="7"/>
  <c r="V689" i="7"/>
  <c r="I689" i="7"/>
  <c r="H689" i="7"/>
  <c r="G689" i="7"/>
  <c r="D689" i="7"/>
  <c r="E689" i="7" s="1"/>
  <c r="F689" i="7" s="1"/>
  <c r="C689" i="7"/>
  <c r="B689" i="7"/>
  <c r="A689" i="7"/>
  <c r="V688" i="7"/>
  <c r="I688" i="7"/>
  <c r="H688" i="7"/>
  <c r="G688" i="7"/>
  <c r="D688" i="7"/>
  <c r="E688" i="7" s="1"/>
  <c r="F688" i="7" s="1"/>
  <c r="C688" i="7"/>
  <c r="B688" i="7"/>
  <c r="A688" i="7"/>
  <c r="V687" i="7"/>
  <c r="I687" i="7"/>
  <c r="H687" i="7"/>
  <c r="G687" i="7"/>
  <c r="D687" i="7"/>
  <c r="E687" i="7" s="1"/>
  <c r="F687" i="7" s="1"/>
  <c r="C687" i="7"/>
  <c r="B687" i="7"/>
  <c r="A687" i="7"/>
  <c r="V686" i="7"/>
  <c r="S686" i="7"/>
  <c r="I686" i="7"/>
  <c r="H686" i="7"/>
  <c r="D686" i="7"/>
  <c r="E686" i="7" s="1"/>
  <c r="F686" i="7" s="1"/>
  <c r="J686" i="7" s="1"/>
  <c r="C686" i="7"/>
  <c r="O686" i="7" s="1"/>
  <c r="B686" i="7"/>
  <c r="A686" i="7"/>
  <c r="V685" i="7"/>
  <c r="I685" i="7"/>
  <c r="H685" i="7"/>
  <c r="G685" i="7"/>
  <c r="D685" i="7"/>
  <c r="E685" i="7" s="1"/>
  <c r="F685" i="7" s="1"/>
  <c r="C685" i="7"/>
  <c r="B685" i="7"/>
  <c r="A685" i="7"/>
  <c r="V684" i="7"/>
  <c r="I684" i="7"/>
  <c r="H684" i="7"/>
  <c r="G684" i="7"/>
  <c r="D684" i="7"/>
  <c r="E684" i="7" s="1"/>
  <c r="F684" i="7" s="1"/>
  <c r="C684" i="7"/>
  <c r="B684" i="7"/>
  <c r="A684" i="7"/>
  <c r="V683" i="7"/>
  <c r="I683" i="7"/>
  <c r="H683" i="7"/>
  <c r="G683" i="7"/>
  <c r="D683" i="7"/>
  <c r="E683" i="7" s="1"/>
  <c r="F683" i="7" s="1"/>
  <c r="C683" i="7"/>
  <c r="B683" i="7"/>
  <c r="A683" i="7"/>
  <c r="V682" i="7"/>
  <c r="I682" i="7"/>
  <c r="H682" i="7"/>
  <c r="G682" i="7"/>
  <c r="D682" i="7"/>
  <c r="E682" i="7" s="1"/>
  <c r="F682" i="7" s="1"/>
  <c r="C682" i="7"/>
  <c r="B682" i="7"/>
  <c r="A682" i="7"/>
  <c r="V681" i="7"/>
  <c r="S681" i="7"/>
  <c r="I681" i="7"/>
  <c r="H681" i="7"/>
  <c r="G681" i="7"/>
  <c r="D681" i="7"/>
  <c r="E681" i="7" s="1"/>
  <c r="F681" i="7" s="1"/>
  <c r="C681" i="7"/>
  <c r="B681" i="7"/>
  <c r="A681" i="7"/>
  <c r="V680" i="7"/>
  <c r="S680" i="7"/>
  <c r="I680" i="7"/>
  <c r="H680" i="7"/>
  <c r="G680" i="7"/>
  <c r="F680" i="7"/>
  <c r="B695" i="7" s="1"/>
  <c r="B696" i="7" s="1"/>
  <c r="D680" i="7"/>
  <c r="E680" i="7" s="1"/>
  <c r="C680" i="7"/>
  <c r="B680" i="7"/>
  <c r="A680" i="7"/>
  <c r="V679" i="7"/>
  <c r="S679" i="7"/>
  <c r="I679" i="7"/>
  <c r="H679" i="7"/>
  <c r="G679" i="7"/>
  <c r="D679" i="7"/>
  <c r="E679" i="7" s="1"/>
  <c r="F679" i="7" s="1"/>
  <c r="C679" i="7"/>
  <c r="B679" i="7"/>
  <c r="A679" i="7"/>
  <c r="V678" i="7"/>
  <c r="S678" i="7"/>
  <c r="I678" i="7"/>
  <c r="H678" i="7"/>
  <c r="D678" i="7"/>
  <c r="E678" i="7" s="1"/>
  <c r="F678" i="7" s="1"/>
  <c r="J678" i="7" s="1"/>
  <c r="C678" i="7"/>
  <c r="B678" i="7"/>
  <c r="A678" i="7"/>
  <c r="V677" i="7"/>
  <c r="S677" i="7"/>
  <c r="I677" i="7"/>
  <c r="H677" i="7"/>
  <c r="G677" i="7"/>
  <c r="D677" i="7"/>
  <c r="E677" i="7" s="1"/>
  <c r="F677" i="7" s="1"/>
  <c r="J677" i="7" s="1"/>
  <c r="C677" i="7"/>
  <c r="B677" i="7"/>
  <c r="A677" i="7"/>
  <c r="V676" i="7"/>
  <c r="I676" i="7"/>
  <c r="H676" i="7"/>
  <c r="G676" i="7"/>
  <c r="D676" i="7"/>
  <c r="E676" i="7" s="1"/>
  <c r="F676" i="7" s="1"/>
  <c r="J676" i="7" s="1"/>
  <c r="C676" i="7"/>
  <c r="B676" i="7"/>
  <c r="A676" i="7"/>
  <c r="V675" i="7"/>
  <c r="S675" i="7"/>
  <c r="I675" i="7"/>
  <c r="H675" i="7"/>
  <c r="G675" i="7"/>
  <c r="D675" i="7"/>
  <c r="E675" i="7" s="1"/>
  <c r="F675" i="7" s="1"/>
  <c r="J675" i="7" s="1"/>
  <c r="C675" i="7"/>
  <c r="B675" i="7"/>
  <c r="A675" i="7"/>
  <c r="V674" i="7"/>
  <c r="I674" i="7"/>
  <c r="H674" i="7"/>
  <c r="G674" i="7"/>
  <c r="D674" i="7"/>
  <c r="E674" i="7" s="1"/>
  <c r="F674" i="7" s="1"/>
  <c r="B693" i="7" s="1"/>
  <c r="C674" i="7"/>
  <c r="B674" i="7"/>
  <c r="A674" i="7"/>
  <c r="V673" i="7"/>
  <c r="I673" i="7"/>
  <c r="H673" i="7"/>
  <c r="G673" i="7"/>
  <c r="F673" i="7"/>
  <c r="B692" i="7" s="1"/>
  <c r="D673" i="7"/>
  <c r="E673" i="7" s="1"/>
  <c r="C673" i="7"/>
  <c r="B673" i="7"/>
  <c r="A673" i="7"/>
  <c r="V672" i="7"/>
  <c r="S672" i="7"/>
  <c r="H672" i="7"/>
  <c r="G672" i="7"/>
  <c r="D672" i="7"/>
  <c r="E672" i="7" s="1"/>
  <c r="F672" i="7" s="1"/>
  <c r="J672" i="7" s="1"/>
  <c r="C672" i="7"/>
  <c r="B672" i="7"/>
  <c r="A672" i="7"/>
  <c r="V671" i="7"/>
  <c r="B697" i="7" s="1"/>
  <c r="S671" i="7"/>
  <c r="I671" i="7"/>
  <c r="H671" i="7"/>
  <c r="D671" i="7"/>
  <c r="E671" i="7" s="1"/>
  <c r="F671" i="7" s="1"/>
  <c r="J671" i="7" s="1"/>
  <c r="C671" i="7"/>
  <c r="B671" i="7"/>
  <c r="A671" i="7"/>
  <c r="V670" i="7"/>
  <c r="S670" i="7"/>
  <c r="D670" i="7"/>
  <c r="E670" i="7" s="1"/>
  <c r="F670" i="7" s="1"/>
  <c r="J670" i="7" s="1"/>
  <c r="C670" i="7"/>
  <c r="B670" i="7"/>
  <c r="A670" i="7"/>
  <c r="V669" i="7"/>
  <c r="S669" i="7"/>
  <c r="D669" i="7"/>
  <c r="E669" i="7" s="1"/>
  <c r="F669" i="7" s="1"/>
  <c r="J669" i="7" s="1"/>
  <c r="C669" i="7"/>
  <c r="B669" i="7"/>
  <c r="A669" i="7"/>
  <c r="V668" i="7"/>
  <c r="S668" i="7"/>
  <c r="I668" i="7"/>
  <c r="D668" i="7"/>
  <c r="E668" i="7" s="1"/>
  <c r="F668" i="7" s="1"/>
  <c r="B694" i="7" s="1"/>
  <c r="C668" i="7"/>
  <c r="B668" i="7"/>
  <c r="A668" i="7"/>
  <c r="V667" i="7"/>
  <c r="S667" i="7"/>
  <c r="D667" i="7"/>
  <c r="E667" i="7" s="1"/>
  <c r="F667" i="7" s="1"/>
  <c r="J667" i="7" s="1"/>
  <c r="C667" i="7"/>
  <c r="B667" i="7"/>
  <c r="A667" i="7"/>
  <c r="V666" i="7"/>
  <c r="S666" i="7"/>
  <c r="D666" i="7"/>
  <c r="E666" i="7" s="1"/>
  <c r="F666" i="7" s="1"/>
  <c r="J666" i="7" s="1"/>
  <c r="C666" i="7"/>
  <c r="B666" i="7"/>
  <c r="A666" i="7"/>
  <c r="V665" i="7"/>
  <c r="S665" i="7"/>
  <c r="D665" i="7"/>
  <c r="E665" i="7" s="1"/>
  <c r="F665" i="7" s="1"/>
  <c r="J665" i="7" s="1"/>
  <c r="C665" i="7"/>
  <c r="B665" i="7"/>
  <c r="A665" i="7"/>
  <c r="V664" i="7"/>
  <c r="T664" i="7"/>
  <c r="T665" i="7" s="1"/>
  <c r="T666" i="7" s="1"/>
  <c r="F664" i="7" s="1"/>
  <c r="J664" i="7" s="1"/>
  <c r="R664" i="7"/>
  <c r="R665" i="7" s="1"/>
  <c r="I664" i="7"/>
  <c r="C664" i="7"/>
  <c r="B664" i="7"/>
  <c r="A664" i="7"/>
  <c r="S648" i="7"/>
  <c r="I648" i="7"/>
  <c r="H648" i="7"/>
  <c r="D648" i="7"/>
  <c r="E648" i="7" s="1"/>
  <c r="F648" i="7" s="1"/>
  <c r="J648" i="7" s="1"/>
  <c r="C648" i="7"/>
  <c r="O648" i="7" s="1"/>
  <c r="B648" i="7"/>
  <c r="A648" i="7"/>
  <c r="V647" i="7"/>
  <c r="I647" i="7"/>
  <c r="H647" i="7"/>
  <c r="G647" i="7"/>
  <c r="D647" i="7"/>
  <c r="E647" i="7" s="1"/>
  <c r="F647" i="7" s="1"/>
  <c r="C647" i="7"/>
  <c r="B647" i="7"/>
  <c r="A647" i="7"/>
  <c r="V646" i="7"/>
  <c r="I646" i="7"/>
  <c r="H646" i="7"/>
  <c r="G646" i="7"/>
  <c r="D646" i="7"/>
  <c r="E646" i="7" s="1"/>
  <c r="F646" i="7" s="1"/>
  <c r="C646" i="7"/>
  <c r="B646" i="7"/>
  <c r="A646" i="7"/>
  <c r="V645" i="7"/>
  <c r="I645" i="7"/>
  <c r="H645" i="7"/>
  <c r="G645" i="7"/>
  <c r="D645" i="7"/>
  <c r="E645" i="7" s="1"/>
  <c r="F645" i="7" s="1"/>
  <c r="C645" i="7"/>
  <c r="B645" i="7"/>
  <c r="A645" i="7"/>
  <c r="V644" i="7"/>
  <c r="S644" i="7"/>
  <c r="I644" i="7"/>
  <c r="H644" i="7"/>
  <c r="D644" i="7"/>
  <c r="E644" i="7" s="1"/>
  <c r="F644" i="7" s="1"/>
  <c r="J644" i="7" s="1"/>
  <c r="C644" i="7"/>
  <c r="O644" i="7" s="1"/>
  <c r="B644" i="7"/>
  <c r="A644" i="7"/>
  <c r="V643" i="7"/>
  <c r="I643" i="7"/>
  <c r="H643" i="7"/>
  <c r="G643" i="7"/>
  <c r="D643" i="7"/>
  <c r="E643" i="7" s="1"/>
  <c r="F643" i="7" s="1"/>
  <c r="C643" i="7"/>
  <c r="B643" i="7"/>
  <c r="A643" i="7"/>
  <c r="V642" i="7"/>
  <c r="I642" i="7"/>
  <c r="H642" i="7"/>
  <c r="G642" i="7"/>
  <c r="D642" i="7"/>
  <c r="E642" i="7" s="1"/>
  <c r="F642" i="7" s="1"/>
  <c r="C642" i="7"/>
  <c r="B642" i="7"/>
  <c r="A642" i="7"/>
  <c r="V641" i="7"/>
  <c r="I641" i="7"/>
  <c r="H641" i="7"/>
  <c r="G641" i="7"/>
  <c r="D641" i="7"/>
  <c r="E641" i="7" s="1"/>
  <c r="F641" i="7" s="1"/>
  <c r="C641" i="7"/>
  <c r="B641" i="7"/>
  <c r="A641" i="7"/>
  <c r="V640" i="7"/>
  <c r="I640" i="7"/>
  <c r="D640" i="7"/>
  <c r="E640" i="7" s="1"/>
  <c r="F640" i="7" s="1"/>
  <c r="C640" i="7"/>
  <c r="B640" i="7"/>
  <c r="A640" i="7"/>
  <c r="V639" i="7"/>
  <c r="S639" i="7"/>
  <c r="I639" i="7"/>
  <c r="D639" i="7"/>
  <c r="E639" i="7" s="1"/>
  <c r="F639" i="7" s="1"/>
  <c r="C639" i="7"/>
  <c r="B639" i="7"/>
  <c r="A639" i="7"/>
  <c r="V638" i="7"/>
  <c r="S638" i="7"/>
  <c r="I638" i="7"/>
  <c r="F638" i="7"/>
  <c r="B653" i="7" s="1"/>
  <c r="B654" i="7" s="1"/>
  <c r="D638" i="7"/>
  <c r="E638" i="7" s="1"/>
  <c r="C638" i="7"/>
  <c r="B638" i="7"/>
  <c r="A638" i="7"/>
  <c r="V637" i="7"/>
  <c r="S637" i="7"/>
  <c r="I637" i="7"/>
  <c r="D637" i="7"/>
  <c r="E637" i="7" s="1"/>
  <c r="F637" i="7" s="1"/>
  <c r="C637" i="7"/>
  <c r="B637" i="7"/>
  <c r="A637" i="7"/>
  <c r="V636" i="7"/>
  <c r="S636" i="7"/>
  <c r="I636" i="7"/>
  <c r="D636" i="7"/>
  <c r="E636" i="7" s="1"/>
  <c r="F636" i="7" s="1"/>
  <c r="J636" i="7" s="1"/>
  <c r="C636" i="7"/>
  <c r="B636" i="7"/>
  <c r="A636" i="7"/>
  <c r="V635" i="7"/>
  <c r="S635" i="7"/>
  <c r="I635" i="7"/>
  <c r="D635" i="7"/>
  <c r="E635" i="7" s="1"/>
  <c r="F635" i="7" s="1"/>
  <c r="J635" i="7" s="1"/>
  <c r="C635" i="7"/>
  <c r="B635" i="7"/>
  <c r="A635" i="7"/>
  <c r="V634" i="7"/>
  <c r="I634" i="7"/>
  <c r="D634" i="7"/>
  <c r="E634" i="7" s="1"/>
  <c r="F634" i="7" s="1"/>
  <c r="J634" i="7" s="1"/>
  <c r="C634" i="7"/>
  <c r="B634" i="7"/>
  <c r="A634" i="7"/>
  <c r="V633" i="7"/>
  <c r="S633" i="7"/>
  <c r="I633" i="7"/>
  <c r="D633" i="7"/>
  <c r="E633" i="7" s="1"/>
  <c r="C633" i="7"/>
  <c r="B633" i="7"/>
  <c r="A633" i="7"/>
  <c r="V632" i="7"/>
  <c r="I632" i="7"/>
  <c r="D632" i="7"/>
  <c r="E632" i="7" s="1"/>
  <c r="F632" i="7" s="1"/>
  <c r="B651" i="7" s="1"/>
  <c r="C632" i="7"/>
  <c r="B632" i="7"/>
  <c r="A632" i="7"/>
  <c r="V631" i="7"/>
  <c r="I631" i="7"/>
  <c r="F631" i="7"/>
  <c r="B650" i="7" s="1"/>
  <c r="D631" i="7"/>
  <c r="E631" i="7" s="1"/>
  <c r="C631" i="7"/>
  <c r="B631" i="7"/>
  <c r="A631" i="7"/>
  <c r="V630" i="7"/>
  <c r="S630" i="7"/>
  <c r="D630" i="7"/>
  <c r="E630" i="7" s="1"/>
  <c r="F630" i="7" s="1"/>
  <c r="J630" i="7" s="1"/>
  <c r="C630" i="7"/>
  <c r="B630" i="7"/>
  <c r="A630" i="7"/>
  <c r="S629" i="7"/>
  <c r="I629" i="7"/>
  <c r="D629" i="7"/>
  <c r="E629" i="7" s="1"/>
  <c r="C629" i="7"/>
  <c r="B629" i="7"/>
  <c r="A629" i="7"/>
  <c r="V628" i="7"/>
  <c r="S628" i="7"/>
  <c r="D628" i="7"/>
  <c r="E628" i="7" s="1"/>
  <c r="F628" i="7" s="1"/>
  <c r="J628" i="7" s="1"/>
  <c r="C628" i="7"/>
  <c r="B628" i="7"/>
  <c r="A628" i="7"/>
  <c r="V627" i="7"/>
  <c r="S627" i="7"/>
  <c r="D627" i="7"/>
  <c r="E627" i="7" s="1"/>
  <c r="F627" i="7" s="1"/>
  <c r="J627" i="7" s="1"/>
  <c r="C627" i="7"/>
  <c r="B627" i="7"/>
  <c r="A627" i="7"/>
  <c r="V626" i="7"/>
  <c r="S626" i="7"/>
  <c r="I626" i="7"/>
  <c r="D626" i="7"/>
  <c r="E626" i="7" s="1"/>
  <c r="F626" i="7" s="1"/>
  <c r="B652" i="7" s="1"/>
  <c r="C626" i="7"/>
  <c r="B626" i="7"/>
  <c r="A626" i="7"/>
  <c r="V625" i="7"/>
  <c r="S625" i="7"/>
  <c r="D625" i="7"/>
  <c r="E625" i="7" s="1"/>
  <c r="F625" i="7" s="1"/>
  <c r="J625" i="7" s="1"/>
  <c r="C625" i="7"/>
  <c r="B625" i="7"/>
  <c r="A625" i="7"/>
  <c r="V624" i="7"/>
  <c r="S624" i="7"/>
  <c r="D624" i="7"/>
  <c r="E624" i="7" s="1"/>
  <c r="F624" i="7" s="1"/>
  <c r="J624" i="7" s="1"/>
  <c r="C624" i="7"/>
  <c r="B624" i="7"/>
  <c r="A624" i="7"/>
  <c r="V623" i="7"/>
  <c r="S623" i="7"/>
  <c r="D623" i="7"/>
  <c r="E623" i="7" s="1"/>
  <c r="F623" i="7" s="1"/>
  <c r="J623" i="7" s="1"/>
  <c r="C623" i="7"/>
  <c r="B623" i="7"/>
  <c r="A623" i="7"/>
  <c r="V622" i="7"/>
  <c r="T622" i="7"/>
  <c r="T623" i="7" s="1"/>
  <c r="T624" i="7" s="1"/>
  <c r="F622" i="7" s="1"/>
  <c r="J622" i="7" s="1"/>
  <c r="R622" i="7"/>
  <c r="R623" i="7" s="1"/>
  <c r="I622" i="7"/>
  <c r="C622" i="7"/>
  <c r="B622" i="7"/>
  <c r="A622" i="7"/>
  <c r="V606" i="7"/>
  <c r="S606" i="7"/>
  <c r="I606" i="7"/>
  <c r="H606" i="7"/>
  <c r="D606" i="7"/>
  <c r="E606" i="7" s="1"/>
  <c r="F606" i="7" s="1"/>
  <c r="J606" i="7" s="1"/>
  <c r="C606" i="7"/>
  <c r="O606" i="7" s="1"/>
  <c r="B606" i="7"/>
  <c r="A606" i="7"/>
  <c r="V605" i="7"/>
  <c r="I605" i="7"/>
  <c r="H605" i="7"/>
  <c r="G605" i="7"/>
  <c r="D605" i="7"/>
  <c r="E605" i="7" s="1"/>
  <c r="F605" i="7" s="1"/>
  <c r="C605" i="7"/>
  <c r="B605" i="7"/>
  <c r="A605" i="7"/>
  <c r="V604" i="7"/>
  <c r="I604" i="7"/>
  <c r="H604" i="7"/>
  <c r="G604" i="7"/>
  <c r="D604" i="7"/>
  <c r="E604" i="7" s="1"/>
  <c r="F604" i="7" s="1"/>
  <c r="C604" i="7"/>
  <c r="B604" i="7"/>
  <c r="A604" i="7"/>
  <c r="V603" i="7"/>
  <c r="I603" i="7"/>
  <c r="H603" i="7"/>
  <c r="G603" i="7"/>
  <c r="D603" i="7"/>
  <c r="E603" i="7" s="1"/>
  <c r="F603" i="7" s="1"/>
  <c r="C603" i="7"/>
  <c r="B603" i="7"/>
  <c r="A603" i="7"/>
  <c r="V602" i="7"/>
  <c r="S602" i="7"/>
  <c r="I602" i="7"/>
  <c r="H602" i="7"/>
  <c r="D602" i="7"/>
  <c r="E602" i="7" s="1"/>
  <c r="F602" i="7" s="1"/>
  <c r="J602" i="7" s="1"/>
  <c r="C602" i="7"/>
  <c r="O602" i="7" s="1"/>
  <c r="B602" i="7"/>
  <c r="A602" i="7"/>
  <c r="V601" i="7"/>
  <c r="I601" i="7"/>
  <c r="H601" i="7"/>
  <c r="G601" i="7"/>
  <c r="D601" i="7"/>
  <c r="E601" i="7" s="1"/>
  <c r="F601" i="7" s="1"/>
  <c r="C601" i="7"/>
  <c r="B601" i="7"/>
  <c r="A601" i="7"/>
  <c r="V600" i="7"/>
  <c r="I600" i="7"/>
  <c r="H600" i="7"/>
  <c r="G600" i="7"/>
  <c r="D600" i="7"/>
  <c r="E600" i="7" s="1"/>
  <c r="F600" i="7" s="1"/>
  <c r="C600" i="7"/>
  <c r="B600" i="7"/>
  <c r="A600" i="7"/>
  <c r="V599" i="7"/>
  <c r="I599" i="7"/>
  <c r="D599" i="7"/>
  <c r="E599" i="7" s="1"/>
  <c r="F599" i="7" s="1"/>
  <c r="C599" i="7"/>
  <c r="B599" i="7"/>
  <c r="A599" i="7"/>
  <c r="V598" i="7"/>
  <c r="I598" i="7"/>
  <c r="D598" i="7"/>
  <c r="E598" i="7" s="1"/>
  <c r="F598" i="7" s="1"/>
  <c r="C598" i="7"/>
  <c r="B598" i="7"/>
  <c r="A598" i="7"/>
  <c r="V597" i="7"/>
  <c r="S597" i="7"/>
  <c r="I597" i="7"/>
  <c r="D597" i="7"/>
  <c r="E597" i="7" s="1"/>
  <c r="F597" i="7" s="1"/>
  <c r="C597" i="7"/>
  <c r="B597" i="7"/>
  <c r="A597" i="7"/>
  <c r="V596" i="7"/>
  <c r="S596" i="7"/>
  <c r="I596" i="7"/>
  <c r="F596" i="7"/>
  <c r="B611" i="7" s="1"/>
  <c r="B612" i="7" s="1"/>
  <c r="D596" i="7"/>
  <c r="E596" i="7" s="1"/>
  <c r="C596" i="7"/>
  <c r="B596" i="7"/>
  <c r="A596" i="7"/>
  <c r="V595" i="7"/>
  <c r="S595" i="7"/>
  <c r="I595" i="7"/>
  <c r="D595" i="7"/>
  <c r="E595" i="7" s="1"/>
  <c r="F595" i="7" s="1"/>
  <c r="C595" i="7"/>
  <c r="B595" i="7"/>
  <c r="A595" i="7"/>
  <c r="V594" i="7"/>
  <c r="S594" i="7"/>
  <c r="I594" i="7"/>
  <c r="D594" i="7"/>
  <c r="E594" i="7" s="1"/>
  <c r="F594" i="7" s="1"/>
  <c r="J594" i="7" s="1"/>
  <c r="C594" i="7"/>
  <c r="B594" i="7"/>
  <c r="A594" i="7"/>
  <c r="V593" i="7"/>
  <c r="S593" i="7"/>
  <c r="I593" i="7"/>
  <c r="D593" i="7"/>
  <c r="E593" i="7" s="1"/>
  <c r="F593" i="7" s="1"/>
  <c r="J593" i="7" s="1"/>
  <c r="C593" i="7"/>
  <c r="B593" i="7"/>
  <c r="A593" i="7"/>
  <c r="V592" i="7"/>
  <c r="I592" i="7"/>
  <c r="D592" i="7"/>
  <c r="E592" i="7" s="1"/>
  <c r="F592" i="7" s="1"/>
  <c r="J592" i="7" s="1"/>
  <c r="C592" i="7"/>
  <c r="B592" i="7"/>
  <c r="A592" i="7"/>
  <c r="V591" i="7"/>
  <c r="S591" i="7"/>
  <c r="I591" i="7"/>
  <c r="D591" i="7"/>
  <c r="E591" i="7" s="1"/>
  <c r="C591" i="7"/>
  <c r="B591" i="7"/>
  <c r="A591" i="7"/>
  <c r="V590" i="7"/>
  <c r="I590" i="7"/>
  <c r="D590" i="7"/>
  <c r="E590" i="7" s="1"/>
  <c r="F590" i="7" s="1"/>
  <c r="B609" i="7" s="1"/>
  <c r="C590" i="7"/>
  <c r="B590" i="7"/>
  <c r="A590" i="7"/>
  <c r="V589" i="7"/>
  <c r="I589" i="7"/>
  <c r="F589" i="7"/>
  <c r="B608" i="7" s="1"/>
  <c r="D589" i="7"/>
  <c r="E589" i="7" s="1"/>
  <c r="C589" i="7"/>
  <c r="B589" i="7"/>
  <c r="A589" i="7"/>
  <c r="V588" i="7"/>
  <c r="S588" i="7"/>
  <c r="D588" i="7"/>
  <c r="E588" i="7" s="1"/>
  <c r="F588" i="7" s="1"/>
  <c r="J588" i="7" s="1"/>
  <c r="C588" i="7"/>
  <c r="B588" i="7"/>
  <c r="A588" i="7"/>
  <c r="S587" i="7"/>
  <c r="I587" i="7"/>
  <c r="D587" i="7"/>
  <c r="E587" i="7" s="1"/>
  <c r="C587" i="7"/>
  <c r="B587" i="7"/>
  <c r="A587" i="7"/>
  <c r="V586" i="7"/>
  <c r="S586" i="7"/>
  <c r="D586" i="7"/>
  <c r="E586" i="7" s="1"/>
  <c r="F586" i="7" s="1"/>
  <c r="J586" i="7" s="1"/>
  <c r="C586" i="7"/>
  <c r="B586" i="7"/>
  <c r="A586" i="7"/>
  <c r="V585" i="7"/>
  <c r="S585" i="7"/>
  <c r="D585" i="7"/>
  <c r="E585" i="7" s="1"/>
  <c r="F585" i="7" s="1"/>
  <c r="J585" i="7" s="1"/>
  <c r="C585" i="7"/>
  <c r="B585" i="7"/>
  <c r="A585" i="7"/>
  <c r="V584" i="7"/>
  <c r="S584" i="7"/>
  <c r="I584" i="7"/>
  <c r="D584" i="7"/>
  <c r="E584" i="7" s="1"/>
  <c r="F584" i="7" s="1"/>
  <c r="B610" i="7" s="1"/>
  <c r="C584" i="7"/>
  <c r="B584" i="7"/>
  <c r="A584" i="7"/>
  <c r="V583" i="7"/>
  <c r="S583" i="7"/>
  <c r="D583" i="7"/>
  <c r="E583" i="7" s="1"/>
  <c r="F583" i="7" s="1"/>
  <c r="J583" i="7" s="1"/>
  <c r="C583" i="7"/>
  <c r="B583" i="7"/>
  <c r="A583" i="7"/>
  <c r="V582" i="7"/>
  <c r="S582" i="7"/>
  <c r="D582" i="7"/>
  <c r="E582" i="7" s="1"/>
  <c r="F582" i="7" s="1"/>
  <c r="J582" i="7" s="1"/>
  <c r="C582" i="7"/>
  <c r="B582" i="7"/>
  <c r="A582" i="7"/>
  <c r="V581" i="7"/>
  <c r="S581" i="7"/>
  <c r="D581" i="7"/>
  <c r="E581" i="7" s="1"/>
  <c r="F581" i="7" s="1"/>
  <c r="J581" i="7" s="1"/>
  <c r="C581" i="7"/>
  <c r="B581" i="7"/>
  <c r="A581" i="7"/>
  <c r="V580" i="7"/>
  <c r="T580" i="7"/>
  <c r="T581" i="7" s="1"/>
  <c r="T582" i="7" s="1"/>
  <c r="F580" i="7" s="1"/>
  <c r="J580" i="7" s="1"/>
  <c r="R580" i="7"/>
  <c r="R581" i="7" s="1"/>
  <c r="I580" i="7"/>
  <c r="C580" i="7"/>
  <c r="B580" i="7"/>
  <c r="A580" i="7"/>
  <c r="S564" i="7"/>
  <c r="I564" i="7"/>
  <c r="H564" i="7"/>
  <c r="D564" i="7"/>
  <c r="E564" i="7" s="1"/>
  <c r="F564" i="7" s="1"/>
  <c r="J564" i="7" s="1"/>
  <c r="C564" i="7"/>
  <c r="O564" i="7" s="1"/>
  <c r="B564" i="7"/>
  <c r="A564" i="7"/>
  <c r="V563" i="7"/>
  <c r="I563" i="7"/>
  <c r="H563" i="7"/>
  <c r="G563" i="7"/>
  <c r="D563" i="7"/>
  <c r="E563" i="7" s="1"/>
  <c r="F563" i="7" s="1"/>
  <c r="C563" i="7"/>
  <c r="B563" i="7"/>
  <c r="A563" i="7"/>
  <c r="V562" i="7"/>
  <c r="I562" i="7"/>
  <c r="H562" i="7"/>
  <c r="G562" i="7"/>
  <c r="D562" i="7"/>
  <c r="E562" i="7" s="1"/>
  <c r="F562" i="7" s="1"/>
  <c r="C562" i="7"/>
  <c r="B562" i="7"/>
  <c r="A562" i="7"/>
  <c r="V561" i="7"/>
  <c r="I561" i="7"/>
  <c r="H561" i="7"/>
  <c r="G561" i="7"/>
  <c r="D561" i="7"/>
  <c r="E561" i="7" s="1"/>
  <c r="F561" i="7" s="1"/>
  <c r="C561" i="7"/>
  <c r="B561" i="7"/>
  <c r="A561" i="7"/>
  <c r="V560" i="7"/>
  <c r="S560" i="7"/>
  <c r="I560" i="7"/>
  <c r="H560" i="7"/>
  <c r="D560" i="7"/>
  <c r="E560" i="7" s="1"/>
  <c r="F560" i="7" s="1"/>
  <c r="J560" i="7" s="1"/>
  <c r="C560" i="7"/>
  <c r="O560" i="7" s="1"/>
  <c r="B560" i="7"/>
  <c r="A560" i="7"/>
  <c r="V559" i="7"/>
  <c r="I559" i="7"/>
  <c r="H559" i="7"/>
  <c r="G559" i="7"/>
  <c r="D559" i="7"/>
  <c r="E559" i="7" s="1"/>
  <c r="F559" i="7" s="1"/>
  <c r="C559" i="7"/>
  <c r="B559" i="7"/>
  <c r="A559" i="7"/>
  <c r="V558" i="7"/>
  <c r="I558" i="7"/>
  <c r="H558" i="7"/>
  <c r="G558" i="7"/>
  <c r="D558" i="7"/>
  <c r="E558" i="7" s="1"/>
  <c r="F558" i="7" s="1"/>
  <c r="C558" i="7"/>
  <c r="B558" i="7"/>
  <c r="A558" i="7"/>
  <c r="V557" i="7"/>
  <c r="I557" i="7"/>
  <c r="H557" i="7"/>
  <c r="G557" i="7"/>
  <c r="D557" i="7"/>
  <c r="E557" i="7" s="1"/>
  <c r="F557" i="7" s="1"/>
  <c r="C557" i="7"/>
  <c r="B557" i="7"/>
  <c r="A557" i="7"/>
  <c r="V556" i="7"/>
  <c r="I556" i="7"/>
  <c r="H556" i="7"/>
  <c r="G556" i="7"/>
  <c r="D556" i="7"/>
  <c r="E556" i="7" s="1"/>
  <c r="F556" i="7" s="1"/>
  <c r="C556" i="7"/>
  <c r="B556" i="7"/>
  <c r="A556" i="7"/>
  <c r="V555" i="7"/>
  <c r="S555" i="7"/>
  <c r="I555" i="7"/>
  <c r="H555" i="7"/>
  <c r="G555" i="7"/>
  <c r="D555" i="7"/>
  <c r="E555" i="7" s="1"/>
  <c r="F555" i="7" s="1"/>
  <c r="C555" i="7"/>
  <c r="B555" i="7"/>
  <c r="A555" i="7"/>
  <c r="V554" i="7"/>
  <c r="S554" i="7"/>
  <c r="I554" i="7"/>
  <c r="H554" i="7"/>
  <c r="G554" i="7"/>
  <c r="F554" i="7"/>
  <c r="B569" i="7" s="1"/>
  <c r="B570" i="7" s="1"/>
  <c r="D554" i="7"/>
  <c r="E554" i="7" s="1"/>
  <c r="C554" i="7"/>
  <c r="B554" i="7"/>
  <c r="A554" i="7"/>
  <c r="V553" i="7"/>
  <c r="S553" i="7"/>
  <c r="I553" i="7"/>
  <c r="H553" i="7"/>
  <c r="G553" i="7"/>
  <c r="D553" i="7"/>
  <c r="E553" i="7" s="1"/>
  <c r="F553" i="7" s="1"/>
  <c r="C553" i="7"/>
  <c r="B553" i="7"/>
  <c r="A553" i="7"/>
  <c r="V552" i="7"/>
  <c r="S552" i="7"/>
  <c r="I552" i="7"/>
  <c r="H552" i="7"/>
  <c r="D552" i="7"/>
  <c r="E552" i="7" s="1"/>
  <c r="F552" i="7" s="1"/>
  <c r="J552" i="7" s="1"/>
  <c r="C552" i="7"/>
  <c r="B552" i="7"/>
  <c r="A552" i="7"/>
  <c r="V551" i="7"/>
  <c r="S551" i="7"/>
  <c r="I551" i="7"/>
  <c r="H551" i="7"/>
  <c r="G551" i="7"/>
  <c r="D551" i="7"/>
  <c r="E551" i="7" s="1"/>
  <c r="F551" i="7" s="1"/>
  <c r="J551" i="7" s="1"/>
  <c r="C551" i="7"/>
  <c r="B551" i="7"/>
  <c r="A551" i="7"/>
  <c r="V550" i="7"/>
  <c r="I550" i="7"/>
  <c r="H550" i="7"/>
  <c r="G550" i="7"/>
  <c r="D550" i="7"/>
  <c r="E550" i="7" s="1"/>
  <c r="F550" i="7" s="1"/>
  <c r="J550" i="7" s="1"/>
  <c r="C550" i="7"/>
  <c r="B550" i="7"/>
  <c r="A550" i="7"/>
  <c r="V549" i="7"/>
  <c r="S549" i="7"/>
  <c r="I549" i="7"/>
  <c r="H549" i="7"/>
  <c r="G549" i="7"/>
  <c r="D549" i="7"/>
  <c r="E549" i="7" s="1"/>
  <c r="C549" i="7"/>
  <c r="B549" i="7"/>
  <c r="A549" i="7"/>
  <c r="V548" i="7"/>
  <c r="I548" i="7"/>
  <c r="H548" i="7"/>
  <c r="G548" i="7"/>
  <c r="D548" i="7"/>
  <c r="E548" i="7" s="1"/>
  <c r="F548" i="7" s="1"/>
  <c r="B567" i="7" s="1"/>
  <c r="C548" i="7"/>
  <c r="B548" i="7"/>
  <c r="A548" i="7"/>
  <c r="V547" i="7"/>
  <c r="I547" i="7"/>
  <c r="H547" i="7"/>
  <c r="G547" i="7"/>
  <c r="F547" i="7"/>
  <c r="B566" i="7" s="1"/>
  <c r="D547" i="7"/>
  <c r="E547" i="7" s="1"/>
  <c r="C547" i="7"/>
  <c r="B547" i="7"/>
  <c r="A547" i="7"/>
  <c r="V546" i="7"/>
  <c r="S546" i="7"/>
  <c r="H546" i="7"/>
  <c r="G546" i="7"/>
  <c r="D546" i="7"/>
  <c r="E546" i="7" s="1"/>
  <c r="F546" i="7" s="1"/>
  <c r="J546" i="7" s="1"/>
  <c r="C546" i="7"/>
  <c r="B546" i="7"/>
  <c r="A546" i="7"/>
  <c r="V545" i="7"/>
  <c r="S545" i="7"/>
  <c r="I545" i="7"/>
  <c r="H545" i="7"/>
  <c r="D545" i="7"/>
  <c r="E545" i="7" s="1"/>
  <c r="F545" i="7" s="1"/>
  <c r="J545" i="7" s="1"/>
  <c r="C545" i="7"/>
  <c r="B545" i="7"/>
  <c r="A545" i="7"/>
  <c r="V544" i="7"/>
  <c r="S544" i="7"/>
  <c r="H544" i="7"/>
  <c r="D544" i="7"/>
  <c r="E544" i="7" s="1"/>
  <c r="F544" i="7" s="1"/>
  <c r="J544" i="7" s="1"/>
  <c r="C544" i="7"/>
  <c r="B544" i="7"/>
  <c r="A544" i="7"/>
  <c r="V543" i="7"/>
  <c r="S543" i="7"/>
  <c r="H543" i="7"/>
  <c r="G543" i="7"/>
  <c r="D543" i="7"/>
  <c r="E543" i="7" s="1"/>
  <c r="F543" i="7" s="1"/>
  <c r="J543" i="7" s="1"/>
  <c r="C543" i="7"/>
  <c r="B543" i="7"/>
  <c r="A543" i="7"/>
  <c r="V542" i="7"/>
  <c r="S542" i="7"/>
  <c r="I542" i="7"/>
  <c r="D542" i="7"/>
  <c r="E542" i="7" s="1"/>
  <c r="F542" i="7" s="1"/>
  <c r="B568" i="7" s="1"/>
  <c r="C542" i="7"/>
  <c r="B542" i="7"/>
  <c r="A542" i="7"/>
  <c r="V541" i="7"/>
  <c r="S541" i="7"/>
  <c r="D541" i="7"/>
  <c r="E541" i="7" s="1"/>
  <c r="F541" i="7" s="1"/>
  <c r="J541" i="7" s="1"/>
  <c r="C541" i="7"/>
  <c r="B541" i="7"/>
  <c r="A541" i="7"/>
  <c r="V540" i="7"/>
  <c r="S540" i="7"/>
  <c r="D540" i="7"/>
  <c r="E540" i="7" s="1"/>
  <c r="F540" i="7" s="1"/>
  <c r="J540" i="7" s="1"/>
  <c r="C540" i="7"/>
  <c r="B540" i="7"/>
  <c r="A540" i="7"/>
  <c r="V539" i="7"/>
  <c r="S539" i="7"/>
  <c r="H539" i="7"/>
  <c r="D539" i="7"/>
  <c r="E539" i="7" s="1"/>
  <c r="F539" i="7" s="1"/>
  <c r="J539" i="7" s="1"/>
  <c r="C539" i="7"/>
  <c r="B539" i="7"/>
  <c r="A539" i="7"/>
  <c r="V538" i="7"/>
  <c r="T538" i="7"/>
  <c r="T539" i="7" s="1"/>
  <c r="T540" i="7" s="1"/>
  <c r="F538" i="7" s="1"/>
  <c r="J538" i="7" s="1"/>
  <c r="R538" i="7"/>
  <c r="R539" i="7" s="1"/>
  <c r="I538" i="7"/>
  <c r="C538" i="7"/>
  <c r="B538" i="7"/>
  <c r="A538" i="7"/>
  <c r="V522" i="7"/>
  <c r="S522" i="7"/>
  <c r="I522" i="7"/>
  <c r="H522" i="7"/>
  <c r="D522" i="7"/>
  <c r="E522" i="7" s="1"/>
  <c r="F522" i="7" s="1"/>
  <c r="J522" i="7" s="1"/>
  <c r="C522" i="7"/>
  <c r="O522" i="7" s="1"/>
  <c r="B522" i="7"/>
  <c r="A522" i="7"/>
  <c r="V521" i="7"/>
  <c r="I521" i="7"/>
  <c r="H521" i="7"/>
  <c r="G521" i="7"/>
  <c r="D521" i="7"/>
  <c r="E521" i="7" s="1"/>
  <c r="F521" i="7" s="1"/>
  <c r="C521" i="7"/>
  <c r="B521" i="7"/>
  <c r="A521" i="7"/>
  <c r="V520" i="7"/>
  <c r="I520" i="7"/>
  <c r="H520" i="7"/>
  <c r="G520" i="7"/>
  <c r="D520" i="7"/>
  <c r="E520" i="7" s="1"/>
  <c r="F520" i="7" s="1"/>
  <c r="C520" i="7"/>
  <c r="B520" i="7"/>
  <c r="A520" i="7"/>
  <c r="V519" i="7"/>
  <c r="I519" i="7"/>
  <c r="H519" i="7"/>
  <c r="G519" i="7"/>
  <c r="D519" i="7"/>
  <c r="E519" i="7" s="1"/>
  <c r="F519" i="7" s="1"/>
  <c r="C519" i="7"/>
  <c r="B519" i="7"/>
  <c r="A519" i="7"/>
  <c r="V518" i="7"/>
  <c r="S518" i="7"/>
  <c r="I518" i="7"/>
  <c r="H518" i="7"/>
  <c r="D518" i="7"/>
  <c r="E518" i="7" s="1"/>
  <c r="F518" i="7" s="1"/>
  <c r="J518" i="7" s="1"/>
  <c r="C518" i="7"/>
  <c r="O518" i="7" s="1"/>
  <c r="B518" i="7"/>
  <c r="A518" i="7"/>
  <c r="V517" i="7"/>
  <c r="I517" i="7"/>
  <c r="H517" i="7"/>
  <c r="G517" i="7"/>
  <c r="D517" i="7"/>
  <c r="E517" i="7" s="1"/>
  <c r="F517" i="7" s="1"/>
  <c r="C517" i="7"/>
  <c r="B517" i="7"/>
  <c r="A517" i="7"/>
  <c r="V516" i="7"/>
  <c r="I516" i="7"/>
  <c r="H516" i="7"/>
  <c r="G516" i="7"/>
  <c r="D516" i="7"/>
  <c r="E516" i="7" s="1"/>
  <c r="F516" i="7" s="1"/>
  <c r="C516" i="7"/>
  <c r="B516" i="7"/>
  <c r="A516" i="7"/>
  <c r="V515" i="7"/>
  <c r="I515" i="7"/>
  <c r="H515" i="7"/>
  <c r="G515" i="7"/>
  <c r="D515" i="7"/>
  <c r="E515" i="7" s="1"/>
  <c r="F515" i="7" s="1"/>
  <c r="C515" i="7"/>
  <c r="B515" i="7"/>
  <c r="A515" i="7"/>
  <c r="V514" i="7"/>
  <c r="I514" i="7"/>
  <c r="H514" i="7"/>
  <c r="G514" i="7"/>
  <c r="D514" i="7"/>
  <c r="E514" i="7" s="1"/>
  <c r="F514" i="7" s="1"/>
  <c r="C514" i="7"/>
  <c r="B514" i="7"/>
  <c r="A514" i="7"/>
  <c r="V513" i="7"/>
  <c r="S513" i="7"/>
  <c r="I513" i="7"/>
  <c r="H513" i="7"/>
  <c r="G513" i="7"/>
  <c r="D513" i="7"/>
  <c r="E513" i="7" s="1"/>
  <c r="F513" i="7" s="1"/>
  <c r="C513" i="7"/>
  <c r="B513" i="7"/>
  <c r="A513" i="7"/>
  <c r="V512" i="7"/>
  <c r="S512" i="7"/>
  <c r="I512" i="7"/>
  <c r="H512" i="7"/>
  <c r="G512" i="7"/>
  <c r="F512" i="7"/>
  <c r="B527" i="7" s="1"/>
  <c r="B528" i="7" s="1"/>
  <c r="D512" i="7"/>
  <c r="E512" i="7" s="1"/>
  <c r="C512" i="7"/>
  <c r="B512" i="7"/>
  <c r="A512" i="7"/>
  <c r="V511" i="7"/>
  <c r="S511" i="7"/>
  <c r="I511" i="7"/>
  <c r="H511" i="7"/>
  <c r="G511" i="7"/>
  <c r="D511" i="7"/>
  <c r="E511" i="7" s="1"/>
  <c r="F511" i="7" s="1"/>
  <c r="C511" i="7"/>
  <c r="B511" i="7"/>
  <c r="A511" i="7"/>
  <c r="V510" i="7"/>
  <c r="S510" i="7"/>
  <c r="I510" i="7"/>
  <c r="H510" i="7"/>
  <c r="D510" i="7"/>
  <c r="E510" i="7" s="1"/>
  <c r="F510" i="7" s="1"/>
  <c r="J510" i="7" s="1"/>
  <c r="C510" i="7"/>
  <c r="B510" i="7"/>
  <c r="A510" i="7"/>
  <c r="V509" i="7"/>
  <c r="S509" i="7"/>
  <c r="I509" i="7"/>
  <c r="H509" i="7"/>
  <c r="G509" i="7"/>
  <c r="D509" i="7"/>
  <c r="E509" i="7" s="1"/>
  <c r="F509" i="7" s="1"/>
  <c r="J509" i="7" s="1"/>
  <c r="C509" i="7"/>
  <c r="B509" i="7"/>
  <c r="A509" i="7"/>
  <c r="V508" i="7"/>
  <c r="I508" i="7"/>
  <c r="H508" i="7"/>
  <c r="G508" i="7"/>
  <c r="D508" i="7"/>
  <c r="E508" i="7" s="1"/>
  <c r="F508" i="7" s="1"/>
  <c r="J508" i="7" s="1"/>
  <c r="C508" i="7"/>
  <c r="B508" i="7"/>
  <c r="A508" i="7"/>
  <c r="V507" i="7"/>
  <c r="S507" i="7"/>
  <c r="I507" i="7"/>
  <c r="H507" i="7"/>
  <c r="G507" i="7"/>
  <c r="D507" i="7"/>
  <c r="E507" i="7" s="1"/>
  <c r="F507" i="7" s="1"/>
  <c r="J507" i="7" s="1"/>
  <c r="C507" i="7"/>
  <c r="B507" i="7"/>
  <c r="A507" i="7"/>
  <c r="V506" i="7"/>
  <c r="I506" i="7"/>
  <c r="H506" i="7"/>
  <c r="G506" i="7"/>
  <c r="D506" i="7"/>
  <c r="E506" i="7" s="1"/>
  <c r="F506" i="7" s="1"/>
  <c r="B525" i="7" s="1"/>
  <c r="C506" i="7"/>
  <c r="B506" i="7"/>
  <c r="A506" i="7"/>
  <c r="V505" i="7"/>
  <c r="I505" i="7"/>
  <c r="H505" i="7"/>
  <c r="G505" i="7"/>
  <c r="F505" i="7"/>
  <c r="B524" i="7" s="1"/>
  <c r="D505" i="7"/>
  <c r="E505" i="7" s="1"/>
  <c r="C505" i="7"/>
  <c r="B505" i="7"/>
  <c r="A505" i="7"/>
  <c r="V504" i="7"/>
  <c r="S504" i="7"/>
  <c r="H504" i="7"/>
  <c r="G504" i="7"/>
  <c r="D504" i="7"/>
  <c r="E504" i="7" s="1"/>
  <c r="F504" i="7" s="1"/>
  <c r="J504" i="7" s="1"/>
  <c r="C504" i="7"/>
  <c r="B504" i="7"/>
  <c r="A504" i="7"/>
  <c r="V503" i="7"/>
  <c r="S503" i="7"/>
  <c r="I503" i="7"/>
  <c r="H503" i="7"/>
  <c r="D503" i="7"/>
  <c r="E503" i="7" s="1"/>
  <c r="F503" i="7" s="1"/>
  <c r="J503" i="7" s="1"/>
  <c r="C503" i="7"/>
  <c r="B503" i="7"/>
  <c r="A503" i="7"/>
  <c r="V502" i="7"/>
  <c r="S502" i="7"/>
  <c r="H502" i="7"/>
  <c r="D502" i="7"/>
  <c r="E502" i="7" s="1"/>
  <c r="F502" i="7" s="1"/>
  <c r="J502" i="7" s="1"/>
  <c r="C502" i="7"/>
  <c r="B502" i="7"/>
  <c r="A502" i="7"/>
  <c r="V501" i="7"/>
  <c r="S501" i="7"/>
  <c r="H501" i="7"/>
  <c r="G501" i="7"/>
  <c r="D501" i="7"/>
  <c r="E501" i="7" s="1"/>
  <c r="F501" i="7" s="1"/>
  <c r="J501" i="7" s="1"/>
  <c r="C501" i="7"/>
  <c r="B501" i="7"/>
  <c r="A501" i="7"/>
  <c r="V500" i="7"/>
  <c r="S500" i="7"/>
  <c r="I500" i="7"/>
  <c r="H500" i="7"/>
  <c r="G500" i="7"/>
  <c r="D500" i="7"/>
  <c r="E500" i="7" s="1"/>
  <c r="F500" i="7" s="1"/>
  <c r="B526" i="7" s="1"/>
  <c r="C500" i="7"/>
  <c r="B500" i="7"/>
  <c r="A500" i="7"/>
  <c r="V499" i="7"/>
  <c r="S499" i="7"/>
  <c r="H499" i="7"/>
  <c r="G499" i="7"/>
  <c r="D499" i="7"/>
  <c r="E499" i="7" s="1"/>
  <c r="F499" i="7" s="1"/>
  <c r="J499" i="7" s="1"/>
  <c r="C499" i="7"/>
  <c r="B499" i="7"/>
  <c r="A499" i="7"/>
  <c r="V498" i="7"/>
  <c r="S498" i="7"/>
  <c r="H498" i="7"/>
  <c r="G498" i="7"/>
  <c r="D498" i="7"/>
  <c r="E498" i="7" s="1"/>
  <c r="F498" i="7" s="1"/>
  <c r="J498" i="7" s="1"/>
  <c r="C498" i="7"/>
  <c r="B498" i="7"/>
  <c r="A498" i="7"/>
  <c r="V497" i="7"/>
  <c r="S497" i="7"/>
  <c r="H497" i="7"/>
  <c r="D497" i="7"/>
  <c r="E497" i="7" s="1"/>
  <c r="F497" i="7" s="1"/>
  <c r="J497" i="7" s="1"/>
  <c r="C497" i="7"/>
  <c r="B497" i="7"/>
  <c r="A497" i="7"/>
  <c r="V496" i="7"/>
  <c r="T496" i="7"/>
  <c r="T497" i="7" s="1"/>
  <c r="T498" i="7" s="1"/>
  <c r="F496" i="7" s="1"/>
  <c r="J496" i="7" s="1"/>
  <c r="R496" i="7"/>
  <c r="R497" i="7" s="1"/>
  <c r="I496" i="7"/>
  <c r="H496" i="7"/>
  <c r="G496" i="7"/>
  <c r="C496" i="7"/>
  <c r="B529" i="7" s="1"/>
  <c r="B496" i="7"/>
  <c r="A496" i="7"/>
  <c r="V480" i="7"/>
  <c r="S480" i="7"/>
  <c r="I480" i="7"/>
  <c r="H480" i="7"/>
  <c r="D480" i="7"/>
  <c r="E480" i="7" s="1"/>
  <c r="F480" i="7" s="1"/>
  <c r="J480" i="7" s="1"/>
  <c r="C480" i="7"/>
  <c r="O480" i="7" s="1"/>
  <c r="B480" i="7"/>
  <c r="A480" i="7"/>
  <c r="V479" i="7"/>
  <c r="I479" i="7"/>
  <c r="H479" i="7"/>
  <c r="G479" i="7"/>
  <c r="D479" i="7"/>
  <c r="E479" i="7" s="1"/>
  <c r="F479" i="7" s="1"/>
  <c r="C479" i="7"/>
  <c r="B479" i="7"/>
  <c r="A479" i="7"/>
  <c r="V478" i="7"/>
  <c r="I478" i="7"/>
  <c r="H478" i="7"/>
  <c r="G478" i="7"/>
  <c r="D478" i="7"/>
  <c r="E478" i="7" s="1"/>
  <c r="F478" i="7" s="1"/>
  <c r="C478" i="7"/>
  <c r="B478" i="7"/>
  <c r="A478" i="7"/>
  <c r="V477" i="7"/>
  <c r="I477" i="7"/>
  <c r="H477" i="7"/>
  <c r="G477" i="7"/>
  <c r="D477" i="7"/>
  <c r="E477" i="7" s="1"/>
  <c r="F477" i="7" s="1"/>
  <c r="C477" i="7"/>
  <c r="B477" i="7"/>
  <c r="A477" i="7"/>
  <c r="V476" i="7"/>
  <c r="S476" i="7"/>
  <c r="I476" i="7"/>
  <c r="H476" i="7"/>
  <c r="D476" i="7"/>
  <c r="E476" i="7" s="1"/>
  <c r="F476" i="7" s="1"/>
  <c r="J476" i="7" s="1"/>
  <c r="C476" i="7"/>
  <c r="O476" i="7" s="1"/>
  <c r="B476" i="7"/>
  <c r="A476" i="7"/>
  <c r="V475" i="7"/>
  <c r="I475" i="7"/>
  <c r="H475" i="7"/>
  <c r="G475" i="7"/>
  <c r="D475" i="7"/>
  <c r="E475" i="7" s="1"/>
  <c r="F475" i="7" s="1"/>
  <c r="C475" i="7"/>
  <c r="B475" i="7"/>
  <c r="A475" i="7"/>
  <c r="V474" i="7"/>
  <c r="I474" i="7"/>
  <c r="H474" i="7"/>
  <c r="G474" i="7"/>
  <c r="D474" i="7"/>
  <c r="E474" i="7" s="1"/>
  <c r="F474" i="7" s="1"/>
  <c r="C474" i="7"/>
  <c r="B474" i="7"/>
  <c r="A474" i="7"/>
  <c r="V473" i="7"/>
  <c r="I473" i="7"/>
  <c r="H473" i="7"/>
  <c r="G473" i="7"/>
  <c r="D473" i="7"/>
  <c r="E473" i="7" s="1"/>
  <c r="F473" i="7" s="1"/>
  <c r="C473" i="7"/>
  <c r="B473" i="7"/>
  <c r="A473" i="7"/>
  <c r="V472" i="7"/>
  <c r="I472" i="7"/>
  <c r="H472" i="7"/>
  <c r="G472" i="7"/>
  <c r="D472" i="7"/>
  <c r="E472" i="7" s="1"/>
  <c r="F472" i="7" s="1"/>
  <c r="C472" i="7"/>
  <c r="B472" i="7"/>
  <c r="A472" i="7"/>
  <c r="V471" i="7"/>
  <c r="S471" i="7"/>
  <c r="I471" i="7"/>
  <c r="H471" i="7"/>
  <c r="G471" i="7"/>
  <c r="D471" i="7"/>
  <c r="E471" i="7" s="1"/>
  <c r="F471" i="7" s="1"/>
  <c r="C471" i="7"/>
  <c r="B471" i="7"/>
  <c r="A471" i="7"/>
  <c r="V470" i="7"/>
  <c r="S470" i="7"/>
  <c r="I470" i="7"/>
  <c r="H470" i="7"/>
  <c r="G470" i="7"/>
  <c r="F470" i="7"/>
  <c r="B485" i="7" s="1"/>
  <c r="B486" i="7" s="1"/>
  <c r="D470" i="7"/>
  <c r="E470" i="7" s="1"/>
  <c r="C470" i="7"/>
  <c r="B470" i="7"/>
  <c r="A470" i="7"/>
  <c r="V469" i="7"/>
  <c r="S469" i="7"/>
  <c r="I469" i="7"/>
  <c r="D469" i="7"/>
  <c r="E469" i="7" s="1"/>
  <c r="F469" i="7" s="1"/>
  <c r="C469" i="7"/>
  <c r="B469" i="7"/>
  <c r="A469" i="7"/>
  <c r="V468" i="7"/>
  <c r="S468" i="7"/>
  <c r="I468" i="7"/>
  <c r="D468" i="7"/>
  <c r="E468" i="7" s="1"/>
  <c r="F468" i="7" s="1"/>
  <c r="J468" i="7" s="1"/>
  <c r="C468" i="7"/>
  <c r="B468" i="7"/>
  <c r="A468" i="7"/>
  <c r="V467" i="7"/>
  <c r="S467" i="7"/>
  <c r="I467" i="7"/>
  <c r="D467" i="7"/>
  <c r="E467" i="7" s="1"/>
  <c r="F467" i="7" s="1"/>
  <c r="J467" i="7" s="1"/>
  <c r="C467" i="7"/>
  <c r="B467" i="7"/>
  <c r="A467" i="7"/>
  <c r="V466" i="7"/>
  <c r="I466" i="7"/>
  <c r="D466" i="7"/>
  <c r="E466" i="7" s="1"/>
  <c r="F466" i="7" s="1"/>
  <c r="J466" i="7" s="1"/>
  <c r="C466" i="7"/>
  <c r="B466" i="7"/>
  <c r="A466" i="7"/>
  <c r="V465" i="7"/>
  <c r="S465" i="7"/>
  <c r="I465" i="7"/>
  <c r="D465" i="7"/>
  <c r="E465" i="7" s="1"/>
  <c r="C465" i="7"/>
  <c r="B465" i="7"/>
  <c r="A465" i="7"/>
  <c r="V464" i="7"/>
  <c r="I464" i="7"/>
  <c r="D464" i="7"/>
  <c r="E464" i="7" s="1"/>
  <c r="F464" i="7" s="1"/>
  <c r="B483" i="7" s="1"/>
  <c r="C464" i="7"/>
  <c r="B464" i="7"/>
  <c r="A464" i="7"/>
  <c r="V463" i="7"/>
  <c r="I463" i="7"/>
  <c r="F463" i="7"/>
  <c r="B482" i="7" s="1"/>
  <c r="D463" i="7"/>
  <c r="E463" i="7" s="1"/>
  <c r="C463" i="7"/>
  <c r="B463" i="7"/>
  <c r="A463" i="7"/>
  <c r="V462" i="7"/>
  <c r="S462" i="7"/>
  <c r="D462" i="7"/>
  <c r="E462" i="7" s="1"/>
  <c r="F462" i="7" s="1"/>
  <c r="J462" i="7" s="1"/>
  <c r="C462" i="7"/>
  <c r="B462" i="7"/>
  <c r="A462" i="7"/>
  <c r="S461" i="7"/>
  <c r="I461" i="7"/>
  <c r="D461" i="7"/>
  <c r="E461" i="7" s="1"/>
  <c r="C461" i="7"/>
  <c r="B461" i="7"/>
  <c r="A461" i="7"/>
  <c r="V460" i="7"/>
  <c r="S460" i="7"/>
  <c r="D460" i="7"/>
  <c r="E460" i="7" s="1"/>
  <c r="F460" i="7" s="1"/>
  <c r="J460" i="7" s="1"/>
  <c r="C460" i="7"/>
  <c r="B460" i="7"/>
  <c r="A460" i="7"/>
  <c r="V459" i="7"/>
  <c r="S459" i="7"/>
  <c r="D459" i="7"/>
  <c r="E459" i="7" s="1"/>
  <c r="F459" i="7" s="1"/>
  <c r="J459" i="7" s="1"/>
  <c r="C459" i="7"/>
  <c r="B459" i="7"/>
  <c r="A459" i="7"/>
  <c r="V458" i="7"/>
  <c r="S458" i="7"/>
  <c r="I458" i="7"/>
  <c r="D458" i="7"/>
  <c r="E458" i="7" s="1"/>
  <c r="F458" i="7" s="1"/>
  <c r="B484" i="7" s="1"/>
  <c r="C458" i="7"/>
  <c r="B458" i="7"/>
  <c r="A458" i="7"/>
  <c r="V457" i="7"/>
  <c r="S457" i="7"/>
  <c r="D457" i="7"/>
  <c r="E457" i="7" s="1"/>
  <c r="F457" i="7" s="1"/>
  <c r="J457" i="7" s="1"/>
  <c r="C457" i="7"/>
  <c r="B457" i="7"/>
  <c r="A457" i="7"/>
  <c r="V456" i="7"/>
  <c r="S456" i="7"/>
  <c r="D456" i="7"/>
  <c r="E456" i="7" s="1"/>
  <c r="F456" i="7" s="1"/>
  <c r="J456" i="7" s="1"/>
  <c r="C456" i="7"/>
  <c r="B456" i="7"/>
  <c r="A456" i="7"/>
  <c r="V455" i="7"/>
  <c r="S455" i="7"/>
  <c r="D455" i="7"/>
  <c r="E455" i="7" s="1"/>
  <c r="F455" i="7" s="1"/>
  <c r="J455" i="7" s="1"/>
  <c r="C455" i="7"/>
  <c r="B455" i="7"/>
  <c r="A455" i="7"/>
  <c r="V454" i="7"/>
  <c r="T454" i="7"/>
  <c r="T455" i="7" s="1"/>
  <c r="T456" i="7" s="1"/>
  <c r="F454" i="7" s="1"/>
  <c r="J454" i="7" s="1"/>
  <c r="R454" i="7"/>
  <c r="R455" i="7" s="1"/>
  <c r="I454" i="7"/>
  <c r="C454" i="7"/>
  <c r="B454" i="7"/>
  <c r="A454" i="7"/>
  <c r="V438" i="7"/>
  <c r="S438" i="7"/>
  <c r="I438" i="7"/>
  <c r="H438" i="7"/>
  <c r="D438" i="7"/>
  <c r="E438" i="7" s="1"/>
  <c r="F438" i="7" s="1"/>
  <c r="J438" i="7" s="1"/>
  <c r="C438" i="7"/>
  <c r="O438" i="7" s="1"/>
  <c r="B438" i="7"/>
  <c r="A438" i="7"/>
  <c r="V437" i="7"/>
  <c r="I437" i="7"/>
  <c r="H437" i="7"/>
  <c r="G437" i="7"/>
  <c r="D437" i="7"/>
  <c r="E437" i="7" s="1"/>
  <c r="F437" i="7" s="1"/>
  <c r="C437" i="7"/>
  <c r="B437" i="7"/>
  <c r="A437" i="7"/>
  <c r="V436" i="7"/>
  <c r="I436" i="7"/>
  <c r="H436" i="7"/>
  <c r="G436" i="7"/>
  <c r="D436" i="7"/>
  <c r="E436" i="7" s="1"/>
  <c r="F436" i="7" s="1"/>
  <c r="C436" i="7"/>
  <c r="B436" i="7"/>
  <c r="A436" i="7"/>
  <c r="V435" i="7"/>
  <c r="I435" i="7"/>
  <c r="H435" i="7"/>
  <c r="G435" i="7"/>
  <c r="D435" i="7"/>
  <c r="E435" i="7" s="1"/>
  <c r="F435" i="7" s="1"/>
  <c r="C435" i="7"/>
  <c r="B435" i="7"/>
  <c r="A435" i="7"/>
  <c r="V434" i="7"/>
  <c r="S434" i="7"/>
  <c r="I434" i="7"/>
  <c r="H434" i="7"/>
  <c r="D434" i="7"/>
  <c r="E434" i="7" s="1"/>
  <c r="F434" i="7" s="1"/>
  <c r="J434" i="7" s="1"/>
  <c r="C434" i="7"/>
  <c r="O434" i="7" s="1"/>
  <c r="B434" i="7"/>
  <c r="A434" i="7"/>
  <c r="V433" i="7"/>
  <c r="I433" i="7"/>
  <c r="H433" i="7"/>
  <c r="G433" i="7"/>
  <c r="D433" i="7"/>
  <c r="E433" i="7" s="1"/>
  <c r="F433" i="7" s="1"/>
  <c r="C433" i="7"/>
  <c r="B433" i="7"/>
  <c r="A433" i="7"/>
  <c r="V432" i="7"/>
  <c r="I432" i="7"/>
  <c r="H432" i="7"/>
  <c r="G432" i="7"/>
  <c r="D432" i="7"/>
  <c r="E432" i="7" s="1"/>
  <c r="F432" i="7" s="1"/>
  <c r="C432" i="7"/>
  <c r="B432" i="7"/>
  <c r="A432" i="7"/>
  <c r="V431" i="7"/>
  <c r="I431" i="7"/>
  <c r="H431" i="7"/>
  <c r="G431" i="7"/>
  <c r="D431" i="7"/>
  <c r="E431" i="7" s="1"/>
  <c r="F431" i="7" s="1"/>
  <c r="C431" i="7"/>
  <c r="B431" i="7"/>
  <c r="A431" i="7"/>
  <c r="V430" i="7"/>
  <c r="I430" i="7"/>
  <c r="H430" i="7"/>
  <c r="G430" i="7"/>
  <c r="D430" i="7"/>
  <c r="E430" i="7" s="1"/>
  <c r="F430" i="7" s="1"/>
  <c r="C430" i="7"/>
  <c r="B430" i="7"/>
  <c r="A430" i="7"/>
  <c r="V429" i="7"/>
  <c r="S429" i="7"/>
  <c r="I429" i="7"/>
  <c r="H429" i="7"/>
  <c r="G429" i="7"/>
  <c r="D429" i="7"/>
  <c r="E429" i="7" s="1"/>
  <c r="F429" i="7" s="1"/>
  <c r="C429" i="7"/>
  <c r="B429" i="7"/>
  <c r="A429" i="7"/>
  <c r="V428" i="7"/>
  <c r="S428" i="7"/>
  <c r="I428" i="7"/>
  <c r="H428" i="7"/>
  <c r="G428" i="7"/>
  <c r="F428" i="7"/>
  <c r="B443" i="7" s="1"/>
  <c r="B444" i="7" s="1"/>
  <c r="D428" i="7"/>
  <c r="E428" i="7" s="1"/>
  <c r="C428" i="7"/>
  <c r="B428" i="7"/>
  <c r="A428" i="7"/>
  <c r="V427" i="7"/>
  <c r="S427" i="7"/>
  <c r="I427" i="7"/>
  <c r="H427" i="7"/>
  <c r="G427" i="7"/>
  <c r="D427" i="7"/>
  <c r="E427" i="7" s="1"/>
  <c r="F427" i="7" s="1"/>
  <c r="C427" i="7"/>
  <c r="B427" i="7"/>
  <c r="A427" i="7"/>
  <c r="V426" i="7"/>
  <c r="S426" i="7"/>
  <c r="I426" i="7"/>
  <c r="H426" i="7"/>
  <c r="D426" i="7"/>
  <c r="E426" i="7" s="1"/>
  <c r="F426" i="7" s="1"/>
  <c r="J426" i="7" s="1"/>
  <c r="C426" i="7"/>
  <c r="B426" i="7"/>
  <c r="A426" i="7"/>
  <c r="V425" i="7"/>
  <c r="S425" i="7"/>
  <c r="I425" i="7"/>
  <c r="H425" i="7"/>
  <c r="G425" i="7"/>
  <c r="D425" i="7"/>
  <c r="E425" i="7" s="1"/>
  <c r="F425" i="7" s="1"/>
  <c r="J425" i="7" s="1"/>
  <c r="C425" i="7"/>
  <c r="B425" i="7"/>
  <c r="A425" i="7"/>
  <c r="V424" i="7"/>
  <c r="I424" i="7"/>
  <c r="H424" i="7"/>
  <c r="G424" i="7"/>
  <c r="D424" i="7"/>
  <c r="E424" i="7" s="1"/>
  <c r="F424" i="7" s="1"/>
  <c r="J424" i="7" s="1"/>
  <c r="C424" i="7"/>
  <c r="B424" i="7"/>
  <c r="A424" i="7"/>
  <c r="V423" i="7"/>
  <c r="S423" i="7"/>
  <c r="I423" i="7"/>
  <c r="H423" i="7"/>
  <c r="G423" i="7"/>
  <c r="D423" i="7"/>
  <c r="E423" i="7" s="1"/>
  <c r="F423" i="7" s="1"/>
  <c r="J423" i="7" s="1"/>
  <c r="C423" i="7"/>
  <c r="B423" i="7"/>
  <c r="A423" i="7"/>
  <c r="V422" i="7"/>
  <c r="I422" i="7"/>
  <c r="H422" i="7"/>
  <c r="G422" i="7"/>
  <c r="D422" i="7"/>
  <c r="E422" i="7" s="1"/>
  <c r="F422" i="7" s="1"/>
  <c r="B441" i="7" s="1"/>
  <c r="C422" i="7"/>
  <c r="B422" i="7"/>
  <c r="A422" i="7"/>
  <c r="V421" i="7"/>
  <c r="I421" i="7"/>
  <c r="H421" i="7"/>
  <c r="G421" i="7"/>
  <c r="F421" i="7"/>
  <c r="B440" i="7" s="1"/>
  <c r="D421" i="7"/>
  <c r="E421" i="7" s="1"/>
  <c r="C421" i="7"/>
  <c r="B421" i="7"/>
  <c r="A421" i="7"/>
  <c r="V420" i="7"/>
  <c r="S420" i="7"/>
  <c r="H420" i="7"/>
  <c r="G420" i="7"/>
  <c r="D420" i="7"/>
  <c r="E420" i="7" s="1"/>
  <c r="F420" i="7" s="1"/>
  <c r="J420" i="7" s="1"/>
  <c r="C420" i="7"/>
  <c r="B420" i="7"/>
  <c r="A420" i="7"/>
  <c r="V419" i="7"/>
  <c r="S419" i="7"/>
  <c r="I419" i="7"/>
  <c r="H419" i="7"/>
  <c r="D419" i="7"/>
  <c r="E419" i="7" s="1"/>
  <c r="F419" i="7" s="1"/>
  <c r="J419" i="7" s="1"/>
  <c r="C419" i="7"/>
  <c r="B419" i="7"/>
  <c r="A419" i="7"/>
  <c r="V418" i="7"/>
  <c r="S418" i="7"/>
  <c r="H418" i="7"/>
  <c r="D418" i="7"/>
  <c r="E418" i="7" s="1"/>
  <c r="F418" i="7" s="1"/>
  <c r="J418" i="7" s="1"/>
  <c r="C418" i="7"/>
  <c r="B418" i="7"/>
  <c r="A418" i="7"/>
  <c r="V417" i="7"/>
  <c r="S417" i="7"/>
  <c r="H417" i="7"/>
  <c r="G417" i="7"/>
  <c r="D417" i="7"/>
  <c r="E417" i="7" s="1"/>
  <c r="F417" i="7" s="1"/>
  <c r="J417" i="7" s="1"/>
  <c r="C417" i="7"/>
  <c r="B417" i="7"/>
  <c r="A417" i="7"/>
  <c r="V416" i="7"/>
  <c r="S416" i="7"/>
  <c r="I416" i="7"/>
  <c r="H416" i="7"/>
  <c r="G416" i="7"/>
  <c r="D416" i="7"/>
  <c r="E416" i="7" s="1"/>
  <c r="F416" i="7" s="1"/>
  <c r="B442" i="7" s="1"/>
  <c r="C416" i="7"/>
  <c r="B416" i="7"/>
  <c r="A416" i="7"/>
  <c r="V415" i="7"/>
  <c r="S415" i="7"/>
  <c r="H415" i="7"/>
  <c r="G415" i="7"/>
  <c r="D415" i="7"/>
  <c r="E415" i="7" s="1"/>
  <c r="F415" i="7" s="1"/>
  <c r="J415" i="7" s="1"/>
  <c r="C415" i="7"/>
  <c r="B415" i="7"/>
  <c r="A415" i="7"/>
  <c r="V414" i="7"/>
  <c r="B445" i="7" s="1"/>
  <c r="S414" i="7"/>
  <c r="H414" i="7"/>
  <c r="G414" i="7"/>
  <c r="D414" i="7"/>
  <c r="E414" i="7" s="1"/>
  <c r="F414" i="7" s="1"/>
  <c r="J414" i="7" s="1"/>
  <c r="C414" i="7"/>
  <c r="B414" i="7"/>
  <c r="A414" i="7"/>
  <c r="V413" i="7"/>
  <c r="S413" i="7"/>
  <c r="D413" i="7"/>
  <c r="E413" i="7" s="1"/>
  <c r="F413" i="7" s="1"/>
  <c r="J413" i="7" s="1"/>
  <c r="C413" i="7"/>
  <c r="B413" i="7"/>
  <c r="A413" i="7"/>
  <c r="V412" i="7"/>
  <c r="T412" i="7"/>
  <c r="T413" i="7" s="1"/>
  <c r="T414" i="7" s="1"/>
  <c r="F412" i="7" s="1"/>
  <c r="J412" i="7" s="1"/>
  <c r="R412" i="7"/>
  <c r="R413" i="7" s="1"/>
  <c r="I412" i="7"/>
  <c r="C412" i="7"/>
  <c r="B412" i="7"/>
  <c r="A412" i="7"/>
  <c r="S396" i="7"/>
  <c r="I396" i="7"/>
  <c r="H396" i="7"/>
  <c r="D396" i="7"/>
  <c r="E396" i="7" s="1"/>
  <c r="F396" i="7" s="1"/>
  <c r="J396" i="7" s="1"/>
  <c r="C396" i="7"/>
  <c r="O396" i="7" s="1"/>
  <c r="B396" i="7"/>
  <c r="A396" i="7"/>
  <c r="V395" i="7"/>
  <c r="I395" i="7"/>
  <c r="H395" i="7"/>
  <c r="G395" i="7"/>
  <c r="D395" i="7"/>
  <c r="E395" i="7" s="1"/>
  <c r="F395" i="7" s="1"/>
  <c r="C395" i="7"/>
  <c r="B395" i="7"/>
  <c r="A395" i="7"/>
  <c r="V394" i="7"/>
  <c r="I394" i="7"/>
  <c r="H394" i="7"/>
  <c r="G394" i="7"/>
  <c r="D394" i="7"/>
  <c r="E394" i="7" s="1"/>
  <c r="F394" i="7" s="1"/>
  <c r="C394" i="7"/>
  <c r="B394" i="7"/>
  <c r="A394" i="7"/>
  <c r="V393" i="7"/>
  <c r="I393" i="7"/>
  <c r="H393" i="7"/>
  <c r="G393" i="7"/>
  <c r="D393" i="7"/>
  <c r="E393" i="7" s="1"/>
  <c r="F393" i="7" s="1"/>
  <c r="C393" i="7"/>
  <c r="B393" i="7"/>
  <c r="A393" i="7"/>
  <c r="V392" i="7"/>
  <c r="S392" i="7"/>
  <c r="I392" i="7"/>
  <c r="H392" i="7"/>
  <c r="D392" i="7"/>
  <c r="E392" i="7" s="1"/>
  <c r="F392" i="7" s="1"/>
  <c r="J392" i="7" s="1"/>
  <c r="C392" i="7"/>
  <c r="O392" i="7" s="1"/>
  <c r="B392" i="7"/>
  <c r="A392" i="7"/>
  <c r="V391" i="7"/>
  <c r="I391" i="7"/>
  <c r="H391" i="7"/>
  <c r="G391" i="7"/>
  <c r="D391" i="7"/>
  <c r="E391" i="7" s="1"/>
  <c r="F391" i="7" s="1"/>
  <c r="C391" i="7"/>
  <c r="B391" i="7"/>
  <c r="A391" i="7"/>
  <c r="V390" i="7"/>
  <c r="I390" i="7"/>
  <c r="H390" i="7"/>
  <c r="G390" i="7"/>
  <c r="D390" i="7"/>
  <c r="E390" i="7" s="1"/>
  <c r="F390" i="7" s="1"/>
  <c r="C390" i="7"/>
  <c r="B390" i="7"/>
  <c r="A390" i="7"/>
  <c r="V389" i="7"/>
  <c r="I389" i="7"/>
  <c r="H389" i="7"/>
  <c r="G389" i="7"/>
  <c r="D389" i="7"/>
  <c r="E389" i="7" s="1"/>
  <c r="F389" i="7" s="1"/>
  <c r="C389" i="7"/>
  <c r="B389" i="7"/>
  <c r="A389" i="7"/>
  <c r="V388" i="7"/>
  <c r="I388" i="7"/>
  <c r="H388" i="7"/>
  <c r="G388" i="7"/>
  <c r="D388" i="7"/>
  <c r="E388" i="7" s="1"/>
  <c r="F388" i="7" s="1"/>
  <c r="C388" i="7"/>
  <c r="B388" i="7"/>
  <c r="A388" i="7"/>
  <c r="V387" i="7"/>
  <c r="S387" i="7"/>
  <c r="I387" i="7"/>
  <c r="H387" i="7"/>
  <c r="G387" i="7"/>
  <c r="D387" i="7"/>
  <c r="E387" i="7" s="1"/>
  <c r="F387" i="7" s="1"/>
  <c r="C387" i="7"/>
  <c r="B387" i="7"/>
  <c r="A387" i="7"/>
  <c r="V386" i="7"/>
  <c r="S386" i="7"/>
  <c r="I386" i="7"/>
  <c r="H386" i="7"/>
  <c r="G386" i="7"/>
  <c r="F386" i="7"/>
  <c r="B401" i="7" s="1"/>
  <c r="B402" i="7" s="1"/>
  <c r="D386" i="7"/>
  <c r="E386" i="7" s="1"/>
  <c r="C386" i="7"/>
  <c r="B386" i="7"/>
  <c r="A386" i="7"/>
  <c r="V385" i="7"/>
  <c r="S385" i="7"/>
  <c r="I385" i="7"/>
  <c r="H385" i="7"/>
  <c r="G385" i="7"/>
  <c r="D385" i="7"/>
  <c r="E385" i="7" s="1"/>
  <c r="F385" i="7" s="1"/>
  <c r="C385" i="7"/>
  <c r="B385" i="7"/>
  <c r="A385" i="7"/>
  <c r="V384" i="7"/>
  <c r="S384" i="7"/>
  <c r="I384" i="7"/>
  <c r="H384" i="7"/>
  <c r="D384" i="7"/>
  <c r="E384" i="7" s="1"/>
  <c r="F384" i="7" s="1"/>
  <c r="J384" i="7" s="1"/>
  <c r="C384" i="7"/>
  <c r="B384" i="7"/>
  <c r="A384" i="7"/>
  <c r="V383" i="7"/>
  <c r="S383" i="7"/>
  <c r="I383" i="7"/>
  <c r="H383" i="7"/>
  <c r="G383" i="7"/>
  <c r="D383" i="7"/>
  <c r="E383" i="7" s="1"/>
  <c r="F383" i="7" s="1"/>
  <c r="J383" i="7" s="1"/>
  <c r="C383" i="7"/>
  <c r="B383" i="7"/>
  <c r="A383" i="7"/>
  <c r="V382" i="7"/>
  <c r="I382" i="7"/>
  <c r="H382" i="7"/>
  <c r="G382" i="7"/>
  <c r="D382" i="7"/>
  <c r="E382" i="7" s="1"/>
  <c r="F382" i="7" s="1"/>
  <c r="J382" i="7" s="1"/>
  <c r="C382" i="7"/>
  <c r="B382" i="7"/>
  <c r="A382" i="7"/>
  <c r="V381" i="7"/>
  <c r="S381" i="7"/>
  <c r="I381" i="7"/>
  <c r="H381" i="7"/>
  <c r="G381" i="7"/>
  <c r="D381" i="7"/>
  <c r="E381" i="7" s="1"/>
  <c r="F381" i="7" s="1"/>
  <c r="J381" i="7" s="1"/>
  <c r="C381" i="7"/>
  <c r="B381" i="7"/>
  <c r="A381" i="7"/>
  <c r="V380" i="7"/>
  <c r="I380" i="7"/>
  <c r="H380" i="7"/>
  <c r="G380" i="7"/>
  <c r="D380" i="7"/>
  <c r="E380" i="7" s="1"/>
  <c r="F380" i="7" s="1"/>
  <c r="B399" i="7" s="1"/>
  <c r="C380" i="7"/>
  <c r="B380" i="7"/>
  <c r="A380" i="7"/>
  <c r="V379" i="7"/>
  <c r="I379" i="7"/>
  <c r="H379" i="7"/>
  <c r="G379" i="7"/>
  <c r="F379" i="7"/>
  <c r="B398" i="7" s="1"/>
  <c r="D379" i="7"/>
  <c r="E379" i="7" s="1"/>
  <c r="C379" i="7"/>
  <c r="B379" i="7"/>
  <c r="A379" i="7"/>
  <c r="V378" i="7"/>
  <c r="S378" i="7"/>
  <c r="H378" i="7"/>
  <c r="G378" i="7"/>
  <c r="D378" i="7"/>
  <c r="E378" i="7" s="1"/>
  <c r="F378" i="7" s="1"/>
  <c r="J378" i="7" s="1"/>
  <c r="C378" i="7"/>
  <c r="B378" i="7"/>
  <c r="A378" i="7"/>
  <c r="V377" i="7"/>
  <c r="S377" i="7"/>
  <c r="I377" i="7"/>
  <c r="H377" i="7"/>
  <c r="D377" i="7"/>
  <c r="E377" i="7" s="1"/>
  <c r="F377" i="7" s="1"/>
  <c r="J377" i="7" s="1"/>
  <c r="C377" i="7"/>
  <c r="B377" i="7"/>
  <c r="A377" i="7"/>
  <c r="V376" i="7"/>
  <c r="S376" i="7"/>
  <c r="H376" i="7"/>
  <c r="D376" i="7"/>
  <c r="E376" i="7" s="1"/>
  <c r="F376" i="7" s="1"/>
  <c r="J376" i="7" s="1"/>
  <c r="C376" i="7"/>
  <c r="B376" i="7"/>
  <c r="A376" i="7"/>
  <c r="V375" i="7"/>
  <c r="S375" i="7"/>
  <c r="H375" i="7"/>
  <c r="G375" i="7"/>
  <c r="D375" i="7"/>
  <c r="E375" i="7" s="1"/>
  <c r="F375" i="7" s="1"/>
  <c r="J375" i="7" s="1"/>
  <c r="C375" i="7"/>
  <c r="B375" i="7"/>
  <c r="A375" i="7"/>
  <c r="V374" i="7"/>
  <c r="S374" i="7"/>
  <c r="I374" i="7"/>
  <c r="H374" i="7"/>
  <c r="G374" i="7"/>
  <c r="D374" i="7"/>
  <c r="E374" i="7" s="1"/>
  <c r="F374" i="7" s="1"/>
  <c r="C374" i="7"/>
  <c r="B374" i="7"/>
  <c r="A374" i="7"/>
  <c r="V373" i="7"/>
  <c r="S373" i="7"/>
  <c r="H373" i="7"/>
  <c r="G373" i="7"/>
  <c r="D373" i="7"/>
  <c r="E373" i="7" s="1"/>
  <c r="F373" i="7" s="1"/>
  <c r="J373" i="7" s="1"/>
  <c r="C373" i="7"/>
  <c r="B373" i="7"/>
  <c r="A373" i="7"/>
  <c r="V372" i="7"/>
  <c r="S372" i="7"/>
  <c r="H372" i="7"/>
  <c r="G372" i="7"/>
  <c r="D372" i="7"/>
  <c r="E372" i="7" s="1"/>
  <c r="F372" i="7" s="1"/>
  <c r="J372" i="7" s="1"/>
  <c r="C372" i="7"/>
  <c r="B372" i="7"/>
  <c r="A372" i="7"/>
  <c r="V371" i="7"/>
  <c r="S371" i="7"/>
  <c r="H371" i="7"/>
  <c r="D371" i="7"/>
  <c r="E371" i="7" s="1"/>
  <c r="F371" i="7" s="1"/>
  <c r="J371" i="7" s="1"/>
  <c r="C371" i="7"/>
  <c r="B371" i="7"/>
  <c r="A371" i="7"/>
  <c r="V370" i="7"/>
  <c r="T370" i="7"/>
  <c r="T371" i="7" s="1"/>
  <c r="T372" i="7" s="1"/>
  <c r="F370" i="7" s="1"/>
  <c r="J370" i="7" s="1"/>
  <c r="R370" i="7"/>
  <c r="R371" i="7" s="1"/>
  <c r="I370" i="7"/>
  <c r="H370" i="7"/>
  <c r="G370" i="7"/>
  <c r="C370" i="7"/>
  <c r="B370" i="7"/>
  <c r="A370" i="7"/>
  <c r="V354" i="7"/>
  <c r="S354" i="7"/>
  <c r="I354" i="7"/>
  <c r="H354" i="7"/>
  <c r="D354" i="7"/>
  <c r="E354" i="7" s="1"/>
  <c r="F354" i="7" s="1"/>
  <c r="J354" i="7" s="1"/>
  <c r="C354" i="7"/>
  <c r="O354" i="7" s="1"/>
  <c r="B354" i="7"/>
  <c r="A354" i="7"/>
  <c r="V353" i="7"/>
  <c r="I353" i="7"/>
  <c r="H353" i="7"/>
  <c r="G353" i="7"/>
  <c r="D353" i="7"/>
  <c r="E353" i="7" s="1"/>
  <c r="F353" i="7" s="1"/>
  <c r="C353" i="7"/>
  <c r="B353" i="7"/>
  <c r="A353" i="7"/>
  <c r="V352" i="7"/>
  <c r="I352" i="7"/>
  <c r="H352" i="7"/>
  <c r="G352" i="7"/>
  <c r="D352" i="7"/>
  <c r="E352" i="7" s="1"/>
  <c r="F352" i="7" s="1"/>
  <c r="C352" i="7"/>
  <c r="B352" i="7"/>
  <c r="A352" i="7"/>
  <c r="V351" i="7"/>
  <c r="I351" i="7"/>
  <c r="H351" i="7"/>
  <c r="G351" i="7"/>
  <c r="D351" i="7"/>
  <c r="E351" i="7" s="1"/>
  <c r="F351" i="7" s="1"/>
  <c r="C351" i="7"/>
  <c r="B351" i="7"/>
  <c r="A351" i="7"/>
  <c r="V350" i="7"/>
  <c r="S350" i="7"/>
  <c r="I350" i="7"/>
  <c r="H350" i="7"/>
  <c r="D350" i="7"/>
  <c r="E350" i="7" s="1"/>
  <c r="F350" i="7" s="1"/>
  <c r="J350" i="7" s="1"/>
  <c r="C350" i="7"/>
  <c r="O350" i="7" s="1"/>
  <c r="B350" i="7"/>
  <c r="A350" i="7"/>
  <c r="V349" i="7"/>
  <c r="I349" i="7"/>
  <c r="H349" i="7"/>
  <c r="G349" i="7"/>
  <c r="D349" i="7"/>
  <c r="E349" i="7" s="1"/>
  <c r="F349" i="7" s="1"/>
  <c r="C349" i="7"/>
  <c r="B349" i="7"/>
  <c r="A349" i="7"/>
  <c r="V348" i="7"/>
  <c r="I348" i="7"/>
  <c r="H348" i="7"/>
  <c r="G348" i="7"/>
  <c r="D348" i="7"/>
  <c r="E348" i="7" s="1"/>
  <c r="F348" i="7" s="1"/>
  <c r="C348" i="7"/>
  <c r="B348" i="7"/>
  <c r="A348" i="7"/>
  <c r="V347" i="7"/>
  <c r="I347" i="7"/>
  <c r="H347" i="7"/>
  <c r="G347" i="7"/>
  <c r="D347" i="7"/>
  <c r="E347" i="7" s="1"/>
  <c r="F347" i="7" s="1"/>
  <c r="C347" i="7"/>
  <c r="B347" i="7"/>
  <c r="A347" i="7"/>
  <c r="V346" i="7"/>
  <c r="I346" i="7"/>
  <c r="H346" i="7"/>
  <c r="G346" i="7"/>
  <c r="D346" i="7"/>
  <c r="E346" i="7" s="1"/>
  <c r="F346" i="7" s="1"/>
  <c r="C346" i="7"/>
  <c r="B346" i="7"/>
  <c r="A346" i="7"/>
  <c r="V345" i="7"/>
  <c r="S345" i="7"/>
  <c r="I345" i="7"/>
  <c r="H345" i="7"/>
  <c r="G345" i="7"/>
  <c r="D345" i="7"/>
  <c r="E345" i="7" s="1"/>
  <c r="F345" i="7" s="1"/>
  <c r="C345" i="7"/>
  <c r="B345" i="7"/>
  <c r="A345" i="7"/>
  <c r="V344" i="7"/>
  <c r="S344" i="7"/>
  <c r="I344" i="7"/>
  <c r="H344" i="7"/>
  <c r="G344" i="7"/>
  <c r="F344" i="7"/>
  <c r="B359" i="7" s="1"/>
  <c r="B360" i="7" s="1"/>
  <c r="D344" i="7"/>
  <c r="E344" i="7" s="1"/>
  <c r="C344" i="7"/>
  <c r="B344" i="7"/>
  <c r="A344" i="7"/>
  <c r="V343" i="7"/>
  <c r="S343" i="7"/>
  <c r="I343" i="7"/>
  <c r="H343" i="7"/>
  <c r="G343" i="7"/>
  <c r="D343" i="7"/>
  <c r="E343" i="7" s="1"/>
  <c r="F343" i="7" s="1"/>
  <c r="C343" i="7"/>
  <c r="B343" i="7"/>
  <c r="A343" i="7"/>
  <c r="V342" i="7"/>
  <c r="S342" i="7"/>
  <c r="I342" i="7"/>
  <c r="H342" i="7"/>
  <c r="D342" i="7"/>
  <c r="E342" i="7" s="1"/>
  <c r="F342" i="7" s="1"/>
  <c r="J342" i="7" s="1"/>
  <c r="C342" i="7"/>
  <c r="B342" i="7"/>
  <c r="A342" i="7"/>
  <c r="V341" i="7"/>
  <c r="S341" i="7"/>
  <c r="I341" i="7"/>
  <c r="D341" i="7"/>
  <c r="E341" i="7" s="1"/>
  <c r="F341" i="7" s="1"/>
  <c r="J341" i="7" s="1"/>
  <c r="C341" i="7"/>
  <c r="B341" i="7"/>
  <c r="A341" i="7"/>
  <c r="V340" i="7"/>
  <c r="I340" i="7"/>
  <c r="D340" i="7"/>
  <c r="E340" i="7" s="1"/>
  <c r="F340" i="7" s="1"/>
  <c r="J340" i="7" s="1"/>
  <c r="C340" i="7"/>
  <c r="B340" i="7"/>
  <c r="A340" i="7"/>
  <c r="V339" i="7"/>
  <c r="S339" i="7"/>
  <c r="I339" i="7"/>
  <c r="D339" i="7"/>
  <c r="E339" i="7" s="1"/>
  <c r="C339" i="7"/>
  <c r="B339" i="7"/>
  <c r="A339" i="7"/>
  <c r="V338" i="7"/>
  <c r="I338" i="7"/>
  <c r="D338" i="7"/>
  <c r="E338" i="7" s="1"/>
  <c r="F338" i="7" s="1"/>
  <c r="B357" i="7" s="1"/>
  <c r="C338" i="7"/>
  <c r="B338" i="7"/>
  <c r="A338" i="7"/>
  <c r="V337" i="7"/>
  <c r="I337" i="7"/>
  <c r="G337" i="7"/>
  <c r="F337" i="7"/>
  <c r="B356" i="7" s="1"/>
  <c r="D337" i="7"/>
  <c r="E337" i="7" s="1"/>
  <c r="C337" i="7"/>
  <c r="B337" i="7"/>
  <c r="A337" i="7"/>
  <c r="V336" i="7"/>
  <c r="S336" i="7"/>
  <c r="H336" i="7"/>
  <c r="G336" i="7"/>
  <c r="D336" i="7"/>
  <c r="E336" i="7" s="1"/>
  <c r="F336" i="7" s="1"/>
  <c r="J336" i="7" s="1"/>
  <c r="C336" i="7"/>
  <c r="B336" i="7"/>
  <c r="A336" i="7"/>
  <c r="S335" i="7"/>
  <c r="I335" i="7"/>
  <c r="H335" i="7"/>
  <c r="D335" i="7"/>
  <c r="E335" i="7" s="1"/>
  <c r="C335" i="7"/>
  <c r="B335" i="7"/>
  <c r="A335" i="7"/>
  <c r="V334" i="7"/>
  <c r="S334" i="7"/>
  <c r="H334" i="7"/>
  <c r="D334" i="7"/>
  <c r="E334" i="7" s="1"/>
  <c r="F334" i="7" s="1"/>
  <c r="J334" i="7" s="1"/>
  <c r="C334" i="7"/>
  <c r="B334" i="7"/>
  <c r="A334" i="7"/>
  <c r="V333" i="7"/>
  <c r="S333" i="7"/>
  <c r="H333" i="7"/>
  <c r="G333" i="7"/>
  <c r="D333" i="7"/>
  <c r="E333" i="7" s="1"/>
  <c r="F333" i="7" s="1"/>
  <c r="J333" i="7" s="1"/>
  <c r="C333" i="7"/>
  <c r="B333" i="7"/>
  <c r="A333" i="7"/>
  <c r="V332" i="7"/>
  <c r="S332" i="7"/>
  <c r="I332" i="7"/>
  <c r="H332" i="7"/>
  <c r="G332" i="7"/>
  <c r="D332" i="7"/>
  <c r="E332" i="7" s="1"/>
  <c r="F332" i="7" s="1"/>
  <c r="C332" i="7"/>
  <c r="B332" i="7"/>
  <c r="A332" i="7"/>
  <c r="V331" i="7"/>
  <c r="S331" i="7"/>
  <c r="H331" i="7"/>
  <c r="G331" i="7"/>
  <c r="D331" i="7"/>
  <c r="E331" i="7" s="1"/>
  <c r="F331" i="7" s="1"/>
  <c r="J331" i="7" s="1"/>
  <c r="C331" i="7"/>
  <c r="B331" i="7"/>
  <c r="A331" i="7"/>
  <c r="V330" i="7"/>
  <c r="S330" i="7"/>
  <c r="H330" i="7"/>
  <c r="G330" i="7"/>
  <c r="D330" i="7"/>
  <c r="E330" i="7" s="1"/>
  <c r="F330" i="7" s="1"/>
  <c r="J330" i="7" s="1"/>
  <c r="C330" i="7"/>
  <c r="B330" i="7"/>
  <c r="A330" i="7"/>
  <c r="V329" i="7"/>
  <c r="S329" i="7"/>
  <c r="H329" i="7"/>
  <c r="D329" i="7"/>
  <c r="E329" i="7" s="1"/>
  <c r="F329" i="7" s="1"/>
  <c r="J329" i="7" s="1"/>
  <c r="C329" i="7"/>
  <c r="B329" i="7"/>
  <c r="A329" i="7"/>
  <c r="V328" i="7"/>
  <c r="T328" i="7"/>
  <c r="T329" i="7" s="1"/>
  <c r="T330" i="7" s="1"/>
  <c r="F328" i="7" s="1"/>
  <c r="J328" i="7" s="1"/>
  <c r="R328" i="7"/>
  <c r="R329" i="7" s="1"/>
  <c r="I328" i="7"/>
  <c r="H328" i="7"/>
  <c r="G328" i="7"/>
  <c r="C328" i="7"/>
  <c r="B328" i="7"/>
  <c r="A328" i="7"/>
  <c r="V312" i="7"/>
  <c r="S312" i="7"/>
  <c r="I312" i="7"/>
  <c r="H312" i="7"/>
  <c r="D312" i="7"/>
  <c r="E312" i="7" s="1"/>
  <c r="F312" i="7" s="1"/>
  <c r="J312" i="7" s="1"/>
  <c r="C312" i="7"/>
  <c r="O312" i="7" s="1"/>
  <c r="B312" i="7"/>
  <c r="A312" i="7"/>
  <c r="V311" i="7"/>
  <c r="I311" i="7"/>
  <c r="H311" i="7"/>
  <c r="G311" i="7"/>
  <c r="D311" i="7"/>
  <c r="E311" i="7" s="1"/>
  <c r="F311" i="7" s="1"/>
  <c r="C311" i="7"/>
  <c r="B311" i="7"/>
  <c r="A311" i="7"/>
  <c r="V310" i="7"/>
  <c r="I310" i="7"/>
  <c r="H310" i="7"/>
  <c r="G310" i="7"/>
  <c r="D310" i="7"/>
  <c r="E310" i="7" s="1"/>
  <c r="F310" i="7" s="1"/>
  <c r="C310" i="7"/>
  <c r="B310" i="7"/>
  <c r="A310" i="7"/>
  <c r="V309" i="7"/>
  <c r="I309" i="7"/>
  <c r="H309" i="7"/>
  <c r="G309" i="7"/>
  <c r="D309" i="7"/>
  <c r="E309" i="7" s="1"/>
  <c r="F309" i="7" s="1"/>
  <c r="C309" i="7"/>
  <c r="B309" i="7"/>
  <c r="A309" i="7"/>
  <c r="V308" i="7"/>
  <c r="S308" i="7"/>
  <c r="I308" i="7"/>
  <c r="H308" i="7"/>
  <c r="D308" i="7"/>
  <c r="E308" i="7" s="1"/>
  <c r="F308" i="7" s="1"/>
  <c r="J308" i="7" s="1"/>
  <c r="C308" i="7"/>
  <c r="O308" i="7" s="1"/>
  <c r="B308" i="7"/>
  <c r="A308" i="7"/>
  <c r="V307" i="7"/>
  <c r="I307" i="7"/>
  <c r="H307" i="7"/>
  <c r="G307" i="7"/>
  <c r="D307" i="7"/>
  <c r="E307" i="7" s="1"/>
  <c r="F307" i="7" s="1"/>
  <c r="C307" i="7"/>
  <c r="B307" i="7"/>
  <c r="A307" i="7"/>
  <c r="V306" i="7"/>
  <c r="I306" i="7"/>
  <c r="H306" i="7"/>
  <c r="G306" i="7"/>
  <c r="D306" i="7"/>
  <c r="E306" i="7" s="1"/>
  <c r="F306" i="7" s="1"/>
  <c r="C306" i="7"/>
  <c r="B306" i="7"/>
  <c r="A306" i="7"/>
  <c r="V305" i="7"/>
  <c r="I305" i="7"/>
  <c r="H305" i="7"/>
  <c r="G305" i="7"/>
  <c r="D305" i="7"/>
  <c r="E305" i="7" s="1"/>
  <c r="F305" i="7" s="1"/>
  <c r="C305" i="7"/>
  <c r="B305" i="7"/>
  <c r="A305" i="7"/>
  <c r="V304" i="7"/>
  <c r="I304" i="7"/>
  <c r="H304" i="7"/>
  <c r="G304" i="7"/>
  <c r="D304" i="7"/>
  <c r="E304" i="7" s="1"/>
  <c r="F304" i="7" s="1"/>
  <c r="C304" i="7"/>
  <c r="B304" i="7"/>
  <c r="A304" i="7"/>
  <c r="V303" i="7"/>
  <c r="S303" i="7"/>
  <c r="I303" i="7"/>
  <c r="H303" i="7"/>
  <c r="G303" i="7"/>
  <c r="D303" i="7"/>
  <c r="E303" i="7" s="1"/>
  <c r="F303" i="7" s="1"/>
  <c r="C303" i="7"/>
  <c r="B303" i="7"/>
  <c r="A303" i="7"/>
  <c r="V302" i="7"/>
  <c r="S302" i="7"/>
  <c r="I302" i="7"/>
  <c r="H302" i="7"/>
  <c r="G302" i="7"/>
  <c r="F302" i="7"/>
  <c r="B317" i="7" s="1"/>
  <c r="B318" i="7" s="1"/>
  <c r="D302" i="7"/>
  <c r="E302" i="7" s="1"/>
  <c r="C302" i="7"/>
  <c r="B302" i="7"/>
  <c r="A302" i="7"/>
  <c r="V301" i="7"/>
  <c r="S301" i="7"/>
  <c r="I301" i="7"/>
  <c r="H301" i="7"/>
  <c r="G301" i="7"/>
  <c r="D301" i="7"/>
  <c r="E301" i="7" s="1"/>
  <c r="F301" i="7" s="1"/>
  <c r="C301" i="7"/>
  <c r="B301" i="7"/>
  <c r="A301" i="7"/>
  <c r="V300" i="7"/>
  <c r="S300" i="7"/>
  <c r="I300" i="7"/>
  <c r="H300" i="7"/>
  <c r="D300" i="7"/>
  <c r="E300" i="7" s="1"/>
  <c r="F300" i="7" s="1"/>
  <c r="J300" i="7" s="1"/>
  <c r="C300" i="7"/>
  <c r="B300" i="7"/>
  <c r="A300" i="7"/>
  <c r="V299" i="7"/>
  <c r="S299" i="7"/>
  <c r="I299" i="7"/>
  <c r="H299" i="7"/>
  <c r="G299" i="7"/>
  <c r="D299" i="7"/>
  <c r="E299" i="7" s="1"/>
  <c r="F299" i="7" s="1"/>
  <c r="J299" i="7" s="1"/>
  <c r="C299" i="7"/>
  <c r="B299" i="7"/>
  <c r="A299" i="7"/>
  <c r="V298" i="7"/>
  <c r="I298" i="7"/>
  <c r="H298" i="7"/>
  <c r="G298" i="7"/>
  <c r="D298" i="7"/>
  <c r="E298" i="7" s="1"/>
  <c r="F298" i="7" s="1"/>
  <c r="J298" i="7" s="1"/>
  <c r="C298" i="7"/>
  <c r="B298" i="7"/>
  <c r="A298" i="7"/>
  <c r="V297" i="7"/>
  <c r="S297" i="7"/>
  <c r="I297" i="7"/>
  <c r="H297" i="7"/>
  <c r="G297" i="7"/>
  <c r="D297" i="7"/>
  <c r="E297" i="7" s="1"/>
  <c r="F297" i="7" s="1"/>
  <c r="J297" i="7" s="1"/>
  <c r="C297" i="7"/>
  <c r="B297" i="7"/>
  <c r="A297" i="7"/>
  <c r="V296" i="7"/>
  <c r="I296" i="7"/>
  <c r="H296" i="7"/>
  <c r="G296" i="7"/>
  <c r="D296" i="7"/>
  <c r="E296" i="7" s="1"/>
  <c r="F296" i="7" s="1"/>
  <c r="B315" i="7" s="1"/>
  <c r="C296" i="7"/>
  <c r="B296" i="7"/>
  <c r="A296" i="7"/>
  <c r="V295" i="7"/>
  <c r="I295" i="7"/>
  <c r="H295" i="7"/>
  <c r="G295" i="7"/>
  <c r="F295" i="7"/>
  <c r="B314" i="7" s="1"/>
  <c r="D295" i="7"/>
  <c r="E295" i="7" s="1"/>
  <c r="C295" i="7"/>
  <c r="B295" i="7"/>
  <c r="A295" i="7"/>
  <c r="V294" i="7"/>
  <c r="S294" i="7"/>
  <c r="H294" i="7"/>
  <c r="G294" i="7"/>
  <c r="D294" i="7"/>
  <c r="E294" i="7" s="1"/>
  <c r="F294" i="7" s="1"/>
  <c r="J294" i="7" s="1"/>
  <c r="C294" i="7"/>
  <c r="B294" i="7"/>
  <c r="A294" i="7"/>
  <c r="V293" i="7"/>
  <c r="S293" i="7"/>
  <c r="I293" i="7"/>
  <c r="H293" i="7"/>
  <c r="D293" i="7"/>
  <c r="E293" i="7" s="1"/>
  <c r="F293" i="7" s="1"/>
  <c r="J293" i="7" s="1"/>
  <c r="C293" i="7"/>
  <c r="B293" i="7"/>
  <c r="A293" i="7"/>
  <c r="V292" i="7"/>
  <c r="S292" i="7"/>
  <c r="H292" i="7"/>
  <c r="D292" i="7"/>
  <c r="E292" i="7" s="1"/>
  <c r="F292" i="7" s="1"/>
  <c r="J292" i="7" s="1"/>
  <c r="C292" i="7"/>
  <c r="B292" i="7"/>
  <c r="A292" i="7"/>
  <c r="V291" i="7"/>
  <c r="S291" i="7"/>
  <c r="H291" i="7"/>
  <c r="G291" i="7"/>
  <c r="D291" i="7"/>
  <c r="E291" i="7" s="1"/>
  <c r="F291" i="7" s="1"/>
  <c r="J291" i="7" s="1"/>
  <c r="C291" i="7"/>
  <c r="B291" i="7"/>
  <c r="A291" i="7"/>
  <c r="V290" i="7"/>
  <c r="S290" i="7"/>
  <c r="I290" i="7"/>
  <c r="H290" i="7"/>
  <c r="G290" i="7"/>
  <c r="D290" i="7"/>
  <c r="E290" i="7" s="1"/>
  <c r="F290" i="7" s="1"/>
  <c r="B316" i="7" s="1"/>
  <c r="C290" i="7"/>
  <c r="B290" i="7"/>
  <c r="A290" i="7"/>
  <c r="V289" i="7"/>
  <c r="S289" i="7"/>
  <c r="H289" i="7"/>
  <c r="G289" i="7"/>
  <c r="D289" i="7"/>
  <c r="E289" i="7" s="1"/>
  <c r="F289" i="7" s="1"/>
  <c r="J289" i="7" s="1"/>
  <c r="C289" i="7"/>
  <c r="B289" i="7"/>
  <c r="A289" i="7"/>
  <c r="V288" i="7"/>
  <c r="S288" i="7"/>
  <c r="H288" i="7"/>
  <c r="G288" i="7"/>
  <c r="D288" i="7"/>
  <c r="E288" i="7" s="1"/>
  <c r="F288" i="7" s="1"/>
  <c r="J288" i="7" s="1"/>
  <c r="C288" i="7"/>
  <c r="B288" i="7"/>
  <c r="A288" i="7"/>
  <c r="V287" i="7"/>
  <c r="S287" i="7"/>
  <c r="H287" i="7"/>
  <c r="D287" i="7"/>
  <c r="E287" i="7" s="1"/>
  <c r="F287" i="7" s="1"/>
  <c r="J287" i="7" s="1"/>
  <c r="C287" i="7"/>
  <c r="B287" i="7"/>
  <c r="A287" i="7"/>
  <c r="V286" i="7"/>
  <c r="T286" i="7"/>
  <c r="T287" i="7" s="1"/>
  <c r="T288" i="7" s="1"/>
  <c r="F286" i="7" s="1"/>
  <c r="J286" i="7" s="1"/>
  <c r="R286" i="7"/>
  <c r="R287" i="7" s="1"/>
  <c r="I286" i="7"/>
  <c r="H286" i="7"/>
  <c r="G286" i="7"/>
  <c r="C286" i="7"/>
  <c r="B319" i="7" s="1"/>
  <c r="B286" i="7"/>
  <c r="A286" i="7"/>
  <c r="S270" i="7"/>
  <c r="I270" i="7"/>
  <c r="H270" i="7"/>
  <c r="D270" i="7"/>
  <c r="E270" i="7" s="1"/>
  <c r="F270" i="7" s="1"/>
  <c r="J270" i="7" s="1"/>
  <c r="C270" i="7"/>
  <c r="O270" i="7" s="1"/>
  <c r="B270" i="7"/>
  <c r="A270" i="7"/>
  <c r="V269" i="7"/>
  <c r="I269" i="7"/>
  <c r="H269" i="7"/>
  <c r="G269" i="7"/>
  <c r="D269" i="7"/>
  <c r="E269" i="7" s="1"/>
  <c r="F269" i="7" s="1"/>
  <c r="C269" i="7"/>
  <c r="B269" i="7"/>
  <c r="A269" i="7"/>
  <c r="V268" i="7"/>
  <c r="I268" i="7"/>
  <c r="H268" i="7"/>
  <c r="G268" i="7"/>
  <c r="D268" i="7"/>
  <c r="E268" i="7" s="1"/>
  <c r="F268" i="7" s="1"/>
  <c r="C268" i="7"/>
  <c r="B268" i="7"/>
  <c r="A268" i="7"/>
  <c r="V267" i="7"/>
  <c r="I267" i="7"/>
  <c r="H267" i="7"/>
  <c r="G267" i="7"/>
  <c r="D267" i="7"/>
  <c r="E267" i="7" s="1"/>
  <c r="F267" i="7" s="1"/>
  <c r="C267" i="7"/>
  <c r="B267" i="7"/>
  <c r="A267" i="7"/>
  <c r="V266" i="7"/>
  <c r="S266" i="7"/>
  <c r="I266" i="7"/>
  <c r="H266" i="7"/>
  <c r="D266" i="7"/>
  <c r="E266" i="7" s="1"/>
  <c r="F266" i="7" s="1"/>
  <c r="J266" i="7" s="1"/>
  <c r="C266" i="7"/>
  <c r="O266" i="7" s="1"/>
  <c r="B266" i="7"/>
  <c r="A266" i="7"/>
  <c r="V265" i="7"/>
  <c r="I265" i="7"/>
  <c r="H265" i="7"/>
  <c r="G265" i="7"/>
  <c r="D265" i="7"/>
  <c r="E265" i="7" s="1"/>
  <c r="F265" i="7" s="1"/>
  <c r="C265" i="7"/>
  <c r="B265" i="7"/>
  <c r="A265" i="7"/>
  <c r="V264" i="7"/>
  <c r="I264" i="7"/>
  <c r="H264" i="7"/>
  <c r="G264" i="7"/>
  <c r="D264" i="7"/>
  <c r="E264" i="7" s="1"/>
  <c r="F264" i="7" s="1"/>
  <c r="C264" i="7"/>
  <c r="B264" i="7"/>
  <c r="A264" i="7"/>
  <c r="V263" i="7"/>
  <c r="I263" i="7"/>
  <c r="H263" i="7"/>
  <c r="G263" i="7"/>
  <c r="D263" i="7"/>
  <c r="E263" i="7" s="1"/>
  <c r="F263" i="7" s="1"/>
  <c r="C263" i="7"/>
  <c r="B263" i="7"/>
  <c r="A263" i="7"/>
  <c r="V262" i="7"/>
  <c r="I262" i="7"/>
  <c r="H262" i="7"/>
  <c r="G262" i="7"/>
  <c r="D262" i="7"/>
  <c r="E262" i="7" s="1"/>
  <c r="F262" i="7" s="1"/>
  <c r="C262" i="7"/>
  <c r="B262" i="7"/>
  <c r="A262" i="7"/>
  <c r="V261" i="7"/>
  <c r="S261" i="7"/>
  <c r="I261" i="7"/>
  <c r="H261" i="7"/>
  <c r="G261" i="7"/>
  <c r="D261" i="7"/>
  <c r="E261" i="7" s="1"/>
  <c r="F261" i="7" s="1"/>
  <c r="C261" i="7"/>
  <c r="B261" i="7"/>
  <c r="A261" i="7"/>
  <c r="V260" i="7"/>
  <c r="S260" i="7"/>
  <c r="I260" i="7"/>
  <c r="H260" i="7"/>
  <c r="G260" i="7"/>
  <c r="F260" i="7"/>
  <c r="B275" i="7" s="1"/>
  <c r="B276" i="7" s="1"/>
  <c r="D260" i="7"/>
  <c r="E260" i="7" s="1"/>
  <c r="C260" i="7"/>
  <c r="B260" i="7"/>
  <c r="A260" i="7"/>
  <c r="V259" i="7"/>
  <c r="S259" i="7"/>
  <c r="I259" i="7"/>
  <c r="H259" i="7"/>
  <c r="G259" i="7"/>
  <c r="D259" i="7"/>
  <c r="E259" i="7" s="1"/>
  <c r="F259" i="7" s="1"/>
  <c r="C259" i="7"/>
  <c r="B259" i="7"/>
  <c r="A259" i="7"/>
  <c r="V258" i="7"/>
  <c r="S258" i="7"/>
  <c r="I258" i="7"/>
  <c r="H258" i="7"/>
  <c r="D258" i="7"/>
  <c r="E258" i="7" s="1"/>
  <c r="F258" i="7" s="1"/>
  <c r="J258" i="7" s="1"/>
  <c r="C258" i="7"/>
  <c r="B258" i="7"/>
  <c r="A258" i="7"/>
  <c r="V257" i="7"/>
  <c r="S257" i="7"/>
  <c r="I257" i="7"/>
  <c r="H257" i="7"/>
  <c r="G257" i="7"/>
  <c r="D257" i="7"/>
  <c r="E257" i="7" s="1"/>
  <c r="F257" i="7" s="1"/>
  <c r="J257" i="7" s="1"/>
  <c r="C257" i="7"/>
  <c r="B257" i="7"/>
  <c r="A257" i="7"/>
  <c r="V256" i="7"/>
  <c r="I256" i="7"/>
  <c r="H256" i="7"/>
  <c r="G256" i="7"/>
  <c r="D256" i="7"/>
  <c r="E256" i="7" s="1"/>
  <c r="F256" i="7" s="1"/>
  <c r="J256" i="7" s="1"/>
  <c r="C256" i="7"/>
  <c r="B256" i="7"/>
  <c r="A256" i="7"/>
  <c r="V255" i="7"/>
  <c r="S255" i="7"/>
  <c r="I255" i="7"/>
  <c r="H255" i="7"/>
  <c r="G255" i="7"/>
  <c r="D255" i="7"/>
  <c r="E255" i="7" s="1"/>
  <c r="C255" i="7"/>
  <c r="B255" i="7"/>
  <c r="A255" i="7"/>
  <c r="V254" i="7"/>
  <c r="I254" i="7"/>
  <c r="H254" i="7"/>
  <c r="G254" i="7"/>
  <c r="D254" i="7"/>
  <c r="E254" i="7" s="1"/>
  <c r="F254" i="7" s="1"/>
  <c r="B273" i="7" s="1"/>
  <c r="C254" i="7"/>
  <c r="B254" i="7"/>
  <c r="A254" i="7"/>
  <c r="V253" i="7"/>
  <c r="I253" i="7"/>
  <c r="H253" i="7"/>
  <c r="G253" i="7"/>
  <c r="F253" i="7"/>
  <c r="B272" i="7" s="1"/>
  <c r="D253" i="7"/>
  <c r="E253" i="7" s="1"/>
  <c r="C253" i="7"/>
  <c r="B253" i="7"/>
  <c r="A253" i="7"/>
  <c r="V252" i="7"/>
  <c r="S252" i="7"/>
  <c r="H252" i="7"/>
  <c r="G252" i="7"/>
  <c r="D252" i="7"/>
  <c r="E252" i="7" s="1"/>
  <c r="F252" i="7" s="1"/>
  <c r="J252" i="7" s="1"/>
  <c r="C252" i="7"/>
  <c r="B252" i="7"/>
  <c r="A252" i="7"/>
  <c r="S251" i="7"/>
  <c r="I251" i="7"/>
  <c r="H251" i="7"/>
  <c r="D251" i="7"/>
  <c r="E251" i="7" s="1"/>
  <c r="C251" i="7"/>
  <c r="B251" i="7"/>
  <c r="A251" i="7"/>
  <c r="V250" i="7"/>
  <c r="S250" i="7"/>
  <c r="H250" i="7"/>
  <c r="D250" i="7"/>
  <c r="E250" i="7" s="1"/>
  <c r="F250" i="7" s="1"/>
  <c r="J250" i="7" s="1"/>
  <c r="C250" i="7"/>
  <c r="B250" i="7"/>
  <c r="A250" i="7"/>
  <c r="V249" i="7"/>
  <c r="S249" i="7"/>
  <c r="H249" i="7"/>
  <c r="G249" i="7"/>
  <c r="D249" i="7"/>
  <c r="E249" i="7" s="1"/>
  <c r="F249" i="7" s="1"/>
  <c r="J249" i="7" s="1"/>
  <c r="C249" i="7"/>
  <c r="B249" i="7"/>
  <c r="A249" i="7"/>
  <c r="V248" i="7"/>
  <c r="S248" i="7"/>
  <c r="I248" i="7"/>
  <c r="H248" i="7"/>
  <c r="G248" i="7"/>
  <c r="D248" i="7"/>
  <c r="E248" i="7" s="1"/>
  <c r="F248" i="7" s="1"/>
  <c r="B274" i="7" s="1"/>
  <c r="C248" i="7"/>
  <c r="B248" i="7"/>
  <c r="A248" i="7"/>
  <c r="V247" i="7"/>
  <c r="S247" i="7"/>
  <c r="H247" i="7"/>
  <c r="G247" i="7"/>
  <c r="D247" i="7"/>
  <c r="E247" i="7" s="1"/>
  <c r="F247" i="7" s="1"/>
  <c r="J247" i="7" s="1"/>
  <c r="C247" i="7"/>
  <c r="B247" i="7"/>
  <c r="A247" i="7"/>
  <c r="V246" i="7"/>
  <c r="S246" i="7"/>
  <c r="H246" i="7"/>
  <c r="G246" i="7"/>
  <c r="D246" i="7"/>
  <c r="E246" i="7" s="1"/>
  <c r="F246" i="7" s="1"/>
  <c r="J246" i="7" s="1"/>
  <c r="C246" i="7"/>
  <c r="B246" i="7"/>
  <c r="A246" i="7"/>
  <c r="V245" i="7"/>
  <c r="S245" i="7"/>
  <c r="H245" i="7"/>
  <c r="D245" i="7"/>
  <c r="E245" i="7" s="1"/>
  <c r="F245" i="7" s="1"/>
  <c r="J245" i="7" s="1"/>
  <c r="C245" i="7"/>
  <c r="B245" i="7"/>
  <c r="A245" i="7"/>
  <c r="V244" i="7"/>
  <c r="T244" i="7"/>
  <c r="T245" i="7" s="1"/>
  <c r="T246" i="7" s="1"/>
  <c r="F244" i="7" s="1"/>
  <c r="J244" i="7" s="1"/>
  <c r="R244" i="7"/>
  <c r="R245" i="7" s="1"/>
  <c r="I244" i="7"/>
  <c r="H244" i="7"/>
  <c r="G244" i="7"/>
  <c r="C244" i="7"/>
  <c r="B244" i="7"/>
  <c r="A244" i="7"/>
  <c r="V228" i="7"/>
  <c r="S228" i="7"/>
  <c r="I228" i="7"/>
  <c r="H228" i="7"/>
  <c r="D228" i="7"/>
  <c r="E228" i="7" s="1"/>
  <c r="F228" i="7" s="1"/>
  <c r="J228" i="7" s="1"/>
  <c r="C228" i="7"/>
  <c r="O228" i="7" s="1"/>
  <c r="B228" i="7"/>
  <c r="A228" i="7"/>
  <c r="V227" i="7"/>
  <c r="I227" i="7"/>
  <c r="H227" i="7"/>
  <c r="G227" i="7"/>
  <c r="D227" i="7"/>
  <c r="E227" i="7" s="1"/>
  <c r="F227" i="7" s="1"/>
  <c r="C227" i="7"/>
  <c r="B227" i="7"/>
  <c r="A227" i="7"/>
  <c r="V226" i="7"/>
  <c r="I226" i="7"/>
  <c r="H226" i="7"/>
  <c r="G226" i="7"/>
  <c r="D226" i="7"/>
  <c r="E226" i="7" s="1"/>
  <c r="F226" i="7" s="1"/>
  <c r="C226" i="7"/>
  <c r="B226" i="7"/>
  <c r="A226" i="7"/>
  <c r="V225" i="7"/>
  <c r="I225" i="7"/>
  <c r="H225" i="7"/>
  <c r="G225" i="7"/>
  <c r="D225" i="7"/>
  <c r="E225" i="7" s="1"/>
  <c r="F225" i="7" s="1"/>
  <c r="C225" i="7"/>
  <c r="B225" i="7"/>
  <c r="A225" i="7"/>
  <c r="V224" i="7"/>
  <c r="S224" i="7"/>
  <c r="I224" i="7"/>
  <c r="H224" i="7"/>
  <c r="D224" i="7"/>
  <c r="E224" i="7" s="1"/>
  <c r="F224" i="7" s="1"/>
  <c r="J224" i="7" s="1"/>
  <c r="C224" i="7"/>
  <c r="O224" i="7" s="1"/>
  <c r="B224" i="7"/>
  <c r="A224" i="7"/>
  <c r="V223" i="7"/>
  <c r="I223" i="7"/>
  <c r="H223" i="7"/>
  <c r="G223" i="7"/>
  <c r="D223" i="7"/>
  <c r="E223" i="7" s="1"/>
  <c r="F223" i="7" s="1"/>
  <c r="C223" i="7"/>
  <c r="B223" i="7"/>
  <c r="A223" i="7"/>
  <c r="V222" i="7"/>
  <c r="I222" i="7"/>
  <c r="H222" i="7"/>
  <c r="G222" i="7"/>
  <c r="D222" i="7"/>
  <c r="E222" i="7" s="1"/>
  <c r="F222" i="7" s="1"/>
  <c r="C222" i="7"/>
  <c r="B222" i="7"/>
  <c r="A222" i="7"/>
  <c r="V221" i="7"/>
  <c r="I221" i="7"/>
  <c r="H221" i="7"/>
  <c r="G221" i="7"/>
  <c r="D221" i="7"/>
  <c r="E221" i="7" s="1"/>
  <c r="F221" i="7" s="1"/>
  <c r="C221" i="7"/>
  <c r="B221" i="7"/>
  <c r="A221" i="7"/>
  <c r="V220" i="7"/>
  <c r="I220" i="7"/>
  <c r="H220" i="7"/>
  <c r="G220" i="7"/>
  <c r="D220" i="7"/>
  <c r="E220" i="7" s="1"/>
  <c r="F220" i="7" s="1"/>
  <c r="C220" i="7"/>
  <c r="B220" i="7"/>
  <c r="A220" i="7"/>
  <c r="V219" i="7"/>
  <c r="S219" i="7"/>
  <c r="I219" i="7"/>
  <c r="H219" i="7"/>
  <c r="G219" i="7"/>
  <c r="D219" i="7"/>
  <c r="E219" i="7" s="1"/>
  <c r="F219" i="7" s="1"/>
  <c r="C219" i="7"/>
  <c r="B219" i="7"/>
  <c r="A219" i="7"/>
  <c r="V218" i="7"/>
  <c r="S218" i="7"/>
  <c r="I218" i="7"/>
  <c r="H218" i="7"/>
  <c r="G218" i="7"/>
  <c r="F218" i="7"/>
  <c r="B233" i="7" s="1"/>
  <c r="B234" i="7" s="1"/>
  <c r="D218" i="7"/>
  <c r="E218" i="7" s="1"/>
  <c r="C218" i="7"/>
  <c r="B218" i="7"/>
  <c r="A218" i="7"/>
  <c r="V217" i="7"/>
  <c r="S217" i="7"/>
  <c r="I217" i="7"/>
  <c r="H217" i="7"/>
  <c r="G217" i="7"/>
  <c r="D217" i="7"/>
  <c r="E217" i="7" s="1"/>
  <c r="F217" i="7" s="1"/>
  <c r="C217" i="7"/>
  <c r="B217" i="7"/>
  <c r="A217" i="7"/>
  <c r="V216" i="7"/>
  <c r="S216" i="7"/>
  <c r="I216" i="7"/>
  <c r="H216" i="7"/>
  <c r="D216" i="7"/>
  <c r="E216" i="7" s="1"/>
  <c r="F216" i="7" s="1"/>
  <c r="J216" i="7" s="1"/>
  <c r="C216" i="7"/>
  <c r="B216" i="7"/>
  <c r="A216" i="7"/>
  <c r="V215" i="7"/>
  <c r="S215" i="7"/>
  <c r="I215" i="7"/>
  <c r="H215" i="7"/>
  <c r="G215" i="7"/>
  <c r="D215" i="7"/>
  <c r="E215" i="7" s="1"/>
  <c r="F215" i="7" s="1"/>
  <c r="J215" i="7" s="1"/>
  <c r="C215" i="7"/>
  <c r="B215" i="7"/>
  <c r="A215" i="7"/>
  <c r="V214" i="7"/>
  <c r="I214" i="7"/>
  <c r="H214" i="7"/>
  <c r="G214" i="7"/>
  <c r="D214" i="7"/>
  <c r="E214" i="7" s="1"/>
  <c r="F214" i="7" s="1"/>
  <c r="J214" i="7" s="1"/>
  <c r="C214" i="7"/>
  <c r="B214" i="7"/>
  <c r="A214" i="7"/>
  <c r="V213" i="7"/>
  <c r="S213" i="7"/>
  <c r="I213" i="7"/>
  <c r="H213" i="7"/>
  <c r="G213" i="7"/>
  <c r="D213" i="7"/>
  <c r="E213" i="7" s="1"/>
  <c r="F213" i="7" s="1"/>
  <c r="J213" i="7" s="1"/>
  <c r="C213" i="7"/>
  <c r="B213" i="7"/>
  <c r="A213" i="7"/>
  <c r="V212" i="7"/>
  <c r="I212" i="7"/>
  <c r="D212" i="7"/>
  <c r="E212" i="7" s="1"/>
  <c r="F212" i="7" s="1"/>
  <c r="B231" i="7" s="1"/>
  <c r="C212" i="7"/>
  <c r="B212" i="7"/>
  <c r="A212" i="7"/>
  <c r="V211" i="7"/>
  <c r="I211" i="7"/>
  <c r="F211" i="7"/>
  <c r="B230" i="7" s="1"/>
  <c r="D211" i="7"/>
  <c r="E211" i="7" s="1"/>
  <c r="C211" i="7"/>
  <c r="B211" i="7"/>
  <c r="A211" i="7"/>
  <c r="V210" i="7"/>
  <c r="S210" i="7"/>
  <c r="D210" i="7"/>
  <c r="E210" i="7" s="1"/>
  <c r="F210" i="7" s="1"/>
  <c r="J210" i="7" s="1"/>
  <c r="C210" i="7"/>
  <c r="B210" i="7"/>
  <c r="A210" i="7"/>
  <c r="S209" i="7"/>
  <c r="I209" i="7"/>
  <c r="D209" i="7"/>
  <c r="E209" i="7" s="1"/>
  <c r="C209" i="7"/>
  <c r="B209" i="7"/>
  <c r="A209" i="7"/>
  <c r="V208" i="7"/>
  <c r="S208" i="7"/>
  <c r="D208" i="7"/>
  <c r="E208" i="7" s="1"/>
  <c r="F208" i="7" s="1"/>
  <c r="J208" i="7" s="1"/>
  <c r="C208" i="7"/>
  <c r="B208" i="7"/>
  <c r="A208" i="7"/>
  <c r="V207" i="7"/>
  <c r="S207" i="7"/>
  <c r="D207" i="7"/>
  <c r="E207" i="7" s="1"/>
  <c r="F207" i="7" s="1"/>
  <c r="J207" i="7" s="1"/>
  <c r="C207" i="7"/>
  <c r="B207" i="7"/>
  <c r="A207" i="7"/>
  <c r="V206" i="7"/>
  <c r="S206" i="7"/>
  <c r="I206" i="7"/>
  <c r="D206" i="7"/>
  <c r="E206" i="7" s="1"/>
  <c r="F206" i="7" s="1"/>
  <c r="B232" i="7" s="1"/>
  <c r="C206" i="7"/>
  <c r="B206" i="7"/>
  <c r="A206" i="7"/>
  <c r="V205" i="7"/>
  <c r="S205" i="7"/>
  <c r="D205" i="7"/>
  <c r="E205" i="7" s="1"/>
  <c r="F205" i="7" s="1"/>
  <c r="J205" i="7" s="1"/>
  <c r="C205" i="7"/>
  <c r="B205" i="7"/>
  <c r="A205" i="7"/>
  <c r="V204" i="7"/>
  <c r="S204" i="7"/>
  <c r="D204" i="7"/>
  <c r="E204" i="7" s="1"/>
  <c r="F204" i="7" s="1"/>
  <c r="J204" i="7" s="1"/>
  <c r="C204" i="7"/>
  <c r="B204" i="7"/>
  <c r="A204" i="7"/>
  <c r="V203" i="7"/>
  <c r="S203" i="7"/>
  <c r="D203" i="7"/>
  <c r="E203" i="7" s="1"/>
  <c r="F203" i="7" s="1"/>
  <c r="J203" i="7" s="1"/>
  <c r="C203" i="7"/>
  <c r="B203" i="7"/>
  <c r="A203" i="7"/>
  <c r="V202" i="7"/>
  <c r="T202" i="7"/>
  <c r="T203" i="7" s="1"/>
  <c r="T204" i="7" s="1"/>
  <c r="F202" i="7" s="1"/>
  <c r="J202" i="7" s="1"/>
  <c r="R202" i="7"/>
  <c r="R203" i="7" s="1"/>
  <c r="I202" i="7"/>
  <c r="C202" i="7"/>
  <c r="B202" i="7"/>
  <c r="A202" i="7"/>
  <c r="S186" i="7"/>
  <c r="I186" i="7"/>
  <c r="H186" i="7"/>
  <c r="D186" i="7"/>
  <c r="E186" i="7" s="1"/>
  <c r="F186" i="7" s="1"/>
  <c r="J186" i="7" s="1"/>
  <c r="C186" i="7"/>
  <c r="O186" i="7" s="1"/>
  <c r="B186" i="7"/>
  <c r="A186" i="7"/>
  <c r="V185" i="7"/>
  <c r="I185" i="7"/>
  <c r="H185" i="7"/>
  <c r="G185" i="7"/>
  <c r="D185" i="7"/>
  <c r="E185" i="7" s="1"/>
  <c r="F185" i="7" s="1"/>
  <c r="C185" i="7"/>
  <c r="B185" i="7"/>
  <c r="A185" i="7"/>
  <c r="V184" i="7"/>
  <c r="I184" i="7"/>
  <c r="H184" i="7"/>
  <c r="G184" i="7"/>
  <c r="D184" i="7"/>
  <c r="E184" i="7" s="1"/>
  <c r="F184" i="7" s="1"/>
  <c r="C184" i="7"/>
  <c r="B184" i="7"/>
  <c r="A184" i="7"/>
  <c r="V183" i="7"/>
  <c r="I183" i="7"/>
  <c r="H183" i="7"/>
  <c r="G183" i="7"/>
  <c r="D183" i="7"/>
  <c r="E183" i="7" s="1"/>
  <c r="F183" i="7" s="1"/>
  <c r="C183" i="7"/>
  <c r="B183" i="7"/>
  <c r="A183" i="7"/>
  <c r="V182" i="7"/>
  <c r="S182" i="7"/>
  <c r="I182" i="7"/>
  <c r="H182" i="7"/>
  <c r="D182" i="7"/>
  <c r="E182" i="7" s="1"/>
  <c r="F182" i="7" s="1"/>
  <c r="J182" i="7" s="1"/>
  <c r="C182" i="7"/>
  <c r="O182" i="7" s="1"/>
  <c r="B182" i="7"/>
  <c r="A182" i="7"/>
  <c r="V181" i="7"/>
  <c r="I181" i="7"/>
  <c r="H181" i="7"/>
  <c r="G181" i="7"/>
  <c r="D181" i="7"/>
  <c r="E181" i="7" s="1"/>
  <c r="F181" i="7" s="1"/>
  <c r="C181" i="7"/>
  <c r="B181" i="7"/>
  <c r="A181" i="7"/>
  <c r="V180" i="7"/>
  <c r="I180" i="7"/>
  <c r="H180" i="7"/>
  <c r="G180" i="7"/>
  <c r="D180" i="7"/>
  <c r="E180" i="7" s="1"/>
  <c r="F180" i="7" s="1"/>
  <c r="C180" i="7"/>
  <c r="B180" i="7"/>
  <c r="A180" i="7"/>
  <c r="V179" i="7"/>
  <c r="I179" i="7"/>
  <c r="H179" i="7"/>
  <c r="G179" i="7"/>
  <c r="D179" i="7"/>
  <c r="E179" i="7" s="1"/>
  <c r="F179" i="7" s="1"/>
  <c r="C179" i="7"/>
  <c r="B179" i="7"/>
  <c r="A179" i="7"/>
  <c r="V178" i="7"/>
  <c r="I178" i="7"/>
  <c r="H178" i="7"/>
  <c r="G178" i="7"/>
  <c r="D178" i="7"/>
  <c r="E178" i="7" s="1"/>
  <c r="F178" i="7" s="1"/>
  <c r="C178" i="7"/>
  <c r="B178" i="7"/>
  <c r="A178" i="7"/>
  <c r="V177" i="7"/>
  <c r="S177" i="7"/>
  <c r="I177" i="7"/>
  <c r="H177" i="7"/>
  <c r="G177" i="7"/>
  <c r="D177" i="7"/>
  <c r="E177" i="7" s="1"/>
  <c r="F177" i="7" s="1"/>
  <c r="C177" i="7"/>
  <c r="B177" i="7"/>
  <c r="A177" i="7"/>
  <c r="V176" i="7"/>
  <c r="S176" i="7"/>
  <c r="I176" i="7"/>
  <c r="H176" i="7"/>
  <c r="G176" i="7"/>
  <c r="F176" i="7"/>
  <c r="B191" i="7" s="1"/>
  <c r="B192" i="7" s="1"/>
  <c r="D176" i="7"/>
  <c r="E176" i="7" s="1"/>
  <c r="C176" i="7"/>
  <c r="B176" i="7"/>
  <c r="A176" i="7"/>
  <c r="V175" i="7"/>
  <c r="S175" i="7"/>
  <c r="I175" i="7"/>
  <c r="H175" i="7"/>
  <c r="G175" i="7"/>
  <c r="D175" i="7"/>
  <c r="E175" i="7" s="1"/>
  <c r="F175" i="7" s="1"/>
  <c r="C175" i="7"/>
  <c r="B175" i="7"/>
  <c r="A175" i="7"/>
  <c r="V174" i="7"/>
  <c r="S174" i="7"/>
  <c r="I174" i="7"/>
  <c r="H174" i="7"/>
  <c r="D174" i="7"/>
  <c r="E174" i="7" s="1"/>
  <c r="F174" i="7" s="1"/>
  <c r="J174" i="7" s="1"/>
  <c r="C174" i="7"/>
  <c r="B174" i="7"/>
  <c r="A174" i="7"/>
  <c r="V173" i="7"/>
  <c r="S173" i="7"/>
  <c r="I173" i="7"/>
  <c r="H173" i="7"/>
  <c r="G173" i="7"/>
  <c r="D173" i="7"/>
  <c r="E173" i="7" s="1"/>
  <c r="F173" i="7" s="1"/>
  <c r="J173" i="7" s="1"/>
  <c r="C173" i="7"/>
  <c r="B173" i="7"/>
  <c r="A173" i="7"/>
  <c r="V172" i="7"/>
  <c r="I172" i="7"/>
  <c r="H172" i="7"/>
  <c r="G172" i="7"/>
  <c r="D172" i="7"/>
  <c r="E172" i="7" s="1"/>
  <c r="F172" i="7" s="1"/>
  <c r="J172" i="7" s="1"/>
  <c r="C172" i="7"/>
  <c r="B172" i="7"/>
  <c r="A172" i="7"/>
  <c r="V171" i="7"/>
  <c r="S171" i="7"/>
  <c r="I171" i="7"/>
  <c r="H171" i="7"/>
  <c r="G171" i="7"/>
  <c r="D171" i="7"/>
  <c r="E171" i="7" s="1"/>
  <c r="F171" i="7" s="1"/>
  <c r="J171" i="7" s="1"/>
  <c r="C171" i="7"/>
  <c r="B171" i="7"/>
  <c r="A171" i="7"/>
  <c r="V170" i="7"/>
  <c r="I170" i="7"/>
  <c r="H170" i="7"/>
  <c r="G170" i="7"/>
  <c r="D170" i="7"/>
  <c r="E170" i="7" s="1"/>
  <c r="F170" i="7" s="1"/>
  <c r="B189" i="7" s="1"/>
  <c r="C170" i="7"/>
  <c r="B170" i="7"/>
  <c r="A170" i="7"/>
  <c r="V169" i="7"/>
  <c r="I169" i="7"/>
  <c r="H169" i="7"/>
  <c r="G169" i="7"/>
  <c r="F169" i="7"/>
  <c r="B188" i="7" s="1"/>
  <c r="D169" i="7"/>
  <c r="E169" i="7" s="1"/>
  <c r="C169" i="7"/>
  <c r="B169" i="7"/>
  <c r="A169" i="7"/>
  <c r="V168" i="7"/>
  <c r="S168" i="7"/>
  <c r="H168" i="7"/>
  <c r="G168" i="7"/>
  <c r="D168" i="7"/>
  <c r="E168" i="7" s="1"/>
  <c r="F168" i="7" s="1"/>
  <c r="J168" i="7" s="1"/>
  <c r="C168" i="7"/>
  <c r="B168" i="7"/>
  <c r="A168" i="7"/>
  <c r="V167" i="7"/>
  <c r="S167" i="7"/>
  <c r="I167" i="7"/>
  <c r="H167" i="7"/>
  <c r="D167" i="7"/>
  <c r="E167" i="7" s="1"/>
  <c r="F167" i="7" s="1"/>
  <c r="J167" i="7" s="1"/>
  <c r="C167" i="7"/>
  <c r="B167" i="7"/>
  <c r="A167" i="7"/>
  <c r="V166" i="7"/>
  <c r="S166" i="7"/>
  <c r="H166" i="7"/>
  <c r="D166" i="7"/>
  <c r="E166" i="7" s="1"/>
  <c r="F166" i="7" s="1"/>
  <c r="J166" i="7" s="1"/>
  <c r="C166" i="7"/>
  <c r="B166" i="7"/>
  <c r="A166" i="7"/>
  <c r="V165" i="7"/>
  <c r="S165" i="7"/>
  <c r="H165" i="7"/>
  <c r="G165" i="7"/>
  <c r="D165" i="7"/>
  <c r="E165" i="7" s="1"/>
  <c r="F165" i="7" s="1"/>
  <c r="J165" i="7" s="1"/>
  <c r="C165" i="7"/>
  <c r="B165" i="7"/>
  <c r="A165" i="7"/>
  <c r="V164" i="7"/>
  <c r="S164" i="7"/>
  <c r="I164" i="7"/>
  <c r="H164" i="7"/>
  <c r="G164" i="7"/>
  <c r="D164" i="7"/>
  <c r="E164" i="7" s="1"/>
  <c r="F164" i="7" s="1"/>
  <c r="B190" i="7" s="1"/>
  <c r="C164" i="7"/>
  <c r="B164" i="7"/>
  <c r="A164" i="7"/>
  <c r="V163" i="7"/>
  <c r="S163" i="7"/>
  <c r="H163" i="7"/>
  <c r="G163" i="7"/>
  <c r="D163" i="7"/>
  <c r="E163" i="7" s="1"/>
  <c r="F163" i="7" s="1"/>
  <c r="J163" i="7" s="1"/>
  <c r="C163" i="7"/>
  <c r="B163" i="7"/>
  <c r="A163" i="7"/>
  <c r="V162" i="7"/>
  <c r="S162" i="7"/>
  <c r="H162" i="7"/>
  <c r="G162" i="7"/>
  <c r="D162" i="7"/>
  <c r="E162" i="7" s="1"/>
  <c r="F162" i="7" s="1"/>
  <c r="J162" i="7" s="1"/>
  <c r="C162" i="7"/>
  <c r="B162" i="7"/>
  <c r="A162" i="7"/>
  <c r="V161" i="7"/>
  <c r="S161" i="7"/>
  <c r="H161" i="7"/>
  <c r="D161" i="7"/>
  <c r="E161" i="7" s="1"/>
  <c r="F161" i="7" s="1"/>
  <c r="J161" i="7" s="1"/>
  <c r="C161" i="7"/>
  <c r="B161" i="7"/>
  <c r="A161" i="7"/>
  <c r="V160" i="7"/>
  <c r="T160" i="7"/>
  <c r="T161" i="7" s="1"/>
  <c r="T162" i="7" s="1"/>
  <c r="F160" i="7" s="1"/>
  <c r="J160" i="7" s="1"/>
  <c r="R160" i="7"/>
  <c r="R161" i="7" s="1"/>
  <c r="I160" i="7"/>
  <c r="H160" i="7"/>
  <c r="G160" i="7"/>
  <c r="C160" i="7"/>
  <c r="B160" i="7"/>
  <c r="A160" i="7"/>
  <c r="V144" i="7"/>
  <c r="S144" i="7"/>
  <c r="I144" i="7"/>
  <c r="H144" i="7"/>
  <c r="D144" i="7"/>
  <c r="E144" i="7" s="1"/>
  <c r="F144" i="7" s="1"/>
  <c r="J144" i="7" s="1"/>
  <c r="C144" i="7"/>
  <c r="O144" i="7" s="1"/>
  <c r="B144" i="7"/>
  <c r="A144" i="7"/>
  <c r="V143" i="7"/>
  <c r="I143" i="7"/>
  <c r="H143" i="7"/>
  <c r="G143" i="7"/>
  <c r="D143" i="7"/>
  <c r="E143" i="7" s="1"/>
  <c r="F143" i="7" s="1"/>
  <c r="C143" i="7"/>
  <c r="B143" i="7"/>
  <c r="A143" i="7"/>
  <c r="V142" i="7"/>
  <c r="I142" i="7"/>
  <c r="H142" i="7"/>
  <c r="D142" i="7"/>
  <c r="E142" i="7" s="1"/>
  <c r="F142" i="7" s="1"/>
  <c r="C142" i="7"/>
  <c r="B142" i="7"/>
  <c r="A142" i="7"/>
  <c r="V141" i="7"/>
  <c r="I141" i="7"/>
  <c r="D141" i="7"/>
  <c r="E141" i="7" s="1"/>
  <c r="F141" i="7" s="1"/>
  <c r="C141" i="7"/>
  <c r="B141" i="7"/>
  <c r="A141" i="7"/>
  <c r="V140" i="7"/>
  <c r="S140" i="7"/>
  <c r="I140" i="7"/>
  <c r="D140" i="7"/>
  <c r="E140" i="7" s="1"/>
  <c r="F140" i="7" s="1"/>
  <c r="J140" i="7" s="1"/>
  <c r="C140" i="7"/>
  <c r="O140" i="7" s="1"/>
  <c r="B140" i="7"/>
  <c r="A140" i="7"/>
  <c r="V139" i="7"/>
  <c r="I139" i="7"/>
  <c r="D139" i="7"/>
  <c r="E139" i="7" s="1"/>
  <c r="F139" i="7" s="1"/>
  <c r="C139" i="7"/>
  <c r="B139" i="7"/>
  <c r="A139" i="7"/>
  <c r="V138" i="7"/>
  <c r="I138" i="7"/>
  <c r="D138" i="7"/>
  <c r="E138" i="7" s="1"/>
  <c r="F138" i="7" s="1"/>
  <c r="C138" i="7"/>
  <c r="B138" i="7"/>
  <c r="A138" i="7"/>
  <c r="V137" i="7"/>
  <c r="I137" i="7"/>
  <c r="D137" i="7"/>
  <c r="E137" i="7" s="1"/>
  <c r="F137" i="7" s="1"/>
  <c r="C137" i="7"/>
  <c r="B137" i="7"/>
  <c r="A137" i="7"/>
  <c r="V136" i="7"/>
  <c r="I136" i="7"/>
  <c r="D136" i="7"/>
  <c r="E136" i="7" s="1"/>
  <c r="F136" i="7" s="1"/>
  <c r="C136" i="7"/>
  <c r="B136" i="7"/>
  <c r="A136" i="7"/>
  <c r="V135" i="7"/>
  <c r="S135" i="7"/>
  <c r="I135" i="7"/>
  <c r="D135" i="7"/>
  <c r="E135" i="7" s="1"/>
  <c r="F135" i="7" s="1"/>
  <c r="C135" i="7"/>
  <c r="B135" i="7"/>
  <c r="A135" i="7"/>
  <c r="V134" i="7"/>
  <c r="S134" i="7"/>
  <c r="I134" i="7"/>
  <c r="F134" i="7"/>
  <c r="B149" i="7" s="1"/>
  <c r="B150" i="7" s="1"/>
  <c r="D134" i="7"/>
  <c r="E134" i="7" s="1"/>
  <c r="C134" i="7"/>
  <c r="B134" i="7"/>
  <c r="A134" i="7"/>
  <c r="V133" i="7"/>
  <c r="S133" i="7"/>
  <c r="I133" i="7"/>
  <c r="D133" i="7"/>
  <c r="E133" i="7" s="1"/>
  <c r="F133" i="7" s="1"/>
  <c r="C133" i="7"/>
  <c r="B133" i="7"/>
  <c r="A133" i="7"/>
  <c r="V132" i="7"/>
  <c r="S132" i="7"/>
  <c r="I132" i="7"/>
  <c r="D132" i="7"/>
  <c r="E132" i="7" s="1"/>
  <c r="F132" i="7" s="1"/>
  <c r="J132" i="7" s="1"/>
  <c r="C132" i="7"/>
  <c r="B132" i="7"/>
  <c r="A132" i="7"/>
  <c r="V131" i="7"/>
  <c r="S131" i="7"/>
  <c r="I131" i="7"/>
  <c r="D131" i="7"/>
  <c r="E131" i="7" s="1"/>
  <c r="F131" i="7" s="1"/>
  <c r="J131" i="7" s="1"/>
  <c r="C131" i="7"/>
  <c r="B131" i="7"/>
  <c r="A131" i="7"/>
  <c r="V130" i="7"/>
  <c r="I130" i="7"/>
  <c r="D130" i="7"/>
  <c r="E130" i="7" s="1"/>
  <c r="F130" i="7" s="1"/>
  <c r="J130" i="7" s="1"/>
  <c r="C130" i="7"/>
  <c r="B130" i="7"/>
  <c r="A130" i="7"/>
  <c r="V129" i="7"/>
  <c r="S129" i="7"/>
  <c r="I129" i="7"/>
  <c r="D129" i="7"/>
  <c r="E129" i="7" s="1"/>
  <c r="C129" i="7"/>
  <c r="B129" i="7"/>
  <c r="A129" i="7"/>
  <c r="V128" i="7"/>
  <c r="I128" i="7"/>
  <c r="D128" i="7"/>
  <c r="E128" i="7" s="1"/>
  <c r="F128" i="7" s="1"/>
  <c r="B147" i="7" s="1"/>
  <c r="C128" i="7"/>
  <c r="B128" i="7"/>
  <c r="A128" i="7"/>
  <c r="V127" i="7"/>
  <c r="I127" i="7"/>
  <c r="F127" i="7"/>
  <c r="B146" i="7" s="1"/>
  <c r="D127" i="7"/>
  <c r="E127" i="7" s="1"/>
  <c r="C127" i="7"/>
  <c r="B127" i="7"/>
  <c r="A127" i="7"/>
  <c r="V126" i="7"/>
  <c r="S126" i="7"/>
  <c r="D126" i="7"/>
  <c r="E126" i="7" s="1"/>
  <c r="F126" i="7" s="1"/>
  <c r="J126" i="7" s="1"/>
  <c r="C126" i="7"/>
  <c r="B126" i="7"/>
  <c r="A126" i="7"/>
  <c r="S125" i="7"/>
  <c r="I125" i="7"/>
  <c r="D125" i="7"/>
  <c r="E125" i="7" s="1"/>
  <c r="C125" i="7"/>
  <c r="B125" i="7"/>
  <c r="A125" i="7"/>
  <c r="V124" i="7"/>
  <c r="S124" i="7"/>
  <c r="D124" i="7"/>
  <c r="E124" i="7" s="1"/>
  <c r="F124" i="7" s="1"/>
  <c r="J124" i="7" s="1"/>
  <c r="C124" i="7"/>
  <c r="B124" i="7"/>
  <c r="A124" i="7"/>
  <c r="V123" i="7"/>
  <c r="S123" i="7"/>
  <c r="D123" i="7"/>
  <c r="E123" i="7" s="1"/>
  <c r="F123" i="7" s="1"/>
  <c r="J123" i="7" s="1"/>
  <c r="C123" i="7"/>
  <c r="B123" i="7"/>
  <c r="A123" i="7"/>
  <c r="V122" i="7"/>
  <c r="S122" i="7"/>
  <c r="I122" i="7"/>
  <c r="D122" i="7"/>
  <c r="E122" i="7" s="1"/>
  <c r="F122" i="7" s="1"/>
  <c r="B148" i="7" s="1"/>
  <c r="C122" i="7"/>
  <c r="B122" i="7"/>
  <c r="A122" i="7"/>
  <c r="V121" i="7"/>
  <c r="S121" i="7"/>
  <c r="D121" i="7"/>
  <c r="E121" i="7" s="1"/>
  <c r="F121" i="7" s="1"/>
  <c r="J121" i="7" s="1"/>
  <c r="C121" i="7"/>
  <c r="B121" i="7"/>
  <c r="A121" i="7"/>
  <c r="V120" i="7"/>
  <c r="S120" i="7"/>
  <c r="H120" i="7"/>
  <c r="G120" i="7"/>
  <c r="D120" i="7"/>
  <c r="E120" i="7" s="1"/>
  <c r="F120" i="7" s="1"/>
  <c r="J120" i="7" s="1"/>
  <c r="C120" i="7"/>
  <c r="B120" i="7"/>
  <c r="A120" i="7"/>
  <c r="V119" i="7"/>
  <c r="S119" i="7"/>
  <c r="H119" i="7"/>
  <c r="D119" i="7"/>
  <c r="E119" i="7" s="1"/>
  <c r="F119" i="7" s="1"/>
  <c r="J119" i="7" s="1"/>
  <c r="C119" i="7"/>
  <c r="B119" i="7"/>
  <c r="A119" i="7"/>
  <c r="V118" i="7"/>
  <c r="T118" i="7"/>
  <c r="T119" i="7" s="1"/>
  <c r="T120" i="7" s="1"/>
  <c r="F118" i="7" s="1"/>
  <c r="J118" i="7" s="1"/>
  <c r="R118" i="7"/>
  <c r="R119" i="7" s="1"/>
  <c r="I118" i="7"/>
  <c r="H118" i="7"/>
  <c r="G118" i="7"/>
  <c r="C118" i="7"/>
  <c r="B118" i="7"/>
  <c r="A118" i="7"/>
  <c r="V102" i="7"/>
  <c r="S102" i="7"/>
  <c r="I102" i="7"/>
  <c r="H102" i="7"/>
  <c r="D102" i="7"/>
  <c r="E102" i="7" s="1"/>
  <c r="F102" i="7" s="1"/>
  <c r="J102" i="7" s="1"/>
  <c r="C102" i="7"/>
  <c r="O102" i="7" s="1"/>
  <c r="B102" i="7"/>
  <c r="A102" i="7"/>
  <c r="V101" i="7"/>
  <c r="I101" i="7"/>
  <c r="H101" i="7"/>
  <c r="G101" i="7"/>
  <c r="D101" i="7"/>
  <c r="E101" i="7" s="1"/>
  <c r="F101" i="7" s="1"/>
  <c r="C101" i="7"/>
  <c r="B101" i="7"/>
  <c r="A101" i="7"/>
  <c r="V100" i="7"/>
  <c r="I100" i="7"/>
  <c r="H100" i="7"/>
  <c r="G100" i="7"/>
  <c r="D100" i="7"/>
  <c r="E100" i="7" s="1"/>
  <c r="F100" i="7" s="1"/>
  <c r="C100" i="7"/>
  <c r="B100" i="7"/>
  <c r="A100" i="7"/>
  <c r="V99" i="7"/>
  <c r="I99" i="7"/>
  <c r="H99" i="7"/>
  <c r="G99" i="7"/>
  <c r="D99" i="7"/>
  <c r="E99" i="7" s="1"/>
  <c r="F99" i="7" s="1"/>
  <c r="C99" i="7"/>
  <c r="B99" i="7"/>
  <c r="A99" i="7"/>
  <c r="V98" i="7"/>
  <c r="S98" i="7"/>
  <c r="I98" i="7"/>
  <c r="H98" i="7"/>
  <c r="D98" i="7"/>
  <c r="E98" i="7" s="1"/>
  <c r="F98" i="7" s="1"/>
  <c r="J98" i="7" s="1"/>
  <c r="C98" i="7"/>
  <c r="O98" i="7" s="1"/>
  <c r="B98" i="7"/>
  <c r="A98" i="7"/>
  <c r="V97" i="7"/>
  <c r="I97" i="7"/>
  <c r="H97" i="7"/>
  <c r="G97" i="7"/>
  <c r="D97" i="7"/>
  <c r="E97" i="7" s="1"/>
  <c r="F97" i="7" s="1"/>
  <c r="C97" i="7"/>
  <c r="B97" i="7"/>
  <c r="A97" i="7"/>
  <c r="V96" i="7"/>
  <c r="I96" i="7"/>
  <c r="H96" i="7"/>
  <c r="G96" i="7"/>
  <c r="D96" i="7"/>
  <c r="E96" i="7" s="1"/>
  <c r="F96" i="7" s="1"/>
  <c r="C96" i="7"/>
  <c r="B96" i="7"/>
  <c r="A96" i="7"/>
  <c r="V95" i="7"/>
  <c r="I95" i="7"/>
  <c r="H95" i="7"/>
  <c r="G95" i="7"/>
  <c r="D95" i="7"/>
  <c r="E95" i="7" s="1"/>
  <c r="F95" i="7" s="1"/>
  <c r="C95" i="7"/>
  <c r="B95" i="7"/>
  <c r="A95" i="7"/>
  <c r="V94" i="7"/>
  <c r="I94" i="7"/>
  <c r="H94" i="7"/>
  <c r="G94" i="7"/>
  <c r="D94" i="7"/>
  <c r="E94" i="7" s="1"/>
  <c r="F94" i="7" s="1"/>
  <c r="C94" i="7"/>
  <c r="B94" i="7"/>
  <c r="A94" i="7"/>
  <c r="V93" i="7"/>
  <c r="S93" i="7"/>
  <c r="I93" i="7"/>
  <c r="H93" i="7"/>
  <c r="G93" i="7"/>
  <c r="D93" i="7"/>
  <c r="E93" i="7" s="1"/>
  <c r="F93" i="7" s="1"/>
  <c r="C93" i="7"/>
  <c r="B93" i="7"/>
  <c r="A93" i="7"/>
  <c r="V92" i="7"/>
  <c r="S92" i="7"/>
  <c r="I92" i="7"/>
  <c r="H92" i="7"/>
  <c r="G92" i="7"/>
  <c r="F92" i="7"/>
  <c r="B107" i="7" s="1"/>
  <c r="B108" i="7" s="1"/>
  <c r="D92" i="7"/>
  <c r="E92" i="7" s="1"/>
  <c r="C92" i="7"/>
  <c r="B92" i="7"/>
  <c r="A92" i="7"/>
  <c r="V91" i="7"/>
  <c r="S91" i="7"/>
  <c r="I91" i="7"/>
  <c r="H91" i="7"/>
  <c r="G91" i="7"/>
  <c r="D91" i="7"/>
  <c r="E91" i="7" s="1"/>
  <c r="F91" i="7" s="1"/>
  <c r="C91" i="7"/>
  <c r="B91" i="7"/>
  <c r="A91" i="7"/>
  <c r="V90" i="7"/>
  <c r="S90" i="7"/>
  <c r="I90" i="7"/>
  <c r="H90" i="7"/>
  <c r="D90" i="7"/>
  <c r="E90" i="7" s="1"/>
  <c r="F90" i="7" s="1"/>
  <c r="J90" i="7" s="1"/>
  <c r="C90" i="7"/>
  <c r="B90" i="7"/>
  <c r="A90" i="7"/>
  <c r="V89" i="7"/>
  <c r="S89" i="7"/>
  <c r="I89" i="7"/>
  <c r="H89" i="7"/>
  <c r="G89" i="7"/>
  <c r="D89" i="7"/>
  <c r="E89" i="7" s="1"/>
  <c r="F89" i="7" s="1"/>
  <c r="J89" i="7" s="1"/>
  <c r="C89" i="7"/>
  <c r="B89" i="7"/>
  <c r="A89" i="7"/>
  <c r="V88" i="7"/>
  <c r="I88" i="7"/>
  <c r="H88" i="7"/>
  <c r="G88" i="7"/>
  <c r="D88" i="7"/>
  <c r="E88" i="7" s="1"/>
  <c r="F88" i="7" s="1"/>
  <c r="J88" i="7" s="1"/>
  <c r="C88" i="7"/>
  <c r="B88" i="7"/>
  <c r="A88" i="7"/>
  <c r="V87" i="7"/>
  <c r="S87" i="7"/>
  <c r="I87" i="7"/>
  <c r="H87" i="7"/>
  <c r="G87" i="7"/>
  <c r="D87" i="7"/>
  <c r="E87" i="7" s="1"/>
  <c r="F87" i="7" s="1"/>
  <c r="J87" i="7" s="1"/>
  <c r="C87" i="7"/>
  <c r="B87" i="7"/>
  <c r="A87" i="7"/>
  <c r="V86" i="7"/>
  <c r="I86" i="7"/>
  <c r="H86" i="7"/>
  <c r="G86" i="7"/>
  <c r="D86" i="7"/>
  <c r="E86" i="7" s="1"/>
  <c r="F86" i="7" s="1"/>
  <c r="B105" i="7" s="1"/>
  <c r="C86" i="7"/>
  <c r="B86" i="7"/>
  <c r="A86" i="7"/>
  <c r="V85" i="7"/>
  <c r="I85" i="7"/>
  <c r="H85" i="7"/>
  <c r="G85" i="7"/>
  <c r="F85" i="7"/>
  <c r="B104" i="7" s="1"/>
  <c r="D85" i="7"/>
  <c r="E85" i="7" s="1"/>
  <c r="C85" i="7"/>
  <c r="B85" i="7"/>
  <c r="A85" i="7"/>
  <c r="V84" i="7"/>
  <c r="S84" i="7"/>
  <c r="H84" i="7"/>
  <c r="G84" i="7"/>
  <c r="D84" i="7"/>
  <c r="E84" i="7" s="1"/>
  <c r="F84" i="7" s="1"/>
  <c r="J84" i="7" s="1"/>
  <c r="C84" i="7"/>
  <c r="B84" i="7"/>
  <c r="A84" i="7"/>
  <c r="S83" i="7"/>
  <c r="I83" i="7"/>
  <c r="H83" i="7"/>
  <c r="D83" i="7"/>
  <c r="E83" i="7" s="1"/>
  <c r="F83" i="7" s="1"/>
  <c r="J83" i="7" s="1"/>
  <c r="C83" i="7"/>
  <c r="B83" i="7"/>
  <c r="A83" i="7"/>
  <c r="V82" i="7"/>
  <c r="S82" i="7"/>
  <c r="H82" i="7"/>
  <c r="D82" i="7"/>
  <c r="E82" i="7" s="1"/>
  <c r="F82" i="7" s="1"/>
  <c r="J82" i="7" s="1"/>
  <c r="C82" i="7"/>
  <c r="B82" i="7"/>
  <c r="A82" i="7"/>
  <c r="V81" i="7"/>
  <c r="S81" i="7"/>
  <c r="H81" i="7"/>
  <c r="G81" i="7"/>
  <c r="D81" i="7"/>
  <c r="E81" i="7" s="1"/>
  <c r="F81" i="7" s="1"/>
  <c r="J81" i="7" s="1"/>
  <c r="C81" i="7"/>
  <c r="B81" i="7"/>
  <c r="A81" i="7"/>
  <c r="V80" i="7"/>
  <c r="S80" i="7"/>
  <c r="I80" i="7"/>
  <c r="H80" i="7"/>
  <c r="G80" i="7"/>
  <c r="D80" i="7"/>
  <c r="E80" i="7" s="1"/>
  <c r="F80" i="7" s="1"/>
  <c r="C80" i="7"/>
  <c r="B80" i="7"/>
  <c r="A80" i="7"/>
  <c r="V79" i="7"/>
  <c r="S79" i="7"/>
  <c r="H79" i="7"/>
  <c r="G79" i="7"/>
  <c r="D79" i="7"/>
  <c r="E79" i="7" s="1"/>
  <c r="F79" i="7" s="1"/>
  <c r="J79" i="7" s="1"/>
  <c r="C79" i="7"/>
  <c r="B79" i="7"/>
  <c r="A79" i="7"/>
  <c r="V78" i="7"/>
  <c r="S78" i="7"/>
  <c r="H78" i="7"/>
  <c r="G78" i="7"/>
  <c r="D78" i="7"/>
  <c r="E78" i="7" s="1"/>
  <c r="F78" i="7" s="1"/>
  <c r="J78" i="7" s="1"/>
  <c r="C78" i="7"/>
  <c r="B78" i="7"/>
  <c r="A78" i="7"/>
  <c r="V77" i="7"/>
  <c r="S77" i="7"/>
  <c r="H77" i="7"/>
  <c r="D77" i="7"/>
  <c r="E77" i="7" s="1"/>
  <c r="F77" i="7" s="1"/>
  <c r="J77" i="7" s="1"/>
  <c r="C77" i="7"/>
  <c r="B77" i="7"/>
  <c r="A77" i="7"/>
  <c r="V76" i="7"/>
  <c r="T76" i="7"/>
  <c r="T77" i="7" s="1"/>
  <c r="T78" i="7" s="1"/>
  <c r="F76" i="7" s="1"/>
  <c r="J76" i="7" s="1"/>
  <c r="R76" i="7"/>
  <c r="R77" i="7" s="1"/>
  <c r="I76" i="7"/>
  <c r="H76" i="7"/>
  <c r="G76" i="7"/>
  <c r="C76" i="7"/>
  <c r="B76" i="7"/>
  <c r="A76" i="7"/>
  <c r="V60" i="7"/>
  <c r="S60" i="7"/>
  <c r="I60" i="7"/>
  <c r="H60" i="7"/>
  <c r="D60" i="7"/>
  <c r="E60" i="7" s="1"/>
  <c r="F60" i="7" s="1"/>
  <c r="J60" i="7" s="1"/>
  <c r="C60" i="7"/>
  <c r="O60" i="7" s="1"/>
  <c r="B60" i="7"/>
  <c r="A60" i="7"/>
  <c r="V59" i="7"/>
  <c r="I59" i="7"/>
  <c r="H59" i="7"/>
  <c r="G59" i="7"/>
  <c r="D59" i="7"/>
  <c r="E59" i="7" s="1"/>
  <c r="F59" i="7" s="1"/>
  <c r="C59" i="7"/>
  <c r="B59" i="7"/>
  <c r="A59" i="7"/>
  <c r="V58" i="7"/>
  <c r="I58" i="7"/>
  <c r="H58" i="7"/>
  <c r="G58" i="7"/>
  <c r="D58" i="7"/>
  <c r="E58" i="7" s="1"/>
  <c r="F58" i="7" s="1"/>
  <c r="C58" i="7"/>
  <c r="B58" i="7"/>
  <c r="A58" i="7"/>
  <c r="V57" i="7"/>
  <c r="I57" i="7"/>
  <c r="H57" i="7"/>
  <c r="G57" i="7"/>
  <c r="D57" i="7"/>
  <c r="E57" i="7" s="1"/>
  <c r="F57" i="7" s="1"/>
  <c r="C57" i="7"/>
  <c r="B57" i="7"/>
  <c r="A57" i="7"/>
  <c r="V56" i="7"/>
  <c r="S56" i="7"/>
  <c r="I56" i="7"/>
  <c r="H56" i="7"/>
  <c r="D56" i="7"/>
  <c r="E56" i="7" s="1"/>
  <c r="F56" i="7" s="1"/>
  <c r="J56" i="7" s="1"/>
  <c r="C56" i="7"/>
  <c r="O56" i="7" s="1"/>
  <c r="B56" i="7"/>
  <c r="A56" i="7"/>
  <c r="V55" i="7"/>
  <c r="I55" i="7"/>
  <c r="H55" i="7"/>
  <c r="G55" i="7"/>
  <c r="D55" i="7"/>
  <c r="E55" i="7" s="1"/>
  <c r="F55" i="7" s="1"/>
  <c r="C55" i="7"/>
  <c r="B55" i="7"/>
  <c r="A55" i="7"/>
  <c r="V54" i="7"/>
  <c r="I54" i="7"/>
  <c r="H54" i="7"/>
  <c r="G54" i="7"/>
  <c r="D54" i="7"/>
  <c r="E54" i="7" s="1"/>
  <c r="F54" i="7" s="1"/>
  <c r="C54" i="7"/>
  <c r="B54" i="7"/>
  <c r="A54" i="7"/>
  <c r="V53" i="7"/>
  <c r="I53" i="7"/>
  <c r="H53" i="7"/>
  <c r="G53" i="7"/>
  <c r="D53" i="7"/>
  <c r="E53" i="7" s="1"/>
  <c r="F53" i="7" s="1"/>
  <c r="C53" i="7"/>
  <c r="B53" i="7"/>
  <c r="A53" i="7"/>
  <c r="V52" i="7"/>
  <c r="I52" i="7"/>
  <c r="H52" i="7"/>
  <c r="G52" i="7"/>
  <c r="D52" i="7"/>
  <c r="E52" i="7" s="1"/>
  <c r="F52" i="7" s="1"/>
  <c r="C52" i="7"/>
  <c r="B52" i="7"/>
  <c r="A52" i="7"/>
  <c r="V51" i="7"/>
  <c r="S51" i="7"/>
  <c r="I51" i="7"/>
  <c r="H51" i="7"/>
  <c r="G51" i="7"/>
  <c r="D51" i="7"/>
  <c r="E51" i="7" s="1"/>
  <c r="F51" i="7" s="1"/>
  <c r="C51" i="7"/>
  <c r="B51" i="7"/>
  <c r="A51" i="7"/>
  <c r="V50" i="7"/>
  <c r="S50" i="7"/>
  <c r="I50" i="7"/>
  <c r="H50" i="7"/>
  <c r="G50" i="7"/>
  <c r="F50" i="7"/>
  <c r="B65" i="7" s="1"/>
  <c r="B66" i="7" s="1"/>
  <c r="D50" i="7"/>
  <c r="E50" i="7" s="1"/>
  <c r="C50" i="7"/>
  <c r="B50" i="7"/>
  <c r="A50" i="7"/>
  <c r="V49" i="7"/>
  <c r="S49" i="7"/>
  <c r="I49" i="7"/>
  <c r="H49" i="7"/>
  <c r="G49" i="7"/>
  <c r="D49" i="7"/>
  <c r="E49" i="7" s="1"/>
  <c r="F49" i="7" s="1"/>
  <c r="C49" i="7"/>
  <c r="B49" i="7"/>
  <c r="A49" i="7"/>
  <c r="V48" i="7"/>
  <c r="S48" i="7"/>
  <c r="I48" i="7"/>
  <c r="H48" i="7"/>
  <c r="D48" i="7"/>
  <c r="E48" i="7" s="1"/>
  <c r="F48" i="7" s="1"/>
  <c r="J48" i="7" s="1"/>
  <c r="C48" i="7"/>
  <c r="B48" i="7"/>
  <c r="A48" i="7"/>
  <c r="V47" i="7"/>
  <c r="S47" i="7"/>
  <c r="I47" i="7"/>
  <c r="H47" i="7"/>
  <c r="G47" i="7"/>
  <c r="D47" i="7"/>
  <c r="E47" i="7" s="1"/>
  <c r="F47" i="7" s="1"/>
  <c r="J47" i="7" s="1"/>
  <c r="C47" i="7"/>
  <c r="B47" i="7"/>
  <c r="A47" i="7"/>
  <c r="V46" i="7"/>
  <c r="I46" i="7"/>
  <c r="H46" i="7"/>
  <c r="G46" i="7"/>
  <c r="D46" i="7"/>
  <c r="E46" i="7" s="1"/>
  <c r="F46" i="7" s="1"/>
  <c r="J46" i="7" s="1"/>
  <c r="C46" i="7"/>
  <c r="B46" i="7"/>
  <c r="A46" i="7"/>
  <c r="V45" i="7"/>
  <c r="S45" i="7"/>
  <c r="I45" i="7"/>
  <c r="H45" i="7"/>
  <c r="G45" i="7"/>
  <c r="D45" i="7"/>
  <c r="E45" i="7" s="1"/>
  <c r="F45" i="7" s="1"/>
  <c r="J45" i="7" s="1"/>
  <c r="C45" i="7"/>
  <c r="B45" i="7"/>
  <c r="A45" i="7"/>
  <c r="V44" i="7"/>
  <c r="I44" i="7"/>
  <c r="H44" i="7"/>
  <c r="G44" i="7"/>
  <c r="D44" i="7"/>
  <c r="E44" i="7" s="1"/>
  <c r="F44" i="7" s="1"/>
  <c r="B63" i="7" s="1"/>
  <c r="C44" i="7"/>
  <c r="B44" i="7"/>
  <c r="A44" i="7"/>
  <c r="V43" i="7"/>
  <c r="I43" i="7"/>
  <c r="H43" i="7"/>
  <c r="G43" i="7"/>
  <c r="F43" i="7"/>
  <c r="B62" i="7" s="1"/>
  <c r="D43" i="7"/>
  <c r="E43" i="7" s="1"/>
  <c r="C43" i="7"/>
  <c r="B43" i="7"/>
  <c r="A43" i="7"/>
  <c r="V42" i="7"/>
  <c r="S42" i="7"/>
  <c r="H42" i="7"/>
  <c r="G42" i="7"/>
  <c r="D42" i="7"/>
  <c r="E42" i="7" s="1"/>
  <c r="F42" i="7" s="1"/>
  <c r="J42" i="7" s="1"/>
  <c r="C42" i="7"/>
  <c r="B42" i="7"/>
  <c r="A42" i="7"/>
  <c r="V41" i="7"/>
  <c r="S41" i="7"/>
  <c r="I41" i="7"/>
  <c r="H41" i="7"/>
  <c r="D41" i="7"/>
  <c r="E41" i="7" s="1"/>
  <c r="F41" i="7" s="1"/>
  <c r="J41" i="7" s="1"/>
  <c r="C41" i="7"/>
  <c r="B41" i="7"/>
  <c r="A41" i="7"/>
  <c r="V40" i="7"/>
  <c r="S40" i="7"/>
  <c r="H40" i="7"/>
  <c r="D40" i="7"/>
  <c r="E40" i="7" s="1"/>
  <c r="F40" i="7" s="1"/>
  <c r="J40" i="7" s="1"/>
  <c r="C40" i="7"/>
  <c r="B40" i="7"/>
  <c r="A40" i="7"/>
  <c r="V39" i="7"/>
  <c r="S39" i="7"/>
  <c r="H39" i="7"/>
  <c r="G39" i="7"/>
  <c r="D39" i="7"/>
  <c r="E39" i="7" s="1"/>
  <c r="F39" i="7" s="1"/>
  <c r="J39" i="7" s="1"/>
  <c r="C39" i="7"/>
  <c r="B39" i="7"/>
  <c r="A39" i="7"/>
  <c r="V38" i="7"/>
  <c r="S38" i="7"/>
  <c r="I38" i="7"/>
  <c r="H38" i="7"/>
  <c r="G38" i="7"/>
  <c r="D38" i="7"/>
  <c r="E38" i="7" s="1"/>
  <c r="F38" i="7" s="1"/>
  <c r="C38" i="7"/>
  <c r="B38" i="7"/>
  <c r="A38" i="7"/>
  <c r="V37" i="7"/>
  <c r="S37" i="7"/>
  <c r="H37" i="7"/>
  <c r="G37" i="7"/>
  <c r="D37" i="7"/>
  <c r="E37" i="7" s="1"/>
  <c r="F37" i="7" s="1"/>
  <c r="J37" i="7" s="1"/>
  <c r="C37" i="7"/>
  <c r="B37" i="7"/>
  <c r="A37" i="7"/>
  <c r="V36" i="7"/>
  <c r="S36" i="7"/>
  <c r="H36" i="7"/>
  <c r="G36" i="7"/>
  <c r="D36" i="7"/>
  <c r="E36" i="7" s="1"/>
  <c r="F36" i="7" s="1"/>
  <c r="J36" i="7" s="1"/>
  <c r="C36" i="7"/>
  <c r="B36" i="7"/>
  <c r="A36" i="7"/>
  <c r="V35" i="7"/>
  <c r="S35" i="7"/>
  <c r="H35" i="7"/>
  <c r="D35" i="7"/>
  <c r="E35" i="7" s="1"/>
  <c r="F35" i="7" s="1"/>
  <c r="J35" i="7" s="1"/>
  <c r="C35" i="7"/>
  <c r="B35" i="7"/>
  <c r="A35" i="7"/>
  <c r="V34" i="7"/>
  <c r="T34" i="7"/>
  <c r="T35" i="7" s="1"/>
  <c r="T36" i="7" s="1"/>
  <c r="F34" i="7" s="1"/>
  <c r="J34" i="7" s="1"/>
  <c r="R34" i="7"/>
  <c r="R35" i="7" s="1"/>
  <c r="I34" i="7"/>
  <c r="H34" i="7"/>
  <c r="G34" i="7"/>
  <c r="C34" i="7"/>
  <c r="B67" i="7" s="1"/>
  <c r="B34" i="7"/>
  <c r="A34" i="7"/>
  <c r="E29" i="7"/>
  <c r="D29" i="7"/>
  <c r="E28" i="7"/>
  <c r="D28" i="7"/>
  <c r="E27" i="7"/>
  <c r="D27" i="7"/>
  <c r="E26" i="7"/>
  <c r="D26" i="7"/>
  <c r="E25" i="7"/>
  <c r="D25" i="7"/>
  <c r="E24" i="7"/>
  <c r="D24" i="7"/>
  <c r="E23" i="7"/>
  <c r="D23" i="7"/>
  <c r="E22" i="7"/>
  <c r="D22" i="7"/>
  <c r="E21" i="7"/>
  <c r="D21" i="7"/>
  <c r="E20" i="7"/>
  <c r="D20" i="7"/>
  <c r="E19" i="7"/>
  <c r="D19" i="7"/>
  <c r="E18" i="7"/>
  <c r="D18" i="7"/>
  <c r="E17" i="7"/>
  <c r="D17" i="7"/>
  <c r="E16" i="7"/>
  <c r="D16" i="7"/>
  <c r="E15" i="7"/>
  <c r="D15" i="7"/>
  <c r="E14" i="7"/>
  <c r="D14" i="7"/>
  <c r="E13" i="7"/>
  <c r="D13" i="7"/>
  <c r="E12" i="7"/>
  <c r="D12" i="7"/>
  <c r="E11" i="7"/>
  <c r="D11" i="7"/>
  <c r="E10" i="7"/>
  <c r="D10" i="7"/>
  <c r="E9" i="7"/>
  <c r="D9" i="7"/>
  <c r="E8" i="7"/>
  <c r="D8" i="7"/>
  <c r="E7" i="7"/>
  <c r="D7" i="7"/>
  <c r="E6" i="7"/>
  <c r="D6" i="7"/>
  <c r="E5" i="7"/>
  <c r="D5" i="7"/>
  <c r="B56" i="6"/>
  <c r="B53" i="6"/>
  <c r="B54" i="6" s="1"/>
  <c r="B55" i="6" s="1"/>
  <c r="F2" i="5" s="1"/>
  <c r="B52" i="6"/>
  <c r="B51" i="6"/>
  <c r="A48" i="6"/>
  <c r="A47" i="6"/>
  <c r="A46" i="6"/>
  <c r="A45" i="6"/>
  <c r="A44" i="6"/>
  <c r="A43" i="6"/>
  <c r="A42" i="6"/>
  <c r="A41" i="6"/>
  <c r="A40" i="6"/>
  <c r="A39" i="6"/>
  <c r="A38" i="6"/>
  <c r="A37" i="6"/>
  <c r="A36" i="6"/>
  <c r="A35" i="6"/>
  <c r="A34" i="6"/>
  <c r="A33" i="6"/>
  <c r="A32" i="6"/>
  <c r="A31" i="6"/>
  <c r="A30" i="6"/>
  <c r="A29" i="6"/>
  <c r="A28" i="6"/>
  <c r="A27" i="6"/>
  <c r="A26" i="6"/>
  <c r="A25" i="6"/>
  <c r="A24" i="6"/>
  <c r="R28" i="5"/>
  <c r="I28" i="5"/>
  <c r="H28" i="5"/>
  <c r="H858" i="7" s="1"/>
  <c r="D28" i="5"/>
  <c r="E28" i="5" s="1"/>
  <c r="F28" i="5" s="1"/>
  <c r="J28" i="5" s="1"/>
  <c r="C28" i="5"/>
  <c r="O28" i="5" s="1"/>
  <c r="B20" i="6" s="1"/>
  <c r="B28" i="5"/>
  <c r="A20" i="6" s="1"/>
  <c r="A28" i="5"/>
  <c r="Q27" i="5"/>
  <c r="I27" i="5"/>
  <c r="H27" i="5"/>
  <c r="H857" i="7" s="1"/>
  <c r="G27" i="5"/>
  <c r="G857" i="7" s="1"/>
  <c r="D27" i="5"/>
  <c r="E27" i="5" s="1"/>
  <c r="F27" i="5" s="1"/>
  <c r="C27" i="5"/>
  <c r="B27" i="5"/>
  <c r="A27" i="5"/>
  <c r="Q26" i="5"/>
  <c r="I26" i="5"/>
  <c r="H26" i="5"/>
  <c r="H856" i="7" s="1"/>
  <c r="G26" i="5"/>
  <c r="D26" i="5"/>
  <c r="E26" i="5" s="1"/>
  <c r="F26" i="5" s="1"/>
  <c r="C26" i="5"/>
  <c r="B26" i="5"/>
  <c r="A26" i="5"/>
  <c r="Q25" i="5"/>
  <c r="I25" i="5"/>
  <c r="H25" i="5"/>
  <c r="G25" i="5"/>
  <c r="D25" i="5"/>
  <c r="E25" i="5" s="1"/>
  <c r="F25" i="5" s="1"/>
  <c r="C25" i="5"/>
  <c r="B25" i="5"/>
  <c r="A25" i="5"/>
  <c r="R24" i="5"/>
  <c r="Q24" i="5"/>
  <c r="I24" i="5"/>
  <c r="H24" i="5"/>
  <c r="H140" i="7" s="1"/>
  <c r="D24" i="5"/>
  <c r="E24" i="5" s="1"/>
  <c r="F24" i="5" s="1"/>
  <c r="J24" i="5" s="1"/>
  <c r="C24" i="5"/>
  <c r="O24" i="5" s="1"/>
  <c r="B19" i="6" s="1"/>
  <c r="B24" i="5"/>
  <c r="A19" i="6" s="1"/>
  <c r="A24" i="5"/>
  <c r="Q23" i="5"/>
  <c r="I23" i="5"/>
  <c r="H23" i="5"/>
  <c r="H139" i="7" s="1"/>
  <c r="G23" i="5"/>
  <c r="G139" i="7" s="1"/>
  <c r="D23" i="5"/>
  <c r="E23" i="5" s="1"/>
  <c r="F23" i="5" s="1"/>
  <c r="C23" i="5"/>
  <c r="B23" i="5"/>
  <c r="A23" i="5"/>
  <c r="Q22" i="5"/>
  <c r="I22" i="5"/>
  <c r="H22" i="5"/>
  <c r="H138" i="7" s="1"/>
  <c r="G22" i="5"/>
  <c r="G138" i="7" s="1"/>
  <c r="D22" i="5"/>
  <c r="E22" i="5" s="1"/>
  <c r="F22" i="5" s="1"/>
  <c r="C22" i="5"/>
  <c r="B22" i="5"/>
  <c r="A22" i="5"/>
  <c r="Q21" i="5"/>
  <c r="I21" i="5"/>
  <c r="H21" i="5"/>
  <c r="G21" i="5"/>
  <c r="D21" i="5"/>
  <c r="E21" i="5" s="1"/>
  <c r="F21" i="5" s="1"/>
  <c r="C21" i="5"/>
  <c r="B21" i="5"/>
  <c r="A21" i="5"/>
  <c r="Q20" i="5"/>
  <c r="I20" i="5"/>
  <c r="H20" i="5"/>
  <c r="G20" i="5"/>
  <c r="D20" i="5"/>
  <c r="E20" i="5" s="1"/>
  <c r="F20" i="5" s="1"/>
  <c r="C20" i="5"/>
  <c r="B20" i="5"/>
  <c r="A20" i="5"/>
  <c r="R19" i="5"/>
  <c r="Q19" i="5"/>
  <c r="I19" i="5"/>
  <c r="H19" i="5"/>
  <c r="G19" i="5"/>
  <c r="D19" i="5"/>
  <c r="E19" i="5" s="1"/>
  <c r="F19" i="5" s="1"/>
  <c r="C19" i="5"/>
  <c r="B19" i="5"/>
  <c r="A19" i="5"/>
  <c r="R18" i="5"/>
  <c r="Q18" i="5"/>
  <c r="I18" i="5"/>
  <c r="H18" i="5"/>
  <c r="G18" i="5"/>
  <c r="F18" i="5"/>
  <c r="B61" i="6" s="1"/>
  <c r="B62" i="6" s="1"/>
  <c r="D18" i="5"/>
  <c r="E18" i="5" s="1"/>
  <c r="C18" i="5"/>
  <c r="B18" i="5"/>
  <c r="A18" i="5"/>
  <c r="R17" i="5"/>
  <c r="Q17" i="5"/>
  <c r="I17" i="5"/>
  <c r="H17" i="5"/>
  <c r="G17" i="5"/>
  <c r="D17" i="5"/>
  <c r="E17" i="5" s="1"/>
  <c r="F17" i="5" s="1"/>
  <c r="C17" i="5"/>
  <c r="B17" i="5"/>
  <c r="A17" i="5"/>
  <c r="R16" i="5"/>
  <c r="Q16" i="5"/>
  <c r="I16" i="5"/>
  <c r="H16" i="5"/>
  <c r="D16" i="5"/>
  <c r="E16" i="5" s="1"/>
  <c r="F16" i="5" s="1"/>
  <c r="J16" i="5" s="1"/>
  <c r="C16" i="5"/>
  <c r="B16" i="5"/>
  <c r="A18" i="6" s="1"/>
  <c r="A16" i="5"/>
  <c r="R15" i="5"/>
  <c r="Q15" i="5"/>
  <c r="I15" i="5"/>
  <c r="H15" i="5"/>
  <c r="G15" i="5"/>
  <c r="D15" i="5"/>
  <c r="E15" i="5" s="1"/>
  <c r="F15" i="5" s="1"/>
  <c r="J15" i="5" s="1"/>
  <c r="C15" i="5"/>
  <c r="B15" i="5"/>
  <c r="A17" i="6" s="1"/>
  <c r="A15" i="5"/>
  <c r="Q14" i="5"/>
  <c r="I14" i="5"/>
  <c r="H14" i="5"/>
  <c r="G14" i="5"/>
  <c r="D14" i="5"/>
  <c r="E14" i="5" s="1"/>
  <c r="F14" i="5" s="1"/>
  <c r="J14" i="5" s="1"/>
  <c r="C14" i="5"/>
  <c r="B14" i="5"/>
  <c r="A16" i="6" s="1"/>
  <c r="A14" i="5"/>
  <c r="R13" i="5"/>
  <c r="Q13" i="5"/>
  <c r="I13" i="5"/>
  <c r="H13" i="5"/>
  <c r="G13" i="5"/>
  <c r="D13" i="5"/>
  <c r="E13" i="5" s="1"/>
  <c r="C13" i="5"/>
  <c r="B13" i="5"/>
  <c r="A15" i="6" s="1"/>
  <c r="A13" i="5"/>
  <c r="Q12" i="5"/>
  <c r="I12" i="5"/>
  <c r="H12" i="5"/>
  <c r="G12" i="5"/>
  <c r="D12" i="5"/>
  <c r="E12" i="5" s="1"/>
  <c r="F12" i="5" s="1"/>
  <c r="B59" i="6" s="1"/>
  <c r="C12" i="5"/>
  <c r="B12" i="5"/>
  <c r="A12" i="5"/>
  <c r="Q11" i="5"/>
  <c r="I11" i="5"/>
  <c r="H11" i="5"/>
  <c r="G11" i="5"/>
  <c r="F11" i="5"/>
  <c r="B58" i="6" s="1"/>
  <c r="D11" i="5"/>
  <c r="E11" i="5" s="1"/>
  <c r="C11" i="5"/>
  <c r="B11" i="5"/>
  <c r="A11" i="5"/>
  <c r="R10" i="5"/>
  <c r="Q10" i="5"/>
  <c r="H10" i="5"/>
  <c r="G10" i="5"/>
  <c r="D10" i="5"/>
  <c r="E10" i="5" s="1"/>
  <c r="F10" i="5" s="1"/>
  <c r="J10" i="5" s="1"/>
  <c r="C10" i="5"/>
  <c r="B10" i="5"/>
  <c r="A14" i="6" s="1"/>
  <c r="A10" i="5"/>
  <c r="R9" i="5"/>
  <c r="I9" i="5"/>
  <c r="H9" i="5"/>
  <c r="D9" i="5"/>
  <c r="E9" i="5" s="1"/>
  <c r="C9" i="5"/>
  <c r="B9" i="5"/>
  <c r="A13" i="6" s="1"/>
  <c r="A9" i="5"/>
  <c r="R8" i="5"/>
  <c r="Q8" i="5"/>
  <c r="H8" i="5"/>
  <c r="D8" i="5"/>
  <c r="E8" i="5" s="1"/>
  <c r="F8" i="5" s="1"/>
  <c r="J8" i="5" s="1"/>
  <c r="C8" i="5"/>
  <c r="B8" i="5"/>
  <c r="A12" i="6" s="1"/>
  <c r="A8" i="5"/>
  <c r="R7" i="5"/>
  <c r="Q7" i="5"/>
  <c r="H7" i="5"/>
  <c r="G7" i="5"/>
  <c r="D7" i="5"/>
  <c r="E7" i="5" s="1"/>
  <c r="F7" i="5" s="1"/>
  <c r="J7" i="5" s="1"/>
  <c r="C7" i="5"/>
  <c r="B7" i="5"/>
  <c r="A11" i="6" s="1"/>
  <c r="A7" i="5"/>
  <c r="R6" i="5"/>
  <c r="Q6" i="5"/>
  <c r="I6" i="5"/>
  <c r="H6" i="5"/>
  <c r="G6" i="5"/>
  <c r="D6" i="5"/>
  <c r="E6" i="5" s="1"/>
  <c r="F6" i="5" s="1"/>
  <c r="B60" i="6" s="1"/>
  <c r="C6" i="5"/>
  <c r="B6" i="5"/>
  <c r="A6" i="5"/>
  <c r="R5" i="5"/>
  <c r="Q5" i="5"/>
  <c r="H5" i="5"/>
  <c r="G5" i="5"/>
  <c r="D5" i="5"/>
  <c r="E5" i="5" s="1"/>
  <c r="F5" i="5" s="1"/>
  <c r="J5" i="5" s="1"/>
  <c r="C5" i="5"/>
  <c r="B5" i="5"/>
  <c r="A10" i="6" s="1"/>
  <c r="A5" i="5"/>
  <c r="R4" i="5"/>
  <c r="Q4" i="5"/>
  <c r="H4" i="5"/>
  <c r="G4" i="5"/>
  <c r="D4" i="5"/>
  <c r="E4" i="5" s="1"/>
  <c r="F4" i="5" s="1"/>
  <c r="J4" i="5" s="1"/>
  <c r="C4" i="5"/>
  <c r="B4" i="5"/>
  <c r="A9" i="6" s="1"/>
  <c r="A4" i="5"/>
  <c r="R3" i="5"/>
  <c r="Q3" i="5"/>
  <c r="H3" i="5"/>
  <c r="G3" i="5"/>
  <c r="G161" i="7" s="1"/>
  <c r="D3" i="5"/>
  <c r="E3" i="5" s="1"/>
  <c r="F3" i="5" s="1"/>
  <c r="J3" i="5" s="1"/>
  <c r="C3" i="5"/>
  <c r="B3" i="5"/>
  <c r="A8" i="6" s="1"/>
  <c r="A3" i="5"/>
  <c r="Z2" i="5"/>
  <c r="Z3" i="5" s="1"/>
  <c r="Q2" i="5"/>
  <c r="I2" i="5"/>
  <c r="H2" i="5"/>
  <c r="G2" i="5"/>
  <c r="C2" i="5"/>
  <c r="B2" i="5"/>
  <c r="A7" i="6" s="1"/>
  <c r="A2" i="5"/>
  <c r="H28" i="4"/>
  <c r="G28" i="5" s="1"/>
  <c r="E28" i="4"/>
  <c r="R24" i="4"/>
  <c r="I24" i="4"/>
  <c r="G24" i="5" s="1"/>
  <c r="I16" i="4"/>
  <c r="G16" i="5" s="1"/>
  <c r="O13" i="4"/>
  <c r="O9" i="4"/>
  <c r="G9" i="4"/>
  <c r="G9" i="5" s="1"/>
  <c r="E9" i="4"/>
  <c r="H8" i="4"/>
  <c r="G8" i="5" s="1"/>
  <c r="R2" i="4"/>
  <c r="P2" i="4"/>
  <c r="O2" i="4"/>
  <c r="K916" i="7" l="1"/>
  <c r="L916" i="7" s="1"/>
  <c r="M916" i="7" s="1"/>
  <c r="N916" i="7" s="1"/>
  <c r="B1034" i="7"/>
  <c r="B1035" i="7" s="1"/>
  <c r="K622" i="7"/>
  <c r="L622" i="7" s="1"/>
  <c r="K1042" i="7"/>
  <c r="L1042" i="7" s="1"/>
  <c r="K412" i="7"/>
  <c r="L412" i="7" s="1"/>
  <c r="K286" i="7"/>
  <c r="L286" i="7" s="1"/>
  <c r="B400" i="7"/>
  <c r="B64" i="7"/>
  <c r="K160" i="7"/>
  <c r="L160" i="7" s="1"/>
  <c r="M160" i="7" s="1"/>
  <c r="N160" i="7" s="1"/>
  <c r="K664" i="7"/>
  <c r="L664" i="7" s="1"/>
  <c r="M664" i="7" s="1"/>
  <c r="N664" i="7" s="1"/>
  <c r="K454" i="7"/>
  <c r="L454" i="7" s="1"/>
  <c r="K790" i="7"/>
  <c r="L790" i="7" s="1"/>
  <c r="M790" i="7" s="1"/>
  <c r="N790" i="7" s="1"/>
  <c r="K118" i="7"/>
  <c r="L118" i="7" s="1"/>
  <c r="K202" i="7"/>
  <c r="L202" i="7" s="1"/>
  <c r="M202" i="7" s="1"/>
  <c r="N202" i="7" s="1"/>
  <c r="G1043" i="7"/>
  <c r="G371" i="7"/>
  <c r="G287" i="7"/>
  <c r="G917" i="7"/>
  <c r="G119" i="7"/>
  <c r="G77" i="7"/>
  <c r="G959" i="7"/>
  <c r="G497" i="7"/>
  <c r="G35" i="7"/>
  <c r="G875" i="7"/>
  <c r="G707" i="7"/>
  <c r="G245" i="7"/>
  <c r="G833" i="7"/>
  <c r="G329" i="7"/>
  <c r="G539" i="7"/>
  <c r="K648" i="7"/>
  <c r="L648" i="7" s="1"/>
  <c r="M648" i="7" s="1"/>
  <c r="N648" i="7" s="1"/>
  <c r="K644" i="7"/>
  <c r="L644" i="7" s="1"/>
  <c r="M644" i="7" s="1"/>
  <c r="N644" i="7" s="1"/>
  <c r="K538" i="7"/>
  <c r="K244" i="7"/>
  <c r="L244" i="7" s="1"/>
  <c r="M244" i="7" s="1"/>
  <c r="N244" i="7" s="1"/>
  <c r="B862" i="7"/>
  <c r="K748" i="7"/>
  <c r="L748" i="7" s="1"/>
  <c r="J2" i="5"/>
  <c r="K2" i="5" s="1"/>
  <c r="L2" i="5" s="1"/>
  <c r="I1044" i="7"/>
  <c r="K1044" i="7" s="1"/>
  <c r="L1044" i="7" s="1"/>
  <c r="I1045" i="7"/>
  <c r="K1045" i="7" s="1"/>
  <c r="L1045" i="7" s="1"/>
  <c r="I1047" i="7"/>
  <c r="K1047" i="7" s="1"/>
  <c r="L1047" i="7" s="1"/>
  <c r="I1048" i="7"/>
  <c r="K1048" i="7" s="1"/>
  <c r="L1048" i="7" s="1"/>
  <c r="I1050" i="7"/>
  <c r="K1050" i="7" s="1"/>
  <c r="L1050" i="7" s="1"/>
  <c r="I1043" i="7"/>
  <c r="K1043" i="7" s="1"/>
  <c r="L1043" i="7" s="1"/>
  <c r="I1008" i="7"/>
  <c r="I1002" i="7"/>
  <c r="I1006" i="7"/>
  <c r="I1003" i="7"/>
  <c r="I1001" i="7"/>
  <c r="I1005" i="7"/>
  <c r="I960" i="7"/>
  <c r="K960" i="7" s="1"/>
  <c r="L960" i="7" s="1"/>
  <c r="I961" i="7"/>
  <c r="K961" i="7" s="1"/>
  <c r="L961" i="7" s="1"/>
  <c r="I963" i="7"/>
  <c r="K963" i="7" s="1"/>
  <c r="L963" i="7" s="1"/>
  <c r="I964" i="7"/>
  <c r="K964" i="7" s="1"/>
  <c r="L964" i="7" s="1"/>
  <c r="I966" i="7"/>
  <c r="K966" i="7" s="1"/>
  <c r="L966" i="7" s="1"/>
  <c r="I959" i="7"/>
  <c r="K959" i="7" s="1"/>
  <c r="L959" i="7" s="1"/>
  <c r="I918" i="7"/>
  <c r="K918" i="7" s="1"/>
  <c r="L918" i="7" s="1"/>
  <c r="I919" i="7"/>
  <c r="K919" i="7" s="1"/>
  <c r="L919" i="7" s="1"/>
  <c r="I922" i="7"/>
  <c r="K922" i="7" s="1"/>
  <c r="L922" i="7" s="1"/>
  <c r="I921" i="7"/>
  <c r="K921" i="7" s="1"/>
  <c r="L921" i="7" s="1"/>
  <c r="I924" i="7"/>
  <c r="K924" i="7" s="1"/>
  <c r="L924" i="7" s="1"/>
  <c r="I917" i="7"/>
  <c r="K917" i="7" s="1"/>
  <c r="L917" i="7" s="1"/>
  <c r="I876" i="7"/>
  <c r="I882" i="7"/>
  <c r="I877" i="7"/>
  <c r="I879" i="7"/>
  <c r="I880" i="7"/>
  <c r="I875" i="7"/>
  <c r="I834" i="7"/>
  <c r="K834" i="7" s="1"/>
  <c r="L834" i="7" s="1"/>
  <c r="I837" i="7"/>
  <c r="K837" i="7" s="1"/>
  <c r="L837" i="7" s="1"/>
  <c r="I838" i="7"/>
  <c r="K838" i="7" s="1"/>
  <c r="L838" i="7" s="1"/>
  <c r="I833" i="7"/>
  <c r="K833" i="7" s="1"/>
  <c r="L833" i="7" s="1"/>
  <c r="I835" i="7"/>
  <c r="K835" i="7" s="1"/>
  <c r="L835" i="7" s="1"/>
  <c r="I840" i="7"/>
  <c r="K840" i="7" s="1"/>
  <c r="L840" i="7" s="1"/>
  <c r="I792" i="7"/>
  <c r="K792" i="7" s="1"/>
  <c r="L792" i="7" s="1"/>
  <c r="I793" i="7"/>
  <c r="K793" i="7" s="1"/>
  <c r="L793" i="7" s="1"/>
  <c r="I795" i="7"/>
  <c r="K795" i="7" s="1"/>
  <c r="L795" i="7" s="1"/>
  <c r="I796" i="7"/>
  <c r="K796" i="7" s="1"/>
  <c r="L796" i="7" s="1"/>
  <c r="I798" i="7"/>
  <c r="K798" i="7" s="1"/>
  <c r="L798" i="7" s="1"/>
  <c r="I791" i="7"/>
  <c r="K791" i="7" s="1"/>
  <c r="L791" i="7" s="1"/>
  <c r="M748" i="7"/>
  <c r="N748" i="7" s="1"/>
  <c r="I750" i="7"/>
  <c r="K750" i="7" s="1"/>
  <c r="L750" i="7" s="1"/>
  <c r="I751" i="7"/>
  <c r="K751" i="7" s="1"/>
  <c r="L751" i="7" s="1"/>
  <c r="I753" i="7"/>
  <c r="K753" i="7" s="1"/>
  <c r="L753" i="7" s="1"/>
  <c r="I754" i="7"/>
  <c r="I756" i="7"/>
  <c r="I749" i="7"/>
  <c r="K749" i="7" s="1"/>
  <c r="L749" i="7" s="1"/>
  <c r="I708" i="7"/>
  <c r="I709" i="7"/>
  <c r="I711" i="7"/>
  <c r="I712" i="7"/>
  <c r="I714" i="7"/>
  <c r="I707" i="7"/>
  <c r="I666" i="7"/>
  <c r="K666" i="7" s="1"/>
  <c r="L666" i="7" s="1"/>
  <c r="I667" i="7"/>
  <c r="I669" i="7"/>
  <c r="I670" i="7"/>
  <c r="I672" i="7"/>
  <c r="I665" i="7"/>
  <c r="K665" i="7" s="1"/>
  <c r="L665" i="7" s="1"/>
  <c r="I624" i="7"/>
  <c r="K624" i="7" s="1"/>
  <c r="L624" i="7" s="1"/>
  <c r="I625" i="7"/>
  <c r="K625" i="7" s="1"/>
  <c r="L625" i="7" s="1"/>
  <c r="I627" i="7"/>
  <c r="I628" i="7"/>
  <c r="I630" i="7"/>
  <c r="I623" i="7"/>
  <c r="K623" i="7" s="1"/>
  <c r="L623" i="7" s="1"/>
  <c r="I582" i="7"/>
  <c r="I583" i="7"/>
  <c r="I585" i="7"/>
  <c r="K585" i="7" s="1"/>
  <c r="L585" i="7" s="1"/>
  <c r="I586" i="7"/>
  <c r="I588" i="7"/>
  <c r="I581" i="7"/>
  <c r="I540" i="7"/>
  <c r="K540" i="7" s="1"/>
  <c r="L540" i="7" s="1"/>
  <c r="I541" i="7"/>
  <c r="K541" i="7" s="1"/>
  <c r="L541" i="7" s="1"/>
  <c r="I543" i="7"/>
  <c r="I544" i="7"/>
  <c r="I546" i="7"/>
  <c r="I539" i="7"/>
  <c r="K539" i="7" s="1"/>
  <c r="L539" i="7" s="1"/>
  <c r="I499" i="7"/>
  <c r="I504" i="7"/>
  <c r="I497" i="7"/>
  <c r="I498" i="7"/>
  <c r="I501" i="7"/>
  <c r="I502" i="7"/>
  <c r="I456" i="7"/>
  <c r="K456" i="7" s="1"/>
  <c r="L456" i="7" s="1"/>
  <c r="I457" i="7"/>
  <c r="K457" i="7" s="1"/>
  <c r="L457" i="7" s="1"/>
  <c r="I459" i="7"/>
  <c r="K459" i="7" s="1"/>
  <c r="L459" i="7" s="1"/>
  <c r="I460" i="7"/>
  <c r="I462" i="7"/>
  <c r="I455" i="7"/>
  <c r="K455" i="7" s="1"/>
  <c r="L455" i="7" s="1"/>
  <c r="I417" i="7"/>
  <c r="I414" i="7"/>
  <c r="K414" i="7" s="1"/>
  <c r="L414" i="7" s="1"/>
  <c r="I415" i="7"/>
  <c r="K415" i="7" s="1"/>
  <c r="L415" i="7" s="1"/>
  <c r="I418" i="7"/>
  <c r="K418" i="7" s="1"/>
  <c r="L418" i="7" s="1"/>
  <c r="I420" i="7"/>
  <c r="I413" i="7"/>
  <c r="K413" i="7" s="1"/>
  <c r="L413" i="7" s="1"/>
  <c r="I372" i="7"/>
  <c r="I373" i="7"/>
  <c r="I375" i="7"/>
  <c r="I376" i="7"/>
  <c r="I378" i="7"/>
  <c r="I371" i="7"/>
  <c r="I330" i="7"/>
  <c r="I331" i="7"/>
  <c r="I333" i="7"/>
  <c r="I334" i="7"/>
  <c r="I336" i="7"/>
  <c r="I329" i="7"/>
  <c r="I288" i="7"/>
  <c r="K288" i="7" s="1"/>
  <c r="L288" i="7" s="1"/>
  <c r="I289" i="7"/>
  <c r="K289" i="7" s="1"/>
  <c r="L289" i="7" s="1"/>
  <c r="I291" i="7"/>
  <c r="I292" i="7"/>
  <c r="I294" i="7"/>
  <c r="I287" i="7"/>
  <c r="K287" i="7" s="1"/>
  <c r="L287" i="7" s="1"/>
  <c r="I246" i="7"/>
  <c r="K246" i="7" s="1"/>
  <c r="L246" i="7" s="1"/>
  <c r="I247" i="7"/>
  <c r="K247" i="7" s="1"/>
  <c r="L247" i="7" s="1"/>
  <c r="I249" i="7"/>
  <c r="I250" i="7"/>
  <c r="I252" i="7"/>
  <c r="I245" i="7"/>
  <c r="K245" i="7" s="1"/>
  <c r="L245" i="7" s="1"/>
  <c r="I204" i="7"/>
  <c r="K204" i="7" s="1"/>
  <c r="L204" i="7" s="1"/>
  <c r="I205" i="7"/>
  <c r="K205" i="7" s="1"/>
  <c r="L205" i="7" s="1"/>
  <c r="I207" i="7"/>
  <c r="I208" i="7"/>
  <c r="I210" i="7"/>
  <c r="I203" i="7"/>
  <c r="K203" i="7" s="1"/>
  <c r="L203" i="7" s="1"/>
  <c r="I162" i="7"/>
  <c r="K162" i="7" s="1"/>
  <c r="L162" i="7" s="1"/>
  <c r="I163" i="7"/>
  <c r="K163" i="7" s="1"/>
  <c r="L163" i="7" s="1"/>
  <c r="I165" i="7"/>
  <c r="K165" i="7" s="1"/>
  <c r="L165" i="7" s="1"/>
  <c r="I166" i="7"/>
  <c r="I168" i="7"/>
  <c r="I161" i="7"/>
  <c r="K161" i="7" s="1"/>
  <c r="L161" i="7" s="1"/>
  <c r="I120" i="7"/>
  <c r="K120" i="7" s="1"/>
  <c r="L120" i="7" s="1"/>
  <c r="I121" i="7"/>
  <c r="I123" i="7"/>
  <c r="I124" i="7"/>
  <c r="K124" i="7" s="1"/>
  <c r="L124" i="7" s="1"/>
  <c r="I126" i="7"/>
  <c r="I119" i="7"/>
  <c r="K119" i="7" s="1"/>
  <c r="L119" i="7" s="1"/>
  <c r="I78" i="7"/>
  <c r="I79" i="7"/>
  <c r="I81" i="7"/>
  <c r="I82" i="7"/>
  <c r="I84" i="7"/>
  <c r="I77" i="7"/>
  <c r="I36" i="7"/>
  <c r="I37" i="7"/>
  <c r="I39" i="7"/>
  <c r="I40" i="7"/>
  <c r="I42" i="7"/>
  <c r="I35" i="7"/>
  <c r="G142" i="7"/>
  <c r="G856" i="7"/>
  <c r="H855" i="7"/>
  <c r="H141" i="7"/>
  <c r="G141" i="7"/>
  <c r="G855" i="7"/>
  <c r="H599" i="7"/>
  <c r="H137" i="7"/>
  <c r="G137" i="7"/>
  <c r="G599" i="7"/>
  <c r="H640" i="7"/>
  <c r="H136" i="7"/>
  <c r="H766" i="7"/>
  <c r="H598" i="7"/>
  <c r="H976" i="7"/>
  <c r="G640" i="7"/>
  <c r="G136" i="7"/>
  <c r="G766" i="7"/>
  <c r="G598" i="7"/>
  <c r="G976" i="7"/>
  <c r="H765" i="7"/>
  <c r="H639" i="7"/>
  <c r="H135" i="7"/>
  <c r="H975" i="7"/>
  <c r="H597" i="7"/>
  <c r="G765" i="7"/>
  <c r="G639" i="7"/>
  <c r="G597" i="7"/>
  <c r="G975" i="7"/>
  <c r="G135" i="7"/>
  <c r="H638" i="7"/>
  <c r="H764" i="7"/>
  <c r="H974" i="7"/>
  <c r="H134" i="7"/>
  <c r="H596" i="7"/>
  <c r="G638" i="7"/>
  <c r="G764" i="7"/>
  <c r="G134" i="7"/>
  <c r="G974" i="7"/>
  <c r="G596" i="7"/>
  <c r="H595" i="7"/>
  <c r="H973" i="7"/>
  <c r="H469" i="7"/>
  <c r="H133" i="7"/>
  <c r="H763" i="7"/>
  <c r="H637" i="7"/>
  <c r="G595" i="7"/>
  <c r="G973" i="7"/>
  <c r="G469" i="7"/>
  <c r="G133" i="7"/>
  <c r="G637" i="7"/>
  <c r="G763" i="7"/>
  <c r="H594" i="7"/>
  <c r="H468" i="7"/>
  <c r="H132" i="7"/>
  <c r="H636" i="7"/>
  <c r="H131" i="7"/>
  <c r="H341" i="7"/>
  <c r="H467" i="7"/>
  <c r="H593" i="7"/>
  <c r="H635" i="7"/>
  <c r="G131" i="7"/>
  <c r="G341" i="7"/>
  <c r="G635" i="7"/>
  <c r="G467" i="7"/>
  <c r="G593" i="7"/>
  <c r="H130" i="7"/>
  <c r="H340" i="7"/>
  <c r="H928" i="7"/>
  <c r="H634" i="7"/>
  <c r="H466" i="7"/>
  <c r="H592" i="7"/>
  <c r="G466" i="7"/>
  <c r="G592" i="7"/>
  <c r="G130" i="7"/>
  <c r="G634" i="7"/>
  <c r="G340" i="7"/>
  <c r="G928" i="7"/>
  <c r="H591" i="7"/>
  <c r="H465" i="7"/>
  <c r="H129" i="7"/>
  <c r="H339" i="7"/>
  <c r="H633" i="7"/>
  <c r="G129" i="7"/>
  <c r="G465" i="7"/>
  <c r="G339" i="7"/>
  <c r="G591" i="7"/>
  <c r="G633" i="7"/>
  <c r="H212" i="7"/>
  <c r="H632" i="7"/>
  <c r="H968" i="7"/>
  <c r="H464" i="7"/>
  <c r="H590" i="7"/>
  <c r="H128" i="7"/>
  <c r="H338" i="7"/>
  <c r="G632" i="7"/>
  <c r="G968" i="7"/>
  <c r="G212" i="7"/>
  <c r="G464" i="7"/>
  <c r="G128" i="7"/>
  <c r="G590" i="7"/>
  <c r="G338" i="7"/>
  <c r="H757" i="7"/>
  <c r="H211" i="7"/>
  <c r="H799" i="7"/>
  <c r="H463" i="7"/>
  <c r="H127" i="7"/>
  <c r="H337" i="7"/>
  <c r="H589" i="7"/>
  <c r="H631" i="7"/>
  <c r="H967" i="7"/>
  <c r="G463" i="7"/>
  <c r="G757" i="7"/>
  <c r="G127" i="7"/>
  <c r="G799" i="7"/>
  <c r="G631" i="7"/>
  <c r="G589" i="7"/>
  <c r="G211" i="7"/>
  <c r="G967" i="7"/>
  <c r="H210" i="7"/>
  <c r="H588" i="7"/>
  <c r="H756" i="7"/>
  <c r="H462" i="7"/>
  <c r="H126" i="7"/>
  <c r="H798" i="7"/>
  <c r="H630" i="7"/>
  <c r="H966" i="7"/>
  <c r="G588" i="7"/>
  <c r="G966" i="7"/>
  <c r="G210" i="7"/>
  <c r="G462" i="7"/>
  <c r="G756" i="7"/>
  <c r="G126" i="7"/>
  <c r="G798" i="7"/>
  <c r="G630" i="7"/>
  <c r="H209" i="7"/>
  <c r="H587" i="7"/>
  <c r="H965" i="7"/>
  <c r="H461" i="7"/>
  <c r="H125" i="7"/>
  <c r="H797" i="7"/>
  <c r="H755" i="7"/>
  <c r="H629" i="7"/>
  <c r="H670" i="7"/>
  <c r="H796" i="7"/>
  <c r="H964" i="7"/>
  <c r="H628" i="7"/>
  <c r="H460" i="7"/>
  <c r="H124" i="7"/>
  <c r="H754" i="7"/>
  <c r="H586" i="7"/>
  <c r="H208" i="7"/>
  <c r="H669" i="7"/>
  <c r="H753" i="7"/>
  <c r="H585" i="7"/>
  <c r="H123" i="7"/>
  <c r="H459" i="7"/>
  <c r="H627" i="7"/>
  <c r="H795" i="7"/>
  <c r="H207" i="7"/>
  <c r="G585" i="7"/>
  <c r="G753" i="7"/>
  <c r="G123" i="7"/>
  <c r="G459" i="7"/>
  <c r="G627" i="7"/>
  <c r="G207" i="7"/>
  <c r="G795" i="7"/>
  <c r="G669" i="7"/>
  <c r="H122" i="7"/>
  <c r="H668" i="7"/>
  <c r="H206" i="7"/>
  <c r="H794" i="7"/>
  <c r="H584" i="7"/>
  <c r="H752" i="7"/>
  <c r="H542" i="7"/>
  <c r="H458" i="7"/>
  <c r="H626" i="7"/>
  <c r="G458" i="7"/>
  <c r="G122" i="7"/>
  <c r="G206" i="7"/>
  <c r="G752" i="7"/>
  <c r="G626" i="7"/>
  <c r="G794" i="7"/>
  <c r="G542" i="7"/>
  <c r="G668" i="7"/>
  <c r="G584" i="7"/>
  <c r="H751" i="7"/>
  <c r="H583" i="7"/>
  <c r="H121" i="7"/>
  <c r="H457" i="7"/>
  <c r="H625" i="7"/>
  <c r="H541" i="7"/>
  <c r="H205" i="7"/>
  <c r="H793" i="7"/>
  <c r="H667" i="7"/>
  <c r="G625" i="7"/>
  <c r="G457" i="7"/>
  <c r="G667" i="7"/>
  <c r="G793" i="7"/>
  <c r="G541" i="7"/>
  <c r="G583" i="7"/>
  <c r="G205" i="7"/>
  <c r="G751" i="7"/>
  <c r="G121" i="7"/>
  <c r="H456" i="7"/>
  <c r="H204" i="7"/>
  <c r="H582" i="7"/>
  <c r="H540" i="7"/>
  <c r="H792" i="7"/>
  <c r="H666" i="7"/>
  <c r="H750" i="7"/>
  <c r="H624" i="7"/>
  <c r="G624" i="7"/>
  <c r="G456" i="7"/>
  <c r="G204" i="7"/>
  <c r="G792" i="7"/>
  <c r="G582" i="7"/>
  <c r="G540" i="7"/>
  <c r="G666" i="7"/>
  <c r="G750" i="7"/>
  <c r="H1001" i="7"/>
  <c r="H413" i="7"/>
  <c r="H581" i="7"/>
  <c r="H623" i="7"/>
  <c r="H791" i="7"/>
  <c r="H665" i="7"/>
  <c r="H203" i="7"/>
  <c r="H455" i="7"/>
  <c r="H749" i="7"/>
  <c r="G581" i="7"/>
  <c r="G203" i="7"/>
  <c r="G623" i="7"/>
  <c r="G791" i="7"/>
  <c r="G455" i="7"/>
  <c r="G413" i="7"/>
  <c r="G665" i="7"/>
  <c r="G749" i="7"/>
  <c r="G1001" i="7"/>
  <c r="I4" i="5"/>
  <c r="K4" i="5" s="1"/>
  <c r="L4" i="5" s="1"/>
  <c r="I5" i="5"/>
  <c r="K5" i="5" s="1"/>
  <c r="L5" i="5" s="1"/>
  <c r="I7" i="5"/>
  <c r="I8" i="5"/>
  <c r="I10" i="5"/>
  <c r="I3" i="5"/>
  <c r="K3" i="5" s="1"/>
  <c r="L3" i="5" s="1"/>
  <c r="H580" i="7"/>
  <c r="H790" i="7"/>
  <c r="H412" i="7"/>
  <c r="H202" i="7"/>
  <c r="H538" i="7"/>
  <c r="H622" i="7"/>
  <c r="H958" i="7"/>
  <c r="H748" i="7"/>
  <c r="H664" i="7"/>
  <c r="H454" i="7"/>
  <c r="H1000" i="7"/>
  <c r="G1000" i="7"/>
  <c r="G664" i="7"/>
  <c r="G790" i="7"/>
  <c r="G454" i="7"/>
  <c r="G748" i="7"/>
  <c r="G958" i="7"/>
  <c r="G412" i="7"/>
  <c r="G622" i="7"/>
  <c r="G538" i="7"/>
  <c r="G580" i="7"/>
  <c r="G202" i="7"/>
  <c r="G102" i="7"/>
  <c r="G60" i="7"/>
  <c r="G144" i="7"/>
  <c r="G186" i="7"/>
  <c r="G270" i="7"/>
  <c r="G228" i="7"/>
  <c r="G312" i="7"/>
  <c r="G354" i="7"/>
  <c r="G396" i="7"/>
  <c r="G522" i="7"/>
  <c r="G438" i="7"/>
  <c r="G564" i="7"/>
  <c r="G480" i="7"/>
  <c r="G606" i="7"/>
  <c r="G648" i="7"/>
  <c r="G690" i="7"/>
  <c r="G732" i="7"/>
  <c r="G774" i="7"/>
  <c r="G858" i="7"/>
  <c r="G900" i="7"/>
  <c r="G816" i="7"/>
  <c r="G942" i="7"/>
  <c r="G984" i="7"/>
  <c r="G1026" i="7"/>
  <c r="G1068" i="7"/>
  <c r="V648" i="7"/>
  <c r="V774" i="7"/>
  <c r="V396" i="7"/>
  <c r="B403" i="7" s="1"/>
  <c r="Q28" i="5"/>
  <c r="V270" i="7"/>
  <c r="V732" i="7"/>
  <c r="B739" i="7" s="1"/>
  <c r="V564" i="7"/>
  <c r="B571" i="7" s="1"/>
  <c r="V984" i="7"/>
  <c r="V186" i="7"/>
  <c r="B193" i="7" s="1"/>
  <c r="G56" i="7"/>
  <c r="G98" i="7"/>
  <c r="G140" i="7"/>
  <c r="G182" i="7"/>
  <c r="G266" i="7"/>
  <c r="G308" i="7"/>
  <c r="G224" i="7"/>
  <c r="G350" i="7"/>
  <c r="G392" i="7"/>
  <c r="G476" i="7"/>
  <c r="G518" i="7"/>
  <c r="G560" i="7"/>
  <c r="G434" i="7"/>
  <c r="G602" i="7"/>
  <c r="G644" i="7"/>
  <c r="G686" i="7"/>
  <c r="G728" i="7"/>
  <c r="G770" i="7"/>
  <c r="G854" i="7"/>
  <c r="G896" i="7"/>
  <c r="G812" i="7"/>
  <c r="G938" i="7"/>
  <c r="G980" i="7"/>
  <c r="G1022" i="7"/>
  <c r="G1064" i="7"/>
  <c r="G48" i="7"/>
  <c r="G90" i="7"/>
  <c r="G132" i="7"/>
  <c r="G174" i="7"/>
  <c r="G258" i="7"/>
  <c r="G300" i="7"/>
  <c r="G216" i="7"/>
  <c r="G342" i="7"/>
  <c r="G384" i="7"/>
  <c r="G468" i="7"/>
  <c r="G510" i="7"/>
  <c r="G804" i="7"/>
  <c r="G426" i="7"/>
  <c r="G552" i="7"/>
  <c r="G594" i="7"/>
  <c r="G636" i="7"/>
  <c r="G678" i="7"/>
  <c r="G720" i="7"/>
  <c r="G762" i="7"/>
  <c r="G846" i="7"/>
  <c r="G888" i="7"/>
  <c r="G930" i="7"/>
  <c r="G972" i="7"/>
  <c r="G1014" i="7"/>
  <c r="G1056" i="7"/>
  <c r="F255" i="7"/>
  <c r="J255" i="7" s="1"/>
  <c r="K255" i="7" s="1"/>
  <c r="L255" i="7" s="1"/>
  <c r="F759" i="7"/>
  <c r="J759" i="7" s="1"/>
  <c r="K759" i="7" s="1"/>
  <c r="L759" i="7" s="1"/>
  <c r="F13" i="5"/>
  <c r="J13" i="5" s="1"/>
  <c r="K13" i="5" s="1"/>
  <c r="L13" i="5" s="1"/>
  <c r="F633" i="7"/>
  <c r="J633" i="7" s="1"/>
  <c r="K633" i="7" s="1"/>
  <c r="L633" i="7" s="1"/>
  <c r="F129" i="7"/>
  <c r="J129" i="7" s="1"/>
  <c r="K129" i="7" s="1"/>
  <c r="L129" i="7" s="1"/>
  <c r="F969" i="7"/>
  <c r="J969" i="7" s="1"/>
  <c r="K969" i="7" s="1"/>
  <c r="L969" i="7" s="1"/>
  <c r="F339" i="7"/>
  <c r="J339" i="7" s="1"/>
  <c r="F549" i="7"/>
  <c r="J549" i="7" s="1"/>
  <c r="K549" i="7" s="1"/>
  <c r="L549" i="7" s="1"/>
  <c r="F465" i="7"/>
  <c r="J465" i="7" s="1"/>
  <c r="K465" i="7" s="1"/>
  <c r="L465" i="7" s="1"/>
  <c r="F591" i="7"/>
  <c r="J591" i="7" s="1"/>
  <c r="K591" i="7" s="1"/>
  <c r="L591" i="7" s="1"/>
  <c r="F587" i="7"/>
  <c r="J587" i="7" s="1"/>
  <c r="K587" i="7" s="1"/>
  <c r="L587" i="7" s="1"/>
  <c r="F461" i="7"/>
  <c r="J461" i="7" s="1"/>
  <c r="K461" i="7" s="1"/>
  <c r="L461" i="7" s="1"/>
  <c r="F797" i="7"/>
  <c r="J797" i="7" s="1"/>
  <c r="K797" i="7" s="1"/>
  <c r="L797" i="7" s="1"/>
  <c r="F125" i="7"/>
  <c r="J125" i="7" s="1"/>
  <c r="K125" i="7" s="1"/>
  <c r="L125" i="7" s="1"/>
  <c r="F251" i="7"/>
  <c r="J251" i="7" s="1"/>
  <c r="K251" i="7" s="1"/>
  <c r="L251" i="7" s="1"/>
  <c r="F335" i="7"/>
  <c r="J335" i="7" s="1"/>
  <c r="F209" i="7"/>
  <c r="J209" i="7" s="1"/>
  <c r="K209" i="7" s="1"/>
  <c r="L209" i="7" s="1"/>
  <c r="F629" i="7"/>
  <c r="J629" i="7" s="1"/>
  <c r="K629" i="7" s="1"/>
  <c r="L629" i="7" s="1"/>
  <c r="F9" i="5"/>
  <c r="J9" i="5" s="1"/>
  <c r="K9" i="5" s="1"/>
  <c r="L9" i="5" s="1"/>
  <c r="F755" i="7"/>
  <c r="J755" i="7" s="1"/>
  <c r="K755" i="7" s="1"/>
  <c r="L755" i="7" s="1"/>
  <c r="F965" i="7"/>
  <c r="J965" i="7" s="1"/>
  <c r="K965" i="7" s="1"/>
  <c r="L965" i="7" s="1"/>
  <c r="G83" i="7"/>
  <c r="G1007" i="7"/>
  <c r="G125" i="7"/>
  <c r="G41" i="7"/>
  <c r="G167" i="7"/>
  <c r="G209" i="7"/>
  <c r="G251" i="7"/>
  <c r="G293" i="7"/>
  <c r="G335" i="7"/>
  <c r="G377" i="7"/>
  <c r="G461" i="7"/>
  <c r="G503" i="7"/>
  <c r="G545" i="7"/>
  <c r="G587" i="7"/>
  <c r="G419" i="7"/>
  <c r="G629" i="7"/>
  <c r="G671" i="7"/>
  <c r="G713" i="7"/>
  <c r="G755" i="7"/>
  <c r="G797" i="7"/>
  <c r="G923" i="7"/>
  <c r="G839" i="7"/>
  <c r="G881" i="7"/>
  <c r="G965" i="7"/>
  <c r="G1049" i="7"/>
  <c r="V461" i="7"/>
  <c r="B487" i="7" s="1"/>
  <c r="B488" i="7" s="1"/>
  <c r="B489" i="7" s="1"/>
  <c r="V335" i="7"/>
  <c r="B361" i="7" s="1"/>
  <c r="B362" i="7" s="1"/>
  <c r="B363" i="7" s="1"/>
  <c r="Q9" i="5"/>
  <c r="B63" i="6" s="1"/>
  <c r="V587" i="7"/>
  <c r="B613" i="7" s="1"/>
  <c r="B614" i="7" s="1"/>
  <c r="B615" i="7" s="1"/>
  <c r="V755" i="7"/>
  <c r="B781" i="7" s="1"/>
  <c r="V209" i="7"/>
  <c r="B235" i="7" s="1"/>
  <c r="B236" i="7" s="1"/>
  <c r="B237" i="7" s="1"/>
  <c r="V125" i="7"/>
  <c r="B151" i="7" s="1"/>
  <c r="B152" i="7" s="1"/>
  <c r="B153" i="7" s="1"/>
  <c r="V965" i="7"/>
  <c r="B991" i="7" s="1"/>
  <c r="V251" i="7"/>
  <c r="B277" i="7" s="1"/>
  <c r="V629" i="7"/>
  <c r="B655" i="7" s="1"/>
  <c r="V83" i="7"/>
  <c r="B109" i="7" s="1"/>
  <c r="V797" i="7"/>
  <c r="B823" i="7" s="1"/>
  <c r="B824" i="7" s="1"/>
  <c r="B825" i="7" s="1"/>
  <c r="G82" i="7"/>
  <c r="G1006" i="7"/>
  <c r="G124" i="7"/>
  <c r="G40" i="7"/>
  <c r="G166" i="7"/>
  <c r="G208" i="7"/>
  <c r="G250" i="7"/>
  <c r="G292" i="7"/>
  <c r="G334" i="7"/>
  <c r="G376" i="7"/>
  <c r="G460" i="7"/>
  <c r="G502" i="7"/>
  <c r="G544" i="7"/>
  <c r="G586" i="7"/>
  <c r="G628" i="7"/>
  <c r="G670" i="7"/>
  <c r="G418" i="7"/>
  <c r="G712" i="7"/>
  <c r="G754" i="7"/>
  <c r="G796" i="7"/>
  <c r="G838" i="7"/>
  <c r="G880" i="7"/>
  <c r="G922" i="7"/>
  <c r="G964" i="7"/>
  <c r="G1048" i="7"/>
  <c r="K1068" i="7"/>
  <c r="L1068" i="7" s="1"/>
  <c r="K1064" i="7"/>
  <c r="L1064" i="7" s="1"/>
  <c r="B1076" i="7"/>
  <c r="B1077" i="7" s="1"/>
  <c r="K1056" i="7"/>
  <c r="L1056" i="7" s="1"/>
  <c r="K1055" i="7"/>
  <c r="L1055" i="7" s="1"/>
  <c r="K1054" i="7"/>
  <c r="L1054" i="7" s="1"/>
  <c r="K1053" i="7"/>
  <c r="L1053" i="7" s="1"/>
  <c r="K1049" i="7"/>
  <c r="L1049" i="7" s="1"/>
  <c r="K774" i="7"/>
  <c r="L774" i="7" s="1"/>
  <c r="K762" i="7"/>
  <c r="L762" i="7" s="1"/>
  <c r="B740" i="7"/>
  <c r="B741" i="7" s="1"/>
  <c r="K678" i="7"/>
  <c r="L678" i="7" s="1"/>
  <c r="K670" i="7"/>
  <c r="L670" i="7" s="1"/>
  <c r="B1030" i="7"/>
  <c r="K984" i="7"/>
  <c r="L984" i="7" s="1"/>
  <c r="K980" i="7"/>
  <c r="L980" i="7" s="1"/>
  <c r="B992" i="7"/>
  <c r="B993" i="7" s="1"/>
  <c r="K972" i="7"/>
  <c r="L972" i="7" s="1"/>
  <c r="K971" i="7"/>
  <c r="L971" i="7" s="1"/>
  <c r="K970" i="7"/>
  <c r="L970" i="7" s="1"/>
  <c r="K923" i="7"/>
  <c r="L923" i="7" s="1"/>
  <c r="K770" i="7"/>
  <c r="L770" i="7" s="1"/>
  <c r="K761" i="7"/>
  <c r="L761" i="7" s="1"/>
  <c r="K686" i="7"/>
  <c r="L686" i="7" s="1"/>
  <c r="K958" i="7"/>
  <c r="L958" i="7" s="1"/>
  <c r="K942" i="7"/>
  <c r="L942" i="7" s="1"/>
  <c r="K938" i="7"/>
  <c r="L938" i="7" s="1"/>
  <c r="B950" i="7"/>
  <c r="B951" i="7" s="1"/>
  <c r="K930" i="7"/>
  <c r="L930" i="7" s="1"/>
  <c r="K929" i="7"/>
  <c r="L929" i="7" s="1"/>
  <c r="K928" i="7"/>
  <c r="L928" i="7" s="1"/>
  <c r="K927" i="7"/>
  <c r="L927" i="7" s="1"/>
  <c r="K754" i="7"/>
  <c r="L754" i="7" s="1"/>
  <c r="K675" i="7"/>
  <c r="L675" i="7" s="1"/>
  <c r="K667" i="7"/>
  <c r="L667" i="7" s="1"/>
  <c r="B908" i="7"/>
  <c r="B909" i="7" s="1"/>
  <c r="B904" i="7"/>
  <c r="K874" i="7" s="1"/>
  <c r="L874" i="7" s="1"/>
  <c r="K858" i="7"/>
  <c r="L858" i="7" s="1"/>
  <c r="K854" i="7"/>
  <c r="L854" i="7" s="1"/>
  <c r="B866" i="7"/>
  <c r="B867" i="7" s="1"/>
  <c r="K846" i="7"/>
  <c r="L846" i="7" s="1"/>
  <c r="K845" i="7"/>
  <c r="L845" i="7" s="1"/>
  <c r="K844" i="7"/>
  <c r="L844" i="7" s="1"/>
  <c r="K843" i="7"/>
  <c r="L843" i="7" s="1"/>
  <c r="K816" i="7"/>
  <c r="L816" i="7" s="1"/>
  <c r="K803" i="7"/>
  <c r="L803" i="7" s="1"/>
  <c r="K802" i="7"/>
  <c r="L802" i="7" s="1"/>
  <c r="B782" i="7"/>
  <c r="B783" i="7" s="1"/>
  <c r="K756" i="7"/>
  <c r="L756" i="7" s="1"/>
  <c r="K676" i="7"/>
  <c r="L676" i="7" s="1"/>
  <c r="K669" i="7"/>
  <c r="L669" i="7" s="1"/>
  <c r="K812" i="7"/>
  <c r="L812" i="7" s="1"/>
  <c r="K804" i="7"/>
  <c r="L804" i="7" s="1"/>
  <c r="K801" i="7"/>
  <c r="L801" i="7" s="1"/>
  <c r="K760" i="7"/>
  <c r="L760" i="7" s="1"/>
  <c r="K672" i="7"/>
  <c r="L672" i="7" s="1"/>
  <c r="B736" i="7"/>
  <c r="K706" i="7" s="1"/>
  <c r="L706" i="7" s="1"/>
  <c r="K690" i="7"/>
  <c r="L690" i="7" s="1"/>
  <c r="B698" i="7"/>
  <c r="B699" i="7" s="1"/>
  <c r="B656" i="7"/>
  <c r="B657" i="7" s="1"/>
  <c r="K636" i="7"/>
  <c r="L636" i="7" s="1"/>
  <c r="K635" i="7"/>
  <c r="L635" i="7" s="1"/>
  <c r="K634" i="7"/>
  <c r="L634" i="7" s="1"/>
  <c r="K630" i="7"/>
  <c r="L630" i="7" s="1"/>
  <c r="K628" i="7"/>
  <c r="L628" i="7" s="1"/>
  <c r="K627" i="7"/>
  <c r="L627" i="7" s="1"/>
  <c r="K606" i="7"/>
  <c r="L606" i="7" s="1"/>
  <c r="K602" i="7"/>
  <c r="L602" i="7" s="1"/>
  <c r="K583" i="7"/>
  <c r="L583" i="7" s="1"/>
  <c r="K582" i="7"/>
  <c r="L582" i="7" s="1"/>
  <c r="K581" i="7"/>
  <c r="L581" i="7" s="1"/>
  <c r="K580" i="7"/>
  <c r="L580" i="7" s="1"/>
  <c r="K564" i="7"/>
  <c r="L564" i="7" s="1"/>
  <c r="K560" i="7"/>
  <c r="L560" i="7" s="1"/>
  <c r="B572" i="7"/>
  <c r="B573" i="7" s="1"/>
  <c r="K552" i="7"/>
  <c r="L552" i="7" s="1"/>
  <c r="K551" i="7"/>
  <c r="L551" i="7" s="1"/>
  <c r="K550" i="7"/>
  <c r="L550" i="7" s="1"/>
  <c r="K546" i="7"/>
  <c r="L546" i="7" s="1"/>
  <c r="K545" i="7"/>
  <c r="L545" i="7" s="1"/>
  <c r="K544" i="7"/>
  <c r="L544" i="7" s="1"/>
  <c r="K543" i="7"/>
  <c r="L543" i="7" s="1"/>
  <c r="L538" i="7"/>
  <c r="K522" i="7"/>
  <c r="L522" i="7" s="1"/>
  <c r="K518" i="7"/>
  <c r="L518" i="7" s="1"/>
  <c r="K434" i="7"/>
  <c r="L434" i="7" s="1"/>
  <c r="K426" i="7"/>
  <c r="L426" i="7" s="1"/>
  <c r="K423" i="7"/>
  <c r="L423" i="7" s="1"/>
  <c r="K420" i="7"/>
  <c r="L420" i="7" s="1"/>
  <c r="K417" i="7"/>
  <c r="L417" i="7" s="1"/>
  <c r="K228" i="7"/>
  <c r="L228" i="7" s="1"/>
  <c r="K215" i="7"/>
  <c r="L215" i="7" s="1"/>
  <c r="B194" i="7"/>
  <c r="B195" i="7" s="1"/>
  <c r="K121" i="7"/>
  <c r="L121" i="7" s="1"/>
  <c r="B530" i="7"/>
  <c r="B531" i="7" s="1"/>
  <c r="K510" i="7"/>
  <c r="L510" i="7" s="1"/>
  <c r="K509" i="7"/>
  <c r="L509" i="7" s="1"/>
  <c r="K508" i="7"/>
  <c r="L508" i="7" s="1"/>
  <c r="K507" i="7"/>
  <c r="L507" i="7" s="1"/>
  <c r="K504" i="7"/>
  <c r="L504" i="7" s="1"/>
  <c r="K503" i="7"/>
  <c r="L503" i="7" s="1"/>
  <c r="K502" i="7"/>
  <c r="L502" i="7" s="1"/>
  <c r="K501" i="7"/>
  <c r="L501" i="7" s="1"/>
  <c r="K499" i="7"/>
  <c r="L499" i="7" s="1"/>
  <c r="K498" i="7"/>
  <c r="L498" i="7" s="1"/>
  <c r="K497" i="7"/>
  <c r="L497" i="7" s="1"/>
  <c r="K496" i="7"/>
  <c r="L496" i="7" s="1"/>
  <c r="K480" i="7"/>
  <c r="L480" i="7" s="1"/>
  <c r="K476" i="7"/>
  <c r="L476" i="7" s="1"/>
  <c r="K468" i="7"/>
  <c r="L468" i="7" s="1"/>
  <c r="K467" i="7"/>
  <c r="L467" i="7" s="1"/>
  <c r="K466" i="7"/>
  <c r="L466" i="7" s="1"/>
  <c r="K462" i="7"/>
  <c r="L462" i="7" s="1"/>
  <c r="K460" i="7"/>
  <c r="L460" i="7" s="1"/>
  <c r="K438" i="7"/>
  <c r="L438" i="7" s="1"/>
  <c r="B446" i="7"/>
  <c r="B447" i="7" s="1"/>
  <c r="K425" i="7"/>
  <c r="L425" i="7" s="1"/>
  <c r="K419" i="7"/>
  <c r="L419" i="7" s="1"/>
  <c r="K224" i="7"/>
  <c r="L224" i="7" s="1"/>
  <c r="K214" i="7"/>
  <c r="L214" i="7" s="1"/>
  <c r="K172" i="7"/>
  <c r="L172" i="7" s="1"/>
  <c r="K167" i="7"/>
  <c r="L167" i="7" s="1"/>
  <c r="K592" i="7"/>
  <c r="L592" i="7" s="1"/>
  <c r="K424" i="7"/>
  <c r="L424" i="7" s="1"/>
  <c r="K186" i="7"/>
  <c r="L186" i="7" s="1"/>
  <c r="K171" i="7"/>
  <c r="L171" i="7" s="1"/>
  <c r="B404" i="7"/>
  <c r="B405" i="7" s="1"/>
  <c r="B278" i="7"/>
  <c r="B279" i="7" s="1"/>
  <c r="K257" i="7"/>
  <c r="L257" i="7" s="1"/>
  <c r="K249" i="7"/>
  <c r="L249" i="7" s="1"/>
  <c r="K207" i="7"/>
  <c r="L207" i="7" s="1"/>
  <c r="K168" i="7"/>
  <c r="L168" i="7" s="1"/>
  <c r="B358" i="7"/>
  <c r="K312" i="7"/>
  <c r="L312" i="7" s="1"/>
  <c r="K308" i="7"/>
  <c r="L308" i="7" s="1"/>
  <c r="B320" i="7"/>
  <c r="B321" i="7" s="1"/>
  <c r="K300" i="7"/>
  <c r="L300" i="7" s="1"/>
  <c r="K299" i="7"/>
  <c r="L299" i="7" s="1"/>
  <c r="K298" i="7"/>
  <c r="L298" i="7" s="1"/>
  <c r="K297" i="7"/>
  <c r="L297" i="7" s="1"/>
  <c r="K294" i="7"/>
  <c r="L294" i="7" s="1"/>
  <c r="K293" i="7"/>
  <c r="L293" i="7" s="1"/>
  <c r="K292" i="7"/>
  <c r="L292" i="7" s="1"/>
  <c r="K291" i="7"/>
  <c r="L291" i="7" s="1"/>
  <c r="K270" i="7"/>
  <c r="L270" i="7" s="1"/>
  <c r="K258" i="7"/>
  <c r="L258" i="7" s="1"/>
  <c r="K252" i="7"/>
  <c r="L252" i="7" s="1"/>
  <c r="K250" i="7"/>
  <c r="L250" i="7" s="1"/>
  <c r="K216" i="7"/>
  <c r="L216" i="7" s="1"/>
  <c r="K182" i="7"/>
  <c r="L182" i="7" s="1"/>
  <c r="K174" i="7"/>
  <c r="L174" i="7" s="1"/>
  <c r="K166" i="7"/>
  <c r="L166" i="7" s="1"/>
  <c r="K123" i="7"/>
  <c r="L123" i="7" s="1"/>
  <c r="K588" i="7"/>
  <c r="L588" i="7" s="1"/>
  <c r="K266" i="7"/>
  <c r="L266" i="7" s="1"/>
  <c r="K256" i="7"/>
  <c r="L256" i="7" s="1"/>
  <c r="K126" i="7"/>
  <c r="L126" i="7" s="1"/>
  <c r="B110" i="7"/>
  <c r="B111" i="7" s="1"/>
  <c r="K213" i="7"/>
  <c r="L213" i="7" s="1"/>
  <c r="K210" i="7"/>
  <c r="L210" i="7" s="1"/>
  <c r="K208" i="7"/>
  <c r="L208" i="7" s="1"/>
  <c r="K173" i="7"/>
  <c r="L173" i="7" s="1"/>
  <c r="K593" i="7"/>
  <c r="L593" i="7" s="1"/>
  <c r="K144" i="7"/>
  <c r="L144" i="7" s="1"/>
  <c r="K140" i="7"/>
  <c r="L140" i="7" s="1"/>
  <c r="K132" i="7"/>
  <c r="L132" i="7" s="1"/>
  <c r="K131" i="7"/>
  <c r="L131" i="7" s="1"/>
  <c r="K130" i="7"/>
  <c r="L130" i="7" s="1"/>
  <c r="K594" i="7"/>
  <c r="L594" i="7" s="1"/>
  <c r="B106" i="7"/>
  <c r="B68" i="7"/>
  <c r="B69" i="7" s="1"/>
  <c r="K28" i="5"/>
  <c r="L28" i="5" s="1"/>
  <c r="K24" i="5"/>
  <c r="L24" i="5" s="1"/>
  <c r="B64" i="6"/>
  <c r="B66" i="6" s="1"/>
  <c r="K16" i="5"/>
  <c r="L16" i="5" s="1"/>
  <c r="K15" i="5"/>
  <c r="L15" i="5" s="1"/>
  <c r="K14" i="5"/>
  <c r="L14" i="5" s="1"/>
  <c r="K10" i="5"/>
  <c r="L10" i="5" s="1"/>
  <c r="K8" i="5"/>
  <c r="L8" i="5" s="1"/>
  <c r="K677" i="7"/>
  <c r="L677" i="7" s="1"/>
  <c r="K586" i="7"/>
  <c r="L586" i="7" s="1"/>
  <c r="K7" i="5"/>
  <c r="L7" i="5" s="1"/>
  <c r="K671" i="7"/>
  <c r="L671" i="7" s="1"/>
  <c r="K36" i="7" l="1"/>
  <c r="L36" i="7" s="1"/>
  <c r="M36" i="7" s="1"/>
  <c r="N36" i="7" s="1"/>
  <c r="O36" i="7" s="1"/>
  <c r="K37" i="7"/>
  <c r="L37" i="7" s="1"/>
  <c r="K35" i="7"/>
  <c r="L35" i="7" s="1"/>
  <c r="M35" i="7" s="1"/>
  <c r="N35" i="7" s="1"/>
  <c r="O35" i="7" s="1"/>
  <c r="M412" i="7"/>
  <c r="N412" i="7" s="1"/>
  <c r="O412" i="7" s="1"/>
  <c r="K396" i="7"/>
  <c r="L396" i="7" s="1"/>
  <c r="M396" i="7" s="1"/>
  <c r="N396" i="7" s="1"/>
  <c r="K370" i="7"/>
  <c r="L370" i="7" s="1"/>
  <c r="M370" i="7" s="1"/>
  <c r="N370" i="7" s="1"/>
  <c r="O370" i="7" s="1"/>
  <c r="K371" i="7"/>
  <c r="L371" i="7" s="1"/>
  <c r="M371" i="7" s="1"/>
  <c r="N371" i="7" s="1"/>
  <c r="O371" i="7" s="1"/>
  <c r="K372" i="7"/>
  <c r="L372" i="7" s="1"/>
  <c r="M372" i="7" s="1"/>
  <c r="N372" i="7" s="1"/>
  <c r="O372" i="7" s="1"/>
  <c r="K373" i="7"/>
  <c r="L373" i="7" s="1"/>
  <c r="M373" i="7" s="1"/>
  <c r="N373" i="7" s="1"/>
  <c r="O373" i="7" s="1"/>
  <c r="K375" i="7"/>
  <c r="L375" i="7" s="1"/>
  <c r="M375" i="7" s="1"/>
  <c r="N375" i="7" s="1"/>
  <c r="O375" i="7" s="1"/>
  <c r="K376" i="7"/>
  <c r="L376" i="7" s="1"/>
  <c r="M376" i="7" s="1"/>
  <c r="N376" i="7" s="1"/>
  <c r="O376" i="7" s="1"/>
  <c r="K377" i="7"/>
  <c r="L377" i="7" s="1"/>
  <c r="M377" i="7" s="1"/>
  <c r="N377" i="7" s="1"/>
  <c r="O377" i="7" s="1"/>
  <c r="K378" i="7"/>
  <c r="L378" i="7" s="1"/>
  <c r="M378" i="7" s="1"/>
  <c r="N378" i="7" s="1"/>
  <c r="O378" i="7" s="1"/>
  <c r="K381" i="7"/>
  <c r="L381" i="7" s="1"/>
  <c r="M381" i="7" s="1"/>
  <c r="N381" i="7" s="1"/>
  <c r="O381" i="7" s="1"/>
  <c r="K382" i="7"/>
  <c r="L382" i="7" s="1"/>
  <c r="M382" i="7" s="1"/>
  <c r="N382" i="7" s="1"/>
  <c r="O382" i="7" s="1"/>
  <c r="K383" i="7"/>
  <c r="L383" i="7" s="1"/>
  <c r="M383" i="7" s="1"/>
  <c r="N383" i="7" s="1"/>
  <c r="O383" i="7" s="1"/>
  <c r="K384" i="7"/>
  <c r="L384" i="7" s="1"/>
  <c r="M384" i="7" s="1"/>
  <c r="N384" i="7" s="1"/>
  <c r="O384" i="7" s="1"/>
  <c r="K392" i="7"/>
  <c r="L392" i="7" s="1"/>
  <c r="M392" i="7" s="1"/>
  <c r="N392" i="7" s="1"/>
  <c r="K45" i="7"/>
  <c r="L45" i="7" s="1"/>
  <c r="M45" i="7" s="1"/>
  <c r="N45" i="7" s="1"/>
  <c r="O45" i="7" s="1"/>
  <c r="K47" i="7"/>
  <c r="L47" i="7" s="1"/>
  <c r="M47" i="7" s="1"/>
  <c r="N47" i="7" s="1"/>
  <c r="O47" i="7" s="1"/>
  <c r="K60" i="7"/>
  <c r="L60" i="7" s="1"/>
  <c r="M60" i="7" s="1"/>
  <c r="N60" i="7" s="1"/>
  <c r="K48" i="7"/>
  <c r="L48" i="7" s="1"/>
  <c r="M48" i="7" s="1"/>
  <c r="N48" i="7" s="1"/>
  <c r="O48" i="7" s="1"/>
  <c r="K42" i="7"/>
  <c r="L42" i="7" s="1"/>
  <c r="M42" i="7" s="1"/>
  <c r="N42" i="7" s="1"/>
  <c r="O42" i="7" s="1"/>
  <c r="K56" i="7"/>
  <c r="L56" i="7" s="1"/>
  <c r="K41" i="7"/>
  <c r="L41" i="7" s="1"/>
  <c r="M41" i="7" s="1"/>
  <c r="N41" i="7" s="1"/>
  <c r="O41" i="7" s="1"/>
  <c r="K40" i="7"/>
  <c r="L40" i="7" s="1"/>
  <c r="M40" i="7" s="1"/>
  <c r="N40" i="7" s="1"/>
  <c r="O40" i="7" s="1"/>
  <c r="K34" i="7"/>
  <c r="L34" i="7" s="1"/>
  <c r="M34" i="7" s="1"/>
  <c r="N34" i="7" s="1"/>
  <c r="O34" i="7" s="1"/>
  <c r="K39" i="7"/>
  <c r="L39" i="7" s="1"/>
  <c r="M39" i="7" s="1"/>
  <c r="N39" i="7" s="1"/>
  <c r="O39" i="7" s="1"/>
  <c r="K46" i="7"/>
  <c r="L46" i="7" s="1"/>
  <c r="M46" i="7" s="1"/>
  <c r="N46" i="7" s="1"/>
  <c r="O46" i="7" s="1"/>
  <c r="K76" i="7"/>
  <c r="L76" i="7" s="1"/>
  <c r="M76" i="7" s="1"/>
  <c r="N76" i="7" s="1"/>
  <c r="O76" i="7" s="1"/>
  <c r="K77" i="7"/>
  <c r="L77" i="7" s="1"/>
  <c r="M77" i="7" s="1"/>
  <c r="N77" i="7" s="1"/>
  <c r="O77" i="7" s="1"/>
  <c r="M622" i="7"/>
  <c r="N622" i="7"/>
  <c r="O622" i="7" s="1"/>
  <c r="K839" i="7"/>
  <c r="L839" i="7" s="1"/>
  <c r="M839" i="7" s="1"/>
  <c r="N839" i="7" s="1"/>
  <c r="O839" i="7" s="1"/>
  <c r="K832" i="7"/>
  <c r="L832" i="7" s="1"/>
  <c r="K1013" i="7"/>
  <c r="L1013" i="7" s="1"/>
  <c r="M1013" i="7" s="1"/>
  <c r="N1013" i="7" s="1"/>
  <c r="O1013" i="7" s="1"/>
  <c r="K1000" i="7"/>
  <c r="L1000" i="7" s="1"/>
  <c r="M1000" i="7" s="1"/>
  <c r="N1000" i="7" s="1"/>
  <c r="O1000" i="7" s="1"/>
  <c r="K79" i="7"/>
  <c r="L79" i="7" s="1"/>
  <c r="M79" i="7" s="1"/>
  <c r="N79" i="7" s="1"/>
  <c r="O79" i="7" s="1"/>
  <c r="K78" i="7"/>
  <c r="L78" i="7" s="1"/>
  <c r="M78" i="7" s="1"/>
  <c r="N78" i="7" s="1"/>
  <c r="O78" i="7" s="1"/>
  <c r="O790" i="7"/>
  <c r="O748" i="7"/>
  <c r="M118" i="7"/>
  <c r="N118" i="7"/>
  <c r="O118" i="7" s="1"/>
  <c r="K1001" i="7"/>
  <c r="L1001" i="7" s="1"/>
  <c r="M1001" i="7" s="1"/>
  <c r="N1001" i="7" s="1"/>
  <c r="O1001" i="7" s="1"/>
  <c r="O916" i="7"/>
  <c r="M1044" i="7"/>
  <c r="N1044" i="7" s="1"/>
  <c r="O1044" i="7" s="1"/>
  <c r="M1045" i="7"/>
  <c r="N1045" i="7" s="1"/>
  <c r="O1045" i="7" s="1"/>
  <c r="M1043" i="7"/>
  <c r="N1043" i="7" s="1"/>
  <c r="O1043" i="7" s="1"/>
  <c r="M960" i="7"/>
  <c r="N960" i="7" s="1"/>
  <c r="O960" i="7" s="1"/>
  <c r="M961" i="7"/>
  <c r="N961" i="7" s="1"/>
  <c r="O961" i="7" s="1"/>
  <c r="M918" i="7"/>
  <c r="N918" i="7" s="1"/>
  <c r="O918" i="7" s="1"/>
  <c r="M919" i="7"/>
  <c r="N919" i="7" s="1"/>
  <c r="O919" i="7" s="1"/>
  <c r="M921" i="7"/>
  <c r="N921" i="7" s="1"/>
  <c r="O921" i="7" s="1"/>
  <c r="M917" i="7"/>
  <c r="N917" i="7" s="1"/>
  <c r="O917" i="7" s="1"/>
  <c r="M834" i="7"/>
  <c r="N834" i="7" s="1"/>
  <c r="O834" i="7" s="1"/>
  <c r="M838" i="7"/>
  <c r="N838" i="7" s="1"/>
  <c r="O838" i="7" s="1"/>
  <c r="M833" i="7"/>
  <c r="N833" i="7" s="1"/>
  <c r="O833" i="7" s="1"/>
  <c r="M840" i="7"/>
  <c r="N840" i="7" s="1"/>
  <c r="O840" i="7" s="1"/>
  <c r="M792" i="7"/>
  <c r="N792" i="7" s="1"/>
  <c r="O792" i="7" s="1"/>
  <c r="M793" i="7"/>
  <c r="N793" i="7" s="1"/>
  <c r="O793" i="7" s="1"/>
  <c r="M791" i="7"/>
  <c r="N791" i="7" s="1"/>
  <c r="O791" i="7" s="1"/>
  <c r="M750" i="7"/>
  <c r="N750" i="7" s="1"/>
  <c r="O750" i="7" s="1"/>
  <c r="M751" i="7"/>
  <c r="N751" i="7" s="1"/>
  <c r="O751" i="7" s="1"/>
  <c r="M753" i="7"/>
  <c r="N753" i="7" s="1"/>
  <c r="O753" i="7" s="1"/>
  <c r="M749" i="7"/>
  <c r="N749" i="7" s="1"/>
  <c r="O749" i="7" s="1"/>
  <c r="M666" i="7"/>
  <c r="N666" i="7" s="1"/>
  <c r="O666" i="7" s="1"/>
  <c r="M665" i="7"/>
  <c r="N665" i="7" s="1"/>
  <c r="O665" i="7" s="1"/>
  <c r="M624" i="7"/>
  <c r="N624" i="7" s="1"/>
  <c r="O624" i="7" s="1"/>
  <c r="M625" i="7"/>
  <c r="N625" i="7" s="1"/>
  <c r="O625" i="7" s="1"/>
  <c r="M623" i="7"/>
  <c r="N623" i="7" s="1"/>
  <c r="O623" i="7" s="1"/>
  <c r="M585" i="7"/>
  <c r="N585" i="7" s="1"/>
  <c r="O585" i="7" s="1"/>
  <c r="M540" i="7"/>
  <c r="N540" i="7" s="1"/>
  <c r="O540" i="7" s="1"/>
  <c r="M541" i="7"/>
  <c r="N541" i="7" s="1"/>
  <c r="O541" i="7" s="1"/>
  <c r="M539" i="7"/>
  <c r="N539" i="7" s="1"/>
  <c r="O539" i="7" s="1"/>
  <c r="M456" i="7"/>
  <c r="N456" i="7" s="1"/>
  <c r="O456" i="7" s="1"/>
  <c r="M457" i="7"/>
  <c r="N457" i="7" s="1"/>
  <c r="O457" i="7" s="1"/>
  <c r="M459" i="7"/>
  <c r="N459" i="7" s="1"/>
  <c r="O459" i="7" s="1"/>
  <c r="M455" i="7"/>
  <c r="N455" i="7" s="1"/>
  <c r="O455" i="7" s="1"/>
  <c r="M414" i="7"/>
  <c r="N414" i="7" s="1"/>
  <c r="O414" i="7" s="1"/>
  <c r="M415" i="7"/>
  <c r="N415" i="7" s="1"/>
  <c r="O415" i="7" s="1"/>
  <c r="M413" i="7"/>
  <c r="N413" i="7" s="1"/>
  <c r="O413" i="7" s="1"/>
  <c r="M288" i="7"/>
  <c r="N288" i="7" s="1"/>
  <c r="O288" i="7" s="1"/>
  <c r="M289" i="7"/>
  <c r="N289" i="7" s="1"/>
  <c r="O289" i="7" s="1"/>
  <c r="M287" i="7"/>
  <c r="N287" i="7" s="1"/>
  <c r="O287" i="7" s="1"/>
  <c r="M246" i="7"/>
  <c r="N246" i="7" s="1"/>
  <c r="O246" i="7" s="1"/>
  <c r="M247" i="7"/>
  <c r="N247" i="7" s="1"/>
  <c r="O247" i="7" s="1"/>
  <c r="M245" i="7"/>
  <c r="N245" i="7" s="1"/>
  <c r="O245" i="7" s="1"/>
  <c r="M204" i="7"/>
  <c r="N204" i="7" s="1"/>
  <c r="O204" i="7" s="1"/>
  <c r="M205" i="7"/>
  <c r="N205" i="7" s="1"/>
  <c r="O205" i="7" s="1"/>
  <c r="M203" i="7"/>
  <c r="N203" i="7" s="1"/>
  <c r="O203" i="7" s="1"/>
  <c r="M162" i="7"/>
  <c r="N162" i="7" s="1"/>
  <c r="O162" i="7" s="1"/>
  <c r="M163" i="7"/>
  <c r="N163" i="7" s="1"/>
  <c r="O163" i="7" s="1"/>
  <c r="M165" i="7"/>
  <c r="N165" i="7" s="1"/>
  <c r="O165" i="7" s="1"/>
  <c r="M161" i="7"/>
  <c r="N161" i="7" s="1"/>
  <c r="O161" i="7" s="1"/>
  <c r="M120" i="7"/>
  <c r="N120" i="7" s="1"/>
  <c r="O120" i="7" s="1"/>
  <c r="M119" i="7"/>
  <c r="N119" i="7" s="1"/>
  <c r="O119" i="7" s="1"/>
  <c r="M4" i="5"/>
  <c r="N4" i="5" s="1"/>
  <c r="O4" i="5" s="1"/>
  <c r="B9" i="6" s="1"/>
  <c r="M5" i="5"/>
  <c r="N5" i="5" s="1"/>
  <c r="O5" i="5" s="1"/>
  <c r="B10" i="6" s="1"/>
  <c r="M3" i="5"/>
  <c r="N3" i="5" s="1"/>
  <c r="O3" i="5" s="1"/>
  <c r="B8" i="6" s="1"/>
  <c r="M255" i="7"/>
  <c r="N255" i="7" s="1"/>
  <c r="O255" i="7" s="1"/>
  <c r="M759" i="7"/>
  <c r="N759" i="7" s="1"/>
  <c r="O759" i="7" s="1"/>
  <c r="M13" i="5"/>
  <c r="N13" i="5"/>
  <c r="O13" i="5" s="1"/>
  <c r="B15" i="6" s="1"/>
  <c r="M633" i="7"/>
  <c r="N633" i="7" s="1"/>
  <c r="O633" i="7" s="1"/>
  <c r="M129" i="7"/>
  <c r="N129" i="7" s="1"/>
  <c r="O129" i="7" s="1"/>
  <c r="M969" i="7"/>
  <c r="N969" i="7" s="1"/>
  <c r="O969" i="7" s="1"/>
  <c r="M549" i="7"/>
  <c r="N549" i="7" s="1"/>
  <c r="O549" i="7" s="1"/>
  <c r="M465" i="7"/>
  <c r="N465" i="7" s="1"/>
  <c r="O465" i="7" s="1"/>
  <c r="M591" i="7"/>
  <c r="N591" i="7" s="1"/>
  <c r="O591" i="7" s="1"/>
  <c r="M587" i="7"/>
  <c r="N587" i="7" s="1"/>
  <c r="O587" i="7" s="1"/>
  <c r="M461" i="7"/>
  <c r="N461" i="7" s="1"/>
  <c r="O461" i="7" s="1"/>
  <c r="M797" i="7"/>
  <c r="N797" i="7" s="1"/>
  <c r="O797" i="7" s="1"/>
  <c r="M125" i="7"/>
  <c r="N125" i="7" s="1"/>
  <c r="O125" i="7" s="1"/>
  <c r="M251" i="7"/>
  <c r="N251" i="7"/>
  <c r="O251" i="7" s="1"/>
  <c r="M209" i="7"/>
  <c r="N209" i="7" s="1"/>
  <c r="O209" i="7" s="1"/>
  <c r="M629" i="7"/>
  <c r="N629" i="7" s="1"/>
  <c r="O629" i="7" s="1"/>
  <c r="M9" i="5"/>
  <c r="N9" i="5" s="1"/>
  <c r="O9" i="5" s="1"/>
  <c r="B13" i="6" s="1"/>
  <c r="M755" i="7"/>
  <c r="N755" i="7" s="1"/>
  <c r="O755" i="7" s="1"/>
  <c r="M965" i="7"/>
  <c r="N965" i="7"/>
  <c r="O965" i="7" s="1"/>
  <c r="M1068" i="7"/>
  <c r="N1068" i="7" s="1"/>
  <c r="M1064" i="7"/>
  <c r="N1064" i="7" s="1"/>
  <c r="M1056" i="7"/>
  <c r="N1056" i="7" s="1"/>
  <c r="O1056" i="7" s="1"/>
  <c r="M1055" i="7"/>
  <c r="N1055" i="7" s="1"/>
  <c r="O1055" i="7" s="1"/>
  <c r="M1054" i="7"/>
  <c r="N1054" i="7" s="1"/>
  <c r="O1054" i="7" s="1"/>
  <c r="M1053" i="7"/>
  <c r="N1053" i="7" s="1"/>
  <c r="O1053" i="7" s="1"/>
  <c r="M1050" i="7"/>
  <c r="N1050" i="7" s="1"/>
  <c r="O1050" i="7" s="1"/>
  <c r="M1049" i="7"/>
  <c r="N1049" i="7" s="1"/>
  <c r="O1049" i="7" s="1"/>
  <c r="M1048" i="7"/>
  <c r="N1048" i="7" s="1"/>
  <c r="O1048" i="7" s="1"/>
  <c r="M1047" i="7"/>
  <c r="N1047" i="7" s="1"/>
  <c r="O1047" i="7" s="1"/>
  <c r="M1042" i="7"/>
  <c r="N1042" i="7" s="1"/>
  <c r="O1042" i="7" s="1"/>
  <c r="M964" i="7"/>
  <c r="N964" i="7" s="1"/>
  <c r="O964" i="7" s="1"/>
  <c r="M922" i="7"/>
  <c r="N922" i="7" s="1"/>
  <c r="O922" i="7" s="1"/>
  <c r="M774" i="7"/>
  <c r="N774" i="7" s="1"/>
  <c r="M762" i="7"/>
  <c r="N762" i="7" s="1"/>
  <c r="O762" i="7" s="1"/>
  <c r="M678" i="7"/>
  <c r="N678" i="7" s="1"/>
  <c r="O678" i="7" s="1"/>
  <c r="M670" i="7"/>
  <c r="N670" i="7" s="1"/>
  <c r="O670" i="7" s="1"/>
  <c r="M984" i="7"/>
  <c r="N984" i="7" s="1"/>
  <c r="M980" i="7"/>
  <c r="N980" i="7" s="1"/>
  <c r="M972" i="7"/>
  <c r="N972" i="7" s="1"/>
  <c r="O972" i="7" s="1"/>
  <c r="M971" i="7"/>
  <c r="N971" i="7" s="1"/>
  <c r="O971" i="7" s="1"/>
  <c r="M970" i="7"/>
  <c r="N970" i="7" s="1"/>
  <c r="O970" i="7" s="1"/>
  <c r="M966" i="7"/>
  <c r="N966" i="7" s="1"/>
  <c r="O966" i="7" s="1"/>
  <c r="M963" i="7"/>
  <c r="N963" i="7" s="1"/>
  <c r="O963" i="7" s="1"/>
  <c r="M923" i="7"/>
  <c r="N923" i="7" s="1"/>
  <c r="O923" i="7" s="1"/>
  <c r="M770" i="7"/>
  <c r="N770" i="7" s="1"/>
  <c r="M761" i="7"/>
  <c r="N761" i="7" s="1"/>
  <c r="O761" i="7" s="1"/>
  <c r="M686" i="7"/>
  <c r="N686" i="7" s="1"/>
  <c r="M959" i="7"/>
  <c r="N959" i="7" s="1"/>
  <c r="O959" i="7" s="1"/>
  <c r="M958" i="7"/>
  <c r="N958" i="7" s="1"/>
  <c r="O958" i="7" s="1"/>
  <c r="M942" i="7"/>
  <c r="N942" i="7" s="1"/>
  <c r="M938" i="7"/>
  <c r="N938" i="7" s="1"/>
  <c r="M930" i="7"/>
  <c r="N930" i="7" s="1"/>
  <c r="O930" i="7" s="1"/>
  <c r="M929" i="7"/>
  <c r="N929" i="7" s="1"/>
  <c r="O929" i="7" s="1"/>
  <c r="M928" i="7"/>
  <c r="N928" i="7" s="1"/>
  <c r="O928" i="7" s="1"/>
  <c r="M927" i="7"/>
  <c r="N927" i="7" s="1"/>
  <c r="O927" i="7" s="1"/>
  <c r="M924" i="7"/>
  <c r="N924" i="7"/>
  <c r="O924" i="7" s="1"/>
  <c r="M754" i="7"/>
  <c r="N754" i="7" s="1"/>
  <c r="O754" i="7" s="1"/>
  <c r="M675" i="7"/>
  <c r="N675" i="7" s="1"/>
  <c r="O675" i="7" s="1"/>
  <c r="M667" i="7"/>
  <c r="N667" i="7" s="1"/>
  <c r="O667" i="7" s="1"/>
  <c r="M874" i="7"/>
  <c r="N874" i="7" s="1"/>
  <c r="O874" i="7" s="1"/>
  <c r="M858" i="7"/>
  <c r="N858" i="7" s="1"/>
  <c r="M854" i="7"/>
  <c r="N854" i="7" s="1"/>
  <c r="M846" i="7"/>
  <c r="N846" i="7" s="1"/>
  <c r="O846" i="7" s="1"/>
  <c r="M845" i="7"/>
  <c r="N845" i="7" s="1"/>
  <c r="O845" i="7" s="1"/>
  <c r="M844" i="7"/>
  <c r="N844" i="7" s="1"/>
  <c r="O844" i="7" s="1"/>
  <c r="M843" i="7"/>
  <c r="N843" i="7" s="1"/>
  <c r="O843" i="7" s="1"/>
  <c r="M816" i="7"/>
  <c r="N816" i="7" s="1"/>
  <c r="M803" i="7"/>
  <c r="N803" i="7" s="1"/>
  <c r="O803" i="7" s="1"/>
  <c r="M802" i="7"/>
  <c r="N802" i="7" s="1"/>
  <c r="O802" i="7" s="1"/>
  <c r="M798" i="7"/>
  <c r="N798" i="7" s="1"/>
  <c r="O798" i="7" s="1"/>
  <c r="M796" i="7"/>
  <c r="N796" i="7" s="1"/>
  <c r="O796" i="7" s="1"/>
  <c r="M756" i="7"/>
  <c r="N756" i="7" s="1"/>
  <c r="O756" i="7" s="1"/>
  <c r="M676" i="7"/>
  <c r="N676" i="7" s="1"/>
  <c r="O676" i="7" s="1"/>
  <c r="M669" i="7"/>
  <c r="N669" i="7" s="1"/>
  <c r="O669" i="7" s="1"/>
  <c r="M837" i="7"/>
  <c r="N837" i="7"/>
  <c r="O837" i="7" s="1"/>
  <c r="M835" i="7"/>
  <c r="N835" i="7" s="1"/>
  <c r="O835" i="7" s="1"/>
  <c r="M812" i="7"/>
  <c r="N812" i="7"/>
  <c r="M804" i="7"/>
  <c r="N804" i="7"/>
  <c r="O804" i="7" s="1"/>
  <c r="M801" i="7"/>
  <c r="N801" i="7"/>
  <c r="O801" i="7" s="1"/>
  <c r="M795" i="7"/>
  <c r="N795" i="7" s="1"/>
  <c r="O795" i="7" s="1"/>
  <c r="M760" i="7"/>
  <c r="N760" i="7" s="1"/>
  <c r="O760" i="7" s="1"/>
  <c r="M672" i="7"/>
  <c r="N672" i="7" s="1"/>
  <c r="O672" i="7" s="1"/>
  <c r="K712" i="7"/>
  <c r="L712" i="7" s="1"/>
  <c r="K717" i="7"/>
  <c r="L717" i="7" s="1"/>
  <c r="K719" i="7"/>
  <c r="L719" i="7" s="1"/>
  <c r="K713" i="7"/>
  <c r="L713" i="7" s="1"/>
  <c r="K714" i="7"/>
  <c r="L714" i="7" s="1"/>
  <c r="M706" i="7"/>
  <c r="N706" i="7" s="1"/>
  <c r="O706" i="7" s="1"/>
  <c r="M690" i="7"/>
  <c r="N690" i="7" s="1"/>
  <c r="M636" i="7"/>
  <c r="N636" i="7" s="1"/>
  <c r="O636" i="7" s="1"/>
  <c r="M635" i="7"/>
  <c r="N635" i="7" s="1"/>
  <c r="O635" i="7" s="1"/>
  <c r="M634" i="7"/>
  <c r="N634" i="7" s="1"/>
  <c r="O634" i="7" s="1"/>
  <c r="M630" i="7"/>
  <c r="N630" i="7" s="1"/>
  <c r="O630" i="7" s="1"/>
  <c r="M628" i="7"/>
  <c r="N628" i="7" s="1"/>
  <c r="O628" i="7" s="1"/>
  <c r="M627" i="7"/>
  <c r="N627" i="7" s="1"/>
  <c r="O627" i="7" s="1"/>
  <c r="M606" i="7"/>
  <c r="N606" i="7" s="1"/>
  <c r="M602" i="7"/>
  <c r="N602" i="7" s="1"/>
  <c r="M583" i="7"/>
  <c r="N583" i="7" s="1"/>
  <c r="O583" i="7" s="1"/>
  <c r="M582" i="7"/>
  <c r="N582" i="7" s="1"/>
  <c r="O582" i="7" s="1"/>
  <c r="M581" i="7"/>
  <c r="N581" i="7" s="1"/>
  <c r="O581" i="7" s="1"/>
  <c r="M580" i="7"/>
  <c r="N580" i="7" s="1"/>
  <c r="O580" i="7" s="1"/>
  <c r="M564" i="7"/>
  <c r="N564" i="7" s="1"/>
  <c r="M560" i="7"/>
  <c r="N560" i="7" s="1"/>
  <c r="M552" i="7"/>
  <c r="N552" i="7" s="1"/>
  <c r="O552" i="7" s="1"/>
  <c r="M551" i="7"/>
  <c r="N551" i="7" s="1"/>
  <c r="O551" i="7" s="1"/>
  <c r="M550" i="7"/>
  <c r="N550" i="7" s="1"/>
  <c r="O550" i="7" s="1"/>
  <c r="M546" i="7"/>
  <c r="N546" i="7" s="1"/>
  <c r="O546" i="7" s="1"/>
  <c r="M545" i="7"/>
  <c r="N545" i="7" s="1"/>
  <c r="O545" i="7" s="1"/>
  <c r="M544" i="7"/>
  <c r="N544" i="7" s="1"/>
  <c r="O544" i="7" s="1"/>
  <c r="M543" i="7"/>
  <c r="N543" i="7" s="1"/>
  <c r="O543" i="7" s="1"/>
  <c r="M538" i="7"/>
  <c r="N538" i="7" s="1"/>
  <c r="O538" i="7" s="1"/>
  <c r="M522" i="7"/>
  <c r="N522" i="7" s="1"/>
  <c r="M518" i="7"/>
  <c r="N518" i="7" s="1"/>
  <c r="M434" i="7"/>
  <c r="N434" i="7" s="1"/>
  <c r="M426" i="7"/>
  <c r="N426" i="7" s="1"/>
  <c r="O426" i="7" s="1"/>
  <c r="M423" i="7"/>
  <c r="N423" i="7" s="1"/>
  <c r="O423" i="7" s="1"/>
  <c r="M420" i="7"/>
  <c r="N420" i="7" s="1"/>
  <c r="O420" i="7" s="1"/>
  <c r="M417" i="7"/>
  <c r="N417" i="7" s="1"/>
  <c r="O417" i="7" s="1"/>
  <c r="M228" i="7"/>
  <c r="N228" i="7" s="1"/>
  <c r="M215" i="7"/>
  <c r="N215" i="7" s="1"/>
  <c r="O215" i="7" s="1"/>
  <c r="M121" i="7"/>
  <c r="N121" i="7" s="1"/>
  <c r="O121" i="7" s="1"/>
  <c r="M510" i="7"/>
  <c r="N510" i="7" s="1"/>
  <c r="O510" i="7" s="1"/>
  <c r="M509" i="7"/>
  <c r="N509" i="7" s="1"/>
  <c r="O509" i="7" s="1"/>
  <c r="M508" i="7"/>
  <c r="N508" i="7" s="1"/>
  <c r="O508" i="7" s="1"/>
  <c r="M507" i="7"/>
  <c r="N507" i="7" s="1"/>
  <c r="O507" i="7" s="1"/>
  <c r="M504" i="7"/>
  <c r="N504" i="7" s="1"/>
  <c r="O504" i="7" s="1"/>
  <c r="M503" i="7"/>
  <c r="N503" i="7" s="1"/>
  <c r="O503" i="7" s="1"/>
  <c r="M502" i="7"/>
  <c r="N502" i="7" s="1"/>
  <c r="O502" i="7" s="1"/>
  <c r="M501" i="7"/>
  <c r="N501" i="7"/>
  <c r="O501" i="7" s="1"/>
  <c r="M499" i="7"/>
  <c r="N499" i="7" s="1"/>
  <c r="O499" i="7" s="1"/>
  <c r="M498" i="7"/>
  <c r="N498" i="7" s="1"/>
  <c r="O498" i="7" s="1"/>
  <c r="M497" i="7"/>
  <c r="N497" i="7" s="1"/>
  <c r="O497" i="7" s="1"/>
  <c r="M496" i="7"/>
  <c r="N496" i="7" s="1"/>
  <c r="O496" i="7" s="1"/>
  <c r="M480" i="7"/>
  <c r="N480" i="7" s="1"/>
  <c r="M476" i="7"/>
  <c r="N476" i="7" s="1"/>
  <c r="M468" i="7"/>
  <c r="N468" i="7" s="1"/>
  <c r="O468" i="7" s="1"/>
  <c r="M467" i="7"/>
  <c r="N467" i="7" s="1"/>
  <c r="O467" i="7" s="1"/>
  <c r="M466" i="7"/>
  <c r="N466" i="7" s="1"/>
  <c r="O466" i="7" s="1"/>
  <c r="M462" i="7"/>
  <c r="N462" i="7" s="1"/>
  <c r="O462" i="7" s="1"/>
  <c r="M460" i="7"/>
  <c r="N460" i="7" s="1"/>
  <c r="O460" i="7" s="1"/>
  <c r="M438" i="7"/>
  <c r="N438" i="7" s="1"/>
  <c r="M425" i="7"/>
  <c r="N425" i="7" s="1"/>
  <c r="O425" i="7" s="1"/>
  <c r="M419" i="7"/>
  <c r="N419" i="7" s="1"/>
  <c r="O419" i="7" s="1"/>
  <c r="M224" i="7"/>
  <c r="N224" i="7" s="1"/>
  <c r="M214" i="7"/>
  <c r="N214" i="7" s="1"/>
  <c r="O214" i="7" s="1"/>
  <c r="M172" i="7"/>
  <c r="N172" i="7" s="1"/>
  <c r="O172" i="7" s="1"/>
  <c r="M167" i="7"/>
  <c r="N167" i="7" s="1"/>
  <c r="O167" i="7" s="1"/>
  <c r="M124" i="7"/>
  <c r="N124" i="7" s="1"/>
  <c r="O124" i="7" s="1"/>
  <c r="M592" i="7"/>
  <c r="N592" i="7" s="1"/>
  <c r="O592" i="7" s="1"/>
  <c r="M454" i="7"/>
  <c r="N454" i="7" s="1"/>
  <c r="O454" i="7" s="1"/>
  <c r="M424" i="7"/>
  <c r="N424" i="7" s="1"/>
  <c r="O424" i="7" s="1"/>
  <c r="M418" i="7"/>
  <c r="N418" i="7"/>
  <c r="O418" i="7" s="1"/>
  <c r="M186" i="7"/>
  <c r="N186" i="7" s="1"/>
  <c r="M171" i="7"/>
  <c r="N171" i="7" s="1"/>
  <c r="O171" i="7" s="1"/>
  <c r="M257" i="7"/>
  <c r="N257" i="7" s="1"/>
  <c r="O257" i="7" s="1"/>
  <c r="M249" i="7"/>
  <c r="N249" i="7" s="1"/>
  <c r="O249" i="7" s="1"/>
  <c r="M207" i="7"/>
  <c r="N207" i="7" s="1"/>
  <c r="O207" i="7" s="1"/>
  <c r="M168" i="7"/>
  <c r="N168" i="7" s="1"/>
  <c r="O168" i="7" s="1"/>
  <c r="M312" i="7"/>
  <c r="N312" i="7" s="1"/>
  <c r="M308" i="7"/>
  <c r="N308" i="7" s="1"/>
  <c r="M300" i="7"/>
  <c r="N300" i="7" s="1"/>
  <c r="O300" i="7" s="1"/>
  <c r="M299" i="7"/>
  <c r="N299" i="7" s="1"/>
  <c r="O299" i="7" s="1"/>
  <c r="M298" i="7"/>
  <c r="N298" i="7" s="1"/>
  <c r="O298" i="7" s="1"/>
  <c r="M297" i="7"/>
  <c r="N297" i="7" s="1"/>
  <c r="O297" i="7" s="1"/>
  <c r="M294" i="7"/>
  <c r="N294" i="7" s="1"/>
  <c r="O294" i="7" s="1"/>
  <c r="M293" i="7"/>
  <c r="N293" i="7" s="1"/>
  <c r="O293" i="7" s="1"/>
  <c r="M292" i="7"/>
  <c r="N292" i="7" s="1"/>
  <c r="O292" i="7" s="1"/>
  <c r="M291" i="7"/>
  <c r="N291" i="7" s="1"/>
  <c r="O291" i="7" s="1"/>
  <c r="M286" i="7"/>
  <c r="N286" i="7" s="1"/>
  <c r="O286" i="7" s="1"/>
  <c r="M270" i="7"/>
  <c r="N270" i="7" s="1"/>
  <c r="M258" i="7"/>
  <c r="N258" i="7" s="1"/>
  <c r="O258" i="7" s="1"/>
  <c r="M252" i="7"/>
  <c r="N252" i="7" s="1"/>
  <c r="O252" i="7" s="1"/>
  <c r="M250" i="7"/>
  <c r="N250" i="7" s="1"/>
  <c r="O250" i="7" s="1"/>
  <c r="M216" i="7"/>
  <c r="N216" i="7" s="1"/>
  <c r="O216" i="7" s="1"/>
  <c r="M182" i="7"/>
  <c r="N182" i="7" s="1"/>
  <c r="M174" i="7"/>
  <c r="N174" i="7" s="1"/>
  <c r="O174" i="7" s="1"/>
  <c r="M166" i="7"/>
  <c r="N166" i="7" s="1"/>
  <c r="O166" i="7" s="1"/>
  <c r="M123" i="7"/>
  <c r="N123" i="7" s="1"/>
  <c r="O123" i="7" s="1"/>
  <c r="M588" i="7"/>
  <c r="N588" i="7" s="1"/>
  <c r="O588" i="7" s="1"/>
  <c r="M266" i="7"/>
  <c r="N266" i="7" s="1"/>
  <c r="M256" i="7"/>
  <c r="N256" i="7" s="1"/>
  <c r="O256" i="7" s="1"/>
  <c r="M126" i="7"/>
  <c r="N126" i="7" s="1"/>
  <c r="O126" i="7" s="1"/>
  <c r="M213" i="7"/>
  <c r="N213" i="7" s="1"/>
  <c r="O213" i="7" s="1"/>
  <c r="M210" i="7"/>
  <c r="N210" i="7" s="1"/>
  <c r="O210" i="7" s="1"/>
  <c r="M208" i="7"/>
  <c r="N208" i="7" s="1"/>
  <c r="O208" i="7" s="1"/>
  <c r="M173" i="7"/>
  <c r="N173" i="7" s="1"/>
  <c r="O173" i="7" s="1"/>
  <c r="M593" i="7"/>
  <c r="N593" i="7" s="1"/>
  <c r="O593" i="7" s="1"/>
  <c r="M144" i="7"/>
  <c r="N144" i="7" s="1"/>
  <c r="M140" i="7"/>
  <c r="N140" i="7" s="1"/>
  <c r="M132" i="7"/>
  <c r="N132" i="7" s="1"/>
  <c r="O132" i="7" s="1"/>
  <c r="M131" i="7"/>
  <c r="N131" i="7" s="1"/>
  <c r="O131" i="7" s="1"/>
  <c r="M130" i="7"/>
  <c r="N130" i="7" s="1"/>
  <c r="O130" i="7" s="1"/>
  <c r="M594" i="7"/>
  <c r="N594" i="7" s="1"/>
  <c r="O594" i="7" s="1"/>
  <c r="K98" i="7"/>
  <c r="L98" i="7" s="1"/>
  <c r="K88" i="7"/>
  <c r="L88" i="7" s="1"/>
  <c r="K90" i="7"/>
  <c r="L90" i="7" s="1"/>
  <c r="K89" i="7"/>
  <c r="L89" i="7" s="1"/>
  <c r="K87" i="7"/>
  <c r="L87" i="7" s="1"/>
  <c r="M2" i="5"/>
  <c r="N2" i="5" s="1"/>
  <c r="O2" i="5" s="1"/>
  <c r="M28" i="5"/>
  <c r="N28" i="5" s="1"/>
  <c r="M24" i="5"/>
  <c r="N24" i="5" s="1"/>
  <c r="M16" i="5"/>
  <c r="N16" i="5" s="1"/>
  <c r="O16" i="5" s="1"/>
  <c r="B18" i="6" s="1"/>
  <c r="M15" i="5"/>
  <c r="N15" i="5" s="1"/>
  <c r="O15" i="5" s="1"/>
  <c r="B17" i="6" s="1"/>
  <c r="M14" i="5"/>
  <c r="N14" i="5" s="1"/>
  <c r="O14" i="5" s="1"/>
  <c r="B16" i="6" s="1"/>
  <c r="M10" i="5"/>
  <c r="N10" i="5" s="1"/>
  <c r="O10" i="5" s="1"/>
  <c r="B14" i="6" s="1"/>
  <c r="M8" i="5"/>
  <c r="N8" i="5" s="1"/>
  <c r="O8" i="5" s="1"/>
  <c r="B12" i="6" s="1"/>
  <c r="M677" i="7"/>
  <c r="N677" i="7" s="1"/>
  <c r="O677" i="7" s="1"/>
  <c r="M586" i="7"/>
  <c r="N586" i="7" s="1"/>
  <c r="O586" i="7" s="1"/>
  <c r="M7" i="5"/>
  <c r="N7" i="5" s="1"/>
  <c r="O7" i="5" s="1"/>
  <c r="B11" i="6" s="1"/>
  <c r="M671" i="7"/>
  <c r="N671" i="7" s="1"/>
  <c r="O671" i="7" s="1"/>
  <c r="O664" i="7"/>
  <c r="O244" i="7"/>
  <c r="O202" i="7"/>
  <c r="O160" i="7"/>
  <c r="K339" i="7"/>
  <c r="L339" i="7" s="1"/>
  <c r="K335" i="7"/>
  <c r="L335" i="7" s="1"/>
  <c r="K1008" i="7"/>
  <c r="L1008" i="7" s="1"/>
  <c r="K1005" i="7"/>
  <c r="L1005" i="7" s="1"/>
  <c r="K1007" i="7"/>
  <c r="L1007" i="7" s="1"/>
  <c r="K1012" i="7"/>
  <c r="L1012" i="7" s="1"/>
  <c r="K1011" i="7"/>
  <c r="L1011" i="7" s="1"/>
  <c r="K1022" i="7"/>
  <c r="L1022" i="7" s="1"/>
  <c r="K1003" i="7"/>
  <c r="L1003" i="7" s="1"/>
  <c r="K1006" i="7"/>
  <c r="L1006" i="7" s="1"/>
  <c r="K1014" i="7"/>
  <c r="L1014" i="7" s="1"/>
  <c r="K1026" i="7"/>
  <c r="L1026" i="7" s="1"/>
  <c r="K1002" i="7"/>
  <c r="L1002" i="7" s="1"/>
  <c r="K896" i="7"/>
  <c r="L896" i="7" s="1"/>
  <c r="K886" i="7"/>
  <c r="L886" i="7" s="1"/>
  <c r="K888" i="7"/>
  <c r="L888" i="7" s="1"/>
  <c r="K885" i="7"/>
  <c r="L885" i="7" s="1"/>
  <c r="K877" i="7"/>
  <c r="L877" i="7" s="1"/>
  <c r="K879" i="7"/>
  <c r="L879" i="7" s="1"/>
  <c r="K900" i="7"/>
  <c r="L900" i="7" s="1"/>
  <c r="K887" i="7"/>
  <c r="L887" i="7" s="1"/>
  <c r="K881" i="7"/>
  <c r="L881" i="7" s="1"/>
  <c r="K875" i="7"/>
  <c r="L875" i="7" s="1"/>
  <c r="K880" i="7"/>
  <c r="L880" i="7" s="1"/>
  <c r="K882" i="7"/>
  <c r="L882" i="7" s="1"/>
  <c r="K876" i="7"/>
  <c r="L876" i="7" s="1"/>
  <c r="K709" i="7"/>
  <c r="L709" i="7" s="1"/>
  <c r="K707" i="7"/>
  <c r="L707" i="7" s="1"/>
  <c r="K711" i="7"/>
  <c r="L711" i="7" s="1"/>
  <c r="K718" i="7"/>
  <c r="L718" i="7" s="1"/>
  <c r="K732" i="7"/>
  <c r="L732" i="7" s="1"/>
  <c r="K728" i="7"/>
  <c r="L728" i="7" s="1"/>
  <c r="K720" i="7"/>
  <c r="L720" i="7" s="1"/>
  <c r="K708" i="7"/>
  <c r="L708" i="7" s="1"/>
  <c r="K336" i="7"/>
  <c r="L336" i="7" s="1"/>
  <c r="K330" i="7"/>
  <c r="L330" i="7" s="1"/>
  <c r="K341" i="7"/>
  <c r="L341" i="7" s="1"/>
  <c r="K328" i="7"/>
  <c r="L328" i="7" s="1"/>
  <c r="K329" i="7"/>
  <c r="L329" i="7" s="1"/>
  <c r="K342" i="7"/>
  <c r="L342" i="7" s="1"/>
  <c r="K354" i="7"/>
  <c r="L354" i="7" s="1"/>
  <c r="K340" i="7"/>
  <c r="L340" i="7" s="1"/>
  <c r="K331" i="7"/>
  <c r="L331" i="7" s="1"/>
  <c r="K350" i="7"/>
  <c r="L350" i="7" s="1"/>
  <c r="K334" i="7"/>
  <c r="L334" i="7" s="1"/>
  <c r="K333" i="7"/>
  <c r="L333" i="7" s="1"/>
  <c r="K102" i="7"/>
  <c r="L102" i="7" s="1"/>
  <c r="K84" i="7"/>
  <c r="L84" i="7" s="1"/>
  <c r="K83" i="7"/>
  <c r="L83" i="7" s="1"/>
  <c r="K82" i="7"/>
  <c r="L82" i="7" s="1"/>
  <c r="K81" i="7"/>
  <c r="L81" i="7" s="1"/>
  <c r="M37" i="7" l="1"/>
  <c r="N37" i="7"/>
  <c r="O37" i="7" s="1"/>
  <c r="B71" i="7" s="1"/>
  <c r="M56" i="7"/>
  <c r="N56" i="7"/>
  <c r="M832" i="7"/>
  <c r="N832" i="7" s="1"/>
  <c r="O832" i="7" s="1"/>
  <c r="B869" i="7" s="1"/>
  <c r="B533" i="7"/>
  <c r="B659" i="7"/>
  <c r="B1079" i="7"/>
  <c r="B995" i="7"/>
  <c r="B785" i="7"/>
  <c r="B407" i="7"/>
  <c r="M712" i="7"/>
  <c r="N712" i="7" s="1"/>
  <c r="O712" i="7" s="1"/>
  <c r="M717" i="7"/>
  <c r="N717" i="7" s="1"/>
  <c r="O717" i="7" s="1"/>
  <c r="M719" i="7"/>
  <c r="N719" i="7" s="1"/>
  <c r="O719" i="7" s="1"/>
  <c r="M713" i="7"/>
  <c r="N713" i="7" s="1"/>
  <c r="O713" i="7" s="1"/>
  <c r="M714" i="7"/>
  <c r="N714" i="7" s="1"/>
  <c r="O714" i="7" s="1"/>
  <c r="M98" i="7"/>
  <c r="N98" i="7" s="1"/>
  <c r="M88" i="7"/>
  <c r="N88" i="7" s="1"/>
  <c r="O88" i="7" s="1"/>
  <c r="M90" i="7"/>
  <c r="N90" i="7" s="1"/>
  <c r="O90" i="7" s="1"/>
  <c r="M89" i="7"/>
  <c r="N89" i="7" s="1"/>
  <c r="O89" i="7" s="1"/>
  <c r="M87" i="7"/>
  <c r="N87" i="7" s="1"/>
  <c r="O87" i="7" s="1"/>
  <c r="B3" i="6"/>
  <c r="B7" i="6"/>
  <c r="B65" i="6"/>
  <c r="M339" i="7"/>
  <c r="N339" i="7" s="1"/>
  <c r="O339" i="7" s="1"/>
  <c r="M335" i="7"/>
  <c r="N335" i="7" s="1"/>
  <c r="O335" i="7" s="1"/>
  <c r="M1008" i="7"/>
  <c r="N1008" i="7" s="1"/>
  <c r="O1008" i="7" s="1"/>
  <c r="M1005" i="7"/>
  <c r="N1005" i="7" s="1"/>
  <c r="O1005" i="7" s="1"/>
  <c r="M1007" i="7"/>
  <c r="N1007" i="7" s="1"/>
  <c r="O1007" i="7" s="1"/>
  <c r="M1012" i="7"/>
  <c r="N1012" i="7" s="1"/>
  <c r="O1012" i="7" s="1"/>
  <c r="M1011" i="7"/>
  <c r="N1011" i="7" s="1"/>
  <c r="O1011" i="7" s="1"/>
  <c r="M1022" i="7"/>
  <c r="N1022" i="7" s="1"/>
  <c r="M1003" i="7"/>
  <c r="N1003" i="7"/>
  <c r="O1003" i="7" s="1"/>
  <c r="M1006" i="7"/>
  <c r="N1006" i="7"/>
  <c r="O1006" i="7" s="1"/>
  <c r="M1014" i="7"/>
  <c r="N1014" i="7" s="1"/>
  <c r="O1014" i="7" s="1"/>
  <c r="M1026" i="7"/>
  <c r="N1026" i="7" s="1"/>
  <c r="M1002" i="7"/>
  <c r="N1002" i="7" s="1"/>
  <c r="O1002" i="7" s="1"/>
  <c r="M896" i="7"/>
  <c r="N896" i="7" s="1"/>
  <c r="M886" i="7"/>
  <c r="N886" i="7" s="1"/>
  <c r="O886" i="7" s="1"/>
  <c r="M888" i="7"/>
  <c r="N888" i="7" s="1"/>
  <c r="O888" i="7" s="1"/>
  <c r="M885" i="7"/>
  <c r="N885" i="7" s="1"/>
  <c r="O885" i="7" s="1"/>
  <c r="M877" i="7"/>
  <c r="N877" i="7" s="1"/>
  <c r="O877" i="7" s="1"/>
  <c r="M879" i="7"/>
  <c r="N879" i="7" s="1"/>
  <c r="O879" i="7" s="1"/>
  <c r="M900" i="7"/>
  <c r="N900" i="7" s="1"/>
  <c r="M887" i="7"/>
  <c r="N887" i="7" s="1"/>
  <c r="O887" i="7" s="1"/>
  <c r="M881" i="7"/>
  <c r="N881" i="7" s="1"/>
  <c r="O881" i="7" s="1"/>
  <c r="M875" i="7"/>
  <c r="N875" i="7" s="1"/>
  <c r="O875" i="7" s="1"/>
  <c r="M880" i="7"/>
  <c r="N880" i="7" s="1"/>
  <c r="O880" i="7" s="1"/>
  <c r="M882" i="7"/>
  <c r="N882" i="7" s="1"/>
  <c r="O882" i="7" s="1"/>
  <c r="M876" i="7"/>
  <c r="N876" i="7" s="1"/>
  <c r="O876" i="7" s="1"/>
  <c r="M709" i="7"/>
  <c r="N709" i="7" s="1"/>
  <c r="O709" i="7" s="1"/>
  <c r="M707" i="7"/>
  <c r="N707" i="7" s="1"/>
  <c r="O707" i="7" s="1"/>
  <c r="M711" i="7"/>
  <c r="N711" i="7" s="1"/>
  <c r="O711" i="7" s="1"/>
  <c r="M718" i="7"/>
  <c r="N718" i="7" s="1"/>
  <c r="O718" i="7" s="1"/>
  <c r="M732" i="7"/>
  <c r="N732" i="7" s="1"/>
  <c r="M728" i="7"/>
  <c r="N728" i="7" s="1"/>
  <c r="M720" i="7"/>
  <c r="N720" i="7" s="1"/>
  <c r="O720" i="7" s="1"/>
  <c r="M708" i="7"/>
  <c r="N708" i="7" s="1"/>
  <c r="O708" i="7" s="1"/>
  <c r="M336" i="7"/>
  <c r="N336" i="7" s="1"/>
  <c r="O336" i="7" s="1"/>
  <c r="M330" i="7"/>
  <c r="N330" i="7" s="1"/>
  <c r="O330" i="7" s="1"/>
  <c r="M341" i="7"/>
  <c r="N341" i="7" s="1"/>
  <c r="O341" i="7" s="1"/>
  <c r="M328" i="7"/>
  <c r="N328" i="7" s="1"/>
  <c r="O328" i="7" s="1"/>
  <c r="M329" i="7"/>
  <c r="N329" i="7" s="1"/>
  <c r="O329" i="7" s="1"/>
  <c r="M342" i="7"/>
  <c r="N342" i="7" s="1"/>
  <c r="O342" i="7" s="1"/>
  <c r="M354" i="7"/>
  <c r="N354" i="7"/>
  <c r="M340" i="7"/>
  <c r="N340" i="7" s="1"/>
  <c r="O340" i="7" s="1"/>
  <c r="M331" i="7"/>
  <c r="N331" i="7" s="1"/>
  <c r="O331" i="7" s="1"/>
  <c r="M350" i="7"/>
  <c r="N350" i="7" s="1"/>
  <c r="M334" i="7"/>
  <c r="N334" i="7" s="1"/>
  <c r="O334" i="7" s="1"/>
  <c r="M333" i="7"/>
  <c r="N333" i="7" s="1"/>
  <c r="O333" i="7" s="1"/>
  <c r="M102" i="7"/>
  <c r="N102" i="7"/>
  <c r="M84" i="7"/>
  <c r="N84" i="7" s="1"/>
  <c r="O84" i="7" s="1"/>
  <c r="M83" i="7"/>
  <c r="N83" i="7" s="1"/>
  <c r="O83" i="7" s="1"/>
  <c r="M82" i="7"/>
  <c r="N82" i="7" s="1"/>
  <c r="O82" i="7" s="1"/>
  <c r="M81" i="7"/>
  <c r="N81" i="7" s="1"/>
  <c r="O81" i="7" s="1"/>
  <c r="B701" i="7"/>
  <c r="B449" i="7"/>
  <c r="B281" i="7"/>
  <c r="B239" i="7"/>
  <c r="B197" i="7"/>
  <c r="B155" i="7"/>
  <c r="B617" i="7"/>
  <c r="B575" i="7"/>
  <c r="B491" i="7"/>
  <c r="B323" i="7"/>
  <c r="B953" i="7"/>
  <c r="B827" i="7"/>
  <c r="P771" i="7" l="1"/>
  <c r="P770" i="7"/>
  <c r="P769" i="7"/>
  <c r="P773" i="7"/>
  <c r="P772" i="7"/>
  <c r="P515" i="7"/>
  <c r="P506" i="7"/>
  <c r="P522" i="7"/>
  <c r="P521" i="7"/>
  <c r="P517" i="7"/>
  <c r="P516" i="7"/>
  <c r="P496" i="7"/>
  <c r="P500" i="7"/>
  <c r="P503" i="7"/>
  <c r="P512" i="7"/>
  <c r="P513" i="7"/>
  <c r="P514" i="7"/>
  <c r="P518" i="7"/>
  <c r="P519" i="7"/>
  <c r="P520" i="7"/>
  <c r="P497" i="7"/>
  <c r="P501" i="7"/>
  <c r="P502" i="7"/>
  <c r="P507" i="7"/>
  <c r="G16" i="7"/>
  <c r="P498" i="7"/>
  <c r="P499" i="7"/>
  <c r="P504" i="7"/>
  <c r="P505" i="7"/>
  <c r="P508" i="7"/>
  <c r="P509" i="7"/>
  <c r="P510" i="7"/>
  <c r="P511" i="7"/>
  <c r="P774" i="7"/>
  <c r="P768" i="7"/>
  <c r="P763" i="7"/>
  <c r="P764" i="7"/>
  <c r="P765" i="7"/>
  <c r="P766" i="7"/>
  <c r="P767" i="7"/>
  <c r="P648" i="7"/>
  <c r="P647" i="7"/>
  <c r="P646" i="7"/>
  <c r="P645" i="7"/>
  <c r="P644" i="7"/>
  <c r="P643" i="7"/>
  <c r="P642" i="7"/>
  <c r="P641" i="7"/>
  <c r="P640" i="7"/>
  <c r="P639" i="7"/>
  <c r="P638" i="7"/>
  <c r="P637" i="7"/>
  <c r="P636" i="7"/>
  <c r="P635" i="7"/>
  <c r="P634" i="7"/>
  <c r="P633" i="7"/>
  <c r="P632" i="7"/>
  <c r="P631" i="7"/>
  <c r="P630" i="7"/>
  <c r="P629" i="7"/>
  <c r="P628" i="7"/>
  <c r="P627" i="7"/>
  <c r="P626" i="7"/>
  <c r="P624" i="7"/>
  <c r="P623" i="7"/>
  <c r="P622" i="7"/>
  <c r="G19" i="7"/>
  <c r="P625" i="7"/>
  <c r="B113" i="7"/>
  <c r="B1037" i="7"/>
  <c r="P1054" i="7"/>
  <c r="G29" i="7"/>
  <c r="P1068" i="7"/>
  <c r="P1067" i="7"/>
  <c r="P1066" i="7"/>
  <c r="P1065" i="7"/>
  <c r="P1064" i="7"/>
  <c r="P1063" i="7"/>
  <c r="P1062" i="7"/>
  <c r="P1061" i="7"/>
  <c r="P1060" i="7"/>
  <c r="P1059" i="7"/>
  <c r="P1058" i="7"/>
  <c r="P1057" i="7"/>
  <c r="P1056" i="7"/>
  <c r="P1055" i="7"/>
  <c r="P1042" i="7"/>
  <c r="P1043" i="7"/>
  <c r="P1044" i="7"/>
  <c r="P1045" i="7"/>
  <c r="P1046" i="7"/>
  <c r="P1047" i="7"/>
  <c r="P1048" i="7"/>
  <c r="P1049" i="7"/>
  <c r="P1050" i="7"/>
  <c r="P1051" i="7"/>
  <c r="P1052" i="7"/>
  <c r="P1053" i="7"/>
  <c r="P969" i="7"/>
  <c r="P968" i="7"/>
  <c r="P971" i="7"/>
  <c r="P972" i="7"/>
  <c r="P973" i="7"/>
  <c r="P974" i="7"/>
  <c r="P975" i="7"/>
  <c r="P976" i="7"/>
  <c r="P977" i="7"/>
  <c r="P978" i="7"/>
  <c r="P979" i="7"/>
  <c r="P980" i="7"/>
  <c r="P981" i="7"/>
  <c r="P982" i="7"/>
  <c r="P983" i="7"/>
  <c r="P984" i="7"/>
  <c r="G27" i="7"/>
  <c r="P958" i="7"/>
  <c r="P959" i="7"/>
  <c r="P960" i="7"/>
  <c r="P961" i="7"/>
  <c r="P962" i="7"/>
  <c r="P963" i="7"/>
  <c r="P964" i="7"/>
  <c r="P965" i="7"/>
  <c r="P966" i="7"/>
  <c r="P967" i="7"/>
  <c r="P970" i="7"/>
  <c r="P762" i="7"/>
  <c r="G22" i="7"/>
  <c r="P748" i="7"/>
  <c r="P749" i="7"/>
  <c r="P750" i="7"/>
  <c r="P751" i="7"/>
  <c r="P752" i="7"/>
  <c r="P753" i="7"/>
  <c r="P754" i="7"/>
  <c r="P755" i="7"/>
  <c r="P756" i="7"/>
  <c r="P757" i="7"/>
  <c r="P758" i="7"/>
  <c r="P759" i="7"/>
  <c r="P760" i="7"/>
  <c r="P761" i="7"/>
  <c r="B911" i="7"/>
  <c r="P34" i="7"/>
  <c r="P60" i="7"/>
  <c r="P57" i="7"/>
  <c r="P56" i="7"/>
  <c r="P51" i="7"/>
  <c r="P49" i="7"/>
  <c r="G5" i="7"/>
  <c r="P59" i="7"/>
  <c r="P55" i="7"/>
  <c r="P53" i="7"/>
  <c r="P52" i="7"/>
  <c r="P48" i="7"/>
  <c r="P47" i="7"/>
  <c r="P45" i="7"/>
  <c r="P43" i="7"/>
  <c r="P41" i="7"/>
  <c r="P40" i="7"/>
  <c r="P35" i="7"/>
  <c r="P58" i="7"/>
  <c r="P54" i="7"/>
  <c r="P50" i="7"/>
  <c r="P46" i="7"/>
  <c r="P44" i="7"/>
  <c r="P42" i="7"/>
  <c r="P39" i="7"/>
  <c r="P38" i="7"/>
  <c r="P37" i="7"/>
  <c r="P36" i="7"/>
  <c r="G13" i="7"/>
  <c r="P371" i="7"/>
  <c r="P396" i="7"/>
  <c r="P395" i="7"/>
  <c r="P392" i="7"/>
  <c r="P391" i="7"/>
  <c r="P390" i="7"/>
  <c r="P387" i="7"/>
  <c r="P385" i="7"/>
  <c r="P382" i="7"/>
  <c r="P380" i="7"/>
  <c r="P370" i="7"/>
  <c r="P394" i="7"/>
  <c r="P393" i="7"/>
  <c r="P389" i="7"/>
  <c r="P388" i="7"/>
  <c r="P386" i="7"/>
  <c r="P384" i="7"/>
  <c r="P383" i="7"/>
  <c r="P381" i="7"/>
  <c r="P379" i="7"/>
  <c r="P378" i="7"/>
  <c r="P377" i="7"/>
  <c r="P376" i="7"/>
  <c r="P375" i="7"/>
  <c r="P374" i="7"/>
  <c r="P373" i="7"/>
  <c r="P372" i="7"/>
  <c r="F5" i="7"/>
  <c r="F6" i="7"/>
  <c r="F7" i="7"/>
  <c r="F8" i="7"/>
  <c r="F9" i="7"/>
  <c r="F10" i="7"/>
  <c r="F11" i="7"/>
  <c r="F12" i="7"/>
  <c r="F13" i="7"/>
  <c r="F14" i="7"/>
  <c r="F15" i="7"/>
  <c r="F16" i="7"/>
  <c r="F17" i="7"/>
  <c r="F18" i="7"/>
  <c r="F20" i="7"/>
  <c r="F25" i="7"/>
  <c r="F19" i="7"/>
  <c r="F21" i="7"/>
  <c r="F22" i="7"/>
  <c r="F23" i="7"/>
  <c r="F24" i="7"/>
  <c r="F26" i="7"/>
  <c r="F27" i="7"/>
  <c r="F28" i="7"/>
  <c r="F29" i="7"/>
  <c r="P2" i="5"/>
  <c r="C7" i="6" s="1"/>
  <c r="P3" i="5"/>
  <c r="C8" i="6" s="1"/>
  <c r="P4" i="5"/>
  <c r="C9" i="6" s="1"/>
  <c r="P5" i="5"/>
  <c r="C10" i="6" s="1"/>
  <c r="P6" i="5"/>
  <c r="P7" i="5"/>
  <c r="C11" i="6" s="1"/>
  <c r="P8" i="5"/>
  <c r="C12" i="6" s="1"/>
  <c r="P9" i="5"/>
  <c r="C13" i="6" s="1"/>
  <c r="P10" i="5"/>
  <c r="C14" i="6" s="1"/>
  <c r="P11" i="5"/>
  <c r="P12" i="5"/>
  <c r="P13" i="5"/>
  <c r="C15" i="6" s="1"/>
  <c r="P14" i="5"/>
  <c r="C16" i="6" s="1"/>
  <c r="P15" i="5"/>
  <c r="C17" i="6" s="1"/>
  <c r="P16" i="5"/>
  <c r="C18" i="6" s="1"/>
  <c r="P17" i="5"/>
  <c r="P18" i="5"/>
  <c r="P19" i="5"/>
  <c r="P20" i="5"/>
  <c r="P21" i="5"/>
  <c r="P22" i="5"/>
  <c r="P23" i="5"/>
  <c r="P24" i="5"/>
  <c r="C19" i="6" s="1"/>
  <c r="P25" i="5"/>
  <c r="P26" i="5"/>
  <c r="P27" i="5"/>
  <c r="P28" i="5"/>
  <c r="C20" i="6" s="1"/>
  <c r="P858" i="7"/>
  <c r="P854" i="7"/>
  <c r="P853" i="7"/>
  <c r="P851" i="7"/>
  <c r="P847" i="7"/>
  <c r="P846" i="7"/>
  <c r="P845" i="7"/>
  <c r="P844" i="7"/>
  <c r="P842" i="7"/>
  <c r="P839" i="7"/>
  <c r="P836" i="7"/>
  <c r="P834" i="7"/>
  <c r="P857" i="7"/>
  <c r="P856" i="7"/>
  <c r="P855" i="7"/>
  <c r="G24" i="7"/>
  <c r="P852" i="7"/>
  <c r="P850" i="7"/>
  <c r="P849" i="7"/>
  <c r="P848" i="7"/>
  <c r="P843" i="7"/>
  <c r="P841" i="7"/>
  <c r="P840" i="7"/>
  <c r="P838" i="7"/>
  <c r="P837" i="7"/>
  <c r="P835" i="7"/>
  <c r="P833" i="7"/>
  <c r="P832" i="7"/>
  <c r="G20"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414" i="7"/>
  <c r="P422" i="7"/>
  <c r="P424" i="7"/>
  <c r="P425" i="7"/>
  <c r="P426" i="7"/>
  <c r="P427" i="7"/>
  <c r="P428" i="7"/>
  <c r="P429" i="7"/>
  <c r="P430" i="7"/>
  <c r="P431" i="7"/>
  <c r="P433" i="7"/>
  <c r="P436" i="7"/>
  <c r="P417" i="7"/>
  <c r="P418" i="7"/>
  <c r="P420" i="7"/>
  <c r="P421" i="7"/>
  <c r="P423" i="7"/>
  <c r="P432" i="7"/>
  <c r="P434" i="7"/>
  <c r="P435" i="7"/>
  <c r="P437" i="7"/>
  <c r="P438" i="7"/>
  <c r="P415" i="7"/>
  <c r="P416" i="7"/>
  <c r="P419" i="7"/>
  <c r="G14" i="7"/>
  <c r="P412" i="7"/>
  <c r="P413" i="7"/>
  <c r="G10"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13" i="7"/>
  <c r="P214" i="7"/>
  <c r="P217" i="7"/>
  <c r="P219" i="7"/>
  <c r="P222" i="7"/>
  <c r="P225" i="7"/>
  <c r="P226" i="7"/>
  <c r="P227" i="7"/>
  <c r="P228" i="7"/>
  <c r="P215" i="7"/>
  <c r="P216" i="7"/>
  <c r="P218" i="7"/>
  <c r="P220" i="7"/>
  <c r="P221" i="7"/>
  <c r="P223" i="7"/>
  <c r="P224" i="7"/>
  <c r="G9" i="7"/>
  <c r="P202" i="7"/>
  <c r="P203" i="7"/>
  <c r="P204" i="7"/>
  <c r="P205" i="7"/>
  <c r="P206" i="7"/>
  <c r="P207" i="7"/>
  <c r="P208" i="7"/>
  <c r="P209" i="7"/>
  <c r="P210" i="7"/>
  <c r="P211" i="7"/>
  <c r="P212" i="7"/>
  <c r="G8"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G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606" i="7"/>
  <c r="P605" i="7"/>
  <c r="P604" i="7"/>
  <c r="P603" i="7"/>
  <c r="P602" i="7"/>
  <c r="P601" i="7"/>
  <c r="P600" i="7"/>
  <c r="P599" i="7"/>
  <c r="P598" i="7"/>
  <c r="P597" i="7"/>
  <c r="P596" i="7"/>
  <c r="P595" i="7"/>
  <c r="P594" i="7"/>
  <c r="P593" i="7"/>
  <c r="P592" i="7"/>
  <c r="P591" i="7"/>
  <c r="P590" i="7"/>
  <c r="P589" i="7"/>
  <c r="P588" i="7"/>
  <c r="P587" i="7"/>
  <c r="P586" i="7"/>
  <c r="P585" i="7"/>
  <c r="P584" i="7"/>
  <c r="P583" i="7"/>
  <c r="P582" i="7"/>
  <c r="P581" i="7"/>
  <c r="P580" i="7"/>
  <c r="G18" i="7"/>
  <c r="P564" i="7"/>
  <c r="P563" i="7"/>
  <c r="P562" i="7"/>
  <c r="P561" i="7"/>
  <c r="P560" i="7"/>
  <c r="P559" i="7"/>
  <c r="P558" i="7"/>
  <c r="P557" i="7"/>
  <c r="P556" i="7"/>
  <c r="P555" i="7"/>
  <c r="P554" i="7"/>
  <c r="P553" i="7"/>
  <c r="P552" i="7"/>
  <c r="P551" i="7"/>
  <c r="P550" i="7"/>
  <c r="P549" i="7"/>
  <c r="P548" i="7"/>
  <c r="P547" i="7"/>
  <c r="P546" i="7"/>
  <c r="P545" i="7"/>
  <c r="P544" i="7"/>
  <c r="P543" i="7"/>
  <c r="P542" i="7"/>
  <c r="P541" i="7"/>
  <c r="P540" i="7"/>
  <c r="P539" i="7"/>
  <c r="P538" i="7"/>
  <c r="G17" i="7"/>
  <c r="P479" i="7"/>
  <c r="P478" i="7"/>
  <c r="P475" i="7"/>
  <c r="P471" i="7"/>
  <c r="P477" i="7"/>
  <c r="P476" i="7"/>
  <c r="P474" i="7"/>
  <c r="P473" i="7"/>
  <c r="P480" i="7"/>
  <c r="P472" i="7"/>
  <c r="P470" i="7"/>
  <c r="P469" i="7"/>
  <c r="P468" i="7"/>
  <c r="P467" i="7"/>
  <c r="P466" i="7"/>
  <c r="P465" i="7"/>
  <c r="P464" i="7"/>
  <c r="P463" i="7"/>
  <c r="P462" i="7"/>
  <c r="P461" i="7"/>
  <c r="P460" i="7"/>
  <c r="P459" i="7"/>
  <c r="P458" i="7"/>
  <c r="P457" i="7"/>
  <c r="P456" i="7"/>
  <c r="P455" i="7"/>
  <c r="P454" i="7"/>
  <c r="G15" i="7"/>
  <c r="P312" i="7"/>
  <c r="P311" i="7"/>
  <c r="P310" i="7"/>
  <c r="P309" i="7"/>
  <c r="P308" i="7"/>
  <c r="P307" i="7"/>
  <c r="P306" i="7"/>
  <c r="P305" i="7"/>
  <c r="P304" i="7"/>
  <c r="P303" i="7"/>
  <c r="P302" i="7"/>
  <c r="P301" i="7"/>
  <c r="P300" i="7"/>
  <c r="P299" i="7"/>
  <c r="P298" i="7"/>
  <c r="P297" i="7"/>
  <c r="P296" i="7"/>
  <c r="P295" i="7"/>
  <c r="P294" i="7"/>
  <c r="P293" i="7"/>
  <c r="P292" i="7"/>
  <c r="P291" i="7"/>
  <c r="P290" i="7"/>
  <c r="P289" i="7"/>
  <c r="P288" i="7"/>
  <c r="P287" i="7"/>
  <c r="P286" i="7"/>
  <c r="G11" i="7"/>
  <c r="G26" i="7"/>
  <c r="P917" i="7"/>
  <c r="P919" i="7"/>
  <c r="P920" i="7"/>
  <c r="P922" i="7"/>
  <c r="P923" i="7"/>
  <c r="P926" i="7"/>
  <c r="P927" i="7"/>
  <c r="P916" i="7"/>
  <c r="P918" i="7"/>
  <c r="P921" i="7"/>
  <c r="P924" i="7"/>
  <c r="P925" i="7"/>
  <c r="P928" i="7"/>
  <c r="P929" i="7"/>
  <c r="P930" i="7"/>
  <c r="P931" i="7"/>
  <c r="P932" i="7"/>
  <c r="P933" i="7"/>
  <c r="P934" i="7"/>
  <c r="P935" i="7"/>
  <c r="P936" i="7"/>
  <c r="P937" i="7"/>
  <c r="P938" i="7"/>
  <c r="P939" i="7"/>
  <c r="P940" i="7"/>
  <c r="P941" i="7"/>
  <c r="P942" i="7"/>
  <c r="P799" i="7"/>
  <c r="P804" i="7"/>
  <c r="P807" i="7"/>
  <c r="P808" i="7"/>
  <c r="P802" i="7"/>
  <c r="G23" i="7"/>
  <c r="P809" i="7"/>
  <c r="P811" i="7"/>
  <c r="P803" i="7"/>
  <c r="P806" i="7"/>
  <c r="P790" i="7"/>
  <c r="P791" i="7"/>
  <c r="P792" i="7"/>
  <c r="P793" i="7"/>
  <c r="P794" i="7"/>
  <c r="P795" i="7"/>
  <c r="P796" i="7"/>
  <c r="P797" i="7"/>
  <c r="P798" i="7"/>
  <c r="P801" i="7"/>
  <c r="P800" i="7"/>
  <c r="P805" i="7"/>
  <c r="P810" i="7"/>
  <c r="P812" i="7"/>
  <c r="P813" i="7"/>
  <c r="P814" i="7"/>
  <c r="P815" i="7"/>
  <c r="P816" i="7"/>
  <c r="B743" i="7"/>
  <c r="B365" i="7"/>
  <c r="H15" i="7" l="1"/>
  <c r="H17" i="7"/>
  <c r="H14" i="7"/>
  <c r="B33" i="6" s="1"/>
  <c r="H9" i="7"/>
  <c r="B28" i="6" s="1"/>
  <c r="H8" i="7"/>
  <c r="B27" i="6" s="1"/>
  <c r="H7" i="7"/>
  <c r="P102" i="7"/>
  <c r="P80" i="7"/>
  <c r="G6" i="7"/>
  <c r="P76" i="7"/>
  <c r="P77" i="7"/>
  <c r="P78" i="7"/>
  <c r="P79" i="7"/>
  <c r="P81" i="7"/>
  <c r="P82" i="7"/>
  <c r="P83" i="7"/>
  <c r="P84" i="7"/>
  <c r="P85" i="7"/>
  <c r="P86" i="7"/>
  <c r="P87" i="7"/>
  <c r="P88" i="7"/>
  <c r="P89" i="7"/>
  <c r="P90" i="7"/>
  <c r="P91" i="7"/>
  <c r="P92" i="7"/>
  <c r="P93" i="7"/>
  <c r="P94" i="7"/>
  <c r="P95" i="7"/>
  <c r="P96" i="7"/>
  <c r="P97" i="7"/>
  <c r="P98" i="7"/>
  <c r="P99" i="7"/>
  <c r="P100" i="7"/>
  <c r="P101" i="7"/>
  <c r="P1007" i="7"/>
  <c r="P1011" i="7"/>
  <c r="P1022" i="7"/>
  <c r="P1024" i="7"/>
  <c r="P1025" i="7"/>
  <c r="P1026" i="7"/>
  <c r="P1006" i="7"/>
  <c r="P1002" i="7"/>
  <c r="P1019" i="7"/>
  <c r="P1000" i="7"/>
  <c r="G25" i="7"/>
  <c r="P900" i="7"/>
  <c r="P878" i="7"/>
  <c r="P879" i="7"/>
  <c r="P880" i="7"/>
  <c r="P881" i="7"/>
  <c r="P884" i="7"/>
  <c r="P885" i="7"/>
  <c r="P886" i="7"/>
  <c r="P887" i="7"/>
  <c r="P888" i="7"/>
  <c r="P889" i="7"/>
  <c r="P891" i="7"/>
  <c r="P893" i="7"/>
  <c r="P894" i="7"/>
  <c r="P895" i="7"/>
  <c r="P898" i="7"/>
  <c r="P897" i="7"/>
  <c r="P896" i="7"/>
  <c r="P899" i="7"/>
  <c r="P892" i="7"/>
  <c r="P890" i="7"/>
  <c r="P883" i="7"/>
  <c r="P882" i="7"/>
  <c r="P877" i="7"/>
  <c r="P875" i="7"/>
  <c r="P874" i="7"/>
  <c r="P876" i="7"/>
  <c r="P1005" i="7"/>
  <c r="P1014" i="7"/>
  <c r="P1012" i="7"/>
  <c r="P1008" i="7"/>
  <c r="P1003" i="7"/>
  <c r="P1023" i="7"/>
  <c r="P1021" i="7"/>
  <c r="P1018" i="7"/>
  <c r="I10" i="7"/>
  <c r="B10" i="7" s="1"/>
  <c r="C29" i="6" s="1"/>
  <c r="H26" i="7"/>
  <c r="B45" i="6" s="1"/>
  <c r="P1017" i="7"/>
  <c r="P1016" i="7"/>
  <c r="P1015" i="7"/>
  <c r="P1010" i="7"/>
  <c r="P1009" i="7"/>
  <c r="P1001" i="7"/>
  <c r="G28" i="7"/>
  <c r="P1020" i="7"/>
  <c r="P1013" i="7"/>
  <c r="P1004" i="7"/>
  <c r="I18" i="7"/>
  <c r="B18" i="7" s="1"/>
  <c r="C37" i="6" s="1"/>
  <c r="I20" i="7"/>
  <c r="B20" i="7" s="1"/>
  <c r="C39" i="6" s="1"/>
  <c r="I23" i="7"/>
  <c r="B23" i="7" s="1"/>
  <c r="C42" i="6" s="1"/>
  <c r="I24" i="7"/>
  <c r="B24" i="7" s="1"/>
  <c r="C43" i="6" s="1"/>
  <c r="H11" i="7"/>
  <c r="H5" i="7"/>
  <c r="I5" i="7"/>
  <c r="B5" i="7" s="1"/>
  <c r="C24" i="6" s="1"/>
  <c r="H13" i="7"/>
  <c r="I13" i="7"/>
  <c r="B13" i="7" s="1"/>
  <c r="C32" i="6" s="1"/>
  <c r="H16" i="7"/>
  <c r="I16" i="7"/>
  <c r="B16" i="7" s="1"/>
  <c r="C35" i="6" s="1"/>
  <c r="H19" i="7"/>
  <c r="I19" i="7"/>
  <c r="B19" i="7" s="1"/>
  <c r="C38" i="6" s="1"/>
  <c r="H22" i="7"/>
  <c r="B41" i="6" s="1"/>
  <c r="I22" i="7"/>
  <c r="B22" i="7" s="1"/>
  <c r="C41" i="6" s="1"/>
  <c r="H27" i="7"/>
  <c r="I27" i="7"/>
  <c r="B27" i="7" s="1"/>
  <c r="C46" i="6" s="1"/>
  <c r="H29" i="7"/>
  <c r="I29" i="7"/>
  <c r="B29" i="7" s="1"/>
  <c r="C48" i="6" s="1"/>
  <c r="G21"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354" i="7"/>
  <c r="P353" i="7"/>
  <c r="P352" i="7"/>
  <c r="P351" i="7"/>
  <c r="P350" i="7"/>
  <c r="P349" i="7"/>
  <c r="P348" i="7"/>
  <c r="P347" i="7"/>
  <c r="P346" i="7"/>
  <c r="P345" i="7"/>
  <c r="P344" i="7"/>
  <c r="P343" i="7"/>
  <c r="P342" i="7"/>
  <c r="P341" i="7"/>
  <c r="P340" i="7"/>
  <c r="P339" i="7"/>
  <c r="P338" i="7"/>
  <c r="P337" i="7"/>
  <c r="P336" i="7"/>
  <c r="P335" i="7"/>
  <c r="P334" i="7"/>
  <c r="P333" i="7"/>
  <c r="P332" i="7"/>
  <c r="P331" i="7"/>
  <c r="P330" i="7"/>
  <c r="P329" i="7"/>
  <c r="P328" i="7"/>
  <c r="G12" i="7"/>
  <c r="I26" i="7"/>
  <c r="B26" i="7" s="1"/>
  <c r="C45" i="6" s="1"/>
  <c r="H24" i="7"/>
  <c r="H20" i="7"/>
  <c r="B39" i="6" s="1"/>
  <c r="H10" i="7"/>
  <c r="B29" i="6" s="1"/>
  <c r="H18" i="7"/>
  <c r="H23" i="7"/>
  <c r="B42" i="6" s="1"/>
  <c r="I7" i="7"/>
  <c r="B7" i="7" s="1"/>
  <c r="C26" i="6" s="1"/>
  <c r="I8" i="7"/>
  <c r="B8" i="7" s="1"/>
  <c r="C27" i="6" s="1"/>
  <c r="I9" i="7"/>
  <c r="B9" i="7" s="1"/>
  <c r="C28" i="6" s="1"/>
  <c r="I11" i="7"/>
  <c r="B11" i="7" s="1"/>
  <c r="C30" i="6" s="1"/>
  <c r="I14" i="7"/>
  <c r="B14" i="7" s="1"/>
  <c r="C33" i="6" s="1"/>
  <c r="I15" i="7"/>
  <c r="B15" i="7" s="1"/>
  <c r="C34" i="6" s="1"/>
  <c r="I17" i="7"/>
  <c r="B17" i="7" s="1"/>
  <c r="C36" i="6" s="1"/>
  <c r="H2" i="8" l="1"/>
  <c r="H146" i="8"/>
  <c r="H178" i="8"/>
  <c r="H210" i="8"/>
  <c r="K8" i="8"/>
  <c r="K9" i="8"/>
  <c r="K10" i="8"/>
  <c r="H18" i="8"/>
  <c r="H34" i="8"/>
  <c r="H50" i="8"/>
  <c r="H66" i="8"/>
  <c r="H67" i="8"/>
  <c r="H98" i="8"/>
  <c r="H99" i="8"/>
  <c r="H130" i="8"/>
  <c r="H147" i="8"/>
  <c r="H179" i="8"/>
  <c r="H226" i="8"/>
  <c r="H227" i="8"/>
  <c r="H258" i="8"/>
  <c r="H259" i="8"/>
  <c r="H290" i="8"/>
  <c r="H306" i="8"/>
  <c r="H307" i="8"/>
  <c r="H338" i="8"/>
  <c r="H339" i="8"/>
  <c r="H370" i="8"/>
  <c r="H386" i="8"/>
  <c r="H387" i="8"/>
  <c r="H418" i="8"/>
  <c r="H419"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B34" i="6"/>
  <c r="H25" i="7"/>
  <c r="B44" i="6" s="1"/>
  <c r="I25" i="7"/>
  <c r="B25" i="7" s="1"/>
  <c r="C44" i="6" s="1"/>
  <c r="B36" i="6"/>
  <c r="H511" i="8"/>
  <c r="H510" i="8"/>
  <c r="H509" i="8"/>
  <c r="H508" i="8"/>
  <c r="H507" i="8"/>
  <c r="H506" i="8"/>
  <c r="H505" i="8"/>
  <c r="H504" i="8"/>
  <c r="H503" i="8"/>
  <c r="H502" i="8"/>
  <c r="H501" i="8"/>
  <c r="H500" i="8"/>
  <c r="H499" i="8"/>
  <c r="K13" i="8"/>
  <c r="H71" i="8"/>
  <c r="H151" i="8"/>
  <c r="H182" i="8"/>
  <c r="B26" i="6"/>
  <c r="H423" i="8"/>
  <c r="H422" i="8"/>
  <c r="H391" i="8"/>
  <c r="H390" i="8"/>
  <c r="H372" i="8"/>
  <c r="H343" i="8"/>
  <c r="H342" i="8"/>
  <c r="H311" i="8"/>
  <c r="H310" i="8"/>
  <c r="H292" i="8"/>
  <c r="H263" i="8"/>
  <c r="H262" i="8"/>
  <c r="H231" i="8"/>
  <c r="H230" i="8"/>
  <c r="H4" i="8"/>
  <c r="K11" i="8"/>
  <c r="H20" i="8"/>
  <c r="H36" i="8"/>
  <c r="H52" i="8"/>
  <c r="H70" i="8"/>
  <c r="H212" i="8"/>
  <c r="H102" i="8"/>
  <c r="H103" i="8"/>
  <c r="H132" i="8"/>
  <c r="H150" i="8"/>
  <c r="H183" i="8"/>
  <c r="H6" i="7"/>
  <c r="I6" i="7"/>
  <c r="B6" i="7" s="1"/>
  <c r="C25" i="6" s="1"/>
  <c r="H28" i="7"/>
  <c r="I28" i="7"/>
  <c r="B28" i="7" s="1"/>
  <c r="C47" i="6" s="1"/>
  <c r="K16" i="8"/>
  <c r="H471" i="8"/>
  <c r="H476" i="8"/>
  <c r="H479" i="8"/>
  <c r="H484" i="8"/>
  <c r="H513" i="8"/>
  <c r="H517" i="8"/>
  <c r="H522" i="8"/>
  <c r="H527" i="8"/>
  <c r="H659" i="8"/>
  <c r="H662" i="8"/>
  <c r="H665" i="8"/>
  <c r="H470" i="8"/>
  <c r="H474" i="8"/>
  <c r="H477" i="8"/>
  <c r="H481" i="8"/>
  <c r="H482" i="8"/>
  <c r="H485" i="8"/>
  <c r="H515" i="8"/>
  <c r="H518" i="8"/>
  <c r="H520" i="8"/>
  <c r="H524" i="8"/>
  <c r="H529" i="8"/>
  <c r="H657" i="8"/>
  <c r="H660" i="8"/>
  <c r="H661" i="8"/>
  <c r="H468" i="8"/>
  <c r="H472" i="8"/>
  <c r="H475" i="8"/>
  <c r="H480" i="8"/>
  <c r="H483" i="8"/>
  <c r="H514" i="8"/>
  <c r="H523" i="8"/>
  <c r="H525" i="8"/>
  <c r="H656" i="8"/>
  <c r="H664" i="8"/>
  <c r="H469" i="8"/>
  <c r="H473" i="8"/>
  <c r="H478" i="8"/>
  <c r="H512" i="8"/>
  <c r="H516" i="8"/>
  <c r="H519" i="8"/>
  <c r="H521" i="8"/>
  <c r="H526" i="8"/>
  <c r="H528" i="8"/>
  <c r="H658" i="8"/>
  <c r="H663" i="8"/>
  <c r="H666" i="8"/>
  <c r="H667" i="8"/>
  <c r="H668" i="8"/>
  <c r="H669" i="8"/>
  <c r="H670" i="8"/>
  <c r="H671" i="8"/>
  <c r="H672" i="8"/>
  <c r="H673" i="8"/>
  <c r="B30" i="6"/>
  <c r="B24" i="6"/>
  <c r="H637" i="8"/>
  <c r="H636" i="8"/>
  <c r="H635" i="8"/>
  <c r="H634" i="8"/>
  <c r="H633" i="8"/>
  <c r="H632" i="8"/>
  <c r="H631" i="8"/>
  <c r="H630" i="8"/>
  <c r="H629" i="8"/>
  <c r="H628" i="8"/>
  <c r="H627" i="8"/>
  <c r="H626" i="8"/>
  <c r="H625" i="8"/>
  <c r="H624" i="8"/>
  <c r="H623" i="8"/>
  <c r="H622" i="8"/>
  <c r="H621" i="8"/>
  <c r="H620" i="8"/>
  <c r="H447" i="8"/>
  <c r="H446" i="8"/>
  <c r="H415" i="8"/>
  <c r="H414" i="8"/>
  <c r="H384" i="8"/>
  <c r="H367" i="8"/>
  <c r="H366" i="8"/>
  <c r="H335" i="8"/>
  <c r="H334" i="8"/>
  <c r="H304" i="8"/>
  <c r="H287" i="8"/>
  <c r="H286" i="8"/>
  <c r="H255" i="8"/>
  <c r="H254" i="8"/>
  <c r="H224" i="8"/>
  <c r="H207" i="8"/>
  <c r="H206" i="8"/>
  <c r="H175" i="8"/>
  <c r="H174" i="8"/>
  <c r="H144" i="8"/>
  <c r="H127" i="8"/>
  <c r="H126" i="8"/>
  <c r="H95" i="8"/>
  <c r="H94" i="8"/>
  <c r="H64" i="8"/>
  <c r="H48" i="8"/>
  <c r="H32" i="8"/>
  <c r="K22" i="8"/>
  <c r="K17" i="8"/>
  <c r="H16" i="8"/>
  <c r="B32" i="6"/>
  <c r="H427" i="8"/>
  <c r="H426" i="8"/>
  <c r="H395" i="8"/>
  <c r="H394" i="8"/>
  <c r="H374" i="8"/>
  <c r="H347" i="8"/>
  <c r="H346" i="8"/>
  <c r="H315" i="8"/>
  <c r="H314" i="8"/>
  <c r="H294" i="8"/>
  <c r="H267" i="8"/>
  <c r="H266" i="8"/>
  <c r="H235" i="8"/>
  <c r="H234" i="8"/>
  <c r="H214" i="8"/>
  <c r="H187" i="8"/>
  <c r="H186" i="8"/>
  <c r="H155" i="8"/>
  <c r="H154" i="8"/>
  <c r="H134" i="8"/>
  <c r="H107" i="8"/>
  <c r="H106" i="8"/>
  <c r="H75" i="8"/>
  <c r="H74" i="8"/>
  <c r="H54" i="8"/>
  <c r="H38" i="8"/>
  <c r="K23" i="8"/>
  <c r="H22" i="8"/>
  <c r="H6" i="8"/>
  <c r="B35" i="6"/>
  <c r="H421" i="8"/>
  <c r="H420" i="8"/>
  <c r="H389" i="8"/>
  <c r="H388" i="8"/>
  <c r="H371" i="8"/>
  <c r="H341" i="8"/>
  <c r="H340" i="8"/>
  <c r="H309" i="8"/>
  <c r="H308" i="8"/>
  <c r="H291" i="8"/>
  <c r="H261" i="8"/>
  <c r="H260" i="8"/>
  <c r="H229" i="8"/>
  <c r="H228" i="8"/>
  <c r="H211" i="8"/>
  <c r="H181" i="8"/>
  <c r="H180" i="8"/>
  <c r="H149" i="8"/>
  <c r="H148" i="8"/>
  <c r="H131" i="8"/>
  <c r="H101" i="8"/>
  <c r="H100" i="8"/>
  <c r="H69" i="8"/>
  <c r="H68" i="8"/>
  <c r="H51" i="8"/>
  <c r="H35" i="8"/>
  <c r="H19" i="8"/>
  <c r="K4" i="8"/>
  <c r="H3" i="8"/>
  <c r="B38" i="6"/>
  <c r="H691" i="8"/>
  <c r="H690" i="8"/>
  <c r="H689" i="8"/>
  <c r="H688" i="8"/>
  <c r="H687" i="8"/>
  <c r="H686" i="8"/>
  <c r="H685" i="8"/>
  <c r="H684" i="8"/>
  <c r="H683" i="8"/>
  <c r="H682" i="8"/>
  <c r="H681" i="8"/>
  <c r="H680" i="8"/>
  <c r="H679" i="8"/>
  <c r="H678" i="8"/>
  <c r="H677" i="8"/>
  <c r="H676" i="8"/>
  <c r="H675" i="8"/>
  <c r="H674" i="8"/>
  <c r="K28" i="8"/>
  <c r="B46" i="6"/>
  <c r="H467" i="8"/>
  <c r="H466" i="8"/>
  <c r="H465" i="8"/>
  <c r="H464" i="8"/>
  <c r="H463" i="8"/>
  <c r="H462" i="8"/>
  <c r="H461" i="8"/>
  <c r="H460" i="8"/>
  <c r="H459" i="8"/>
  <c r="H458" i="8"/>
  <c r="H457" i="8"/>
  <c r="H456" i="8"/>
  <c r="H455" i="8"/>
  <c r="H454" i="8"/>
  <c r="H453" i="8"/>
  <c r="H452" i="8"/>
  <c r="H451" i="8"/>
  <c r="H450" i="8"/>
  <c r="K27" i="8"/>
  <c r="B48" i="6"/>
  <c r="H547" i="8"/>
  <c r="H546" i="8"/>
  <c r="H545" i="8"/>
  <c r="H544" i="8"/>
  <c r="H543" i="8"/>
  <c r="H542" i="8"/>
  <c r="H541" i="8"/>
  <c r="H540" i="8"/>
  <c r="H539" i="8"/>
  <c r="H538" i="8"/>
  <c r="H537" i="8"/>
  <c r="H536" i="8"/>
  <c r="H535" i="8"/>
  <c r="H534" i="8"/>
  <c r="H533" i="8"/>
  <c r="H532" i="8"/>
  <c r="H531" i="8"/>
  <c r="H530" i="8"/>
  <c r="K7" i="8"/>
  <c r="I21" i="7"/>
  <c r="B21" i="7" s="1"/>
  <c r="C40" i="6" s="1"/>
  <c r="H21" i="7"/>
  <c r="B40" i="6" s="1"/>
  <c r="I12" i="7"/>
  <c r="B12" i="7" s="1"/>
  <c r="C31" i="6" s="1"/>
  <c r="H12" i="7"/>
  <c r="B43" i="6"/>
  <c r="H619" i="8"/>
  <c r="H618" i="8"/>
  <c r="H617" i="8"/>
  <c r="H616" i="8"/>
  <c r="H615" i="8"/>
  <c r="H614" i="8"/>
  <c r="H613" i="8"/>
  <c r="H612" i="8"/>
  <c r="H611" i="8"/>
  <c r="H610" i="8"/>
  <c r="H609" i="8"/>
  <c r="H608" i="8"/>
  <c r="H607" i="8"/>
  <c r="H606" i="8"/>
  <c r="H605" i="8"/>
  <c r="H604" i="8"/>
  <c r="H603" i="8"/>
  <c r="H602" i="8"/>
  <c r="H601" i="8"/>
  <c r="H600" i="8"/>
  <c r="H599" i="8"/>
  <c r="H598" i="8"/>
  <c r="H597" i="8"/>
  <c r="H596" i="8"/>
  <c r="H595" i="8"/>
  <c r="H594" i="8"/>
  <c r="H593" i="8"/>
  <c r="H592" i="8"/>
  <c r="H591" i="8"/>
  <c r="H590" i="8"/>
  <c r="H589" i="8"/>
  <c r="H588" i="8"/>
  <c r="H587" i="8"/>
  <c r="H586" i="8"/>
  <c r="H585" i="8"/>
  <c r="H584" i="8"/>
  <c r="K3" i="8"/>
  <c r="B37" i="6"/>
  <c r="H655" i="8"/>
  <c r="H654" i="8"/>
  <c r="H653" i="8"/>
  <c r="H652" i="8"/>
  <c r="H651" i="8"/>
  <c r="H650" i="8"/>
  <c r="H649" i="8"/>
  <c r="H648" i="8"/>
  <c r="H647" i="8"/>
  <c r="H646" i="8"/>
  <c r="H645" i="8"/>
  <c r="H644" i="8"/>
  <c r="H643" i="8"/>
  <c r="H642" i="8"/>
  <c r="H641" i="8"/>
  <c r="H640" i="8"/>
  <c r="H639" i="8"/>
  <c r="H638" i="8"/>
  <c r="K5" i="8"/>
  <c r="H192" i="8" l="1"/>
  <c r="H193" i="8"/>
  <c r="H217" i="8"/>
  <c r="H240" i="8"/>
  <c r="H241" i="8"/>
  <c r="H272" i="8"/>
  <c r="H273" i="8"/>
  <c r="H297" i="8"/>
  <c r="H320" i="8"/>
  <c r="H321" i="8"/>
  <c r="H352" i="8"/>
  <c r="H353" i="8"/>
  <c r="H377" i="8"/>
  <c r="H400" i="8"/>
  <c r="H401" i="8"/>
  <c r="H160" i="8"/>
  <c r="H161" i="8"/>
  <c r="H693" i="8"/>
  <c r="K21" i="8"/>
  <c r="H25" i="8"/>
  <c r="H41" i="8"/>
  <c r="H695" i="8"/>
  <c r="K18" i="8"/>
  <c r="H57" i="8"/>
  <c r="H80" i="8"/>
  <c r="H81" i="8"/>
  <c r="H112" i="8"/>
  <c r="H113" i="8"/>
  <c r="H137" i="8"/>
  <c r="H432" i="8"/>
  <c r="H433" i="8"/>
  <c r="H692" i="8"/>
  <c r="H696" i="8"/>
  <c r="H697" i="8"/>
  <c r="H698" i="8"/>
  <c r="H699" i="8"/>
  <c r="H700" i="8"/>
  <c r="H701" i="8"/>
  <c r="H702" i="8"/>
  <c r="H703" i="8"/>
  <c r="H704" i="8"/>
  <c r="H705" i="8"/>
  <c r="H706" i="8"/>
  <c r="H707" i="8"/>
  <c r="H708" i="8"/>
  <c r="H709" i="8"/>
  <c r="B25" i="6"/>
  <c r="H9" i="8"/>
  <c r="H694" i="8"/>
  <c r="K6" i="8"/>
  <c r="H486" i="8"/>
  <c r="H487" i="8"/>
  <c r="H488" i="8"/>
  <c r="H489" i="8"/>
  <c r="H490" i="8"/>
  <c r="H491" i="8"/>
  <c r="H492" i="8"/>
  <c r="H493" i="8"/>
  <c r="H494" i="8"/>
  <c r="H495" i="8"/>
  <c r="H496" i="8"/>
  <c r="H497" i="8"/>
  <c r="H498" i="8"/>
  <c r="B47" i="6"/>
  <c r="H5" i="8"/>
  <c r="H21" i="8"/>
  <c r="K26" i="8"/>
  <c r="H37" i="8"/>
  <c r="H53" i="8"/>
  <c r="H72" i="8"/>
  <c r="H73" i="8"/>
  <c r="H104" i="8"/>
  <c r="H105" i="8"/>
  <c r="H133" i="8"/>
  <c r="H152" i="8"/>
  <c r="H153" i="8"/>
  <c r="H184" i="8"/>
  <c r="H185" i="8"/>
  <c r="H213" i="8"/>
  <c r="H232" i="8"/>
  <c r="H233" i="8"/>
  <c r="H264" i="8"/>
  <c r="H265" i="8"/>
  <c r="H293" i="8"/>
  <c r="H312" i="8"/>
  <c r="H313" i="8"/>
  <c r="H344" i="8"/>
  <c r="H345" i="8"/>
  <c r="H373" i="8"/>
  <c r="H392" i="8"/>
  <c r="H393" i="8"/>
  <c r="H424" i="8"/>
  <c r="H425" i="8"/>
  <c r="B31" i="6"/>
</calcChain>
</file>

<file path=xl/sharedStrings.xml><?xml version="1.0" encoding="utf-8"?>
<sst xmlns="http://schemas.openxmlformats.org/spreadsheetml/2006/main" count="3625" uniqueCount="355">
  <si>
    <t>Fire/Poison Arch Mage — DPS Calculator: How to Use This Workbook</t>
  </si>
  <si>
    <t>How to use this workbook</t>
  </si>
  <si>
    <t>Only edit the yellow-highlighted cells on the Inputs sheet — every other sheet is computed from those values and will be overwritten if you rebuild the workbook.</t>
  </si>
  <si>
    <t>Summary shows Total DPS, a Per-Skill DPS Breakdown (damage-dealing skills only — buffs/passives that never deal their own damage are omitted), and a Marginal DPS &amp; Stat Value table showing the DPS gained per +1 of each stat.</t>
  </si>
  <si>
    <t>Sensitivity has the full detail behind that marginal-value table — one self-contained block per stat, showing exactly how bumping that stat by +1 changes every downstream number.</t>
  </si>
  <si>
    <t>CubeData/PotentialCubes model your current gear's Potential Cube lines and drive cube-reroll expected-value decisions. For the full standalone Potential Cube EV calculator (exact optimal-stopping math, works from this workbook alone), see tools/potential_cubes_ev.py in the project repo.</t>
  </si>
  <si>
    <t>Design decisions &amp; assumptions</t>
  </si>
  <si>
    <t>Poison/DoT skills (Poison Breath, Poison Mist, Creeping Toxin, Ignite) and Burning Magic/Elemental Decrease assume the target is permanently afflicted at steady state, not an exact on/off timer.</t>
  </si>
  <si>
    <t>Crit Rate pushed above 100% (e.g. by cube potential lines) automatically redirects its stat-value to Crit Damage's own per-unit DPS value on the PotentialCubes sheet, since excess Crit Rate cannot do anything past 100%.</t>
  </si>
  <si>
    <t>Buffs (Meditation, Magic Guard, Infinity, Nimble Feet) are modeled at steady-state duty-cycle average uptime, not as an exact moment-to-moment state machine.</t>
  </si>
  <si>
    <t>Meteor Proc's trigger rate is the combined cast rate of every attack that can trigger it (including Basic Attack), averaged rather than simulated hit-by-hit.</t>
  </si>
  <si>
    <t>Ifrit is a summon skill (own cooldown/duration/DoT-tick mechanism), not part of the game's separate Companion roster system — its damage is modeled as a real DPS source like any other skill.</t>
  </si>
  <si>
    <t>Monster Type blends Boss/Normal Monster Damage% by the Chapter Breakthrough weight %; PvP forces a fixed 15-second window regardless of the Fixed Fight Duration input.</t>
  </si>
  <si>
    <t>Not modeled (out of scope): crowd control, Accuracy/Evasion/Defense reduction, movement speed, the character's own Defense stat, and Companion Summoning Time (the Companion roster system, unrelated to Ifrit).</t>
  </si>
  <si>
    <t>Fire/Poison Arch Mage — DPS Calculator Inputs</t>
  </si>
  <si>
    <t>Character Level</t>
  </si>
  <si>
    <t>Monster Type ("boss", "normal", "breakthrough", or "pvp")</t>
  </si>
  <si>
    <t>Flat ATTACK</t>
  </si>
  <si>
    <t>ATTACK %</t>
  </si>
  <si>
    <t>Monster Defense (flat, post-x100/x10 scaling)</t>
  </si>
  <si>
    <t>CRIT_RATE %</t>
  </si>
  <si>
    <t>CRIT_DAMAGE %</t>
  </si>
  <si>
    <t>ATTACK_SPEED % (base, excludes Nimble Feet)</t>
  </si>
  <si>
    <t>Flat INT</t>
  </si>
  <si>
    <t>INT %</t>
  </si>
  <si>
    <t>LUK</t>
  </si>
  <si>
    <t>DAMAGE %</t>
  </si>
  <si>
    <t>DAMAGE_AMP %</t>
  </si>
  <si>
    <t>BASIC_ATTACK_DAMAGE %</t>
  </si>
  <si>
    <t>SKILL_DAMAGE %</t>
  </si>
  <si>
    <t>DEF_PEN %</t>
  </si>
  <si>
    <t>BOSS_DAMAGE %</t>
  </si>
  <si>
    <t>NORMAL_DAMAGE %</t>
  </si>
  <si>
    <t>MIN_DAMAGE %</t>
  </si>
  <si>
    <t>MAX_DAMAGE %</t>
  </si>
  <si>
    <t>FINAL_DAMAGE % (base, excludes Infinity)</t>
  </si>
  <si>
    <t>Skill Level Bonus — 1st Job</t>
  </si>
  <si>
    <t>Skill Level Bonus — 2nd Job</t>
  </si>
  <si>
    <t>Skill Level Bonus — 3rd Job</t>
  </si>
  <si>
    <t>Skill Level Bonus — 4th Job</t>
  </si>
  <si>
    <t>Skill Level Bonus — All Skills</t>
  </si>
  <si>
    <t>Additional Bonuses</t>
  </si>
  <si>
    <t>Skill Cooldown Decrease (seconds, only skills/buffs the character actively casts)</t>
  </si>
  <si>
    <t>Basic Attack Target Increase (flat, adds to the 6-target normal-monster base)</t>
  </si>
  <si>
    <t>Buff Duration Increase %</t>
  </si>
  <si>
    <t>Companion Summoning Time Increase % (companions not modeled — always 0 DPS impact)</t>
  </si>
  <si>
    <t>Fixed Fight Duration (seconds, boss or normal — leave 0 for steady-state DPS; ignored for pvp, which already uses its own fixed 15s model)</t>
  </si>
  <si>
    <t>Chapter Breakthrough: Normal-Monster Weight % (only used when Monster Type = breakthrough; rest of the weight is boss)</t>
  </si>
  <si>
    <t>Max Enemies Actually In Range (normal monsters only — caps each skill's theoretical AoE target count; default 999 = uncapped)</t>
  </si>
  <si>
    <t>Level</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</si>
  <si>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</si>
  <si>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</si>
  <si>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</si>
  <si>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</si>
  <si>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</si>
  <si>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</si>
  <si>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</si>
  <si>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</si>
  <si>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</si>
  <si>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</si>
  <si>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</si>
  <si>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</si>
  <si>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</si>
  <si>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</si>
  <si>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</si>
  <si>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</si>
  <si>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</si>
  <si>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</si>
  <si>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</si>
  <si>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</si>
  <si>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</si>
  <si>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</si>
  <si>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</si>
  <si>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</si>
  <si>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Key</t>
  </si>
  <si>
    <t>Name</t>
  </si>
  <si>
    <t>JobStep</t>
  </si>
  <si>
    <t>Element</t>
  </si>
  <si>
    <t>Cooldown(s)</t>
  </si>
  <si>
    <t>CostsActionSlot</t>
  </si>
  <si>
    <t>HitsPerCast</t>
  </si>
  <si>
    <t>ICD(s)</t>
  </si>
  <si>
    <t>ActiveWindow(s)</t>
  </si>
  <si>
    <t>ProcChance%</t>
  </si>
  <si>
    <t>RollsPerCast</t>
  </si>
  <si>
    <t>BaseDamage(tenths%)</t>
  </si>
  <si>
    <t>FactorIndex</t>
  </si>
  <si>
    <t>ScalesWithLevel</t>
  </si>
  <si>
    <t>SkillMasteryBonus%</t>
  </si>
  <si>
    <t>MasteryBossDamage%</t>
  </si>
  <si>
    <t>MasteryNormalDamage%</t>
  </si>
  <si>
    <t>NormalMonsterTargets</t>
  </si>
  <si>
    <t>BuffTargetStat</t>
  </si>
  <si>
    <t>BuffDuration(s)</t>
  </si>
  <si>
    <t>TriggersElementalDecrease</t>
  </si>
  <si>
    <t>TriggersMeteorProc</t>
  </si>
  <si>
    <t>MeteorProcTriggersPerCast</t>
  </si>
  <si>
    <t>MapleHeroBase(tenths%)</t>
  </si>
  <si>
    <t>MapleHeroFactorIndex</t>
  </si>
  <si>
    <t>Stacks</t>
  </si>
  <si>
    <t>Note</t>
  </si>
  <si>
    <t>BASIC_ATTACK</t>
  </si>
  <si>
    <t>Basic Attack</t>
  </si>
  <si>
    <t>Fire</t>
  </si>
  <si>
    <t>5 lines of damage per attack cycle — 5 independent full-damage hits (HitsPerCast=5), each using the same expected-damage-per-hit; no cooldown, DPS uses Basic Attacks/sec from the action-economy block. Basic Attack Mastery (level-gated sum: +10@102, +11@106, +12@116, +13@120, +14@128, +15@132 — 75% total once every tier is unlocked) and Boss Mastery (level-gated sum: +10@111, +10@124 — 20% total) are just this row's SkillMasteryBonus%/MasteryBossDamage% — same mechanism as every other skill, no separate Inputs-sheet fields. Basic Attack's own cast rate (Summary!Basic Attacks Per Second) is always added into the Meteor Proc trigger rate directly, so it does not need TriggersMeteorProc=TRUE here. Hits 6+Basic Attack Target Increase targets vs normal monsters (confirmed by the user), +1 more once Flame Sweep Strike Count is unlocked at level 136.</t>
  </si>
  <si>
    <t>IGNITE</t>
  </si>
  <si>
    <t>Ignite</t>
  </si>
  <si>
    <t>3 walls of fire assumed permanently maintained (max instances). +250% vs Normal Monster not modeled. Skill Mastery: +100% added directly to the coefficient%. Hits 3 targets vs normal monsters.</t>
  </si>
  <si>
    <t>POISON_BREATH</t>
  </si>
  <si>
    <t>Poison Breath</t>
  </si>
  <si>
    <t>Poison</t>
  </si>
  <si>
    <t>Skill Mastery: +70% added directly to the coefficient%. Hits 6 targets vs normal monsters.</t>
  </si>
  <si>
    <t>ELEMENTAL_DRAIN</t>
  </si>
  <si>
    <t>Elemental Drain</t>
  </si>
  <si>
    <t>Poison assumed permanently at 5 stacks (max instances).</t>
  </si>
  <si>
    <t>MEDITATION</t>
  </si>
  <si>
    <t>Meditation</t>
  </si>
  <si>
    <t>ATTACK</t>
  </si>
  <si>
    <t>Buff — averaged Attack% = BaseDamage/10 * Factor/1000 * Duration/Cooldown.</t>
  </si>
  <si>
    <t>POISON_MIST_BURST</t>
  </si>
  <si>
    <t>Poison Mist (burst)</t>
  </si>
  <si>
    <t>Skill Mastery: +50% added directly to the coefficient%. (Does not apply to the fog DoT — see that row.) Hits 10 targets vs normal monsters.</t>
  </si>
  <si>
    <t>POISON_MIST_DOT</t>
  </si>
  <si>
    <t>Poison Mist (fog DoT)</t>
  </si>
  <si>
    <t>EffectiveHits = 1 * (ActiveWindow/ICD) = duration/tick-interval ticks per cast. Skill Mastery's +50% damage bonus does NOT apply to the fog DoT, only the burst — SkillMasteryBonus% intentionally left at 0 here. Hits 10 targets vs normal monsters, same as the burst. Tick interval is 0.8s below level 104, 0.4s once the level-104 mastery is unlocked.</t>
  </si>
  <si>
    <t>MIST_ERUPTION</t>
  </si>
  <si>
    <t>Mist Eruption</t>
  </si>
  <si>
    <t>A skill of its own — only related to Poison Mist in that it's triggered while the fog is active, so it fires at the same rate as Poison Mist's own cast (Cooldown mirrors Skills!Poison Mist (burst) row's Cooldown live). Vs boss: 1 explosion per Poison Mist cast (when the fog expires, since bosses don't die mid-fog). Vs normal monster: 3 explosions per cast (base), +1 (4 total) once the level-108 mastery is unlocked, hitting 10 targets each. Vs Chapter Breakthrough: weighted average of the boss and normal counts by Inputs!normal_weight_frac. Vs PvP: 0 — it only triggers when the fog naturally expires at the end of its full duration, which never happens within the 15s PvP fight (confirmed by the user). Not affected by Poison Mist's Skill Mastery or Maple Hero bonus (confirmed by the user) — it's jobStep 4, using its own 4th-job skill level, same factorIndex 12. Its own SkillMasteryBonus% is the level-122 mastery (+100% damage), unrelated to Poison Mist's.</t>
  </si>
  <si>
    <t>CREEPING_TOXIN</t>
  </si>
  <si>
    <t>Creeping Toxin</t>
  </si>
  <si>
    <t>Assumes a qualifying Fire-element hit is always available within the 2s ICD window. Skill Mastery: +50% added directly to the coefficient%, plus +100% Normal Monster Damage mastery. Deliberately excluded from Meteor Proc's trigger set (confirmed by the user).</t>
  </si>
  <si>
    <t>BURNING_MAGIC</t>
  </si>
  <si>
    <t>Burning Magic</t>
  </si>
  <si>
    <t>Global always-on multiplier: 1 + (BaseDamage/10 * Stacks)/100. Does not scale with level.</t>
  </si>
  <si>
    <t>ELEMENTAL_DECREASE</t>
  </si>
  <si>
    <t>Elemental Decrease</t>
  </si>
  <si>
    <t>Modeled as always-on (flat multiplier, like Burning Magic): at 50% chance per qualifying hit and a 7s duration, it gets reapplied well before it expires, so uptime is treated as 100% (confirmed by the user). ProcChance%/BuffDuration(s) are the real skill values for reference only — they no longer feed the Summary-sheet formula.</t>
  </si>
  <si>
    <t>METEOR_SHOWER_BURST</t>
  </si>
  <si>
    <t>Meteor Shower (burst)</t>
  </si>
  <si>
    <t>3 meteorites x 3 hits collapsed into one 9-hit burst. Hits 7 targets vs normal monsters. MeteorProcTriggersPerCast=3 (not 1) — each of the 3 meteors is an independent Meteor Proc trigger opportunity even though all 3 land from a single cast (confirmed by the user). Skill Mastery: +50% damage once the level-134 mastery is unlocked.</t>
  </si>
  <si>
    <t>METEOR_PROC</t>
  </si>
  <si>
    <t>Meteor Proc (30% on-hit, 1s ICD)</t>
  </si>
  <si>
    <t>A skill of its own, NOT tied to Meteor Shower specifically — every cast of Basic Attack, Poison Breath, Poison Mist (burst), Meteor Shower, or Flame Haze (burst) has an independent 30% chance to trigger this meteor drop, gated by a 1s internal cooldown (ICD(s) column) after each trigger. Steady-state proc rate = (Chance% * R) / (1 + ICD * Chance% * R), where R is the combined cast rate of those qualifying attacks (Summary!B66) — NOT the simple EffectiveHits*ProcProbability/Cooldown pattern every other row uses, since this proc has no cooldown of its own to divide by. Creeping Toxin deliberately excluded from the trigger set. 4th job only.</t>
  </si>
  <si>
    <t>FLAME_HAZE_BURST</t>
  </si>
  <si>
    <t>Flame Haze (burst)</t>
  </si>
  <si>
    <t>Hits 10 targets vs normal monsters.</t>
  </si>
  <si>
    <t>FLAME_HAZE_DOT</t>
  </si>
  <si>
    <t>Flame Haze (burn DoT)</t>
  </si>
  <si>
    <t>Burn duration is 20s vs boss, 10s vs normal monsters and PvP (confirmed by the user); Chapter Breakthrough blends the two by Inputs!normal_weight_frac. Hits 10 targets vs normal monsters, same as the burst.</t>
  </si>
  <si>
    <t>MAGIC_GUARD</t>
  </si>
  <si>
    <t>Magic Guard</t>
  </si>
  <si>
    <t>Buff — only the Attack component is modeled (Defense component doesn't affect own damage).</t>
  </si>
  <si>
    <t>NIMBLE_FEET</t>
  </si>
  <si>
    <t>Nimble Feet</t>
  </si>
  <si>
    <t>ATTACK_SPEED</t>
  </si>
  <si>
    <t>Buff — flat +15% Attack Speed, does not scale with level (FactorIndex is an unused placeholder here, same as Burning Magic). Averaged into effective Attack Speed before the 150% cap.</t>
  </si>
  <si>
    <t>INFINITY</t>
  </si>
  <si>
    <t>Infinity</t>
  </si>
  <si>
    <t>FINAL_DAMAGE</t>
  </si>
  <si>
    <t>Ramps +15%-&gt;+25% Final Damage over 10s of its 15s duration; time-averaged while active = 21.6667% at factor 1000, now scaled by FactorTable[level][21]/1000 like Magic Guard/Meditation.</t>
  </si>
  <si>
    <t>MAGIC_CRITICAL_RATE</t>
  </si>
  <si>
    <t>Magic Critical (Crit Rate)</t>
  </si>
  <si>
    <t>CRIT_RATE</t>
  </si>
  <si>
    <t>Passive, always on (3rd job) — no cooldown/duration, not a damage row (Calc columns J-O stay blank/0). Its current contribution is already baked into Inputs!CRIT_RATE% by the user, so this row's own Calc!F value is NOT added to the baseline calculation — it's only used by the Sensitivity sheet to compute the marginal delta (this row's F at the swept level minus this row's F at the current level) when 'Skill Level Bonus — 3rd Job' is the stat being tested.</t>
  </si>
  <si>
    <t>MAGIC_CRITICAL_DAMAGE</t>
  </si>
  <si>
    <t>Magic Critical (Crit Damage)</t>
  </si>
  <si>
    <t>CRIT_DAMAGE</t>
  </si>
  <si>
    <t>Same mechanism as Magic Critical (Crit Rate) above, targeting CRIT_DAMAGE% instead.</t>
  </si>
  <si>
    <t>SPELL_MASTERY</t>
  </si>
  <si>
    <t>Spell Mastery</t>
  </si>
  <si>
    <t>MIN_DAMAGE</t>
  </si>
  <si>
    <t>Passive, always on (2nd job) — no cooldown/duration, not a damage row. Its current contribution is already baked into Inputs!MIN_DAMAGE% by the user; this row's Calc!F is only used by the Sensitivity sheet to compute the marginal delta when 'Skill Level Bonus — 2nd Job' is swept.</t>
  </si>
  <si>
    <t>ELEMENT_AMPLIFICATION</t>
  </si>
  <si>
    <t>Element Amplification</t>
  </si>
  <si>
    <t>Passive, always on (4th job) — no cooldown/duration, not a damage row. Unlike the two rows above, this one is NOT reflected anywhere in Inputs, so its current-level value (Calc!F23) is added directly into every hit's Final Damage term in both the main Calc sheet and every Sensitivity block — combined MULTIPLICATIVELY with Inputs!FINAL_DAMAGE% (Final Damage sources always stack as (1+a/100)*(1+b/100), never as (1+(a+b)/100)).</t>
  </si>
  <si>
    <t>IFRIT</t>
  </si>
  <si>
    <t>Ifrit</t>
  </si>
  <si>
    <t>Summon, 80s cooldown. EffectiveHits = HitsPerCast*(ActiveWindow/ICD) — same mechanism as Poison Mist's fog DoT/Flame Haze's burn DoT, no new Calc-sheet machinery needed: attacks every 4s (ICD) for its 30s duration (ActiveWindow), hitting 3 targets vs normal monsters, for the whole 80s cast cycle (Cooldown/InvCooldown). Duration -&gt; 40s and targets -&gt; 6 once the level-138 mastery is unlocked. Deliberately excluded from Meteor Proc's trigger set (confirmed by the user) — it only counts as a trigger source for the level-126 Flame Haze burn-proc mastery (see build_calc_sheet) and for Fervent Drain (via DAMAGE_ROW_KEYS, same as every other non-Basic-Attack skill). Gains a level-130 mastery multiplier (1+20%*Flame Haze burn stacks) — see flame_haze_total_stacks_expr.</t>
  </si>
  <si>
    <t>BUFF_MASTERY</t>
  </si>
  <si>
    <t>Buff Mastery</t>
  </si>
  <si>
    <t>Passive, always on (4th job, unlocked level 117) — no cooldown/duration, not a damage row. Not reflected anywhere in Inputs, so its current value (Calc!F) is added directly into every uptime_fraction_expr call's Buff Duration Increase % term, in both the main Calc sheet and every Sensitivity block (see bdi_with_buff_mastery_expr) — +10% base.</t>
  </si>
  <si>
    <t>ARCANE_AIM</t>
  </si>
  <si>
    <t>Arcane Aim</t>
  </si>
  <si>
    <t>Passive, always on (4th job, unlocked level 120) — no cooldown/duration, not a damage row. 25% chance per attack for +3% Final Damage for 10s, stacking up to 5 times; modeled as always at max 5 stacks (confirmed by the user, same precedent as Burning Magic/Elemental Decrease always-on). Combined MULTIPLICATIVELY into the Final Damage chain as (1+Calc!F/100)^5, alongside Element Amplification — stacks are multiplicative with each other, not additive (1.03^5, not 1+5*0.03).</t>
  </si>
  <si>
    <t>FERVENT_DRAIN</t>
  </si>
  <si>
    <t>Fervent Drain</t>
  </si>
  <si>
    <t>Passive, always on (4th job, unlocked level 125) — no cooldown/duration, not a damage row. +4% fire/poison skill damage per Poison stack on target; reuses Elemental Drain's permanently-5-stacks assumption, so its effective contribution is Calc!F*5. Added additively inside the skill_damage term of the hit-damage formula — confirmed by the user to boost skill damage only, NOT Basic Attack (Flame Sweep), even though it does cover both fire- and poison-element skills otherwise. Structurally excluded from Basic Attack's own term, not just numerically zero.</t>
  </si>
  <si>
    <t>FLAME_HAZE_FOG</t>
  </si>
  <si>
    <t>Flame Haze (poison fog DoT)</t>
  </si>
  <si>
    <t>Unlocked level 118: Flame Haze creates a second, fully independent poisonous fog that triggers Poison Mist's DoT mechanic too — same damage/duration/ICD-mastery-gate math as POISON_MIST_DOT, tied to Flame Haze (burst)'s own live Cooldown cell (same live-cross-reference pattern MIST_ERUPTION uses for POISON_MIST_BURST). Independent of the existing Poison Mist fog — both can be active at the same time (confirmed by the user). No Maple Hero bonus (MapleHeroBase blank), matching its jobStep-4 sibling FLAME_HAZE_DOT rather than the jobStep-3 POISON_MIST_DOT.</t>
  </si>
  <si>
    <t>Unlocked</t>
  </si>
  <si>
    <t>InputLevel</t>
  </si>
  <si>
    <t>Factor</t>
  </si>
  <si>
    <t>CoefficientPercent</t>
  </si>
  <si>
    <t>EffectiveHits</t>
  </si>
  <si>
    <t>ProcProbability</t>
  </si>
  <si>
    <t>MapleHeroMultiplier</t>
  </si>
  <si>
    <t>BaseDamage</t>
  </si>
  <si>
    <t>BaseHitDamage</t>
  </si>
  <si>
    <t>NonCritAvg</t>
  </si>
  <si>
    <t>CritAvg</t>
  </si>
  <si>
    <t>ExpectedDamage(perHit)</t>
  </si>
  <si>
    <t>DPS</t>
  </si>
  <si>
    <t>% of Total</t>
  </si>
  <si>
    <t>InvCooldown</t>
  </si>
  <si>
    <t>CastsInFight</t>
  </si>
  <si>
    <t>Maple Hero helper (jobStep4, factorIndex23)</t>
  </si>
  <si>
    <t>Fire/Poison Arch Mage — DPS Summary</t>
  </si>
  <si>
    <t>TOTAL DPS</t>
  </si>
  <si>
    <t>Per-Skill DPS Breakdown</t>
  </si>
  <si>
    <t>Skill</t>
  </si>
  <si>
    <t>Marginal DPS &amp; Stat Value (see Sensitivity for full detail)</t>
  </si>
  <si>
    <t>Stat</t>
  </si>
  <si>
    <t>DPS per +1</t>
  </si>
  <si>
    <t>Units per +1% DPS</t>
  </si>
  <si>
    <t>Derived Values (read-only, computed from Inputs)</t>
  </si>
  <si>
    <t>ATTACK (= Flat ATTACK x (1+ATTACK%/100))</t>
  </si>
  <si>
    <t>STAT_DAMAGE % (= 1% of total INT + 0.25% of LUK)</t>
  </si>
  <si>
    <t>Basic Attack Input Level (4th job formula)</t>
  </si>
  <si>
    <t>Basic Attack Factor (factorIndex 21)</t>
  </si>
  <si>
    <t>SKILL_COEFFICIENT — Basic Attack base coefficient % (before Skill Mastery)</t>
  </si>
  <si>
    <t>Normal-Monster Weight (= 0 for boss, 1 for normal, Breakthrough Normal Weight % for breakthrough, 0 for pvp)</t>
  </si>
  <si>
    <t>Burning Magic Multiplier</t>
  </si>
  <si>
    <t>Elemental Decrease Multiplier (always-on)</t>
  </si>
  <si>
    <t>Average Buff Multiplier (Magic Guard + Meditation, summed; then Infinity)</t>
  </si>
  <si>
    <t>Attack Speed Buff Bonus % (Nimble Feet, averaged)</t>
  </si>
  <si>
    <t>Actions Per Second (Attack Speed combined via diminishing-returns stack, factor 150, then capped)</t>
  </si>
  <si>
    <t>Skill + Buff Cast Rate (subtracted from Basic Attack, 1/s)</t>
  </si>
  <si>
    <t>Basic Attacks Per Second</t>
  </si>
  <si>
    <t>Basic Attack DPS</t>
  </si>
  <si>
    <t>Meteor Proc — triggering attacks' combined cast rate, incl. Basic Attack (1/s)</t>
  </si>
  <si>
    <t>Marginal DPS per +1 (percentage point / skill level / flat point)</t>
  </si>
  <si>
    <t>Attack Speed and Def Pen combine their +1 via the diminishing-returns formula (new = (1-(1-old/factor)*(1-1/factor))*factor), not a flat add.</t>
  </si>
  <si>
    <t>Type</t>
  </si>
  <si>
    <t>Current Value</t>
  </si>
  <si>
    <t>New Value</t>
  </si>
  <si>
    <t>Baseline Total DPS</t>
  </si>
  <si>
    <t>New Total DPS</t>
  </si>
  <si>
    <t>DPS Gain</t>
  </si>
  <si>
    <t>% Gain</t>
  </si>
  <si>
    <t>flat</t>
  </si>
  <si>
    <t>pct</t>
  </si>
  <si>
    <t>FINAL_DAMAGE % (multiplicative source)</t>
  </si>
  <si>
    <t>mult</t>
  </si>
  <si>
    <t>ATTACK_SPEED % (diminishing returns, factor 150)</t>
  </si>
  <si>
    <t>dr150</t>
  </si>
  <si>
    <t>DEF_PEN % (diminishing returns, factor 100)</t>
  </si>
  <si>
    <t>dr100</t>
  </si>
  <si>
    <t>level</t>
  </si>
  <si>
    <t>Skill Cooldown Decrease (seconds)</t>
  </si>
  <si>
    <t>Basic Attack Target Increase (flat)</t>
  </si>
  <si>
    <t>Stat: Flat INT</t>
  </si>
  <si>
    <t>helpers</t>
  </si>
  <si>
    <t>Actions Per Second</t>
  </si>
  <si>
    <t>Skill + Buff Cast Rate</t>
  </si>
  <si>
    <t>Meteor Proc — combined trigger cast rate</t>
  </si>
  <si>
    <t>Stat: INT %</t>
  </si>
  <si>
    <t>Stat: DAMAGE %</t>
  </si>
  <si>
    <t>Stat: DAMAGE_AMP %</t>
  </si>
  <si>
    <t>Stat: BOSS_DAMAGE %</t>
  </si>
  <si>
    <t>Stat: NORMAL_DAMAGE %</t>
  </si>
  <si>
    <t>Stat: FINAL_DAMAGE % (multiplicative source)</t>
  </si>
  <si>
    <t>Stat: MIN_DAMAGE %</t>
  </si>
  <si>
    <t>Stat: MAX_DAMAGE %</t>
  </si>
  <si>
    <t>Stat: CRIT_RATE %</t>
  </si>
  <si>
    <t>Stat: CRIT_DAMAGE %</t>
  </si>
  <si>
    <t>Stat: ATTACK_SPEED % (diminishing returns, factor 150)</t>
  </si>
  <si>
    <t>Stat: DEF_PEN % (diminishing returns, factor 100)</t>
  </si>
  <si>
    <t>Stat: BASIC_ATTACK_DAMAGE %</t>
  </si>
  <si>
    <t>Stat: SKILL_DAMAGE %</t>
  </si>
  <si>
    <t>Stat: Skill Level Bonus — 1st Job</t>
  </si>
  <si>
    <t>Stat: Skill Level Bonus — 2nd Job</t>
  </si>
  <si>
    <t>Stat: Skill Level Bonus — 3rd Job</t>
  </si>
  <si>
    <t>Stat: Skill Level Bonus — 4th Job</t>
  </si>
  <si>
    <t>Stat: Skill Level Bonus — All Skills</t>
  </si>
  <si>
    <t>Stat: Flat ATTACK</t>
  </si>
  <si>
    <t>Stat: ATTACK %</t>
  </si>
  <si>
    <t>Stat: Skill Cooldown Decrease (seconds)</t>
  </si>
  <si>
    <t>Stat: Basic Attack Target Increase (flat)</t>
  </si>
  <si>
    <t>Stat: Buff Duration Increase %</t>
  </si>
  <si>
    <t>Slot</t>
  </si>
  <si>
    <t>Rarity</t>
  </si>
  <si>
    <t>Line</t>
  </si>
  <si>
    <t>Value</t>
  </si>
  <si>
    <t>Weight</t>
  </si>
  <si>
    <t>Prime</t>
  </si>
  <si>
    <t>DPSPerUnit</t>
  </si>
  <si>
    <t>Rate</t>
  </si>
  <si>
    <t>MaxPity</t>
  </si>
  <si>
    <t>SlotList</t>
  </si>
  <si>
    <t>ALL</t>
  </si>
  <si>
    <t>normal</t>
  </si>
  <si>
    <t>Critical Rate %</t>
  </si>
  <si>
    <t>(none)</t>
  </si>
  <si>
    <t>head</t>
  </si>
  <si>
    <t>Attack Speed %</t>
  </si>
  <si>
    <t>All Skill Level</t>
  </si>
  <si>
    <t>rare</t>
  </si>
  <si>
    <t>cape</t>
  </si>
  <si>
    <t>Damage %</t>
  </si>
  <si>
    <t>epic</t>
  </si>
  <si>
    <t>chest</t>
  </si>
  <si>
    <t>Min Damage Multiplier %</t>
  </si>
  <si>
    <t>Basic Attack Damage %</t>
  </si>
  <si>
    <t>unique</t>
  </si>
  <si>
    <t>shoulders</t>
  </si>
  <si>
    <t>Max Damage Multiplier %</t>
  </si>
  <si>
    <t>Basic Attack Target Increase</t>
  </si>
  <si>
    <t>legendary</t>
  </si>
  <si>
    <t>legs</t>
  </si>
  <si>
    <t>Str %</t>
  </si>
  <si>
    <t>0</t>
  </si>
  <si>
    <t>mystic</t>
  </si>
  <si>
    <t>belt</t>
  </si>
  <si>
    <t>Dex %</t>
  </si>
  <si>
    <t>Companion Summoning Time Increase %</t>
  </si>
  <si>
    <t>gloves</t>
  </si>
  <si>
    <t>Int %</t>
  </si>
  <si>
    <t>Critical Damage %</t>
  </si>
  <si>
    <t>boots</t>
  </si>
  <si>
    <t>Luk %</t>
  </si>
  <si>
    <t>ring</t>
  </si>
  <si>
    <t>Defense %</t>
  </si>
  <si>
    <t>neck</t>
  </si>
  <si>
    <t>Max HP %</t>
  </si>
  <si>
    <t>eye-accessory</t>
  </si>
  <si>
    <t>Max MP %</t>
  </si>
  <si>
    <t>Defense Penetration</t>
  </si>
  <si>
    <t>ring2</t>
  </si>
  <si>
    <t>Str</t>
  </si>
  <si>
    <t>Dex</t>
  </si>
  <si>
    <t>face</t>
  </si>
  <si>
    <t>earrings</t>
  </si>
  <si>
    <t>Int</t>
  </si>
  <si>
    <t>Final Damage %</t>
  </si>
  <si>
    <t>pocket</t>
  </si>
  <si>
    <t>Luk</t>
  </si>
  <si>
    <t>Main Stat % per 4 Levels</t>
  </si>
  <si>
    <t>Main Stat Per Level</t>
  </si>
  <si>
    <t>Skill Damage %</t>
  </si>
  <si>
    <t>Potential Cubes — Current Gear State</t>
  </si>
  <si>
    <t>Fill in your actual current gear for every slot/potential-type you want EV results for, then run `python3 tools/potential_cubes_ev.py` — it reads this table plus the live Sensitivity!H DPS-per-unit values and computes exact 'expected value of the best roll kept after N rerolls' for all 30 rows (printed + written to a CSV), via a full line1 x line2 x line3 enumeration per rarity/slot rather than a single-roll average.</t>
  </si>
  <si>
    <t>Leave a line's Stat as "(none)" if that line isn't rolled yet / doesn't matter.</t>
  </si>
  <si>
    <t>Potential Type</t>
  </si>
  <si>
    <t>Current Rarity</t>
  </si>
  <si>
    <t>Current Pity Count</t>
  </si>
  <si>
    <t>Line 1 Stat</t>
  </si>
  <si>
    <t>Line 1 Value</t>
  </si>
  <si>
    <t>Line 2 Stat</t>
  </si>
  <si>
    <t>Line 2 Value</t>
  </si>
  <si>
    <t>Line 3 Stat</t>
  </si>
  <si>
    <t>Line 3 Value</t>
  </si>
  <si>
    <t>Potential</t>
  </si>
  <si>
    <t>Bonus Potential</t>
  </si>
  <si>
    <t>breakthrough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</si>
</sst>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amily val="2"/>
    </font>
    <font>
      <b/>
      <sz val="12"/>
      <name val="Calibri"/>
      <family val="2"/>
    </font>
    <font>
      <b/>
      <sz val="11"/>
      <name val="Calibri"/>
      <family val="2"/>
    </font>
    <font>
      <b/>
      <sz val="11"/>
      <color rgb="FFFFFFFF"/>
      <name val="Calibri"/>
      <family val="2"/>
    </font>
    <font>
      <b/>
      <sz val="13"/>
      <name val="Calibri"/>
      <family val="2"/>
    </font>
  </fonts>
  <fills count="4">
    <fill>
      <patternFill patternType="none"/>
    </fill>
    <fill>
      <patternFill patternType="gray125"/>
    </fill>
    <fill>
      <patternFill patternType="solid">
        <fgColor rgb="FFFFF2CC"/>
      </patternFill>
    </fill>
    <fill>
      <patternFill patternType="solid">
        <fgColor rgb="FF1F4E78"/>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1" fillId="0" borderId="0" xfId="0" applyFont="1"/>
    <xf numFmtId="0" fontId="3" fillId="0" borderId="0" xfId="0" applyFont="1"/>
    <xf numFmtId="0" fontId="0" fillId="2" borderId="0" xfId="0" applyFill="1"/>
    <xf numFmtId="0" fontId="2" fillId="0" borderId="0" xfId="0" applyFont="1"/>
    <xf numFmtId="0" fontId="4" fillId="3" borderId="0" xfId="0" applyFont="1" applyFill="1" applyAlignment="1">
      <alignment horizontal="center"/>
    </xf>
    <xf numFmtId="0" fontId="5" fillId="0" borderId="0" xfId="0" applyFont="1"/>
    <xf numFmtId="0" fontId="4"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heetViews>
  <sheetFormatPr baseColWidth="10" defaultColWidth="8.83203125" defaultRowHeight="15" x14ac:dyDescent="0.2"/>
  <cols>
    <col min="1" max="1" width="110" customWidth="1"/>
  </cols>
  <sheetData>
    <row r="1" spans="1:1" ht="20" x14ac:dyDescent="0.2">
      <c r="A1" s="1" t="s">
        <v>0</v>
      </c>
    </row>
    <row r="2" spans="1:1" x14ac:dyDescent="0.2">
      <c r="A2" s="2"/>
    </row>
    <row r="3" spans="1:1" ht="17" x14ac:dyDescent="0.2">
      <c r="A3" s="3" t="s">
        <v>1</v>
      </c>
    </row>
    <row r="4" spans="1:1" ht="32" x14ac:dyDescent="0.2">
      <c r="A4" s="2" t="s">
        <v>2</v>
      </c>
    </row>
    <row r="5" spans="1:1" ht="32" x14ac:dyDescent="0.2">
      <c r="A5" s="2" t="s">
        <v>3</v>
      </c>
    </row>
    <row r="6" spans="1:1" ht="32" x14ac:dyDescent="0.2">
      <c r="A6" s="2" t="s">
        <v>4</v>
      </c>
    </row>
    <row r="7" spans="1:1" ht="48" x14ac:dyDescent="0.2">
      <c r="A7" s="2" t="s">
        <v>5</v>
      </c>
    </row>
    <row r="8" spans="1:1" x14ac:dyDescent="0.2">
      <c r="A8" s="2"/>
    </row>
    <row r="9" spans="1:1" ht="17" x14ac:dyDescent="0.2">
      <c r="A9" s="3" t="s">
        <v>6</v>
      </c>
    </row>
    <row r="10" spans="1:1" ht="32" x14ac:dyDescent="0.2">
      <c r="A10" s="2" t="s">
        <v>7</v>
      </c>
    </row>
    <row r="11" spans="1:1" ht="32" x14ac:dyDescent="0.2">
      <c r="A11" s="2" t="s">
        <v>8</v>
      </c>
    </row>
    <row r="12" spans="1:1" ht="32" x14ac:dyDescent="0.2">
      <c r="A12" s="2" t="s">
        <v>9</v>
      </c>
    </row>
    <row r="13" spans="1:1" ht="32" x14ac:dyDescent="0.2">
      <c r="A13" s="2" t="s">
        <v>10</v>
      </c>
    </row>
    <row r="14" spans="1:1" ht="32" x14ac:dyDescent="0.2">
      <c r="A14" s="2" t="s">
        <v>11</v>
      </c>
    </row>
    <row r="15" spans="1:1" ht="32" x14ac:dyDescent="0.2">
      <c r="A15" s="2" t="s">
        <v>12</v>
      </c>
    </row>
    <row r="16" spans="1:1" ht="32" x14ac:dyDescent="0.2">
      <c r="A16" s="2" t="s">
        <v>13</v>
      </c>
    </row>
    <row r="17" spans="1:1" x14ac:dyDescent="0.2">
      <c r="A1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7"/>
  <sheetViews>
    <sheetView tabSelected="1" workbookViewId="0">
      <selection activeCell="B22" sqref="B22"/>
    </sheetView>
  </sheetViews>
  <sheetFormatPr baseColWidth="10" defaultColWidth="8.83203125" defaultRowHeight="15" x14ac:dyDescent="0.2"/>
  <cols>
    <col min="1" max="1" width="46" customWidth="1"/>
    <col min="2" max="2" width="16" customWidth="1"/>
  </cols>
  <sheetData>
    <row r="1" spans="1:2" ht="19" x14ac:dyDescent="0.25">
      <c r="A1" s="4" t="s">
        <v>14</v>
      </c>
    </row>
    <row r="3" spans="1:2" x14ac:dyDescent="0.2">
      <c r="A3" s="5" t="s">
        <v>15</v>
      </c>
      <c r="B3" s="6">
        <v>114</v>
      </c>
    </row>
    <row r="4" spans="1:2" x14ac:dyDescent="0.2">
      <c r="A4" s="5" t="s">
        <v>16</v>
      </c>
      <c r="B4" s="6" t="s">
        <v>354</v>
      </c>
    </row>
    <row r="5" spans="1:2" x14ac:dyDescent="0.2">
      <c r="A5" s="5" t="s">
        <v>17</v>
      </c>
      <c r="B5" s="6">
        <v>901891</v>
      </c>
    </row>
    <row r="6" spans="1:2" x14ac:dyDescent="0.2">
      <c r="A6" s="5" t="s">
        <v>18</v>
      </c>
      <c r="B6" s="6">
        <v>27600.799999999999</v>
      </c>
    </row>
    <row r="7" spans="1:2" x14ac:dyDescent="0.2">
      <c r="A7" s="5" t="s">
        <v>19</v>
      </c>
      <c r="B7" s="6">
        <v>3500</v>
      </c>
    </row>
    <row r="8" spans="1:2" x14ac:dyDescent="0.2">
      <c r="A8" s="5" t="s">
        <v>20</v>
      </c>
      <c r="B8" s="6">
        <v>107</v>
      </c>
    </row>
    <row r="9" spans="1:2" x14ac:dyDescent="0.2">
      <c r="A9" s="5" t="s">
        <v>21</v>
      </c>
      <c r="B9" s="6">
        <v>319.10000000000002</v>
      </c>
    </row>
    <row r="10" spans="1:2" x14ac:dyDescent="0.2">
      <c r="A10" s="5" t="s">
        <v>22</v>
      </c>
      <c r="B10" s="6">
        <v>61.5</v>
      </c>
    </row>
    <row r="11" spans="1:2" x14ac:dyDescent="0.2">
      <c r="A11" s="5" t="s">
        <v>23</v>
      </c>
      <c r="B11" s="6">
        <v>58007</v>
      </c>
    </row>
    <row r="12" spans="1:2" x14ac:dyDescent="0.2">
      <c r="A12" s="5" t="s">
        <v>24</v>
      </c>
      <c r="B12" s="6">
        <v>229.4</v>
      </c>
    </row>
    <row r="13" spans="1:2" x14ac:dyDescent="0.2">
      <c r="A13" s="5" t="s">
        <v>25</v>
      </c>
      <c r="B13" s="6">
        <v>708</v>
      </c>
    </row>
    <row r="14" spans="1:2" x14ac:dyDescent="0.2">
      <c r="A14" s="5" t="s">
        <v>26</v>
      </c>
      <c r="B14" s="6">
        <v>929</v>
      </c>
    </row>
    <row r="15" spans="1:2" x14ac:dyDescent="0.2">
      <c r="A15" s="5" t="s">
        <v>27</v>
      </c>
      <c r="B15" s="6">
        <v>66.8</v>
      </c>
    </row>
    <row r="16" spans="1:2" x14ac:dyDescent="0.2">
      <c r="A16" s="5" t="s">
        <v>28</v>
      </c>
      <c r="B16" s="6">
        <v>45.6</v>
      </c>
    </row>
    <row r="17" spans="1:2" x14ac:dyDescent="0.2">
      <c r="A17" s="5" t="s">
        <v>29</v>
      </c>
      <c r="B17" s="6">
        <v>105.4</v>
      </c>
    </row>
    <row r="18" spans="1:2" x14ac:dyDescent="0.2">
      <c r="A18" s="5" t="s">
        <v>30</v>
      </c>
      <c r="B18" s="6">
        <v>39.1</v>
      </c>
    </row>
    <row r="19" spans="1:2" x14ac:dyDescent="0.2">
      <c r="A19" s="5" t="s">
        <v>31</v>
      </c>
      <c r="B19" s="6">
        <v>208.3</v>
      </c>
    </row>
    <row r="20" spans="1:2" x14ac:dyDescent="0.2">
      <c r="A20" s="5" t="s">
        <v>32</v>
      </c>
      <c r="B20" s="6">
        <v>249.8</v>
      </c>
    </row>
    <row r="21" spans="1:2" x14ac:dyDescent="0.2">
      <c r="A21" s="5" t="s">
        <v>33</v>
      </c>
      <c r="B21" s="6">
        <v>269</v>
      </c>
    </row>
    <row r="22" spans="1:2" x14ac:dyDescent="0.2">
      <c r="A22" s="5" t="s">
        <v>34</v>
      </c>
      <c r="B22" s="6">
        <v>270.89999999999998</v>
      </c>
    </row>
    <row r="23" spans="1:2" x14ac:dyDescent="0.2">
      <c r="A23" s="5" t="s">
        <v>35</v>
      </c>
      <c r="B23" s="6">
        <v>84.3</v>
      </c>
    </row>
    <row r="24" spans="1:2" x14ac:dyDescent="0.2">
      <c r="A24" s="5" t="s">
        <v>36</v>
      </c>
      <c r="B24" s="6">
        <v>0</v>
      </c>
    </row>
    <row r="25" spans="1:2" x14ac:dyDescent="0.2">
      <c r="A25" s="5" t="s">
        <v>37</v>
      </c>
      <c r="B25" s="6">
        <v>19</v>
      </c>
    </row>
    <row r="26" spans="1:2" x14ac:dyDescent="0.2">
      <c r="A26" s="5" t="s">
        <v>38</v>
      </c>
      <c r="B26" s="6">
        <v>9</v>
      </c>
    </row>
    <row r="27" spans="1:2" x14ac:dyDescent="0.2">
      <c r="A27" s="5" t="s">
        <v>39</v>
      </c>
      <c r="B27" s="6">
        <v>75</v>
      </c>
    </row>
    <row r="28" spans="1:2" x14ac:dyDescent="0.2">
      <c r="A28" s="5" t="s">
        <v>40</v>
      </c>
      <c r="B28" s="6">
        <v>55</v>
      </c>
    </row>
    <row r="30" spans="1:2" ht="16" x14ac:dyDescent="0.2">
      <c r="A30" s="7" t="s">
        <v>41</v>
      </c>
    </row>
    <row r="31" spans="1:2" x14ac:dyDescent="0.2">
      <c r="A31" s="5" t="s">
        <v>42</v>
      </c>
      <c r="B31" s="6">
        <v>0</v>
      </c>
    </row>
    <row r="32" spans="1:2" x14ac:dyDescent="0.2">
      <c r="A32" s="5" t="s">
        <v>43</v>
      </c>
      <c r="B32" s="6">
        <v>6</v>
      </c>
    </row>
    <row r="33" spans="1:2" x14ac:dyDescent="0.2">
      <c r="A33" s="5" t="s">
        <v>44</v>
      </c>
      <c r="B33" s="6">
        <v>0</v>
      </c>
    </row>
    <row r="34" spans="1:2" x14ac:dyDescent="0.2">
      <c r="A34" s="5" t="s">
        <v>45</v>
      </c>
      <c r="B34" s="6">
        <v>0</v>
      </c>
    </row>
    <row r="35" spans="1:2" x14ac:dyDescent="0.2">
      <c r="A35" s="5" t="s">
        <v>46</v>
      </c>
      <c r="B35" s="6">
        <v>0</v>
      </c>
    </row>
    <row r="36" spans="1:2" x14ac:dyDescent="0.2">
      <c r="A36" s="5" t="s">
        <v>47</v>
      </c>
      <c r="B36" s="6">
        <v>60</v>
      </c>
    </row>
    <row r="37" spans="1:2" x14ac:dyDescent="0.2">
      <c r="A37" s="5" t="s">
        <v>48</v>
      </c>
      <c r="B37" s="6">
        <v>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0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8" customWidth="1"/>
  </cols>
  <sheetData>
    <row r="1" spans="1:25" x14ac:dyDescent="0.2">
      <c r="A1" s="8" t="s">
        <v>49</v>
      </c>
      <c r="B1" s="8" t="s">
        <v>50</v>
      </c>
      <c r="C1" s="8" t="s">
        <v>51</v>
      </c>
      <c r="D1" s="8" t="s">
        <v>52</v>
      </c>
      <c r="E1" s="8" t="s">
        <v>53</v>
      </c>
      <c r="F1" s="8" t="s">
        <v>54</v>
      </c>
      <c r="G1" s="8" t="s">
        <v>55</v>
      </c>
      <c r="H1" s="8" t="s">
        <v>56</v>
      </c>
      <c r="I1" s="8" t="s">
        <v>57</v>
      </c>
      <c r="J1" s="8" t="s">
        <v>58</v>
      </c>
      <c r="K1" s="8" t="s">
        <v>59</v>
      </c>
      <c r="L1" s="8" t="s">
        <v>60</v>
      </c>
      <c r="M1" s="8" t="s">
        <v>61</v>
      </c>
      <c r="N1" s="8" t="s">
        <v>62</v>
      </c>
      <c r="O1" s="8" t="s">
        <v>63</v>
      </c>
      <c r="P1" s="8" t="s">
        <v>64</v>
      </c>
      <c r="Q1" s="8" t="s">
        <v>65</v>
      </c>
      <c r="R1" s="8" t="s">
        <v>66</v>
      </c>
      <c r="S1" s="8" t="s">
        <v>67</v>
      </c>
      <c r="T1" s="8" t="s">
        <v>68</v>
      </c>
      <c r="U1" s="8" t="s">
        <v>69</v>
      </c>
      <c r="V1" s="8" t="s">
        <v>70</v>
      </c>
      <c r="W1" s="8" t="s">
        <v>71</v>
      </c>
      <c r="X1" s="8" t="s">
        <v>72</v>
      </c>
      <c r="Y1" s="8" t="s">
        <v>73</v>
      </c>
    </row>
    <row r="2" spans="1:25" x14ac:dyDescent="0.2">
      <c r="A2">
        <v>1</v>
      </c>
      <c r="B2">
        <v>0</v>
      </c>
      <c r="C2">
        <v>1000</v>
      </c>
      <c r="D2">
        <v>1000</v>
      </c>
      <c r="E2">
        <v>1000</v>
      </c>
      <c r="F2">
        <v>1000</v>
      </c>
      <c r="G2">
        <v>1000</v>
      </c>
      <c r="H2">
        <v>1000</v>
      </c>
      <c r="I2">
        <v>1000</v>
      </c>
      <c r="J2">
        <v>1000</v>
      </c>
      <c r="K2">
        <v>1000</v>
      </c>
      <c r="L2">
        <v>1000</v>
      </c>
      <c r="M2">
        <v>1000</v>
      </c>
      <c r="N2">
        <v>1000</v>
      </c>
      <c r="O2">
        <v>1000</v>
      </c>
      <c r="P2">
        <v>1000</v>
      </c>
      <c r="Q2">
        <v>1000</v>
      </c>
      <c r="R2">
        <v>1000</v>
      </c>
      <c r="S2">
        <v>1000</v>
      </c>
      <c r="T2">
        <v>1000</v>
      </c>
      <c r="U2">
        <v>1000</v>
      </c>
      <c r="V2">
        <v>1000</v>
      </c>
      <c r="W2">
        <v>1000</v>
      </c>
      <c r="X2">
        <v>1000</v>
      </c>
      <c r="Y2">
        <v>1000</v>
      </c>
    </row>
    <row r="3" spans="1:25" x14ac:dyDescent="0.2">
      <c r="A3">
        <v>2</v>
      </c>
      <c r="B3">
        <v>0</v>
      </c>
      <c r="C3">
        <v>1015</v>
      </c>
      <c r="D3">
        <v>1020</v>
      </c>
      <c r="E3">
        <v>1030</v>
      </c>
      <c r="F3">
        <v>1040</v>
      </c>
      <c r="G3">
        <v>1050</v>
      </c>
      <c r="H3">
        <v>1060</v>
      </c>
      <c r="I3">
        <v>1070</v>
      </c>
      <c r="J3">
        <v>1020</v>
      </c>
      <c r="K3">
        <v>1020</v>
      </c>
      <c r="L3">
        <v>1020</v>
      </c>
      <c r="M3">
        <v>1000</v>
      </c>
      <c r="N3">
        <v>1010</v>
      </c>
      <c r="O3">
        <v>1020</v>
      </c>
      <c r="P3">
        <v>1030</v>
      </c>
      <c r="Q3">
        <v>1040</v>
      </c>
      <c r="R3">
        <v>1050</v>
      </c>
      <c r="S3">
        <v>1060</v>
      </c>
      <c r="T3">
        <v>1070</v>
      </c>
      <c r="U3">
        <v>1080</v>
      </c>
      <c r="V3">
        <v>1010</v>
      </c>
      <c r="W3">
        <v>1008</v>
      </c>
      <c r="X3">
        <v>1006</v>
      </c>
      <c r="Y3">
        <v>1100</v>
      </c>
    </row>
    <row r="4" spans="1:25" x14ac:dyDescent="0.2">
      <c r="A4">
        <v>3</v>
      </c>
      <c r="B4">
        <v>0</v>
      </c>
      <c r="C4">
        <v>1031</v>
      </c>
      <c r="D4">
        <v>1041</v>
      </c>
      <c r="E4">
        <v>1061</v>
      </c>
      <c r="F4">
        <v>1082</v>
      </c>
      <c r="G4">
        <v>1103</v>
      </c>
      <c r="H4">
        <v>1124</v>
      </c>
      <c r="I4">
        <v>1145</v>
      </c>
      <c r="J4">
        <v>1030</v>
      </c>
      <c r="K4">
        <v>1041</v>
      </c>
      <c r="L4">
        <v>1030</v>
      </c>
      <c r="M4">
        <v>1000</v>
      </c>
      <c r="N4">
        <v>1015</v>
      </c>
      <c r="O4">
        <v>1030</v>
      </c>
      <c r="P4">
        <v>1045</v>
      </c>
      <c r="Q4">
        <v>1060</v>
      </c>
      <c r="R4">
        <v>1075</v>
      </c>
      <c r="S4">
        <v>1090</v>
      </c>
      <c r="T4">
        <v>1105</v>
      </c>
      <c r="U4">
        <v>1120</v>
      </c>
      <c r="V4">
        <v>1020</v>
      </c>
      <c r="W4">
        <v>1012</v>
      </c>
      <c r="X4">
        <v>1009</v>
      </c>
      <c r="Y4">
        <v>1150</v>
      </c>
    </row>
    <row r="5" spans="1:25" x14ac:dyDescent="0.2">
      <c r="A5">
        <v>4</v>
      </c>
      <c r="B5">
        <v>0</v>
      </c>
      <c r="C5">
        <v>1047</v>
      </c>
      <c r="D5">
        <v>1062</v>
      </c>
      <c r="E5">
        <v>1093</v>
      </c>
      <c r="F5">
        <v>1126</v>
      </c>
      <c r="G5">
        <v>1159</v>
      </c>
      <c r="H5">
        <v>1192</v>
      </c>
      <c r="I5">
        <v>1226</v>
      </c>
      <c r="J5">
        <v>1040</v>
      </c>
      <c r="K5">
        <v>1062</v>
      </c>
      <c r="L5">
        <v>1040</v>
      </c>
      <c r="M5">
        <v>1000</v>
      </c>
      <c r="N5">
        <v>1020</v>
      </c>
      <c r="O5">
        <v>1040</v>
      </c>
      <c r="P5">
        <v>1060</v>
      </c>
      <c r="Q5">
        <v>1080</v>
      </c>
      <c r="R5">
        <v>1100</v>
      </c>
      <c r="S5">
        <v>1120</v>
      </c>
      <c r="T5">
        <v>1140</v>
      </c>
      <c r="U5">
        <v>1160</v>
      </c>
      <c r="V5">
        <v>1030</v>
      </c>
      <c r="W5">
        <v>1016</v>
      </c>
      <c r="X5">
        <v>1012</v>
      </c>
      <c r="Y5">
        <v>1200</v>
      </c>
    </row>
    <row r="6" spans="1:25" x14ac:dyDescent="0.2">
      <c r="A6">
        <v>5</v>
      </c>
      <c r="B6">
        <v>0</v>
      </c>
      <c r="C6">
        <v>1063</v>
      </c>
      <c r="D6">
        <v>1084</v>
      </c>
      <c r="E6">
        <v>1126</v>
      </c>
      <c r="F6">
        <v>1172</v>
      </c>
      <c r="G6">
        <v>1217</v>
      </c>
      <c r="H6">
        <v>1264</v>
      </c>
      <c r="I6">
        <v>1312</v>
      </c>
      <c r="J6">
        <v>1050</v>
      </c>
      <c r="K6">
        <v>1084</v>
      </c>
      <c r="L6">
        <v>1050</v>
      </c>
      <c r="M6">
        <v>1000</v>
      </c>
      <c r="N6">
        <v>1025</v>
      </c>
      <c r="O6">
        <v>1050</v>
      </c>
      <c r="P6">
        <v>1075</v>
      </c>
      <c r="Q6">
        <v>1100</v>
      </c>
      <c r="R6">
        <v>1125</v>
      </c>
      <c r="S6">
        <v>1150</v>
      </c>
      <c r="T6">
        <v>1175</v>
      </c>
      <c r="U6">
        <v>1200</v>
      </c>
      <c r="V6">
        <v>1040</v>
      </c>
      <c r="W6">
        <v>1020</v>
      </c>
      <c r="X6">
        <v>1015</v>
      </c>
      <c r="Y6">
        <v>1250</v>
      </c>
    </row>
    <row r="7" spans="1:25" x14ac:dyDescent="0.2">
      <c r="A7">
        <v>6</v>
      </c>
      <c r="B7">
        <v>0</v>
      </c>
      <c r="C7">
        <v>1079</v>
      </c>
      <c r="D7">
        <v>1106</v>
      </c>
      <c r="E7">
        <v>1160</v>
      </c>
      <c r="F7">
        <v>1219</v>
      </c>
      <c r="G7">
        <v>1278</v>
      </c>
      <c r="H7">
        <v>1340</v>
      </c>
      <c r="I7">
        <v>1404</v>
      </c>
      <c r="J7">
        <v>1060</v>
      </c>
      <c r="K7">
        <v>1106</v>
      </c>
      <c r="L7">
        <v>1060</v>
      </c>
      <c r="M7">
        <v>1000</v>
      </c>
      <c r="N7">
        <v>1030</v>
      </c>
      <c r="O7">
        <v>1060</v>
      </c>
      <c r="P7">
        <v>1090</v>
      </c>
      <c r="Q7">
        <v>1120</v>
      </c>
      <c r="R7">
        <v>1150</v>
      </c>
      <c r="S7">
        <v>1180</v>
      </c>
      <c r="T7">
        <v>1210</v>
      </c>
      <c r="U7">
        <v>1240</v>
      </c>
      <c r="V7">
        <v>1050</v>
      </c>
      <c r="W7">
        <v>1024</v>
      </c>
      <c r="X7">
        <v>1018</v>
      </c>
      <c r="Y7">
        <v>1300</v>
      </c>
    </row>
    <row r="8" spans="1:25" x14ac:dyDescent="0.2">
      <c r="A8">
        <v>7</v>
      </c>
      <c r="B8">
        <v>0</v>
      </c>
      <c r="C8">
        <v>1096</v>
      </c>
      <c r="D8">
        <v>1129</v>
      </c>
      <c r="E8">
        <v>1195</v>
      </c>
      <c r="F8">
        <v>1268</v>
      </c>
      <c r="G8">
        <v>1342</v>
      </c>
      <c r="H8">
        <v>1421</v>
      </c>
      <c r="I8">
        <v>1503</v>
      </c>
      <c r="J8">
        <v>1070</v>
      </c>
      <c r="K8">
        <v>1129</v>
      </c>
      <c r="L8">
        <v>1070</v>
      </c>
      <c r="M8">
        <v>1000</v>
      </c>
      <c r="N8">
        <v>1035</v>
      </c>
      <c r="O8">
        <v>1070</v>
      </c>
      <c r="P8">
        <v>1105</v>
      </c>
      <c r="Q8">
        <v>1140</v>
      </c>
      <c r="R8">
        <v>1175</v>
      </c>
      <c r="S8">
        <v>1210</v>
      </c>
      <c r="T8">
        <v>1245</v>
      </c>
      <c r="U8">
        <v>1280</v>
      </c>
      <c r="V8">
        <v>1060</v>
      </c>
      <c r="W8">
        <v>1028</v>
      </c>
      <c r="X8">
        <v>1021</v>
      </c>
      <c r="Y8">
        <v>1350</v>
      </c>
    </row>
    <row r="9" spans="1:25" x14ac:dyDescent="0.2">
      <c r="A9">
        <v>8</v>
      </c>
      <c r="B9">
        <v>0</v>
      </c>
      <c r="C9">
        <v>1113</v>
      </c>
      <c r="D9">
        <v>1152</v>
      </c>
      <c r="E9">
        <v>1231</v>
      </c>
      <c r="F9">
        <v>1319</v>
      </c>
      <c r="G9">
        <v>1410</v>
      </c>
      <c r="H9">
        <v>1507</v>
      </c>
      <c r="I9">
        <v>1609</v>
      </c>
      <c r="J9">
        <v>1080</v>
      </c>
      <c r="K9">
        <v>1152</v>
      </c>
      <c r="L9">
        <v>1080</v>
      </c>
      <c r="M9">
        <v>1000</v>
      </c>
      <c r="N9">
        <v>1040</v>
      </c>
      <c r="O9">
        <v>1080</v>
      </c>
      <c r="P9">
        <v>1120</v>
      </c>
      <c r="Q9">
        <v>1160</v>
      </c>
      <c r="R9">
        <v>1200</v>
      </c>
      <c r="S9">
        <v>1240</v>
      </c>
      <c r="T9">
        <v>1280</v>
      </c>
      <c r="U9">
        <v>1320</v>
      </c>
      <c r="V9">
        <v>1070</v>
      </c>
      <c r="W9">
        <v>1032</v>
      </c>
      <c r="X9">
        <v>1024</v>
      </c>
      <c r="Y9">
        <v>1400</v>
      </c>
    </row>
    <row r="10" spans="1:25" x14ac:dyDescent="0.2">
      <c r="A10">
        <v>9</v>
      </c>
      <c r="B10">
        <v>0</v>
      </c>
      <c r="C10">
        <v>1130</v>
      </c>
      <c r="D10">
        <v>1176</v>
      </c>
      <c r="E10">
        <v>1268</v>
      </c>
      <c r="F10">
        <v>1372</v>
      </c>
      <c r="G10">
        <v>1481</v>
      </c>
      <c r="H10">
        <v>1598</v>
      </c>
      <c r="I10">
        <v>1722</v>
      </c>
      <c r="J10">
        <v>1090</v>
      </c>
      <c r="K10">
        <v>1176</v>
      </c>
      <c r="L10">
        <v>1090</v>
      </c>
      <c r="M10">
        <v>1000</v>
      </c>
      <c r="N10">
        <v>1045</v>
      </c>
      <c r="O10">
        <v>1090</v>
      </c>
      <c r="P10">
        <v>1135</v>
      </c>
      <c r="Q10">
        <v>1180</v>
      </c>
      <c r="R10">
        <v>1225</v>
      </c>
      <c r="S10">
        <v>1270</v>
      </c>
      <c r="T10">
        <v>1315</v>
      </c>
      <c r="U10">
        <v>1360</v>
      </c>
      <c r="V10">
        <v>1080</v>
      </c>
      <c r="W10">
        <v>1036</v>
      </c>
      <c r="X10">
        <v>1027</v>
      </c>
      <c r="Y10">
        <v>1450</v>
      </c>
    </row>
    <row r="11" spans="1:25" x14ac:dyDescent="0.2">
      <c r="A11">
        <v>10</v>
      </c>
      <c r="B11">
        <v>0</v>
      </c>
      <c r="C11">
        <v>1147</v>
      </c>
      <c r="D11">
        <v>1200</v>
      </c>
      <c r="E11">
        <v>1307</v>
      </c>
      <c r="F11">
        <v>1427</v>
      </c>
      <c r="G11">
        <v>1556</v>
      </c>
      <c r="H11">
        <v>1694</v>
      </c>
      <c r="I11">
        <v>1843</v>
      </c>
      <c r="J11">
        <v>1100</v>
      </c>
      <c r="K11">
        <v>1200</v>
      </c>
      <c r="L11">
        <v>1100</v>
      </c>
      <c r="M11">
        <v>1000</v>
      </c>
      <c r="N11">
        <v>1050</v>
      </c>
      <c r="O11">
        <v>1100</v>
      </c>
      <c r="P11">
        <v>1150</v>
      </c>
      <c r="Q11">
        <v>1200</v>
      </c>
      <c r="R11">
        <v>1250</v>
      </c>
      <c r="S11">
        <v>1300</v>
      </c>
      <c r="T11">
        <v>1350</v>
      </c>
      <c r="U11">
        <v>1400</v>
      </c>
      <c r="V11">
        <v>1090</v>
      </c>
      <c r="W11">
        <v>1040</v>
      </c>
      <c r="X11">
        <v>1030</v>
      </c>
      <c r="Y11">
        <v>1500</v>
      </c>
    </row>
    <row r="12" spans="1:25" x14ac:dyDescent="0.2">
      <c r="A12">
        <v>11</v>
      </c>
      <c r="B12">
        <v>0</v>
      </c>
      <c r="C12">
        <v>1165</v>
      </c>
      <c r="D12">
        <v>1224</v>
      </c>
      <c r="E12">
        <v>1347</v>
      </c>
      <c r="F12">
        <v>1485</v>
      </c>
      <c r="G12">
        <v>1634</v>
      </c>
      <c r="H12">
        <v>1796</v>
      </c>
      <c r="I12">
        <v>1973</v>
      </c>
      <c r="J12">
        <v>1110</v>
      </c>
      <c r="K12">
        <v>1224</v>
      </c>
      <c r="L12">
        <v>1110</v>
      </c>
      <c r="M12">
        <v>1000</v>
      </c>
      <c r="N12">
        <v>1055</v>
      </c>
      <c r="O12">
        <v>1110</v>
      </c>
      <c r="P12">
        <v>1165</v>
      </c>
      <c r="Q12">
        <v>1220</v>
      </c>
      <c r="R12">
        <v>1275</v>
      </c>
      <c r="S12">
        <v>1330</v>
      </c>
      <c r="T12">
        <v>1385</v>
      </c>
      <c r="U12">
        <v>1440</v>
      </c>
      <c r="V12">
        <v>1100</v>
      </c>
      <c r="W12">
        <v>1044</v>
      </c>
      <c r="X12">
        <v>1033</v>
      </c>
      <c r="Y12">
        <v>1550</v>
      </c>
    </row>
    <row r="13" spans="1:25" x14ac:dyDescent="0.2">
      <c r="A13">
        <v>12</v>
      </c>
      <c r="B13">
        <v>0</v>
      </c>
      <c r="C13">
        <v>1183</v>
      </c>
      <c r="D13">
        <v>1249</v>
      </c>
      <c r="E13">
        <v>1388</v>
      </c>
      <c r="F13">
        <v>1545</v>
      </c>
      <c r="G13">
        <v>1716</v>
      </c>
      <c r="H13">
        <v>1904</v>
      </c>
      <c r="I13">
        <v>2112</v>
      </c>
      <c r="J13">
        <v>1120</v>
      </c>
      <c r="K13">
        <v>1249</v>
      </c>
      <c r="L13">
        <v>1120</v>
      </c>
      <c r="M13">
        <v>1000</v>
      </c>
      <c r="N13">
        <v>1060</v>
      </c>
      <c r="O13">
        <v>1120</v>
      </c>
      <c r="P13">
        <v>1180</v>
      </c>
      <c r="Q13">
        <v>1240</v>
      </c>
      <c r="R13">
        <v>1300</v>
      </c>
      <c r="S13">
        <v>1360</v>
      </c>
      <c r="T13">
        <v>1420</v>
      </c>
      <c r="U13">
        <v>1480</v>
      </c>
      <c r="V13">
        <v>1110</v>
      </c>
      <c r="W13">
        <v>1048</v>
      </c>
      <c r="X13">
        <v>1036</v>
      </c>
      <c r="Y13">
        <v>1600</v>
      </c>
    </row>
    <row r="14" spans="1:25" x14ac:dyDescent="0.2">
      <c r="A14">
        <v>13</v>
      </c>
      <c r="B14">
        <v>0</v>
      </c>
      <c r="C14">
        <v>1201</v>
      </c>
      <c r="D14">
        <v>1274</v>
      </c>
      <c r="E14">
        <v>1430</v>
      </c>
      <c r="F14">
        <v>1607</v>
      </c>
      <c r="G14">
        <v>1802</v>
      </c>
      <c r="H14">
        <v>2019</v>
      </c>
      <c r="I14">
        <v>2260</v>
      </c>
      <c r="J14">
        <v>1130</v>
      </c>
      <c r="K14">
        <v>1274</v>
      </c>
      <c r="L14">
        <v>1130</v>
      </c>
      <c r="M14">
        <v>1000</v>
      </c>
      <c r="N14">
        <v>1065</v>
      </c>
      <c r="O14">
        <v>1130</v>
      </c>
      <c r="P14">
        <v>1195</v>
      </c>
      <c r="Q14">
        <v>1260</v>
      </c>
      <c r="R14">
        <v>1325</v>
      </c>
      <c r="S14">
        <v>1390</v>
      </c>
      <c r="T14">
        <v>1455</v>
      </c>
      <c r="U14">
        <v>1520</v>
      </c>
      <c r="V14">
        <v>1120</v>
      </c>
      <c r="W14">
        <v>1052</v>
      </c>
      <c r="X14">
        <v>1039</v>
      </c>
      <c r="Y14">
        <v>1650</v>
      </c>
    </row>
    <row r="15" spans="1:25" x14ac:dyDescent="0.2">
      <c r="A15">
        <v>14</v>
      </c>
      <c r="B15">
        <v>0</v>
      </c>
      <c r="C15">
        <v>1220</v>
      </c>
      <c r="D15">
        <v>1300</v>
      </c>
      <c r="E15">
        <v>1473</v>
      </c>
      <c r="F15">
        <v>1672</v>
      </c>
      <c r="G15">
        <v>1893</v>
      </c>
      <c r="H15">
        <v>2141</v>
      </c>
      <c r="I15">
        <v>2419</v>
      </c>
      <c r="J15">
        <v>1140</v>
      </c>
      <c r="K15">
        <v>1300</v>
      </c>
      <c r="L15">
        <v>1140</v>
      </c>
      <c r="M15">
        <v>1000</v>
      </c>
      <c r="N15">
        <v>1070</v>
      </c>
      <c r="O15">
        <v>1140</v>
      </c>
      <c r="P15">
        <v>1210</v>
      </c>
      <c r="Q15">
        <v>1280</v>
      </c>
      <c r="R15">
        <v>1350</v>
      </c>
      <c r="S15">
        <v>1420</v>
      </c>
      <c r="T15">
        <v>1490</v>
      </c>
      <c r="U15">
        <v>1560</v>
      </c>
      <c r="V15">
        <v>1130</v>
      </c>
      <c r="W15">
        <v>1056</v>
      </c>
      <c r="X15">
        <v>1042</v>
      </c>
      <c r="Y15">
        <v>1700</v>
      </c>
    </row>
    <row r="16" spans="1:25" x14ac:dyDescent="0.2">
      <c r="A16">
        <v>15</v>
      </c>
      <c r="B16">
        <v>0</v>
      </c>
      <c r="C16">
        <v>1239</v>
      </c>
      <c r="D16">
        <v>1326</v>
      </c>
      <c r="E16">
        <v>1518</v>
      </c>
      <c r="F16">
        <v>1739</v>
      </c>
      <c r="G16">
        <v>1988</v>
      </c>
      <c r="H16">
        <v>2270</v>
      </c>
      <c r="I16">
        <v>2589</v>
      </c>
      <c r="J16">
        <v>1150</v>
      </c>
      <c r="K16">
        <v>1326</v>
      </c>
      <c r="L16">
        <v>1150</v>
      </c>
      <c r="M16">
        <v>1000</v>
      </c>
      <c r="N16">
        <v>1075</v>
      </c>
      <c r="O16">
        <v>1150</v>
      </c>
      <c r="P16">
        <v>1225</v>
      </c>
      <c r="Q16">
        <v>1300</v>
      </c>
      <c r="R16">
        <v>1375</v>
      </c>
      <c r="S16">
        <v>1450</v>
      </c>
      <c r="T16">
        <v>1525</v>
      </c>
      <c r="U16">
        <v>1600</v>
      </c>
      <c r="V16">
        <v>1140</v>
      </c>
      <c r="W16">
        <v>1060</v>
      </c>
      <c r="X16">
        <v>1045</v>
      </c>
      <c r="Y16">
        <v>1750</v>
      </c>
    </row>
    <row r="17" spans="1:25" x14ac:dyDescent="0.2">
      <c r="A17">
        <v>16</v>
      </c>
      <c r="B17">
        <v>0</v>
      </c>
      <c r="C17">
        <v>1258</v>
      </c>
      <c r="D17">
        <v>1353</v>
      </c>
      <c r="E17">
        <v>1564</v>
      </c>
      <c r="F17">
        <v>1809</v>
      </c>
      <c r="G17">
        <v>2088</v>
      </c>
      <c r="H17">
        <v>2407</v>
      </c>
      <c r="I17">
        <v>2771</v>
      </c>
      <c r="J17">
        <v>1160</v>
      </c>
      <c r="K17">
        <v>1353</v>
      </c>
      <c r="L17">
        <v>1160</v>
      </c>
      <c r="M17">
        <v>1000</v>
      </c>
      <c r="N17">
        <v>1080</v>
      </c>
      <c r="O17">
        <v>1160</v>
      </c>
      <c r="P17">
        <v>1240</v>
      </c>
      <c r="Q17">
        <v>1320</v>
      </c>
      <c r="R17">
        <v>1400</v>
      </c>
      <c r="S17">
        <v>1480</v>
      </c>
      <c r="T17">
        <v>1560</v>
      </c>
      <c r="U17">
        <v>1640</v>
      </c>
      <c r="V17">
        <v>1150</v>
      </c>
      <c r="W17">
        <v>1064</v>
      </c>
      <c r="X17">
        <v>1048</v>
      </c>
      <c r="Y17">
        <v>1800</v>
      </c>
    </row>
    <row r="18" spans="1:25" x14ac:dyDescent="0.2">
      <c r="A18">
        <v>17</v>
      </c>
      <c r="B18">
        <v>0</v>
      </c>
      <c r="C18">
        <v>1277</v>
      </c>
      <c r="D18">
        <v>1381</v>
      </c>
      <c r="E18">
        <v>1611</v>
      </c>
      <c r="F18">
        <v>1882</v>
      </c>
      <c r="G18">
        <v>2193</v>
      </c>
      <c r="H18">
        <v>2552</v>
      </c>
      <c r="I18">
        <v>2965</v>
      </c>
      <c r="J18">
        <v>1170</v>
      </c>
      <c r="K18">
        <v>1381</v>
      </c>
      <c r="L18">
        <v>1170</v>
      </c>
      <c r="M18">
        <v>1000</v>
      </c>
      <c r="N18">
        <v>1085</v>
      </c>
      <c r="O18">
        <v>1170</v>
      </c>
      <c r="P18">
        <v>1255</v>
      </c>
      <c r="Q18">
        <v>1340</v>
      </c>
      <c r="R18">
        <v>1425</v>
      </c>
      <c r="S18">
        <v>1510</v>
      </c>
      <c r="T18">
        <v>1595</v>
      </c>
      <c r="U18">
        <v>1680</v>
      </c>
      <c r="V18">
        <v>1160</v>
      </c>
      <c r="W18">
        <v>1068</v>
      </c>
      <c r="X18">
        <v>1051</v>
      </c>
      <c r="Y18">
        <v>1850</v>
      </c>
    </row>
    <row r="19" spans="1:25" x14ac:dyDescent="0.2">
      <c r="A19">
        <v>18</v>
      </c>
      <c r="B19">
        <v>0</v>
      </c>
      <c r="C19">
        <v>1297</v>
      </c>
      <c r="D19">
        <v>1409</v>
      </c>
      <c r="E19">
        <v>1660</v>
      </c>
      <c r="F19">
        <v>1958</v>
      </c>
      <c r="G19">
        <v>2303</v>
      </c>
      <c r="H19">
        <v>2706</v>
      </c>
      <c r="I19">
        <v>3173</v>
      </c>
      <c r="J19">
        <v>1180</v>
      </c>
      <c r="K19">
        <v>1409</v>
      </c>
      <c r="L19">
        <v>1180</v>
      </c>
      <c r="M19">
        <v>1000</v>
      </c>
      <c r="N19">
        <v>1090</v>
      </c>
      <c r="O19">
        <v>1180</v>
      </c>
      <c r="P19">
        <v>1270</v>
      </c>
      <c r="Q19">
        <v>1360</v>
      </c>
      <c r="R19">
        <v>1450</v>
      </c>
      <c r="S19">
        <v>1540</v>
      </c>
      <c r="T19">
        <v>1630</v>
      </c>
      <c r="U19">
        <v>1720</v>
      </c>
      <c r="V19">
        <v>1170</v>
      </c>
      <c r="W19">
        <v>1072</v>
      </c>
      <c r="X19">
        <v>1054</v>
      </c>
      <c r="Y19">
        <v>1900</v>
      </c>
    </row>
    <row r="20" spans="1:25" x14ac:dyDescent="0.2">
      <c r="A20">
        <v>19</v>
      </c>
      <c r="B20">
        <v>0</v>
      </c>
      <c r="C20">
        <v>1317</v>
      </c>
      <c r="D20">
        <v>1438</v>
      </c>
      <c r="E20">
        <v>1710</v>
      </c>
      <c r="F20">
        <v>2037</v>
      </c>
      <c r="G20">
        <v>2419</v>
      </c>
      <c r="H20">
        <v>2869</v>
      </c>
      <c r="I20">
        <v>3396</v>
      </c>
      <c r="J20">
        <v>1190</v>
      </c>
      <c r="K20">
        <v>1438</v>
      </c>
      <c r="L20">
        <v>1190</v>
      </c>
      <c r="M20">
        <v>1000</v>
      </c>
      <c r="N20">
        <v>1095</v>
      </c>
      <c r="O20">
        <v>1190</v>
      </c>
      <c r="P20">
        <v>1285</v>
      </c>
      <c r="Q20">
        <v>1380</v>
      </c>
      <c r="R20">
        <v>1475</v>
      </c>
      <c r="S20">
        <v>1570</v>
      </c>
      <c r="T20">
        <v>1665</v>
      </c>
      <c r="U20">
        <v>1760</v>
      </c>
      <c r="V20">
        <v>1180</v>
      </c>
      <c r="W20">
        <v>1076</v>
      </c>
      <c r="X20">
        <v>1057</v>
      </c>
      <c r="Y20">
        <v>1950</v>
      </c>
    </row>
    <row r="21" spans="1:25" x14ac:dyDescent="0.2">
      <c r="A21">
        <v>20</v>
      </c>
      <c r="B21">
        <v>0</v>
      </c>
      <c r="C21">
        <v>1337</v>
      </c>
      <c r="D21">
        <v>1467</v>
      </c>
      <c r="E21">
        <v>1762</v>
      </c>
      <c r="F21">
        <v>2119</v>
      </c>
      <c r="G21">
        <v>2540</v>
      </c>
      <c r="H21">
        <v>3042</v>
      </c>
      <c r="I21">
        <v>3634</v>
      </c>
      <c r="J21">
        <v>1200</v>
      </c>
      <c r="K21">
        <v>1467</v>
      </c>
      <c r="L21">
        <v>1200</v>
      </c>
      <c r="M21">
        <v>1000</v>
      </c>
      <c r="N21">
        <v>1100</v>
      </c>
      <c r="O21">
        <v>1200</v>
      </c>
      <c r="P21">
        <v>1300</v>
      </c>
      <c r="Q21">
        <v>1400</v>
      </c>
      <c r="R21">
        <v>1500</v>
      </c>
      <c r="S21">
        <v>1600</v>
      </c>
      <c r="T21">
        <v>1700</v>
      </c>
      <c r="U21">
        <v>1800</v>
      </c>
      <c r="V21">
        <v>1190</v>
      </c>
      <c r="W21">
        <v>1080</v>
      </c>
      <c r="X21">
        <v>1060</v>
      </c>
      <c r="Y21">
        <v>2000</v>
      </c>
    </row>
    <row r="22" spans="1:25" x14ac:dyDescent="0.2">
      <c r="A22">
        <v>21</v>
      </c>
      <c r="B22">
        <v>0</v>
      </c>
      <c r="C22">
        <v>1358</v>
      </c>
      <c r="D22">
        <v>1497</v>
      </c>
      <c r="E22">
        <v>1815</v>
      </c>
      <c r="F22">
        <v>2204</v>
      </c>
      <c r="G22">
        <v>2667</v>
      </c>
      <c r="H22">
        <v>3225</v>
      </c>
      <c r="I22">
        <v>3889</v>
      </c>
      <c r="J22">
        <v>1210</v>
      </c>
      <c r="K22">
        <v>1497</v>
      </c>
      <c r="L22">
        <v>1210</v>
      </c>
      <c r="M22">
        <v>1000</v>
      </c>
      <c r="N22">
        <v>1105</v>
      </c>
      <c r="O22">
        <v>1210</v>
      </c>
      <c r="P22">
        <v>1315</v>
      </c>
      <c r="Q22">
        <v>1420</v>
      </c>
      <c r="R22">
        <v>1525</v>
      </c>
      <c r="S22">
        <v>1630</v>
      </c>
      <c r="T22">
        <v>1735</v>
      </c>
      <c r="U22">
        <v>1840</v>
      </c>
      <c r="V22">
        <v>1200</v>
      </c>
      <c r="W22">
        <v>1084</v>
      </c>
      <c r="X22">
        <v>1063</v>
      </c>
      <c r="Y22">
        <v>2050</v>
      </c>
    </row>
    <row r="23" spans="1:25" x14ac:dyDescent="0.2">
      <c r="A23">
        <v>22</v>
      </c>
      <c r="B23">
        <v>0</v>
      </c>
      <c r="C23">
        <v>1379</v>
      </c>
      <c r="D23">
        <v>1527</v>
      </c>
      <c r="E23">
        <v>1870</v>
      </c>
      <c r="F23">
        <v>2293</v>
      </c>
      <c r="G23">
        <v>2801</v>
      </c>
      <c r="H23">
        <v>3419</v>
      </c>
      <c r="I23">
        <v>4162</v>
      </c>
      <c r="J23">
        <v>1220</v>
      </c>
      <c r="K23">
        <v>1527</v>
      </c>
      <c r="L23">
        <v>1220</v>
      </c>
      <c r="M23">
        <v>1000</v>
      </c>
      <c r="N23">
        <v>1110</v>
      </c>
      <c r="O23">
        <v>1220</v>
      </c>
      <c r="P23">
        <v>1330</v>
      </c>
      <c r="Q23">
        <v>1440</v>
      </c>
      <c r="R23">
        <v>1550</v>
      </c>
      <c r="S23">
        <v>1660</v>
      </c>
      <c r="T23">
        <v>1770</v>
      </c>
      <c r="U23">
        <v>1880</v>
      </c>
      <c r="V23">
        <v>1211</v>
      </c>
      <c r="W23">
        <v>1088</v>
      </c>
      <c r="X23">
        <v>1066</v>
      </c>
      <c r="Y23">
        <v>2100</v>
      </c>
    </row>
    <row r="24" spans="1:25" x14ac:dyDescent="0.2">
      <c r="A24">
        <v>23</v>
      </c>
      <c r="B24">
        <v>0</v>
      </c>
      <c r="C24">
        <v>1400</v>
      </c>
      <c r="D24">
        <v>1558</v>
      </c>
      <c r="E24">
        <v>1927</v>
      </c>
      <c r="F24">
        <v>2385</v>
      </c>
      <c r="G24">
        <v>2942</v>
      </c>
      <c r="H24">
        <v>3625</v>
      </c>
      <c r="I24">
        <v>4454</v>
      </c>
      <c r="J24">
        <v>1230</v>
      </c>
      <c r="K24">
        <v>1558</v>
      </c>
      <c r="L24">
        <v>1230</v>
      </c>
      <c r="M24">
        <v>1000</v>
      </c>
      <c r="N24">
        <v>1115</v>
      </c>
      <c r="O24">
        <v>1230</v>
      </c>
      <c r="P24">
        <v>1345</v>
      </c>
      <c r="Q24">
        <v>1460</v>
      </c>
      <c r="R24">
        <v>1575</v>
      </c>
      <c r="S24">
        <v>1690</v>
      </c>
      <c r="T24">
        <v>1805</v>
      </c>
      <c r="U24">
        <v>1920</v>
      </c>
      <c r="V24">
        <v>1222</v>
      </c>
      <c r="W24">
        <v>1092</v>
      </c>
      <c r="X24">
        <v>1069</v>
      </c>
      <c r="Y24">
        <v>2150</v>
      </c>
    </row>
    <row r="25" spans="1:25" x14ac:dyDescent="0.2">
      <c r="A25">
        <v>24</v>
      </c>
      <c r="B25">
        <v>0</v>
      </c>
      <c r="C25">
        <v>1421</v>
      </c>
      <c r="D25">
        <v>1590</v>
      </c>
      <c r="E25">
        <v>1985</v>
      </c>
      <c r="F25">
        <v>2481</v>
      </c>
      <c r="G25">
        <v>3090</v>
      </c>
      <c r="H25">
        <v>3843</v>
      </c>
      <c r="I25">
        <v>4766</v>
      </c>
      <c r="J25">
        <v>1240</v>
      </c>
      <c r="K25">
        <v>1590</v>
      </c>
      <c r="L25">
        <v>1240</v>
      </c>
      <c r="M25">
        <v>1000</v>
      </c>
      <c r="N25">
        <v>1120</v>
      </c>
      <c r="O25">
        <v>1240</v>
      </c>
      <c r="P25">
        <v>1360</v>
      </c>
      <c r="Q25">
        <v>1480</v>
      </c>
      <c r="R25">
        <v>1600</v>
      </c>
      <c r="S25">
        <v>1720</v>
      </c>
      <c r="T25">
        <v>1840</v>
      </c>
      <c r="U25">
        <v>1960</v>
      </c>
      <c r="V25">
        <v>1233</v>
      </c>
      <c r="W25">
        <v>1096</v>
      </c>
      <c r="X25">
        <v>1072</v>
      </c>
      <c r="Y25">
        <v>2200</v>
      </c>
    </row>
    <row r="26" spans="1:25" x14ac:dyDescent="0.2">
      <c r="A26">
        <v>25</v>
      </c>
      <c r="B26">
        <v>0</v>
      </c>
      <c r="C26">
        <v>1443</v>
      </c>
      <c r="D26">
        <v>1622</v>
      </c>
      <c r="E26">
        <v>2045</v>
      </c>
      <c r="F26">
        <v>2581</v>
      </c>
      <c r="G26">
        <v>3245</v>
      </c>
      <c r="H26">
        <v>4074</v>
      </c>
      <c r="I26">
        <v>5100</v>
      </c>
      <c r="J26">
        <v>1250</v>
      </c>
      <c r="K26">
        <v>1622</v>
      </c>
      <c r="L26">
        <v>1250</v>
      </c>
      <c r="M26">
        <v>1000</v>
      </c>
      <c r="N26">
        <v>1125</v>
      </c>
      <c r="O26">
        <v>1250</v>
      </c>
      <c r="P26">
        <v>1375</v>
      </c>
      <c r="Q26">
        <v>1500</v>
      </c>
      <c r="R26">
        <v>1625</v>
      </c>
      <c r="S26">
        <v>1750</v>
      </c>
      <c r="T26">
        <v>1875</v>
      </c>
      <c r="U26">
        <v>2000</v>
      </c>
      <c r="V26">
        <v>1244</v>
      </c>
      <c r="W26">
        <v>1100</v>
      </c>
      <c r="X26">
        <v>1075</v>
      </c>
      <c r="Y26">
        <v>2250</v>
      </c>
    </row>
    <row r="27" spans="1:25" x14ac:dyDescent="0.2">
      <c r="A27">
        <v>26</v>
      </c>
      <c r="B27">
        <v>0</v>
      </c>
      <c r="C27">
        <v>1465</v>
      </c>
      <c r="D27">
        <v>1655</v>
      </c>
      <c r="E27">
        <v>2107</v>
      </c>
      <c r="F27">
        <v>2685</v>
      </c>
      <c r="G27">
        <v>3408</v>
      </c>
      <c r="H27">
        <v>4319</v>
      </c>
      <c r="I27">
        <v>5457</v>
      </c>
      <c r="J27">
        <v>1260</v>
      </c>
      <c r="K27">
        <v>1655</v>
      </c>
      <c r="L27">
        <v>1260</v>
      </c>
      <c r="M27">
        <v>1000</v>
      </c>
      <c r="N27">
        <v>1130</v>
      </c>
      <c r="O27">
        <v>1260</v>
      </c>
      <c r="P27">
        <v>1390</v>
      </c>
      <c r="Q27">
        <v>1520</v>
      </c>
      <c r="R27">
        <v>1650</v>
      </c>
      <c r="S27">
        <v>1780</v>
      </c>
      <c r="T27">
        <v>1910</v>
      </c>
      <c r="U27">
        <v>2040</v>
      </c>
      <c r="V27">
        <v>1255</v>
      </c>
      <c r="W27">
        <v>1104</v>
      </c>
      <c r="X27">
        <v>1078</v>
      </c>
      <c r="Y27">
        <v>2300</v>
      </c>
    </row>
    <row r="28" spans="1:25" x14ac:dyDescent="0.2">
      <c r="A28">
        <v>27</v>
      </c>
      <c r="B28">
        <v>0</v>
      </c>
      <c r="C28">
        <v>1487</v>
      </c>
      <c r="D28">
        <v>1689</v>
      </c>
      <c r="E28">
        <v>2171</v>
      </c>
      <c r="F28">
        <v>2793</v>
      </c>
      <c r="G28">
        <v>3579</v>
      </c>
      <c r="H28">
        <v>4579</v>
      </c>
      <c r="I28">
        <v>5839</v>
      </c>
      <c r="J28">
        <v>1270</v>
      </c>
      <c r="K28">
        <v>1689</v>
      </c>
      <c r="L28">
        <v>1270</v>
      </c>
      <c r="M28">
        <v>1000</v>
      </c>
      <c r="N28">
        <v>1135</v>
      </c>
      <c r="O28">
        <v>1270</v>
      </c>
      <c r="P28">
        <v>1405</v>
      </c>
      <c r="Q28">
        <v>1540</v>
      </c>
      <c r="R28">
        <v>1675</v>
      </c>
      <c r="S28">
        <v>1810</v>
      </c>
      <c r="T28">
        <v>1945</v>
      </c>
      <c r="U28">
        <v>2080</v>
      </c>
      <c r="V28">
        <v>1266</v>
      </c>
      <c r="W28">
        <v>1108</v>
      </c>
      <c r="X28">
        <v>1081</v>
      </c>
      <c r="Y28">
        <v>2350</v>
      </c>
    </row>
    <row r="29" spans="1:25" x14ac:dyDescent="0.2">
      <c r="A29">
        <v>28</v>
      </c>
      <c r="B29">
        <v>0</v>
      </c>
      <c r="C29">
        <v>1510</v>
      </c>
      <c r="D29">
        <v>1723</v>
      </c>
      <c r="E29">
        <v>2237</v>
      </c>
      <c r="F29">
        <v>2905</v>
      </c>
      <c r="G29">
        <v>3758</v>
      </c>
      <c r="H29">
        <v>4854</v>
      </c>
      <c r="I29">
        <v>6248</v>
      </c>
      <c r="J29">
        <v>1280</v>
      </c>
      <c r="K29">
        <v>1723</v>
      </c>
      <c r="L29">
        <v>1280</v>
      </c>
      <c r="M29">
        <v>1000</v>
      </c>
      <c r="N29">
        <v>1140</v>
      </c>
      <c r="O29">
        <v>1280</v>
      </c>
      <c r="P29">
        <v>1420</v>
      </c>
      <c r="Q29">
        <v>1560</v>
      </c>
      <c r="R29">
        <v>1700</v>
      </c>
      <c r="S29">
        <v>1840</v>
      </c>
      <c r="T29">
        <v>1980</v>
      </c>
      <c r="U29">
        <v>2120</v>
      </c>
      <c r="V29">
        <v>1277</v>
      </c>
      <c r="W29">
        <v>1112</v>
      </c>
      <c r="X29">
        <v>1084</v>
      </c>
      <c r="Y29">
        <v>2400</v>
      </c>
    </row>
    <row r="30" spans="1:25" x14ac:dyDescent="0.2">
      <c r="A30">
        <v>29</v>
      </c>
      <c r="B30">
        <v>0</v>
      </c>
      <c r="C30">
        <v>1533</v>
      </c>
      <c r="D30">
        <v>1758</v>
      </c>
      <c r="E30">
        <v>2305</v>
      </c>
      <c r="F30">
        <v>3022</v>
      </c>
      <c r="G30">
        <v>3946</v>
      </c>
      <c r="H30">
        <v>5146</v>
      </c>
      <c r="I30">
        <v>6686</v>
      </c>
      <c r="J30">
        <v>1290</v>
      </c>
      <c r="K30">
        <v>1758</v>
      </c>
      <c r="L30">
        <v>1290</v>
      </c>
      <c r="M30">
        <v>1000</v>
      </c>
      <c r="N30">
        <v>1145</v>
      </c>
      <c r="O30">
        <v>1290</v>
      </c>
      <c r="P30">
        <v>1435</v>
      </c>
      <c r="Q30">
        <v>1580</v>
      </c>
      <c r="R30">
        <v>1725</v>
      </c>
      <c r="S30">
        <v>1870</v>
      </c>
      <c r="T30">
        <v>2015</v>
      </c>
      <c r="U30">
        <v>2160</v>
      </c>
      <c r="V30">
        <v>1288</v>
      </c>
      <c r="W30">
        <v>1116</v>
      </c>
      <c r="X30">
        <v>1087</v>
      </c>
      <c r="Y30">
        <v>2450</v>
      </c>
    </row>
    <row r="31" spans="1:25" x14ac:dyDescent="0.2">
      <c r="A31">
        <v>30</v>
      </c>
      <c r="B31">
        <v>0</v>
      </c>
      <c r="C31">
        <v>1556</v>
      </c>
      <c r="D31">
        <v>1794</v>
      </c>
      <c r="E31">
        <v>2375</v>
      </c>
      <c r="F31">
        <v>3143</v>
      </c>
      <c r="G31">
        <v>4144</v>
      </c>
      <c r="H31">
        <v>5455</v>
      </c>
      <c r="I31">
        <v>7155</v>
      </c>
      <c r="J31">
        <v>1300</v>
      </c>
      <c r="K31">
        <v>1794</v>
      </c>
      <c r="L31">
        <v>1300</v>
      </c>
      <c r="M31">
        <v>1000</v>
      </c>
      <c r="N31">
        <v>1150</v>
      </c>
      <c r="O31">
        <v>1300</v>
      </c>
      <c r="P31">
        <v>1450</v>
      </c>
      <c r="Q31">
        <v>1600</v>
      </c>
      <c r="R31">
        <v>1750</v>
      </c>
      <c r="S31">
        <v>1900</v>
      </c>
      <c r="T31">
        <v>2050</v>
      </c>
      <c r="U31">
        <v>2200</v>
      </c>
      <c r="V31">
        <v>1299</v>
      </c>
      <c r="W31">
        <v>1120</v>
      </c>
      <c r="X31">
        <v>1090</v>
      </c>
      <c r="Y31">
        <v>2500</v>
      </c>
    </row>
    <row r="32" spans="1:25" x14ac:dyDescent="0.2">
      <c r="A32">
        <v>31</v>
      </c>
      <c r="B32">
        <v>0</v>
      </c>
      <c r="C32">
        <v>1580</v>
      </c>
      <c r="D32">
        <v>1830</v>
      </c>
      <c r="E32">
        <v>2447</v>
      </c>
      <c r="F32">
        <v>3269</v>
      </c>
      <c r="G32">
        <v>4352</v>
      </c>
      <c r="H32">
        <v>5783</v>
      </c>
      <c r="I32">
        <v>7656</v>
      </c>
      <c r="J32">
        <v>1310</v>
      </c>
      <c r="K32">
        <v>1830</v>
      </c>
      <c r="L32">
        <v>1310</v>
      </c>
      <c r="M32">
        <v>1000</v>
      </c>
      <c r="N32">
        <v>1155</v>
      </c>
      <c r="O32">
        <v>1310</v>
      </c>
      <c r="P32">
        <v>1465</v>
      </c>
      <c r="Q32">
        <v>1620</v>
      </c>
      <c r="R32">
        <v>1775</v>
      </c>
      <c r="S32">
        <v>1930</v>
      </c>
      <c r="T32">
        <v>2085</v>
      </c>
      <c r="U32">
        <v>2240</v>
      </c>
      <c r="V32">
        <v>1310</v>
      </c>
      <c r="W32">
        <v>1124</v>
      </c>
      <c r="X32">
        <v>1093</v>
      </c>
      <c r="Y32">
        <v>2550</v>
      </c>
    </row>
    <row r="33" spans="1:25" x14ac:dyDescent="0.2">
      <c r="A33">
        <v>32</v>
      </c>
      <c r="B33">
        <v>0</v>
      </c>
      <c r="C33">
        <v>1604</v>
      </c>
      <c r="D33">
        <v>1867</v>
      </c>
      <c r="E33">
        <v>2521</v>
      </c>
      <c r="F33">
        <v>3400</v>
      </c>
      <c r="G33">
        <v>4570</v>
      </c>
      <c r="H33">
        <v>6130</v>
      </c>
      <c r="I33">
        <v>8192</v>
      </c>
      <c r="J33">
        <v>1320</v>
      </c>
      <c r="K33">
        <v>1867</v>
      </c>
      <c r="L33">
        <v>1320</v>
      </c>
      <c r="M33">
        <v>1000</v>
      </c>
      <c r="N33">
        <v>1160</v>
      </c>
      <c r="O33">
        <v>1320</v>
      </c>
      <c r="P33">
        <v>1480</v>
      </c>
      <c r="Q33">
        <v>1640</v>
      </c>
      <c r="R33">
        <v>1800</v>
      </c>
      <c r="S33">
        <v>1960</v>
      </c>
      <c r="T33">
        <v>2120</v>
      </c>
      <c r="U33">
        <v>2280</v>
      </c>
      <c r="V33">
        <v>1321</v>
      </c>
      <c r="W33">
        <v>1128</v>
      </c>
      <c r="X33">
        <v>1096</v>
      </c>
      <c r="Y33">
        <v>2600</v>
      </c>
    </row>
    <row r="34" spans="1:25" x14ac:dyDescent="0.2">
      <c r="A34">
        <v>33</v>
      </c>
      <c r="B34">
        <v>0</v>
      </c>
      <c r="C34">
        <v>1629</v>
      </c>
      <c r="D34">
        <v>1905</v>
      </c>
      <c r="E34">
        <v>2597</v>
      </c>
      <c r="F34">
        <v>3536</v>
      </c>
      <c r="G34">
        <v>4799</v>
      </c>
      <c r="H34">
        <v>6498</v>
      </c>
      <c r="I34">
        <v>8766</v>
      </c>
      <c r="J34">
        <v>1330</v>
      </c>
      <c r="K34">
        <v>1905</v>
      </c>
      <c r="L34">
        <v>1330</v>
      </c>
      <c r="M34">
        <v>1000</v>
      </c>
      <c r="N34">
        <v>1165</v>
      </c>
      <c r="O34">
        <v>1330</v>
      </c>
      <c r="P34">
        <v>1495</v>
      </c>
      <c r="Q34">
        <v>1660</v>
      </c>
      <c r="R34">
        <v>1825</v>
      </c>
      <c r="S34">
        <v>1990</v>
      </c>
      <c r="T34">
        <v>2155</v>
      </c>
      <c r="U34">
        <v>2320</v>
      </c>
      <c r="V34">
        <v>1332</v>
      </c>
      <c r="W34">
        <v>1132</v>
      </c>
      <c r="X34">
        <v>1099</v>
      </c>
      <c r="Y34">
        <v>2650</v>
      </c>
    </row>
    <row r="35" spans="1:25" x14ac:dyDescent="0.2">
      <c r="A35">
        <v>34</v>
      </c>
      <c r="B35">
        <v>0</v>
      </c>
      <c r="C35">
        <v>1654</v>
      </c>
      <c r="D35">
        <v>1944</v>
      </c>
      <c r="E35">
        <v>2675</v>
      </c>
      <c r="F35">
        <v>3678</v>
      </c>
      <c r="G35">
        <v>5039</v>
      </c>
      <c r="H35">
        <v>6888</v>
      </c>
      <c r="I35">
        <v>9380</v>
      </c>
      <c r="J35">
        <v>1340</v>
      </c>
      <c r="K35">
        <v>1944</v>
      </c>
      <c r="L35">
        <v>1340</v>
      </c>
      <c r="M35">
        <v>1000</v>
      </c>
      <c r="N35">
        <v>1170</v>
      </c>
      <c r="O35">
        <v>1340</v>
      </c>
      <c r="P35">
        <v>1510</v>
      </c>
      <c r="Q35">
        <v>1680</v>
      </c>
      <c r="R35">
        <v>1850</v>
      </c>
      <c r="S35">
        <v>2020</v>
      </c>
      <c r="T35">
        <v>2190</v>
      </c>
      <c r="U35">
        <v>2360</v>
      </c>
      <c r="V35">
        <v>1343</v>
      </c>
      <c r="W35">
        <v>1136</v>
      </c>
      <c r="X35">
        <v>1102</v>
      </c>
      <c r="Y35">
        <v>2700</v>
      </c>
    </row>
    <row r="36" spans="1:25" x14ac:dyDescent="0.2">
      <c r="A36">
        <v>35</v>
      </c>
      <c r="B36">
        <v>0</v>
      </c>
      <c r="C36">
        <v>1679</v>
      </c>
      <c r="D36">
        <v>1983</v>
      </c>
      <c r="E36">
        <v>2756</v>
      </c>
      <c r="F36">
        <v>3826</v>
      </c>
      <c r="G36">
        <v>5291</v>
      </c>
      <c r="H36">
        <v>7302</v>
      </c>
      <c r="I36">
        <v>10037</v>
      </c>
      <c r="J36">
        <v>1350</v>
      </c>
      <c r="K36">
        <v>1983</v>
      </c>
      <c r="L36">
        <v>1350</v>
      </c>
      <c r="M36">
        <v>1000</v>
      </c>
      <c r="N36">
        <v>1175</v>
      </c>
      <c r="O36">
        <v>1350</v>
      </c>
      <c r="P36">
        <v>1525</v>
      </c>
      <c r="Q36">
        <v>1700</v>
      </c>
      <c r="R36">
        <v>1875</v>
      </c>
      <c r="S36">
        <v>2050</v>
      </c>
      <c r="T36">
        <v>2225</v>
      </c>
      <c r="U36">
        <v>2400</v>
      </c>
      <c r="V36">
        <v>1354</v>
      </c>
      <c r="W36">
        <v>1140</v>
      </c>
      <c r="X36">
        <v>1105</v>
      </c>
      <c r="Y36">
        <v>2750</v>
      </c>
    </row>
    <row r="37" spans="1:25" x14ac:dyDescent="0.2">
      <c r="A37">
        <v>36</v>
      </c>
      <c r="B37">
        <v>0</v>
      </c>
      <c r="C37">
        <v>1705</v>
      </c>
      <c r="D37">
        <v>2023</v>
      </c>
      <c r="E37">
        <v>2839</v>
      </c>
      <c r="F37">
        <v>3980</v>
      </c>
      <c r="G37">
        <v>5556</v>
      </c>
      <c r="H37">
        <v>7741</v>
      </c>
      <c r="I37">
        <v>10740</v>
      </c>
      <c r="J37">
        <v>1360</v>
      </c>
      <c r="K37">
        <v>2023</v>
      </c>
      <c r="L37">
        <v>1360</v>
      </c>
      <c r="M37">
        <v>1000</v>
      </c>
      <c r="N37">
        <v>1180</v>
      </c>
      <c r="O37">
        <v>1360</v>
      </c>
      <c r="P37">
        <v>1540</v>
      </c>
      <c r="Q37">
        <v>1720</v>
      </c>
      <c r="R37">
        <v>1900</v>
      </c>
      <c r="S37">
        <v>2080</v>
      </c>
      <c r="T37">
        <v>2260</v>
      </c>
      <c r="U37">
        <v>2440</v>
      </c>
      <c r="V37">
        <v>1365</v>
      </c>
      <c r="W37">
        <v>1144</v>
      </c>
      <c r="X37">
        <v>1108</v>
      </c>
      <c r="Y37">
        <v>2800</v>
      </c>
    </row>
    <row r="38" spans="1:25" x14ac:dyDescent="0.2">
      <c r="A38">
        <v>37</v>
      </c>
      <c r="B38">
        <v>0</v>
      </c>
      <c r="C38">
        <v>1731</v>
      </c>
      <c r="D38">
        <v>2064</v>
      </c>
      <c r="E38">
        <v>2925</v>
      </c>
      <c r="F38">
        <v>4140</v>
      </c>
      <c r="G38">
        <v>5834</v>
      </c>
      <c r="H38">
        <v>8206</v>
      </c>
      <c r="I38">
        <v>11492</v>
      </c>
      <c r="J38">
        <v>1370</v>
      </c>
      <c r="K38">
        <v>2064</v>
      </c>
      <c r="L38">
        <v>1370</v>
      </c>
      <c r="M38">
        <v>1000</v>
      </c>
      <c r="N38">
        <v>1185</v>
      </c>
      <c r="O38">
        <v>1370</v>
      </c>
      <c r="P38">
        <v>1555</v>
      </c>
      <c r="Q38">
        <v>1740</v>
      </c>
      <c r="R38">
        <v>1925</v>
      </c>
      <c r="S38">
        <v>2110</v>
      </c>
      <c r="T38">
        <v>2295</v>
      </c>
      <c r="U38">
        <v>2480</v>
      </c>
      <c r="V38">
        <v>1376</v>
      </c>
      <c r="W38">
        <v>1148</v>
      </c>
      <c r="X38">
        <v>1111</v>
      </c>
      <c r="Y38">
        <v>2850</v>
      </c>
    </row>
    <row r="39" spans="1:25" x14ac:dyDescent="0.2">
      <c r="A39">
        <v>38</v>
      </c>
      <c r="B39">
        <v>0</v>
      </c>
      <c r="C39">
        <v>1757</v>
      </c>
      <c r="D39">
        <v>2106</v>
      </c>
      <c r="E39">
        <v>3013</v>
      </c>
      <c r="F39">
        <v>4306</v>
      </c>
      <c r="G39">
        <v>6126</v>
      </c>
      <c r="H39">
        <v>8699</v>
      </c>
      <c r="I39">
        <v>12297</v>
      </c>
      <c r="J39">
        <v>1380</v>
      </c>
      <c r="K39">
        <v>2106</v>
      </c>
      <c r="L39">
        <v>1380</v>
      </c>
      <c r="M39">
        <v>1000</v>
      </c>
      <c r="N39">
        <v>1190</v>
      </c>
      <c r="O39">
        <v>1380</v>
      </c>
      <c r="P39">
        <v>1570</v>
      </c>
      <c r="Q39">
        <v>1760</v>
      </c>
      <c r="R39">
        <v>1950</v>
      </c>
      <c r="S39">
        <v>2140</v>
      </c>
      <c r="T39">
        <v>2330</v>
      </c>
      <c r="U39">
        <v>2520</v>
      </c>
      <c r="V39">
        <v>1387</v>
      </c>
      <c r="W39">
        <v>1152</v>
      </c>
      <c r="X39">
        <v>1114</v>
      </c>
      <c r="Y39">
        <v>2900</v>
      </c>
    </row>
    <row r="40" spans="1:25" x14ac:dyDescent="0.2">
      <c r="A40">
        <v>39</v>
      </c>
      <c r="B40">
        <v>0</v>
      </c>
      <c r="C40">
        <v>1784</v>
      </c>
      <c r="D40">
        <v>2149</v>
      </c>
      <c r="E40">
        <v>3104</v>
      </c>
      <c r="F40">
        <v>4479</v>
      </c>
      <c r="G40">
        <v>6433</v>
      </c>
      <c r="H40">
        <v>9221</v>
      </c>
      <c r="I40">
        <v>13158</v>
      </c>
      <c r="J40">
        <v>1390</v>
      </c>
      <c r="K40">
        <v>2149</v>
      </c>
      <c r="L40">
        <v>1390</v>
      </c>
      <c r="M40">
        <v>1000</v>
      </c>
      <c r="N40">
        <v>1195</v>
      </c>
      <c r="O40">
        <v>1390</v>
      </c>
      <c r="P40">
        <v>1585</v>
      </c>
      <c r="Q40">
        <v>1780</v>
      </c>
      <c r="R40">
        <v>1975</v>
      </c>
      <c r="S40">
        <v>2170</v>
      </c>
      <c r="T40">
        <v>2365</v>
      </c>
      <c r="U40">
        <v>2560</v>
      </c>
      <c r="V40">
        <v>1398</v>
      </c>
      <c r="W40">
        <v>1156</v>
      </c>
      <c r="X40">
        <v>1117</v>
      </c>
      <c r="Y40">
        <v>2950</v>
      </c>
    </row>
    <row r="41" spans="1:25" x14ac:dyDescent="0.2">
      <c r="A41">
        <v>40</v>
      </c>
      <c r="B41">
        <v>0</v>
      </c>
      <c r="C41">
        <v>1811</v>
      </c>
      <c r="D41">
        <v>2192</v>
      </c>
      <c r="E41">
        <v>3198</v>
      </c>
      <c r="F41">
        <v>4659</v>
      </c>
      <c r="G41">
        <v>6755</v>
      </c>
      <c r="H41">
        <v>9775</v>
      </c>
      <c r="I41">
        <v>14080</v>
      </c>
      <c r="J41">
        <v>1400</v>
      </c>
      <c r="K41">
        <v>2192</v>
      </c>
      <c r="L41">
        <v>1400</v>
      </c>
      <c r="M41">
        <v>1000</v>
      </c>
      <c r="N41">
        <v>1200</v>
      </c>
      <c r="O41">
        <v>1400</v>
      </c>
      <c r="P41">
        <v>1600</v>
      </c>
      <c r="Q41">
        <v>1800</v>
      </c>
      <c r="R41">
        <v>2000</v>
      </c>
      <c r="S41">
        <v>2200</v>
      </c>
      <c r="T41">
        <v>2400</v>
      </c>
      <c r="U41">
        <v>2600</v>
      </c>
      <c r="V41">
        <v>1410</v>
      </c>
      <c r="W41">
        <v>1160</v>
      </c>
      <c r="X41">
        <v>1120</v>
      </c>
      <c r="Y41">
        <v>3000</v>
      </c>
    </row>
    <row r="42" spans="1:25" x14ac:dyDescent="0.2">
      <c r="A42">
        <v>41</v>
      </c>
      <c r="B42">
        <v>0</v>
      </c>
      <c r="C42">
        <v>1839</v>
      </c>
      <c r="D42">
        <v>2236</v>
      </c>
      <c r="E42">
        <v>3294</v>
      </c>
      <c r="F42">
        <v>4846</v>
      </c>
      <c r="G42">
        <v>7093</v>
      </c>
      <c r="H42">
        <v>10362</v>
      </c>
      <c r="I42">
        <v>15066</v>
      </c>
      <c r="J42">
        <v>1410</v>
      </c>
      <c r="K42">
        <v>2236</v>
      </c>
      <c r="L42">
        <v>1410</v>
      </c>
      <c r="M42">
        <v>1000</v>
      </c>
      <c r="N42">
        <v>1205</v>
      </c>
      <c r="O42">
        <v>1410</v>
      </c>
      <c r="P42">
        <v>1615</v>
      </c>
      <c r="Q42">
        <v>1820</v>
      </c>
      <c r="R42">
        <v>2025</v>
      </c>
      <c r="S42">
        <v>2230</v>
      </c>
      <c r="T42">
        <v>2435</v>
      </c>
      <c r="U42">
        <v>2640</v>
      </c>
      <c r="V42">
        <v>1422</v>
      </c>
      <c r="W42">
        <v>1164</v>
      </c>
      <c r="X42">
        <v>1123</v>
      </c>
      <c r="Y42">
        <v>3050</v>
      </c>
    </row>
    <row r="43" spans="1:25" x14ac:dyDescent="0.2">
      <c r="A43">
        <v>42</v>
      </c>
      <c r="B43">
        <v>0</v>
      </c>
      <c r="C43">
        <v>1867</v>
      </c>
      <c r="D43">
        <v>2281</v>
      </c>
      <c r="E43">
        <v>3393</v>
      </c>
      <c r="F43">
        <v>5040</v>
      </c>
      <c r="G43">
        <v>7448</v>
      </c>
      <c r="H43">
        <v>10984</v>
      </c>
      <c r="I43">
        <v>16121</v>
      </c>
      <c r="J43">
        <v>1420</v>
      </c>
      <c r="K43">
        <v>2281</v>
      </c>
      <c r="L43">
        <v>1420</v>
      </c>
      <c r="M43">
        <v>1000</v>
      </c>
      <c r="N43">
        <v>1210</v>
      </c>
      <c r="O43">
        <v>1420</v>
      </c>
      <c r="P43">
        <v>1630</v>
      </c>
      <c r="Q43">
        <v>1840</v>
      </c>
      <c r="R43">
        <v>2050</v>
      </c>
      <c r="S43">
        <v>2260</v>
      </c>
      <c r="T43">
        <v>2470</v>
      </c>
      <c r="U43">
        <v>2680</v>
      </c>
      <c r="V43">
        <v>1434</v>
      </c>
      <c r="W43">
        <v>1168</v>
      </c>
      <c r="X43">
        <v>1126</v>
      </c>
      <c r="Y43">
        <v>3100</v>
      </c>
    </row>
    <row r="44" spans="1:25" x14ac:dyDescent="0.2">
      <c r="A44">
        <v>43</v>
      </c>
      <c r="B44">
        <v>0</v>
      </c>
      <c r="C44">
        <v>1896</v>
      </c>
      <c r="D44">
        <v>2327</v>
      </c>
      <c r="E44">
        <v>3495</v>
      </c>
      <c r="F44">
        <v>5242</v>
      </c>
      <c r="G44">
        <v>7821</v>
      </c>
      <c r="H44">
        <v>11644</v>
      </c>
      <c r="I44">
        <v>17250</v>
      </c>
      <c r="J44">
        <v>1430</v>
      </c>
      <c r="K44">
        <v>2327</v>
      </c>
      <c r="L44">
        <v>1430</v>
      </c>
      <c r="M44">
        <v>1000</v>
      </c>
      <c r="N44">
        <v>1215</v>
      </c>
      <c r="O44">
        <v>1430</v>
      </c>
      <c r="P44">
        <v>1645</v>
      </c>
      <c r="Q44">
        <v>1860</v>
      </c>
      <c r="R44">
        <v>2075</v>
      </c>
      <c r="S44">
        <v>2290</v>
      </c>
      <c r="T44">
        <v>2505</v>
      </c>
      <c r="U44">
        <v>2720</v>
      </c>
      <c r="V44">
        <v>1446</v>
      </c>
      <c r="W44">
        <v>1172</v>
      </c>
      <c r="X44">
        <v>1129</v>
      </c>
      <c r="Y44">
        <v>3150</v>
      </c>
    </row>
    <row r="45" spans="1:25" x14ac:dyDescent="0.2">
      <c r="A45">
        <v>44</v>
      </c>
      <c r="B45">
        <v>0</v>
      </c>
      <c r="C45">
        <v>1925</v>
      </c>
      <c r="D45">
        <v>2374</v>
      </c>
      <c r="E45">
        <v>3600</v>
      </c>
      <c r="F45">
        <v>5452</v>
      </c>
      <c r="G45">
        <v>8213</v>
      </c>
      <c r="H45">
        <v>12343</v>
      </c>
      <c r="I45">
        <v>18458</v>
      </c>
      <c r="J45">
        <v>1440</v>
      </c>
      <c r="K45">
        <v>2374</v>
      </c>
      <c r="L45">
        <v>1440</v>
      </c>
      <c r="M45">
        <v>1000</v>
      </c>
      <c r="N45">
        <v>1220</v>
      </c>
      <c r="O45">
        <v>1440</v>
      </c>
      <c r="P45">
        <v>1660</v>
      </c>
      <c r="Q45">
        <v>1880</v>
      </c>
      <c r="R45">
        <v>2100</v>
      </c>
      <c r="S45">
        <v>2320</v>
      </c>
      <c r="T45">
        <v>2540</v>
      </c>
      <c r="U45">
        <v>2760</v>
      </c>
      <c r="V45">
        <v>1458</v>
      </c>
      <c r="W45">
        <v>1176</v>
      </c>
      <c r="X45">
        <v>1132</v>
      </c>
      <c r="Y45">
        <v>3200</v>
      </c>
    </row>
    <row r="46" spans="1:25" x14ac:dyDescent="0.2">
      <c r="A46">
        <v>45</v>
      </c>
      <c r="B46">
        <v>0</v>
      </c>
      <c r="C46">
        <v>1954</v>
      </c>
      <c r="D46">
        <v>2422</v>
      </c>
      <c r="E46">
        <v>3708</v>
      </c>
      <c r="F46">
        <v>5671</v>
      </c>
      <c r="G46">
        <v>8624</v>
      </c>
      <c r="H46">
        <v>13084</v>
      </c>
      <c r="I46">
        <v>19751</v>
      </c>
      <c r="J46">
        <v>1450</v>
      </c>
      <c r="K46">
        <v>2422</v>
      </c>
      <c r="L46">
        <v>1450</v>
      </c>
      <c r="M46">
        <v>1000</v>
      </c>
      <c r="N46">
        <v>1225</v>
      </c>
      <c r="O46">
        <v>1450</v>
      </c>
      <c r="P46">
        <v>1675</v>
      </c>
      <c r="Q46">
        <v>1900</v>
      </c>
      <c r="R46">
        <v>2125</v>
      </c>
      <c r="S46">
        <v>2350</v>
      </c>
      <c r="T46">
        <v>2575</v>
      </c>
      <c r="U46">
        <v>2800</v>
      </c>
      <c r="V46">
        <v>1470</v>
      </c>
      <c r="W46">
        <v>1180</v>
      </c>
      <c r="X46">
        <v>1135</v>
      </c>
      <c r="Y46">
        <v>3250</v>
      </c>
    </row>
    <row r="47" spans="1:25" x14ac:dyDescent="0.2">
      <c r="A47">
        <v>46</v>
      </c>
      <c r="B47">
        <v>0</v>
      </c>
      <c r="C47">
        <v>1984</v>
      </c>
      <c r="D47">
        <v>2471</v>
      </c>
      <c r="E47">
        <v>3820</v>
      </c>
      <c r="F47">
        <v>5898</v>
      </c>
      <c r="G47">
        <v>9056</v>
      </c>
      <c r="H47">
        <v>13870</v>
      </c>
      <c r="I47">
        <v>21134</v>
      </c>
      <c r="J47">
        <v>1460</v>
      </c>
      <c r="K47">
        <v>2471</v>
      </c>
      <c r="L47">
        <v>1460</v>
      </c>
      <c r="M47">
        <v>1000</v>
      </c>
      <c r="N47">
        <v>1230</v>
      </c>
      <c r="O47">
        <v>1460</v>
      </c>
      <c r="P47">
        <v>1690</v>
      </c>
      <c r="Q47">
        <v>1920</v>
      </c>
      <c r="R47">
        <v>2150</v>
      </c>
      <c r="S47">
        <v>2380</v>
      </c>
      <c r="T47">
        <v>2610</v>
      </c>
      <c r="U47">
        <v>2840</v>
      </c>
      <c r="V47">
        <v>1482</v>
      </c>
      <c r="W47">
        <v>1184</v>
      </c>
      <c r="X47">
        <v>1138</v>
      </c>
      <c r="Y47">
        <v>3300</v>
      </c>
    </row>
    <row r="48" spans="1:25" x14ac:dyDescent="0.2">
      <c r="A48">
        <v>47</v>
      </c>
      <c r="B48">
        <v>0</v>
      </c>
      <c r="C48">
        <v>2014</v>
      </c>
      <c r="D48">
        <v>2521</v>
      </c>
      <c r="E48">
        <v>3935</v>
      </c>
      <c r="F48">
        <v>6134</v>
      </c>
      <c r="G48">
        <v>9509</v>
      </c>
      <c r="H48">
        <v>14703</v>
      </c>
      <c r="I48">
        <v>22614</v>
      </c>
      <c r="J48">
        <v>1470</v>
      </c>
      <c r="K48">
        <v>2521</v>
      </c>
      <c r="L48">
        <v>1470</v>
      </c>
      <c r="M48">
        <v>1000</v>
      </c>
      <c r="N48">
        <v>1235</v>
      </c>
      <c r="O48">
        <v>1470</v>
      </c>
      <c r="P48">
        <v>1705</v>
      </c>
      <c r="Q48">
        <v>1940</v>
      </c>
      <c r="R48">
        <v>2175</v>
      </c>
      <c r="S48">
        <v>2410</v>
      </c>
      <c r="T48">
        <v>2645</v>
      </c>
      <c r="U48">
        <v>2880</v>
      </c>
      <c r="V48">
        <v>1494</v>
      </c>
      <c r="W48">
        <v>1188</v>
      </c>
      <c r="X48">
        <v>1141</v>
      </c>
      <c r="Y48">
        <v>3350</v>
      </c>
    </row>
    <row r="49" spans="1:25" x14ac:dyDescent="0.2">
      <c r="A49">
        <v>48</v>
      </c>
      <c r="B49">
        <v>0</v>
      </c>
      <c r="C49">
        <v>2045</v>
      </c>
      <c r="D49">
        <v>2572</v>
      </c>
      <c r="E49">
        <v>4054</v>
      </c>
      <c r="F49">
        <v>6380</v>
      </c>
      <c r="G49">
        <v>9985</v>
      </c>
      <c r="H49">
        <v>15586</v>
      </c>
      <c r="I49">
        <v>24197</v>
      </c>
      <c r="J49">
        <v>1480</v>
      </c>
      <c r="K49">
        <v>2572</v>
      </c>
      <c r="L49">
        <v>1480</v>
      </c>
      <c r="M49">
        <v>1000</v>
      </c>
      <c r="N49">
        <v>1240</v>
      </c>
      <c r="O49">
        <v>1480</v>
      </c>
      <c r="P49">
        <v>1720</v>
      </c>
      <c r="Q49">
        <v>1960</v>
      </c>
      <c r="R49">
        <v>2200</v>
      </c>
      <c r="S49">
        <v>2440</v>
      </c>
      <c r="T49">
        <v>2680</v>
      </c>
      <c r="U49">
        <v>2920</v>
      </c>
      <c r="V49">
        <v>1506</v>
      </c>
      <c r="W49">
        <v>1192</v>
      </c>
      <c r="X49">
        <v>1144</v>
      </c>
      <c r="Y49">
        <v>3400</v>
      </c>
    </row>
    <row r="50" spans="1:25" x14ac:dyDescent="0.2">
      <c r="A50">
        <v>49</v>
      </c>
      <c r="B50">
        <v>0</v>
      </c>
      <c r="C50">
        <v>2076</v>
      </c>
      <c r="D50">
        <v>2624</v>
      </c>
      <c r="E50">
        <v>4176</v>
      </c>
      <c r="F50">
        <v>6636</v>
      </c>
      <c r="G50">
        <v>10485</v>
      </c>
      <c r="H50">
        <v>16522</v>
      </c>
      <c r="I50">
        <v>25891</v>
      </c>
      <c r="J50">
        <v>1490</v>
      </c>
      <c r="K50">
        <v>2624</v>
      </c>
      <c r="L50">
        <v>1490</v>
      </c>
      <c r="M50">
        <v>1000</v>
      </c>
      <c r="N50">
        <v>1245</v>
      </c>
      <c r="O50">
        <v>1490</v>
      </c>
      <c r="P50">
        <v>1735</v>
      </c>
      <c r="Q50">
        <v>1980</v>
      </c>
      <c r="R50">
        <v>2225</v>
      </c>
      <c r="S50">
        <v>2470</v>
      </c>
      <c r="T50">
        <v>2715</v>
      </c>
      <c r="U50">
        <v>2960</v>
      </c>
      <c r="V50">
        <v>1518</v>
      </c>
      <c r="W50">
        <v>1196</v>
      </c>
      <c r="X50">
        <v>1147</v>
      </c>
      <c r="Y50">
        <v>3450</v>
      </c>
    </row>
    <row r="51" spans="1:25" x14ac:dyDescent="0.2">
      <c r="A51">
        <v>50</v>
      </c>
      <c r="B51">
        <v>0</v>
      </c>
      <c r="C51">
        <v>2108</v>
      </c>
      <c r="D51">
        <v>2677</v>
      </c>
      <c r="E51">
        <v>4302</v>
      </c>
      <c r="F51">
        <v>6902</v>
      </c>
      <c r="G51">
        <v>11010</v>
      </c>
      <c r="H51">
        <v>17514</v>
      </c>
      <c r="I51">
        <v>27704</v>
      </c>
      <c r="J51">
        <v>1500</v>
      </c>
      <c r="K51">
        <v>2677</v>
      </c>
      <c r="L51">
        <v>1500</v>
      </c>
      <c r="M51">
        <v>1000</v>
      </c>
      <c r="N51">
        <v>1250</v>
      </c>
      <c r="O51">
        <v>1500</v>
      </c>
      <c r="P51">
        <v>1750</v>
      </c>
      <c r="Q51">
        <v>2000</v>
      </c>
      <c r="R51">
        <v>2250</v>
      </c>
      <c r="S51">
        <v>2500</v>
      </c>
      <c r="T51">
        <v>2750</v>
      </c>
      <c r="U51">
        <v>3000</v>
      </c>
      <c r="V51">
        <v>1530</v>
      </c>
      <c r="W51">
        <v>1200</v>
      </c>
      <c r="X51">
        <v>1150</v>
      </c>
      <c r="Y51">
        <v>3500</v>
      </c>
    </row>
    <row r="52" spans="1:25" x14ac:dyDescent="0.2">
      <c r="A52">
        <v>51</v>
      </c>
      <c r="B52">
        <v>0</v>
      </c>
      <c r="C52">
        <v>2140</v>
      </c>
      <c r="D52">
        <v>2731</v>
      </c>
      <c r="E52">
        <v>4432</v>
      </c>
      <c r="F52">
        <v>7179</v>
      </c>
      <c r="G52">
        <v>11561</v>
      </c>
      <c r="H52">
        <v>18565</v>
      </c>
      <c r="I52">
        <v>29644</v>
      </c>
      <c r="J52">
        <v>1510</v>
      </c>
      <c r="K52">
        <v>2731</v>
      </c>
      <c r="L52">
        <v>1510</v>
      </c>
      <c r="M52">
        <v>1000</v>
      </c>
      <c r="N52">
        <v>1255</v>
      </c>
      <c r="O52">
        <v>1510</v>
      </c>
      <c r="P52">
        <v>1765</v>
      </c>
      <c r="Q52">
        <v>2020</v>
      </c>
      <c r="R52">
        <v>2275</v>
      </c>
      <c r="S52">
        <v>2530</v>
      </c>
      <c r="T52">
        <v>2785</v>
      </c>
      <c r="U52">
        <v>3040</v>
      </c>
      <c r="V52">
        <v>1542</v>
      </c>
      <c r="W52">
        <v>1204</v>
      </c>
      <c r="X52">
        <v>1153</v>
      </c>
      <c r="Y52">
        <v>3550</v>
      </c>
    </row>
    <row r="53" spans="1:25" x14ac:dyDescent="0.2">
      <c r="A53">
        <v>52</v>
      </c>
      <c r="B53">
        <v>0</v>
      </c>
      <c r="C53">
        <v>2173</v>
      </c>
      <c r="D53">
        <v>2786</v>
      </c>
      <c r="E53">
        <v>4565</v>
      </c>
      <c r="F53">
        <v>7467</v>
      </c>
      <c r="G53">
        <v>12140</v>
      </c>
      <c r="H53">
        <v>19679</v>
      </c>
      <c r="I53">
        <v>31720</v>
      </c>
      <c r="J53">
        <v>1520</v>
      </c>
      <c r="K53">
        <v>2786</v>
      </c>
      <c r="L53">
        <v>1520</v>
      </c>
      <c r="M53">
        <v>1000</v>
      </c>
      <c r="N53">
        <v>1260</v>
      </c>
      <c r="O53">
        <v>1520</v>
      </c>
      <c r="P53">
        <v>1780</v>
      </c>
      <c r="Q53">
        <v>2040</v>
      </c>
      <c r="R53">
        <v>2300</v>
      </c>
      <c r="S53">
        <v>2560</v>
      </c>
      <c r="T53">
        <v>2820</v>
      </c>
      <c r="U53">
        <v>3080</v>
      </c>
      <c r="V53">
        <v>1554</v>
      </c>
      <c r="W53">
        <v>1208</v>
      </c>
      <c r="X53">
        <v>1156</v>
      </c>
      <c r="Y53">
        <v>3600</v>
      </c>
    </row>
    <row r="54" spans="1:25" x14ac:dyDescent="0.2">
      <c r="A54">
        <v>53</v>
      </c>
      <c r="B54">
        <v>0</v>
      </c>
      <c r="C54">
        <v>2206</v>
      </c>
      <c r="D54">
        <v>2842</v>
      </c>
      <c r="E54">
        <v>4702</v>
      </c>
      <c r="F54">
        <v>7766</v>
      </c>
      <c r="G54">
        <v>12747</v>
      </c>
      <c r="H54">
        <v>20860</v>
      </c>
      <c r="I54">
        <v>33941</v>
      </c>
      <c r="J54">
        <v>1530</v>
      </c>
      <c r="K54">
        <v>2842</v>
      </c>
      <c r="L54">
        <v>1530</v>
      </c>
      <c r="M54">
        <v>1000</v>
      </c>
      <c r="N54">
        <v>1265</v>
      </c>
      <c r="O54">
        <v>1530</v>
      </c>
      <c r="P54">
        <v>1795</v>
      </c>
      <c r="Q54">
        <v>2060</v>
      </c>
      <c r="R54">
        <v>2325</v>
      </c>
      <c r="S54">
        <v>2590</v>
      </c>
      <c r="T54">
        <v>2855</v>
      </c>
      <c r="U54">
        <v>3120</v>
      </c>
      <c r="V54">
        <v>1566</v>
      </c>
      <c r="W54">
        <v>1212</v>
      </c>
      <c r="X54">
        <v>1159</v>
      </c>
      <c r="Y54">
        <v>3650</v>
      </c>
    </row>
    <row r="55" spans="1:25" x14ac:dyDescent="0.2">
      <c r="A55">
        <v>54</v>
      </c>
      <c r="B55">
        <v>0</v>
      </c>
      <c r="C55">
        <v>2240</v>
      </c>
      <c r="D55">
        <v>2899</v>
      </c>
      <c r="E55">
        <v>4844</v>
      </c>
      <c r="F55">
        <v>8077</v>
      </c>
      <c r="G55">
        <v>13385</v>
      </c>
      <c r="H55">
        <v>22112</v>
      </c>
      <c r="I55">
        <v>36317</v>
      </c>
      <c r="J55">
        <v>1540</v>
      </c>
      <c r="K55">
        <v>2899</v>
      </c>
      <c r="L55">
        <v>1540</v>
      </c>
      <c r="M55">
        <v>1000</v>
      </c>
      <c r="N55">
        <v>1270</v>
      </c>
      <c r="O55">
        <v>1540</v>
      </c>
      <c r="P55">
        <v>1810</v>
      </c>
      <c r="Q55">
        <v>2080</v>
      </c>
      <c r="R55">
        <v>2350</v>
      </c>
      <c r="S55">
        <v>2620</v>
      </c>
      <c r="T55">
        <v>2890</v>
      </c>
      <c r="U55">
        <v>3160</v>
      </c>
      <c r="V55">
        <v>1578</v>
      </c>
      <c r="W55">
        <v>1216</v>
      </c>
      <c r="X55">
        <v>1162</v>
      </c>
      <c r="Y55">
        <v>3700</v>
      </c>
    </row>
    <row r="56" spans="1:25" x14ac:dyDescent="0.2">
      <c r="A56">
        <v>55</v>
      </c>
      <c r="B56">
        <v>0</v>
      </c>
      <c r="C56">
        <v>2274</v>
      </c>
      <c r="D56">
        <v>2957</v>
      </c>
      <c r="E56">
        <v>4990</v>
      </c>
      <c r="F56">
        <v>8401</v>
      </c>
      <c r="G56">
        <v>14055</v>
      </c>
      <c r="H56">
        <v>23439</v>
      </c>
      <c r="I56">
        <v>38860</v>
      </c>
      <c r="J56">
        <v>1550</v>
      </c>
      <c r="K56">
        <v>2957</v>
      </c>
      <c r="L56">
        <v>1550</v>
      </c>
      <c r="M56">
        <v>1000</v>
      </c>
      <c r="N56">
        <v>1275</v>
      </c>
      <c r="O56">
        <v>1550</v>
      </c>
      <c r="P56">
        <v>1825</v>
      </c>
      <c r="Q56">
        <v>2100</v>
      </c>
      <c r="R56">
        <v>2375</v>
      </c>
      <c r="S56">
        <v>2650</v>
      </c>
      <c r="T56">
        <v>2925</v>
      </c>
      <c r="U56">
        <v>3200</v>
      </c>
      <c r="V56">
        <v>1590</v>
      </c>
      <c r="W56">
        <v>1220</v>
      </c>
      <c r="X56">
        <v>1165</v>
      </c>
      <c r="Y56">
        <v>3750</v>
      </c>
    </row>
    <row r="57" spans="1:25" x14ac:dyDescent="0.2">
      <c r="A57">
        <v>56</v>
      </c>
      <c r="B57">
        <v>0</v>
      </c>
      <c r="C57">
        <v>2309</v>
      </c>
      <c r="D57">
        <v>3017</v>
      </c>
      <c r="E57">
        <v>5140</v>
      </c>
      <c r="F57">
        <v>8738</v>
      </c>
      <c r="G57">
        <v>14758</v>
      </c>
      <c r="H57">
        <v>24846</v>
      </c>
      <c r="I57">
        <v>41581</v>
      </c>
      <c r="J57">
        <v>1560</v>
      </c>
      <c r="K57">
        <v>3017</v>
      </c>
      <c r="L57">
        <v>1560</v>
      </c>
      <c r="M57">
        <v>1000</v>
      </c>
      <c r="N57">
        <v>1280</v>
      </c>
      <c r="O57">
        <v>1560</v>
      </c>
      <c r="P57">
        <v>1840</v>
      </c>
      <c r="Q57">
        <v>2120</v>
      </c>
      <c r="R57">
        <v>2400</v>
      </c>
      <c r="S57">
        <v>2680</v>
      </c>
      <c r="T57">
        <v>2960</v>
      </c>
      <c r="U57">
        <v>3240</v>
      </c>
      <c r="V57">
        <v>1602</v>
      </c>
      <c r="W57">
        <v>1224</v>
      </c>
      <c r="X57">
        <v>1168</v>
      </c>
      <c r="Y57">
        <v>3800</v>
      </c>
    </row>
    <row r="58" spans="1:25" x14ac:dyDescent="0.2">
      <c r="A58">
        <v>57</v>
      </c>
      <c r="B58">
        <v>0</v>
      </c>
      <c r="C58">
        <v>2344</v>
      </c>
      <c r="D58">
        <v>3078</v>
      </c>
      <c r="E58">
        <v>5295</v>
      </c>
      <c r="F58">
        <v>9088</v>
      </c>
      <c r="G58">
        <v>15496</v>
      </c>
      <c r="H58">
        <v>26337</v>
      </c>
      <c r="I58">
        <v>44492</v>
      </c>
      <c r="J58">
        <v>1570</v>
      </c>
      <c r="K58">
        <v>3078</v>
      </c>
      <c r="L58">
        <v>1570</v>
      </c>
      <c r="M58">
        <v>1000</v>
      </c>
      <c r="N58">
        <v>1285</v>
      </c>
      <c r="O58">
        <v>1570</v>
      </c>
      <c r="P58">
        <v>1855</v>
      </c>
      <c r="Q58">
        <v>2140</v>
      </c>
      <c r="R58">
        <v>2425</v>
      </c>
      <c r="S58">
        <v>2710</v>
      </c>
      <c r="T58">
        <v>2995</v>
      </c>
      <c r="U58">
        <v>3280</v>
      </c>
      <c r="V58">
        <v>1615</v>
      </c>
      <c r="W58">
        <v>1228</v>
      </c>
      <c r="X58">
        <v>1171</v>
      </c>
      <c r="Y58">
        <v>3850</v>
      </c>
    </row>
    <row r="59" spans="1:25" x14ac:dyDescent="0.2">
      <c r="A59">
        <v>58</v>
      </c>
      <c r="B59">
        <v>0</v>
      </c>
      <c r="C59">
        <v>2380</v>
      </c>
      <c r="D59">
        <v>3140</v>
      </c>
      <c r="E59">
        <v>5454</v>
      </c>
      <c r="F59">
        <v>9452</v>
      </c>
      <c r="G59">
        <v>16271</v>
      </c>
      <c r="H59">
        <v>27918</v>
      </c>
      <c r="I59">
        <v>47607</v>
      </c>
      <c r="J59">
        <v>1580</v>
      </c>
      <c r="K59">
        <v>3140</v>
      </c>
      <c r="L59">
        <v>1580</v>
      </c>
      <c r="M59">
        <v>1000</v>
      </c>
      <c r="N59">
        <v>1290</v>
      </c>
      <c r="O59">
        <v>1580</v>
      </c>
      <c r="P59">
        <v>1870</v>
      </c>
      <c r="Q59">
        <v>2160</v>
      </c>
      <c r="R59">
        <v>2450</v>
      </c>
      <c r="S59">
        <v>2740</v>
      </c>
      <c r="T59">
        <v>3030</v>
      </c>
      <c r="U59">
        <v>3320</v>
      </c>
      <c r="V59">
        <v>1628</v>
      </c>
      <c r="W59">
        <v>1232</v>
      </c>
      <c r="X59">
        <v>1174</v>
      </c>
      <c r="Y59">
        <v>3900</v>
      </c>
    </row>
    <row r="60" spans="1:25" x14ac:dyDescent="0.2">
      <c r="A60">
        <v>59</v>
      </c>
      <c r="B60">
        <v>0</v>
      </c>
      <c r="C60">
        <v>2416</v>
      </c>
      <c r="D60">
        <v>3203</v>
      </c>
      <c r="E60">
        <v>5618</v>
      </c>
      <c r="F60">
        <v>9831</v>
      </c>
      <c r="G60">
        <v>17085</v>
      </c>
      <c r="H60">
        <v>29594</v>
      </c>
      <c r="I60">
        <v>50940</v>
      </c>
      <c r="J60">
        <v>1590</v>
      </c>
      <c r="K60">
        <v>3203</v>
      </c>
      <c r="L60">
        <v>1590</v>
      </c>
      <c r="M60">
        <v>1000</v>
      </c>
      <c r="N60">
        <v>1295</v>
      </c>
      <c r="O60">
        <v>1590</v>
      </c>
      <c r="P60">
        <v>1885</v>
      </c>
      <c r="Q60">
        <v>2180</v>
      </c>
      <c r="R60">
        <v>2475</v>
      </c>
      <c r="S60">
        <v>2770</v>
      </c>
      <c r="T60">
        <v>3065</v>
      </c>
      <c r="U60">
        <v>3360</v>
      </c>
      <c r="V60">
        <v>1641</v>
      </c>
      <c r="W60">
        <v>1236</v>
      </c>
      <c r="X60">
        <v>1177</v>
      </c>
      <c r="Y60">
        <v>3950</v>
      </c>
    </row>
    <row r="61" spans="1:25" x14ac:dyDescent="0.2">
      <c r="A61">
        <v>60</v>
      </c>
      <c r="B61">
        <v>0</v>
      </c>
      <c r="C61">
        <v>2453</v>
      </c>
      <c r="D61">
        <v>3268</v>
      </c>
      <c r="E61">
        <v>5787</v>
      </c>
      <c r="F61">
        <v>10225</v>
      </c>
      <c r="G61">
        <v>17940</v>
      </c>
      <c r="H61">
        <v>31370</v>
      </c>
      <c r="I61">
        <v>54506</v>
      </c>
      <c r="J61">
        <v>1600</v>
      </c>
      <c r="K61">
        <v>3268</v>
      </c>
      <c r="L61">
        <v>1600</v>
      </c>
      <c r="M61">
        <v>1000</v>
      </c>
      <c r="N61">
        <v>1300</v>
      </c>
      <c r="O61">
        <v>1600</v>
      </c>
      <c r="P61">
        <v>1900</v>
      </c>
      <c r="Q61">
        <v>2200</v>
      </c>
      <c r="R61">
        <v>2500</v>
      </c>
      <c r="S61">
        <v>2800</v>
      </c>
      <c r="T61">
        <v>3100</v>
      </c>
      <c r="U61">
        <v>3400</v>
      </c>
      <c r="V61">
        <v>1654</v>
      </c>
      <c r="W61">
        <v>1240</v>
      </c>
      <c r="X61">
        <v>1180</v>
      </c>
      <c r="Y61">
        <v>4000</v>
      </c>
    </row>
    <row r="62" spans="1:25" x14ac:dyDescent="0.2">
      <c r="A62">
        <v>61</v>
      </c>
      <c r="B62">
        <v>0</v>
      </c>
      <c r="C62">
        <v>2490</v>
      </c>
      <c r="D62">
        <v>3334</v>
      </c>
      <c r="E62">
        <v>5961</v>
      </c>
      <c r="F62">
        <v>10634</v>
      </c>
      <c r="G62">
        <v>18837</v>
      </c>
      <c r="H62">
        <v>33253</v>
      </c>
      <c r="I62">
        <v>58322</v>
      </c>
      <c r="J62">
        <v>1610</v>
      </c>
      <c r="K62">
        <v>3334</v>
      </c>
      <c r="L62">
        <v>1610</v>
      </c>
      <c r="M62">
        <v>1000</v>
      </c>
      <c r="N62">
        <v>1305</v>
      </c>
      <c r="O62">
        <v>1610</v>
      </c>
      <c r="P62">
        <v>1915</v>
      </c>
      <c r="Q62">
        <v>2220</v>
      </c>
      <c r="R62">
        <v>2525</v>
      </c>
      <c r="S62">
        <v>2830</v>
      </c>
      <c r="T62">
        <v>3135</v>
      </c>
      <c r="U62">
        <v>3440</v>
      </c>
      <c r="V62">
        <v>1667</v>
      </c>
      <c r="W62">
        <v>1244</v>
      </c>
      <c r="X62">
        <v>1183</v>
      </c>
      <c r="Y62">
        <v>4050</v>
      </c>
    </row>
    <row r="63" spans="1:25" x14ac:dyDescent="0.2">
      <c r="A63">
        <v>62</v>
      </c>
      <c r="B63">
        <v>0</v>
      </c>
      <c r="C63">
        <v>2528</v>
      </c>
      <c r="D63">
        <v>3401</v>
      </c>
      <c r="E63">
        <v>6140</v>
      </c>
      <c r="F63">
        <v>11060</v>
      </c>
      <c r="G63">
        <v>19779</v>
      </c>
      <c r="H63">
        <v>35249</v>
      </c>
      <c r="I63">
        <v>62405</v>
      </c>
      <c r="J63">
        <v>1620</v>
      </c>
      <c r="K63">
        <v>3401</v>
      </c>
      <c r="L63">
        <v>1620</v>
      </c>
      <c r="M63">
        <v>1000</v>
      </c>
      <c r="N63">
        <v>1310</v>
      </c>
      <c r="O63">
        <v>1620</v>
      </c>
      <c r="P63">
        <v>1930</v>
      </c>
      <c r="Q63">
        <v>2240</v>
      </c>
      <c r="R63">
        <v>2550</v>
      </c>
      <c r="S63">
        <v>2860</v>
      </c>
      <c r="T63">
        <v>3170</v>
      </c>
      <c r="U63">
        <v>3480</v>
      </c>
      <c r="V63">
        <v>1680</v>
      </c>
      <c r="W63">
        <v>1248</v>
      </c>
      <c r="X63">
        <v>1186</v>
      </c>
      <c r="Y63">
        <v>4100</v>
      </c>
    </row>
    <row r="64" spans="1:25" x14ac:dyDescent="0.2">
      <c r="A64">
        <v>63</v>
      </c>
      <c r="B64">
        <v>0</v>
      </c>
      <c r="C64">
        <v>2566</v>
      </c>
      <c r="D64">
        <v>3470</v>
      </c>
      <c r="E64">
        <v>6325</v>
      </c>
      <c r="F64">
        <v>11503</v>
      </c>
      <c r="G64">
        <v>20768</v>
      </c>
      <c r="H64">
        <v>37364</v>
      </c>
      <c r="I64">
        <v>66774</v>
      </c>
      <c r="J64">
        <v>1630</v>
      </c>
      <c r="K64">
        <v>3470</v>
      </c>
      <c r="L64">
        <v>1630</v>
      </c>
      <c r="M64">
        <v>1000</v>
      </c>
      <c r="N64">
        <v>1315</v>
      </c>
      <c r="O64">
        <v>1630</v>
      </c>
      <c r="P64">
        <v>1945</v>
      </c>
      <c r="Q64">
        <v>2260</v>
      </c>
      <c r="R64">
        <v>2575</v>
      </c>
      <c r="S64">
        <v>2890</v>
      </c>
      <c r="T64">
        <v>3205</v>
      </c>
      <c r="U64">
        <v>3520</v>
      </c>
      <c r="V64">
        <v>1693</v>
      </c>
      <c r="W64">
        <v>1252</v>
      </c>
      <c r="X64">
        <v>1189</v>
      </c>
      <c r="Y64">
        <v>4150</v>
      </c>
    </row>
    <row r="65" spans="1:25" x14ac:dyDescent="0.2">
      <c r="A65">
        <v>64</v>
      </c>
      <c r="B65">
        <v>0</v>
      </c>
      <c r="C65">
        <v>2605</v>
      </c>
      <c r="D65">
        <v>3540</v>
      </c>
      <c r="E65">
        <v>6515</v>
      </c>
      <c r="F65">
        <v>11964</v>
      </c>
      <c r="G65">
        <v>21807</v>
      </c>
      <c r="H65">
        <v>39606</v>
      </c>
      <c r="I65">
        <v>71449</v>
      </c>
      <c r="J65">
        <v>1640</v>
      </c>
      <c r="K65">
        <v>3540</v>
      </c>
      <c r="L65">
        <v>1640</v>
      </c>
      <c r="M65">
        <v>1000</v>
      </c>
      <c r="N65">
        <v>1320</v>
      </c>
      <c r="O65">
        <v>1640</v>
      </c>
      <c r="P65">
        <v>1960</v>
      </c>
      <c r="Q65">
        <v>2280</v>
      </c>
      <c r="R65">
        <v>2600</v>
      </c>
      <c r="S65">
        <v>2920</v>
      </c>
      <c r="T65">
        <v>3240</v>
      </c>
      <c r="U65">
        <v>3560</v>
      </c>
      <c r="V65">
        <v>1706</v>
      </c>
      <c r="W65">
        <v>1256</v>
      </c>
      <c r="X65">
        <v>1192</v>
      </c>
      <c r="Y65">
        <v>4200</v>
      </c>
    </row>
    <row r="66" spans="1:25" x14ac:dyDescent="0.2">
      <c r="A66">
        <v>65</v>
      </c>
      <c r="B66">
        <v>0</v>
      </c>
      <c r="C66">
        <v>2645</v>
      </c>
      <c r="D66">
        <v>3611</v>
      </c>
      <c r="E66">
        <v>6711</v>
      </c>
      <c r="F66">
        <v>12443</v>
      </c>
      <c r="G66">
        <v>22898</v>
      </c>
      <c r="H66">
        <v>41983</v>
      </c>
      <c r="I66">
        <v>76451</v>
      </c>
      <c r="J66">
        <v>1650</v>
      </c>
      <c r="K66">
        <v>3611</v>
      </c>
      <c r="L66">
        <v>1650</v>
      </c>
      <c r="M66">
        <v>1000</v>
      </c>
      <c r="N66">
        <v>1325</v>
      </c>
      <c r="O66">
        <v>1650</v>
      </c>
      <c r="P66">
        <v>1975</v>
      </c>
      <c r="Q66">
        <v>2300</v>
      </c>
      <c r="R66">
        <v>2625</v>
      </c>
      <c r="S66">
        <v>2950</v>
      </c>
      <c r="T66">
        <v>3275</v>
      </c>
      <c r="U66">
        <v>3600</v>
      </c>
      <c r="V66">
        <v>1719</v>
      </c>
      <c r="W66">
        <v>1260</v>
      </c>
      <c r="X66">
        <v>1195</v>
      </c>
      <c r="Y66">
        <v>4250</v>
      </c>
    </row>
    <row r="67" spans="1:25" x14ac:dyDescent="0.2">
      <c r="A67">
        <v>66</v>
      </c>
      <c r="B67">
        <v>0</v>
      </c>
      <c r="C67">
        <v>2685</v>
      </c>
      <c r="D67">
        <v>3684</v>
      </c>
      <c r="E67">
        <v>6913</v>
      </c>
      <c r="F67">
        <v>12941</v>
      </c>
      <c r="G67">
        <v>24043</v>
      </c>
      <c r="H67">
        <v>44502</v>
      </c>
      <c r="I67">
        <v>81803</v>
      </c>
      <c r="J67">
        <v>1660</v>
      </c>
      <c r="K67">
        <v>3684</v>
      </c>
      <c r="L67">
        <v>1660</v>
      </c>
      <c r="M67">
        <v>1000</v>
      </c>
      <c r="N67">
        <v>1330</v>
      </c>
      <c r="O67">
        <v>1660</v>
      </c>
      <c r="P67">
        <v>1990</v>
      </c>
      <c r="Q67">
        <v>2320</v>
      </c>
      <c r="R67">
        <v>2650</v>
      </c>
      <c r="S67">
        <v>2980</v>
      </c>
      <c r="T67">
        <v>3310</v>
      </c>
      <c r="U67">
        <v>3640</v>
      </c>
      <c r="V67">
        <v>1732</v>
      </c>
      <c r="W67">
        <v>1264</v>
      </c>
      <c r="X67">
        <v>1198</v>
      </c>
      <c r="Y67">
        <v>4300</v>
      </c>
    </row>
    <row r="68" spans="1:25" x14ac:dyDescent="0.2">
      <c r="A68">
        <v>67</v>
      </c>
      <c r="B68">
        <v>0</v>
      </c>
      <c r="C68">
        <v>2726</v>
      </c>
      <c r="D68">
        <v>3758</v>
      </c>
      <c r="E68">
        <v>7121</v>
      </c>
      <c r="F68">
        <v>13459</v>
      </c>
      <c r="G68">
        <v>25246</v>
      </c>
      <c r="H68">
        <v>47173</v>
      </c>
      <c r="I68">
        <v>87530</v>
      </c>
      <c r="J68">
        <v>1670</v>
      </c>
      <c r="K68">
        <v>3758</v>
      </c>
      <c r="L68">
        <v>1670</v>
      </c>
      <c r="M68">
        <v>1000</v>
      </c>
      <c r="N68">
        <v>1335</v>
      </c>
      <c r="O68">
        <v>1670</v>
      </c>
      <c r="P68">
        <v>2005</v>
      </c>
      <c r="Q68">
        <v>2340</v>
      </c>
      <c r="R68">
        <v>2675</v>
      </c>
      <c r="S68">
        <v>3010</v>
      </c>
      <c r="T68">
        <v>3345</v>
      </c>
      <c r="U68">
        <v>3680</v>
      </c>
      <c r="V68">
        <v>1745</v>
      </c>
      <c r="W68">
        <v>1268</v>
      </c>
      <c r="X68">
        <v>1201</v>
      </c>
      <c r="Y68">
        <v>4350</v>
      </c>
    </row>
    <row r="69" spans="1:25" x14ac:dyDescent="0.2">
      <c r="A69">
        <v>68</v>
      </c>
      <c r="B69">
        <v>0</v>
      </c>
      <c r="C69">
        <v>2767</v>
      </c>
      <c r="D69">
        <v>3834</v>
      </c>
      <c r="E69">
        <v>7335</v>
      </c>
      <c r="F69">
        <v>13998</v>
      </c>
      <c r="G69">
        <v>26509</v>
      </c>
      <c r="H69">
        <v>50004</v>
      </c>
      <c r="I69">
        <v>93658</v>
      </c>
      <c r="J69">
        <v>1680</v>
      </c>
      <c r="K69">
        <v>3834</v>
      </c>
      <c r="L69">
        <v>1680</v>
      </c>
      <c r="M69">
        <v>1000</v>
      </c>
      <c r="N69">
        <v>1340</v>
      </c>
      <c r="O69">
        <v>1680</v>
      </c>
      <c r="P69">
        <v>2020</v>
      </c>
      <c r="Q69">
        <v>2360</v>
      </c>
      <c r="R69">
        <v>2700</v>
      </c>
      <c r="S69">
        <v>3040</v>
      </c>
      <c r="T69">
        <v>3380</v>
      </c>
      <c r="U69">
        <v>3720</v>
      </c>
      <c r="V69">
        <v>1758</v>
      </c>
      <c r="W69">
        <v>1272</v>
      </c>
      <c r="X69">
        <v>1204</v>
      </c>
      <c r="Y69">
        <v>4400</v>
      </c>
    </row>
    <row r="70" spans="1:25" x14ac:dyDescent="0.2">
      <c r="A70">
        <v>69</v>
      </c>
      <c r="B70">
        <v>0</v>
      </c>
      <c r="C70">
        <v>2809</v>
      </c>
      <c r="D70">
        <v>3911</v>
      </c>
      <c r="E70">
        <v>7556</v>
      </c>
      <c r="F70">
        <v>14558</v>
      </c>
      <c r="G70">
        <v>27835</v>
      </c>
      <c r="H70">
        <v>53005</v>
      </c>
      <c r="I70">
        <v>100215</v>
      </c>
      <c r="J70">
        <v>1690</v>
      </c>
      <c r="K70">
        <v>3911</v>
      </c>
      <c r="L70">
        <v>1690</v>
      </c>
      <c r="M70">
        <v>1000</v>
      </c>
      <c r="N70">
        <v>1345</v>
      </c>
      <c r="O70">
        <v>1690</v>
      </c>
      <c r="P70">
        <v>2035</v>
      </c>
      <c r="Q70">
        <v>2380</v>
      </c>
      <c r="R70">
        <v>2725</v>
      </c>
      <c r="S70">
        <v>3070</v>
      </c>
      <c r="T70">
        <v>3415</v>
      </c>
      <c r="U70">
        <v>3760</v>
      </c>
      <c r="V70">
        <v>1771</v>
      </c>
      <c r="W70">
        <v>1276</v>
      </c>
      <c r="X70">
        <v>1207</v>
      </c>
      <c r="Y70">
        <v>4450</v>
      </c>
    </row>
    <row r="71" spans="1:25" x14ac:dyDescent="0.2">
      <c r="A71">
        <v>70</v>
      </c>
      <c r="B71">
        <v>0</v>
      </c>
      <c r="C71">
        <v>2852</v>
      </c>
      <c r="D71">
        <v>3990</v>
      </c>
      <c r="E71">
        <v>7783</v>
      </c>
      <c r="F71">
        <v>15141</v>
      </c>
      <c r="G71">
        <v>29227</v>
      </c>
      <c r="H71">
        <v>56186</v>
      </c>
      <c r="I71">
        <v>107231</v>
      </c>
      <c r="J71">
        <v>1700</v>
      </c>
      <c r="K71">
        <v>3990</v>
      </c>
      <c r="L71">
        <v>1700</v>
      </c>
      <c r="M71">
        <v>1000</v>
      </c>
      <c r="N71">
        <v>1350</v>
      </c>
      <c r="O71">
        <v>1700</v>
      </c>
      <c r="P71">
        <v>2050</v>
      </c>
      <c r="Q71">
        <v>2400</v>
      </c>
      <c r="R71">
        <v>2750</v>
      </c>
      <c r="S71">
        <v>3100</v>
      </c>
      <c r="T71">
        <v>3450</v>
      </c>
      <c r="U71">
        <v>3800</v>
      </c>
      <c r="V71">
        <v>1784</v>
      </c>
      <c r="W71">
        <v>1280</v>
      </c>
      <c r="X71">
        <v>1210</v>
      </c>
      <c r="Y71">
        <v>4500</v>
      </c>
    </row>
    <row r="72" spans="1:25" x14ac:dyDescent="0.2">
      <c r="A72">
        <v>71</v>
      </c>
      <c r="B72">
        <v>0</v>
      </c>
      <c r="C72">
        <v>2895</v>
      </c>
      <c r="D72">
        <v>4070</v>
      </c>
      <c r="E72">
        <v>8017</v>
      </c>
      <c r="F72">
        <v>15747</v>
      </c>
      <c r="G72">
        <v>30689</v>
      </c>
      <c r="H72">
        <v>59558</v>
      </c>
      <c r="I72">
        <v>114738</v>
      </c>
      <c r="J72">
        <v>1710</v>
      </c>
      <c r="K72">
        <v>4070</v>
      </c>
      <c r="L72">
        <v>1710</v>
      </c>
      <c r="M72">
        <v>1000</v>
      </c>
      <c r="N72">
        <v>1355</v>
      </c>
      <c r="O72">
        <v>1710</v>
      </c>
      <c r="P72">
        <v>2065</v>
      </c>
      <c r="Q72">
        <v>2420</v>
      </c>
      <c r="R72">
        <v>2775</v>
      </c>
      <c r="S72">
        <v>3130</v>
      </c>
      <c r="T72">
        <v>3485</v>
      </c>
      <c r="U72">
        <v>3840</v>
      </c>
      <c r="V72">
        <v>1797</v>
      </c>
      <c r="W72">
        <v>1284</v>
      </c>
      <c r="X72">
        <v>1213</v>
      </c>
      <c r="Y72">
        <v>4550</v>
      </c>
    </row>
    <row r="73" spans="1:25" x14ac:dyDescent="0.2">
      <c r="A73">
        <v>72</v>
      </c>
      <c r="B73">
        <v>0</v>
      </c>
      <c r="C73">
        <v>2939</v>
      </c>
      <c r="D73">
        <v>4152</v>
      </c>
      <c r="E73">
        <v>8258</v>
      </c>
      <c r="F73">
        <v>16377</v>
      </c>
      <c r="G73">
        <v>32224</v>
      </c>
      <c r="H73">
        <v>63132</v>
      </c>
      <c r="I73">
        <v>122770</v>
      </c>
      <c r="J73">
        <v>1720</v>
      </c>
      <c r="K73">
        <v>4152</v>
      </c>
      <c r="L73">
        <v>1720</v>
      </c>
      <c r="M73">
        <v>1000</v>
      </c>
      <c r="N73">
        <v>1360</v>
      </c>
      <c r="O73">
        <v>1720</v>
      </c>
      <c r="P73">
        <v>2080</v>
      </c>
      <c r="Q73">
        <v>2440</v>
      </c>
      <c r="R73">
        <v>2800</v>
      </c>
      <c r="S73">
        <v>3160</v>
      </c>
      <c r="T73">
        <v>3520</v>
      </c>
      <c r="U73">
        <v>3880</v>
      </c>
      <c r="V73">
        <v>1811</v>
      </c>
      <c r="W73">
        <v>1288</v>
      </c>
      <c r="X73">
        <v>1216</v>
      </c>
      <c r="Y73">
        <v>4600</v>
      </c>
    </row>
    <row r="74" spans="1:25" x14ac:dyDescent="0.2">
      <c r="A74">
        <v>73</v>
      </c>
      <c r="B74">
        <v>0</v>
      </c>
      <c r="C74">
        <v>2984</v>
      </c>
      <c r="D74">
        <v>4236</v>
      </c>
      <c r="E74">
        <v>8506</v>
      </c>
      <c r="F74">
        <v>17033</v>
      </c>
      <c r="G74">
        <v>33836</v>
      </c>
      <c r="H74">
        <v>66920</v>
      </c>
      <c r="I74">
        <v>131364</v>
      </c>
      <c r="J74">
        <v>1730</v>
      </c>
      <c r="K74">
        <v>4236</v>
      </c>
      <c r="L74">
        <v>1730</v>
      </c>
      <c r="M74">
        <v>1000</v>
      </c>
      <c r="N74">
        <v>1365</v>
      </c>
      <c r="O74">
        <v>1730</v>
      </c>
      <c r="P74">
        <v>2095</v>
      </c>
      <c r="Q74">
        <v>2460</v>
      </c>
      <c r="R74">
        <v>2825</v>
      </c>
      <c r="S74">
        <v>3190</v>
      </c>
      <c r="T74">
        <v>3555</v>
      </c>
      <c r="U74">
        <v>3920</v>
      </c>
      <c r="V74">
        <v>1825</v>
      </c>
      <c r="W74">
        <v>1292</v>
      </c>
      <c r="X74">
        <v>1219</v>
      </c>
      <c r="Y74">
        <v>4650</v>
      </c>
    </row>
    <row r="75" spans="1:25" x14ac:dyDescent="0.2">
      <c r="A75">
        <v>74</v>
      </c>
      <c r="B75">
        <v>0</v>
      </c>
      <c r="C75">
        <v>3029</v>
      </c>
      <c r="D75">
        <v>4321</v>
      </c>
      <c r="E75">
        <v>8762</v>
      </c>
      <c r="F75">
        <v>17715</v>
      </c>
      <c r="G75">
        <v>35528</v>
      </c>
      <c r="H75">
        <v>70936</v>
      </c>
      <c r="I75">
        <v>140560</v>
      </c>
      <c r="J75">
        <v>1740</v>
      </c>
      <c r="K75">
        <v>4321</v>
      </c>
      <c r="L75">
        <v>1740</v>
      </c>
      <c r="M75">
        <v>1000</v>
      </c>
      <c r="N75">
        <v>1370</v>
      </c>
      <c r="O75">
        <v>1740</v>
      </c>
      <c r="P75">
        <v>2110</v>
      </c>
      <c r="Q75">
        <v>2480</v>
      </c>
      <c r="R75">
        <v>2850</v>
      </c>
      <c r="S75">
        <v>3220</v>
      </c>
      <c r="T75">
        <v>3590</v>
      </c>
      <c r="U75">
        <v>3960</v>
      </c>
      <c r="V75">
        <v>1839</v>
      </c>
      <c r="W75">
        <v>1296</v>
      </c>
      <c r="X75">
        <v>1222</v>
      </c>
      <c r="Y75">
        <v>4700</v>
      </c>
    </row>
    <row r="76" spans="1:25" x14ac:dyDescent="0.2">
      <c r="A76">
        <v>75</v>
      </c>
      <c r="B76">
        <v>0</v>
      </c>
      <c r="C76">
        <v>3075</v>
      </c>
      <c r="D76">
        <v>4408</v>
      </c>
      <c r="E76">
        <v>9025</v>
      </c>
      <c r="F76">
        <v>18424</v>
      </c>
      <c r="G76">
        <v>37305</v>
      </c>
      <c r="H76">
        <v>75193</v>
      </c>
      <c r="I76">
        <v>150400</v>
      </c>
      <c r="J76">
        <v>1750</v>
      </c>
      <c r="K76">
        <v>4408</v>
      </c>
      <c r="L76">
        <v>1750</v>
      </c>
      <c r="M76">
        <v>1000</v>
      </c>
      <c r="N76">
        <v>1375</v>
      </c>
      <c r="O76">
        <v>1750</v>
      </c>
      <c r="P76">
        <v>2125</v>
      </c>
      <c r="Q76">
        <v>2500</v>
      </c>
      <c r="R76">
        <v>2875</v>
      </c>
      <c r="S76">
        <v>3250</v>
      </c>
      <c r="T76">
        <v>3625</v>
      </c>
      <c r="U76">
        <v>4000</v>
      </c>
      <c r="V76">
        <v>1853</v>
      </c>
      <c r="W76">
        <v>1300</v>
      </c>
      <c r="X76">
        <v>1225</v>
      </c>
      <c r="Y76">
        <v>4750</v>
      </c>
    </row>
    <row r="77" spans="1:25" x14ac:dyDescent="0.2">
      <c r="A77">
        <v>76</v>
      </c>
      <c r="B77">
        <v>0</v>
      </c>
      <c r="C77">
        <v>3122</v>
      </c>
      <c r="D77">
        <v>4497</v>
      </c>
      <c r="E77">
        <v>9296</v>
      </c>
      <c r="F77">
        <v>19161</v>
      </c>
      <c r="G77">
        <v>39171</v>
      </c>
      <c r="H77">
        <v>79705</v>
      </c>
      <c r="I77">
        <v>160928</v>
      </c>
      <c r="J77">
        <v>1760</v>
      </c>
      <c r="K77">
        <v>4497</v>
      </c>
      <c r="L77">
        <v>1760</v>
      </c>
      <c r="M77">
        <v>1000</v>
      </c>
      <c r="N77">
        <v>1380</v>
      </c>
      <c r="O77">
        <v>1760</v>
      </c>
      <c r="P77">
        <v>2140</v>
      </c>
      <c r="Q77">
        <v>2520</v>
      </c>
      <c r="R77">
        <v>2900</v>
      </c>
      <c r="S77">
        <v>3280</v>
      </c>
      <c r="T77">
        <v>3660</v>
      </c>
      <c r="U77">
        <v>4040</v>
      </c>
      <c r="V77">
        <v>1867</v>
      </c>
      <c r="W77">
        <v>1304</v>
      </c>
      <c r="X77">
        <v>1228</v>
      </c>
      <c r="Y77">
        <v>4800</v>
      </c>
    </row>
    <row r="78" spans="1:25" x14ac:dyDescent="0.2">
      <c r="A78">
        <v>77</v>
      </c>
      <c r="B78">
        <v>0</v>
      </c>
      <c r="C78">
        <v>3169</v>
      </c>
      <c r="D78">
        <v>4587</v>
      </c>
      <c r="E78">
        <v>9575</v>
      </c>
      <c r="F78">
        <v>19928</v>
      </c>
      <c r="G78">
        <v>41130</v>
      </c>
      <c r="H78">
        <v>84488</v>
      </c>
      <c r="I78">
        <v>172193</v>
      </c>
      <c r="J78">
        <v>1770</v>
      </c>
      <c r="K78">
        <v>4587</v>
      </c>
      <c r="L78">
        <v>1770</v>
      </c>
      <c r="M78">
        <v>1000</v>
      </c>
      <c r="N78">
        <v>1385</v>
      </c>
      <c r="O78">
        <v>1770</v>
      </c>
      <c r="P78">
        <v>2155</v>
      </c>
      <c r="Q78">
        <v>2540</v>
      </c>
      <c r="R78">
        <v>2925</v>
      </c>
      <c r="S78">
        <v>3310</v>
      </c>
      <c r="T78">
        <v>3695</v>
      </c>
      <c r="U78">
        <v>4080</v>
      </c>
      <c r="V78">
        <v>1881</v>
      </c>
      <c r="W78">
        <v>1308</v>
      </c>
      <c r="X78">
        <v>1231</v>
      </c>
      <c r="Y78">
        <v>4850</v>
      </c>
    </row>
    <row r="79" spans="1:25" x14ac:dyDescent="0.2">
      <c r="A79">
        <v>78</v>
      </c>
      <c r="B79">
        <v>0</v>
      </c>
      <c r="C79">
        <v>3217</v>
      </c>
      <c r="D79">
        <v>4679</v>
      </c>
      <c r="E79">
        <v>9863</v>
      </c>
      <c r="F79">
        <v>20726</v>
      </c>
      <c r="G79">
        <v>43187</v>
      </c>
      <c r="H79">
        <v>89558</v>
      </c>
      <c r="I79">
        <v>184247</v>
      </c>
      <c r="J79">
        <v>1780</v>
      </c>
      <c r="K79">
        <v>4679</v>
      </c>
      <c r="L79">
        <v>1780</v>
      </c>
      <c r="M79">
        <v>1000</v>
      </c>
      <c r="N79">
        <v>1390</v>
      </c>
      <c r="O79">
        <v>1780</v>
      </c>
      <c r="P79">
        <v>2170</v>
      </c>
      <c r="Q79">
        <v>2560</v>
      </c>
      <c r="R79">
        <v>2950</v>
      </c>
      <c r="S79">
        <v>3340</v>
      </c>
      <c r="T79">
        <v>3730</v>
      </c>
      <c r="U79">
        <v>4120</v>
      </c>
      <c r="V79">
        <v>1895</v>
      </c>
      <c r="W79">
        <v>1312</v>
      </c>
      <c r="X79">
        <v>1234</v>
      </c>
      <c r="Y79">
        <v>4900</v>
      </c>
    </row>
    <row r="80" spans="1:25" x14ac:dyDescent="0.2">
      <c r="A80">
        <v>79</v>
      </c>
      <c r="B80">
        <v>0</v>
      </c>
      <c r="C80">
        <v>3266</v>
      </c>
      <c r="D80">
        <v>4773</v>
      </c>
      <c r="E80">
        <v>10159</v>
      </c>
      <c r="F80">
        <v>21556</v>
      </c>
      <c r="G80">
        <v>45347</v>
      </c>
      <c r="H80">
        <v>94932</v>
      </c>
      <c r="I80">
        <v>197145</v>
      </c>
      <c r="J80">
        <v>1790</v>
      </c>
      <c r="K80">
        <v>4773</v>
      </c>
      <c r="L80">
        <v>1790</v>
      </c>
      <c r="M80">
        <v>1000</v>
      </c>
      <c r="N80">
        <v>1395</v>
      </c>
      <c r="O80">
        <v>1790</v>
      </c>
      <c r="P80">
        <v>2185</v>
      </c>
      <c r="Q80">
        <v>2580</v>
      </c>
      <c r="R80">
        <v>2975</v>
      </c>
      <c r="S80">
        <v>3370</v>
      </c>
      <c r="T80">
        <v>3765</v>
      </c>
      <c r="U80">
        <v>4160</v>
      </c>
      <c r="V80">
        <v>1909</v>
      </c>
      <c r="W80">
        <v>1316</v>
      </c>
      <c r="X80">
        <v>1237</v>
      </c>
      <c r="Y80">
        <v>4950</v>
      </c>
    </row>
    <row r="81" spans="1:25" x14ac:dyDescent="0.2">
      <c r="A81">
        <v>80</v>
      </c>
      <c r="B81">
        <v>0</v>
      </c>
      <c r="C81">
        <v>3315</v>
      </c>
      <c r="D81">
        <v>4869</v>
      </c>
      <c r="E81">
        <v>10464</v>
      </c>
      <c r="F81">
        <v>22419</v>
      </c>
      <c r="G81">
        <v>47615</v>
      </c>
      <c r="H81">
        <v>100628</v>
      </c>
      <c r="I81">
        <v>210946</v>
      </c>
      <c r="J81">
        <v>1800</v>
      </c>
      <c r="K81">
        <v>4869</v>
      </c>
      <c r="L81">
        <v>1800</v>
      </c>
      <c r="M81">
        <v>1000</v>
      </c>
      <c r="N81">
        <v>1400</v>
      </c>
      <c r="O81">
        <v>1800</v>
      </c>
      <c r="P81">
        <v>2200</v>
      </c>
      <c r="Q81">
        <v>2600</v>
      </c>
      <c r="R81">
        <v>3000</v>
      </c>
      <c r="S81">
        <v>3400</v>
      </c>
      <c r="T81">
        <v>3800</v>
      </c>
      <c r="U81">
        <v>4200</v>
      </c>
      <c r="V81">
        <v>1923</v>
      </c>
      <c r="W81">
        <v>1320</v>
      </c>
      <c r="X81">
        <v>1240</v>
      </c>
      <c r="Y81">
        <v>5000</v>
      </c>
    </row>
    <row r="82" spans="1:25" x14ac:dyDescent="0.2">
      <c r="A82">
        <v>81</v>
      </c>
      <c r="B82">
        <v>0</v>
      </c>
      <c r="C82">
        <v>3365</v>
      </c>
      <c r="D82">
        <v>4967</v>
      </c>
      <c r="E82">
        <v>10778</v>
      </c>
      <c r="F82">
        <v>23316</v>
      </c>
      <c r="G82">
        <v>49996</v>
      </c>
      <c r="H82">
        <v>106666</v>
      </c>
      <c r="I82">
        <v>225713</v>
      </c>
      <c r="J82">
        <v>1810</v>
      </c>
      <c r="K82">
        <v>4967</v>
      </c>
      <c r="L82">
        <v>1810</v>
      </c>
      <c r="M82">
        <v>1000</v>
      </c>
      <c r="N82">
        <v>1405</v>
      </c>
      <c r="O82">
        <v>1810</v>
      </c>
      <c r="P82">
        <v>2215</v>
      </c>
      <c r="Q82">
        <v>2620</v>
      </c>
      <c r="R82">
        <v>3025</v>
      </c>
      <c r="S82">
        <v>3430</v>
      </c>
      <c r="T82">
        <v>3835</v>
      </c>
      <c r="U82">
        <v>4240</v>
      </c>
      <c r="V82">
        <v>1937</v>
      </c>
      <c r="W82">
        <v>1324</v>
      </c>
      <c r="X82">
        <v>1243</v>
      </c>
      <c r="Y82">
        <v>5050</v>
      </c>
    </row>
    <row r="83" spans="1:25" x14ac:dyDescent="0.2">
      <c r="A83">
        <v>82</v>
      </c>
      <c r="B83">
        <v>0</v>
      </c>
      <c r="C83">
        <v>3416</v>
      </c>
      <c r="D83">
        <v>5067</v>
      </c>
      <c r="E83">
        <v>11102</v>
      </c>
      <c r="F83">
        <v>24249</v>
      </c>
      <c r="G83">
        <v>52496</v>
      </c>
      <c r="H83">
        <v>113066</v>
      </c>
      <c r="I83">
        <v>241513</v>
      </c>
      <c r="J83">
        <v>1820</v>
      </c>
      <c r="K83">
        <v>5067</v>
      </c>
      <c r="L83">
        <v>1820</v>
      </c>
      <c r="M83">
        <v>1000</v>
      </c>
      <c r="N83">
        <v>1410</v>
      </c>
      <c r="O83">
        <v>1820</v>
      </c>
      <c r="P83">
        <v>2230</v>
      </c>
      <c r="Q83">
        <v>2640</v>
      </c>
      <c r="R83">
        <v>3050</v>
      </c>
      <c r="S83">
        <v>3460</v>
      </c>
      <c r="T83">
        <v>3870</v>
      </c>
      <c r="U83">
        <v>4280</v>
      </c>
      <c r="V83">
        <v>1951</v>
      </c>
      <c r="W83">
        <v>1328</v>
      </c>
      <c r="X83">
        <v>1246</v>
      </c>
      <c r="Y83">
        <v>5100</v>
      </c>
    </row>
    <row r="84" spans="1:25" x14ac:dyDescent="0.2">
      <c r="A84">
        <v>83</v>
      </c>
      <c r="B84">
        <v>0</v>
      </c>
      <c r="C84">
        <v>3468</v>
      </c>
      <c r="D84">
        <v>5169</v>
      </c>
      <c r="E84">
        <v>11436</v>
      </c>
      <c r="F84">
        <v>25219</v>
      </c>
      <c r="G84">
        <v>55121</v>
      </c>
      <c r="H84">
        <v>119850</v>
      </c>
      <c r="I84">
        <v>258419</v>
      </c>
      <c r="J84">
        <v>1830</v>
      </c>
      <c r="K84">
        <v>5169</v>
      </c>
      <c r="L84">
        <v>1830</v>
      </c>
      <c r="M84">
        <v>1000</v>
      </c>
      <c r="N84">
        <v>1415</v>
      </c>
      <c r="O84">
        <v>1830</v>
      </c>
      <c r="P84">
        <v>2245</v>
      </c>
      <c r="Q84">
        <v>2660</v>
      </c>
      <c r="R84">
        <v>3075</v>
      </c>
      <c r="S84">
        <v>3490</v>
      </c>
      <c r="T84">
        <v>3905</v>
      </c>
      <c r="U84">
        <v>4320</v>
      </c>
      <c r="V84">
        <v>1965</v>
      </c>
      <c r="W84">
        <v>1332</v>
      </c>
      <c r="X84">
        <v>1249</v>
      </c>
      <c r="Y84">
        <v>5150</v>
      </c>
    </row>
    <row r="85" spans="1:25" x14ac:dyDescent="0.2">
      <c r="A85">
        <v>84</v>
      </c>
      <c r="B85">
        <v>0</v>
      </c>
      <c r="C85">
        <v>3521</v>
      </c>
      <c r="D85">
        <v>5273</v>
      </c>
      <c r="E85">
        <v>11780</v>
      </c>
      <c r="F85">
        <v>26228</v>
      </c>
      <c r="G85">
        <v>57878</v>
      </c>
      <c r="H85">
        <v>127041</v>
      </c>
      <c r="I85">
        <v>276509</v>
      </c>
      <c r="J85">
        <v>1840</v>
      </c>
      <c r="K85">
        <v>5273</v>
      </c>
      <c r="L85">
        <v>1840</v>
      </c>
      <c r="M85">
        <v>1000</v>
      </c>
      <c r="N85">
        <v>1420</v>
      </c>
      <c r="O85">
        <v>1840</v>
      </c>
      <c r="P85">
        <v>2260</v>
      </c>
      <c r="Q85">
        <v>2680</v>
      </c>
      <c r="R85">
        <v>3100</v>
      </c>
      <c r="S85">
        <v>3520</v>
      </c>
      <c r="T85">
        <v>3940</v>
      </c>
      <c r="U85">
        <v>4360</v>
      </c>
      <c r="V85">
        <v>1979</v>
      </c>
      <c r="W85">
        <v>1336</v>
      </c>
      <c r="X85">
        <v>1252</v>
      </c>
      <c r="Y85">
        <v>5200</v>
      </c>
    </row>
    <row r="86" spans="1:25" x14ac:dyDescent="0.2">
      <c r="A86">
        <v>85</v>
      </c>
      <c r="B86">
        <v>0</v>
      </c>
      <c r="C86">
        <v>3574</v>
      </c>
      <c r="D86">
        <v>5379</v>
      </c>
      <c r="E86">
        <v>12134</v>
      </c>
      <c r="F86">
        <v>27278</v>
      </c>
      <c r="G86">
        <v>60772</v>
      </c>
      <c r="H86">
        <v>134664</v>
      </c>
      <c r="I86">
        <v>295865</v>
      </c>
      <c r="J86">
        <v>1850</v>
      </c>
      <c r="K86">
        <v>5379</v>
      </c>
      <c r="L86">
        <v>1850</v>
      </c>
      <c r="M86">
        <v>1000</v>
      </c>
      <c r="N86">
        <v>1425</v>
      </c>
      <c r="O86">
        <v>1850</v>
      </c>
      <c r="P86">
        <v>2275</v>
      </c>
      <c r="Q86">
        <v>2700</v>
      </c>
      <c r="R86">
        <v>3125</v>
      </c>
      <c r="S86">
        <v>3550</v>
      </c>
      <c r="T86">
        <v>3975</v>
      </c>
      <c r="U86">
        <v>4400</v>
      </c>
      <c r="V86">
        <v>1993</v>
      </c>
      <c r="W86">
        <v>1340</v>
      </c>
      <c r="X86">
        <v>1255</v>
      </c>
      <c r="Y86">
        <v>5250</v>
      </c>
    </row>
    <row r="87" spans="1:25" x14ac:dyDescent="0.2">
      <c r="A87">
        <v>86</v>
      </c>
      <c r="B87">
        <v>0</v>
      </c>
      <c r="C87">
        <v>3628</v>
      </c>
      <c r="D87">
        <v>5487</v>
      </c>
      <c r="E87">
        <v>12499</v>
      </c>
      <c r="F87">
        <v>28370</v>
      </c>
      <c r="G87">
        <v>63811</v>
      </c>
      <c r="H87">
        <v>142744</v>
      </c>
      <c r="I87">
        <v>316576</v>
      </c>
      <c r="J87">
        <v>1860</v>
      </c>
      <c r="K87">
        <v>5487</v>
      </c>
      <c r="L87">
        <v>1860</v>
      </c>
      <c r="M87">
        <v>1000</v>
      </c>
      <c r="N87">
        <v>1430</v>
      </c>
      <c r="O87">
        <v>1860</v>
      </c>
      <c r="P87">
        <v>2290</v>
      </c>
      <c r="Q87">
        <v>2720</v>
      </c>
      <c r="R87">
        <v>3150</v>
      </c>
      <c r="S87">
        <v>3580</v>
      </c>
      <c r="T87">
        <v>4010</v>
      </c>
      <c r="U87">
        <v>4440</v>
      </c>
      <c r="V87">
        <v>2007</v>
      </c>
      <c r="W87">
        <v>1344</v>
      </c>
      <c r="X87">
        <v>1258</v>
      </c>
      <c r="Y87">
        <v>5300</v>
      </c>
    </row>
    <row r="88" spans="1:25" x14ac:dyDescent="0.2">
      <c r="A88">
        <v>87</v>
      </c>
      <c r="B88">
        <v>0</v>
      </c>
      <c r="C88">
        <v>3683</v>
      </c>
      <c r="D88">
        <v>5597</v>
      </c>
      <c r="E88">
        <v>12874</v>
      </c>
      <c r="F88">
        <v>29505</v>
      </c>
      <c r="G88">
        <v>67002</v>
      </c>
      <c r="H88">
        <v>151309</v>
      </c>
      <c r="I88">
        <v>338737</v>
      </c>
      <c r="J88">
        <v>1870</v>
      </c>
      <c r="K88">
        <v>5597</v>
      </c>
      <c r="L88">
        <v>1870</v>
      </c>
      <c r="M88">
        <v>1000</v>
      </c>
      <c r="N88">
        <v>1435</v>
      </c>
      <c r="O88">
        <v>1870</v>
      </c>
      <c r="P88">
        <v>2305</v>
      </c>
      <c r="Q88">
        <v>2740</v>
      </c>
      <c r="R88">
        <v>3175</v>
      </c>
      <c r="S88">
        <v>3610</v>
      </c>
      <c r="T88">
        <v>4045</v>
      </c>
      <c r="U88">
        <v>4480</v>
      </c>
      <c r="V88">
        <v>2022</v>
      </c>
      <c r="W88">
        <v>1348</v>
      </c>
      <c r="X88">
        <v>1261</v>
      </c>
      <c r="Y88">
        <v>5350</v>
      </c>
    </row>
    <row r="89" spans="1:25" x14ac:dyDescent="0.2">
      <c r="A89">
        <v>88</v>
      </c>
      <c r="B89">
        <v>0</v>
      </c>
      <c r="C89">
        <v>3739</v>
      </c>
      <c r="D89">
        <v>5709</v>
      </c>
      <c r="E89">
        <v>13261</v>
      </c>
      <c r="F89">
        <v>30686</v>
      </c>
      <c r="G89">
        <v>70353</v>
      </c>
      <c r="H89">
        <v>160388</v>
      </c>
      <c r="I89">
        <v>362449</v>
      </c>
      <c r="J89">
        <v>1880</v>
      </c>
      <c r="K89">
        <v>5709</v>
      </c>
      <c r="L89">
        <v>1880</v>
      </c>
      <c r="M89">
        <v>1000</v>
      </c>
      <c r="N89">
        <v>1440</v>
      </c>
      <c r="O89">
        <v>1880</v>
      </c>
      <c r="P89">
        <v>2320</v>
      </c>
      <c r="Q89">
        <v>2760</v>
      </c>
      <c r="R89">
        <v>3200</v>
      </c>
      <c r="S89">
        <v>3640</v>
      </c>
      <c r="T89">
        <v>4080</v>
      </c>
      <c r="U89">
        <v>4520</v>
      </c>
      <c r="V89">
        <v>2037</v>
      </c>
      <c r="W89">
        <v>1352</v>
      </c>
      <c r="X89">
        <v>1264</v>
      </c>
      <c r="Y89">
        <v>5400</v>
      </c>
    </row>
    <row r="90" spans="1:25" x14ac:dyDescent="0.2">
      <c r="A90">
        <v>89</v>
      </c>
      <c r="B90">
        <v>0</v>
      </c>
      <c r="C90">
        <v>3796</v>
      </c>
      <c r="D90">
        <v>5824</v>
      </c>
      <c r="E90">
        <v>13659</v>
      </c>
      <c r="F90">
        <v>31914</v>
      </c>
      <c r="G90">
        <v>73871</v>
      </c>
      <c r="H90">
        <v>170012</v>
      </c>
      <c r="I90">
        <v>387821</v>
      </c>
      <c r="J90">
        <v>1890</v>
      </c>
      <c r="K90">
        <v>5824</v>
      </c>
      <c r="L90">
        <v>1890</v>
      </c>
      <c r="M90">
        <v>1000</v>
      </c>
      <c r="N90">
        <v>1445</v>
      </c>
      <c r="O90">
        <v>1890</v>
      </c>
      <c r="P90">
        <v>2335</v>
      </c>
      <c r="Q90">
        <v>2780</v>
      </c>
      <c r="R90">
        <v>3225</v>
      </c>
      <c r="S90">
        <v>3670</v>
      </c>
      <c r="T90">
        <v>4115</v>
      </c>
      <c r="U90">
        <v>4560</v>
      </c>
      <c r="V90">
        <v>2052</v>
      </c>
      <c r="W90">
        <v>1356</v>
      </c>
      <c r="X90">
        <v>1267</v>
      </c>
      <c r="Y90">
        <v>5450</v>
      </c>
    </row>
    <row r="91" spans="1:25" x14ac:dyDescent="0.2">
      <c r="A91">
        <v>90</v>
      </c>
      <c r="B91">
        <v>0</v>
      </c>
      <c r="C91">
        <v>3853</v>
      </c>
      <c r="D91">
        <v>5941</v>
      </c>
      <c r="E91">
        <v>14069</v>
      </c>
      <c r="F91">
        <v>33191</v>
      </c>
      <c r="G91">
        <v>77565</v>
      </c>
      <c r="H91">
        <v>180213</v>
      </c>
      <c r="I91">
        <v>414969</v>
      </c>
      <c r="J91">
        <v>1900</v>
      </c>
      <c r="K91">
        <v>5941</v>
      </c>
      <c r="L91">
        <v>1900</v>
      </c>
      <c r="M91">
        <v>1000</v>
      </c>
      <c r="N91">
        <v>1450</v>
      </c>
      <c r="O91">
        <v>1900</v>
      </c>
      <c r="P91">
        <v>2350</v>
      </c>
      <c r="Q91">
        <v>2800</v>
      </c>
      <c r="R91">
        <v>3250</v>
      </c>
      <c r="S91">
        <v>3700</v>
      </c>
      <c r="T91">
        <v>4150</v>
      </c>
      <c r="U91">
        <v>4600</v>
      </c>
      <c r="V91">
        <v>2067</v>
      </c>
      <c r="W91">
        <v>1360</v>
      </c>
      <c r="X91">
        <v>1270</v>
      </c>
      <c r="Y91">
        <v>5500</v>
      </c>
    </row>
    <row r="92" spans="1:25" x14ac:dyDescent="0.2">
      <c r="A92">
        <v>91</v>
      </c>
      <c r="B92">
        <v>0</v>
      </c>
      <c r="C92">
        <v>3911</v>
      </c>
      <c r="D92">
        <v>6060</v>
      </c>
      <c r="E92">
        <v>14492</v>
      </c>
      <c r="F92">
        <v>34519</v>
      </c>
      <c r="G92">
        <v>81444</v>
      </c>
      <c r="H92">
        <v>191026</v>
      </c>
      <c r="I92">
        <v>444017</v>
      </c>
      <c r="J92">
        <v>1910</v>
      </c>
      <c r="K92">
        <v>6060</v>
      </c>
      <c r="L92">
        <v>1910</v>
      </c>
      <c r="M92">
        <v>1000</v>
      </c>
      <c r="N92">
        <v>1455</v>
      </c>
      <c r="O92">
        <v>1910</v>
      </c>
      <c r="P92">
        <v>2365</v>
      </c>
      <c r="Q92">
        <v>2820</v>
      </c>
      <c r="R92">
        <v>3275</v>
      </c>
      <c r="S92">
        <v>3730</v>
      </c>
      <c r="T92">
        <v>4185</v>
      </c>
      <c r="U92">
        <v>4640</v>
      </c>
      <c r="V92">
        <v>2082</v>
      </c>
      <c r="W92">
        <v>1364</v>
      </c>
      <c r="X92">
        <v>1273</v>
      </c>
      <c r="Y92">
        <v>5550</v>
      </c>
    </row>
    <row r="93" spans="1:25" x14ac:dyDescent="0.2">
      <c r="A93">
        <v>92</v>
      </c>
      <c r="B93">
        <v>0</v>
      </c>
      <c r="C93">
        <v>3970</v>
      </c>
      <c r="D93">
        <v>6182</v>
      </c>
      <c r="E93">
        <v>14927</v>
      </c>
      <c r="F93">
        <v>35900</v>
      </c>
      <c r="G93">
        <v>85517</v>
      </c>
      <c r="H93">
        <v>202488</v>
      </c>
      <c r="I93">
        <v>475099</v>
      </c>
      <c r="J93">
        <v>1920</v>
      </c>
      <c r="K93">
        <v>6182</v>
      </c>
      <c r="L93">
        <v>1920</v>
      </c>
      <c r="M93">
        <v>1000</v>
      </c>
      <c r="N93">
        <v>1460</v>
      </c>
      <c r="O93">
        <v>1920</v>
      </c>
      <c r="P93">
        <v>2380</v>
      </c>
      <c r="Q93">
        <v>2840</v>
      </c>
      <c r="R93">
        <v>3300</v>
      </c>
      <c r="S93">
        <v>3760</v>
      </c>
      <c r="T93">
        <v>4220</v>
      </c>
      <c r="U93">
        <v>4680</v>
      </c>
      <c r="V93">
        <v>2097</v>
      </c>
      <c r="W93">
        <v>1368</v>
      </c>
      <c r="X93">
        <v>1276</v>
      </c>
      <c r="Y93">
        <v>5600</v>
      </c>
    </row>
    <row r="94" spans="1:25" x14ac:dyDescent="0.2">
      <c r="A94">
        <v>93</v>
      </c>
      <c r="B94">
        <v>0</v>
      </c>
      <c r="C94">
        <v>4030</v>
      </c>
      <c r="D94">
        <v>6306</v>
      </c>
      <c r="E94">
        <v>15375</v>
      </c>
      <c r="F94">
        <v>37336</v>
      </c>
      <c r="G94">
        <v>89793</v>
      </c>
      <c r="H94">
        <v>214638</v>
      </c>
      <c r="I94">
        <v>508356</v>
      </c>
      <c r="J94">
        <v>1930</v>
      </c>
      <c r="K94">
        <v>6306</v>
      </c>
      <c r="L94">
        <v>1930</v>
      </c>
      <c r="M94">
        <v>1000</v>
      </c>
      <c r="N94">
        <v>1465</v>
      </c>
      <c r="O94">
        <v>1930</v>
      </c>
      <c r="P94">
        <v>2395</v>
      </c>
      <c r="Q94">
        <v>2860</v>
      </c>
      <c r="R94">
        <v>3325</v>
      </c>
      <c r="S94">
        <v>3790</v>
      </c>
      <c r="T94">
        <v>4255</v>
      </c>
      <c r="U94">
        <v>4720</v>
      </c>
      <c r="V94">
        <v>2112</v>
      </c>
      <c r="W94">
        <v>1372</v>
      </c>
      <c r="X94">
        <v>1279</v>
      </c>
      <c r="Y94">
        <v>5650</v>
      </c>
    </row>
    <row r="95" spans="1:25" x14ac:dyDescent="0.2">
      <c r="A95">
        <v>94</v>
      </c>
      <c r="B95">
        <v>0</v>
      </c>
      <c r="C95">
        <v>4091</v>
      </c>
      <c r="D95">
        <v>6433</v>
      </c>
      <c r="E95">
        <v>15837</v>
      </c>
      <c r="F95">
        <v>38830</v>
      </c>
      <c r="G95">
        <v>94283</v>
      </c>
      <c r="H95">
        <v>227517</v>
      </c>
      <c r="I95">
        <v>543941</v>
      </c>
      <c r="J95">
        <v>1940</v>
      </c>
      <c r="K95">
        <v>6433</v>
      </c>
      <c r="L95">
        <v>1940</v>
      </c>
      <c r="M95">
        <v>1000</v>
      </c>
      <c r="N95">
        <v>1470</v>
      </c>
      <c r="O95">
        <v>1940</v>
      </c>
      <c r="P95">
        <v>2410</v>
      </c>
      <c r="Q95">
        <v>2880</v>
      </c>
      <c r="R95">
        <v>3350</v>
      </c>
      <c r="S95">
        <v>3820</v>
      </c>
      <c r="T95">
        <v>4290</v>
      </c>
      <c r="U95">
        <v>4760</v>
      </c>
      <c r="V95">
        <v>2127</v>
      </c>
      <c r="W95">
        <v>1376</v>
      </c>
      <c r="X95">
        <v>1282</v>
      </c>
      <c r="Y95">
        <v>5700</v>
      </c>
    </row>
    <row r="96" spans="1:25" x14ac:dyDescent="0.2">
      <c r="A96">
        <v>95</v>
      </c>
      <c r="B96">
        <v>0</v>
      </c>
      <c r="C96">
        <v>4153</v>
      </c>
      <c r="D96">
        <v>6562</v>
      </c>
      <c r="E96">
        <v>16313</v>
      </c>
      <c r="F96">
        <v>40384</v>
      </c>
      <c r="G96">
        <v>98998</v>
      </c>
      <c r="H96">
        <v>241169</v>
      </c>
      <c r="I96">
        <v>582017</v>
      </c>
      <c r="J96">
        <v>1950</v>
      </c>
      <c r="K96">
        <v>6562</v>
      </c>
      <c r="L96">
        <v>1950</v>
      </c>
      <c r="M96">
        <v>1000</v>
      </c>
      <c r="N96">
        <v>1475</v>
      </c>
      <c r="O96">
        <v>1950</v>
      </c>
      <c r="P96">
        <v>2425</v>
      </c>
      <c r="Q96">
        <v>2900</v>
      </c>
      <c r="R96">
        <v>3375</v>
      </c>
      <c r="S96">
        <v>3850</v>
      </c>
      <c r="T96">
        <v>4325</v>
      </c>
      <c r="U96">
        <v>4800</v>
      </c>
      <c r="V96">
        <v>2142</v>
      </c>
      <c r="W96">
        <v>1380</v>
      </c>
      <c r="X96">
        <v>1285</v>
      </c>
      <c r="Y96">
        <v>5750</v>
      </c>
    </row>
    <row r="97" spans="1:25" x14ac:dyDescent="0.2">
      <c r="A97">
        <v>96</v>
      </c>
      <c r="B97">
        <v>0</v>
      </c>
      <c r="C97">
        <v>4216</v>
      </c>
      <c r="D97">
        <v>6694</v>
      </c>
      <c r="E97">
        <v>16803</v>
      </c>
      <c r="F97">
        <v>42000</v>
      </c>
      <c r="G97">
        <v>103948</v>
      </c>
      <c r="H97">
        <v>255640</v>
      </c>
      <c r="I97">
        <v>622759</v>
      </c>
      <c r="J97">
        <v>1960</v>
      </c>
      <c r="K97">
        <v>6694</v>
      </c>
      <c r="L97">
        <v>1960</v>
      </c>
      <c r="M97">
        <v>1000</v>
      </c>
      <c r="N97">
        <v>1480</v>
      </c>
      <c r="O97">
        <v>1960</v>
      </c>
      <c r="P97">
        <v>2440</v>
      </c>
      <c r="Q97">
        <v>2920</v>
      </c>
      <c r="R97">
        <v>3400</v>
      </c>
      <c r="S97">
        <v>3880</v>
      </c>
      <c r="T97">
        <v>4360</v>
      </c>
      <c r="U97">
        <v>4840</v>
      </c>
      <c r="V97">
        <v>2157</v>
      </c>
      <c r="W97">
        <v>1384</v>
      </c>
      <c r="X97">
        <v>1288</v>
      </c>
      <c r="Y97">
        <v>5800</v>
      </c>
    </row>
    <row r="98" spans="1:25" x14ac:dyDescent="0.2">
      <c r="A98">
        <v>97</v>
      </c>
      <c r="B98">
        <v>0</v>
      </c>
      <c r="C98">
        <v>4280</v>
      </c>
      <c r="D98">
        <v>6828</v>
      </c>
      <c r="E98">
        <v>17308</v>
      </c>
      <c r="F98">
        <v>43680</v>
      </c>
      <c r="G98">
        <v>109146</v>
      </c>
      <c r="H98">
        <v>270979</v>
      </c>
      <c r="I98">
        <v>666353</v>
      </c>
      <c r="J98">
        <v>1970</v>
      </c>
      <c r="K98">
        <v>6828</v>
      </c>
      <c r="L98">
        <v>1970</v>
      </c>
      <c r="M98">
        <v>1000</v>
      </c>
      <c r="N98">
        <v>1485</v>
      </c>
      <c r="O98">
        <v>1970</v>
      </c>
      <c r="P98">
        <v>2455</v>
      </c>
      <c r="Q98">
        <v>2940</v>
      </c>
      <c r="R98">
        <v>3425</v>
      </c>
      <c r="S98">
        <v>3910</v>
      </c>
      <c r="T98">
        <v>4395</v>
      </c>
      <c r="U98">
        <v>4880</v>
      </c>
      <c r="V98">
        <v>2172</v>
      </c>
      <c r="W98">
        <v>1388</v>
      </c>
      <c r="X98">
        <v>1291</v>
      </c>
      <c r="Y98">
        <v>5850</v>
      </c>
    </row>
    <row r="99" spans="1:25" x14ac:dyDescent="0.2">
      <c r="A99">
        <v>98</v>
      </c>
      <c r="B99">
        <v>0</v>
      </c>
      <c r="C99">
        <v>4345</v>
      </c>
      <c r="D99">
        <v>6965</v>
      </c>
      <c r="E99">
        <v>17828</v>
      </c>
      <c r="F99">
        <v>45428</v>
      </c>
      <c r="G99">
        <v>114604</v>
      </c>
      <c r="H99">
        <v>287238</v>
      </c>
      <c r="I99">
        <v>712998</v>
      </c>
      <c r="J99">
        <v>1980</v>
      </c>
      <c r="K99">
        <v>6965</v>
      </c>
      <c r="L99">
        <v>1980</v>
      </c>
      <c r="M99">
        <v>1000</v>
      </c>
      <c r="N99">
        <v>1490</v>
      </c>
      <c r="O99">
        <v>1980</v>
      </c>
      <c r="P99">
        <v>2470</v>
      </c>
      <c r="Q99">
        <v>2960</v>
      </c>
      <c r="R99">
        <v>3450</v>
      </c>
      <c r="S99">
        <v>3940</v>
      </c>
      <c r="T99">
        <v>4430</v>
      </c>
      <c r="U99">
        <v>4920</v>
      </c>
      <c r="V99">
        <v>2187</v>
      </c>
      <c r="W99">
        <v>1392</v>
      </c>
      <c r="X99">
        <v>1294</v>
      </c>
      <c r="Y99">
        <v>5900</v>
      </c>
    </row>
    <row r="100" spans="1:25" x14ac:dyDescent="0.2">
      <c r="A100">
        <v>99</v>
      </c>
      <c r="B100">
        <v>0</v>
      </c>
      <c r="C100">
        <v>4411</v>
      </c>
      <c r="D100">
        <v>7105</v>
      </c>
      <c r="E100">
        <v>18363</v>
      </c>
      <c r="F100">
        <v>47246</v>
      </c>
      <c r="G100">
        <v>120335</v>
      </c>
      <c r="H100">
        <v>304473</v>
      </c>
      <c r="I100">
        <v>762908</v>
      </c>
      <c r="J100">
        <v>1990</v>
      </c>
      <c r="K100">
        <v>7105</v>
      </c>
      <c r="L100">
        <v>1990</v>
      </c>
      <c r="M100">
        <v>1000</v>
      </c>
      <c r="N100">
        <v>1495</v>
      </c>
      <c r="O100">
        <v>1990</v>
      </c>
      <c r="P100">
        <v>2485</v>
      </c>
      <c r="Q100">
        <v>2980</v>
      </c>
      <c r="R100">
        <v>3475</v>
      </c>
      <c r="S100">
        <v>3970</v>
      </c>
      <c r="T100">
        <v>4465</v>
      </c>
      <c r="U100">
        <v>4960</v>
      </c>
      <c r="V100">
        <v>2202</v>
      </c>
      <c r="W100">
        <v>1396</v>
      </c>
      <c r="X100">
        <v>1297</v>
      </c>
      <c r="Y100">
        <v>5950</v>
      </c>
    </row>
    <row r="101" spans="1:25" x14ac:dyDescent="0.2">
      <c r="A101">
        <v>100</v>
      </c>
      <c r="B101">
        <v>0</v>
      </c>
      <c r="C101">
        <v>4478</v>
      </c>
      <c r="D101">
        <v>7248</v>
      </c>
      <c r="E101">
        <v>18914</v>
      </c>
      <c r="F101">
        <v>49136</v>
      </c>
      <c r="G101">
        <v>126352</v>
      </c>
      <c r="H101">
        <v>322742</v>
      </c>
      <c r="I101">
        <v>816312</v>
      </c>
      <c r="J101">
        <v>2000</v>
      </c>
      <c r="K101">
        <v>7248</v>
      </c>
      <c r="L101">
        <v>2000</v>
      </c>
      <c r="M101">
        <v>1000</v>
      </c>
      <c r="N101">
        <v>1500</v>
      </c>
      <c r="O101">
        <v>2000</v>
      </c>
      <c r="P101">
        <v>2500</v>
      </c>
      <c r="Q101">
        <v>3000</v>
      </c>
      <c r="R101">
        <v>3500</v>
      </c>
      <c r="S101">
        <v>4000</v>
      </c>
      <c r="T101">
        <v>4500</v>
      </c>
      <c r="U101">
        <v>5000</v>
      </c>
      <c r="V101">
        <v>2218</v>
      </c>
      <c r="W101">
        <v>1400</v>
      </c>
      <c r="X101">
        <v>1300</v>
      </c>
      <c r="Y101">
        <v>6000</v>
      </c>
    </row>
    <row r="102" spans="1:25" x14ac:dyDescent="0.2">
      <c r="A102">
        <v>101</v>
      </c>
      <c r="B102">
        <v>0</v>
      </c>
      <c r="C102">
        <v>4546</v>
      </c>
      <c r="D102">
        <v>7393</v>
      </c>
      <c r="E102">
        <v>19482</v>
      </c>
      <c r="F102">
        <v>51102</v>
      </c>
      <c r="G102">
        <v>132670</v>
      </c>
      <c r="H102">
        <v>342107</v>
      </c>
      <c r="I102">
        <v>873454</v>
      </c>
      <c r="J102">
        <v>2000</v>
      </c>
      <c r="K102">
        <v>7321</v>
      </c>
      <c r="L102">
        <v>2010</v>
      </c>
      <c r="M102">
        <v>1001</v>
      </c>
      <c r="N102">
        <v>1505</v>
      </c>
      <c r="O102">
        <v>2010</v>
      </c>
      <c r="P102">
        <v>2515</v>
      </c>
      <c r="Q102">
        <v>3020</v>
      </c>
      <c r="R102">
        <v>3525</v>
      </c>
      <c r="S102">
        <v>4030</v>
      </c>
      <c r="T102">
        <v>4535</v>
      </c>
      <c r="U102">
        <v>5040</v>
      </c>
      <c r="V102">
        <v>2234</v>
      </c>
      <c r="W102">
        <v>1404</v>
      </c>
      <c r="X102">
        <v>1303</v>
      </c>
      <c r="Y102">
        <v>6050</v>
      </c>
    </row>
    <row r="103" spans="1:25" x14ac:dyDescent="0.2">
      <c r="A103">
        <v>102</v>
      </c>
      <c r="B103">
        <v>0</v>
      </c>
      <c r="C103">
        <v>4615</v>
      </c>
      <c r="D103">
        <v>7541</v>
      </c>
      <c r="E103">
        <v>20067</v>
      </c>
      <c r="F103">
        <v>53147</v>
      </c>
      <c r="G103">
        <v>139304</v>
      </c>
      <c r="H103">
        <v>362634</v>
      </c>
      <c r="I103">
        <v>934596</v>
      </c>
      <c r="J103">
        <v>2000</v>
      </c>
      <c r="K103">
        <v>7395</v>
      </c>
      <c r="L103">
        <v>2020</v>
      </c>
      <c r="M103">
        <v>1002</v>
      </c>
      <c r="N103">
        <v>1510</v>
      </c>
      <c r="O103">
        <v>2020</v>
      </c>
      <c r="P103">
        <v>2530</v>
      </c>
      <c r="Q103">
        <v>3040</v>
      </c>
      <c r="R103">
        <v>3550</v>
      </c>
      <c r="S103">
        <v>4060</v>
      </c>
      <c r="T103">
        <v>4570</v>
      </c>
      <c r="U103">
        <v>5080</v>
      </c>
      <c r="V103">
        <v>2250</v>
      </c>
      <c r="W103">
        <v>1408</v>
      </c>
      <c r="X103">
        <v>1306</v>
      </c>
      <c r="Y103">
        <v>6100</v>
      </c>
    </row>
    <row r="104" spans="1:25" x14ac:dyDescent="0.2">
      <c r="A104">
        <v>103</v>
      </c>
      <c r="B104">
        <v>0</v>
      </c>
      <c r="C104">
        <v>4685</v>
      </c>
      <c r="D104">
        <v>7692</v>
      </c>
      <c r="E104">
        <v>20670</v>
      </c>
      <c r="F104">
        <v>55273</v>
      </c>
      <c r="G104">
        <v>146270</v>
      </c>
      <c r="H104">
        <v>384393</v>
      </c>
      <c r="I104">
        <v>1000018</v>
      </c>
      <c r="J104">
        <v>2000</v>
      </c>
      <c r="K104">
        <v>7469</v>
      </c>
      <c r="L104">
        <v>2030</v>
      </c>
      <c r="M104">
        <v>1003</v>
      </c>
      <c r="N104">
        <v>1515</v>
      </c>
      <c r="O104">
        <v>2030</v>
      </c>
      <c r="P104">
        <v>2545</v>
      </c>
      <c r="Q104">
        <v>3060</v>
      </c>
      <c r="R104">
        <v>3575</v>
      </c>
      <c r="S104">
        <v>4090</v>
      </c>
      <c r="T104">
        <v>4605</v>
      </c>
      <c r="U104">
        <v>5120</v>
      </c>
      <c r="V104">
        <v>2266</v>
      </c>
      <c r="W104">
        <v>1412</v>
      </c>
      <c r="X104">
        <v>1309</v>
      </c>
      <c r="Y104">
        <v>6150</v>
      </c>
    </row>
    <row r="105" spans="1:25" x14ac:dyDescent="0.2">
      <c r="A105">
        <v>104</v>
      </c>
      <c r="B105">
        <v>0</v>
      </c>
      <c r="C105">
        <v>4756</v>
      </c>
      <c r="D105">
        <v>7846</v>
      </c>
      <c r="E105">
        <v>21291</v>
      </c>
      <c r="F105">
        <v>57484</v>
      </c>
      <c r="G105">
        <v>153584</v>
      </c>
      <c r="H105">
        <v>407457</v>
      </c>
      <c r="I105">
        <v>1070020</v>
      </c>
      <c r="J105">
        <v>2000</v>
      </c>
      <c r="K105">
        <v>7544</v>
      </c>
      <c r="L105">
        <v>2040</v>
      </c>
      <c r="M105">
        <v>1004</v>
      </c>
      <c r="N105">
        <v>1520</v>
      </c>
      <c r="O105">
        <v>2040</v>
      </c>
      <c r="P105">
        <v>2560</v>
      </c>
      <c r="Q105">
        <v>3080</v>
      </c>
      <c r="R105">
        <v>3600</v>
      </c>
      <c r="S105">
        <v>4120</v>
      </c>
      <c r="T105">
        <v>4640</v>
      </c>
      <c r="U105">
        <v>5160</v>
      </c>
      <c r="V105">
        <v>2282</v>
      </c>
      <c r="W105">
        <v>1416</v>
      </c>
      <c r="X105">
        <v>1312</v>
      </c>
      <c r="Y105">
        <v>6200</v>
      </c>
    </row>
    <row r="106" spans="1:25" x14ac:dyDescent="0.2">
      <c r="A106">
        <v>105</v>
      </c>
      <c r="B106">
        <v>0</v>
      </c>
      <c r="C106">
        <v>4828</v>
      </c>
      <c r="D106">
        <v>8003</v>
      </c>
      <c r="E106">
        <v>21930</v>
      </c>
      <c r="F106">
        <v>59784</v>
      </c>
      <c r="G106">
        <v>161264</v>
      </c>
      <c r="H106">
        <v>431905</v>
      </c>
      <c r="I106">
        <v>1144922</v>
      </c>
      <c r="J106">
        <v>2000</v>
      </c>
      <c r="K106">
        <v>7620</v>
      </c>
      <c r="L106">
        <v>2050</v>
      </c>
      <c r="M106">
        <v>1005</v>
      </c>
      <c r="N106">
        <v>1525</v>
      </c>
      <c r="O106">
        <v>2050</v>
      </c>
      <c r="P106">
        <v>2575</v>
      </c>
      <c r="Q106">
        <v>3100</v>
      </c>
      <c r="R106">
        <v>3625</v>
      </c>
      <c r="S106">
        <v>4150</v>
      </c>
      <c r="T106">
        <v>4675</v>
      </c>
      <c r="U106">
        <v>5200</v>
      </c>
      <c r="V106">
        <v>2298</v>
      </c>
      <c r="W106">
        <v>1420</v>
      </c>
      <c r="X106">
        <v>1315</v>
      </c>
      <c r="Y106">
        <v>6250</v>
      </c>
    </row>
    <row r="107" spans="1:25" x14ac:dyDescent="0.2">
      <c r="A107">
        <v>106</v>
      </c>
      <c r="B107">
        <v>0</v>
      </c>
      <c r="C107">
        <v>4901</v>
      </c>
      <c r="D107">
        <v>8164</v>
      </c>
      <c r="E107">
        <v>22588</v>
      </c>
      <c r="F107">
        <v>62176</v>
      </c>
      <c r="G107">
        <v>169328</v>
      </c>
      <c r="H107">
        <v>457820</v>
      </c>
      <c r="I107">
        <v>1225067</v>
      </c>
      <c r="J107">
        <v>2000</v>
      </c>
      <c r="K107">
        <v>7697</v>
      </c>
      <c r="L107">
        <v>2060</v>
      </c>
      <c r="M107">
        <v>1006</v>
      </c>
      <c r="N107">
        <v>1530</v>
      </c>
      <c r="O107">
        <v>2060</v>
      </c>
      <c r="P107">
        <v>2590</v>
      </c>
      <c r="Q107">
        <v>3120</v>
      </c>
      <c r="R107">
        <v>3650</v>
      </c>
      <c r="S107">
        <v>4180</v>
      </c>
      <c r="T107">
        <v>4710</v>
      </c>
      <c r="U107">
        <v>5240</v>
      </c>
      <c r="V107">
        <v>2314</v>
      </c>
      <c r="W107">
        <v>1424</v>
      </c>
      <c r="X107">
        <v>1318</v>
      </c>
      <c r="Y107">
        <v>6300</v>
      </c>
    </row>
    <row r="108" spans="1:25" x14ac:dyDescent="0.2">
      <c r="A108">
        <v>107</v>
      </c>
      <c r="B108">
        <v>0</v>
      </c>
      <c r="C108">
        <v>4975</v>
      </c>
      <c r="D108">
        <v>8328</v>
      </c>
      <c r="E108">
        <v>23266</v>
      </c>
      <c r="F108">
        <v>64664</v>
      </c>
      <c r="G108">
        <v>177795</v>
      </c>
      <c r="H108">
        <v>485290</v>
      </c>
      <c r="I108">
        <v>1310822</v>
      </c>
      <c r="J108">
        <v>2000</v>
      </c>
      <c r="K108">
        <v>7774</v>
      </c>
      <c r="L108">
        <v>2070</v>
      </c>
      <c r="M108">
        <v>1007</v>
      </c>
      <c r="N108">
        <v>1535</v>
      </c>
      <c r="O108">
        <v>2070</v>
      </c>
      <c r="P108">
        <v>2605</v>
      </c>
      <c r="Q108">
        <v>3140</v>
      </c>
      <c r="R108">
        <v>3675</v>
      </c>
      <c r="S108">
        <v>4210</v>
      </c>
      <c r="T108">
        <v>4745</v>
      </c>
      <c r="U108">
        <v>5280</v>
      </c>
      <c r="V108">
        <v>2330</v>
      </c>
      <c r="W108">
        <v>1428</v>
      </c>
      <c r="X108">
        <v>1321</v>
      </c>
      <c r="Y108">
        <v>6350</v>
      </c>
    </row>
    <row r="109" spans="1:25" x14ac:dyDescent="0.2">
      <c r="A109">
        <v>108</v>
      </c>
      <c r="B109">
        <v>0</v>
      </c>
      <c r="C109">
        <v>5050</v>
      </c>
      <c r="D109">
        <v>8495</v>
      </c>
      <c r="E109">
        <v>23964</v>
      </c>
      <c r="F109">
        <v>67251</v>
      </c>
      <c r="G109">
        <v>186685</v>
      </c>
      <c r="H109">
        <v>514408</v>
      </c>
      <c r="I109">
        <v>1402580</v>
      </c>
      <c r="J109">
        <v>2000</v>
      </c>
      <c r="K109">
        <v>7852</v>
      </c>
      <c r="L109">
        <v>2080</v>
      </c>
      <c r="M109">
        <v>1008</v>
      </c>
      <c r="N109">
        <v>1540</v>
      </c>
      <c r="O109">
        <v>2080</v>
      </c>
      <c r="P109">
        <v>2620</v>
      </c>
      <c r="Q109">
        <v>3160</v>
      </c>
      <c r="R109">
        <v>3700</v>
      </c>
      <c r="S109">
        <v>4240</v>
      </c>
      <c r="T109">
        <v>4780</v>
      </c>
      <c r="U109">
        <v>5320</v>
      </c>
      <c r="V109">
        <v>2346</v>
      </c>
      <c r="W109">
        <v>1432</v>
      </c>
      <c r="X109">
        <v>1324</v>
      </c>
      <c r="Y109">
        <v>6400</v>
      </c>
    </row>
    <row r="110" spans="1:25" x14ac:dyDescent="0.2">
      <c r="A110">
        <v>109</v>
      </c>
      <c r="B110">
        <v>0</v>
      </c>
      <c r="C110">
        <v>5126</v>
      </c>
      <c r="D110">
        <v>8665</v>
      </c>
      <c r="E110">
        <v>24683</v>
      </c>
      <c r="F110">
        <v>69942</v>
      </c>
      <c r="G110">
        <v>196020</v>
      </c>
      <c r="H110">
        <v>545273</v>
      </c>
      <c r="I110">
        <v>1500761</v>
      </c>
      <c r="J110">
        <v>2000</v>
      </c>
      <c r="K110">
        <v>7931</v>
      </c>
      <c r="L110">
        <v>2090</v>
      </c>
      <c r="M110">
        <v>1009</v>
      </c>
      <c r="N110">
        <v>1545</v>
      </c>
      <c r="O110">
        <v>2090</v>
      </c>
      <c r="P110">
        <v>2635</v>
      </c>
      <c r="Q110">
        <v>3180</v>
      </c>
      <c r="R110">
        <v>3725</v>
      </c>
      <c r="S110">
        <v>4270</v>
      </c>
      <c r="T110">
        <v>4815</v>
      </c>
      <c r="U110">
        <v>5360</v>
      </c>
      <c r="V110">
        <v>2362</v>
      </c>
      <c r="W110">
        <v>1436</v>
      </c>
      <c r="X110">
        <v>1327</v>
      </c>
      <c r="Y110">
        <v>6450</v>
      </c>
    </row>
    <row r="111" spans="1:25" x14ac:dyDescent="0.2">
      <c r="A111">
        <v>110</v>
      </c>
      <c r="B111">
        <v>0</v>
      </c>
      <c r="C111">
        <v>5203</v>
      </c>
      <c r="D111">
        <v>8839</v>
      </c>
      <c r="E111">
        <v>25424</v>
      </c>
      <c r="F111">
        <v>72740</v>
      </c>
      <c r="G111">
        <v>205821</v>
      </c>
      <c r="H111">
        <v>577990</v>
      </c>
      <c r="I111">
        <v>1605815</v>
      </c>
      <c r="J111">
        <v>2000</v>
      </c>
      <c r="K111">
        <v>8011</v>
      </c>
      <c r="L111">
        <v>2100</v>
      </c>
      <c r="M111">
        <v>1010</v>
      </c>
      <c r="N111">
        <v>1550</v>
      </c>
      <c r="O111">
        <v>2100</v>
      </c>
      <c r="P111">
        <v>2650</v>
      </c>
      <c r="Q111">
        <v>3200</v>
      </c>
      <c r="R111">
        <v>3750</v>
      </c>
      <c r="S111">
        <v>4300</v>
      </c>
      <c r="T111">
        <v>4850</v>
      </c>
      <c r="U111">
        <v>5400</v>
      </c>
      <c r="V111">
        <v>2378</v>
      </c>
      <c r="W111">
        <v>1440</v>
      </c>
      <c r="X111">
        <v>1330</v>
      </c>
      <c r="Y111">
        <v>6500</v>
      </c>
    </row>
    <row r="112" spans="1:25" x14ac:dyDescent="0.2">
      <c r="A112">
        <v>111</v>
      </c>
      <c r="B112">
        <v>0</v>
      </c>
      <c r="C112">
        <v>5282</v>
      </c>
      <c r="D112">
        <v>9016</v>
      </c>
      <c r="E112">
        <v>26187</v>
      </c>
      <c r="F112">
        <v>75650</v>
      </c>
      <c r="G112">
        <v>216113</v>
      </c>
      <c r="H112">
        <v>612670</v>
      </c>
      <c r="I112">
        <v>1718223</v>
      </c>
      <c r="J112">
        <v>2000</v>
      </c>
      <c r="K112">
        <v>8092</v>
      </c>
      <c r="L112">
        <v>2110</v>
      </c>
      <c r="M112">
        <v>1011</v>
      </c>
      <c r="N112">
        <v>1555</v>
      </c>
      <c r="O112">
        <v>2110</v>
      </c>
      <c r="P112">
        <v>2665</v>
      </c>
      <c r="Q112">
        <v>3220</v>
      </c>
      <c r="R112">
        <v>3775</v>
      </c>
      <c r="S112">
        <v>4330</v>
      </c>
      <c r="T112">
        <v>4885</v>
      </c>
      <c r="U112">
        <v>5440</v>
      </c>
      <c r="V112">
        <v>2394</v>
      </c>
      <c r="W112">
        <v>1444</v>
      </c>
      <c r="X112">
        <v>1333</v>
      </c>
      <c r="Y112">
        <v>6550</v>
      </c>
    </row>
    <row r="113" spans="1:25" x14ac:dyDescent="0.2">
      <c r="A113">
        <v>112</v>
      </c>
      <c r="B113">
        <v>0</v>
      </c>
      <c r="C113">
        <v>5362</v>
      </c>
      <c r="D113">
        <v>9197</v>
      </c>
      <c r="E113">
        <v>26973</v>
      </c>
      <c r="F113">
        <v>78676</v>
      </c>
      <c r="G113">
        <v>226919</v>
      </c>
      <c r="H113">
        <v>649431</v>
      </c>
      <c r="I113">
        <v>1838499</v>
      </c>
      <c r="J113">
        <v>2000</v>
      </c>
      <c r="K113">
        <v>8173</v>
      </c>
      <c r="L113">
        <v>2120</v>
      </c>
      <c r="M113">
        <v>1012</v>
      </c>
      <c r="N113">
        <v>1560</v>
      </c>
      <c r="O113">
        <v>2120</v>
      </c>
      <c r="P113">
        <v>2680</v>
      </c>
      <c r="Q113">
        <v>3240</v>
      </c>
      <c r="R113">
        <v>3800</v>
      </c>
      <c r="S113">
        <v>4360</v>
      </c>
      <c r="T113">
        <v>4920</v>
      </c>
      <c r="U113">
        <v>5480</v>
      </c>
      <c r="V113">
        <v>2410</v>
      </c>
      <c r="W113">
        <v>1448</v>
      </c>
      <c r="X113">
        <v>1336</v>
      </c>
      <c r="Y113">
        <v>6600</v>
      </c>
    </row>
    <row r="114" spans="1:25" x14ac:dyDescent="0.2">
      <c r="A114">
        <v>113</v>
      </c>
      <c r="B114">
        <v>0</v>
      </c>
      <c r="C114">
        <v>5443</v>
      </c>
      <c r="D114">
        <v>9381</v>
      </c>
      <c r="E114">
        <v>27783</v>
      </c>
      <c r="F114">
        <v>81824</v>
      </c>
      <c r="G114">
        <v>238265</v>
      </c>
      <c r="H114">
        <v>688397</v>
      </c>
      <c r="I114">
        <v>1967194</v>
      </c>
      <c r="J114">
        <v>2000</v>
      </c>
      <c r="K114">
        <v>8255</v>
      </c>
      <c r="L114">
        <v>2130</v>
      </c>
      <c r="M114">
        <v>1013</v>
      </c>
      <c r="N114">
        <v>1565</v>
      </c>
      <c r="O114">
        <v>2130</v>
      </c>
      <c r="P114">
        <v>2695</v>
      </c>
      <c r="Q114">
        <v>3260</v>
      </c>
      <c r="R114">
        <v>3825</v>
      </c>
      <c r="S114">
        <v>4390</v>
      </c>
      <c r="T114">
        <v>4955</v>
      </c>
      <c r="U114">
        <v>5520</v>
      </c>
      <c r="V114">
        <v>2427</v>
      </c>
      <c r="W114">
        <v>1452</v>
      </c>
      <c r="X114">
        <v>1339</v>
      </c>
      <c r="Y114">
        <v>6650</v>
      </c>
    </row>
    <row r="115" spans="1:25" x14ac:dyDescent="0.2">
      <c r="A115">
        <v>114</v>
      </c>
      <c r="B115">
        <v>0</v>
      </c>
      <c r="C115">
        <v>5525</v>
      </c>
      <c r="D115">
        <v>9569</v>
      </c>
      <c r="E115">
        <v>28617</v>
      </c>
      <c r="F115">
        <v>85097</v>
      </c>
      <c r="G115">
        <v>250179</v>
      </c>
      <c r="H115">
        <v>729701</v>
      </c>
      <c r="I115">
        <v>2104898</v>
      </c>
      <c r="J115">
        <v>2000</v>
      </c>
      <c r="K115">
        <v>8338</v>
      </c>
      <c r="L115">
        <v>2140</v>
      </c>
      <c r="M115">
        <v>1014</v>
      </c>
      <c r="N115">
        <v>1570</v>
      </c>
      <c r="O115">
        <v>2140</v>
      </c>
      <c r="P115">
        <v>2710</v>
      </c>
      <c r="Q115">
        <v>3280</v>
      </c>
      <c r="R115">
        <v>3850</v>
      </c>
      <c r="S115">
        <v>4420</v>
      </c>
      <c r="T115">
        <v>4990</v>
      </c>
      <c r="U115">
        <v>5560</v>
      </c>
      <c r="V115">
        <v>2444</v>
      </c>
      <c r="W115">
        <v>1456</v>
      </c>
      <c r="X115">
        <v>1342</v>
      </c>
      <c r="Y115">
        <v>6700</v>
      </c>
    </row>
    <row r="116" spans="1:25" x14ac:dyDescent="0.2">
      <c r="A116">
        <v>115</v>
      </c>
      <c r="B116">
        <v>0</v>
      </c>
      <c r="C116">
        <v>5608</v>
      </c>
      <c r="D116">
        <v>9761</v>
      </c>
      <c r="E116">
        <v>29476</v>
      </c>
      <c r="F116">
        <v>88501</v>
      </c>
      <c r="G116">
        <v>262688</v>
      </c>
      <c r="H116">
        <v>773484</v>
      </c>
      <c r="I116">
        <v>2252241</v>
      </c>
      <c r="J116">
        <v>2000</v>
      </c>
      <c r="K116">
        <v>8422</v>
      </c>
      <c r="L116">
        <v>2150</v>
      </c>
      <c r="M116">
        <v>1015</v>
      </c>
      <c r="N116">
        <v>1575</v>
      </c>
      <c r="O116">
        <v>2150</v>
      </c>
      <c r="P116">
        <v>2725</v>
      </c>
      <c r="Q116">
        <v>3300</v>
      </c>
      <c r="R116">
        <v>3875</v>
      </c>
      <c r="S116">
        <v>4450</v>
      </c>
      <c r="T116">
        <v>5025</v>
      </c>
      <c r="U116">
        <v>5600</v>
      </c>
      <c r="V116">
        <v>2461</v>
      </c>
      <c r="W116">
        <v>1460</v>
      </c>
      <c r="X116">
        <v>1345</v>
      </c>
      <c r="Y116">
        <v>6750</v>
      </c>
    </row>
    <row r="117" spans="1:25" x14ac:dyDescent="0.2">
      <c r="A117">
        <v>116</v>
      </c>
      <c r="B117">
        <v>0</v>
      </c>
      <c r="C117">
        <v>5693</v>
      </c>
      <c r="D117">
        <v>9957</v>
      </c>
      <c r="E117">
        <v>30361</v>
      </c>
      <c r="F117">
        <v>92042</v>
      </c>
      <c r="G117">
        <v>275823</v>
      </c>
      <c r="H117">
        <v>819894</v>
      </c>
      <c r="I117">
        <v>2409898</v>
      </c>
      <c r="J117">
        <v>2000</v>
      </c>
      <c r="K117">
        <v>8507</v>
      </c>
      <c r="L117">
        <v>2160</v>
      </c>
      <c r="M117">
        <v>1016</v>
      </c>
      <c r="N117">
        <v>1580</v>
      </c>
      <c r="O117">
        <v>2160</v>
      </c>
      <c r="P117">
        <v>2740</v>
      </c>
      <c r="Q117">
        <v>3320</v>
      </c>
      <c r="R117">
        <v>3900</v>
      </c>
      <c r="S117">
        <v>4480</v>
      </c>
      <c r="T117">
        <v>5060</v>
      </c>
      <c r="U117">
        <v>5640</v>
      </c>
      <c r="V117">
        <v>2478</v>
      </c>
      <c r="W117">
        <v>1464</v>
      </c>
      <c r="X117">
        <v>1348</v>
      </c>
      <c r="Y117">
        <v>6800</v>
      </c>
    </row>
    <row r="118" spans="1:25" x14ac:dyDescent="0.2">
      <c r="A118">
        <v>117</v>
      </c>
      <c r="B118">
        <v>0</v>
      </c>
      <c r="C118">
        <v>5779</v>
      </c>
      <c r="D118">
        <v>10157</v>
      </c>
      <c r="E118">
        <v>31272</v>
      </c>
      <c r="F118">
        <v>95724</v>
      </c>
      <c r="G118">
        <v>289615</v>
      </c>
      <c r="H118">
        <v>869088</v>
      </c>
      <c r="I118">
        <v>2578591</v>
      </c>
      <c r="J118">
        <v>2000</v>
      </c>
      <c r="K118">
        <v>8593</v>
      </c>
      <c r="L118">
        <v>2170</v>
      </c>
      <c r="M118">
        <v>1017</v>
      </c>
      <c r="N118">
        <v>1585</v>
      </c>
      <c r="O118">
        <v>2170</v>
      </c>
      <c r="P118">
        <v>2755</v>
      </c>
      <c r="Q118">
        <v>3340</v>
      </c>
      <c r="R118">
        <v>3925</v>
      </c>
      <c r="S118">
        <v>4510</v>
      </c>
      <c r="T118">
        <v>5095</v>
      </c>
      <c r="U118">
        <v>5680</v>
      </c>
      <c r="V118">
        <v>2495</v>
      </c>
      <c r="W118">
        <v>1468</v>
      </c>
      <c r="X118">
        <v>1351</v>
      </c>
      <c r="Y118">
        <v>6850</v>
      </c>
    </row>
    <row r="119" spans="1:25" x14ac:dyDescent="0.2">
      <c r="A119">
        <v>118</v>
      </c>
      <c r="B119">
        <v>0</v>
      </c>
      <c r="C119">
        <v>5866</v>
      </c>
      <c r="D119">
        <v>10361</v>
      </c>
      <c r="E119">
        <v>32211</v>
      </c>
      <c r="F119">
        <v>99553</v>
      </c>
      <c r="G119">
        <v>304096</v>
      </c>
      <c r="H119">
        <v>921234</v>
      </c>
      <c r="I119">
        <v>2759093</v>
      </c>
      <c r="J119">
        <v>2000</v>
      </c>
      <c r="K119">
        <v>8679</v>
      </c>
      <c r="L119">
        <v>2180</v>
      </c>
      <c r="M119">
        <v>1018</v>
      </c>
      <c r="N119">
        <v>1590</v>
      </c>
      <c r="O119">
        <v>2180</v>
      </c>
      <c r="P119">
        <v>2770</v>
      </c>
      <c r="Q119">
        <v>3360</v>
      </c>
      <c r="R119">
        <v>3950</v>
      </c>
      <c r="S119">
        <v>4540</v>
      </c>
      <c r="T119">
        <v>5130</v>
      </c>
      <c r="U119">
        <v>5720</v>
      </c>
      <c r="V119">
        <v>2512</v>
      </c>
      <c r="W119">
        <v>1472</v>
      </c>
      <c r="X119">
        <v>1354</v>
      </c>
      <c r="Y119">
        <v>6900</v>
      </c>
    </row>
    <row r="120" spans="1:25" x14ac:dyDescent="0.2">
      <c r="A120">
        <v>119</v>
      </c>
      <c r="B120">
        <v>0</v>
      </c>
      <c r="C120">
        <v>5954</v>
      </c>
      <c r="D120">
        <v>10569</v>
      </c>
      <c r="E120">
        <v>33178</v>
      </c>
      <c r="F120">
        <v>103536</v>
      </c>
      <c r="G120">
        <v>319301</v>
      </c>
      <c r="H120">
        <v>976509</v>
      </c>
      <c r="I120">
        <v>2952230</v>
      </c>
      <c r="J120">
        <v>2000</v>
      </c>
      <c r="K120">
        <v>8766</v>
      </c>
      <c r="L120">
        <v>2190</v>
      </c>
      <c r="M120">
        <v>1019</v>
      </c>
      <c r="N120">
        <v>1595</v>
      </c>
      <c r="O120">
        <v>2190</v>
      </c>
      <c r="P120">
        <v>2785</v>
      </c>
      <c r="Q120">
        <v>3380</v>
      </c>
      <c r="R120">
        <v>3975</v>
      </c>
      <c r="S120">
        <v>4570</v>
      </c>
      <c r="T120">
        <v>5165</v>
      </c>
      <c r="U120">
        <v>5760</v>
      </c>
      <c r="V120">
        <v>2529</v>
      </c>
      <c r="W120">
        <v>1476</v>
      </c>
      <c r="X120">
        <v>1357</v>
      </c>
      <c r="Y120">
        <v>6950</v>
      </c>
    </row>
    <row r="121" spans="1:25" x14ac:dyDescent="0.2">
      <c r="A121">
        <v>120</v>
      </c>
      <c r="B121">
        <v>0</v>
      </c>
      <c r="C121">
        <v>6044</v>
      </c>
      <c r="D121">
        <v>10781</v>
      </c>
      <c r="E121">
        <v>34174</v>
      </c>
      <c r="F121">
        <v>107678</v>
      </c>
      <c r="G121">
        <v>335267</v>
      </c>
      <c r="H121">
        <v>1035100</v>
      </c>
      <c r="I121">
        <v>3158887</v>
      </c>
      <c r="J121">
        <v>2000</v>
      </c>
      <c r="K121">
        <v>8854</v>
      </c>
      <c r="L121">
        <v>2200</v>
      </c>
      <c r="M121">
        <v>1020</v>
      </c>
      <c r="N121">
        <v>1600</v>
      </c>
      <c r="O121">
        <v>2200</v>
      </c>
      <c r="P121">
        <v>2800</v>
      </c>
      <c r="Q121">
        <v>3400</v>
      </c>
      <c r="R121">
        <v>4000</v>
      </c>
      <c r="S121">
        <v>4600</v>
      </c>
      <c r="T121">
        <v>5200</v>
      </c>
      <c r="U121">
        <v>5800</v>
      </c>
      <c r="V121">
        <v>2546</v>
      </c>
      <c r="W121">
        <v>1480</v>
      </c>
      <c r="X121">
        <v>1360</v>
      </c>
      <c r="Y121">
        <v>7000</v>
      </c>
    </row>
    <row r="122" spans="1:25" x14ac:dyDescent="0.2">
      <c r="A122">
        <v>121</v>
      </c>
      <c r="B122">
        <v>0</v>
      </c>
      <c r="C122">
        <v>6135</v>
      </c>
      <c r="D122">
        <v>10997</v>
      </c>
      <c r="E122">
        <v>35200</v>
      </c>
      <c r="F122">
        <v>111986</v>
      </c>
      <c r="G122">
        <v>352031</v>
      </c>
      <c r="H122">
        <v>1097206</v>
      </c>
      <c r="I122">
        <v>3380010</v>
      </c>
      <c r="J122">
        <v>2000</v>
      </c>
      <c r="K122">
        <v>8943</v>
      </c>
      <c r="L122">
        <v>2210</v>
      </c>
      <c r="M122">
        <v>1021</v>
      </c>
      <c r="N122">
        <v>1605</v>
      </c>
      <c r="O122">
        <v>2210</v>
      </c>
      <c r="P122">
        <v>2815</v>
      </c>
      <c r="Q122">
        <v>3420</v>
      </c>
      <c r="R122">
        <v>4025</v>
      </c>
      <c r="S122">
        <v>4630</v>
      </c>
      <c r="T122">
        <v>5235</v>
      </c>
      <c r="U122">
        <v>5840</v>
      </c>
      <c r="V122">
        <v>2563</v>
      </c>
      <c r="W122">
        <v>1484</v>
      </c>
      <c r="X122">
        <v>1363</v>
      </c>
      <c r="Y122">
        <v>7010</v>
      </c>
    </row>
    <row r="123" spans="1:25" x14ac:dyDescent="0.2">
      <c r="A123">
        <v>122</v>
      </c>
      <c r="B123">
        <v>0</v>
      </c>
      <c r="C123">
        <v>6228</v>
      </c>
      <c r="D123">
        <v>11217</v>
      </c>
      <c r="E123">
        <v>36256</v>
      </c>
      <c r="F123">
        <v>116466</v>
      </c>
      <c r="G123">
        <v>369633</v>
      </c>
      <c r="H123">
        <v>1163039</v>
      </c>
      <c r="I123">
        <v>3616611</v>
      </c>
      <c r="J123">
        <v>2000</v>
      </c>
      <c r="K123">
        <v>9033</v>
      </c>
      <c r="L123">
        <v>2220</v>
      </c>
      <c r="M123">
        <v>1022</v>
      </c>
      <c r="N123">
        <v>1610</v>
      </c>
      <c r="O123">
        <v>2220</v>
      </c>
      <c r="P123">
        <v>2830</v>
      </c>
      <c r="Q123">
        <v>3440</v>
      </c>
      <c r="R123">
        <v>4050</v>
      </c>
      <c r="S123">
        <v>4660</v>
      </c>
      <c r="T123">
        <v>5270</v>
      </c>
      <c r="U123">
        <v>5880</v>
      </c>
      <c r="V123">
        <v>2580</v>
      </c>
      <c r="W123">
        <v>1488</v>
      </c>
      <c r="X123">
        <v>1366</v>
      </c>
      <c r="Y123">
        <v>7020</v>
      </c>
    </row>
    <row r="124" spans="1:25" x14ac:dyDescent="0.2">
      <c r="A124">
        <v>123</v>
      </c>
      <c r="B124">
        <v>0</v>
      </c>
      <c r="C124">
        <v>6322</v>
      </c>
      <c r="D124">
        <v>11442</v>
      </c>
      <c r="E124">
        <v>37344</v>
      </c>
      <c r="F124">
        <v>121125</v>
      </c>
      <c r="G124">
        <v>388115</v>
      </c>
      <c r="H124">
        <v>1232822</v>
      </c>
      <c r="I124">
        <v>3869774</v>
      </c>
      <c r="J124">
        <v>2000</v>
      </c>
      <c r="K124">
        <v>9124</v>
      </c>
      <c r="L124">
        <v>2230</v>
      </c>
      <c r="M124">
        <v>1023</v>
      </c>
      <c r="N124">
        <v>1615</v>
      </c>
      <c r="O124">
        <v>2230</v>
      </c>
      <c r="P124">
        <v>2845</v>
      </c>
      <c r="Q124">
        <v>3460</v>
      </c>
      <c r="R124">
        <v>4075</v>
      </c>
      <c r="S124">
        <v>4690</v>
      </c>
      <c r="T124">
        <v>5305</v>
      </c>
      <c r="U124">
        <v>5920</v>
      </c>
      <c r="V124">
        <v>2597</v>
      </c>
      <c r="W124">
        <v>1492</v>
      </c>
      <c r="X124">
        <v>1369</v>
      </c>
      <c r="Y124">
        <v>7030</v>
      </c>
    </row>
    <row r="125" spans="1:25" x14ac:dyDescent="0.2">
      <c r="A125">
        <v>124</v>
      </c>
      <c r="B125">
        <v>0</v>
      </c>
      <c r="C125">
        <v>6417</v>
      </c>
      <c r="D125">
        <v>11671</v>
      </c>
      <c r="E125">
        <v>38465</v>
      </c>
      <c r="F125">
        <v>125970</v>
      </c>
      <c r="G125">
        <v>407521</v>
      </c>
      <c r="H125">
        <v>1306792</v>
      </c>
      <c r="I125">
        <v>4140659</v>
      </c>
      <c r="J125">
        <v>2000</v>
      </c>
      <c r="K125">
        <v>9216</v>
      </c>
      <c r="L125">
        <v>2240</v>
      </c>
      <c r="M125">
        <v>1024</v>
      </c>
      <c r="N125">
        <v>1620</v>
      </c>
      <c r="O125">
        <v>2240</v>
      </c>
      <c r="P125">
        <v>2860</v>
      </c>
      <c r="Q125">
        <v>3480</v>
      </c>
      <c r="R125">
        <v>4100</v>
      </c>
      <c r="S125">
        <v>4720</v>
      </c>
      <c r="T125">
        <v>5340</v>
      </c>
      <c r="U125">
        <v>5960</v>
      </c>
      <c r="V125">
        <v>2615</v>
      </c>
      <c r="W125">
        <v>1496</v>
      </c>
      <c r="X125">
        <v>1372</v>
      </c>
      <c r="Y125">
        <v>7040</v>
      </c>
    </row>
    <row r="126" spans="1:25" x14ac:dyDescent="0.2">
      <c r="A126">
        <v>125</v>
      </c>
      <c r="B126">
        <v>0</v>
      </c>
      <c r="C126">
        <v>6514</v>
      </c>
      <c r="D126">
        <v>11905</v>
      </c>
      <c r="E126">
        <v>39619</v>
      </c>
      <c r="F126">
        <v>131009</v>
      </c>
      <c r="G126">
        <v>427898</v>
      </c>
      <c r="H126">
        <v>1385200</v>
      </c>
      <c r="I126">
        <v>4430506</v>
      </c>
      <c r="J126">
        <v>2000</v>
      </c>
      <c r="K126">
        <v>9309</v>
      </c>
      <c r="L126">
        <v>2250</v>
      </c>
      <c r="M126">
        <v>1025</v>
      </c>
      <c r="N126">
        <v>1625</v>
      </c>
      <c r="O126">
        <v>2250</v>
      </c>
      <c r="P126">
        <v>2875</v>
      </c>
      <c r="Q126">
        <v>3500</v>
      </c>
      <c r="R126">
        <v>4125</v>
      </c>
      <c r="S126">
        <v>4750</v>
      </c>
      <c r="T126">
        <v>5375</v>
      </c>
      <c r="U126">
        <v>6000</v>
      </c>
      <c r="V126">
        <v>2633</v>
      </c>
      <c r="W126">
        <v>1500</v>
      </c>
      <c r="X126">
        <v>1375</v>
      </c>
      <c r="Y126">
        <v>7050</v>
      </c>
    </row>
    <row r="127" spans="1:25" x14ac:dyDescent="0.2">
      <c r="A127">
        <v>126</v>
      </c>
      <c r="B127">
        <v>0</v>
      </c>
      <c r="C127">
        <v>6612</v>
      </c>
      <c r="D127">
        <v>12144</v>
      </c>
      <c r="E127">
        <v>40808</v>
      </c>
      <c r="F127">
        <v>136250</v>
      </c>
      <c r="G127">
        <v>449293</v>
      </c>
      <c r="H127">
        <v>1468312</v>
      </c>
      <c r="I127">
        <v>4740642</v>
      </c>
      <c r="J127">
        <v>2000</v>
      </c>
      <c r="K127">
        <v>9403</v>
      </c>
      <c r="L127">
        <v>2260</v>
      </c>
      <c r="M127">
        <v>1026</v>
      </c>
      <c r="N127">
        <v>1630</v>
      </c>
      <c r="O127">
        <v>2260</v>
      </c>
      <c r="P127">
        <v>2890</v>
      </c>
      <c r="Q127">
        <v>3520</v>
      </c>
      <c r="R127">
        <v>4150</v>
      </c>
      <c r="S127">
        <v>4780</v>
      </c>
      <c r="T127">
        <v>5410</v>
      </c>
      <c r="U127">
        <v>6040</v>
      </c>
      <c r="V127">
        <v>2651</v>
      </c>
      <c r="W127">
        <v>1504</v>
      </c>
      <c r="X127">
        <v>1378</v>
      </c>
      <c r="Y127">
        <v>7060</v>
      </c>
    </row>
    <row r="128" spans="1:25" x14ac:dyDescent="0.2">
      <c r="A128">
        <v>127</v>
      </c>
      <c r="B128">
        <v>0</v>
      </c>
      <c r="C128">
        <v>6712</v>
      </c>
      <c r="D128">
        <v>12387</v>
      </c>
      <c r="E128">
        <v>42033</v>
      </c>
      <c r="F128">
        <v>141700</v>
      </c>
      <c r="G128">
        <v>471758</v>
      </c>
      <c r="H128">
        <v>1556411</v>
      </c>
      <c r="I128">
        <v>5072487</v>
      </c>
      <c r="J128">
        <v>2000</v>
      </c>
      <c r="K128">
        <v>9498</v>
      </c>
      <c r="L128">
        <v>2270</v>
      </c>
      <c r="M128">
        <v>1027</v>
      </c>
      <c r="N128">
        <v>1635</v>
      </c>
      <c r="O128">
        <v>2270</v>
      </c>
      <c r="P128">
        <v>2905</v>
      </c>
      <c r="Q128">
        <v>3540</v>
      </c>
      <c r="R128">
        <v>4175</v>
      </c>
      <c r="S128">
        <v>4810</v>
      </c>
      <c r="T128">
        <v>5445</v>
      </c>
      <c r="U128">
        <v>6080</v>
      </c>
      <c r="V128">
        <v>2669</v>
      </c>
      <c r="W128">
        <v>1508</v>
      </c>
      <c r="X128">
        <v>1381</v>
      </c>
      <c r="Y128">
        <v>7070</v>
      </c>
    </row>
    <row r="129" spans="1:25" x14ac:dyDescent="0.2">
      <c r="A129">
        <v>128</v>
      </c>
      <c r="B129">
        <v>0</v>
      </c>
      <c r="C129">
        <v>6813</v>
      </c>
      <c r="D129">
        <v>12635</v>
      </c>
      <c r="E129">
        <v>43294</v>
      </c>
      <c r="F129">
        <v>147368</v>
      </c>
      <c r="G129">
        <v>495346</v>
      </c>
      <c r="H129">
        <v>1649796</v>
      </c>
      <c r="I129">
        <v>5427562</v>
      </c>
      <c r="J129">
        <v>2000</v>
      </c>
      <c r="K129">
        <v>9593</v>
      </c>
      <c r="L129">
        <v>2280</v>
      </c>
      <c r="M129">
        <v>1028</v>
      </c>
      <c r="N129">
        <v>1640</v>
      </c>
      <c r="O129">
        <v>2280</v>
      </c>
      <c r="P129">
        <v>2920</v>
      </c>
      <c r="Q129">
        <v>3560</v>
      </c>
      <c r="R129">
        <v>4200</v>
      </c>
      <c r="S129">
        <v>4840</v>
      </c>
      <c r="T129">
        <v>5480</v>
      </c>
      <c r="U129">
        <v>6120</v>
      </c>
      <c r="V129">
        <v>2687</v>
      </c>
      <c r="W129">
        <v>1512</v>
      </c>
      <c r="X129">
        <v>1384</v>
      </c>
      <c r="Y129">
        <v>7080</v>
      </c>
    </row>
    <row r="130" spans="1:25" x14ac:dyDescent="0.2">
      <c r="A130">
        <v>129</v>
      </c>
      <c r="B130">
        <v>0</v>
      </c>
      <c r="C130">
        <v>6916</v>
      </c>
      <c r="D130">
        <v>12888</v>
      </c>
      <c r="E130">
        <v>44593</v>
      </c>
      <c r="F130">
        <v>153263</v>
      </c>
      <c r="G130">
        <v>520114</v>
      </c>
      <c r="H130">
        <v>1748784</v>
      </c>
      <c r="I130">
        <v>5807492</v>
      </c>
      <c r="J130">
        <v>2000</v>
      </c>
      <c r="K130">
        <v>9689</v>
      </c>
      <c r="L130">
        <v>2290</v>
      </c>
      <c r="M130">
        <v>1029</v>
      </c>
      <c r="N130">
        <v>1645</v>
      </c>
      <c r="O130">
        <v>2290</v>
      </c>
      <c r="P130">
        <v>2935</v>
      </c>
      <c r="Q130">
        <v>3580</v>
      </c>
      <c r="R130">
        <v>4225</v>
      </c>
      <c r="S130">
        <v>4870</v>
      </c>
      <c r="T130">
        <v>5515</v>
      </c>
      <c r="U130">
        <v>6160</v>
      </c>
      <c r="V130">
        <v>2705</v>
      </c>
      <c r="W130">
        <v>1516</v>
      </c>
      <c r="X130">
        <v>1387</v>
      </c>
      <c r="Y130">
        <v>7090</v>
      </c>
    </row>
    <row r="131" spans="1:25" x14ac:dyDescent="0.2">
      <c r="A131">
        <v>130</v>
      </c>
      <c r="B131">
        <v>0</v>
      </c>
      <c r="C131">
        <v>7020</v>
      </c>
      <c r="D131">
        <v>13146</v>
      </c>
      <c r="E131">
        <v>45931</v>
      </c>
      <c r="F131">
        <v>159394</v>
      </c>
      <c r="G131">
        <v>546120</v>
      </c>
      <c r="H131">
        <v>1853712</v>
      </c>
      <c r="I131">
        <v>6214017</v>
      </c>
      <c r="J131">
        <v>2000</v>
      </c>
      <c r="K131">
        <v>9786</v>
      </c>
      <c r="L131">
        <v>2300</v>
      </c>
      <c r="M131">
        <v>1030</v>
      </c>
      <c r="N131">
        <v>1650</v>
      </c>
      <c r="O131">
        <v>2300</v>
      </c>
      <c r="P131">
        <v>2950</v>
      </c>
      <c r="Q131">
        <v>3600</v>
      </c>
      <c r="R131">
        <v>4250</v>
      </c>
      <c r="S131">
        <v>4900</v>
      </c>
      <c r="T131">
        <v>5550</v>
      </c>
      <c r="U131">
        <v>6200</v>
      </c>
      <c r="V131">
        <v>2723</v>
      </c>
      <c r="W131">
        <v>1520</v>
      </c>
      <c r="X131">
        <v>1390</v>
      </c>
      <c r="Y131">
        <v>7100</v>
      </c>
    </row>
    <row r="132" spans="1:25" x14ac:dyDescent="0.2">
      <c r="A132">
        <v>131</v>
      </c>
      <c r="B132">
        <v>0</v>
      </c>
      <c r="C132">
        <v>7126</v>
      </c>
      <c r="D132">
        <v>13409</v>
      </c>
      <c r="E132">
        <v>47309</v>
      </c>
      <c r="F132">
        <v>165770</v>
      </c>
      <c r="G132">
        <v>573426</v>
      </c>
      <c r="H132">
        <v>1964935</v>
      </c>
      <c r="I132">
        <v>6648999</v>
      </c>
      <c r="J132">
        <v>2000</v>
      </c>
      <c r="K132">
        <v>9884</v>
      </c>
      <c r="L132">
        <v>2310</v>
      </c>
      <c r="M132">
        <v>1031</v>
      </c>
      <c r="N132">
        <v>1655</v>
      </c>
      <c r="O132">
        <v>2310</v>
      </c>
      <c r="P132">
        <v>2965</v>
      </c>
      <c r="Q132">
        <v>3620</v>
      </c>
      <c r="R132">
        <v>4275</v>
      </c>
      <c r="S132">
        <v>4930</v>
      </c>
      <c r="T132">
        <v>5585</v>
      </c>
      <c r="U132">
        <v>6240</v>
      </c>
      <c r="V132">
        <v>2741</v>
      </c>
      <c r="W132">
        <v>1524</v>
      </c>
      <c r="X132">
        <v>1393</v>
      </c>
      <c r="Y132">
        <v>7110</v>
      </c>
    </row>
    <row r="133" spans="1:25" x14ac:dyDescent="0.2">
      <c r="A133">
        <v>132</v>
      </c>
      <c r="B133">
        <v>0</v>
      </c>
      <c r="C133">
        <v>7233</v>
      </c>
      <c r="D133">
        <v>13678</v>
      </c>
      <c r="E133">
        <v>48729</v>
      </c>
      <c r="F133">
        <v>172401</v>
      </c>
      <c r="G133">
        <v>602098</v>
      </c>
      <c r="H133">
        <v>2082832</v>
      </c>
      <c r="I133">
        <v>7114429</v>
      </c>
      <c r="J133">
        <v>2000</v>
      </c>
      <c r="K133">
        <v>9983</v>
      </c>
      <c r="L133">
        <v>2320</v>
      </c>
      <c r="M133">
        <v>1032</v>
      </c>
      <c r="N133">
        <v>1660</v>
      </c>
      <c r="O133">
        <v>2320</v>
      </c>
      <c r="P133">
        <v>2980</v>
      </c>
      <c r="Q133">
        <v>3640</v>
      </c>
      <c r="R133">
        <v>4300</v>
      </c>
      <c r="S133">
        <v>4960</v>
      </c>
      <c r="T133">
        <v>5620</v>
      </c>
      <c r="U133">
        <v>6280</v>
      </c>
      <c r="V133">
        <v>2759</v>
      </c>
      <c r="W133">
        <v>1528</v>
      </c>
      <c r="X133">
        <v>1396</v>
      </c>
      <c r="Y133">
        <v>7120</v>
      </c>
    </row>
    <row r="134" spans="1:25" x14ac:dyDescent="0.2">
      <c r="A134">
        <v>133</v>
      </c>
      <c r="B134">
        <v>0</v>
      </c>
      <c r="C134">
        <v>7342</v>
      </c>
      <c r="D134">
        <v>13952</v>
      </c>
      <c r="E134">
        <v>50191</v>
      </c>
      <c r="F134">
        <v>179298</v>
      </c>
      <c r="G134">
        <v>632203</v>
      </c>
      <c r="H134">
        <v>2207802</v>
      </c>
      <c r="I134">
        <v>7612440</v>
      </c>
      <c r="J134">
        <v>2000</v>
      </c>
      <c r="K134">
        <v>10083</v>
      </c>
      <c r="L134">
        <v>2330</v>
      </c>
      <c r="M134">
        <v>1033</v>
      </c>
      <c r="N134">
        <v>1665</v>
      </c>
      <c r="O134">
        <v>2330</v>
      </c>
      <c r="P134">
        <v>2995</v>
      </c>
      <c r="Q134">
        <v>3660</v>
      </c>
      <c r="R134">
        <v>4325</v>
      </c>
      <c r="S134">
        <v>4990</v>
      </c>
      <c r="T134">
        <v>5655</v>
      </c>
      <c r="U134">
        <v>6320</v>
      </c>
      <c r="V134">
        <v>2777</v>
      </c>
      <c r="W134">
        <v>1532</v>
      </c>
      <c r="X134">
        <v>1399</v>
      </c>
      <c r="Y134">
        <v>7130</v>
      </c>
    </row>
    <row r="135" spans="1:25" x14ac:dyDescent="0.2">
      <c r="A135">
        <v>134</v>
      </c>
      <c r="B135">
        <v>0</v>
      </c>
      <c r="C135">
        <v>7453</v>
      </c>
      <c r="D135">
        <v>14232</v>
      </c>
      <c r="E135">
        <v>51697</v>
      </c>
      <c r="F135">
        <v>186470</v>
      </c>
      <c r="G135">
        <v>663814</v>
      </c>
      <c r="H135">
        <v>2340271</v>
      </c>
      <c r="I135">
        <v>8145311</v>
      </c>
      <c r="J135">
        <v>2000</v>
      </c>
      <c r="K135">
        <v>10184</v>
      </c>
      <c r="L135">
        <v>2340</v>
      </c>
      <c r="M135">
        <v>1034</v>
      </c>
      <c r="N135">
        <v>1670</v>
      </c>
      <c r="O135">
        <v>2340</v>
      </c>
      <c r="P135">
        <v>3010</v>
      </c>
      <c r="Q135">
        <v>3680</v>
      </c>
      <c r="R135">
        <v>4350</v>
      </c>
      <c r="S135">
        <v>5020</v>
      </c>
      <c r="T135">
        <v>5690</v>
      </c>
      <c r="U135">
        <v>6360</v>
      </c>
      <c r="V135">
        <v>2795</v>
      </c>
      <c r="W135">
        <v>1536</v>
      </c>
      <c r="X135">
        <v>1402</v>
      </c>
      <c r="Y135">
        <v>7140</v>
      </c>
    </row>
    <row r="136" spans="1:25" x14ac:dyDescent="0.2">
      <c r="A136">
        <v>135</v>
      </c>
      <c r="B136">
        <v>0</v>
      </c>
      <c r="C136">
        <v>7565</v>
      </c>
      <c r="D136">
        <v>14517</v>
      </c>
      <c r="E136">
        <v>53248</v>
      </c>
      <c r="F136">
        <v>193929</v>
      </c>
      <c r="G136">
        <v>697005</v>
      </c>
      <c r="H136">
        <v>2480688</v>
      </c>
      <c r="I136">
        <v>8715483</v>
      </c>
      <c r="J136">
        <v>2000</v>
      </c>
      <c r="K136">
        <v>10286</v>
      </c>
      <c r="L136">
        <v>2350</v>
      </c>
      <c r="M136">
        <v>1035</v>
      </c>
      <c r="N136">
        <v>1675</v>
      </c>
      <c r="O136">
        <v>2350</v>
      </c>
      <c r="P136">
        <v>3025</v>
      </c>
      <c r="Q136">
        <v>3700</v>
      </c>
      <c r="R136">
        <v>4375</v>
      </c>
      <c r="S136">
        <v>5050</v>
      </c>
      <c r="T136">
        <v>5725</v>
      </c>
      <c r="U136">
        <v>6400</v>
      </c>
      <c r="V136">
        <v>2813</v>
      </c>
      <c r="W136">
        <v>1540</v>
      </c>
      <c r="X136">
        <v>1405</v>
      </c>
      <c r="Y136">
        <v>7150</v>
      </c>
    </row>
    <row r="137" spans="1:25" x14ac:dyDescent="0.2">
      <c r="A137">
        <v>136</v>
      </c>
      <c r="B137">
        <v>0</v>
      </c>
      <c r="C137">
        <v>7679</v>
      </c>
      <c r="D137">
        <v>14808</v>
      </c>
      <c r="E137">
        <v>54846</v>
      </c>
      <c r="F137">
        <v>201687</v>
      </c>
      <c r="G137">
        <v>731856</v>
      </c>
      <c r="H137">
        <v>2629530</v>
      </c>
      <c r="I137">
        <v>9325567</v>
      </c>
      <c r="J137">
        <v>2000</v>
      </c>
      <c r="K137">
        <v>10389</v>
      </c>
      <c r="L137">
        <v>2360</v>
      </c>
      <c r="M137">
        <v>1036</v>
      </c>
      <c r="N137">
        <v>1680</v>
      </c>
      <c r="O137">
        <v>2360</v>
      </c>
      <c r="P137">
        <v>3040</v>
      </c>
      <c r="Q137">
        <v>3720</v>
      </c>
      <c r="R137">
        <v>4400</v>
      </c>
      <c r="S137">
        <v>5080</v>
      </c>
      <c r="T137">
        <v>5760</v>
      </c>
      <c r="U137">
        <v>6440</v>
      </c>
      <c r="V137">
        <v>2832</v>
      </c>
      <c r="W137">
        <v>1544</v>
      </c>
      <c r="X137">
        <v>1408</v>
      </c>
      <c r="Y137">
        <v>7160</v>
      </c>
    </row>
    <row r="138" spans="1:25" x14ac:dyDescent="0.2">
      <c r="A138">
        <v>137</v>
      </c>
      <c r="B138">
        <v>0</v>
      </c>
      <c r="C138">
        <v>7795</v>
      </c>
      <c r="D138">
        <v>15105</v>
      </c>
      <c r="E138">
        <v>56492</v>
      </c>
      <c r="F138">
        <v>209755</v>
      </c>
      <c r="G138">
        <v>768449</v>
      </c>
      <c r="H138">
        <v>2787302</v>
      </c>
      <c r="I138">
        <v>9978357</v>
      </c>
      <c r="J138">
        <v>2000</v>
      </c>
      <c r="K138">
        <v>10493</v>
      </c>
      <c r="L138">
        <v>2370</v>
      </c>
      <c r="M138">
        <v>1037</v>
      </c>
      <c r="N138">
        <v>1685</v>
      </c>
      <c r="O138">
        <v>2370</v>
      </c>
      <c r="P138">
        <v>3055</v>
      </c>
      <c r="Q138">
        <v>3740</v>
      </c>
      <c r="R138">
        <v>4425</v>
      </c>
      <c r="S138">
        <v>5110</v>
      </c>
      <c r="T138">
        <v>5795</v>
      </c>
      <c r="U138">
        <v>6480</v>
      </c>
      <c r="V138">
        <v>2851</v>
      </c>
      <c r="W138">
        <v>1548</v>
      </c>
      <c r="X138">
        <v>1411</v>
      </c>
      <c r="Y138">
        <v>7170</v>
      </c>
    </row>
    <row r="139" spans="1:25" x14ac:dyDescent="0.2">
      <c r="A139">
        <v>138</v>
      </c>
      <c r="B139">
        <v>0</v>
      </c>
      <c r="C139">
        <v>7912</v>
      </c>
      <c r="D139">
        <v>15408</v>
      </c>
      <c r="E139">
        <v>58187</v>
      </c>
      <c r="F139">
        <v>218146</v>
      </c>
      <c r="G139">
        <v>806872</v>
      </c>
      <c r="H139">
        <v>2954541</v>
      </c>
      <c r="I139">
        <v>10676842</v>
      </c>
      <c r="J139">
        <v>2000</v>
      </c>
      <c r="K139">
        <v>10598</v>
      </c>
      <c r="L139">
        <v>2380</v>
      </c>
      <c r="M139">
        <v>1038</v>
      </c>
      <c r="N139">
        <v>1690</v>
      </c>
      <c r="O139">
        <v>2380</v>
      </c>
      <c r="P139">
        <v>3070</v>
      </c>
      <c r="Q139">
        <v>3760</v>
      </c>
      <c r="R139">
        <v>4450</v>
      </c>
      <c r="S139">
        <v>5140</v>
      </c>
      <c r="T139">
        <v>5830</v>
      </c>
      <c r="U139">
        <v>6520</v>
      </c>
      <c r="V139">
        <v>2870</v>
      </c>
      <c r="W139">
        <v>1552</v>
      </c>
      <c r="X139">
        <v>1414</v>
      </c>
      <c r="Y139">
        <v>7180</v>
      </c>
    </row>
    <row r="140" spans="1:25" x14ac:dyDescent="0.2">
      <c r="A140">
        <v>139</v>
      </c>
      <c r="B140">
        <v>0</v>
      </c>
      <c r="C140">
        <v>8031</v>
      </c>
      <c r="D140">
        <v>15717</v>
      </c>
      <c r="E140">
        <v>59933</v>
      </c>
      <c r="F140">
        <v>226872</v>
      </c>
      <c r="G140">
        <v>847216</v>
      </c>
      <c r="H140">
        <v>3131814</v>
      </c>
      <c r="I140">
        <v>11424221</v>
      </c>
      <c r="J140">
        <v>2000</v>
      </c>
      <c r="K140">
        <v>10704</v>
      </c>
      <c r="L140">
        <v>2390</v>
      </c>
      <c r="M140">
        <v>1039</v>
      </c>
      <c r="N140">
        <v>1695</v>
      </c>
      <c r="O140">
        <v>2390</v>
      </c>
      <c r="P140">
        <v>3085</v>
      </c>
      <c r="Q140">
        <v>3780</v>
      </c>
      <c r="R140">
        <v>4475</v>
      </c>
      <c r="S140">
        <v>5170</v>
      </c>
      <c r="T140">
        <v>5865</v>
      </c>
      <c r="U140">
        <v>6560</v>
      </c>
      <c r="V140">
        <v>2889</v>
      </c>
      <c r="W140">
        <v>1556</v>
      </c>
      <c r="X140">
        <v>1417</v>
      </c>
      <c r="Y140">
        <v>7190</v>
      </c>
    </row>
    <row r="141" spans="1:25" x14ac:dyDescent="0.2">
      <c r="A141">
        <v>140</v>
      </c>
      <c r="B141">
        <v>0</v>
      </c>
      <c r="C141">
        <v>8152</v>
      </c>
      <c r="D141">
        <v>16032</v>
      </c>
      <c r="E141">
        <v>61731</v>
      </c>
      <c r="F141">
        <v>235947</v>
      </c>
      <c r="G141">
        <v>889577</v>
      </c>
      <c r="H141">
        <v>3319723</v>
      </c>
      <c r="I141">
        <v>12223917</v>
      </c>
      <c r="J141">
        <v>2000</v>
      </c>
      <c r="K141">
        <v>10812</v>
      </c>
      <c r="L141">
        <v>2400</v>
      </c>
      <c r="M141">
        <v>1040</v>
      </c>
      <c r="N141">
        <v>1700</v>
      </c>
      <c r="O141">
        <v>2400</v>
      </c>
      <c r="P141">
        <v>3100</v>
      </c>
      <c r="Q141">
        <v>3800</v>
      </c>
      <c r="R141">
        <v>4500</v>
      </c>
      <c r="S141">
        <v>5200</v>
      </c>
      <c r="T141">
        <v>5900</v>
      </c>
      <c r="U141">
        <v>6600</v>
      </c>
      <c r="V141">
        <v>2908</v>
      </c>
      <c r="W141">
        <v>1560</v>
      </c>
      <c r="X141">
        <v>1420</v>
      </c>
      <c r="Y141">
        <v>7200</v>
      </c>
    </row>
    <row r="142" spans="1:25" x14ac:dyDescent="0.2">
      <c r="A142">
        <v>141</v>
      </c>
      <c r="B142">
        <v>0</v>
      </c>
      <c r="C142">
        <v>8275</v>
      </c>
      <c r="D142">
        <v>16353</v>
      </c>
      <c r="E142">
        <v>63583</v>
      </c>
      <c r="F142">
        <v>245385</v>
      </c>
      <c r="G142">
        <v>934056</v>
      </c>
      <c r="H142">
        <v>3518907</v>
      </c>
      <c r="I142">
        <v>13079592</v>
      </c>
      <c r="J142">
        <v>2000</v>
      </c>
      <c r="K142">
        <v>10921</v>
      </c>
      <c r="L142">
        <v>2410</v>
      </c>
      <c r="M142">
        <v>1041</v>
      </c>
      <c r="N142">
        <v>1705</v>
      </c>
      <c r="O142">
        <v>2410</v>
      </c>
      <c r="P142">
        <v>3115</v>
      </c>
      <c r="Q142">
        <v>3820</v>
      </c>
      <c r="R142">
        <v>4525</v>
      </c>
      <c r="S142">
        <v>5230</v>
      </c>
      <c r="T142">
        <v>5935</v>
      </c>
      <c r="U142">
        <v>6640</v>
      </c>
      <c r="V142">
        <v>2927</v>
      </c>
      <c r="W142">
        <v>1564</v>
      </c>
      <c r="X142">
        <v>1423</v>
      </c>
      <c r="Y142">
        <v>7210</v>
      </c>
    </row>
    <row r="143" spans="1:25" x14ac:dyDescent="0.2">
      <c r="A143">
        <v>142</v>
      </c>
      <c r="B143">
        <v>0</v>
      </c>
      <c r="C143">
        <v>8400</v>
      </c>
      <c r="D143">
        <v>16681</v>
      </c>
      <c r="E143">
        <v>65491</v>
      </c>
      <c r="F143">
        <v>255201</v>
      </c>
      <c r="G143">
        <v>980759</v>
      </c>
      <c r="H143">
        <v>3730042</v>
      </c>
      <c r="I143">
        <v>13995164</v>
      </c>
      <c r="J143">
        <v>2000</v>
      </c>
      <c r="K143">
        <v>11031</v>
      </c>
      <c r="L143">
        <v>2420</v>
      </c>
      <c r="M143">
        <v>1042</v>
      </c>
      <c r="N143">
        <v>1710</v>
      </c>
      <c r="O143">
        <v>2420</v>
      </c>
      <c r="P143">
        <v>3130</v>
      </c>
      <c r="Q143">
        <v>3840</v>
      </c>
      <c r="R143">
        <v>4550</v>
      </c>
      <c r="S143">
        <v>5260</v>
      </c>
      <c r="T143">
        <v>5970</v>
      </c>
      <c r="U143">
        <v>6680</v>
      </c>
      <c r="V143">
        <v>2946</v>
      </c>
      <c r="W143">
        <v>1568</v>
      </c>
      <c r="X143">
        <v>1426</v>
      </c>
      <c r="Y143">
        <v>7220</v>
      </c>
    </row>
    <row r="144" spans="1:25" x14ac:dyDescent="0.2">
      <c r="A144">
        <v>143</v>
      </c>
      <c r="B144">
        <v>0</v>
      </c>
      <c r="C144">
        <v>8526</v>
      </c>
      <c r="D144">
        <v>17015</v>
      </c>
      <c r="E144">
        <v>67456</v>
      </c>
      <c r="F144">
        <v>265410</v>
      </c>
      <c r="G144">
        <v>1029797</v>
      </c>
      <c r="H144">
        <v>3953845</v>
      </c>
      <c r="I144">
        <v>14974826</v>
      </c>
      <c r="J144">
        <v>2000</v>
      </c>
      <c r="K144">
        <v>11142</v>
      </c>
      <c r="L144">
        <v>2430</v>
      </c>
      <c r="M144">
        <v>1043</v>
      </c>
      <c r="N144">
        <v>1715</v>
      </c>
      <c r="O144">
        <v>2430</v>
      </c>
      <c r="P144">
        <v>3145</v>
      </c>
      <c r="Q144">
        <v>3860</v>
      </c>
      <c r="R144">
        <v>4575</v>
      </c>
      <c r="S144">
        <v>5290</v>
      </c>
      <c r="T144">
        <v>6005</v>
      </c>
      <c r="U144">
        <v>6720</v>
      </c>
      <c r="V144">
        <v>2965</v>
      </c>
      <c r="W144">
        <v>1572</v>
      </c>
      <c r="X144">
        <v>1429</v>
      </c>
      <c r="Y144">
        <v>7230</v>
      </c>
    </row>
    <row r="145" spans="1:25" x14ac:dyDescent="0.2">
      <c r="A145">
        <v>144</v>
      </c>
      <c r="B145">
        <v>0</v>
      </c>
      <c r="C145">
        <v>8654</v>
      </c>
      <c r="D145">
        <v>17356</v>
      </c>
      <c r="E145">
        <v>69480</v>
      </c>
      <c r="F145">
        <v>276027</v>
      </c>
      <c r="G145">
        <v>1081287</v>
      </c>
      <c r="H145">
        <v>4191076</v>
      </c>
      <c r="I145">
        <v>16023064</v>
      </c>
      <c r="J145">
        <v>2000</v>
      </c>
      <c r="K145">
        <v>11254</v>
      </c>
      <c r="L145">
        <v>2440</v>
      </c>
      <c r="M145">
        <v>1044</v>
      </c>
      <c r="N145">
        <v>1720</v>
      </c>
      <c r="O145">
        <v>2440</v>
      </c>
      <c r="P145">
        <v>3160</v>
      </c>
      <c r="Q145">
        <v>3880</v>
      </c>
      <c r="R145">
        <v>4600</v>
      </c>
      <c r="S145">
        <v>5320</v>
      </c>
      <c r="T145">
        <v>6040</v>
      </c>
      <c r="U145">
        <v>6760</v>
      </c>
      <c r="V145">
        <v>2984</v>
      </c>
      <c r="W145">
        <v>1576</v>
      </c>
      <c r="X145">
        <v>1432</v>
      </c>
      <c r="Y145">
        <v>7240</v>
      </c>
    </row>
    <row r="146" spans="1:25" x14ac:dyDescent="0.2">
      <c r="A146">
        <v>145</v>
      </c>
      <c r="B146">
        <v>0</v>
      </c>
      <c r="C146">
        <v>8784</v>
      </c>
      <c r="D146">
        <v>17704</v>
      </c>
      <c r="E146">
        <v>71565</v>
      </c>
      <c r="F146">
        <v>287069</v>
      </c>
      <c r="G146">
        <v>1135352</v>
      </c>
      <c r="H146">
        <v>4442541</v>
      </c>
      <c r="I146">
        <v>17144679</v>
      </c>
      <c r="J146">
        <v>2000</v>
      </c>
      <c r="K146">
        <v>11367</v>
      </c>
      <c r="L146">
        <v>2450</v>
      </c>
      <c r="M146">
        <v>1045</v>
      </c>
      <c r="N146">
        <v>1725</v>
      </c>
      <c r="O146">
        <v>2450</v>
      </c>
      <c r="P146">
        <v>3175</v>
      </c>
      <c r="Q146">
        <v>3900</v>
      </c>
      <c r="R146">
        <v>4625</v>
      </c>
      <c r="S146">
        <v>5350</v>
      </c>
      <c r="T146">
        <v>6075</v>
      </c>
      <c r="U146">
        <v>6800</v>
      </c>
      <c r="V146">
        <v>3003</v>
      </c>
      <c r="W146">
        <v>1580</v>
      </c>
      <c r="X146">
        <v>1435</v>
      </c>
      <c r="Y146">
        <v>7250</v>
      </c>
    </row>
    <row r="147" spans="1:25" x14ac:dyDescent="0.2">
      <c r="A147">
        <v>146</v>
      </c>
      <c r="B147">
        <v>0</v>
      </c>
      <c r="C147">
        <v>8916</v>
      </c>
      <c r="D147">
        <v>18059</v>
      </c>
      <c r="E147">
        <v>73712</v>
      </c>
      <c r="F147">
        <v>298552</v>
      </c>
      <c r="G147">
        <v>1192120</v>
      </c>
      <c r="H147">
        <v>4709094</v>
      </c>
      <c r="I147">
        <v>18344807</v>
      </c>
      <c r="J147">
        <v>2000</v>
      </c>
      <c r="K147">
        <v>11481</v>
      </c>
      <c r="L147">
        <v>2460</v>
      </c>
      <c r="M147">
        <v>1046</v>
      </c>
      <c r="N147">
        <v>1730</v>
      </c>
      <c r="O147">
        <v>2460</v>
      </c>
      <c r="P147">
        <v>3190</v>
      </c>
      <c r="Q147">
        <v>3920</v>
      </c>
      <c r="R147">
        <v>4650</v>
      </c>
      <c r="S147">
        <v>5380</v>
      </c>
      <c r="T147">
        <v>6110</v>
      </c>
      <c r="U147">
        <v>6840</v>
      </c>
      <c r="V147">
        <v>3023</v>
      </c>
      <c r="W147">
        <v>1584</v>
      </c>
      <c r="X147">
        <v>1438</v>
      </c>
      <c r="Y147">
        <v>7260</v>
      </c>
    </row>
    <row r="148" spans="1:25" x14ac:dyDescent="0.2">
      <c r="A148">
        <v>147</v>
      </c>
      <c r="B148">
        <v>0</v>
      </c>
      <c r="C148">
        <v>9050</v>
      </c>
      <c r="D148">
        <v>18421</v>
      </c>
      <c r="E148">
        <v>75924</v>
      </c>
      <c r="F148">
        <v>310495</v>
      </c>
      <c r="G148">
        <v>1251726</v>
      </c>
      <c r="H148">
        <v>4991640</v>
      </c>
      <c r="I148">
        <v>19628944</v>
      </c>
      <c r="J148">
        <v>2000</v>
      </c>
      <c r="K148">
        <v>11596</v>
      </c>
      <c r="L148">
        <v>2470</v>
      </c>
      <c r="M148">
        <v>1047</v>
      </c>
      <c r="N148">
        <v>1735</v>
      </c>
      <c r="O148">
        <v>2470</v>
      </c>
      <c r="P148">
        <v>3205</v>
      </c>
      <c r="Q148">
        <v>3940</v>
      </c>
      <c r="R148">
        <v>4675</v>
      </c>
      <c r="S148">
        <v>5410</v>
      </c>
      <c r="T148">
        <v>6145</v>
      </c>
      <c r="U148">
        <v>6880</v>
      </c>
      <c r="V148">
        <v>3043</v>
      </c>
      <c r="W148">
        <v>1588</v>
      </c>
      <c r="X148">
        <v>1441</v>
      </c>
      <c r="Y148">
        <v>7270</v>
      </c>
    </row>
    <row r="149" spans="1:25" x14ac:dyDescent="0.2">
      <c r="A149">
        <v>148</v>
      </c>
      <c r="B149">
        <v>0</v>
      </c>
      <c r="C149">
        <v>9186</v>
      </c>
      <c r="D149">
        <v>18790</v>
      </c>
      <c r="E149">
        <v>78202</v>
      </c>
      <c r="F149">
        <v>322915</v>
      </c>
      <c r="G149">
        <v>1314313</v>
      </c>
      <c r="H149">
        <v>5291139</v>
      </c>
      <c r="I149">
        <v>21002971</v>
      </c>
      <c r="J149">
        <v>2000</v>
      </c>
      <c r="K149">
        <v>11712</v>
      </c>
      <c r="L149">
        <v>2480</v>
      </c>
      <c r="M149">
        <v>1048</v>
      </c>
      <c r="N149">
        <v>1740</v>
      </c>
      <c r="O149">
        <v>2480</v>
      </c>
      <c r="P149">
        <v>3220</v>
      </c>
      <c r="Q149">
        <v>3960</v>
      </c>
      <c r="R149">
        <v>4700</v>
      </c>
      <c r="S149">
        <v>5440</v>
      </c>
      <c r="T149">
        <v>6180</v>
      </c>
      <c r="U149">
        <v>6920</v>
      </c>
      <c r="V149">
        <v>3063</v>
      </c>
      <c r="W149">
        <v>1592</v>
      </c>
      <c r="X149">
        <v>1444</v>
      </c>
      <c r="Y149">
        <v>7280</v>
      </c>
    </row>
    <row r="150" spans="1:25" x14ac:dyDescent="0.2">
      <c r="A150">
        <v>149</v>
      </c>
      <c r="B150">
        <v>0</v>
      </c>
      <c r="C150">
        <v>9324</v>
      </c>
      <c r="D150">
        <v>19166</v>
      </c>
      <c r="E150">
        <v>80549</v>
      </c>
      <c r="F150">
        <v>335832</v>
      </c>
      <c r="G150">
        <v>1380029</v>
      </c>
      <c r="H150">
        <v>5608608</v>
      </c>
      <c r="I150">
        <v>22473179</v>
      </c>
      <c r="J150">
        <v>2000</v>
      </c>
      <c r="K150">
        <v>11830</v>
      </c>
      <c r="L150">
        <v>2490</v>
      </c>
      <c r="M150">
        <v>1049</v>
      </c>
      <c r="N150">
        <v>1745</v>
      </c>
      <c r="O150">
        <v>2490</v>
      </c>
      <c r="P150">
        <v>3235</v>
      </c>
      <c r="Q150">
        <v>3980</v>
      </c>
      <c r="R150">
        <v>4725</v>
      </c>
      <c r="S150">
        <v>5470</v>
      </c>
      <c r="T150">
        <v>6215</v>
      </c>
      <c r="U150">
        <v>6960</v>
      </c>
      <c r="V150">
        <v>3083</v>
      </c>
      <c r="W150">
        <v>1596</v>
      </c>
      <c r="X150">
        <v>1447</v>
      </c>
      <c r="Y150">
        <v>7290</v>
      </c>
    </row>
    <row r="151" spans="1:25" x14ac:dyDescent="0.2">
      <c r="A151">
        <v>150</v>
      </c>
      <c r="B151">
        <v>0</v>
      </c>
      <c r="C151">
        <v>9464</v>
      </c>
      <c r="D151">
        <v>19550</v>
      </c>
      <c r="E151">
        <v>82966</v>
      </c>
      <c r="F151">
        <v>349266</v>
      </c>
      <c r="G151">
        <v>1449031</v>
      </c>
      <c r="H151">
        <v>5945125</v>
      </c>
      <c r="I151">
        <v>24046302</v>
      </c>
      <c r="J151">
        <v>2000</v>
      </c>
      <c r="K151">
        <v>11949</v>
      </c>
      <c r="L151">
        <v>2500</v>
      </c>
      <c r="M151">
        <v>1050</v>
      </c>
      <c r="N151">
        <v>1750</v>
      </c>
      <c r="O151">
        <v>2500</v>
      </c>
      <c r="P151">
        <v>3250</v>
      </c>
      <c r="Q151">
        <v>4000</v>
      </c>
      <c r="R151">
        <v>4750</v>
      </c>
      <c r="S151">
        <v>5500</v>
      </c>
      <c r="T151">
        <v>6250</v>
      </c>
      <c r="U151">
        <v>7000</v>
      </c>
      <c r="V151">
        <v>3103</v>
      </c>
      <c r="W151">
        <v>1600</v>
      </c>
      <c r="X151">
        <v>1450</v>
      </c>
      <c r="Y151">
        <v>7300</v>
      </c>
    </row>
    <row r="152" spans="1:25" x14ac:dyDescent="0.2">
      <c r="A152">
        <v>151</v>
      </c>
      <c r="B152">
        <v>0</v>
      </c>
      <c r="C152">
        <v>9606</v>
      </c>
      <c r="D152">
        <v>19941</v>
      </c>
      <c r="E152">
        <v>85455</v>
      </c>
      <c r="F152">
        <v>363237</v>
      </c>
      <c r="G152">
        <v>1521483</v>
      </c>
      <c r="H152">
        <v>6301833</v>
      </c>
      <c r="I152">
        <v>25729544</v>
      </c>
      <c r="J152">
        <v>2000</v>
      </c>
      <c r="K152">
        <v>12069</v>
      </c>
      <c r="L152">
        <v>2500</v>
      </c>
      <c r="M152">
        <v>1051</v>
      </c>
      <c r="N152">
        <v>1755</v>
      </c>
      <c r="O152">
        <v>2510</v>
      </c>
      <c r="P152">
        <v>3265</v>
      </c>
      <c r="Q152">
        <v>4020</v>
      </c>
      <c r="R152">
        <v>4775</v>
      </c>
      <c r="S152">
        <v>5530</v>
      </c>
      <c r="T152">
        <v>6285</v>
      </c>
      <c r="U152">
        <v>7040</v>
      </c>
      <c r="V152">
        <v>3123</v>
      </c>
      <c r="W152">
        <v>1604</v>
      </c>
      <c r="X152">
        <v>1453</v>
      </c>
      <c r="Y152">
        <v>7310</v>
      </c>
    </row>
    <row r="153" spans="1:25" x14ac:dyDescent="0.2">
      <c r="A153">
        <v>152</v>
      </c>
      <c r="B153">
        <v>0</v>
      </c>
      <c r="C153">
        <v>9751</v>
      </c>
      <c r="D153">
        <v>20340</v>
      </c>
      <c r="E153">
        <v>88019</v>
      </c>
      <c r="F153">
        <v>377767</v>
      </c>
      <c r="G153">
        <v>1597558</v>
      </c>
      <c r="H153">
        <v>6679943</v>
      </c>
      <c r="I153">
        <v>27530613</v>
      </c>
      <c r="J153">
        <v>2000</v>
      </c>
      <c r="K153">
        <v>12190</v>
      </c>
      <c r="L153">
        <v>2500</v>
      </c>
      <c r="M153">
        <v>1052</v>
      </c>
      <c r="N153">
        <v>1760</v>
      </c>
      <c r="O153">
        <v>2520</v>
      </c>
      <c r="P153">
        <v>3280</v>
      </c>
      <c r="Q153">
        <v>4040</v>
      </c>
      <c r="R153">
        <v>4800</v>
      </c>
      <c r="S153">
        <v>5560</v>
      </c>
      <c r="T153">
        <v>6320</v>
      </c>
      <c r="U153">
        <v>7080</v>
      </c>
      <c r="V153">
        <v>3143</v>
      </c>
      <c r="W153">
        <v>1608</v>
      </c>
      <c r="X153">
        <v>1456</v>
      </c>
      <c r="Y153">
        <v>7320</v>
      </c>
    </row>
    <row r="154" spans="1:25" x14ac:dyDescent="0.2">
      <c r="A154">
        <v>153</v>
      </c>
      <c r="B154">
        <v>0</v>
      </c>
      <c r="C154">
        <v>9898</v>
      </c>
      <c r="D154">
        <v>20747</v>
      </c>
      <c r="E154">
        <v>90660</v>
      </c>
      <c r="F154">
        <v>392878</v>
      </c>
      <c r="G154">
        <v>1677436</v>
      </c>
      <c r="H154">
        <v>7080740</v>
      </c>
      <c r="I154">
        <v>29457756</v>
      </c>
      <c r="J154">
        <v>2000</v>
      </c>
      <c r="K154">
        <v>12312</v>
      </c>
      <c r="L154">
        <v>2500</v>
      </c>
      <c r="M154">
        <v>1053</v>
      </c>
      <c r="N154">
        <v>1765</v>
      </c>
      <c r="O154">
        <v>2530</v>
      </c>
      <c r="P154">
        <v>3295</v>
      </c>
      <c r="Q154">
        <v>4060</v>
      </c>
      <c r="R154">
        <v>4825</v>
      </c>
      <c r="S154">
        <v>5590</v>
      </c>
      <c r="T154">
        <v>6355</v>
      </c>
      <c r="U154">
        <v>7120</v>
      </c>
      <c r="V154">
        <v>3163</v>
      </c>
      <c r="W154">
        <v>1612</v>
      </c>
      <c r="X154">
        <v>1459</v>
      </c>
      <c r="Y154">
        <v>7330</v>
      </c>
    </row>
    <row r="155" spans="1:25" x14ac:dyDescent="0.2">
      <c r="A155">
        <v>154</v>
      </c>
      <c r="B155">
        <v>0</v>
      </c>
      <c r="C155">
        <v>10047</v>
      </c>
      <c r="D155">
        <v>21162</v>
      </c>
      <c r="E155">
        <v>93380</v>
      </c>
      <c r="F155">
        <v>408594</v>
      </c>
      <c r="G155">
        <v>1761308</v>
      </c>
      <c r="H155">
        <v>7505585</v>
      </c>
      <c r="I155">
        <v>31519799</v>
      </c>
      <c r="J155">
        <v>2000</v>
      </c>
      <c r="K155">
        <v>12436</v>
      </c>
      <c r="L155">
        <v>2500</v>
      </c>
      <c r="M155">
        <v>1054</v>
      </c>
      <c r="N155">
        <v>1770</v>
      </c>
      <c r="O155">
        <v>2540</v>
      </c>
      <c r="P155">
        <v>3310</v>
      </c>
      <c r="Q155">
        <v>4080</v>
      </c>
      <c r="R155">
        <v>4850</v>
      </c>
      <c r="S155">
        <v>5620</v>
      </c>
      <c r="T155">
        <v>6390</v>
      </c>
      <c r="U155">
        <v>7160</v>
      </c>
      <c r="V155">
        <v>3183</v>
      </c>
      <c r="W155">
        <v>1616</v>
      </c>
      <c r="X155">
        <v>1462</v>
      </c>
      <c r="Y155">
        <v>7340</v>
      </c>
    </row>
    <row r="156" spans="1:25" x14ac:dyDescent="0.2">
      <c r="A156">
        <v>155</v>
      </c>
      <c r="B156">
        <v>0</v>
      </c>
      <c r="C156">
        <v>10198</v>
      </c>
      <c r="D156">
        <v>21586</v>
      </c>
      <c r="E156">
        <v>96182</v>
      </c>
      <c r="F156">
        <v>424938</v>
      </c>
      <c r="G156">
        <v>1849374</v>
      </c>
      <c r="H156">
        <v>7955921</v>
      </c>
      <c r="I156">
        <v>33726185</v>
      </c>
      <c r="J156">
        <v>2000</v>
      </c>
      <c r="K156">
        <v>12561</v>
      </c>
      <c r="L156">
        <v>2500</v>
      </c>
      <c r="M156">
        <v>1055</v>
      </c>
      <c r="N156">
        <v>1775</v>
      </c>
      <c r="O156">
        <v>2550</v>
      </c>
      <c r="P156">
        <v>3325</v>
      </c>
      <c r="Q156">
        <v>4100</v>
      </c>
      <c r="R156">
        <v>4875</v>
      </c>
      <c r="S156">
        <v>5650</v>
      </c>
      <c r="T156">
        <v>6425</v>
      </c>
      <c r="U156">
        <v>7200</v>
      </c>
      <c r="V156">
        <v>3203</v>
      </c>
      <c r="W156">
        <v>1620</v>
      </c>
      <c r="X156">
        <v>1465</v>
      </c>
      <c r="Y156">
        <v>7350</v>
      </c>
    </row>
    <row r="157" spans="1:25" x14ac:dyDescent="0.2">
      <c r="A157">
        <v>156</v>
      </c>
      <c r="B157">
        <v>0</v>
      </c>
      <c r="C157">
        <v>10351</v>
      </c>
      <c r="D157">
        <v>22018</v>
      </c>
      <c r="E157">
        <v>99068</v>
      </c>
      <c r="F157">
        <v>441936</v>
      </c>
      <c r="G157">
        <v>1941843</v>
      </c>
      <c r="H157">
        <v>8433277</v>
      </c>
      <c r="I157">
        <v>36087018</v>
      </c>
      <c r="J157">
        <v>2000</v>
      </c>
      <c r="K157">
        <v>12687</v>
      </c>
      <c r="L157">
        <v>2500</v>
      </c>
      <c r="M157">
        <v>1056</v>
      </c>
      <c r="N157">
        <v>1780</v>
      </c>
      <c r="O157">
        <v>2560</v>
      </c>
      <c r="P157">
        <v>3340</v>
      </c>
      <c r="Q157">
        <v>4120</v>
      </c>
      <c r="R157">
        <v>4900</v>
      </c>
      <c r="S157">
        <v>5680</v>
      </c>
      <c r="T157">
        <v>6460</v>
      </c>
      <c r="U157">
        <v>7240</v>
      </c>
      <c r="V157">
        <v>3224</v>
      </c>
      <c r="W157">
        <v>1624</v>
      </c>
      <c r="X157">
        <v>1468</v>
      </c>
      <c r="Y157">
        <v>7360</v>
      </c>
    </row>
    <row r="158" spans="1:25" x14ac:dyDescent="0.2">
      <c r="A158">
        <v>157</v>
      </c>
      <c r="B158">
        <v>0</v>
      </c>
      <c r="C158">
        <v>10507</v>
      </c>
      <c r="D158">
        <v>22459</v>
      </c>
      <c r="E158">
        <v>102041</v>
      </c>
      <c r="F158">
        <v>459614</v>
      </c>
      <c r="G158">
        <v>2038936</v>
      </c>
      <c r="H158">
        <v>8939274</v>
      </c>
      <c r="I158">
        <v>38613110</v>
      </c>
      <c r="J158">
        <v>2000</v>
      </c>
      <c r="K158">
        <v>12814</v>
      </c>
      <c r="L158">
        <v>2500</v>
      </c>
      <c r="M158">
        <v>1057</v>
      </c>
      <c r="N158">
        <v>1785</v>
      </c>
      <c r="O158">
        <v>2570</v>
      </c>
      <c r="P158">
        <v>3355</v>
      </c>
      <c r="Q158">
        <v>4140</v>
      </c>
      <c r="R158">
        <v>4925</v>
      </c>
      <c r="S158">
        <v>5710</v>
      </c>
      <c r="T158">
        <v>6495</v>
      </c>
      <c r="U158">
        <v>7280</v>
      </c>
      <c r="V158">
        <v>3245</v>
      </c>
      <c r="W158">
        <v>1628</v>
      </c>
      <c r="X158">
        <v>1471</v>
      </c>
      <c r="Y158">
        <v>7370</v>
      </c>
    </row>
    <row r="159" spans="1:25" x14ac:dyDescent="0.2">
      <c r="A159">
        <v>158</v>
      </c>
      <c r="B159">
        <v>0</v>
      </c>
      <c r="C159">
        <v>10665</v>
      </c>
      <c r="D159">
        <v>22909</v>
      </c>
      <c r="E159">
        <v>105103</v>
      </c>
      <c r="F159">
        <v>477999</v>
      </c>
      <c r="G159">
        <v>2140883</v>
      </c>
      <c r="H159">
        <v>9475631</v>
      </c>
      <c r="I159">
        <v>41316028</v>
      </c>
      <c r="J159">
        <v>2000</v>
      </c>
      <c r="K159">
        <v>12943</v>
      </c>
      <c r="L159">
        <v>2500</v>
      </c>
      <c r="M159">
        <v>1058</v>
      </c>
      <c r="N159">
        <v>1790</v>
      </c>
      <c r="O159">
        <v>2580</v>
      </c>
      <c r="P159">
        <v>3370</v>
      </c>
      <c r="Q159">
        <v>4160</v>
      </c>
      <c r="R159">
        <v>4950</v>
      </c>
      <c r="S159">
        <v>5740</v>
      </c>
      <c r="T159">
        <v>6530</v>
      </c>
      <c r="U159">
        <v>7320</v>
      </c>
      <c r="V159">
        <v>3266</v>
      </c>
      <c r="W159">
        <v>1632</v>
      </c>
      <c r="X159">
        <v>1474</v>
      </c>
      <c r="Y159">
        <v>7380</v>
      </c>
    </row>
    <row r="160" spans="1:25" x14ac:dyDescent="0.2">
      <c r="A160">
        <v>159</v>
      </c>
      <c r="B160">
        <v>0</v>
      </c>
      <c r="C160">
        <v>10825</v>
      </c>
      <c r="D160">
        <v>23368</v>
      </c>
      <c r="E160">
        <v>108257</v>
      </c>
      <c r="F160">
        <v>497119</v>
      </c>
      <c r="G160">
        <v>2247928</v>
      </c>
      <c r="H160">
        <v>10044169</v>
      </c>
      <c r="I160">
        <v>44208150</v>
      </c>
      <c r="J160">
        <v>2000</v>
      </c>
      <c r="K160">
        <v>13073</v>
      </c>
      <c r="L160">
        <v>2500</v>
      </c>
      <c r="M160">
        <v>1059</v>
      </c>
      <c r="N160">
        <v>1795</v>
      </c>
      <c r="O160">
        <v>2590</v>
      </c>
      <c r="P160">
        <v>3385</v>
      </c>
      <c r="Q160">
        <v>4180</v>
      </c>
      <c r="R160">
        <v>4975</v>
      </c>
      <c r="S160">
        <v>5770</v>
      </c>
      <c r="T160">
        <v>6565</v>
      </c>
      <c r="U160">
        <v>7360</v>
      </c>
      <c r="V160">
        <v>3287</v>
      </c>
      <c r="W160">
        <v>1636</v>
      </c>
      <c r="X160">
        <v>1477</v>
      </c>
      <c r="Y160">
        <v>7390</v>
      </c>
    </row>
    <row r="161" spans="1:25" x14ac:dyDescent="0.2">
      <c r="A161">
        <v>160</v>
      </c>
      <c r="B161">
        <v>0</v>
      </c>
      <c r="C161">
        <v>10988</v>
      </c>
      <c r="D161">
        <v>23836</v>
      </c>
      <c r="E161">
        <v>111505</v>
      </c>
      <c r="F161">
        <v>517004</v>
      </c>
      <c r="G161">
        <v>2360325</v>
      </c>
      <c r="H161">
        <v>10646820</v>
      </c>
      <c r="I161">
        <v>47302721</v>
      </c>
      <c r="J161">
        <v>2000</v>
      </c>
      <c r="K161">
        <v>13204</v>
      </c>
      <c r="L161">
        <v>2500</v>
      </c>
      <c r="M161">
        <v>1060</v>
      </c>
      <c r="N161">
        <v>1800</v>
      </c>
      <c r="O161">
        <v>2600</v>
      </c>
      <c r="P161">
        <v>3400</v>
      </c>
      <c r="Q161">
        <v>4200</v>
      </c>
      <c r="R161">
        <v>5000</v>
      </c>
      <c r="S161">
        <v>5800</v>
      </c>
      <c r="T161">
        <v>6600</v>
      </c>
      <c r="U161">
        <v>7400</v>
      </c>
      <c r="V161">
        <v>3308</v>
      </c>
      <c r="W161">
        <v>1640</v>
      </c>
      <c r="X161">
        <v>1480</v>
      </c>
      <c r="Y161">
        <v>7400</v>
      </c>
    </row>
    <row r="162" spans="1:25" x14ac:dyDescent="0.2">
      <c r="A162">
        <v>161</v>
      </c>
      <c r="B162">
        <v>0</v>
      </c>
      <c r="C162">
        <v>11153</v>
      </c>
      <c r="D162">
        <v>24313</v>
      </c>
      <c r="E162">
        <v>114851</v>
      </c>
      <c r="F162">
        <v>537685</v>
      </c>
      <c r="G162">
        <v>2478342</v>
      </c>
      <c r="H162">
        <v>11285630</v>
      </c>
      <c r="I162">
        <v>50613912</v>
      </c>
      <c r="J162">
        <v>2000</v>
      </c>
      <c r="K162">
        <v>13337</v>
      </c>
      <c r="L162">
        <v>2500</v>
      </c>
      <c r="M162">
        <v>1061</v>
      </c>
      <c r="N162">
        <v>1805</v>
      </c>
      <c r="O162">
        <v>2610</v>
      </c>
      <c r="P162">
        <v>3415</v>
      </c>
      <c r="Q162">
        <v>4220</v>
      </c>
      <c r="R162">
        <v>5025</v>
      </c>
      <c r="S162">
        <v>5830</v>
      </c>
      <c r="T162">
        <v>6635</v>
      </c>
      <c r="U162">
        <v>7440</v>
      </c>
      <c r="V162">
        <v>3329</v>
      </c>
      <c r="W162">
        <v>1644</v>
      </c>
      <c r="X162">
        <v>1483</v>
      </c>
      <c r="Y162">
        <v>7410</v>
      </c>
    </row>
    <row r="163" spans="1:25" x14ac:dyDescent="0.2">
      <c r="A163">
        <v>162</v>
      </c>
      <c r="B163">
        <v>0</v>
      </c>
      <c r="C163">
        <v>11321</v>
      </c>
      <c r="D163">
        <v>24800</v>
      </c>
      <c r="E163">
        <v>118297</v>
      </c>
      <c r="F163">
        <v>559193</v>
      </c>
      <c r="G163">
        <v>2602260</v>
      </c>
      <c r="H163">
        <v>11962768</v>
      </c>
      <c r="I163">
        <v>54156886</v>
      </c>
      <c r="J163">
        <v>2000</v>
      </c>
      <c r="K163">
        <v>13471</v>
      </c>
      <c r="L163">
        <v>2500</v>
      </c>
      <c r="M163">
        <v>1062</v>
      </c>
      <c r="N163">
        <v>1810</v>
      </c>
      <c r="O163">
        <v>2620</v>
      </c>
      <c r="P163">
        <v>3430</v>
      </c>
      <c r="Q163">
        <v>4240</v>
      </c>
      <c r="R163">
        <v>5050</v>
      </c>
      <c r="S163">
        <v>5860</v>
      </c>
      <c r="T163">
        <v>6670</v>
      </c>
      <c r="U163">
        <v>7480</v>
      </c>
      <c r="V163">
        <v>3350</v>
      </c>
      <c r="W163">
        <v>1648</v>
      </c>
      <c r="X163">
        <v>1486</v>
      </c>
      <c r="Y163">
        <v>7420</v>
      </c>
    </row>
    <row r="164" spans="1:25" x14ac:dyDescent="0.2">
      <c r="A164">
        <v>163</v>
      </c>
      <c r="B164">
        <v>0</v>
      </c>
      <c r="C164">
        <v>11491</v>
      </c>
      <c r="D164">
        <v>25296</v>
      </c>
      <c r="E164">
        <v>121846</v>
      </c>
      <c r="F164">
        <v>581561</v>
      </c>
      <c r="G164">
        <v>2732373</v>
      </c>
      <c r="H164">
        <v>12680535</v>
      </c>
      <c r="I164">
        <v>57947869</v>
      </c>
      <c r="J164">
        <v>2000</v>
      </c>
      <c r="K164">
        <v>13606</v>
      </c>
      <c r="L164">
        <v>2500</v>
      </c>
      <c r="M164">
        <v>1063</v>
      </c>
      <c r="N164">
        <v>1815</v>
      </c>
      <c r="O164">
        <v>2630</v>
      </c>
      <c r="P164">
        <v>3445</v>
      </c>
      <c r="Q164">
        <v>4260</v>
      </c>
      <c r="R164">
        <v>5075</v>
      </c>
      <c r="S164">
        <v>5890</v>
      </c>
      <c r="T164">
        <v>6705</v>
      </c>
      <c r="U164">
        <v>7520</v>
      </c>
      <c r="V164">
        <v>3371</v>
      </c>
      <c r="W164">
        <v>1652</v>
      </c>
      <c r="X164">
        <v>1489</v>
      </c>
      <c r="Y164">
        <v>7430</v>
      </c>
    </row>
    <row r="165" spans="1:25" x14ac:dyDescent="0.2">
      <c r="A165">
        <v>164</v>
      </c>
      <c r="B165">
        <v>0</v>
      </c>
      <c r="C165">
        <v>11664</v>
      </c>
      <c r="D165">
        <v>25802</v>
      </c>
      <c r="E165">
        <v>125502</v>
      </c>
      <c r="F165">
        <v>604824</v>
      </c>
      <c r="G165">
        <v>2868992</v>
      </c>
      <c r="H165">
        <v>13441368</v>
      </c>
      <c r="I165">
        <v>62004220</v>
      </c>
      <c r="J165">
        <v>2000</v>
      </c>
      <c r="K165">
        <v>13743</v>
      </c>
      <c r="L165">
        <v>2500</v>
      </c>
      <c r="M165">
        <v>1064</v>
      </c>
      <c r="N165">
        <v>1820</v>
      </c>
      <c r="O165">
        <v>2640</v>
      </c>
      <c r="P165">
        <v>3460</v>
      </c>
      <c r="Q165">
        <v>4280</v>
      </c>
      <c r="R165">
        <v>5100</v>
      </c>
      <c r="S165">
        <v>5920</v>
      </c>
      <c r="T165">
        <v>6740</v>
      </c>
      <c r="U165">
        <v>7560</v>
      </c>
      <c r="V165">
        <v>3392</v>
      </c>
      <c r="W165">
        <v>1656</v>
      </c>
      <c r="X165">
        <v>1492</v>
      </c>
      <c r="Y165">
        <v>7440</v>
      </c>
    </row>
    <row r="166" spans="1:25" x14ac:dyDescent="0.2">
      <c r="A166">
        <v>165</v>
      </c>
      <c r="B166">
        <v>0</v>
      </c>
      <c r="C166">
        <v>11839</v>
      </c>
      <c r="D166">
        <v>26319</v>
      </c>
      <c r="E166">
        <v>129268</v>
      </c>
      <c r="F166">
        <v>629017</v>
      </c>
      <c r="G166">
        <v>3012442</v>
      </c>
      <c r="H166">
        <v>14247851</v>
      </c>
      <c r="I166">
        <v>66344516</v>
      </c>
      <c r="J166">
        <v>2000</v>
      </c>
      <c r="K166">
        <v>13881</v>
      </c>
      <c r="L166">
        <v>2500</v>
      </c>
      <c r="M166">
        <v>1065</v>
      </c>
      <c r="N166">
        <v>1825</v>
      </c>
      <c r="O166">
        <v>2650</v>
      </c>
      <c r="P166">
        <v>3475</v>
      </c>
      <c r="Q166">
        <v>4300</v>
      </c>
      <c r="R166">
        <v>5125</v>
      </c>
      <c r="S166">
        <v>5950</v>
      </c>
      <c r="T166">
        <v>6775</v>
      </c>
      <c r="U166">
        <v>7600</v>
      </c>
      <c r="V166">
        <v>3413</v>
      </c>
      <c r="W166">
        <v>1660</v>
      </c>
      <c r="X166">
        <v>1495</v>
      </c>
      <c r="Y166">
        <v>7450</v>
      </c>
    </row>
    <row r="167" spans="1:25" x14ac:dyDescent="0.2">
      <c r="A167">
        <v>166</v>
      </c>
      <c r="B167">
        <v>0</v>
      </c>
      <c r="C167">
        <v>12017</v>
      </c>
      <c r="D167">
        <v>26846</v>
      </c>
      <c r="E167">
        <v>133147</v>
      </c>
      <c r="F167">
        <v>654178</v>
      </c>
      <c r="G167">
        <v>3163065</v>
      </c>
      <c r="H167">
        <v>15102723</v>
      </c>
      <c r="I167">
        <v>70988633</v>
      </c>
      <c r="J167">
        <v>2000</v>
      </c>
      <c r="K167">
        <v>14020</v>
      </c>
      <c r="L167">
        <v>2500</v>
      </c>
      <c r="M167">
        <v>1066</v>
      </c>
      <c r="N167">
        <v>1830</v>
      </c>
      <c r="O167">
        <v>2660</v>
      </c>
      <c r="P167">
        <v>3490</v>
      </c>
      <c r="Q167">
        <v>4320</v>
      </c>
      <c r="R167">
        <v>5150</v>
      </c>
      <c r="S167">
        <v>5980</v>
      </c>
      <c r="T167">
        <v>6810</v>
      </c>
      <c r="U167">
        <v>7640</v>
      </c>
      <c r="V167">
        <v>3435</v>
      </c>
      <c r="W167">
        <v>1664</v>
      </c>
      <c r="X167">
        <v>1498</v>
      </c>
      <c r="Y167">
        <v>7460</v>
      </c>
    </row>
    <row r="168" spans="1:25" x14ac:dyDescent="0.2">
      <c r="A168">
        <v>167</v>
      </c>
      <c r="B168">
        <v>0</v>
      </c>
      <c r="C168">
        <v>12198</v>
      </c>
      <c r="D168">
        <v>27383</v>
      </c>
      <c r="E168">
        <v>137142</v>
      </c>
      <c r="F168">
        <v>680346</v>
      </c>
      <c r="G168">
        <v>3321219</v>
      </c>
      <c r="H168">
        <v>16008887</v>
      </c>
      <c r="I168">
        <v>75957838</v>
      </c>
      <c r="J168">
        <v>2000</v>
      </c>
      <c r="K168">
        <v>14161</v>
      </c>
      <c r="L168">
        <v>2500</v>
      </c>
      <c r="M168">
        <v>1067</v>
      </c>
      <c r="N168">
        <v>1835</v>
      </c>
      <c r="O168">
        <v>2670</v>
      </c>
      <c r="P168">
        <v>3505</v>
      </c>
      <c r="Q168">
        <v>4340</v>
      </c>
      <c r="R168">
        <v>5175</v>
      </c>
      <c r="S168">
        <v>6010</v>
      </c>
      <c r="T168">
        <v>6845</v>
      </c>
      <c r="U168">
        <v>7680</v>
      </c>
      <c r="V168">
        <v>3457</v>
      </c>
      <c r="W168">
        <v>1668</v>
      </c>
      <c r="X168">
        <v>1501</v>
      </c>
      <c r="Y168">
        <v>7470</v>
      </c>
    </row>
    <row r="169" spans="1:25" x14ac:dyDescent="0.2">
      <c r="A169">
        <v>168</v>
      </c>
      <c r="B169">
        <v>0</v>
      </c>
      <c r="C169">
        <v>12381</v>
      </c>
      <c r="D169">
        <v>27931</v>
      </c>
      <c r="E169">
        <v>141257</v>
      </c>
      <c r="F169">
        <v>707560</v>
      </c>
      <c r="G169">
        <v>3487280</v>
      </c>
      <c r="H169">
        <v>16969421</v>
      </c>
      <c r="I169">
        <v>81274887</v>
      </c>
      <c r="J169">
        <v>2000</v>
      </c>
      <c r="K169">
        <v>14303</v>
      </c>
      <c r="L169">
        <v>2500</v>
      </c>
      <c r="M169">
        <v>1068</v>
      </c>
      <c r="N169">
        <v>1840</v>
      </c>
      <c r="O169">
        <v>2680</v>
      </c>
      <c r="P169">
        <v>3520</v>
      </c>
      <c r="Q169">
        <v>4360</v>
      </c>
      <c r="R169">
        <v>5200</v>
      </c>
      <c r="S169">
        <v>6040</v>
      </c>
      <c r="T169">
        <v>6880</v>
      </c>
      <c r="U169">
        <v>7720</v>
      </c>
      <c r="V169">
        <v>3479</v>
      </c>
      <c r="W169">
        <v>1672</v>
      </c>
      <c r="X169">
        <v>1504</v>
      </c>
      <c r="Y169">
        <v>7480</v>
      </c>
    </row>
    <row r="170" spans="1:25" x14ac:dyDescent="0.2">
      <c r="A170">
        <v>169</v>
      </c>
      <c r="B170">
        <v>0</v>
      </c>
      <c r="C170">
        <v>12567</v>
      </c>
      <c r="D170">
        <v>28490</v>
      </c>
      <c r="E170">
        <v>145495</v>
      </c>
      <c r="F170">
        <v>735863</v>
      </c>
      <c r="G170">
        <v>3661644</v>
      </c>
      <c r="H170">
        <v>17987587</v>
      </c>
      <c r="I170">
        <v>86964130</v>
      </c>
      <c r="J170">
        <v>2000</v>
      </c>
      <c r="K170">
        <v>14447</v>
      </c>
      <c r="L170">
        <v>2500</v>
      </c>
      <c r="M170">
        <v>1069</v>
      </c>
      <c r="N170">
        <v>1845</v>
      </c>
      <c r="O170">
        <v>2690</v>
      </c>
      <c r="P170">
        <v>3535</v>
      </c>
      <c r="Q170">
        <v>4380</v>
      </c>
      <c r="R170">
        <v>5225</v>
      </c>
      <c r="S170">
        <v>6070</v>
      </c>
      <c r="T170">
        <v>6915</v>
      </c>
      <c r="U170">
        <v>7760</v>
      </c>
      <c r="V170">
        <v>3501</v>
      </c>
      <c r="W170">
        <v>1676</v>
      </c>
      <c r="X170">
        <v>1507</v>
      </c>
      <c r="Y170">
        <v>7490</v>
      </c>
    </row>
    <row r="171" spans="1:25" x14ac:dyDescent="0.2">
      <c r="A171">
        <v>170</v>
      </c>
      <c r="B171">
        <v>0</v>
      </c>
      <c r="C171">
        <v>12756</v>
      </c>
      <c r="D171">
        <v>29060</v>
      </c>
      <c r="E171">
        <v>149860</v>
      </c>
      <c r="F171">
        <v>765298</v>
      </c>
      <c r="G171">
        <v>3844727</v>
      </c>
      <c r="H171">
        <v>19066843</v>
      </c>
      <c r="I171">
        <v>93051620</v>
      </c>
      <c r="J171">
        <v>2000</v>
      </c>
      <c r="K171">
        <v>14592</v>
      </c>
      <c r="L171">
        <v>2500</v>
      </c>
      <c r="M171">
        <v>1070</v>
      </c>
      <c r="N171">
        <v>1850</v>
      </c>
      <c r="O171">
        <v>2700</v>
      </c>
      <c r="P171">
        <v>3550</v>
      </c>
      <c r="Q171">
        <v>4400</v>
      </c>
      <c r="R171">
        <v>5250</v>
      </c>
      <c r="S171">
        <v>6100</v>
      </c>
      <c r="T171">
        <v>6950</v>
      </c>
      <c r="U171">
        <v>7800</v>
      </c>
      <c r="V171">
        <v>3523</v>
      </c>
      <c r="W171">
        <v>1680</v>
      </c>
      <c r="X171">
        <v>1510</v>
      </c>
      <c r="Y171">
        <v>7500</v>
      </c>
    </row>
    <row r="172" spans="1:25" x14ac:dyDescent="0.2">
      <c r="A172">
        <v>171</v>
      </c>
      <c r="B172">
        <v>0</v>
      </c>
      <c r="C172">
        <v>12948</v>
      </c>
      <c r="D172">
        <v>29642</v>
      </c>
      <c r="E172">
        <v>154356</v>
      </c>
      <c r="F172">
        <v>795910</v>
      </c>
      <c r="G172">
        <v>4036964</v>
      </c>
      <c r="H172">
        <v>20210854</v>
      </c>
      <c r="I172">
        <v>99565234</v>
      </c>
      <c r="J172">
        <v>2000</v>
      </c>
      <c r="K172">
        <v>14738</v>
      </c>
      <c r="L172">
        <v>2500</v>
      </c>
      <c r="M172">
        <v>1071</v>
      </c>
      <c r="N172">
        <v>1855</v>
      </c>
      <c r="O172">
        <v>2710</v>
      </c>
      <c r="P172">
        <v>3565</v>
      </c>
      <c r="Q172">
        <v>4420</v>
      </c>
      <c r="R172">
        <v>5275</v>
      </c>
      <c r="S172">
        <v>6130</v>
      </c>
      <c r="T172">
        <v>6985</v>
      </c>
      <c r="U172">
        <v>7840</v>
      </c>
      <c r="V172">
        <v>3545</v>
      </c>
      <c r="W172">
        <v>1684</v>
      </c>
      <c r="X172">
        <v>1513</v>
      </c>
      <c r="Y172">
        <v>7510</v>
      </c>
    </row>
    <row r="173" spans="1:25" x14ac:dyDescent="0.2">
      <c r="A173">
        <v>172</v>
      </c>
      <c r="B173">
        <v>0</v>
      </c>
      <c r="C173">
        <v>13143</v>
      </c>
      <c r="D173">
        <v>30235</v>
      </c>
      <c r="E173">
        <v>158987</v>
      </c>
      <c r="F173">
        <v>827747</v>
      </c>
      <c r="G173">
        <v>4238813</v>
      </c>
      <c r="H173">
        <v>21423506</v>
      </c>
      <c r="I173">
        <v>106534801</v>
      </c>
      <c r="J173">
        <v>2000</v>
      </c>
      <c r="K173">
        <v>14886</v>
      </c>
      <c r="L173">
        <v>2500</v>
      </c>
      <c r="M173">
        <v>1072</v>
      </c>
      <c r="N173">
        <v>1860</v>
      </c>
      <c r="O173">
        <v>2720</v>
      </c>
      <c r="P173">
        <v>3580</v>
      </c>
      <c r="Q173">
        <v>4440</v>
      </c>
      <c r="R173">
        <v>5300</v>
      </c>
      <c r="S173">
        <v>6160</v>
      </c>
      <c r="T173">
        <v>7020</v>
      </c>
      <c r="U173">
        <v>7880</v>
      </c>
      <c r="V173">
        <v>3567</v>
      </c>
      <c r="W173">
        <v>1688</v>
      </c>
      <c r="X173">
        <v>1516</v>
      </c>
      <c r="Y173">
        <v>7520</v>
      </c>
    </row>
    <row r="174" spans="1:25" x14ac:dyDescent="0.2">
      <c r="A174">
        <v>173</v>
      </c>
      <c r="B174">
        <v>0</v>
      </c>
      <c r="C174">
        <v>13341</v>
      </c>
      <c r="D174">
        <v>30840</v>
      </c>
      <c r="E174">
        <v>163757</v>
      </c>
      <c r="F174">
        <v>860857</v>
      </c>
      <c r="G174">
        <v>4450754</v>
      </c>
      <c r="H174">
        <v>22708917</v>
      </c>
      <c r="I174">
        <v>113992238</v>
      </c>
      <c r="J174">
        <v>2000</v>
      </c>
      <c r="K174">
        <v>15035</v>
      </c>
      <c r="L174">
        <v>2500</v>
      </c>
      <c r="M174">
        <v>1073</v>
      </c>
      <c r="N174">
        <v>1865</v>
      </c>
      <c r="O174">
        <v>2730</v>
      </c>
      <c r="P174">
        <v>3595</v>
      </c>
      <c r="Q174">
        <v>4460</v>
      </c>
      <c r="R174">
        <v>5325</v>
      </c>
      <c r="S174">
        <v>6190</v>
      </c>
      <c r="T174">
        <v>7055</v>
      </c>
      <c r="U174">
        <v>7920</v>
      </c>
      <c r="V174">
        <v>3589</v>
      </c>
      <c r="W174">
        <v>1692</v>
      </c>
      <c r="X174">
        <v>1519</v>
      </c>
      <c r="Y174">
        <v>7530</v>
      </c>
    </row>
    <row r="175" spans="1:25" x14ac:dyDescent="0.2">
      <c r="A175">
        <v>174</v>
      </c>
      <c r="B175">
        <v>0</v>
      </c>
      <c r="C175">
        <v>13542</v>
      </c>
      <c r="D175">
        <v>31457</v>
      </c>
      <c r="E175">
        <v>168670</v>
      </c>
      <c r="F175">
        <v>895292</v>
      </c>
      <c r="G175">
        <v>4673292</v>
      </c>
      <c r="H175">
        <v>24071453</v>
      </c>
      <c r="I175">
        <v>121971695</v>
      </c>
      <c r="J175">
        <v>2000</v>
      </c>
      <c r="K175">
        <v>15186</v>
      </c>
      <c r="L175">
        <v>2500</v>
      </c>
      <c r="M175">
        <v>1074</v>
      </c>
      <c r="N175">
        <v>1870</v>
      </c>
      <c r="O175">
        <v>2740</v>
      </c>
      <c r="P175">
        <v>3610</v>
      </c>
      <c r="Q175">
        <v>4480</v>
      </c>
      <c r="R175">
        <v>5350</v>
      </c>
      <c r="S175">
        <v>6220</v>
      </c>
      <c r="T175">
        <v>7090</v>
      </c>
      <c r="U175">
        <v>7960</v>
      </c>
      <c r="V175">
        <v>3611</v>
      </c>
      <c r="W175">
        <v>1696</v>
      </c>
      <c r="X175">
        <v>1522</v>
      </c>
      <c r="Y175">
        <v>7540</v>
      </c>
    </row>
    <row r="176" spans="1:25" x14ac:dyDescent="0.2">
      <c r="A176">
        <v>175</v>
      </c>
      <c r="B176">
        <v>0</v>
      </c>
      <c r="C176">
        <v>13746</v>
      </c>
      <c r="D176">
        <v>32087</v>
      </c>
      <c r="E176">
        <v>173731</v>
      </c>
      <c r="F176">
        <v>931104</v>
      </c>
      <c r="G176">
        <v>4906957</v>
      </c>
      <c r="H176">
        <v>25515741</v>
      </c>
      <c r="I176">
        <v>130509714</v>
      </c>
      <c r="J176">
        <v>2000</v>
      </c>
      <c r="K176">
        <v>15338</v>
      </c>
      <c r="L176">
        <v>2500</v>
      </c>
      <c r="M176">
        <v>1075</v>
      </c>
      <c r="N176">
        <v>1875</v>
      </c>
      <c r="O176">
        <v>2750</v>
      </c>
      <c r="P176">
        <v>3625</v>
      </c>
      <c r="Q176">
        <v>4500</v>
      </c>
      <c r="R176">
        <v>5375</v>
      </c>
      <c r="S176">
        <v>6250</v>
      </c>
      <c r="T176">
        <v>7125</v>
      </c>
      <c r="U176">
        <v>8000</v>
      </c>
      <c r="V176">
        <v>3634</v>
      </c>
      <c r="W176">
        <v>1700</v>
      </c>
      <c r="X176">
        <v>1525</v>
      </c>
      <c r="Y176">
        <v>7550</v>
      </c>
    </row>
    <row r="177" spans="1:25" x14ac:dyDescent="0.2">
      <c r="A177">
        <v>176</v>
      </c>
      <c r="B177">
        <v>0</v>
      </c>
      <c r="C177">
        <v>13953</v>
      </c>
      <c r="D177">
        <v>32729</v>
      </c>
      <c r="E177">
        <v>178943</v>
      </c>
      <c r="F177">
        <v>968349</v>
      </c>
      <c r="G177">
        <v>5152305</v>
      </c>
      <c r="H177">
        <v>27046686</v>
      </c>
      <c r="I177">
        <v>139645394</v>
      </c>
      <c r="J177">
        <v>2000</v>
      </c>
      <c r="K177">
        <v>15492</v>
      </c>
      <c r="L177">
        <v>2500</v>
      </c>
      <c r="M177">
        <v>1076</v>
      </c>
      <c r="N177">
        <v>1880</v>
      </c>
      <c r="O177">
        <v>2760</v>
      </c>
      <c r="P177">
        <v>3640</v>
      </c>
      <c r="Q177">
        <v>4520</v>
      </c>
      <c r="R177">
        <v>5400</v>
      </c>
      <c r="S177">
        <v>6280</v>
      </c>
      <c r="T177">
        <v>7160</v>
      </c>
      <c r="U177">
        <v>8040</v>
      </c>
      <c r="V177">
        <v>3657</v>
      </c>
      <c r="W177">
        <v>1704</v>
      </c>
      <c r="X177">
        <v>1528</v>
      </c>
      <c r="Y177">
        <v>7560</v>
      </c>
    </row>
    <row r="178" spans="1:25" x14ac:dyDescent="0.2">
      <c r="A178">
        <v>177</v>
      </c>
      <c r="B178">
        <v>0</v>
      </c>
      <c r="C178">
        <v>14163</v>
      </c>
      <c r="D178">
        <v>33384</v>
      </c>
      <c r="E178">
        <v>184312</v>
      </c>
      <c r="F178">
        <v>1007083</v>
      </c>
      <c r="G178">
        <v>5409921</v>
      </c>
      <c r="H178">
        <v>28669488</v>
      </c>
      <c r="I178">
        <v>149420572</v>
      </c>
      <c r="J178">
        <v>2000</v>
      </c>
      <c r="K178">
        <v>15647</v>
      </c>
      <c r="L178">
        <v>2500</v>
      </c>
      <c r="M178">
        <v>1077</v>
      </c>
      <c r="N178">
        <v>1885</v>
      </c>
      <c r="O178">
        <v>2770</v>
      </c>
      <c r="P178">
        <v>3655</v>
      </c>
      <c r="Q178">
        <v>4540</v>
      </c>
      <c r="R178">
        <v>5425</v>
      </c>
      <c r="S178">
        <v>6310</v>
      </c>
      <c r="T178">
        <v>7195</v>
      </c>
      <c r="U178">
        <v>8080</v>
      </c>
      <c r="V178">
        <v>3680</v>
      </c>
      <c r="W178">
        <v>1708</v>
      </c>
      <c r="X178">
        <v>1531</v>
      </c>
      <c r="Y178">
        <v>7570</v>
      </c>
    </row>
    <row r="179" spans="1:25" x14ac:dyDescent="0.2">
      <c r="A179">
        <v>178</v>
      </c>
      <c r="B179">
        <v>0</v>
      </c>
      <c r="C179">
        <v>14376</v>
      </c>
      <c r="D179">
        <v>34052</v>
      </c>
      <c r="E179">
        <v>189842</v>
      </c>
      <c r="F179">
        <v>1047367</v>
      </c>
      <c r="G179">
        <v>5680418</v>
      </c>
      <c r="H179">
        <v>30389658</v>
      </c>
      <c r="I179">
        <v>159880013</v>
      </c>
      <c r="J179">
        <v>2000</v>
      </c>
      <c r="K179">
        <v>15804</v>
      </c>
      <c r="L179">
        <v>2500</v>
      </c>
      <c r="M179">
        <v>1078</v>
      </c>
      <c r="N179">
        <v>1890</v>
      </c>
      <c r="O179">
        <v>2780</v>
      </c>
      <c r="P179">
        <v>3670</v>
      </c>
      <c r="Q179">
        <v>4560</v>
      </c>
      <c r="R179">
        <v>5450</v>
      </c>
      <c r="S179">
        <v>6340</v>
      </c>
      <c r="T179">
        <v>7230</v>
      </c>
      <c r="U179">
        <v>8120</v>
      </c>
      <c r="V179">
        <v>3703</v>
      </c>
      <c r="W179">
        <v>1712</v>
      </c>
      <c r="X179">
        <v>1534</v>
      </c>
      <c r="Y179">
        <v>7580</v>
      </c>
    </row>
    <row r="180" spans="1:25" x14ac:dyDescent="0.2">
      <c r="A180">
        <v>179</v>
      </c>
      <c r="B180">
        <v>0</v>
      </c>
      <c r="C180">
        <v>14592</v>
      </c>
      <c r="D180">
        <v>34734</v>
      </c>
      <c r="E180">
        <v>195538</v>
      </c>
      <c r="F180">
        <v>1089262</v>
      </c>
      <c r="G180">
        <v>5964439</v>
      </c>
      <c r="H180">
        <v>32213038</v>
      </c>
      <c r="I180">
        <v>171071614</v>
      </c>
      <c r="J180">
        <v>2000</v>
      </c>
      <c r="K180">
        <v>15963</v>
      </c>
      <c r="L180">
        <v>2500</v>
      </c>
      <c r="M180">
        <v>1079</v>
      </c>
      <c r="N180">
        <v>1895</v>
      </c>
      <c r="O180">
        <v>2790</v>
      </c>
      <c r="P180">
        <v>3685</v>
      </c>
      <c r="Q180">
        <v>4580</v>
      </c>
      <c r="R180">
        <v>5475</v>
      </c>
      <c r="S180">
        <v>6370</v>
      </c>
      <c r="T180">
        <v>7265</v>
      </c>
      <c r="U180">
        <v>8160</v>
      </c>
      <c r="V180">
        <v>3726</v>
      </c>
      <c r="W180">
        <v>1716</v>
      </c>
      <c r="X180">
        <v>1537</v>
      </c>
      <c r="Y180">
        <v>7590</v>
      </c>
    </row>
    <row r="181" spans="1:25" x14ac:dyDescent="0.2">
      <c r="A181">
        <v>180</v>
      </c>
      <c r="B181">
        <v>0</v>
      </c>
      <c r="C181">
        <v>14811</v>
      </c>
      <c r="D181">
        <v>35429</v>
      </c>
      <c r="E181">
        <v>201405</v>
      </c>
      <c r="F181">
        <v>1132833</v>
      </c>
      <c r="G181">
        <v>6262661</v>
      </c>
      <c r="H181">
        <v>34145821</v>
      </c>
      <c r="I181">
        <v>183046627</v>
      </c>
      <c r="J181">
        <v>2000</v>
      </c>
      <c r="K181">
        <v>16123</v>
      </c>
      <c r="L181">
        <v>2500</v>
      </c>
      <c r="M181">
        <v>1080</v>
      </c>
      <c r="N181">
        <v>1900</v>
      </c>
      <c r="O181">
        <v>2800</v>
      </c>
      <c r="P181">
        <v>3700</v>
      </c>
      <c r="Q181">
        <v>4600</v>
      </c>
      <c r="R181">
        <v>5500</v>
      </c>
      <c r="S181">
        <v>6400</v>
      </c>
      <c r="T181">
        <v>7300</v>
      </c>
      <c r="U181">
        <v>8200</v>
      </c>
      <c r="V181">
        <v>3749</v>
      </c>
      <c r="W181">
        <v>1720</v>
      </c>
      <c r="X181">
        <v>1540</v>
      </c>
      <c r="Y181">
        <v>7600</v>
      </c>
    </row>
    <row r="182" spans="1:25" x14ac:dyDescent="0.2">
      <c r="A182">
        <v>181</v>
      </c>
      <c r="B182">
        <v>0</v>
      </c>
      <c r="C182">
        <v>15034</v>
      </c>
      <c r="D182">
        <v>36138</v>
      </c>
      <c r="E182">
        <v>207448</v>
      </c>
      <c r="F182">
        <v>1178147</v>
      </c>
      <c r="G182">
        <v>6575795</v>
      </c>
      <c r="H182">
        <v>36194571</v>
      </c>
      <c r="I182">
        <v>195859891</v>
      </c>
      <c r="J182">
        <v>2000</v>
      </c>
      <c r="K182">
        <v>16285</v>
      </c>
      <c r="L182">
        <v>2500</v>
      </c>
      <c r="M182">
        <v>1081</v>
      </c>
      <c r="N182">
        <v>1905</v>
      </c>
      <c r="O182">
        <v>2810</v>
      </c>
      <c r="P182">
        <v>3715</v>
      </c>
      <c r="Q182">
        <v>4620</v>
      </c>
      <c r="R182">
        <v>5525</v>
      </c>
      <c r="S182">
        <v>6430</v>
      </c>
      <c r="T182">
        <v>7335</v>
      </c>
      <c r="U182">
        <v>8240</v>
      </c>
      <c r="V182">
        <v>3772</v>
      </c>
      <c r="W182">
        <v>1724</v>
      </c>
      <c r="X182">
        <v>1543</v>
      </c>
      <c r="Y182">
        <v>7610</v>
      </c>
    </row>
    <row r="183" spans="1:25" x14ac:dyDescent="0.2">
      <c r="A183">
        <v>182</v>
      </c>
      <c r="B183">
        <v>0</v>
      </c>
      <c r="C183">
        <v>15260</v>
      </c>
      <c r="D183">
        <v>36861</v>
      </c>
      <c r="E183">
        <v>213672</v>
      </c>
      <c r="F183">
        <v>1225273</v>
      </c>
      <c r="G183">
        <v>6904585</v>
      </c>
      <c r="H183">
        <v>38366246</v>
      </c>
      <c r="I183">
        <v>209570084</v>
      </c>
      <c r="J183">
        <v>2000</v>
      </c>
      <c r="K183">
        <v>16448</v>
      </c>
      <c r="L183">
        <v>2500</v>
      </c>
      <c r="M183">
        <v>1082</v>
      </c>
      <c r="N183">
        <v>1910</v>
      </c>
      <c r="O183">
        <v>2820</v>
      </c>
      <c r="P183">
        <v>3730</v>
      </c>
      <c r="Q183">
        <v>4640</v>
      </c>
      <c r="R183">
        <v>5550</v>
      </c>
      <c r="S183">
        <v>6460</v>
      </c>
      <c r="T183">
        <v>7370</v>
      </c>
      <c r="U183">
        <v>8280</v>
      </c>
      <c r="V183">
        <v>3795</v>
      </c>
      <c r="W183">
        <v>1728</v>
      </c>
      <c r="X183">
        <v>1546</v>
      </c>
      <c r="Y183">
        <v>7620</v>
      </c>
    </row>
    <row r="184" spans="1:25" x14ac:dyDescent="0.2">
      <c r="A184">
        <v>183</v>
      </c>
      <c r="B184">
        <v>0</v>
      </c>
      <c r="C184">
        <v>15489</v>
      </c>
      <c r="D184">
        <v>37599</v>
      </c>
      <c r="E184">
        <v>220083</v>
      </c>
      <c r="F184">
        <v>1274284</v>
      </c>
      <c r="G184">
        <v>7249815</v>
      </c>
      <c r="H184">
        <v>40668221</v>
      </c>
      <c r="I184">
        <v>224239990</v>
      </c>
      <c r="J184">
        <v>2000</v>
      </c>
      <c r="K184">
        <v>16613</v>
      </c>
      <c r="L184">
        <v>2500</v>
      </c>
      <c r="M184">
        <v>1083</v>
      </c>
      <c r="N184">
        <v>1915</v>
      </c>
      <c r="O184">
        <v>2830</v>
      </c>
      <c r="P184">
        <v>3745</v>
      </c>
      <c r="Q184">
        <v>4660</v>
      </c>
      <c r="R184">
        <v>5575</v>
      </c>
      <c r="S184">
        <v>6490</v>
      </c>
      <c r="T184">
        <v>7405</v>
      </c>
      <c r="U184">
        <v>8320</v>
      </c>
      <c r="V184">
        <v>3818</v>
      </c>
      <c r="W184">
        <v>1732</v>
      </c>
      <c r="X184">
        <v>1549</v>
      </c>
      <c r="Y184">
        <v>7630</v>
      </c>
    </row>
    <row r="185" spans="1:25" x14ac:dyDescent="0.2">
      <c r="A185">
        <v>184</v>
      </c>
      <c r="B185">
        <v>0</v>
      </c>
      <c r="C185">
        <v>15722</v>
      </c>
      <c r="D185">
        <v>38351</v>
      </c>
      <c r="E185">
        <v>226686</v>
      </c>
      <c r="F185">
        <v>1325256</v>
      </c>
      <c r="G185">
        <v>7612306</v>
      </c>
      <c r="H185">
        <v>43108315</v>
      </c>
      <c r="I185">
        <v>239936790</v>
      </c>
      <c r="J185">
        <v>2000</v>
      </c>
      <c r="K185">
        <v>16780</v>
      </c>
      <c r="L185">
        <v>2500</v>
      </c>
      <c r="M185">
        <v>1084</v>
      </c>
      <c r="N185">
        <v>1920</v>
      </c>
      <c r="O185">
        <v>2840</v>
      </c>
      <c r="P185">
        <v>3760</v>
      </c>
      <c r="Q185">
        <v>4680</v>
      </c>
      <c r="R185">
        <v>5600</v>
      </c>
      <c r="S185">
        <v>6520</v>
      </c>
      <c r="T185">
        <v>7440</v>
      </c>
      <c r="U185">
        <v>8360</v>
      </c>
      <c r="V185">
        <v>3842</v>
      </c>
      <c r="W185">
        <v>1736</v>
      </c>
      <c r="X185">
        <v>1552</v>
      </c>
      <c r="Y185">
        <v>7640</v>
      </c>
    </row>
    <row r="186" spans="1:25" x14ac:dyDescent="0.2">
      <c r="A186">
        <v>185</v>
      </c>
      <c r="B186">
        <v>0</v>
      </c>
      <c r="C186">
        <v>15958</v>
      </c>
      <c r="D186">
        <v>39119</v>
      </c>
      <c r="E186">
        <v>233487</v>
      </c>
      <c r="F186">
        <v>1378267</v>
      </c>
      <c r="G186">
        <v>7992922</v>
      </c>
      <c r="H186">
        <v>45694814</v>
      </c>
      <c r="I186">
        <v>256732366</v>
      </c>
      <c r="J186">
        <v>2000</v>
      </c>
      <c r="K186">
        <v>16948</v>
      </c>
      <c r="L186">
        <v>2500</v>
      </c>
      <c r="M186">
        <v>1085</v>
      </c>
      <c r="N186">
        <v>1925</v>
      </c>
      <c r="O186">
        <v>2850</v>
      </c>
      <c r="P186">
        <v>3775</v>
      </c>
      <c r="Q186">
        <v>4700</v>
      </c>
      <c r="R186">
        <v>5625</v>
      </c>
      <c r="S186">
        <v>6550</v>
      </c>
      <c r="T186">
        <v>7475</v>
      </c>
      <c r="U186">
        <v>8400</v>
      </c>
      <c r="V186">
        <v>3866</v>
      </c>
      <c r="W186">
        <v>1740</v>
      </c>
      <c r="X186">
        <v>1555</v>
      </c>
      <c r="Y186">
        <v>7650</v>
      </c>
    </row>
    <row r="187" spans="1:25" x14ac:dyDescent="0.2">
      <c r="A187">
        <v>186</v>
      </c>
      <c r="B187">
        <v>0</v>
      </c>
      <c r="C187">
        <v>16198</v>
      </c>
      <c r="D187">
        <v>39902</v>
      </c>
      <c r="E187">
        <v>240492</v>
      </c>
      <c r="F187">
        <v>1433398</v>
      </c>
      <c r="G187">
        <v>8392569</v>
      </c>
      <c r="H187">
        <v>48436503</v>
      </c>
      <c r="I187">
        <v>274703632</v>
      </c>
      <c r="J187">
        <v>2000</v>
      </c>
      <c r="K187">
        <v>17118</v>
      </c>
      <c r="L187">
        <v>2500</v>
      </c>
      <c r="M187">
        <v>1086</v>
      </c>
      <c r="N187">
        <v>1930</v>
      </c>
      <c r="O187">
        <v>2860</v>
      </c>
      <c r="P187">
        <v>3790</v>
      </c>
      <c r="Q187">
        <v>4720</v>
      </c>
      <c r="R187">
        <v>5650</v>
      </c>
      <c r="S187">
        <v>6580</v>
      </c>
      <c r="T187">
        <v>7510</v>
      </c>
      <c r="U187">
        <v>8440</v>
      </c>
      <c r="V187">
        <v>3890</v>
      </c>
      <c r="W187">
        <v>1744</v>
      </c>
      <c r="X187">
        <v>1558</v>
      </c>
      <c r="Y187">
        <v>7660</v>
      </c>
    </row>
    <row r="188" spans="1:25" x14ac:dyDescent="0.2">
      <c r="A188">
        <v>187</v>
      </c>
      <c r="B188">
        <v>0</v>
      </c>
      <c r="C188">
        <v>16441</v>
      </c>
      <c r="D188">
        <v>40701</v>
      </c>
      <c r="E188">
        <v>247707</v>
      </c>
      <c r="F188">
        <v>1490734</v>
      </c>
      <c r="G188">
        <v>8812198</v>
      </c>
      <c r="H188">
        <v>51342694</v>
      </c>
      <c r="I188">
        <v>293932887</v>
      </c>
      <c r="J188">
        <v>2000</v>
      </c>
      <c r="K188">
        <v>17290</v>
      </c>
      <c r="L188">
        <v>2500</v>
      </c>
      <c r="M188">
        <v>1087</v>
      </c>
      <c r="N188">
        <v>1935</v>
      </c>
      <c r="O188">
        <v>2870</v>
      </c>
      <c r="P188">
        <v>3805</v>
      </c>
      <c r="Q188">
        <v>4740</v>
      </c>
      <c r="R188">
        <v>5675</v>
      </c>
      <c r="S188">
        <v>6610</v>
      </c>
      <c r="T188">
        <v>7545</v>
      </c>
      <c r="U188">
        <v>8480</v>
      </c>
      <c r="V188">
        <v>3914</v>
      </c>
      <c r="W188">
        <v>1748</v>
      </c>
      <c r="X188">
        <v>1561</v>
      </c>
      <c r="Y188">
        <v>7670</v>
      </c>
    </row>
    <row r="189" spans="1:25" x14ac:dyDescent="0.2">
      <c r="A189">
        <v>188</v>
      </c>
      <c r="B189">
        <v>0</v>
      </c>
      <c r="C189">
        <v>16688</v>
      </c>
      <c r="D189">
        <v>41516</v>
      </c>
      <c r="E189">
        <v>255139</v>
      </c>
      <c r="F189">
        <v>1550364</v>
      </c>
      <c r="G189">
        <v>9252808</v>
      </c>
      <c r="H189">
        <v>54423256</v>
      </c>
      <c r="I189">
        <v>314508190</v>
      </c>
      <c r="J189">
        <v>2000</v>
      </c>
      <c r="K189">
        <v>17463</v>
      </c>
      <c r="L189">
        <v>2500</v>
      </c>
      <c r="M189">
        <v>1088</v>
      </c>
      <c r="N189">
        <v>1940</v>
      </c>
      <c r="O189">
        <v>2880</v>
      </c>
      <c r="P189">
        <v>3820</v>
      </c>
      <c r="Q189">
        <v>4760</v>
      </c>
      <c r="R189">
        <v>5700</v>
      </c>
      <c r="S189">
        <v>6640</v>
      </c>
      <c r="T189">
        <v>7580</v>
      </c>
      <c r="U189">
        <v>8520</v>
      </c>
      <c r="V189">
        <v>3938</v>
      </c>
      <c r="W189">
        <v>1752</v>
      </c>
      <c r="X189">
        <v>1564</v>
      </c>
      <c r="Y189">
        <v>7680</v>
      </c>
    </row>
    <row r="190" spans="1:25" x14ac:dyDescent="0.2">
      <c r="A190">
        <v>189</v>
      </c>
      <c r="B190">
        <v>0</v>
      </c>
      <c r="C190">
        <v>16939</v>
      </c>
      <c r="D190">
        <v>42347</v>
      </c>
      <c r="E190">
        <v>262794</v>
      </c>
      <c r="F190">
        <v>1612379</v>
      </c>
      <c r="G190">
        <v>9715449</v>
      </c>
      <c r="H190">
        <v>57688652</v>
      </c>
      <c r="I190">
        <v>336523764</v>
      </c>
      <c r="J190">
        <v>2000</v>
      </c>
      <c r="K190">
        <v>17638</v>
      </c>
      <c r="L190">
        <v>2500</v>
      </c>
      <c r="M190">
        <v>1089</v>
      </c>
      <c r="N190">
        <v>1945</v>
      </c>
      <c r="O190">
        <v>2890</v>
      </c>
      <c r="P190">
        <v>3835</v>
      </c>
      <c r="Q190">
        <v>4780</v>
      </c>
      <c r="R190">
        <v>5725</v>
      </c>
      <c r="S190">
        <v>6670</v>
      </c>
      <c r="T190">
        <v>7615</v>
      </c>
      <c r="U190">
        <v>8560</v>
      </c>
      <c r="V190">
        <v>3962</v>
      </c>
      <c r="W190">
        <v>1756</v>
      </c>
      <c r="X190">
        <v>1567</v>
      </c>
      <c r="Y190">
        <v>7690</v>
      </c>
    </row>
    <row r="191" spans="1:25" x14ac:dyDescent="0.2">
      <c r="A191">
        <v>190</v>
      </c>
      <c r="B191">
        <v>0</v>
      </c>
      <c r="C191">
        <v>17194</v>
      </c>
      <c r="D191">
        <v>43194</v>
      </c>
      <c r="E191">
        <v>270678</v>
      </c>
      <c r="F191">
        <v>1676875</v>
      </c>
      <c r="G191">
        <v>10201222</v>
      </c>
      <c r="H191">
        <v>61149972</v>
      </c>
      <c r="I191">
        <v>360080428</v>
      </c>
      <c r="J191">
        <v>2000</v>
      </c>
      <c r="K191">
        <v>17815</v>
      </c>
      <c r="L191">
        <v>2500</v>
      </c>
      <c r="M191">
        <v>1090</v>
      </c>
      <c r="N191">
        <v>1950</v>
      </c>
      <c r="O191">
        <v>2900</v>
      </c>
      <c r="P191">
        <v>3850</v>
      </c>
      <c r="Q191">
        <v>4800</v>
      </c>
      <c r="R191">
        <v>5750</v>
      </c>
      <c r="S191">
        <v>6700</v>
      </c>
      <c r="T191">
        <v>7650</v>
      </c>
      <c r="U191">
        <v>8600</v>
      </c>
      <c r="V191">
        <v>3986</v>
      </c>
      <c r="W191">
        <v>1760</v>
      </c>
      <c r="X191">
        <v>1570</v>
      </c>
      <c r="Y191">
        <v>7700</v>
      </c>
    </row>
    <row r="192" spans="1:25" x14ac:dyDescent="0.2">
      <c r="A192">
        <v>191</v>
      </c>
      <c r="B192">
        <v>0</v>
      </c>
      <c r="C192">
        <v>17452</v>
      </c>
      <c r="D192">
        <v>44058</v>
      </c>
      <c r="E192">
        <v>278799</v>
      </c>
      <c r="F192">
        <v>1743950</v>
      </c>
      <c r="G192">
        <v>10711284</v>
      </c>
      <c r="H192">
        <v>64818971</v>
      </c>
      <c r="I192">
        <v>385286058</v>
      </c>
      <c r="J192">
        <v>2000</v>
      </c>
      <c r="K192">
        <v>17994</v>
      </c>
      <c r="L192">
        <v>2500</v>
      </c>
      <c r="M192">
        <v>1091</v>
      </c>
      <c r="N192">
        <v>1955</v>
      </c>
      <c r="O192">
        <v>2910</v>
      </c>
      <c r="P192">
        <v>3865</v>
      </c>
      <c r="Q192">
        <v>4820</v>
      </c>
      <c r="R192">
        <v>5775</v>
      </c>
      <c r="S192">
        <v>6730</v>
      </c>
      <c r="T192">
        <v>7685</v>
      </c>
      <c r="U192">
        <v>8640</v>
      </c>
      <c r="V192">
        <v>4010</v>
      </c>
      <c r="W192">
        <v>1764</v>
      </c>
      <c r="X192">
        <v>1573</v>
      </c>
      <c r="Y192">
        <v>7710</v>
      </c>
    </row>
    <row r="193" spans="1:25" x14ac:dyDescent="0.2">
      <c r="A193">
        <v>192</v>
      </c>
      <c r="B193">
        <v>0</v>
      </c>
      <c r="C193">
        <v>17714</v>
      </c>
      <c r="D193">
        <v>44940</v>
      </c>
      <c r="E193">
        <v>287163</v>
      </c>
      <c r="F193">
        <v>1813708</v>
      </c>
      <c r="G193">
        <v>11246849</v>
      </c>
      <c r="H193">
        <v>68708110</v>
      </c>
      <c r="I193">
        <v>412256083</v>
      </c>
      <c r="J193">
        <v>2000</v>
      </c>
      <c r="K193">
        <v>18174</v>
      </c>
      <c r="L193">
        <v>2500</v>
      </c>
      <c r="M193">
        <v>1092</v>
      </c>
      <c r="N193">
        <v>1960</v>
      </c>
      <c r="O193">
        <v>2920</v>
      </c>
      <c r="P193">
        <v>3880</v>
      </c>
      <c r="Q193">
        <v>4840</v>
      </c>
      <c r="R193">
        <v>5800</v>
      </c>
      <c r="S193">
        <v>6760</v>
      </c>
      <c r="T193">
        <v>7720</v>
      </c>
      <c r="U193">
        <v>8680</v>
      </c>
      <c r="V193">
        <v>4035</v>
      </c>
      <c r="W193">
        <v>1768</v>
      </c>
      <c r="X193">
        <v>1576</v>
      </c>
      <c r="Y193">
        <v>7720</v>
      </c>
    </row>
    <row r="194" spans="1:25" x14ac:dyDescent="0.2">
      <c r="A194">
        <v>193</v>
      </c>
      <c r="B194">
        <v>0</v>
      </c>
      <c r="C194">
        <v>17980</v>
      </c>
      <c r="D194">
        <v>45839</v>
      </c>
      <c r="E194">
        <v>295778</v>
      </c>
      <c r="F194">
        <v>1886257</v>
      </c>
      <c r="G194">
        <v>11809192</v>
      </c>
      <c r="H194">
        <v>72830597</v>
      </c>
      <c r="I194">
        <v>441114009</v>
      </c>
      <c r="J194">
        <v>2000</v>
      </c>
      <c r="K194">
        <v>18356</v>
      </c>
      <c r="L194">
        <v>2500</v>
      </c>
      <c r="M194">
        <v>1093</v>
      </c>
      <c r="N194">
        <v>1965</v>
      </c>
      <c r="O194">
        <v>2930</v>
      </c>
      <c r="P194">
        <v>3895</v>
      </c>
      <c r="Q194">
        <v>4860</v>
      </c>
      <c r="R194">
        <v>5825</v>
      </c>
      <c r="S194">
        <v>6790</v>
      </c>
      <c r="T194">
        <v>7755</v>
      </c>
      <c r="U194">
        <v>8720</v>
      </c>
      <c r="V194">
        <v>4060</v>
      </c>
      <c r="W194">
        <v>1772</v>
      </c>
      <c r="X194">
        <v>1579</v>
      </c>
      <c r="Y194">
        <v>7730</v>
      </c>
    </row>
    <row r="195" spans="1:25" x14ac:dyDescent="0.2">
      <c r="A195">
        <v>194</v>
      </c>
      <c r="B195">
        <v>0</v>
      </c>
      <c r="C195">
        <v>18250</v>
      </c>
      <c r="D195">
        <v>46756</v>
      </c>
      <c r="E195">
        <v>304652</v>
      </c>
      <c r="F195">
        <v>1961708</v>
      </c>
      <c r="G195">
        <v>12399652</v>
      </c>
      <c r="H195">
        <v>77200433</v>
      </c>
      <c r="I195">
        <v>471991990</v>
      </c>
      <c r="J195">
        <v>2000</v>
      </c>
      <c r="K195">
        <v>18540</v>
      </c>
      <c r="L195">
        <v>2500</v>
      </c>
      <c r="M195">
        <v>1094</v>
      </c>
      <c r="N195">
        <v>1970</v>
      </c>
      <c r="O195">
        <v>2940</v>
      </c>
      <c r="P195">
        <v>3910</v>
      </c>
      <c r="Q195">
        <v>4880</v>
      </c>
      <c r="R195">
        <v>5850</v>
      </c>
      <c r="S195">
        <v>6820</v>
      </c>
      <c r="T195">
        <v>7790</v>
      </c>
      <c r="U195">
        <v>8760</v>
      </c>
      <c r="V195">
        <v>4085</v>
      </c>
      <c r="W195">
        <v>1776</v>
      </c>
      <c r="X195">
        <v>1582</v>
      </c>
      <c r="Y195">
        <v>7740</v>
      </c>
    </row>
    <row r="196" spans="1:25" x14ac:dyDescent="0.2">
      <c r="A196">
        <v>195</v>
      </c>
      <c r="B196">
        <v>0</v>
      </c>
      <c r="C196">
        <v>18524</v>
      </c>
      <c r="D196">
        <v>47692</v>
      </c>
      <c r="E196">
        <v>313792</v>
      </c>
      <c r="F196">
        <v>2040177</v>
      </c>
      <c r="G196">
        <v>13019635</v>
      </c>
      <c r="H196">
        <v>81832459</v>
      </c>
      <c r="I196">
        <v>505031430</v>
      </c>
      <c r="J196">
        <v>2000</v>
      </c>
      <c r="K196">
        <v>18726</v>
      </c>
      <c r="L196">
        <v>2500</v>
      </c>
      <c r="M196">
        <v>1095</v>
      </c>
      <c r="N196">
        <v>1975</v>
      </c>
      <c r="O196">
        <v>2950</v>
      </c>
      <c r="P196">
        <v>3925</v>
      </c>
      <c r="Q196">
        <v>4900</v>
      </c>
      <c r="R196">
        <v>5875</v>
      </c>
      <c r="S196">
        <v>6850</v>
      </c>
      <c r="T196">
        <v>7825</v>
      </c>
      <c r="U196">
        <v>8800</v>
      </c>
      <c r="V196">
        <v>4110</v>
      </c>
      <c r="W196">
        <v>1780</v>
      </c>
      <c r="X196">
        <v>1585</v>
      </c>
      <c r="Y196">
        <v>7750</v>
      </c>
    </row>
    <row r="197" spans="1:25" x14ac:dyDescent="0.2">
      <c r="A197">
        <v>196</v>
      </c>
      <c r="B197">
        <v>0</v>
      </c>
      <c r="C197">
        <v>18802</v>
      </c>
      <c r="D197">
        <v>48646</v>
      </c>
      <c r="E197">
        <v>323206</v>
      </c>
      <c r="F197">
        <v>2121785</v>
      </c>
      <c r="G197">
        <v>13670617</v>
      </c>
      <c r="H197">
        <v>86742407</v>
      </c>
      <c r="I197">
        <v>540383631</v>
      </c>
      <c r="J197">
        <v>2000</v>
      </c>
      <c r="K197">
        <v>18914</v>
      </c>
      <c r="L197">
        <v>2500</v>
      </c>
      <c r="M197">
        <v>1096</v>
      </c>
      <c r="N197">
        <v>1980</v>
      </c>
      <c r="O197">
        <v>2960</v>
      </c>
      <c r="P197">
        <v>3940</v>
      </c>
      <c r="Q197">
        <v>4920</v>
      </c>
      <c r="R197">
        <v>5900</v>
      </c>
      <c r="S197">
        <v>6880</v>
      </c>
      <c r="T197">
        <v>7860</v>
      </c>
      <c r="U197">
        <v>8840</v>
      </c>
      <c r="V197">
        <v>4135</v>
      </c>
      <c r="W197">
        <v>1784</v>
      </c>
      <c r="X197">
        <v>1588</v>
      </c>
      <c r="Y197">
        <v>7760</v>
      </c>
    </row>
    <row r="198" spans="1:25" x14ac:dyDescent="0.2">
      <c r="A198">
        <v>197</v>
      </c>
      <c r="B198">
        <v>0</v>
      </c>
      <c r="C198">
        <v>19085</v>
      </c>
      <c r="D198">
        <v>49619</v>
      </c>
      <c r="E198">
        <v>332903</v>
      </c>
      <c r="F198">
        <v>2206657</v>
      </c>
      <c r="G198">
        <v>14354148</v>
      </c>
      <c r="H198">
        <v>91946952</v>
      </c>
      <c r="I198">
        <v>578210486</v>
      </c>
      <c r="J198">
        <v>2000</v>
      </c>
      <c r="K198">
        <v>19104</v>
      </c>
      <c r="L198">
        <v>2500</v>
      </c>
      <c r="M198">
        <v>1097</v>
      </c>
      <c r="N198">
        <v>1985</v>
      </c>
      <c r="O198">
        <v>2970</v>
      </c>
      <c r="P198">
        <v>3955</v>
      </c>
      <c r="Q198">
        <v>4940</v>
      </c>
      <c r="R198">
        <v>5925</v>
      </c>
      <c r="S198">
        <v>6910</v>
      </c>
      <c r="T198">
        <v>7895</v>
      </c>
      <c r="U198">
        <v>8880</v>
      </c>
      <c r="V198">
        <v>4160</v>
      </c>
      <c r="W198">
        <v>1788</v>
      </c>
      <c r="X198">
        <v>1591</v>
      </c>
      <c r="Y198">
        <v>7770</v>
      </c>
    </row>
    <row r="199" spans="1:25" x14ac:dyDescent="0.2">
      <c r="A199">
        <v>198</v>
      </c>
      <c r="B199">
        <v>0</v>
      </c>
      <c r="C199">
        <v>19372</v>
      </c>
      <c r="D199">
        <v>50612</v>
      </c>
      <c r="E199">
        <v>342891</v>
      </c>
      <c r="F199">
        <v>2294924</v>
      </c>
      <c r="G199">
        <v>15071856</v>
      </c>
      <c r="H199">
        <v>97463770</v>
      </c>
      <c r="I199">
        <v>618685221</v>
      </c>
      <c r="J199">
        <v>2000</v>
      </c>
      <c r="K199">
        <v>19296</v>
      </c>
      <c r="L199">
        <v>2500</v>
      </c>
      <c r="M199">
        <v>1098</v>
      </c>
      <c r="N199">
        <v>1990</v>
      </c>
      <c r="O199">
        <v>2980</v>
      </c>
      <c r="P199">
        <v>3970</v>
      </c>
      <c r="Q199">
        <v>4960</v>
      </c>
      <c r="R199">
        <v>5950</v>
      </c>
      <c r="S199">
        <v>6940</v>
      </c>
      <c r="T199">
        <v>7930</v>
      </c>
      <c r="U199">
        <v>8920</v>
      </c>
      <c r="V199">
        <v>4185</v>
      </c>
      <c r="W199">
        <v>1792</v>
      </c>
      <c r="X199">
        <v>1594</v>
      </c>
      <c r="Y199">
        <v>7780</v>
      </c>
    </row>
    <row r="200" spans="1:25" x14ac:dyDescent="0.2">
      <c r="A200">
        <v>199</v>
      </c>
      <c r="B200">
        <v>0</v>
      </c>
      <c r="C200">
        <v>19663</v>
      </c>
      <c r="D200">
        <v>51625</v>
      </c>
      <c r="E200">
        <v>353178</v>
      </c>
      <c r="F200">
        <v>2386721</v>
      </c>
      <c r="G200">
        <v>15825449</v>
      </c>
      <c r="H200">
        <v>103311597</v>
      </c>
      <c r="I200">
        <v>661993187</v>
      </c>
      <c r="J200">
        <v>2000</v>
      </c>
      <c r="K200">
        <v>19489</v>
      </c>
      <c r="L200">
        <v>2500</v>
      </c>
      <c r="M200">
        <v>1099</v>
      </c>
      <c r="N200">
        <v>1995</v>
      </c>
      <c r="O200">
        <v>2990</v>
      </c>
      <c r="P200">
        <v>3985</v>
      </c>
      <c r="Q200">
        <v>4980</v>
      </c>
      <c r="R200">
        <v>5975</v>
      </c>
      <c r="S200">
        <v>6970</v>
      </c>
      <c r="T200">
        <v>7965</v>
      </c>
      <c r="U200">
        <v>8960</v>
      </c>
      <c r="V200">
        <v>4210</v>
      </c>
      <c r="W200">
        <v>1796</v>
      </c>
      <c r="X200">
        <v>1597</v>
      </c>
      <c r="Y200">
        <v>7790</v>
      </c>
    </row>
    <row r="201" spans="1:25" x14ac:dyDescent="0.2">
      <c r="A201">
        <v>200</v>
      </c>
      <c r="B201">
        <v>0</v>
      </c>
      <c r="C201">
        <v>19958</v>
      </c>
      <c r="D201">
        <v>52658</v>
      </c>
      <c r="E201">
        <v>363774</v>
      </c>
      <c r="F201">
        <v>2482190</v>
      </c>
      <c r="G201">
        <v>16616722</v>
      </c>
      <c r="H201">
        <v>109510293</v>
      </c>
      <c r="I201">
        <v>708332711</v>
      </c>
      <c r="J201">
        <v>2000</v>
      </c>
      <c r="K201">
        <v>19684</v>
      </c>
      <c r="L201">
        <v>2500</v>
      </c>
      <c r="M201">
        <v>1100</v>
      </c>
      <c r="N201">
        <v>2000</v>
      </c>
      <c r="O201">
        <v>3000</v>
      </c>
      <c r="P201">
        <v>4000</v>
      </c>
      <c r="Q201">
        <v>5000</v>
      </c>
      <c r="R201">
        <v>6000</v>
      </c>
      <c r="S201">
        <v>7000</v>
      </c>
      <c r="T201">
        <v>8000</v>
      </c>
      <c r="U201">
        <v>9000</v>
      </c>
      <c r="V201">
        <v>4236</v>
      </c>
      <c r="W201">
        <v>1800</v>
      </c>
      <c r="X201">
        <v>1600</v>
      </c>
      <c r="Y201">
        <v>7800</v>
      </c>
    </row>
    <row r="202" spans="1:25" x14ac:dyDescent="0.2">
      <c r="A202">
        <v>201</v>
      </c>
      <c r="B202">
        <v>0</v>
      </c>
      <c r="C202">
        <v>20258</v>
      </c>
      <c r="D202">
        <v>53712</v>
      </c>
      <c r="E202">
        <v>374688</v>
      </c>
      <c r="F202">
        <v>2581478</v>
      </c>
      <c r="G202">
        <v>17447559</v>
      </c>
      <c r="H202">
        <v>116080911</v>
      </c>
      <c r="I202">
        <v>757916001</v>
      </c>
      <c r="J202">
        <v>2000</v>
      </c>
      <c r="K202">
        <v>19881</v>
      </c>
      <c r="L202">
        <v>2500</v>
      </c>
      <c r="M202">
        <v>1100</v>
      </c>
      <c r="N202">
        <v>2005</v>
      </c>
      <c r="O202">
        <v>3010</v>
      </c>
      <c r="P202">
        <v>4015</v>
      </c>
      <c r="Q202">
        <v>5020</v>
      </c>
      <c r="R202">
        <v>6025</v>
      </c>
      <c r="S202">
        <v>7030</v>
      </c>
      <c r="T202">
        <v>8035</v>
      </c>
      <c r="U202">
        <v>9040</v>
      </c>
      <c r="V202">
        <v>4262</v>
      </c>
      <c r="W202">
        <v>1804</v>
      </c>
      <c r="X202">
        <v>1603</v>
      </c>
      <c r="Y202">
        <v>7810</v>
      </c>
    </row>
    <row r="203" spans="1:25" x14ac:dyDescent="0.2">
      <c r="A203">
        <v>202</v>
      </c>
      <c r="B203">
        <v>0</v>
      </c>
      <c r="C203">
        <v>20562</v>
      </c>
      <c r="D203">
        <v>54787</v>
      </c>
      <c r="E203">
        <v>385929</v>
      </c>
      <c r="F203">
        <v>2684738</v>
      </c>
      <c r="G203">
        <v>18319937</v>
      </c>
      <c r="H203">
        <v>123045766</v>
      </c>
      <c r="I203">
        <v>810970122</v>
      </c>
      <c r="J203">
        <v>2000</v>
      </c>
      <c r="K203">
        <v>20080</v>
      </c>
      <c r="L203">
        <v>2500</v>
      </c>
      <c r="M203">
        <v>1100</v>
      </c>
      <c r="N203">
        <v>2010</v>
      </c>
      <c r="O203">
        <v>3020</v>
      </c>
      <c r="P203">
        <v>4030</v>
      </c>
      <c r="Q203">
        <v>5040</v>
      </c>
      <c r="R203">
        <v>6050</v>
      </c>
      <c r="S203">
        <v>7060</v>
      </c>
      <c r="T203">
        <v>8070</v>
      </c>
      <c r="U203">
        <v>9080</v>
      </c>
      <c r="V203">
        <v>4288</v>
      </c>
      <c r="W203">
        <v>1808</v>
      </c>
      <c r="X203">
        <v>1606</v>
      </c>
      <c r="Y203">
        <v>7820</v>
      </c>
    </row>
    <row r="204" spans="1:25" x14ac:dyDescent="0.2">
      <c r="A204">
        <v>203</v>
      </c>
      <c r="B204">
        <v>0</v>
      </c>
      <c r="C204">
        <v>20871</v>
      </c>
      <c r="D204">
        <v>55883</v>
      </c>
      <c r="E204">
        <v>397507</v>
      </c>
      <c r="F204">
        <v>2792128</v>
      </c>
      <c r="G204">
        <v>19235934</v>
      </c>
      <c r="H204">
        <v>130428512</v>
      </c>
      <c r="I204">
        <v>867738031</v>
      </c>
      <c r="J204">
        <v>2000</v>
      </c>
      <c r="K204">
        <v>20281</v>
      </c>
      <c r="L204">
        <v>2500</v>
      </c>
      <c r="M204">
        <v>1100</v>
      </c>
      <c r="N204">
        <v>2015</v>
      </c>
      <c r="O204">
        <v>3030</v>
      </c>
      <c r="P204">
        <v>4045</v>
      </c>
      <c r="Q204">
        <v>5060</v>
      </c>
      <c r="R204">
        <v>6075</v>
      </c>
      <c r="S204">
        <v>7090</v>
      </c>
      <c r="T204">
        <v>8105</v>
      </c>
      <c r="U204">
        <v>9120</v>
      </c>
      <c r="V204">
        <v>4314</v>
      </c>
      <c r="W204">
        <v>1812</v>
      </c>
      <c r="X204">
        <v>1609</v>
      </c>
      <c r="Y204">
        <v>7830</v>
      </c>
    </row>
    <row r="205" spans="1:25" x14ac:dyDescent="0.2">
      <c r="A205">
        <v>204</v>
      </c>
      <c r="B205">
        <v>0</v>
      </c>
      <c r="C205">
        <v>21185</v>
      </c>
      <c r="D205">
        <v>57001</v>
      </c>
      <c r="E205">
        <v>409433</v>
      </c>
      <c r="F205">
        <v>2903814</v>
      </c>
      <c r="G205">
        <v>20197731</v>
      </c>
      <c r="H205">
        <v>138254223</v>
      </c>
      <c r="I205">
        <v>928479694</v>
      </c>
      <c r="J205">
        <v>2000</v>
      </c>
      <c r="K205">
        <v>20484</v>
      </c>
      <c r="L205">
        <v>2500</v>
      </c>
      <c r="M205">
        <v>1100</v>
      </c>
      <c r="N205">
        <v>2020</v>
      </c>
      <c r="O205">
        <v>3040</v>
      </c>
      <c r="P205">
        <v>4060</v>
      </c>
      <c r="Q205">
        <v>5080</v>
      </c>
      <c r="R205">
        <v>6100</v>
      </c>
      <c r="S205">
        <v>7120</v>
      </c>
      <c r="T205">
        <v>8140</v>
      </c>
      <c r="U205">
        <v>9160</v>
      </c>
      <c r="V205">
        <v>4340</v>
      </c>
      <c r="W205">
        <v>1816</v>
      </c>
      <c r="X205">
        <v>1612</v>
      </c>
      <c r="Y205">
        <v>7840</v>
      </c>
    </row>
    <row r="206" spans="1:25" x14ac:dyDescent="0.2">
      <c r="A206">
        <v>205</v>
      </c>
      <c r="B206">
        <v>0</v>
      </c>
      <c r="C206">
        <v>21503</v>
      </c>
      <c r="D206">
        <v>58142</v>
      </c>
      <c r="E206">
        <v>421716</v>
      </c>
      <c r="F206">
        <v>3019967</v>
      </c>
      <c r="G206">
        <v>21207618</v>
      </c>
      <c r="H206">
        <v>146549477</v>
      </c>
      <c r="I206">
        <v>993473273</v>
      </c>
      <c r="J206">
        <v>2000</v>
      </c>
      <c r="K206">
        <v>20689</v>
      </c>
      <c r="L206">
        <v>2500</v>
      </c>
      <c r="M206">
        <v>1100</v>
      </c>
      <c r="N206">
        <v>2025</v>
      </c>
      <c r="O206">
        <v>3050</v>
      </c>
      <c r="P206">
        <v>4075</v>
      </c>
      <c r="Q206">
        <v>5100</v>
      </c>
      <c r="R206">
        <v>6125</v>
      </c>
      <c r="S206">
        <v>7150</v>
      </c>
      <c r="T206">
        <v>8175</v>
      </c>
      <c r="U206">
        <v>9200</v>
      </c>
      <c r="V206">
        <v>4366</v>
      </c>
      <c r="W206">
        <v>1820</v>
      </c>
      <c r="X206">
        <v>1615</v>
      </c>
      <c r="Y206">
        <v>7850</v>
      </c>
    </row>
    <row r="207" spans="1:25" x14ac:dyDescent="0.2">
      <c r="A207">
        <v>206</v>
      </c>
      <c r="B207">
        <v>0</v>
      </c>
      <c r="C207">
        <v>21826</v>
      </c>
      <c r="D207">
        <v>59305</v>
      </c>
      <c r="E207">
        <v>434368</v>
      </c>
      <c r="F207">
        <v>3140766</v>
      </c>
      <c r="G207">
        <v>22267999</v>
      </c>
      <c r="H207">
        <v>155342446</v>
      </c>
      <c r="I207">
        <v>1063016403</v>
      </c>
      <c r="J207">
        <v>2000</v>
      </c>
      <c r="K207">
        <v>20896</v>
      </c>
      <c r="L207">
        <v>2500</v>
      </c>
      <c r="M207">
        <v>1100</v>
      </c>
      <c r="N207">
        <v>2030</v>
      </c>
      <c r="O207">
        <v>3060</v>
      </c>
      <c r="P207">
        <v>4090</v>
      </c>
      <c r="Q207">
        <v>5120</v>
      </c>
      <c r="R207">
        <v>6150</v>
      </c>
      <c r="S207">
        <v>7180</v>
      </c>
      <c r="T207">
        <v>8210</v>
      </c>
      <c r="U207">
        <v>9240</v>
      </c>
      <c r="V207">
        <v>4392</v>
      </c>
      <c r="W207">
        <v>1824</v>
      </c>
      <c r="X207">
        <v>1618</v>
      </c>
      <c r="Y207">
        <v>7860</v>
      </c>
    </row>
    <row r="208" spans="1:25" x14ac:dyDescent="0.2">
      <c r="A208">
        <v>207</v>
      </c>
      <c r="B208">
        <v>0</v>
      </c>
      <c r="C208">
        <v>22154</v>
      </c>
      <c r="D208">
        <v>60492</v>
      </c>
      <c r="E208">
        <v>447400</v>
      </c>
      <c r="F208">
        <v>3266397</v>
      </c>
      <c r="G208">
        <v>23381399</v>
      </c>
      <c r="H208">
        <v>164662993</v>
      </c>
      <c r="I208">
        <v>1137427552</v>
      </c>
      <c r="J208">
        <v>2000</v>
      </c>
      <c r="K208">
        <v>21105</v>
      </c>
      <c r="L208">
        <v>2500</v>
      </c>
      <c r="M208">
        <v>1100</v>
      </c>
      <c r="N208">
        <v>2035</v>
      </c>
      <c r="O208">
        <v>3070</v>
      </c>
      <c r="P208">
        <v>4105</v>
      </c>
      <c r="Q208">
        <v>5140</v>
      </c>
      <c r="R208">
        <v>6175</v>
      </c>
      <c r="S208">
        <v>7210</v>
      </c>
      <c r="T208">
        <v>8245</v>
      </c>
      <c r="U208">
        <v>9280</v>
      </c>
      <c r="V208">
        <v>4418</v>
      </c>
      <c r="W208">
        <v>1828</v>
      </c>
      <c r="X208">
        <v>1621</v>
      </c>
      <c r="Y208">
        <v>7870</v>
      </c>
    </row>
    <row r="209" spans="1:25" x14ac:dyDescent="0.2">
      <c r="A209">
        <v>208</v>
      </c>
      <c r="B209">
        <v>0</v>
      </c>
      <c r="C209">
        <v>22487</v>
      </c>
      <c r="D209">
        <v>61702</v>
      </c>
      <c r="E209">
        <v>460822</v>
      </c>
      <c r="F209">
        <v>3397053</v>
      </c>
      <c r="G209">
        <v>24550469</v>
      </c>
      <c r="H209">
        <v>174542773</v>
      </c>
      <c r="I209">
        <v>1217047481</v>
      </c>
      <c r="J209">
        <v>2000</v>
      </c>
      <c r="K209">
        <v>21317</v>
      </c>
      <c r="L209">
        <v>2500</v>
      </c>
      <c r="M209">
        <v>1100</v>
      </c>
      <c r="N209">
        <v>2040</v>
      </c>
      <c r="O209">
        <v>3080</v>
      </c>
      <c r="P209">
        <v>4120</v>
      </c>
      <c r="Q209">
        <v>5160</v>
      </c>
      <c r="R209">
        <v>6200</v>
      </c>
      <c r="S209">
        <v>7240</v>
      </c>
      <c r="T209">
        <v>8280</v>
      </c>
      <c r="U209">
        <v>9320</v>
      </c>
      <c r="V209">
        <v>4445</v>
      </c>
      <c r="W209">
        <v>1832</v>
      </c>
      <c r="X209">
        <v>1624</v>
      </c>
      <c r="Y209">
        <v>7880</v>
      </c>
    </row>
    <row r="210" spans="1:25" x14ac:dyDescent="0.2">
      <c r="A210">
        <v>209</v>
      </c>
      <c r="B210">
        <v>0</v>
      </c>
      <c r="C210">
        <v>22825</v>
      </c>
      <c r="D210">
        <v>62937</v>
      </c>
      <c r="E210">
        <v>474647</v>
      </c>
      <c r="F210">
        <v>3532936</v>
      </c>
      <c r="G210">
        <v>25777993</v>
      </c>
      <c r="H210">
        <v>185015340</v>
      </c>
      <c r="I210">
        <v>1302240805</v>
      </c>
      <c r="J210">
        <v>2000</v>
      </c>
      <c r="K210">
        <v>21531</v>
      </c>
      <c r="L210">
        <v>2500</v>
      </c>
      <c r="M210">
        <v>1100</v>
      </c>
      <c r="N210">
        <v>2045</v>
      </c>
      <c r="O210">
        <v>3090</v>
      </c>
      <c r="P210">
        <v>4135</v>
      </c>
      <c r="Q210">
        <v>5180</v>
      </c>
      <c r="R210">
        <v>6225</v>
      </c>
      <c r="S210">
        <v>7270</v>
      </c>
      <c r="T210">
        <v>8315</v>
      </c>
      <c r="U210">
        <v>9360</v>
      </c>
      <c r="V210">
        <v>4472</v>
      </c>
      <c r="W210">
        <v>1836</v>
      </c>
      <c r="X210">
        <v>1627</v>
      </c>
      <c r="Y210">
        <v>7890</v>
      </c>
    </row>
    <row r="211" spans="1:25" x14ac:dyDescent="0.2">
      <c r="A211">
        <v>210</v>
      </c>
      <c r="B211">
        <v>0</v>
      </c>
      <c r="C211">
        <v>23168</v>
      </c>
      <c r="D211">
        <v>64196</v>
      </c>
      <c r="E211">
        <v>488887</v>
      </c>
      <c r="F211">
        <v>3674254</v>
      </c>
      <c r="G211">
        <v>27066893</v>
      </c>
      <c r="H211">
        <v>196116261</v>
      </c>
      <c r="I211">
        <v>1393397662</v>
      </c>
      <c r="J211">
        <v>2000</v>
      </c>
      <c r="K211">
        <v>21747</v>
      </c>
      <c r="L211">
        <v>2500</v>
      </c>
      <c r="M211">
        <v>1100</v>
      </c>
      <c r="N211">
        <v>2050</v>
      </c>
      <c r="O211">
        <v>3100</v>
      </c>
      <c r="P211">
        <v>4150</v>
      </c>
      <c r="Q211">
        <v>5200</v>
      </c>
      <c r="R211">
        <v>6250</v>
      </c>
      <c r="S211">
        <v>7300</v>
      </c>
      <c r="T211">
        <v>8350</v>
      </c>
      <c r="U211">
        <v>9400</v>
      </c>
      <c r="V211">
        <v>4499</v>
      </c>
      <c r="W211">
        <v>1840</v>
      </c>
      <c r="X211">
        <v>1630</v>
      </c>
      <c r="Y211">
        <v>7900</v>
      </c>
    </row>
    <row r="212" spans="1:25" x14ac:dyDescent="0.2">
      <c r="A212">
        <v>211</v>
      </c>
      <c r="B212">
        <v>0</v>
      </c>
      <c r="C212">
        <v>23516</v>
      </c>
      <c r="D212">
        <v>65480</v>
      </c>
      <c r="E212">
        <v>503554</v>
      </c>
      <c r="F212">
        <v>3821225</v>
      </c>
      <c r="G212">
        <v>28420238</v>
      </c>
      <c r="H212">
        <v>207883237</v>
      </c>
      <c r="I212">
        <v>1490935499</v>
      </c>
      <c r="J212">
        <v>2000</v>
      </c>
      <c r="K212">
        <v>21965</v>
      </c>
      <c r="L212">
        <v>2500</v>
      </c>
      <c r="M212">
        <v>1100</v>
      </c>
      <c r="N212">
        <v>2055</v>
      </c>
      <c r="O212">
        <v>3110</v>
      </c>
      <c r="P212">
        <v>4165</v>
      </c>
      <c r="Q212">
        <v>5220</v>
      </c>
      <c r="R212">
        <v>6275</v>
      </c>
      <c r="S212">
        <v>7330</v>
      </c>
      <c r="T212">
        <v>8385</v>
      </c>
      <c r="U212">
        <v>9440</v>
      </c>
      <c r="V212">
        <v>4526</v>
      </c>
      <c r="W212">
        <v>1844</v>
      </c>
      <c r="X212">
        <v>1633</v>
      </c>
      <c r="Y212">
        <v>7910</v>
      </c>
    </row>
    <row r="213" spans="1:25" x14ac:dyDescent="0.2">
      <c r="A213">
        <v>212</v>
      </c>
      <c r="B213">
        <v>0</v>
      </c>
      <c r="C213">
        <v>23869</v>
      </c>
      <c r="D213">
        <v>66790</v>
      </c>
      <c r="E213">
        <v>518661</v>
      </c>
      <c r="F213">
        <v>3974074</v>
      </c>
      <c r="G213">
        <v>29841250</v>
      </c>
      <c r="H213">
        <v>220356232</v>
      </c>
      <c r="I213">
        <v>1595300984</v>
      </c>
      <c r="J213">
        <v>2000</v>
      </c>
      <c r="K213">
        <v>22185</v>
      </c>
      <c r="L213">
        <v>2500</v>
      </c>
      <c r="M213">
        <v>1100</v>
      </c>
      <c r="N213">
        <v>2060</v>
      </c>
      <c r="O213">
        <v>3120</v>
      </c>
      <c r="P213">
        <v>4180</v>
      </c>
      <c r="Q213">
        <v>5240</v>
      </c>
      <c r="R213">
        <v>6300</v>
      </c>
      <c r="S213">
        <v>7360</v>
      </c>
      <c r="T213">
        <v>8420</v>
      </c>
      <c r="U213">
        <v>9480</v>
      </c>
      <c r="V213">
        <v>4553</v>
      </c>
      <c r="W213">
        <v>1848</v>
      </c>
      <c r="X213">
        <v>1636</v>
      </c>
      <c r="Y213">
        <v>7920</v>
      </c>
    </row>
    <row r="214" spans="1:25" x14ac:dyDescent="0.2">
      <c r="A214">
        <v>213</v>
      </c>
      <c r="B214">
        <v>0</v>
      </c>
      <c r="C214">
        <v>24228</v>
      </c>
      <c r="D214">
        <v>68126</v>
      </c>
      <c r="E214">
        <v>534221</v>
      </c>
      <c r="F214">
        <v>4133037</v>
      </c>
      <c r="G214">
        <v>31333313</v>
      </c>
      <c r="H214">
        <v>233577606</v>
      </c>
      <c r="I214">
        <v>1706972053</v>
      </c>
      <c r="J214">
        <v>2000</v>
      </c>
      <c r="K214">
        <v>22407</v>
      </c>
      <c r="L214">
        <v>2500</v>
      </c>
      <c r="M214">
        <v>1100</v>
      </c>
      <c r="N214">
        <v>2065</v>
      </c>
      <c r="O214">
        <v>3130</v>
      </c>
      <c r="P214">
        <v>4195</v>
      </c>
      <c r="Q214">
        <v>5260</v>
      </c>
      <c r="R214">
        <v>6325</v>
      </c>
      <c r="S214">
        <v>7390</v>
      </c>
      <c r="T214">
        <v>8455</v>
      </c>
      <c r="U214">
        <v>9520</v>
      </c>
      <c r="V214">
        <v>4580</v>
      </c>
      <c r="W214">
        <v>1852</v>
      </c>
      <c r="X214">
        <v>1639</v>
      </c>
      <c r="Y214">
        <v>7930</v>
      </c>
    </row>
    <row r="215" spans="1:25" x14ac:dyDescent="0.2">
      <c r="A215">
        <v>214</v>
      </c>
      <c r="B215">
        <v>0</v>
      </c>
      <c r="C215">
        <v>24592</v>
      </c>
      <c r="D215">
        <v>69489</v>
      </c>
      <c r="E215">
        <v>550248</v>
      </c>
      <c r="F215">
        <v>4298359</v>
      </c>
      <c r="G215">
        <v>32899979</v>
      </c>
      <c r="H215">
        <v>247592263</v>
      </c>
      <c r="I215">
        <v>1826460097</v>
      </c>
      <c r="J215">
        <v>2000</v>
      </c>
      <c r="K215">
        <v>22632</v>
      </c>
      <c r="L215">
        <v>2500</v>
      </c>
      <c r="M215">
        <v>1100</v>
      </c>
      <c r="N215">
        <v>2070</v>
      </c>
      <c r="O215">
        <v>3140</v>
      </c>
      <c r="P215">
        <v>4210</v>
      </c>
      <c r="Q215">
        <v>5280</v>
      </c>
      <c r="R215">
        <v>6350</v>
      </c>
      <c r="S215">
        <v>7420</v>
      </c>
      <c r="T215">
        <v>8490</v>
      </c>
      <c r="U215">
        <v>9560</v>
      </c>
      <c r="V215">
        <v>4607</v>
      </c>
      <c r="W215">
        <v>1856</v>
      </c>
      <c r="X215">
        <v>1642</v>
      </c>
      <c r="Y215">
        <v>7940</v>
      </c>
    </row>
    <row r="216" spans="1:25" x14ac:dyDescent="0.2">
      <c r="A216">
        <v>215</v>
      </c>
      <c r="B216">
        <v>0</v>
      </c>
      <c r="C216">
        <v>24961</v>
      </c>
      <c r="D216">
        <v>70879</v>
      </c>
      <c r="E216">
        <v>566756</v>
      </c>
      <c r="F216">
        <v>4470294</v>
      </c>
      <c r="G216">
        <v>34544978</v>
      </c>
      <c r="H216">
        <v>262447799</v>
      </c>
      <c r="I216">
        <v>1954312304</v>
      </c>
      <c r="J216">
        <v>2000</v>
      </c>
      <c r="K216">
        <v>22859</v>
      </c>
      <c r="L216">
        <v>2500</v>
      </c>
      <c r="M216">
        <v>1100</v>
      </c>
      <c r="N216">
        <v>2075</v>
      </c>
      <c r="O216">
        <v>3150</v>
      </c>
      <c r="P216">
        <v>4225</v>
      </c>
      <c r="Q216">
        <v>5300</v>
      </c>
      <c r="R216">
        <v>6375</v>
      </c>
      <c r="S216">
        <v>7450</v>
      </c>
      <c r="T216">
        <v>8525</v>
      </c>
      <c r="U216">
        <v>9600</v>
      </c>
      <c r="V216">
        <v>4635</v>
      </c>
      <c r="W216">
        <v>1860</v>
      </c>
      <c r="X216">
        <v>1645</v>
      </c>
      <c r="Y216">
        <v>7950</v>
      </c>
    </row>
    <row r="217" spans="1:25" x14ac:dyDescent="0.2">
      <c r="A217">
        <v>216</v>
      </c>
      <c r="B217">
        <v>0</v>
      </c>
      <c r="C217">
        <v>25336</v>
      </c>
      <c r="D217">
        <v>72297</v>
      </c>
      <c r="E217">
        <v>583759</v>
      </c>
      <c r="F217">
        <v>4649106</v>
      </c>
      <c r="G217">
        <v>36272227</v>
      </c>
      <c r="H217">
        <v>278194667</v>
      </c>
      <c r="I217">
        <v>2091114166</v>
      </c>
      <c r="J217">
        <v>2000</v>
      </c>
      <c r="K217">
        <v>23088</v>
      </c>
      <c r="L217">
        <v>2500</v>
      </c>
      <c r="M217">
        <v>1100</v>
      </c>
      <c r="N217">
        <v>2080</v>
      </c>
      <c r="O217">
        <v>3160</v>
      </c>
      <c r="P217">
        <v>4240</v>
      </c>
      <c r="Q217">
        <v>5320</v>
      </c>
      <c r="R217">
        <v>6400</v>
      </c>
      <c r="S217">
        <v>7480</v>
      </c>
      <c r="T217">
        <v>8560</v>
      </c>
      <c r="U217">
        <v>9640</v>
      </c>
      <c r="V217">
        <v>4663</v>
      </c>
      <c r="W217">
        <v>1864</v>
      </c>
      <c r="X217">
        <v>1648</v>
      </c>
      <c r="Y217">
        <v>7960</v>
      </c>
    </row>
    <row r="218" spans="1:25" x14ac:dyDescent="0.2">
      <c r="A218">
        <v>217</v>
      </c>
      <c r="B218">
        <v>0</v>
      </c>
      <c r="C218">
        <v>25717</v>
      </c>
      <c r="D218">
        <v>73743</v>
      </c>
      <c r="E218">
        <v>601272</v>
      </c>
      <c r="F218">
        <v>4835071</v>
      </c>
      <c r="G218">
        <v>38085839</v>
      </c>
      <c r="H218">
        <v>294886348</v>
      </c>
      <c r="I218">
        <v>2237492158</v>
      </c>
      <c r="J218">
        <v>2000</v>
      </c>
      <c r="K218">
        <v>23319</v>
      </c>
      <c r="L218">
        <v>2500</v>
      </c>
      <c r="M218">
        <v>1100</v>
      </c>
      <c r="N218">
        <v>2085</v>
      </c>
      <c r="O218">
        <v>3170</v>
      </c>
      <c r="P218">
        <v>4255</v>
      </c>
      <c r="Q218">
        <v>5340</v>
      </c>
      <c r="R218">
        <v>6425</v>
      </c>
      <c r="S218">
        <v>7510</v>
      </c>
      <c r="T218">
        <v>8595</v>
      </c>
      <c r="U218">
        <v>9680</v>
      </c>
      <c r="V218">
        <v>4691</v>
      </c>
      <c r="W218">
        <v>1868</v>
      </c>
      <c r="X218">
        <v>1651</v>
      </c>
      <c r="Y218">
        <v>7970</v>
      </c>
    </row>
    <row r="219" spans="1:25" x14ac:dyDescent="0.2">
      <c r="A219">
        <v>218</v>
      </c>
      <c r="B219">
        <v>0</v>
      </c>
      <c r="C219">
        <v>26103</v>
      </c>
      <c r="D219">
        <v>75218</v>
      </c>
      <c r="E219">
        <v>619311</v>
      </c>
      <c r="F219">
        <v>5028474</v>
      </c>
      <c r="G219">
        <v>39990131</v>
      </c>
      <c r="H219">
        <v>312579529</v>
      </c>
      <c r="I219">
        <v>2394116610</v>
      </c>
      <c r="J219">
        <v>2000</v>
      </c>
      <c r="K219">
        <v>23553</v>
      </c>
      <c r="L219">
        <v>2500</v>
      </c>
      <c r="M219">
        <v>1100</v>
      </c>
      <c r="N219">
        <v>2090</v>
      </c>
      <c r="O219">
        <v>3180</v>
      </c>
      <c r="P219">
        <v>4270</v>
      </c>
      <c r="Q219">
        <v>5360</v>
      </c>
      <c r="R219">
        <v>6450</v>
      </c>
      <c r="S219">
        <v>7540</v>
      </c>
      <c r="T219">
        <v>8630</v>
      </c>
      <c r="U219">
        <v>9720</v>
      </c>
      <c r="V219">
        <v>4719</v>
      </c>
      <c r="W219">
        <v>1872</v>
      </c>
      <c r="X219">
        <v>1654</v>
      </c>
      <c r="Y219">
        <v>7980</v>
      </c>
    </row>
    <row r="220" spans="1:25" x14ac:dyDescent="0.2">
      <c r="A220">
        <v>219</v>
      </c>
      <c r="B220">
        <v>0</v>
      </c>
      <c r="C220">
        <v>26495</v>
      </c>
      <c r="D220">
        <v>76723</v>
      </c>
      <c r="E220">
        <v>637891</v>
      </c>
      <c r="F220">
        <v>5229613</v>
      </c>
      <c r="G220">
        <v>41989638</v>
      </c>
      <c r="H220">
        <v>331334301</v>
      </c>
      <c r="I220">
        <v>2561704773</v>
      </c>
      <c r="J220">
        <v>2000</v>
      </c>
      <c r="K220">
        <v>23789</v>
      </c>
      <c r="L220">
        <v>2500</v>
      </c>
      <c r="M220">
        <v>1100</v>
      </c>
      <c r="N220">
        <v>2095</v>
      </c>
      <c r="O220">
        <v>3190</v>
      </c>
      <c r="P220">
        <v>4285</v>
      </c>
      <c r="Q220">
        <v>5380</v>
      </c>
      <c r="R220">
        <v>6475</v>
      </c>
      <c r="S220">
        <v>7570</v>
      </c>
      <c r="T220">
        <v>8665</v>
      </c>
      <c r="U220">
        <v>9760</v>
      </c>
      <c r="V220">
        <v>4747</v>
      </c>
      <c r="W220">
        <v>1876</v>
      </c>
      <c r="X220">
        <v>1657</v>
      </c>
      <c r="Y220">
        <v>7990</v>
      </c>
    </row>
    <row r="221" spans="1:25" x14ac:dyDescent="0.2">
      <c r="A221">
        <v>220</v>
      </c>
      <c r="B221">
        <v>0</v>
      </c>
      <c r="C221">
        <v>26893</v>
      </c>
      <c r="D221">
        <v>78258</v>
      </c>
      <c r="E221">
        <v>657028</v>
      </c>
      <c r="F221">
        <v>5438798</v>
      </c>
      <c r="G221">
        <v>44089120</v>
      </c>
      <c r="H221">
        <v>351214360</v>
      </c>
      <c r="I221">
        <v>2741024108</v>
      </c>
      <c r="J221">
        <v>2000</v>
      </c>
      <c r="K221">
        <v>24027</v>
      </c>
      <c r="L221">
        <v>2500</v>
      </c>
      <c r="M221">
        <v>1100</v>
      </c>
      <c r="N221">
        <v>2100</v>
      </c>
      <c r="O221">
        <v>3200</v>
      </c>
      <c r="P221">
        <v>4300</v>
      </c>
      <c r="Q221">
        <v>5400</v>
      </c>
      <c r="R221">
        <v>6500</v>
      </c>
      <c r="S221">
        <v>7600</v>
      </c>
      <c r="T221">
        <v>8700</v>
      </c>
      <c r="U221">
        <v>9800</v>
      </c>
      <c r="V221">
        <v>4775</v>
      </c>
      <c r="W221">
        <v>1880</v>
      </c>
      <c r="X221">
        <v>1660</v>
      </c>
      <c r="Y221">
        <v>8000</v>
      </c>
    </row>
    <row r="222" spans="1:25" x14ac:dyDescent="0.2">
      <c r="A222">
        <v>221</v>
      </c>
      <c r="B222">
        <v>0</v>
      </c>
      <c r="C222">
        <v>27297</v>
      </c>
      <c r="D222">
        <v>79824</v>
      </c>
      <c r="E222">
        <v>676739</v>
      </c>
      <c r="F222">
        <v>5656350</v>
      </c>
      <c r="G222">
        <v>46293576</v>
      </c>
      <c r="H222">
        <v>372287222</v>
      </c>
      <c r="I222">
        <v>2932895796</v>
      </c>
      <c r="J222">
        <v>2000</v>
      </c>
      <c r="K222">
        <v>24268</v>
      </c>
      <c r="L222">
        <v>2500</v>
      </c>
      <c r="M222">
        <v>1100</v>
      </c>
      <c r="N222">
        <v>2105</v>
      </c>
      <c r="O222">
        <v>3210</v>
      </c>
      <c r="P222">
        <v>4315</v>
      </c>
      <c r="Q222">
        <v>5420</v>
      </c>
      <c r="R222">
        <v>6525</v>
      </c>
      <c r="S222">
        <v>7630</v>
      </c>
      <c r="T222">
        <v>8735</v>
      </c>
      <c r="U222">
        <v>9840</v>
      </c>
      <c r="V222">
        <v>4803</v>
      </c>
      <c r="W222">
        <v>1884</v>
      </c>
      <c r="X222">
        <v>1663</v>
      </c>
      <c r="Y222">
        <v>8010</v>
      </c>
    </row>
    <row r="223" spans="1:25" x14ac:dyDescent="0.2">
      <c r="A223">
        <v>222</v>
      </c>
      <c r="B223">
        <v>0</v>
      </c>
      <c r="C223">
        <v>27707</v>
      </c>
      <c r="D223">
        <v>81421</v>
      </c>
      <c r="E223">
        <v>697042</v>
      </c>
      <c r="F223">
        <v>5882604</v>
      </c>
      <c r="G223">
        <v>48608255</v>
      </c>
      <c r="H223">
        <v>394624456</v>
      </c>
      <c r="I223">
        <v>3138198502</v>
      </c>
      <c r="J223">
        <v>2000</v>
      </c>
      <c r="K223">
        <v>24511</v>
      </c>
      <c r="L223">
        <v>2500</v>
      </c>
      <c r="M223">
        <v>1100</v>
      </c>
      <c r="N223">
        <v>2110</v>
      </c>
      <c r="O223">
        <v>3220</v>
      </c>
      <c r="P223">
        <v>4330</v>
      </c>
      <c r="Q223">
        <v>5440</v>
      </c>
      <c r="R223">
        <v>6550</v>
      </c>
      <c r="S223">
        <v>7660</v>
      </c>
      <c r="T223">
        <v>8770</v>
      </c>
      <c r="U223">
        <v>9880</v>
      </c>
      <c r="V223">
        <v>4832</v>
      </c>
      <c r="W223">
        <v>1888</v>
      </c>
      <c r="X223">
        <v>1666</v>
      </c>
      <c r="Y223">
        <v>8020</v>
      </c>
    </row>
    <row r="224" spans="1:25" x14ac:dyDescent="0.2">
      <c r="A224">
        <v>223</v>
      </c>
      <c r="B224">
        <v>0</v>
      </c>
      <c r="C224">
        <v>28123</v>
      </c>
      <c r="D224">
        <v>83050</v>
      </c>
      <c r="E224">
        <v>717954</v>
      </c>
      <c r="F224">
        <v>6117909</v>
      </c>
      <c r="G224">
        <v>51038668</v>
      </c>
      <c r="H224">
        <v>418301924</v>
      </c>
      <c r="I224">
        <v>3357872398</v>
      </c>
      <c r="J224">
        <v>2000</v>
      </c>
      <c r="K224">
        <v>24757</v>
      </c>
      <c r="L224">
        <v>2500</v>
      </c>
      <c r="M224">
        <v>1100</v>
      </c>
      <c r="N224">
        <v>2115</v>
      </c>
      <c r="O224">
        <v>3230</v>
      </c>
      <c r="P224">
        <v>4345</v>
      </c>
      <c r="Q224">
        <v>5460</v>
      </c>
      <c r="R224">
        <v>6575</v>
      </c>
      <c r="S224">
        <v>7690</v>
      </c>
      <c r="T224">
        <v>8805</v>
      </c>
      <c r="U224">
        <v>9920</v>
      </c>
      <c r="V224">
        <v>4861</v>
      </c>
      <c r="W224">
        <v>1892</v>
      </c>
      <c r="X224">
        <v>1669</v>
      </c>
      <c r="Y224">
        <v>8030</v>
      </c>
    </row>
    <row r="225" spans="1:25" x14ac:dyDescent="0.2">
      <c r="A225">
        <v>224</v>
      </c>
      <c r="B225">
        <v>0</v>
      </c>
      <c r="C225">
        <v>28545</v>
      </c>
      <c r="D225">
        <v>84711</v>
      </c>
      <c r="E225">
        <v>739493</v>
      </c>
      <c r="F225">
        <v>6362626</v>
      </c>
      <c r="G225">
        <v>53590602</v>
      </c>
      <c r="H225">
        <v>443400040</v>
      </c>
      <c r="I225">
        <v>3592923466</v>
      </c>
      <c r="J225">
        <v>2000</v>
      </c>
      <c r="K225">
        <v>25005</v>
      </c>
      <c r="L225">
        <v>2500</v>
      </c>
      <c r="M225">
        <v>1100</v>
      </c>
      <c r="N225">
        <v>2120</v>
      </c>
      <c r="O225">
        <v>3240</v>
      </c>
      <c r="P225">
        <v>4360</v>
      </c>
      <c r="Q225">
        <v>5480</v>
      </c>
      <c r="R225">
        <v>6600</v>
      </c>
      <c r="S225">
        <v>7720</v>
      </c>
      <c r="T225">
        <v>8840</v>
      </c>
      <c r="U225">
        <v>9960</v>
      </c>
      <c r="V225">
        <v>4890</v>
      </c>
      <c r="W225">
        <v>1896</v>
      </c>
      <c r="X225">
        <v>1672</v>
      </c>
      <c r="Y225">
        <v>8040</v>
      </c>
    </row>
    <row r="226" spans="1:25" x14ac:dyDescent="0.2">
      <c r="A226">
        <v>225</v>
      </c>
      <c r="B226">
        <v>0</v>
      </c>
      <c r="C226">
        <v>28974</v>
      </c>
      <c r="D226">
        <v>86406</v>
      </c>
      <c r="E226">
        <v>761678</v>
      </c>
      <c r="F226">
        <v>6617132</v>
      </c>
      <c r="G226">
        <v>56270133</v>
      </c>
      <c r="H226">
        <v>470004043</v>
      </c>
      <c r="I226">
        <v>3844428109</v>
      </c>
      <c r="J226">
        <v>2000</v>
      </c>
      <c r="K226">
        <v>25256</v>
      </c>
      <c r="L226">
        <v>2500</v>
      </c>
      <c r="M226">
        <v>1100</v>
      </c>
      <c r="N226">
        <v>2125</v>
      </c>
      <c r="O226">
        <v>3250</v>
      </c>
      <c r="P226">
        <v>4375</v>
      </c>
      <c r="Q226">
        <v>5500</v>
      </c>
      <c r="R226">
        <v>6625</v>
      </c>
      <c r="S226">
        <v>7750</v>
      </c>
      <c r="T226">
        <v>8875</v>
      </c>
      <c r="U226">
        <v>10000</v>
      </c>
      <c r="V226">
        <v>4919</v>
      </c>
      <c r="W226">
        <v>1900</v>
      </c>
      <c r="X226">
        <v>1675</v>
      </c>
      <c r="Y226">
        <v>8050</v>
      </c>
    </row>
    <row r="227" spans="1:25" x14ac:dyDescent="0.2">
      <c r="A227">
        <v>226</v>
      </c>
      <c r="B227">
        <v>0</v>
      </c>
      <c r="C227">
        <v>29409</v>
      </c>
      <c r="D227">
        <v>88135</v>
      </c>
      <c r="E227">
        <v>784529</v>
      </c>
      <c r="F227">
        <v>6881818</v>
      </c>
      <c r="G227">
        <v>59083640</v>
      </c>
      <c r="H227">
        <v>498204286</v>
      </c>
      <c r="I227">
        <v>4113538077</v>
      </c>
      <c r="J227">
        <v>2000</v>
      </c>
      <c r="K227">
        <v>25509</v>
      </c>
      <c r="L227">
        <v>2500</v>
      </c>
      <c r="M227">
        <v>1100</v>
      </c>
      <c r="N227">
        <v>2130</v>
      </c>
      <c r="O227">
        <v>3260</v>
      </c>
      <c r="P227">
        <v>4390</v>
      </c>
      <c r="Q227">
        <v>5520</v>
      </c>
      <c r="R227">
        <v>6650</v>
      </c>
      <c r="S227">
        <v>7780</v>
      </c>
      <c r="T227">
        <v>8910</v>
      </c>
      <c r="U227">
        <v>10040</v>
      </c>
      <c r="V227">
        <v>4948</v>
      </c>
      <c r="W227">
        <v>1904</v>
      </c>
      <c r="X227">
        <v>1678</v>
      </c>
      <c r="Y227">
        <v>8060</v>
      </c>
    </row>
    <row r="228" spans="1:25" x14ac:dyDescent="0.2">
      <c r="A228">
        <v>227</v>
      </c>
      <c r="B228">
        <v>0</v>
      </c>
      <c r="C228">
        <v>29851</v>
      </c>
      <c r="D228">
        <v>89898</v>
      </c>
      <c r="E228">
        <v>808065</v>
      </c>
      <c r="F228">
        <v>7157091</v>
      </c>
      <c r="G228">
        <v>62037822</v>
      </c>
      <c r="H228">
        <v>528096544</v>
      </c>
      <c r="I228">
        <v>4401485743</v>
      </c>
      <c r="J228">
        <v>2000</v>
      </c>
      <c r="K228">
        <v>25765</v>
      </c>
      <c r="L228">
        <v>2500</v>
      </c>
      <c r="M228">
        <v>1100</v>
      </c>
      <c r="N228">
        <v>2135</v>
      </c>
      <c r="O228">
        <v>3270</v>
      </c>
      <c r="P228">
        <v>4405</v>
      </c>
      <c r="Q228">
        <v>5540</v>
      </c>
      <c r="R228">
        <v>6675</v>
      </c>
      <c r="S228">
        <v>7810</v>
      </c>
      <c r="T228">
        <v>8945</v>
      </c>
      <c r="U228">
        <v>10080</v>
      </c>
      <c r="V228">
        <v>4977</v>
      </c>
      <c r="W228">
        <v>1908</v>
      </c>
      <c r="X228">
        <v>1681</v>
      </c>
      <c r="Y228">
        <v>8070</v>
      </c>
    </row>
    <row r="229" spans="1:25" x14ac:dyDescent="0.2">
      <c r="A229">
        <v>228</v>
      </c>
      <c r="B229">
        <v>0</v>
      </c>
      <c r="C229">
        <v>30299</v>
      </c>
      <c r="D229">
        <v>91696</v>
      </c>
      <c r="E229">
        <v>832307</v>
      </c>
      <c r="F229">
        <v>7443375</v>
      </c>
      <c r="G229">
        <v>65139714</v>
      </c>
      <c r="H229">
        <v>559782337</v>
      </c>
      <c r="I229">
        <v>4709589746</v>
      </c>
      <c r="J229">
        <v>2000</v>
      </c>
      <c r="K229">
        <v>26023</v>
      </c>
      <c r="L229">
        <v>2500</v>
      </c>
      <c r="M229">
        <v>1100</v>
      </c>
      <c r="N229">
        <v>2140</v>
      </c>
      <c r="O229">
        <v>3280</v>
      </c>
      <c r="P229">
        <v>4420</v>
      </c>
      <c r="Q229">
        <v>5560</v>
      </c>
      <c r="R229">
        <v>6700</v>
      </c>
      <c r="S229">
        <v>7840</v>
      </c>
      <c r="T229">
        <v>8980</v>
      </c>
      <c r="U229">
        <v>10120</v>
      </c>
      <c r="V229">
        <v>5006</v>
      </c>
      <c r="W229">
        <v>1912</v>
      </c>
      <c r="X229">
        <v>1684</v>
      </c>
      <c r="Y229">
        <v>8080</v>
      </c>
    </row>
    <row r="230" spans="1:25" x14ac:dyDescent="0.2">
      <c r="A230">
        <v>229</v>
      </c>
      <c r="B230">
        <v>0</v>
      </c>
      <c r="C230">
        <v>30754</v>
      </c>
      <c r="D230">
        <v>93530</v>
      </c>
      <c r="E230">
        <v>857277</v>
      </c>
      <c r="F230">
        <v>7741110</v>
      </c>
      <c r="G230">
        <v>68396700</v>
      </c>
      <c r="H230">
        <v>593369278</v>
      </c>
      <c r="I230">
        <v>5039261029</v>
      </c>
      <c r="J230">
        <v>2000</v>
      </c>
      <c r="K230">
        <v>26284</v>
      </c>
      <c r="L230">
        <v>2500</v>
      </c>
      <c r="M230">
        <v>1100</v>
      </c>
      <c r="N230">
        <v>2145</v>
      </c>
      <c r="O230">
        <v>3290</v>
      </c>
      <c r="P230">
        <v>4435</v>
      </c>
      <c r="Q230">
        <v>5580</v>
      </c>
      <c r="R230">
        <v>6725</v>
      </c>
      <c r="S230">
        <v>7870</v>
      </c>
      <c r="T230">
        <v>9015</v>
      </c>
      <c r="U230">
        <v>10160</v>
      </c>
      <c r="V230">
        <v>5036</v>
      </c>
      <c r="W230">
        <v>1916</v>
      </c>
      <c r="X230">
        <v>1687</v>
      </c>
      <c r="Y230">
        <v>8090</v>
      </c>
    </row>
    <row r="231" spans="1:25" x14ac:dyDescent="0.2">
      <c r="A231">
        <v>230</v>
      </c>
      <c r="B231">
        <v>0</v>
      </c>
      <c r="C231">
        <v>31216</v>
      </c>
      <c r="D231">
        <v>95401</v>
      </c>
      <c r="E231">
        <v>882996</v>
      </c>
      <c r="F231">
        <v>8050755</v>
      </c>
      <c r="G231">
        <v>71816535</v>
      </c>
      <c r="H231">
        <v>628971435</v>
      </c>
      <c r="I231">
        <v>5392009302</v>
      </c>
      <c r="J231">
        <v>2000</v>
      </c>
      <c r="K231">
        <v>26547</v>
      </c>
      <c r="L231">
        <v>2500</v>
      </c>
      <c r="M231">
        <v>1100</v>
      </c>
      <c r="N231">
        <v>2150</v>
      </c>
      <c r="O231">
        <v>3300</v>
      </c>
      <c r="P231">
        <v>4450</v>
      </c>
      <c r="Q231">
        <v>5600</v>
      </c>
      <c r="R231">
        <v>6750</v>
      </c>
      <c r="S231">
        <v>7900</v>
      </c>
      <c r="T231">
        <v>9050</v>
      </c>
      <c r="U231">
        <v>10200</v>
      </c>
      <c r="V231">
        <v>5066</v>
      </c>
      <c r="W231">
        <v>1920</v>
      </c>
      <c r="X231">
        <v>1690</v>
      </c>
      <c r="Y231">
        <v>8100</v>
      </c>
    </row>
    <row r="232" spans="1:25" x14ac:dyDescent="0.2">
      <c r="A232">
        <v>231</v>
      </c>
      <c r="B232">
        <v>0</v>
      </c>
      <c r="C232">
        <v>31685</v>
      </c>
      <c r="D232">
        <v>97310</v>
      </c>
      <c r="E232">
        <v>909486</v>
      </c>
      <c r="F232">
        <v>8372786</v>
      </c>
      <c r="G232">
        <v>75407362</v>
      </c>
      <c r="H232">
        <v>666709722</v>
      </c>
      <c r="I232">
        <v>5769449954</v>
      </c>
      <c r="J232">
        <v>2000</v>
      </c>
      <c r="K232">
        <v>26813</v>
      </c>
      <c r="L232">
        <v>2500</v>
      </c>
      <c r="M232">
        <v>1100</v>
      </c>
      <c r="N232">
        <v>2155</v>
      </c>
      <c r="O232">
        <v>3310</v>
      </c>
      <c r="P232">
        <v>4465</v>
      </c>
      <c r="Q232">
        <v>5620</v>
      </c>
      <c r="R232">
        <v>6775</v>
      </c>
      <c r="S232">
        <v>7930</v>
      </c>
      <c r="T232">
        <v>9085</v>
      </c>
      <c r="U232">
        <v>10240</v>
      </c>
      <c r="V232">
        <v>5096</v>
      </c>
      <c r="W232">
        <v>1924</v>
      </c>
      <c r="X232">
        <v>1693</v>
      </c>
      <c r="Y232">
        <v>8110</v>
      </c>
    </row>
    <row r="233" spans="1:25" x14ac:dyDescent="0.2">
      <c r="A233">
        <v>232</v>
      </c>
      <c r="B233">
        <v>0</v>
      </c>
      <c r="C233">
        <v>32161</v>
      </c>
      <c r="D233">
        <v>99257</v>
      </c>
      <c r="E233">
        <v>936771</v>
      </c>
      <c r="F233">
        <v>8707698</v>
      </c>
      <c r="G233">
        <v>79177731</v>
      </c>
      <c r="H233">
        <v>706712306</v>
      </c>
      <c r="I233">
        <v>6173311451</v>
      </c>
      <c r="J233">
        <v>2000</v>
      </c>
      <c r="K233">
        <v>27082</v>
      </c>
      <c r="L233">
        <v>2500</v>
      </c>
      <c r="M233">
        <v>1100</v>
      </c>
      <c r="N233">
        <v>2160</v>
      </c>
      <c r="O233">
        <v>3320</v>
      </c>
      <c r="P233">
        <v>4480</v>
      </c>
      <c r="Q233">
        <v>5640</v>
      </c>
      <c r="R233">
        <v>6800</v>
      </c>
      <c r="S233">
        <v>7960</v>
      </c>
      <c r="T233">
        <v>9120</v>
      </c>
      <c r="U233">
        <v>10280</v>
      </c>
      <c r="V233">
        <v>5126</v>
      </c>
      <c r="W233">
        <v>1928</v>
      </c>
      <c r="X233">
        <v>1696</v>
      </c>
      <c r="Y233">
        <v>8120</v>
      </c>
    </row>
    <row r="234" spans="1:25" x14ac:dyDescent="0.2">
      <c r="A234">
        <v>233</v>
      </c>
      <c r="B234">
        <v>0</v>
      </c>
      <c r="C234">
        <v>32644</v>
      </c>
      <c r="D234">
        <v>101243</v>
      </c>
      <c r="E234">
        <v>964875</v>
      </c>
      <c r="F234">
        <v>9056006</v>
      </c>
      <c r="G234">
        <v>83136618</v>
      </c>
      <c r="H234">
        <v>749115045</v>
      </c>
      <c r="I234">
        <v>6605443253</v>
      </c>
      <c r="J234">
        <v>2000</v>
      </c>
      <c r="K234">
        <v>27353</v>
      </c>
      <c r="L234">
        <v>2500</v>
      </c>
      <c r="M234">
        <v>1100</v>
      </c>
      <c r="N234">
        <v>2165</v>
      </c>
      <c r="O234">
        <v>3330</v>
      </c>
      <c r="P234">
        <v>4495</v>
      </c>
      <c r="Q234">
        <v>5660</v>
      </c>
      <c r="R234">
        <v>6825</v>
      </c>
      <c r="S234">
        <v>7990</v>
      </c>
      <c r="T234">
        <v>9155</v>
      </c>
      <c r="U234">
        <v>10320</v>
      </c>
      <c r="V234">
        <v>5156</v>
      </c>
      <c r="W234">
        <v>1932</v>
      </c>
      <c r="X234">
        <v>1699</v>
      </c>
      <c r="Y234">
        <v>8130</v>
      </c>
    </row>
    <row r="235" spans="1:25" x14ac:dyDescent="0.2">
      <c r="A235">
        <v>234</v>
      </c>
      <c r="B235">
        <v>0</v>
      </c>
      <c r="C235">
        <v>33134</v>
      </c>
      <c r="D235">
        <v>103268</v>
      </c>
      <c r="E235">
        <v>993822</v>
      </c>
      <c r="F235">
        <v>9418247</v>
      </c>
      <c r="G235">
        <v>87293449</v>
      </c>
      <c r="H235">
        <v>794061948</v>
      </c>
      <c r="I235">
        <v>7067824281</v>
      </c>
      <c r="J235">
        <v>2000</v>
      </c>
      <c r="K235">
        <v>27627</v>
      </c>
      <c r="L235">
        <v>2500</v>
      </c>
      <c r="M235">
        <v>1100</v>
      </c>
      <c r="N235">
        <v>2170</v>
      </c>
      <c r="O235">
        <v>3340</v>
      </c>
      <c r="P235">
        <v>4510</v>
      </c>
      <c r="Q235">
        <v>5680</v>
      </c>
      <c r="R235">
        <v>6850</v>
      </c>
      <c r="S235">
        <v>8020</v>
      </c>
      <c r="T235">
        <v>9190</v>
      </c>
      <c r="U235">
        <v>10360</v>
      </c>
      <c r="V235">
        <v>5186</v>
      </c>
      <c r="W235">
        <v>1936</v>
      </c>
      <c r="X235">
        <v>1702</v>
      </c>
      <c r="Y235">
        <v>8140</v>
      </c>
    </row>
    <row r="236" spans="1:25" x14ac:dyDescent="0.2">
      <c r="A236">
        <v>235</v>
      </c>
      <c r="B236">
        <v>0</v>
      </c>
      <c r="C236">
        <v>33632</v>
      </c>
      <c r="D236">
        <v>105334</v>
      </c>
      <c r="E236">
        <v>1023637</v>
      </c>
      <c r="F236">
        <v>9794977</v>
      </c>
      <c r="G236">
        <v>91658122</v>
      </c>
      <c r="H236">
        <v>841705665</v>
      </c>
      <c r="I236">
        <v>7562571981</v>
      </c>
      <c r="J236">
        <v>2000</v>
      </c>
      <c r="K236">
        <v>27904</v>
      </c>
      <c r="L236">
        <v>2500</v>
      </c>
      <c r="M236">
        <v>1100</v>
      </c>
      <c r="N236">
        <v>2175</v>
      </c>
      <c r="O236">
        <v>3350</v>
      </c>
      <c r="P236">
        <v>4525</v>
      </c>
      <c r="Q236">
        <v>5700</v>
      </c>
      <c r="R236">
        <v>6875</v>
      </c>
      <c r="S236">
        <v>8050</v>
      </c>
      <c r="T236">
        <v>9225</v>
      </c>
      <c r="U236">
        <v>10400</v>
      </c>
      <c r="V236">
        <v>5216</v>
      </c>
      <c r="W236">
        <v>1940</v>
      </c>
      <c r="X236">
        <v>1705</v>
      </c>
      <c r="Y236">
        <v>8150</v>
      </c>
    </row>
    <row r="237" spans="1:25" x14ac:dyDescent="0.2">
      <c r="A237">
        <v>236</v>
      </c>
      <c r="B237">
        <v>0</v>
      </c>
      <c r="C237">
        <v>34137</v>
      </c>
      <c r="D237">
        <v>107441</v>
      </c>
      <c r="E237">
        <v>1054347</v>
      </c>
      <c r="F237">
        <v>10186777</v>
      </c>
      <c r="G237">
        <v>96241029</v>
      </c>
      <c r="H237">
        <v>892208005</v>
      </c>
      <c r="I237">
        <v>8091952020</v>
      </c>
      <c r="J237">
        <v>2000</v>
      </c>
      <c r="K237">
        <v>28184</v>
      </c>
      <c r="L237">
        <v>2500</v>
      </c>
      <c r="M237">
        <v>1100</v>
      </c>
      <c r="N237">
        <v>2180</v>
      </c>
      <c r="O237">
        <v>3360</v>
      </c>
      <c r="P237">
        <v>4540</v>
      </c>
      <c r="Q237">
        <v>5720</v>
      </c>
      <c r="R237">
        <v>6900</v>
      </c>
      <c r="S237">
        <v>8080</v>
      </c>
      <c r="T237">
        <v>9260</v>
      </c>
      <c r="U237">
        <v>10440</v>
      </c>
      <c r="V237">
        <v>5247</v>
      </c>
      <c r="W237">
        <v>1944</v>
      </c>
      <c r="X237">
        <v>1708</v>
      </c>
      <c r="Y237">
        <v>8160</v>
      </c>
    </row>
    <row r="238" spans="1:25" x14ac:dyDescent="0.2">
      <c r="A238">
        <v>237</v>
      </c>
      <c r="B238">
        <v>0</v>
      </c>
      <c r="C238">
        <v>34650</v>
      </c>
      <c r="D238">
        <v>109590</v>
      </c>
      <c r="E238">
        <v>1085978</v>
      </c>
      <c r="F238">
        <v>10594249</v>
      </c>
      <c r="G238">
        <v>101053081</v>
      </c>
      <c r="H238">
        <v>945740486</v>
      </c>
      <c r="I238">
        <v>8658388662</v>
      </c>
      <c r="J238">
        <v>2000</v>
      </c>
      <c r="K238">
        <v>28466</v>
      </c>
      <c r="L238">
        <v>2500</v>
      </c>
      <c r="M238">
        <v>1100</v>
      </c>
      <c r="N238">
        <v>2185</v>
      </c>
      <c r="O238">
        <v>3370</v>
      </c>
      <c r="P238">
        <v>4555</v>
      </c>
      <c r="Q238">
        <v>5740</v>
      </c>
      <c r="R238">
        <v>6925</v>
      </c>
      <c r="S238">
        <v>8110</v>
      </c>
      <c r="T238">
        <v>9295</v>
      </c>
      <c r="U238">
        <v>10480</v>
      </c>
      <c r="V238">
        <v>5278</v>
      </c>
      <c r="W238">
        <v>1948</v>
      </c>
      <c r="X238">
        <v>1711</v>
      </c>
      <c r="Y238">
        <v>8170</v>
      </c>
    </row>
    <row r="239" spans="1:25" x14ac:dyDescent="0.2">
      <c r="A239">
        <v>238</v>
      </c>
      <c r="B239">
        <v>0</v>
      </c>
      <c r="C239">
        <v>35170</v>
      </c>
      <c r="D239">
        <v>111782</v>
      </c>
      <c r="E239">
        <v>1118558</v>
      </c>
      <c r="F239">
        <v>11018019</v>
      </c>
      <c r="G239">
        <v>106105736</v>
      </c>
      <c r="H239">
        <v>1002484916</v>
      </c>
      <c r="I239">
        <v>9264475869</v>
      </c>
      <c r="J239">
        <v>2000</v>
      </c>
      <c r="K239">
        <v>28751</v>
      </c>
      <c r="L239">
        <v>2500</v>
      </c>
      <c r="M239">
        <v>1100</v>
      </c>
      <c r="N239">
        <v>2190</v>
      </c>
      <c r="O239">
        <v>3380</v>
      </c>
      <c r="P239">
        <v>4570</v>
      </c>
      <c r="Q239">
        <v>5760</v>
      </c>
      <c r="R239">
        <v>6950</v>
      </c>
      <c r="S239">
        <v>8140</v>
      </c>
      <c r="T239">
        <v>9330</v>
      </c>
      <c r="U239">
        <v>10520</v>
      </c>
      <c r="V239">
        <v>5309</v>
      </c>
      <c r="W239">
        <v>1952</v>
      </c>
      <c r="X239">
        <v>1714</v>
      </c>
      <c r="Y239">
        <v>8180</v>
      </c>
    </row>
    <row r="240" spans="1:25" x14ac:dyDescent="0.2">
      <c r="A240">
        <v>239</v>
      </c>
      <c r="B240">
        <v>0</v>
      </c>
      <c r="C240">
        <v>35698</v>
      </c>
      <c r="D240">
        <v>114018</v>
      </c>
      <c r="E240">
        <v>1152115</v>
      </c>
      <c r="F240">
        <v>11458740</v>
      </c>
      <c r="G240">
        <v>111411023</v>
      </c>
      <c r="H240">
        <v>1062634011</v>
      </c>
      <c r="I240">
        <v>9912989180</v>
      </c>
      <c r="J240">
        <v>2000</v>
      </c>
      <c r="K240">
        <v>29039</v>
      </c>
      <c r="L240">
        <v>2500</v>
      </c>
      <c r="M240">
        <v>1100</v>
      </c>
      <c r="N240">
        <v>2195</v>
      </c>
      <c r="O240">
        <v>3390</v>
      </c>
      <c r="P240">
        <v>4585</v>
      </c>
      <c r="Q240">
        <v>5780</v>
      </c>
      <c r="R240">
        <v>6975</v>
      </c>
      <c r="S240">
        <v>8170</v>
      </c>
      <c r="T240">
        <v>9365</v>
      </c>
      <c r="U240">
        <v>10560</v>
      </c>
      <c r="V240">
        <v>5340</v>
      </c>
      <c r="W240">
        <v>1956</v>
      </c>
      <c r="X240">
        <v>1717</v>
      </c>
      <c r="Y240">
        <v>8190</v>
      </c>
    </row>
    <row r="241" spans="1:25" x14ac:dyDescent="0.2">
      <c r="A241">
        <v>240</v>
      </c>
      <c r="B241">
        <v>0</v>
      </c>
      <c r="C241">
        <v>36234</v>
      </c>
      <c r="D241">
        <v>116299</v>
      </c>
      <c r="E241">
        <v>1186679</v>
      </c>
      <c r="F241">
        <v>11917090</v>
      </c>
      <c r="G241">
        <v>116981575</v>
      </c>
      <c r="H241">
        <v>1126392052</v>
      </c>
      <c r="I241">
        <v>10606898423</v>
      </c>
      <c r="J241">
        <v>2000</v>
      </c>
      <c r="K241">
        <v>29330</v>
      </c>
      <c r="L241">
        <v>2500</v>
      </c>
      <c r="M241">
        <v>1100</v>
      </c>
      <c r="N241">
        <v>2200</v>
      </c>
      <c r="O241">
        <v>3400</v>
      </c>
      <c r="P241">
        <v>4600</v>
      </c>
      <c r="Q241">
        <v>5800</v>
      </c>
      <c r="R241">
        <v>7000</v>
      </c>
      <c r="S241">
        <v>8200</v>
      </c>
      <c r="T241">
        <v>9400</v>
      </c>
      <c r="U241">
        <v>10600</v>
      </c>
      <c r="V241">
        <v>5371</v>
      </c>
      <c r="W241">
        <v>1960</v>
      </c>
      <c r="X241">
        <v>1720</v>
      </c>
      <c r="Y241">
        <v>8200</v>
      </c>
    </row>
    <row r="242" spans="1:25" x14ac:dyDescent="0.2">
      <c r="A242">
        <v>241</v>
      </c>
      <c r="B242">
        <v>0</v>
      </c>
      <c r="C242">
        <v>36778</v>
      </c>
      <c r="D242">
        <v>118625</v>
      </c>
      <c r="E242">
        <v>1222280</v>
      </c>
      <c r="F242">
        <v>12393774</v>
      </c>
      <c r="G242">
        <v>122830654</v>
      </c>
      <c r="H242">
        <v>1193975576</v>
      </c>
      <c r="I242">
        <v>11349381313</v>
      </c>
      <c r="J242">
        <v>2000</v>
      </c>
      <c r="K242">
        <v>29624</v>
      </c>
      <c r="L242">
        <v>2500</v>
      </c>
      <c r="M242">
        <v>1100</v>
      </c>
      <c r="N242">
        <v>2205</v>
      </c>
      <c r="O242">
        <v>3410</v>
      </c>
      <c r="P242">
        <v>4615</v>
      </c>
      <c r="Q242">
        <v>5820</v>
      </c>
      <c r="R242">
        <v>7025</v>
      </c>
      <c r="S242">
        <v>8230</v>
      </c>
      <c r="T242">
        <v>9435</v>
      </c>
      <c r="U242">
        <v>10640</v>
      </c>
      <c r="V242">
        <v>5402</v>
      </c>
      <c r="W242">
        <v>1964</v>
      </c>
      <c r="X242">
        <v>1723</v>
      </c>
      <c r="Y242">
        <v>8210</v>
      </c>
    </row>
    <row r="243" spans="1:25" x14ac:dyDescent="0.2">
      <c r="A243">
        <v>242</v>
      </c>
      <c r="B243">
        <v>0</v>
      </c>
      <c r="C243">
        <v>37330</v>
      </c>
      <c r="D243">
        <v>120998</v>
      </c>
      <c r="E243">
        <v>1258949</v>
      </c>
      <c r="F243">
        <v>12889525</v>
      </c>
      <c r="G243">
        <v>128972187</v>
      </c>
      <c r="H243">
        <v>1265614111</v>
      </c>
      <c r="I243">
        <v>12143838005</v>
      </c>
      <c r="J243">
        <v>2000</v>
      </c>
      <c r="K243">
        <v>29921</v>
      </c>
      <c r="L243">
        <v>2500</v>
      </c>
      <c r="M243">
        <v>1100</v>
      </c>
      <c r="N243">
        <v>2210</v>
      </c>
      <c r="O243">
        <v>3420</v>
      </c>
      <c r="P243">
        <v>4630</v>
      </c>
      <c r="Q243">
        <v>5840</v>
      </c>
      <c r="R243">
        <v>7050</v>
      </c>
      <c r="S243">
        <v>8260</v>
      </c>
      <c r="T243">
        <v>9470</v>
      </c>
      <c r="U243">
        <v>10680</v>
      </c>
      <c r="V243">
        <v>5434</v>
      </c>
      <c r="W243">
        <v>1968</v>
      </c>
      <c r="X243">
        <v>1726</v>
      </c>
      <c r="Y243">
        <v>8220</v>
      </c>
    </row>
    <row r="244" spans="1:25" x14ac:dyDescent="0.2">
      <c r="A244">
        <v>243</v>
      </c>
      <c r="B244">
        <v>0</v>
      </c>
      <c r="C244">
        <v>37890</v>
      </c>
      <c r="D244">
        <v>123418</v>
      </c>
      <c r="E244">
        <v>1296718</v>
      </c>
      <c r="F244">
        <v>13405106</v>
      </c>
      <c r="G244">
        <v>135420797</v>
      </c>
      <c r="H244">
        <v>1341550958</v>
      </c>
      <c r="I244">
        <v>12993906666</v>
      </c>
      <c r="J244">
        <v>2000</v>
      </c>
      <c r="K244">
        <v>30221</v>
      </c>
      <c r="L244">
        <v>2500</v>
      </c>
      <c r="M244">
        <v>1100</v>
      </c>
      <c r="N244">
        <v>2215</v>
      </c>
      <c r="O244">
        <v>3430</v>
      </c>
      <c r="P244">
        <v>4645</v>
      </c>
      <c r="Q244">
        <v>5860</v>
      </c>
      <c r="R244">
        <v>7075</v>
      </c>
      <c r="S244">
        <v>8290</v>
      </c>
      <c r="T244">
        <v>9505</v>
      </c>
      <c r="U244">
        <v>10720</v>
      </c>
      <c r="V244">
        <v>5466</v>
      </c>
      <c r="W244">
        <v>1972</v>
      </c>
      <c r="X244">
        <v>1729</v>
      </c>
      <c r="Y244">
        <v>8230</v>
      </c>
    </row>
    <row r="245" spans="1:25" x14ac:dyDescent="0.2">
      <c r="A245">
        <v>244</v>
      </c>
      <c r="B245">
        <v>0</v>
      </c>
      <c r="C245">
        <v>38459</v>
      </c>
      <c r="D245">
        <v>125887</v>
      </c>
      <c r="E245">
        <v>1335620</v>
      </c>
      <c r="F245">
        <v>13941311</v>
      </c>
      <c r="G245">
        <v>142191837</v>
      </c>
      <c r="H245">
        <v>1422044016</v>
      </c>
      <c r="I245">
        <v>13903480133</v>
      </c>
      <c r="J245">
        <v>2000</v>
      </c>
      <c r="K245">
        <v>30524</v>
      </c>
      <c r="L245">
        <v>2500</v>
      </c>
      <c r="M245">
        <v>1100</v>
      </c>
      <c r="N245">
        <v>2220</v>
      </c>
      <c r="O245">
        <v>3440</v>
      </c>
      <c r="P245">
        <v>4660</v>
      </c>
      <c r="Q245">
        <v>5880</v>
      </c>
      <c r="R245">
        <v>7100</v>
      </c>
      <c r="S245">
        <v>8320</v>
      </c>
      <c r="T245">
        <v>9540</v>
      </c>
      <c r="U245">
        <v>10760</v>
      </c>
      <c r="V245">
        <v>5498</v>
      </c>
      <c r="W245">
        <v>1976</v>
      </c>
      <c r="X245">
        <v>1732</v>
      </c>
      <c r="Y245">
        <v>8240</v>
      </c>
    </row>
    <row r="246" spans="1:25" x14ac:dyDescent="0.2">
      <c r="A246">
        <v>245</v>
      </c>
      <c r="B246">
        <v>0</v>
      </c>
      <c r="C246">
        <v>39036</v>
      </c>
      <c r="D246">
        <v>128405</v>
      </c>
      <c r="E246">
        <v>1375689</v>
      </c>
      <c r="F246">
        <v>14498964</v>
      </c>
      <c r="G246">
        <v>149301429</v>
      </c>
      <c r="H246">
        <v>1507366657</v>
      </c>
      <c r="I246">
        <v>14876723743</v>
      </c>
      <c r="J246">
        <v>2000</v>
      </c>
      <c r="K246">
        <v>30830</v>
      </c>
      <c r="L246">
        <v>2500</v>
      </c>
      <c r="M246">
        <v>1100</v>
      </c>
      <c r="N246">
        <v>2225</v>
      </c>
      <c r="O246">
        <v>3450</v>
      </c>
      <c r="P246">
        <v>4675</v>
      </c>
      <c r="Q246">
        <v>5900</v>
      </c>
      <c r="R246">
        <v>7125</v>
      </c>
      <c r="S246">
        <v>8350</v>
      </c>
      <c r="T246">
        <v>9575</v>
      </c>
      <c r="U246">
        <v>10800</v>
      </c>
      <c r="V246">
        <v>5530</v>
      </c>
      <c r="W246">
        <v>1980</v>
      </c>
      <c r="X246">
        <v>1735</v>
      </c>
      <c r="Y246">
        <v>8250</v>
      </c>
    </row>
    <row r="247" spans="1:25" x14ac:dyDescent="0.2">
      <c r="A247">
        <v>246</v>
      </c>
      <c r="B247">
        <v>0</v>
      </c>
      <c r="C247">
        <v>39622</v>
      </c>
      <c r="D247">
        <v>130974</v>
      </c>
      <c r="E247">
        <v>1416960</v>
      </c>
      <c r="F247">
        <v>15078923</v>
      </c>
      <c r="G247">
        <v>156766501</v>
      </c>
      <c r="H247">
        <v>1597808657</v>
      </c>
      <c r="I247">
        <v>15918094406</v>
      </c>
      <c r="J247">
        <v>2000</v>
      </c>
      <c r="K247">
        <v>31139</v>
      </c>
      <c r="L247">
        <v>2500</v>
      </c>
      <c r="M247">
        <v>1100</v>
      </c>
      <c r="N247">
        <v>2230</v>
      </c>
      <c r="O247">
        <v>3460</v>
      </c>
      <c r="P247">
        <v>4690</v>
      </c>
      <c r="Q247">
        <v>5920</v>
      </c>
      <c r="R247">
        <v>7150</v>
      </c>
      <c r="S247">
        <v>8380</v>
      </c>
      <c r="T247">
        <v>9610</v>
      </c>
      <c r="U247">
        <v>10840</v>
      </c>
      <c r="V247">
        <v>5562</v>
      </c>
      <c r="W247">
        <v>1984</v>
      </c>
      <c r="X247">
        <v>1738</v>
      </c>
      <c r="Y247">
        <v>8260</v>
      </c>
    </row>
    <row r="248" spans="1:25" x14ac:dyDescent="0.2">
      <c r="A248">
        <v>247</v>
      </c>
      <c r="B248">
        <v>0</v>
      </c>
      <c r="C248">
        <v>40217</v>
      </c>
      <c r="D248">
        <v>133594</v>
      </c>
      <c r="E248">
        <v>1459469</v>
      </c>
      <c r="F248">
        <v>15682080</v>
      </c>
      <c r="G248">
        <v>164604827</v>
      </c>
      <c r="H248">
        <v>1693677177</v>
      </c>
      <c r="I248">
        <v>17032361015</v>
      </c>
      <c r="J248">
        <v>2000</v>
      </c>
      <c r="K248">
        <v>31451</v>
      </c>
      <c r="L248">
        <v>2500</v>
      </c>
      <c r="M248">
        <v>1100</v>
      </c>
      <c r="N248">
        <v>2235</v>
      </c>
      <c r="O248">
        <v>3470</v>
      </c>
      <c r="P248">
        <v>4705</v>
      </c>
      <c r="Q248">
        <v>5940</v>
      </c>
      <c r="R248">
        <v>7175</v>
      </c>
      <c r="S248">
        <v>8410</v>
      </c>
      <c r="T248">
        <v>9645</v>
      </c>
      <c r="U248">
        <v>10880</v>
      </c>
      <c r="V248">
        <v>5594</v>
      </c>
      <c r="W248">
        <v>1988</v>
      </c>
      <c r="X248">
        <v>1741</v>
      </c>
      <c r="Y248">
        <v>8270</v>
      </c>
    </row>
    <row r="249" spans="1:25" x14ac:dyDescent="0.2">
      <c r="A249">
        <v>248</v>
      </c>
      <c r="B249">
        <v>0</v>
      </c>
      <c r="C249">
        <v>40821</v>
      </c>
      <c r="D249">
        <v>136266</v>
      </c>
      <c r="E249">
        <v>1503254</v>
      </c>
      <c r="F249">
        <v>16309364</v>
      </c>
      <c r="G249">
        <v>172835069</v>
      </c>
      <c r="H249">
        <v>1795297808</v>
      </c>
      <c r="I249">
        <v>18224626287</v>
      </c>
      <c r="J249">
        <v>2000</v>
      </c>
      <c r="K249">
        <v>31766</v>
      </c>
      <c r="L249">
        <v>2500</v>
      </c>
      <c r="M249">
        <v>1100</v>
      </c>
      <c r="N249">
        <v>2240</v>
      </c>
      <c r="O249">
        <v>3480</v>
      </c>
      <c r="P249">
        <v>4720</v>
      </c>
      <c r="Q249">
        <v>5960</v>
      </c>
      <c r="R249">
        <v>7200</v>
      </c>
      <c r="S249">
        <v>8440</v>
      </c>
      <c r="T249">
        <v>9680</v>
      </c>
      <c r="U249">
        <v>10920</v>
      </c>
      <c r="V249">
        <v>5626</v>
      </c>
      <c r="W249">
        <v>1992</v>
      </c>
      <c r="X249">
        <v>1744</v>
      </c>
      <c r="Y249">
        <v>8280</v>
      </c>
    </row>
    <row r="250" spans="1:25" x14ac:dyDescent="0.2">
      <c r="A250">
        <v>249</v>
      </c>
      <c r="B250">
        <v>0</v>
      </c>
      <c r="C250">
        <v>41434</v>
      </c>
      <c r="D250">
        <v>138992</v>
      </c>
      <c r="E250">
        <v>1548352</v>
      </c>
      <c r="F250">
        <v>16961739</v>
      </c>
      <c r="G250">
        <v>181476823</v>
      </c>
      <c r="H250">
        <v>1903015677</v>
      </c>
      <c r="I250">
        <v>19500350128</v>
      </c>
      <c r="J250">
        <v>2000</v>
      </c>
      <c r="K250">
        <v>32084</v>
      </c>
      <c r="L250">
        <v>2500</v>
      </c>
      <c r="M250">
        <v>1100</v>
      </c>
      <c r="N250">
        <v>2245</v>
      </c>
      <c r="O250">
        <v>3490</v>
      </c>
      <c r="P250">
        <v>4735</v>
      </c>
      <c r="Q250">
        <v>5980</v>
      </c>
      <c r="R250">
        <v>7225</v>
      </c>
      <c r="S250">
        <v>8470</v>
      </c>
      <c r="T250">
        <v>9715</v>
      </c>
      <c r="U250">
        <v>10960</v>
      </c>
      <c r="V250">
        <v>5659</v>
      </c>
      <c r="W250">
        <v>1996</v>
      </c>
      <c r="X250">
        <v>1747</v>
      </c>
      <c r="Y250">
        <v>8290</v>
      </c>
    </row>
    <row r="251" spans="1:25" x14ac:dyDescent="0.2">
      <c r="A251">
        <v>250</v>
      </c>
      <c r="B251">
        <v>0</v>
      </c>
      <c r="C251">
        <v>42056</v>
      </c>
      <c r="D251">
        <v>141772</v>
      </c>
      <c r="E251">
        <v>1594803</v>
      </c>
      <c r="F251">
        <v>17640209</v>
      </c>
      <c r="G251">
        <v>190550665</v>
      </c>
      <c r="H251">
        <v>2017196618</v>
      </c>
      <c r="I251">
        <v>20865374637</v>
      </c>
      <c r="J251">
        <v>2000</v>
      </c>
      <c r="K251">
        <v>32405</v>
      </c>
      <c r="L251">
        <v>2500</v>
      </c>
      <c r="M251">
        <v>1100</v>
      </c>
      <c r="N251">
        <v>2250</v>
      </c>
      <c r="O251">
        <v>3500</v>
      </c>
      <c r="P251">
        <v>4750</v>
      </c>
      <c r="Q251">
        <v>6000</v>
      </c>
      <c r="R251">
        <v>7250</v>
      </c>
      <c r="S251">
        <v>8500</v>
      </c>
      <c r="T251">
        <v>9750</v>
      </c>
      <c r="U251">
        <v>11000</v>
      </c>
      <c r="V251">
        <v>5692</v>
      </c>
      <c r="W251">
        <v>2000</v>
      </c>
      <c r="X251">
        <v>1750</v>
      </c>
      <c r="Y251">
        <v>8300</v>
      </c>
    </row>
    <row r="252" spans="1:25" x14ac:dyDescent="0.2">
      <c r="A252">
        <v>251</v>
      </c>
      <c r="B252">
        <v>0</v>
      </c>
      <c r="C252">
        <v>42687</v>
      </c>
      <c r="D252">
        <v>144608</v>
      </c>
      <c r="E252">
        <v>1642648</v>
      </c>
      <c r="F252">
        <v>18345818</v>
      </c>
      <c r="G252">
        <v>200078199</v>
      </c>
      <c r="H252">
        <v>2138228416</v>
      </c>
      <c r="I252">
        <v>22325950862</v>
      </c>
      <c r="J252">
        <v>2000</v>
      </c>
      <c r="K252">
        <v>32730</v>
      </c>
      <c r="L252">
        <v>2500</v>
      </c>
      <c r="M252">
        <v>1100</v>
      </c>
      <c r="N252">
        <v>2255</v>
      </c>
      <c r="O252">
        <v>3510</v>
      </c>
      <c r="P252">
        <v>4765</v>
      </c>
      <c r="Q252">
        <v>6020</v>
      </c>
      <c r="R252">
        <v>7275</v>
      </c>
      <c r="S252">
        <v>8530</v>
      </c>
      <c r="T252">
        <v>9785</v>
      </c>
      <c r="U252">
        <v>11040</v>
      </c>
      <c r="V252">
        <v>5725</v>
      </c>
      <c r="W252">
        <v>2004</v>
      </c>
      <c r="X252">
        <v>1753</v>
      </c>
      <c r="Y252">
        <v>8310</v>
      </c>
    </row>
    <row r="253" spans="1:25" x14ac:dyDescent="0.2">
      <c r="A253">
        <v>252</v>
      </c>
      <c r="B253">
        <v>0</v>
      </c>
      <c r="C253">
        <v>43328</v>
      </c>
      <c r="D253">
        <v>147501</v>
      </c>
      <c r="E253">
        <v>1691928</v>
      </c>
      <c r="F253">
        <v>19079651</v>
      </c>
      <c r="G253">
        <v>210082109</v>
      </c>
      <c r="H253">
        <v>2266522121</v>
      </c>
      <c r="I253">
        <v>23888767423</v>
      </c>
      <c r="J253">
        <v>2000</v>
      </c>
      <c r="K253">
        <v>33058</v>
      </c>
      <c r="L253">
        <v>2500</v>
      </c>
      <c r="M253">
        <v>1100</v>
      </c>
      <c r="N253">
        <v>2260</v>
      </c>
      <c r="O253">
        <v>3520</v>
      </c>
      <c r="P253">
        <v>4780</v>
      </c>
      <c r="Q253">
        <v>6040</v>
      </c>
      <c r="R253">
        <v>7300</v>
      </c>
      <c r="S253">
        <v>8560</v>
      </c>
      <c r="T253">
        <v>9820</v>
      </c>
      <c r="U253">
        <v>11080</v>
      </c>
      <c r="V253">
        <v>5758</v>
      </c>
      <c r="W253">
        <v>2008</v>
      </c>
      <c r="X253">
        <v>1756</v>
      </c>
      <c r="Y253">
        <v>8320</v>
      </c>
    </row>
    <row r="254" spans="1:25" x14ac:dyDescent="0.2">
      <c r="A254">
        <v>253</v>
      </c>
      <c r="B254">
        <v>0</v>
      </c>
      <c r="C254">
        <v>43978</v>
      </c>
      <c r="D254">
        <v>150452</v>
      </c>
      <c r="E254">
        <v>1742686</v>
      </c>
      <c r="F254">
        <v>19842838</v>
      </c>
      <c r="G254">
        <v>220586215</v>
      </c>
      <c r="H254">
        <v>2402513449</v>
      </c>
      <c r="I254">
        <v>25560981143</v>
      </c>
      <c r="J254">
        <v>2000</v>
      </c>
      <c r="K254">
        <v>33389</v>
      </c>
      <c r="L254">
        <v>2500</v>
      </c>
      <c r="M254">
        <v>1100</v>
      </c>
      <c r="N254">
        <v>2265</v>
      </c>
      <c r="O254">
        <v>3530</v>
      </c>
      <c r="P254">
        <v>4795</v>
      </c>
      <c r="Q254">
        <v>6060</v>
      </c>
      <c r="R254">
        <v>7325</v>
      </c>
      <c r="S254">
        <v>8590</v>
      </c>
      <c r="T254">
        <v>9855</v>
      </c>
      <c r="U254">
        <v>11120</v>
      </c>
      <c r="V254">
        <v>5791</v>
      </c>
      <c r="W254">
        <v>2012</v>
      </c>
      <c r="X254">
        <v>1759</v>
      </c>
      <c r="Y254">
        <v>8330</v>
      </c>
    </row>
    <row r="255" spans="1:25" x14ac:dyDescent="0.2">
      <c r="A255">
        <v>254</v>
      </c>
      <c r="B255">
        <v>0</v>
      </c>
      <c r="C255">
        <v>44638</v>
      </c>
      <c r="D255">
        <v>153462</v>
      </c>
      <c r="E255">
        <v>1794967</v>
      </c>
      <c r="F255">
        <v>20636552</v>
      </c>
      <c r="G255">
        <v>231615526</v>
      </c>
      <c r="H255">
        <v>2546664256</v>
      </c>
      <c r="I255">
        <v>27350249824</v>
      </c>
      <c r="J255">
        <v>2000</v>
      </c>
      <c r="K255">
        <v>33723</v>
      </c>
      <c r="L255">
        <v>2500</v>
      </c>
      <c r="M255">
        <v>1100</v>
      </c>
      <c r="N255">
        <v>2270</v>
      </c>
      <c r="O255">
        <v>3540</v>
      </c>
      <c r="P255">
        <v>4810</v>
      </c>
      <c r="Q255">
        <v>6080</v>
      </c>
      <c r="R255">
        <v>7350</v>
      </c>
      <c r="S255">
        <v>8620</v>
      </c>
      <c r="T255">
        <v>9890</v>
      </c>
      <c r="U255">
        <v>11160</v>
      </c>
      <c r="V255">
        <v>5824</v>
      </c>
      <c r="W255">
        <v>2016</v>
      </c>
      <c r="X255">
        <v>1762</v>
      </c>
      <c r="Y255">
        <v>8340</v>
      </c>
    </row>
    <row r="256" spans="1:25" x14ac:dyDescent="0.2">
      <c r="A256">
        <v>255</v>
      </c>
      <c r="B256">
        <v>0</v>
      </c>
      <c r="C256">
        <v>45308</v>
      </c>
      <c r="D256">
        <v>156532</v>
      </c>
      <c r="E256">
        <v>1848817</v>
      </c>
      <c r="F256">
        <v>21462015</v>
      </c>
      <c r="G256">
        <v>243196303</v>
      </c>
      <c r="H256">
        <v>2699464112</v>
      </c>
      <c r="I256">
        <v>29264767312</v>
      </c>
      <c r="J256">
        <v>2000</v>
      </c>
      <c r="K256">
        <v>34061</v>
      </c>
      <c r="L256">
        <v>2500</v>
      </c>
      <c r="M256">
        <v>1100</v>
      </c>
      <c r="N256">
        <v>2275</v>
      </c>
      <c r="O256">
        <v>3550</v>
      </c>
      <c r="P256">
        <v>4825</v>
      </c>
      <c r="Q256">
        <v>6100</v>
      </c>
      <c r="R256">
        <v>7375</v>
      </c>
      <c r="S256">
        <v>8650</v>
      </c>
      <c r="T256">
        <v>9925</v>
      </c>
      <c r="U256">
        <v>11200</v>
      </c>
      <c r="V256">
        <v>5858</v>
      </c>
      <c r="W256">
        <v>2020</v>
      </c>
      <c r="X256">
        <v>1765</v>
      </c>
      <c r="Y256">
        <v>8350</v>
      </c>
    </row>
    <row r="257" spans="1:25" x14ac:dyDescent="0.2">
      <c r="A257">
        <v>256</v>
      </c>
      <c r="B257">
        <v>0</v>
      </c>
      <c r="C257">
        <v>45988</v>
      </c>
      <c r="D257">
        <v>159663</v>
      </c>
      <c r="E257">
        <v>1904282</v>
      </c>
      <c r="F257">
        <v>22320496</v>
      </c>
      <c r="G257">
        <v>255356119</v>
      </c>
      <c r="H257">
        <v>2861431959</v>
      </c>
      <c r="I257">
        <v>31313301024</v>
      </c>
      <c r="J257">
        <v>2000</v>
      </c>
      <c r="K257">
        <v>34402</v>
      </c>
      <c r="L257">
        <v>2500</v>
      </c>
      <c r="M257">
        <v>1100</v>
      </c>
      <c r="N257">
        <v>2280</v>
      </c>
      <c r="O257">
        <v>3560</v>
      </c>
      <c r="P257">
        <v>4840</v>
      </c>
      <c r="Q257">
        <v>6120</v>
      </c>
      <c r="R257">
        <v>7400</v>
      </c>
      <c r="S257">
        <v>8680</v>
      </c>
      <c r="T257">
        <v>9960</v>
      </c>
      <c r="U257">
        <v>11240</v>
      </c>
      <c r="V257">
        <v>5892</v>
      </c>
      <c r="W257">
        <v>2024</v>
      </c>
      <c r="X257">
        <v>1768</v>
      </c>
      <c r="Y257">
        <v>8360</v>
      </c>
    </row>
    <row r="258" spans="1:25" x14ac:dyDescent="0.2">
      <c r="A258">
        <v>257</v>
      </c>
      <c r="B258">
        <v>0</v>
      </c>
      <c r="C258">
        <v>46678</v>
      </c>
      <c r="D258">
        <v>162857</v>
      </c>
      <c r="E258">
        <v>1961411</v>
      </c>
      <c r="F258">
        <v>23213316</v>
      </c>
      <c r="G258">
        <v>268123925</v>
      </c>
      <c r="H258">
        <v>3033117877</v>
      </c>
      <c r="I258">
        <v>33505232096</v>
      </c>
      <c r="J258">
        <v>2000</v>
      </c>
      <c r="K258">
        <v>34747</v>
      </c>
      <c r="L258">
        <v>2500</v>
      </c>
      <c r="M258">
        <v>1100</v>
      </c>
      <c r="N258">
        <v>2285</v>
      </c>
      <c r="O258">
        <v>3570</v>
      </c>
      <c r="P258">
        <v>4855</v>
      </c>
      <c r="Q258">
        <v>6140</v>
      </c>
      <c r="R258">
        <v>7425</v>
      </c>
      <c r="S258">
        <v>8710</v>
      </c>
      <c r="T258">
        <v>9995</v>
      </c>
      <c r="U258">
        <v>11280</v>
      </c>
      <c r="V258">
        <v>5926</v>
      </c>
      <c r="W258">
        <v>2028</v>
      </c>
      <c r="X258">
        <v>1771</v>
      </c>
      <c r="Y258">
        <v>8370</v>
      </c>
    </row>
    <row r="259" spans="1:25" x14ac:dyDescent="0.2">
      <c r="A259">
        <v>258</v>
      </c>
      <c r="B259">
        <v>0</v>
      </c>
      <c r="C259">
        <v>47379</v>
      </c>
      <c r="D259">
        <v>166115</v>
      </c>
      <c r="E259">
        <v>2020254</v>
      </c>
      <c r="F259">
        <v>24141849</v>
      </c>
      <c r="G259">
        <v>281530122</v>
      </c>
      <c r="H259">
        <v>3215104950</v>
      </c>
      <c r="I259">
        <v>35850598343</v>
      </c>
      <c r="J259">
        <v>2000</v>
      </c>
      <c r="K259">
        <v>35095</v>
      </c>
      <c r="L259">
        <v>2500</v>
      </c>
      <c r="M259">
        <v>1100</v>
      </c>
      <c r="N259">
        <v>2290</v>
      </c>
      <c r="O259">
        <v>3580</v>
      </c>
      <c r="P259">
        <v>4870</v>
      </c>
      <c r="Q259">
        <v>6160</v>
      </c>
      <c r="R259">
        <v>7450</v>
      </c>
      <c r="S259">
        <v>8740</v>
      </c>
      <c r="T259">
        <v>10030</v>
      </c>
      <c r="U259">
        <v>11320</v>
      </c>
      <c r="V259">
        <v>5960</v>
      </c>
      <c r="W259">
        <v>2032</v>
      </c>
      <c r="X259">
        <v>1774</v>
      </c>
      <c r="Y259">
        <v>8380</v>
      </c>
    </row>
    <row r="260" spans="1:25" x14ac:dyDescent="0.2">
      <c r="A260">
        <v>259</v>
      </c>
      <c r="B260">
        <v>0</v>
      </c>
      <c r="C260">
        <v>48090</v>
      </c>
      <c r="D260">
        <v>169438</v>
      </c>
      <c r="E260">
        <v>2080862</v>
      </c>
      <c r="F260">
        <v>25107523</v>
      </c>
      <c r="G260">
        <v>295606629</v>
      </c>
      <c r="H260">
        <v>3408011247</v>
      </c>
      <c r="I260">
        <v>38360140228</v>
      </c>
      <c r="J260">
        <v>2000</v>
      </c>
      <c r="K260">
        <v>35446</v>
      </c>
      <c r="L260">
        <v>2500</v>
      </c>
      <c r="M260">
        <v>1100</v>
      </c>
      <c r="N260">
        <v>2295</v>
      </c>
      <c r="O260">
        <v>3590</v>
      </c>
      <c r="P260">
        <v>4885</v>
      </c>
      <c r="Q260">
        <v>6180</v>
      </c>
      <c r="R260">
        <v>7475</v>
      </c>
      <c r="S260">
        <v>8770</v>
      </c>
      <c r="T260">
        <v>10065</v>
      </c>
      <c r="U260">
        <v>11360</v>
      </c>
      <c r="V260">
        <v>5994</v>
      </c>
      <c r="W260">
        <v>2036</v>
      </c>
      <c r="X260">
        <v>1777</v>
      </c>
      <c r="Y260">
        <v>8390</v>
      </c>
    </row>
    <row r="261" spans="1:25" x14ac:dyDescent="0.2">
      <c r="A261">
        <v>260</v>
      </c>
      <c r="B261">
        <v>0</v>
      </c>
      <c r="C261">
        <v>48812</v>
      </c>
      <c r="D261">
        <v>172827</v>
      </c>
      <c r="E261">
        <v>2143288</v>
      </c>
      <c r="F261">
        <v>26111824</v>
      </c>
      <c r="G261">
        <v>310386961</v>
      </c>
      <c r="H261">
        <v>3612491922</v>
      </c>
      <c r="I261">
        <v>41045350044</v>
      </c>
      <c r="J261">
        <v>2000</v>
      </c>
      <c r="K261">
        <v>35801</v>
      </c>
      <c r="L261">
        <v>2500</v>
      </c>
      <c r="M261">
        <v>1100</v>
      </c>
      <c r="N261">
        <v>2300</v>
      </c>
      <c r="O261">
        <v>3600</v>
      </c>
      <c r="P261">
        <v>4900</v>
      </c>
      <c r="Q261">
        <v>6200</v>
      </c>
      <c r="R261">
        <v>7500</v>
      </c>
      <c r="S261">
        <v>8800</v>
      </c>
      <c r="T261">
        <v>10100</v>
      </c>
      <c r="U261">
        <v>11400</v>
      </c>
      <c r="V261">
        <v>6028</v>
      </c>
      <c r="W261">
        <v>2040</v>
      </c>
      <c r="X261">
        <v>1780</v>
      </c>
      <c r="Y261">
        <v>8400</v>
      </c>
    </row>
    <row r="262" spans="1:25" x14ac:dyDescent="0.2">
      <c r="A262">
        <v>261</v>
      </c>
      <c r="B262">
        <v>0</v>
      </c>
      <c r="C262">
        <v>49545</v>
      </c>
      <c r="D262">
        <v>176284</v>
      </c>
      <c r="E262">
        <v>2207587</v>
      </c>
      <c r="F262">
        <v>27156297</v>
      </c>
      <c r="G262">
        <v>325906310</v>
      </c>
      <c r="H262">
        <v>3829241438</v>
      </c>
      <c r="I262">
        <v>43918524548</v>
      </c>
      <c r="J262">
        <v>2000</v>
      </c>
      <c r="K262">
        <v>36160</v>
      </c>
      <c r="L262">
        <v>2500</v>
      </c>
      <c r="M262">
        <v>1100</v>
      </c>
      <c r="N262">
        <v>2305</v>
      </c>
      <c r="O262">
        <v>3610</v>
      </c>
      <c r="P262">
        <v>4915</v>
      </c>
      <c r="Q262">
        <v>6220</v>
      </c>
      <c r="R262">
        <v>7525</v>
      </c>
      <c r="S262">
        <v>8830</v>
      </c>
      <c r="T262">
        <v>10135</v>
      </c>
      <c r="U262">
        <v>11440</v>
      </c>
      <c r="V262">
        <v>6063</v>
      </c>
      <c r="W262">
        <v>2044</v>
      </c>
      <c r="X262">
        <v>1783</v>
      </c>
      <c r="Y262">
        <v>8410</v>
      </c>
    </row>
    <row r="263" spans="1:25" x14ac:dyDescent="0.2">
      <c r="A263">
        <v>262</v>
      </c>
      <c r="B263">
        <v>0</v>
      </c>
      <c r="C263">
        <v>50289</v>
      </c>
      <c r="D263">
        <v>179810</v>
      </c>
      <c r="E263">
        <v>2273815</v>
      </c>
      <c r="F263">
        <v>28242549</v>
      </c>
      <c r="G263">
        <v>342201626</v>
      </c>
      <c r="H263">
        <v>4058995925</v>
      </c>
      <c r="I263">
        <v>46992821267</v>
      </c>
      <c r="J263">
        <v>2000</v>
      </c>
      <c r="K263">
        <v>36522</v>
      </c>
      <c r="L263">
        <v>2500</v>
      </c>
      <c r="M263">
        <v>1100</v>
      </c>
      <c r="N263">
        <v>2310</v>
      </c>
      <c r="O263">
        <v>3620</v>
      </c>
      <c r="P263">
        <v>4930</v>
      </c>
      <c r="Q263">
        <v>6240</v>
      </c>
      <c r="R263">
        <v>7550</v>
      </c>
      <c r="S263">
        <v>8860</v>
      </c>
      <c r="T263">
        <v>10170</v>
      </c>
      <c r="U263">
        <v>11480</v>
      </c>
      <c r="V263">
        <v>6098</v>
      </c>
      <c r="W263">
        <v>2048</v>
      </c>
      <c r="X263">
        <v>1786</v>
      </c>
      <c r="Y263">
        <v>8420</v>
      </c>
    </row>
    <row r="264" spans="1:25" x14ac:dyDescent="0.2">
      <c r="A264">
        <v>263</v>
      </c>
      <c r="B264">
        <v>0</v>
      </c>
      <c r="C264">
        <v>51044</v>
      </c>
      <c r="D264">
        <v>183407</v>
      </c>
      <c r="E264">
        <v>2342030</v>
      </c>
      <c r="F264">
        <v>29372251</v>
      </c>
      <c r="G264">
        <v>359311708</v>
      </c>
      <c r="H264">
        <v>4302535681</v>
      </c>
      <c r="I264">
        <v>50282318756</v>
      </c>
      <c r="J264">
        <v>2000</v>
      </c>
      <c r="K264">
        <v>36888</v>
      </c>
      <c r="L264">
        <v>2500</v>
      </c>
      <c r="M264">
        <v>1100</v>
      </c>
      <c r="N264">
        <v>2315</v>
      </c>
      <c r="O264">
        <v>3630</v>
      </c>
      <c r="P264">
        <v>4945</v>
      </c>
      <c r="Q264">
        <v>6260</v>
      </c>
      <c r="R264">
        <v>7575</v>
      </c>
      <c r="S264">
        <v>8890</v>
      </c>
      <c r="T264">
        <v>10205</v>
      </c>
      <c r="U264">
        <v>11520</v>
      </c>
      <c r="V264">
        <v>6133</v>
      </c>
      <c r="W264">
        <v>2052</v>
      </c>
      <c r="X264">
        <v>1789</v>
      </c>
      <c r="Y264">
        <v>8430</v>
      </c>
    </row>
    <row r="265" spans="1:25" x14ac:dyDescent="0.2">
      <c r="A265">
        <v>264</v>
      </c>
      <c r="B265">
        <v>0</v>
      </c>
      <c r="C265">
        <v>51810</v>
      </c>
      <c r="D265">
        <v>187076</v>
      </c>
      <c r="E265">
        <v>2412291</v>
      </c>
      <c r="F265">
        <v>30547142</v>
      </c>
      <c r="G265">
        <v>377277294</v>
      </c>
      <c r="H265">
        <v>4560687822</v>
      </c>
      <c r="I265">
        <v>53802081069</v>
      </c>
      <c r="J265">
        <v>2000</v>
      </c>
      <c r="K265">
        <v>37257</v>
      </c>
      <c r="L265">
        <v>2500</v>
      </c>
      <c r="M265">
        <v>1100</v>
      </c>
      <c r="N265">
        <v>2320</v>
      </c>
      <c r="O265">
        <v>3640</v>
      </c>
      <c r="P265">
        <v>4960</v>
      </c>
      <c r="Q265">
        <v>6280</v>
      </c>
      <c r="R265">
        <v>7600</v>
      </c>
      <c r="S265">
        <v>8920</v>
      </c>
      <c r="T265">
        <v>10240</v>
      </c>
      <c r="U265">
        <v>11560</v>
      </c>
      <c r="V265">
        <v>6168</v>
      </c>
      <c r="W265">
        <v>2056</v>
      </c>
      <c r="X265">
        <v>1792</v>
      </c>
      <c r="Y265">
        <v>8440</v>
      </c>
    </row>
    <row r="266" spans="1:25" x14ac:dyDescent="0.2">
      <c r="A266">
        <v>265</v>
      </c>
      <c r="B266">
        <v>0</v>
      </c>
      <c r="C266">
        <v>52588</v>
      </c>
      <c r="D266">
        <v>190818</v>
      </c>
      <c r="E266">
        <v>2484660</v>
      </c>
      <c r="F266">
        <v>31769028</v>
      </c>
      <c r="G266">
        <v>396141159</v>
      </c>
      <c r="H266">
        <v>4834329092</v>
      </c>
      <c r="I266">
        <v>57568226744</v>
      </c>
      <c r="J266">
        <v>2000</v>
      </c>
      <c r="K266">
        <v>37630</v>
      </c>
      <c r="L266">
        <v>2500</v>
      </c>
      <c r="M266">
        <v>1100</v>
      </c>
      <c r="N266">
        <v>2325</v>
      </c>
      <c r="O266">
        <v>3650</v>
      </c>
      <c r="P266">
        <v>4975</v>
      </c>
      <c r="Q266">
        <v>6300</v>
      </c>
      <c r="R266">
        <v>7625</v>
      </c>
      <c r="S266">
        <v>8950</v>
      </c>
      <c r="T266">
        <v>10275</v>
      </c>
      <c r="U266">
        <v>11600</v>
      </c>
      <c r="V266">
        <v>6203</v>
      </c>
      <c r="W266">
        <v>2060</v>
      </c>
      <c r="X266">
        <v>1795</v>
      </c>
      <c r="Y266">
        <v>8450</v>
      </c>
    </row>
    <row r="267" spans="1:25" x14ac:dyDescent="0.2">
      <c r="A267">
        <v>266</v>
      </c>
      <c r="B267">
        <v>0</v>
      </c>
      <c r="C267">
        <v>53377</v>
      </c>
      <c r="D267">
        <v>194635</v>
      </c>
      <c r="E267">
        <v>2559200</v>
      </c>
      <c r="F267">
        <v>33039790</v>
      </c>
      <c r="G267">
        <v>415948217</v>
      </c>
      <c r="H267">
        <v>5124388838</v>
      </c>
      <c r="I267">
        <v>61598002617</v>
      </c>
      <c r="J267">
        <v>2000</v>
      </c>
      <c r="K267">
        <v>38007</v>
      </c>
      <c r="L267">
        <v>2500</v>
      </c>
      <c r="M267">
        <v>1100</v>
      </c>
      <c r="N267">
        <v>2330</v>
      </c>
      <c r="O267">
        <v>3660</v>
      </c>
      <c r="P267">
        <v>4990</v>
      </c>
      <c r="Q267">
        <v>6320</v>
      </c>
      <c r="R267">
        <v>7650</v>
      </c>
      <c r="S267">
        <v>8980</v>
      </c>
      <c r="T267">
        <v>10310</v>
      </c>
      <c r="U267">
        <v>11640</v>
      </c>
      <c r="V267">
        <v>6239</v>
      </c>
      <c r="W267">
        <v>2064</v>
      </c>
      <c r="X267">
        <v>1798</v>
      </c>
      <c r="Y267">
        <v>8460</v>
      </c>
    </row>
    <row r="268" spans="1:25" x14ac:dyDescent="0.2">
      <c r="A268">
        <v>267</v>
      </c>
      <c r="B268">
        <v>0</v>
      </c>
      <c r="C268">
        <v>54178</v>
      </c>
      <c r="D268">
        <v>198528</v>
      </c>
      <c r="E268">
        <v>2635976</v>
      </c>
      <c r="F268">
        <v>34361382</v>
      </c>
      <c r="G268">
        <v>436745628</v>
      </c>
      <c r="H268">
        <v>5431852169</v>
      </c>
      <c r="I268">
        <v>65909862801</v>
      </c>
      <c r="J268">
        <v>2000</v>
      </c>
      <c r="K268">
        <v>38388</v>
      </c>
      <c r="L268">
        <v>2500</v>
      </c>
      <c r="M268">
        <v>1100</v>
      </c>
      <c r="N268">
        <v>2335</v>
      </c>
      <c r="O268">
        <v>3670</v>
      </c>
      <c r="P268">
        <v>5005</v>
      </c>
      <c r="Q268">
        <v>6340</v>
      </c>
      <c r="R268">
        <v>7675</v>
      </c>
      <c r="S268">
        <v>9010</v>
      </c>
      <c r="T268">
        <v>10345</v>
      </c>
      <c r="U268">
        <v>11680</v>
      </c>
      <c r="V268">
        <v>6275</v>
      </c>
      <c r="W268">
        <v>2068</v>
      </c>
      <c r="X268">
        <v>1801</v>
      </c>
      <c r="Y268">
        <v>8470</v>
      </c>
    </row>
    <row r="269" spans="1:25" x14ac:dyDescent="0.2">
      <c r="A269">
        <v>268</v>
      </c>
      <c r="B269">
        <v>0</v>
      </c>
      <c r="C269">
        <v>54991</v>
      </c>
      <c r="D269">
        <v>202499</v>
      </c>
      <c r="E269">
        <v>2715056</v>
      </c>
      <c r="F269">
        <v>35735838</v>
      </c>
      <c r="G269">
        <v>458582910</v>
      </c>
      <c r="H269">
        <v>5757763300</v>
      </c>
      <c r="I269">
        <v>70523553198</v>
      </c>
      <c r="J269">
        <v>2000</v>
      </c>
      <c r="K269">
        <v>38772</v>
      </c>
      <c r="L269">
        <v>2500</v>
      </c>
      <c r="M269">
        <v>1100</v>
      </c>
      <c r="N269">
        <v>2340</v>
      </c>
      <c r="O269">
        <v>3680</v>
      </c>
      <c r="P269">
        <v>5020</v>
      </c>
      <c r="Q269">
        <v>6360</v>
      </c>
      <c r="R269">
        <v>7700</v>
      </c>
      <c r="S269">
        <v>9040</v>
      </c>
      <c r="T269">
        <v>10380</v>
      </c>
      <c r="U269">
        <v>11720</v>
      </c>
      <c r="V269">
        <v>6311</v>
      </c>
      <c r="W269">
        <v>2072</v>
      </c>
      <c r="X269">
        <v>1804</v>
      </c>
      <c r="Y269">
        <v>8480</v>
      </c>
    </row>
    <row r="270" spans="1:25" x14ac:dyDescent="0.2">
      <c r="A270">
        <v>269</v>
      </c>
      <c r="B270">
        <v>0</v>
      </c>
      <c r="C270">
        <v>55816</v>
      </c>
      <c r="D270">
        <v>206549</v>
      </c>
      <c r="E270">
        <v>2796508</v>
      </c>
      <c r="F270">
        <v>37165272</v>
      </c>
      <c r="G270">
        <v>481512056</v>
      </c>
      <c r="H270">
        <v>6103229098</v>
      </c>
      <c r="I270">
        <v>75460201922</v>
      </c>
      <c r="J270">
        <v>2000</v>
      </c>
      <c r="K270">
        <v>39160</v>
      </c>
      <c r="L270">
        <v>2500</v>
      </c>
      <c r="M270">
        <v>1100</v>
      </c>
      <c r="N270">
        <v>2345</v>
      </c>
      <c r="O270">
        <v>3690</v>
      </c>
      <c r="P270">
        <v>5035</v>
      </c>
      <c r="Q270">
        <v>6380</v>
      </c>
      <c r="R270">
        <v>7725</v>
      </c>
      <c r="S270">
        <v>9070</v>
      </c>
      <c r="T270">
        <v>10415</v>
      </c>
      <c r="U270">
        <v>11760</v>
      </c>
      <c r="V270">
        <v>6347</v>
      </c>
      <c r="W270">
        <v>2076</v>
      </c>
      <c r="X270">
        <v>1807</v>
      </c>
      <c r="Y270">
        <v>8490</v>
      </c>
    </row>
    <row r="271" spans="1:25" x14ac:dyDescent="0.2">
      <c r="A271">
        <v>270</v>
      </c>
      <c r="B271">
        <v>0</v>
      </c>
      <c r="C271">
        <v>56654</v>
      </c>
      <c r="D271">
        <v>210680</v>
      </c>
      <c r="E271">
        <v>2880404</v>
      </c>
      <c r="F271">
        <v>38651883</v>
      </c>
      <c r="G271">
        <v>505587659</v>
      </c>
      <c r="H271">
        <v>6469422844</v>
      </c>
      <c r="I271">
        <v>80742416057</v>
      </c>
      <c r="J271">
        <v>2000</v>
      </c>
      <c r="K271">
        <v>39552</v>
      </c>
      <c r="L271">
        <v>2500</v>
      </c>
      <c r="M271">
        <v>1100</v>
      </c>
      <c r="N271">
        <v>2350</v>
      </c>
      <c r="O271">
        <v>3700</v>
      </c>
      <c r="P271">
        <v>5050</v>
      </c>
      <c r="Q271">
        <v>6400</v>
      </c>
      <c r="R271">
        <v>7750</v>
      </c>
      <c r="S271">
        <v>9100</v>
      </c>
      <c r="T271">
        <v>10450</v>
      </c>
      <c r="U271">
        <v>11800</v>
      </c>
      <c r="V271">
        <v>6383</v>
      </c>
      <c r="W271">
        <v>2080</v>
      </c>
      <c r="X271">
        <v>1810</v>
      </c>
      <c r="Y271">
        <v>8500</v>
      </c>
    </row>
    <row r="272" spans="1:25" x14ac:dyDescent="0.2">
      <c r="A272">
        <v>271</v>
      </c>
      <c r="B272">
        <v>0</v>
      </c>
      <c r="C272">
        <v>57504</v>
      </c>
      <c r="D272">
        <v>214894</v>
      </c>
      <c r="E272">
        <v>2966817</v>
      </c>
      <c r="F272">
        <v>40197959</v>
      </c>
      <c r="G272">
        <v>530867042</v>
      </c>
      <c r="H272">
        <v>6857588215</v>
      </c>
      <c r="I272">
        <v>86394385181</v>
      </c>
      <c r="J272">
        <v>2000</v>
      </c>
      <c r="K272">
        <v>39948</v>
      </c>
      <c r="L272">
        <v>2500</v>
      </c>
      <c r="M272">
        <v>1100</v>
      </c>
      <c r="N272">
        <v>2355</v>
      </c>
      <c r="O272">
        <v>3710</v>
      </c>
      <c r="P272">
        <v>5065</v>
      </c>
      <c r="Q272">
        <v>6420</v>
      </c>
      <c r="R272">
        <v>7775</v>
      </c>
      <c r="S272">
        <v>9130</v>
      </c>
      <c r="T272">
        <v>10485</v>
      </c>
      <c r="U272">
        <v>11840</v>
      </c>
      <c r="V272">
        <v>6419</v>
      </c>
      <c r="W272">
        <v>2084</v>
      </c>
      <c r="X272">
        <v>1813</v>
      </c>
      <c r="Y272">
        <v>8510</v>
      </c>
    </row>
    <row r="273" spans="1:25" x14ac:dyDescent="0.2">
      <c r="A273">
        <v>272</v>
      </c>
      <c r="B273">
        <v>0</v>
      </c>
      <c r="C273">
        <v>58367</v>
      </c>
      <c r="D273">
        <v>219192</v>
      </c>
      <c r="E273">
        <v>3055822</v>
      </c>
      <c r="F273">
        <v>41805878</v>
      </c>
      <c r="G273">
        <v>557410395</v>
      </c>
      <c r="H273">
        <v>7269043508</v>
      </c>
      <c r="I273">
        <v>92441992144</v>
      </c>
      <c r="J273">
        <v>2000</v>
      </c>
      <c r="K273">
        <v>40348</v>
      </c>
      <c r="L273">
        <v>2500</v>
      </c>
      <c r="M273">
        <v>1100</v>
      </c>
      <c r="N273">
        <v>2360</v>
      </c>
      <c r="O273">
        <v>3720</v>
      </c>
      <c r="P273">
        <v>5080</v>
      </c>
      <c r="Q273">
        <v>6440</v>
      </c>
      <c r="R273">
        <v>7800</v>
      </c>
      <c r="S273">
        <v>9160</v>
      </c>
      <c r="T273">
        <v>10520</v>
      </c>
      <c r="U273">
        <v>11880</v>
      </c>
      <c r="V273">
        <v>6456</v>
      </c>
      <c r="W273">
        <v>2088</v>
      </c>
      <c r="X273">
        <v>1816</v>
      </c>
      <c r="Y273">
        <v>8520</v>
      </c>
    </row>
    <row r="274" spans="1:25" x14ac:dyDescent="0.2">
      <c r="A274">
        <v>273</v>
      </c>
      <c r="B274">
        <v>0</v>
      </c>
      <c r="C274">
        <v>59243</v>
      </c>
      <c r="D274">
        <v>223576</v>
      </c>
      <c r="E274">
        <v>3147497</v>
      </c>
      <c r="F274">
        <v>43478114</v>
      </c>
      <c r="G274">
        <v>585280915</v>
      </c>
      <c r="H274">
        <v>7705186119</v>
      </c>
      <c r="I274">
        <v>98912931595</v>
      </c>
      <c r="J274">
        <v>2000</v>
      </c>
      <c r="K274">
        <v>40752</v>
      </c>
      <c r="L274">
        <v>2500</v>
      </c>
      <c r="M274">
        <v>1100</v>
      </c>
      <c r="N274">
        <v>2365</v>
      </c>
      <c r="O274">
        <v>3730</v>
      </c>
      <c r="P274">
        <v>5095</v>
      </c>
      <c r="Q274">
        <v>6460</v>
      </c>
      <c r="R274">
        <v>7825</v>
      </c>
      <c r="S274">
        <v>9190</v>
      </c>
      <c r="T274">
        <v>10555</v>
      </c>
      <c r="U274">
        <v>11920</v>
      </c>
      <c r="V274">
        <v>6493</v>
      </c>
      <c r="W274">
        <v>2092</v>
      </c>
      <c r="X274">
        <v>1819</v>
      </c>
      <c r="Y274">
        <v>8530</v>
      </c>
    </row>
    <row r="275" spans="1:25" x14ac:dyDescent="0.2">
      <c r="A275">
        <v>274</v>
      </c>
      <c r="B275">
        <v>0</v>
      </c>
      <c r="C275">
        <v>60132</v>
      </c>
      <c r="D275">
        <v>228048</v>
      </c>
      <c r="E275">
        <v>3241922</v>
      </c>
      <c r="F275">
        <v>45217239</v>
      </c>
      <c r="G275">
        <v>614544961</v>
      </c>
      <c r="H275">
        <v>8167497287</v>
      </c>
      <c r="I275">
        <v>105836836807</v>
      </c>
      <c r="J275">
        <v>2000</v>
      </c>
      <c r="K275">
        <v>41160</v>
      </c>
      <c r="L275">
        <v>2500</v>
      </c>
      <c r="M275">
        <v>1100</v>
      </c>
      <c r="N275">
        <v>2370</v>
      </c>
      <c r="O275">
        <v>3740</v>
      </c>
      <c r="P275">
        <v>5110</v>
      </c>
      <c r="Q275">
        <v>6480</v>
      </c>
      <c r="R275">
        <v>7850</v>
      </c>
      <c r="S275">
        <v>9220</v>
      </c>
      <c r="T275">
        <v>10590</v>
      </c>
      <c r="U275">
        <v>11960</v>
      </c>
      <c r="V275">
        <v>6530</v>
      </c>
      <c r="W275">
        <v>2096</v>
      </c>
      <c r="X275">
        <v>1822</v>
      </c>
      <c r="Y275">
        <v>8540</v>
      </c>
    </row>
    <row r="276" spans="1:25" x14ac:dyDescent="0.2">
      <c r="A276">
        <v>275</v>
      </c>
      <c r="B276">
        <v>0</v>
      </c>
      <c r="C276">
        <v>61034</v>
      </c>
      <c r="D276">
        <v>232609</v>
      </c>
      <c r="E276">
        <v>3339180</v>
      </c>
      <c r="F276">
        <v>47025929</v>
      </c>
      <c r="G276">
        <v>645272210</v>
      </c>
      <c r="H276">
        <v>8657547125</v>
      </c>
      <c r="I276">
        <v>113245415384</v>
      </c>
      <c r="J276">
        <v>2000</v>
      </c>
      <c r="K276">
        <v>41572</v>
      </c>
      <c r="L276">
        <v>2500</v>
      </c>
      <c r="M276">
        <v>1100</v>
      </c>
      <c r="N276">
        <v>2375</v>
      </c>
      <c r="O276">
        <v>3750</v>
      </c>
      <c r="P276">
        <v>5125</v>
      </c>
      <c r="Q276">
        <v>6500</v>
      </c>
      <c r="R276">
        <v>7875</v>
      </c>
      <c r="S276">
        <v>9250</v>
      </c>
      <c r="T276">
        <v>10625</v>
      </c>
      <c r="U276">
        <v>12000</v>
      </c>
      <c r="V276">
        <v>6567</v>
      </c>
      <c r="W276">
        <v>2100</v>
      </c>
      <c r="X276">
        <v>1825</v>
      </c>
      <c r="Y276">
        <v>8550</v>
      </c>
    </row>
    <row r="277" spans="1:25" x14ac:dyDescent="0.2">
      <c r="A277">
        <v>276</v>
      </c>
      <c r="B277">
        <v>0</v>
      </c>
      <c r="C277">
        <v>61950</v>
      </c>
      <c r="D277">
        <v>237262</v>
      </c>
      <c r="E277">
        <v>3439356</v>
      </c>
      <c r="F277">
        <v>48906967</v>
      </c>
      <c r="G277">
        <v>677535821</v>
      </c>
      <c r="H277">
        <v>9176999953</v>
      </c>
      <c r="I277">
        <v>121172594461</v>
      </c>
      <c r="J277">
        <v>2000</v>
      </c>
      <c r="K277">
        <v>41988</v>
      </c>
      <c r="L277">
        <v>2500</v>
      </c>
      <c r="M277">
        <v>1100</v>
      </c>
      <c r="N277">
        <v>2380</v>
      </c>
      <c r="O277">
        <v>3760</v>
      </c>
      <c r="P277">
        <v>5140</v>
      </c>
      <c r="Q277">
        <v>6520</v>
      </c>
      <c r="R277">
        <v>7900</v>
      </c>
      <c r="S277">
        <v>9280</v>
      </c>
      <c r="T277">
        <v>10660</v>
      </c>
      <c r="U277">
        <v>12040</v>
      </c>
      <c r="V277">
        <v>6604</v>
      </c>
      <c r="W277">
        <v>2104</v>
      </c>
      <c r="X277">
        <v>1828</v>
      </c>
      <c r="Y277">
        <v>8560</v>
      </c>
    </row>
    <row r="278" spans="1:25" x14ac:dyDescent="0.2">
      <c r="A278">
        <v>277</v>
      </c>
      <c r="B278">
        <v>0</v>
      </c>
      <c r="C278">
        <v>62880</v>
      </c>
      <c r="D278">
        <v>242008</v>
      </c>
      <c r="E278">
        <v>3542537</v>
      </c>
      <c r="F278">
        <v>50863246</v>
      </c>
      <c r="G278">
        <v>711412613</v>
      </c>
      <c r="H278">
        <v>9727619951</v>
      </c>
      <c r="I278">
        <v>129654676074</v>
      </c>
      <c r="J278">
        <v>2000</v>
      </c>
      <c r="K278">
        <v>42408</v>
      </c>
      <c r="L278">
        <v>2500</v>
      </c>
      <c r="M278">
        <v>1100</v>
      </c>
      <c r="N278">
        <v>2385</v>
      </c>
      <c r="O278">
        <v>3770</v>
      </c>
      <c r="P278">
        <v>5155</v>
      </c>
      <c r="Q278">
        <v>6540</v>
      </c>
      <c r="R278">
        <v>7925</v>
      </c>
      <c r="S278">
        <v>9310</v>
      </c>
      <c r="T278">
        <v>10695</v>
      </c>
      <c r="U278">
        <v>12080</v>
      </c>
      <c r="V278">
        <v>6642</v>
      </c>
      <c r="W278">
        <v>2108</v>
      </c>
      <c r="X278">
        <v>1831</v>
      </c>
      <c r="Y278">
        <v>8570</v>
      </c>
    </row>
    <row r="279" spans="1:25" x14ac:dyDescent="0.2">
      <c r="A279">
        <v>278</v>
      </c>
      <c r="B279">
        <v>0</v>
      </c>
      <c r="C279">
        <v>63824</v>
      </c>
      <c r="D279">
        <v>246849</v>
      </c>
      <c r="E279">
        <v>3648814</v>
      </c>
      <c r="F279">
        <v>52897776</v>
      </c>
      <c r="G279">
        <v>746983244</v>
      </c>
      <c r="H279">
        <v>10311277149</v>
      </c>
      <c r="I279">
        <v>138730503400</v>
      </c>
      <c r="J279">
        <v>2000</v>
      </c>
      <c r="K279">
        <v>42833</v>
      </c>
      <c r="L279">
        <v>2500</v>
      </c>
      <c r="M279">
        <v>1100</v>
      </c>
      <c r="N279">
        <v>2390</v>
      </c>
      <c r="O279">
        <v>3780</v>
      </c>
      <c r="P279">
        <v>5170</v>
      </c>
      <c r="Q279">
        <v>6560</v>
      </c>
      <c r="R279">
        <v>7950</v>
      </c>
      <c r="S279">
        <v>9340</v>
      </c>
      <c r="T279">
        <v>10730</v>
      </c>
      <c r="U279">
        <v>12120</v>
      </c>
      <c r="V279">
        <v>6680</v>
      </c>
      <c r="W279">
        <v>2112</v>
      </c>
      <c r="X279">
        <v>1834</v>
      </c>
      <c r="Y279">
        <v>8580</v>
      </c>
    </row>
    <row r="280" spans="1:25" x14ac:dyDescent="0.2">
      <c r="A280">
        <v>279</v>
      </c>
      <c r="B280">
        <v>0</v>
      </c>
      <c r="C280">
        <v>64782</v>
      </c>
      <c r="D280">
        <v>251786</v>
      </c>
      <c r="E280">
        <v>3758279</v>
      </c>
      <c r="F280">
        <v>55013688</v>
      </c>
      <c r="G280">
        <v>784332407</v>
      </c>
      <c r="H280">
        <v>10929953778</v>
      </c>
      <c r="I280">
        <v>148441638638</v>
      </c>
      <c r="J280">
        <v>2000</v>
      </c>
      <c r="K280">
        <v>43262</v>
      </c>
      <c r="L280">
        <v>2500</v>
      </c>
      <c r="M280">
        <v>1100</v>
      </c>
      <c r="N280">
        <v>2395</v>
      </c>
      <c r="O280">
        <v>3790</v>
      </c>
      <c r="P280">
        <v>5185</v>
      </c>
      <c r="Q280">
        <v>6580</v>
      </c>
      <c r="R280">
        <v>7975</v>
      </c>
      <c r="S280">
        <v>9370</v>
      </c>
      <c r="T280">
        <v>10765</v>
      </c>
      <c r="U280">
        <v>12160</v>
      </c>
      <c r="V280">
        <v>6718</v>
      </c>
      <c r="W280">
        <v>2116</v>
      </c>
      <c r="X280">
        <v>1837</v>
      </c>
      <c r="Y280">
        <v>8590</v>
      </c>
    </row>
    <row r="281" spans="1:25" x14ac:dyDescent="0.2">
      <c r="A281">
        <v>280</v>
      </c>
      <c r="B281">
        <v>0</v>
      </c>
      <c r="C281">
        <v>65754</v>
      </c>
      <c r="D281">
        <v>256822</v>
      </c>
      <c r="E281">
        <v>3871028</v>
      </c>
      <c r="F281">
        <v>57214236</v>
      </c>
      <c r="G281">
        <v>823549028</v>
      </c>
      <c r="H281">
        <v>11585751005</v>
      </c>
      <c r="I281">
        <v>158832553343</v>
      </c>
      <c r="J281">
        <v>2000</v>
      </c>
      <c r="K281">
        <v>43695</v>
      </c>
      <c r="L281">
        <v>2500</v>
      </c>
      <c r="M281">
        <v>1100</v>
      </c>
      <c r="N281">
        <v>2400</v>
      </c>
      <c r="O281">
        <v>3800</v>
      </c>
      <c r="P281">
        <v>5200</v>
      </c>
      <c r="Q281">
        <v>6600</v>
      </c>
      <c r="R281">
        <v>8000</v>
      </c>
      <c r="S281">
        <v>9400</v>
      </c>
      <c r="T281">
        <v>10800</v>
      </c>
      <c r="U281">
        <v>12200</v>
      </c>
      <c r="V281">
        <v>6756</v>
      </c>
      <c r="W281">
        <v>2120</v>
      </c>
      <c r="X281">
        <v>1840</v>
      </c>
      <c r="Y281">
        <v>8600</v>
      </c>
    </row>
    <row r="282" spans="1:25" x14ac:dyDescent="0.2">
      <c r="A282">
        <v>281</v>
      </c>
      <c r="B282">
        <v>0</v>
      </c>
      <c r="C282">
        <v>66741</v>
      </c>
      <c r="D282">
        <v>261959</v>
      </c>
      <c r="E282">
        <v>3987159</v>
      </c>
      <c r="F282">
        <v>59502806</v>
      </c>
      <c r="G282">
        <v>864726480</v>
      </c>
      <c r="H282">
        <v>12280896066</v>
      </c>
      <c r="I282">
        <v>169950832078</v>
      </c>
      <c r="J282">
        <v>2000</v>
      </c>
      <c r="K282">
        <v>44132</v>
      </c>
      <c r="L282">
        <v>2500</v>
      </c>
      <c r="M282">
        <v>1100</v>
      </c>
      <c r="N282">
        <v>2405</v>
      </c>
      <c r="O282">
        <v>3810</v>
      </c>
      <c r="P282">
        <v>5215</v>
      </c>
      <c r="Q282">
        <v>6620</v>
      </c>
      <c r="R282">
        <v>8025</v>
      </c>
      <c r="S282">
        <v>9430</v>
      </c>
      <c r="T282">
        <v>10835</v>
      </c>
      <c r="U282">
        <v>12240</v>
      </c>
      <c r="V282">
        <v>6794</v>
      </c>
      <c r="W282">
        <v>2124</v>
      </c>
      <c r="X282">
        <v>1843</v>
      </c>
      <c r="Y282">
        <v>8610</v>
      </c>
    </row>
    <row r="283" spans="1:25" x14ac:dyDescent="0.2">
      <c r="A283">
        <v>282</v>
      </c>
      <c r="B283">
        <v>0</v>
      </c>
      <c r="C283">
        <v>67743</v>
      </c>
      <c r="D283">
        <v>267199</v>
      </c>
      <c r="E283">
        <v>4106774</v>
      </c>
      <c r="F283">
        <v>61882919</v>
      </c>
      <c r="G283">
        <v>907962804</v>
      </c>
      <c r="H283">
        <v>13017749830</v>
      </c>
      <c r="I283">
        <v>181847390324</v>
      </c>
      <c r="J283">
        <v>2000</v>
      </c>
      <c r="K283">
        <v>44574</v>
      </c>
      <c r="L283">
        <v>2500</v>
      </c>
      <c r="M283">
        <v>1100</v>
      </c>
      <c r="N283">
        <v>2410</v>
      </c>
      <c r="O283">
        <v>3820</v>
      </c>
      <c r="P283">
        <v>5230</v>
      </c>
      <c r="Q283">
        <v>6640</v>
      </c>
      <c r="R283">
        <v>8050</v>
      </c>
      <c r="S283">
        <v>9460</v>
      </c>
      <c r="T283">
        <v>10870</v>
      </c>
      <c r="U283">
        <v>12280</v>
      </c>
      <c r="V283">
        <v>6832</v>
      </c>
      <c r="W283">
        <v>2128</v>
      </c>
      <c r="X283">
        <v>1846</v>
      </c>
      <c r="Y283">
        <v>8620</v>
      </c>
    </row>
    <row r="284" spans="1:25" x14ac:dyDescent="0.2">
      <c r="A284">
        <v>283</v>
      </c>
      <c r="B284">
        <v>0</v>
      </c>
      <c r="C284">
        <v>68760</v>
      </c>
      <c r="D284">
        <v>272543</v>
      </c>
      <c r="E284">
        <v>4229978</v>
      </c>
      <c r="F284">
        <v>64358236</v>
      </c>
      <c r="G284">
        <v>953360945</v>
      </c>
      <c r="H284">
        <v>13798814820</v>
      </c>
      <c r="I284">
        <v>194576707647</v>
      </c>
      <c r="J284">
        <v>2000</v>
      </c>
      <c r="K284">
        <v>45020</v>
      </c>
      <c r="L284">
        <v>2500</v>
      </c>
      <c r="M284">
        <v>1100</v>
      </c>
      <c r="N284">
        <v>2415</v>
      </c>
      <c r="O284">
        <v>3830</v>
      </c>
      <c r="P284">
        <v>5245</v>
      </c>
      <c r="Q284">
        <v>6660</v>
      </c>
      <c r="R284">
        <v>8075</v>
      </c>
      <c r="S284">
        <v>9490</v>
      </c>
      <c r="T284">
        <v>10905</v>
      </c>
      <c r="U284">
        <v>12320</v>
      </c>
      <c r="V284">
        <v>6871</v>
      </c>
      <c r="W284">
        <v>2132</v>
      </c>
      <c r="X284">
        <v>1849</v>
      </c>
      <c r="Y284">
        <v>8630</v>
      </c>
    </row>
    <row r="285" spans="1:25" x14ac:dyDescent="0.2">
      <c r="A285">
        <v>284</v>
      </c>
      <c r="B285">
        <v>0</v>
      </c>
      <c r="C285">
        <v>69792</v>
      </c>
      <c r="D285">
        <v>277994</v>
      </c>
      <c r="E285">
        <v>4356878</v>
      </c>
      <c r="F285">
        <v>66932566</v>
      </c>
      <c r="G285">
        <v>1001028993</v>
      </c>
      <c r="H285">
        <v>14626743710</v>
      </c>
      <c r="I285">
        <v>208197077183</v>
      </c>
      <c r="J285">
        <v>2000</v>
      </c>
      <c r="K285">
        <v>45471</v>
      </c>
      <c r="L285">
        <v>2500</v>
      </c>
      <c r="M285">
        <v>1100</v>
      </c>
      <c r="N285">
        <v>2420</v>
      </c>
      <c r="O285">
        <v>3840</v>
      </c>
      <c r="P285">
        <v>5260</v>
      </c>
      <c r="Q285">
        <v>6680</v>
      </c>
      <c r="R285">
        <v>8100</v>
      </c>
      <c r="S285">
        <v>9520</v>
      </c>
      <c r="T285">
        <v>10940</v>
      </c>
      <c r="U285">
        <v>12360</v>
      </c>
      <c r="V285">
        <v>6910</v>
      </c>
      <c r="W285">
        <v>2136</v>
      </c>
      <c r="X285">
        <v>1852</v>
      </c>
      <c r="Y285">
        <v>8640</v>
      </c>
    </row>
    <row r="286" spans="1:25" x14ac:dyDescent="0.2">
      <c r="A286">
        <v>285</v>
      </c>
      <c r="B286">
        <v>0</v>
      </c>
      <c r="C286">
        <v>70839</v>
      </c>
      <c r="D286">
        <v>283554</v>
      </c>
      <c r="E286">
        <v>4487585</v>
      </c>
      <c r="F286">
        <v>69609869</v>
      </c>
      <c r="G286">
        <v>1051080443</v>
      </c>
      <c r="H286">
        <v>15504348333</v>
      </c>
      <c r="I286">
        <v>222770872586</v>
      </c>
      <c r="J286">
        <v>2000</v>
      </c>
      <c r="K286">
        <v>45926</v>
      </c>
      <c r="L286">
        <v>2500</v>
      </c>
      <c r="M286">
        <v>1100</v>
      </c>
      <c r="N286">
        <v>2425</v>
      </c>
      <c r="O286">
        <v>3850</v>
      </c>
      <c r="P286">
        <v>5275</v>
      </c>
      <c r="Q286">
        <v>6700</v>
      </c>
      <c r="R286">
        <v>8125</v>
      </c>
      <c r="S286">
        <v>9550</v>
      </c>
      <c r="T286">
        <v>10975</v>
      </c>
      <c r="U286">
        <v>12400</v>
      </c>
      <c r="V286">
        <v>6949</v>
      </c>
      <c r="W286">
        <v>2140</v>
      </c>
      <c r="X286">
        <v>1855</v>
      </c>
      <c r="Y286">
        <v>8650</v>
      </c>
    </row>
    <row r="287" spans="1:25" x14ac:dyDescent="0.2">
      <c r="A287">
        <v>286</v>
      </c>
      <c r="B287">
        <v>0</v>
      </c>
      <c r="C287">
        <v>71902</v>
      </c>
      <c r="D287">
        <v>289226</v>
      </c>
      <c r="E287">
        <v>4622213</v>
      </c>
      <c r="F287">
        <v>72394264</v>
      </c>
      <c r="G287">
        <v>1103634466</v>
      </c>
      <c r="H287">
        <v>16434609233</v>
      </c>
      <c r="I287">
        <v>238364833668</v>
      </c>
      <c r="J287">
        <v>2000</v>
      </c>
      <c r="K287">
        <v>46386</v>
      </c>
      <c r="L287">
        <v>2500</v>
      </c>
      <c r="M287">
        <v>1100</v>
      </c>
      <c r="N287">
        <v>2430</v>
      </c>
      <c r="O287">
        <v>3860</v>
      </c>
      <c r="P287">
        <v>5290</v>
      </c>
      <c r="Q287">
        <v>6720</v>
      </c>
      <c r="R287">
        <v>8150</v>
      </c>
      <c r="S287">
        <v>9580</v>
      </c>
      <c r="T287">
        <v>11010</v>
      </c>
      <c r="U287">
        <v>12440</v>
      </c>
      <c r="V287">
        <v>6988</v>
      </c>
      <c r="W287">
        <v>2144</v>
      </c>
      <c r="X287">
        <v>1858</v>
      </c>
      <c r="Y287">
        <v>8660</v>
      </c>
    </row>
    <row r="288" spans="1:25" x14ac:dyDescent="0.2">
      <c r="A288">
        <v>287</v>
      </c>
      <c r="B288">
        <v>0</v>
      </c>
      <c r="C288">
        <v>72981</v>
      </c>
      <c r="D288">
        <v>295011</v>
      </c>
      <c r="E288">
        <v>4760880</v>
      </c>
      <c r="F288">
        <v>75290035</v>
      </c>
      <c r="G288">
        <v>1158816190</v>
      </c>
      <c r="H288">
        <v>17420685787</v>
      </c>
      <c r="I288">
        <v>255050372025</v>
      </c>
      <c r="J288">
        <v>2000</v>
      </c>
      <c r="K288">
        <v>46850</v>
      </c>
      <c r="L288">
        <v>2500</v>
      </c>
      <c r="M288">
        <v>1100</v>
      </c>
      <c r="N288">
        <v>2435</v>
      </c>
      <c r="O288">
        <v>3870</v>
      </c>
      <c r="P288">
        <v>5305</v>
      </c>
      <c r="Q288">
        <v>6740</v>
      </c>
      <c r="R288">
        <v>8175</v>
      </c>
      <c r="S288">
        <v>9610</v>
      </c>
      <c r="T288">
        <v>11045</v>
      </c>
      <c r="U288">
        <v>12480</v>
      </c>
      <c r="V288">
        <v>7027</v>
      </c>
      <c r="W288">
        <v>2148</v>
      </c>
      <c r="X288">
        <v>1861</v>
      </c>
      <c r="Y288">
        <v>8670</v>
      </c>
    </row>
    <row r="289" spans="1:25" x14ac:dyDescent="0.2">
      <c r="A289">
        <v>288</v>
      </c>
      <c r="B289">
        <v>0</v>
      </c>
      <c r="C289">
        <v>74076</v>
      </c>
      <c r="D289">
        <v>300912</v>
      </c>
      <c r="E289">
        <v>4903707</v>
      </c>
      <c r="F289">
        <v>78301637</v>
      </c>
      <c r="G289">
        <v>1216757000</v>
      </c>
      <c r="H289">
        <v>18465926935</v>
      </c>
      <c r="I289">
        <v>272903898067</v>
      </c>
      <c r="J289">
        <v>2000</v>
      </c>
      <c r="K289">
        <v>47319</v>
      </c>
      <c r="L289">
        <v>2500</v>
      </c>
      <c r="M289">
        <v>1100</v>
      </c>
      <c r="N289">
        <v>2440</v>
      </c>
      <c r="O289">
        <v>3880</v>
      </c>
      <c r="P289">
        <v>5320</v>
      </c>
      <c r="Q289">
        <v>6760</v>
      </c>
      <c r="R289">
        <v>8200</v>
      </c>
      <c r="S289">
        <v>9640</v>
      </c>
      <c r="T289">
        <v>11080</v>
      </c>
      <c r="U289">
        <v>12520</v>
      </c>
      <c r="V289">
        <v>7067</v>
      </c>
      <c r="W289">
        <v>2152</v>
      </c>
      <c r="X289">
        <v>1864</v>
      </c>
      <c r="Y289">
        <v>8680</v>
      </c>
    </row>
    <row r="290" spans="1:25" x14ac:dyDescent="0.2">
      <c r="A290">
        <v>289</v>
      </c>
      <c r="B290">
        <v>0</v>
      </c>
      <c r="C290">
        <v>75188</v>
      </c>
      <c r="D290">
        <v>306931</v>
      </c>
      <c r="E290">
        <v>5050819</v>
      </c>
      <c r="F290">
        <v>81433703</v>
      </c>
      <c r="G290">
        <v>1277594850</v>
      </c>
      <c r="H290">
        <v>19573882552</v>
      </c>
      <c r="I290">
        <v>292007170932</v>
      </c>
      <c r="J290">
        <v>2000</v>
      </c>
      <c r="K290">
        <v>47793</v>
      </c>
      <c r="L290">
        <v>2500</v>
      </c>
      <c r="M290">
        <v>1100</v>
      </c>
      <c r="N290">
        <v>2445</v>
      </c>
      <c r="O290">
        <v>3890</v>
      </c>
      <c r="P290">
        <v>5335</v>
      </c>
      <c r="Q290">
        <v>6780</v>
      </c>
      <c r="R290">
        <v>8225</v>
      </c>
      <c r="S290">
        <v>9670</v>
      </c>
      <c r="T290">
        <v>11115</v>
      </c>
      <c r="U290">
        <v>12560</v>
      </c>
      <c r="V290">
        <v>7107</v>
      </c>
      <c r="W290">
        <v>2156</v>
      </c>
      <c r="X290">
        <v>1867</v>
      </c>
      <c r="Y290">
        <v>8690</v>
      </c>
    </row>
    <row r="291" spans="1:25" x14ac:dyDescent="0.2">
      <c r="A291">
        <v>290</v>
      </c>
      <c r="B291">
        <v>0</v>
      </c>
      <c r="C291">
        <v>76316</v>
      </c>
      <c r="D291">
        <v>313070</v>
      </c>
      <c r="E291">
        <v>5202344</v>
      </c>
      <c r="F291">
        <v>84691052</v>
      </c>
      <c r="G291">
        <v>1341474593</v>
      </c>
      <c r="H291">
        <v>20748315506</v>
      </c>
      <c r="I291">
        <v>312447672898</v>
      </c>
      <c r="J291">
        <v>2000</v>
      </c>
      <c r="K291">
        <v>48271</v>
      </c>
      <c r="L291">
        <v>2500</v>
      </c>
      <c r="M291">
        <v>1100</v>
      </c>
      <c r="N291">
        <v>2450</v>
      </c>
      <c r="O291">
        <v>3900</v>
      </c>
      <c r="P291">
        <v>5350</v>
      </c>
      <c r="Q291">
        <v>6800</v>
      </c>
      <c r="R291">
        <v>8250</v>
      </c>
      <c r="S291">
        <v>9700</v>
      </c>
      <c r="T291">
        <v>11150</v>
      </c>
      <c r="U291">
        <v>12600</v>
      </c>
      <c r="V291">
        <v>7147</v>
      </c>
      <c r="W291">
        <v>2160</v>
      </c>
      <c r="X291">
        <v>1870</v>
      </c>
      <c r="Y291">
        <v>8700</v>
      </c>
    </row>
    <row r="292" spans="1:25" x14ac:dyDescent="0.2">
      <c r="A292">
        <v>291</v>
      </c>
      <c r="B292">
        <v>0</v>
      </c>
      <c r="C292">
        <v>77461</v>
      </c>
      <c r="D292">
        <v>319332</v>
      </c>
      <c r="E292">
        <v>5358415</v>
      </c>
      <c r="F292">
        <v>88078695</v>
      </c>
      <c r="G292">
        <v>1408548323</v>
      </c>
      <c r="H292">
        <v>21993214437</v>
      </c>
      <c r="I292">
        <v>334319010001</v>
      </c>
      <c r="J292">
        <v>2000</v>
      </c>
      <c r="K292">
        <v>48754</v>
      </c>
      <c r="L292">
        <v>2500</v>
      </c>
      <c r="M292">
        <v>1100</v>
      </c>
      <c r="N292">
        <v>2455</v>
      </c>
      <c r="O292">
        <v>3910</v>
      </c>
      <c r="P292">
        <v>5365</v>
      </c>
      <c r="Q292">
        <v>6820</v>
      </c>
      <c r="R292">
        <v>8275</v>
      </c>
      <c r="S292">
        <v>9730</v>
      </c>
      <c r="T292">
        <v>11185</v>
      </c>
      <c r="U292">
        <v>12640</v>
      </c>
      <c r="V292">
        <v>7187</v>
      </c>
      <c r="W292">
        <v>2164</v>
      </c>
      <c r="X292">
        <v>1873</v>
      </c>
      <c r="Y292">
        <v>8710</v>
      </c>
    </row>
    <row r="293" spans="1:25" x14ac:dyDescent="0.2">
      <c r="A293">
        <v>292</v>
      </c>
      <c r="B293">
        <v>0</v>
      </c>
      <c r="C293">
        <v>78623</v>
      </c>
      <c r="D293">
        <v>325719</v>
      </c>
      <c r="E293">
        <v>5519168</v>
      </c>
      <c r="F293">
        <v>91601843</v>
      </c>
      <c r="G293">
        <v>1478975740</v>
      </c>
      <c r="H293">
        <v>23312807304</v>
      </c>
      <c r="I293">
        <v>357721340702</v>
      </c>
      <c r="J293">
        <v>2000</v>
      </c>
      <c r="K293">
        <v>49242</v>
      </c>
      <c r="L293">
        <v>2500</v>
      </c>
      <c r="M293">
        <v>1100</v>
      </c>
      <c r="N293">
        <v>2460</v>
      </c>
      <c r="O293">
        <v>3920</v>
      </c>
      <c r="P293">
        <v>5380</v>
      </c>
      <c r="Q293">
        <v>6840</v>
      </c>
      <c r="R293">
        <v>8300</v>
      </c>
      <c r="S293">
        <v>9760</v>
      </c>
      <c r="T293">
        <v>11220</v>
      </c>
      <c r="U293">
        <v>12680</v>
      </c>
      <c r="V293">
        <v>7227</v>
      </c>
      <c r="W293">
        <v>2168</v>
      </c>
      <c r="X293">
        <v>1876</v>
      </c>
      <c r="Y293">
        <v>8720</v>
      </c>
    </row>
    <row r="294" spans="1:25" x14ac:dyDescent="0.2">
      <c r="A294">
        <v>293</v>
      </c>
      <c r="B294">
        <v>0</v>
      </c>
      <c r="C294">
        <v>79803</v>
      </c>
      <c r="D294">
        <v>332234</v>
      </c>
      <c r="E294">
        <v>5684744</v>
      </c>
      <c r="F294">
        <v>95265917</v>
      </c>
      <c r="G294">
        <v>1552924527</v>
      </c>
      <c r="H294">
        <v>24711575743</v>
      </c>
      <c r="I294">
        <v>382761834552</v>
      </c>
      <c r="J294">
        <v>2000</v>
      </c>
      <c r="K294">
        <v>49735</v>
      </c>
      <c r="L294">
        <v>2500</v>
      </c>
      <c r="M294">
        <v>1100</v>
      </c>
      <c r="N294">
        <v>2465</v>
      </c>
      <c r="O294">
        <v>3930</v>
      </c>
      <c r="P294">
        <v>5395</v>
      </c>
      <c r="Q294">
        <v>6860</v>
      </c>
      <c r="R294">
        <v>8325</v>
      </c>
      <c r="S294">
        <v>9790</v>
      </c>
      <c r="T294">
        <v>11255</v>
      </c>
      <c r="U294">
        <v>12720</v>
      </c>
      <c r="V294">
        <v>7268</v>
      </c>
      <c r="W294">
        <v>2172</v>
      </c>
      <c r="X294">
        <v>1879</v>
      </c>
      <c r="Y294">
        <v>8730</v>
      </c>
    </row>
    <row r="295" spans="1:25" x14ac:dyDescent="0.2">
      <c r="A295">
        <v>294</v>
      </c>
      <c r="B295">
        <v>0</v>
      </c>
      <c r="C295">
        <v>81001</v>
      </c>
      <c r="D295">
        <v>338879</v>
      </c>
      <c r="E295">
        <v>5855287</v>
      </c>
      <c r="F295">
        <v>99076554</v>
      </c>
      <c r="G295">
        <v>1630570754</v>
      </c>
      <c r="H295">
        <v>26194270288</v>
      </c>
      <c r="I295">
        <v>409555162971</v>
      </c>
      <c r="J295">
        <v>2000</v>
      </c>
      <c r="K295">
        <v>50233</v>
      </c>
      <c r="L295">
        <v>2500</v>
      </c>
      <c r="M295">
        <v>1100</v>
      </c>
      <c r="N295">
        <v>2470</v>
      </c>
      <c r="O295">
        <v>3940</v>
      </c>
      <c r="P295">
        <v>5410</v>
      </c>
      <c r="Q295">
        <v>6880</v>
      </c>
      <c r="R295">
        <v>8350</v>
      </c>
      <c r="S295">
        <v>9820</v>
      </c>
      <c r="T295">
        <v>11290</v>
      </c>
      <c r="U295">
        <v>12760</v>
      </c>
      <c r="V295">
        <v>7309</v>
      </c>
      <c r="W295">
        <v>2176</v>
      </c>
      <c r="X295">
        <v>1882</v>
      </c>
      <c r="Y295">
        <v>8740</v>
      </c>
    </row>
    <row r="296" spans="1:25" x14ac:dyDescent="0.2">
      <c r="A296">
        <v>295</v>
      </c>
      <c r="B296">
        <v>0</v>
      </c>
      <c r="C296">
        <v>82217</v>
      </c>
      <c r="D296">
        <v>345657</v>
      </c>
      <c r="E296">
        <v>6030946</v>
      </c>
      <c r="F296">
        <v>103039617</v>
      </c>
      <c r="G296">
        <v>1712099292</v>
      </c>
      <c r="H296">
        <v>27765926506</v>
      </c>
      <c r="I296">
        <v>438224024379</v>
      </c>
      <c r="J296">
        <v>2000</v>
      </c>
      <c r="K296">
        <v>50736</v>
      </c>
      <c r="L296">
        <v>2500</v>
      </c>
      <c r="M296">
        <v>1100</v>
      </c>
      <c r="N296">
        <v>2475</v>
      </c>
      <c r="O296">
        <v>3950</v>
      </c>
      <c r="P296">
        <v>5425</v>
      </c>
      <c r="Q296">
        <v>6900</v>
      </c>
      <c r="R296">
        <v>8375</v>
      </c>
      <c r="S296">
        <v>9850</v>
      </c>
      <c r="T296">
        <v>11325</v>
      </c>
      <c r="U296">
        <v>12800</v>
      </c>
      <c r="V296">
        <v>7350</v>
      </c>
      <c r="W296">
        <v>2180</v>
      </c>
      <c r="X296">
        <v>1885</v>
      </c>
      <c r="Y296">
        <v>8750</v>
      </c>
    </row>
    <row r="297" spans="1:25" x14ac:dyDescent="0.2">
      <c r="A297">
        <v>296</v>
      </c>
      <c r="B297">
        <v>0</v>
      </c>
      <c r="C297">
        <v>83451</v>
      </c>
      <c r="D297">
        <v>352571</v>
      </c>
      <c r="E297">
        <v>6211875</v>
      </c>
      <c r="F297">
        <v>107161202</v>
      </c>
      <c r="G297">
        <v>1797704257</v>
      </c>
      <c r="H297">
        <v>29431882097</v>
      </c>
      <c r="I297">
        <v>468899706086</v>
      </c>
      <c r="J297">
        <v>2000</v>
      </c>
      <c r="K297">
        <v>51244</v>
      </c>
      <c r="L297">
        <v>2500</v>
      </c>
      <c r="M297">
        <v>1100</v>
      </c>
      <c r="N297">
        <v>2480</v>
      </c>
      <c r="O297">
        <v>3960</v>
      </c>
      <c r="P297">
        <v>5440</v>
      </c>
      <c r="Q297">
        <v>6920</v>
      </c>
      <c r="R297">
        <v>8400</v>
      </c>
      <c r="S297">
        <v>9880</v>
      </c>
      <c r="T297">
        <v>11360</v>
      </c>
      <c r="U297">
        <v>12840</v>
      </c>
      <c r="V297">
        <v>7391</v>
      </c>
      <c r="W297">
        <v>2184</v>
      </c>
      <c r="X297">
        <v>1888</v>
      </c>
      <c r="Y297">
        <v>8760</v>
      </c>
    </row>
    <row r="298" spans="1:25" x14ac:dyDescent="0.2">
      <c r="A298">
        <v>297</v>
      </c>
      <c r="B298">
        <v>0</v>
      </c>
      <c r="C298">
        <v>84703</v>
      </c>
      <c r="D298">
        <v>359623</v>
      </c>
      <c r="E298">
        <v>6398232</v>
      </c>
      <c r="F298">
        <v>111447651</v>
      </c>
      <c r="G298">
        <v>1887589470</v>
      </c>
      <c r="H298">
        <v>31197795023</v>
      </c>
      <c r="I298">
        <v>501722685513</v>
      </c>
      <c r="J298">
        <v>2000</v>
      </c>
      <c r="K298">
        <v>51757</v>
      </c>
      <c r="L298">
        <v>2500</v>
      </c>
      <c r="M298">
        <v>1100</v>
      </c>
      <c r="N298">
        <v>2485</v>
      </c>
      <c r="O298">
        <v>3970</v>
      </c>
      <c r="P298">
        <v>5455</v>
      </c>
      <c r="Q298">
        <v>6940</v>
      </c>
      <c r="R298">
        <v>8425</v>
      </c>
      <c r="S298">
        <v>9910</v>
      </c>
      <c r="T298">
        <v>11395</v>
      </c>
      <c r="U298">
        <v>12880</v>
      </c>
      <c r="V298">
        <v>7432</v>
      </c>
      <c r="W298">
        <v>2188</v>
      </c>
      <c r="X298">
        <v>1891</v>
      </c>
      <c r="Y298">
        <v>8770</v>
      </c>
    </row>
    <row r="299" spans="1:25" x14ac:dyDescent="0.2">
      <c r="A299">
        <v>298</v>
      </c>
      <c r="B299">
        <v>0</v>
      </c>
      <c r="C299">
        <v>85974</v>
      </c>
      <c r="D299">
        <v>366816</v>
      </c>
      <c r="E299">
        <v>6590179</v>
      </c>
      <c r="F299">
        <v>115905558</v>
      </c>
      <c r="G299">
        <v>1981968944</v>
      </c>
      <c r="H299">
        <v>33069662725</v>
      </c>
      <c r="I299">
        <v>536843273499</v>
      </c>
      <c r="J299">
        <v>2000</v>
      </c>
      <c r="K299">
        <v>52275</v>
      </c>
      <c r="L299">
        <v>2500</v>
      </c>
      <c r="M299">
        <v>1100</v>
      </c>
      <c r="N299">
        <v>2490</v>
      </c>
      <c r="O299">
        <v>3980</v>
      </c>
      <c r="P299">
        <v>5470</v>
      </c>
      <c r="Q299">
        <v>6960</v>
      </c>
      <c r="R299">
        <v>8450</v>
      </c>
      <c r="S299">
        <v>9940</v>
      </c>
      <c r="T299">
        <v>11430</v>
      </c>
      <c r="U299">
        <v>12920</v>
      </c>
      <c r="V299">
        <v>7474</v>
      </c>
      <c r="W299">
        <v>2192</v>
      </c>
      <c r="X299">
        <v>1894</v>
      </c>
      <c r="Y299">
        <v>8780</v>
      </c>
    </row>
    <row r="300" spans="1:25" x14ac:dyDescent="0.2">
      <c r="A300">
        <v>299</v>
      </c>
      <c r="B300">
        <v>0</v>
      </c>
      <c r="C300">
        <v>87264</v>
      </c>
      <c r="D300">
        <v>374153</v>
      </c>
      <c r="E300">
        <v>6787885</v>
      </c>
      <c r="F300">
        <v>120541781</v>
      </c>
      <c r="G300">
        <v>2081067392</v>
      </c>
      <c r="H300">
        <v>35053842489</v>
      </c>
      <c r="I300">
        <v>574422302644</v>
      </c>
      <c r="J300">
        <v>2000</v>
      </c>
      <c r="K300">
        <v>52798</v>
      </c>
      <c r="L300">
        <v>2500</v>
      </c>
      <c r="M300">
        <v>1100</v>
      </c>
      <c r="N300">
        <v>2495</v>
      </c>
      <c r="O300">
        <v>3990</v>
      </c>
      <c r="P300">
        <v>5485</v>
      </c>
      <c r="Q300">
        <v>6980</v>
      </c>
      <c r="R300">
        <v>8475</v>
      </c>
      <c r="S300">
        <v>9970</v>
      </c>
      <c r="T300">
        <v>11465</v>
      </c>
      <c r="U300">
        <v>12960</v>
      </c>
      <c r="V300">
        <v>7516</v>
      </c>
      <c r="W300">
        <v>2196</v>
      </c>
      <c r="X300">
        <v>1897</v>
      </c>
      <c r="Y300">
        <v>8790</v>
      </c>
    </row>
    <row r="301" spans="1:25" x14ac:dyDescent="0.2">
      <c r="A301">
        <v>300</v>
      </c>
      <c r="B301">
        <v>0</v>
      </c>
      <c r="C301">
        <v>88573</v>
      </c>
      <c r="D301">
        <v>381637</v>
      </c>
      <c r="E301">
        <v>6991522</v>
      </c>
      <c r="F301">
        <v>125363453</v>
      </c>
      <c r="G301">
        <v>2185120762</v>
      </c>
      <c r="H301">
        <v>37157073039</v>
      </c>
      <c r="I301">
        <v>614631863830</v>
      </c>
      <c r="J301">
        <v>2000</v>
      </c>
      <c r="K301">
        <v>53326</v>
      </c>
      <c r="L301">
        <v>2500</v>
      </c>
      <c r="M301">
        <v>1100</v>
      </c>
      <c r="N301">
        <v>2500</v>
      </c>
      <c r="O301">
        <v>4000</v>
      </c>
      <c r="P301">
        <v>5500</v>
      </c>
      <c r="Q301">
        <v>7000</v>
      </c>
      <c r="R301">
        <v>8500</v>
      </c>
      <c r="S301">
        <v>10000</v>
      </c>
      <c r="T301">
        <v>11500</v>
      </c>
      <c r="U301">
        <v>13000</v>
      </c>
      <c r="V301">
        <v>7558</v>
      </c>
      <c r="W301">
        <v>2200</v>
      </c>
      <c r="X301">
        <v>1900</v>
      </c>
      <c r="Y301">
        <v>8800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8"/>
  <sheetViews>
    <sheetView workbookViewId="0">
      <pane ySplit="1" topLeftCell="A2" activePane="bottomLeft" state="frozen"/>
      <selection pane="bottomLeft" activeCell="C21" sqref="C21"/>
    </sheetView>
  </sheetViews>
  <sheetFormatPr baseColWidth="10" defaultColWidth="8.83203125" defaultRowHeight="15" x14ac:dyDescent="0.2"/>
  <cols>
    <col min="1" max="1" width="24" customWidth="1"/>
    <col min="2" max="2" width="26" customWidth="1"/>
    <col min="3" max="4" width="8" customWidth="1"/>
    <col min="5" max="5" width="11" customWidth="1"/>
    <col min="6" max="6" width="15" customWidth="1"/>
    <col min="7" max="7" width="11" customWidth="1"/>
    <col min="8" max="8" width="8" customWidth="1"/>
    <col min="9" max="9" width="13" customWidth="1"/>
    <col min="10" max="10" width="11" customWidth="1"/>
    <col min="11" max="11" width="12" customWidth="1"/>
    <col min="12" max="12" width="18" customWidth="1"/>
    <col min="13" max="13" width="11" customWidth="1"/>
    <col min="14" max="14" width="14" customWidth="1"/>
    <col min="15" max="15" width="17" customWidth="1"/>
    <col min="16" max="16" width="16" customWidth="1"/>
    <col min="17" max="17" width="18" customWidth="1"/>
    <col min="18" max="18" width="16" customWidth="1"/>
    <col min="19" max="19" width="15" customWidth="1"/>
    <col min="20" max="20" width="14" customWidth="1"/>
    <col min="21" max="21" width="22" customWidth="1"/>
    <col min="22" max="22" width="18" customWidth="1"/>
    <col min="23" max="25" width="20" customWidth="1"/>
    <col min="26" max="26" width="8" customWidth="1"/>
    <col min="27" max="27" width="60" customWidth="1"/>
  </cols>
  <sheetData>
    <row r="1" spans="1:27" x14ac:dyDescent="0.2">
      <c r="A1" s="8" t="s">
        <v>74</v>
      </c>
      <c r="B1" s="8" t="s">
        <v>75</v>
      </c>
      <c r="C1" s="8" t="s">
        <v>76</v>
      </c>
      <c r="D1" s="8" t="s">
        <v>77</v>
      </c>
      <c r="E1" s="8" t="s">
        <v>78</v>
      </c>
      <c r="F1" s="8" t="s">
        <v>79</v>
      </c>
      <c r="G1" s="8" t="s">
        <v>80</v>
      </c>
      <c r="H1" s="8" t="s">
        <v>81</v>
      </c>
      <c r="I1" s="8" t="s">
        <v>82</v>
      </c>
      <c r="J1" s="8" t="s">
        <v>83</v>
      </c>
      <c r="K1" s="8" t="s">
        <v>84</v>
      </c>
      <c r="L1" s="8" t="s">
        <v>85</v>
      </c>
      <c r="M1" s="8" t="s">
        <v>86</v>
      </c>
      <c r="N1" s="8" t="s">
        <v>87</v>
      </c>
      <c r="O1" s="8" t="s">
        <v>88</v>
      </c>
      <c r="P1" s="8" t="s">
        <v>89</v>
      </c>
      <c r="Q1" s="8" t="s">
        <v>90</v>
      </c>
      <c r="R1" s="8" t="s">
        <v>91</v>
      </c>
      <c r="S1" s="8" t="s">
        <v>92</v>
      </c>
      <c r="T1" s="8" t="s">
        <v>93</v>
      </c>
      <c r="U1" s="8" t="s">
        <v>94</v>
      </c>
      <c r="V1" s="8" t="s">
        <v>95</v>
      </c>
      <c r="W1" s="8" t="s">
        <v>96</v>
      </c>
      <c r="X1" s="8" t="s">
        <v>97</v>
      </c>
      <c r="Y1" s="8" t="s">
        <v>98</v>
      </c>
      <c r="Z1" s="8" t="s">
        <v>99</v>
      </c>
      <c r="AA1" s="8" t="s">
        <v>100</v>
      </c>
    </row>
    <row r="2" spans="1:27" x14ac:dyDescent="0.2">
      <c r="A2" t="s">
        <v>101</v>
      </c>
      <c r="B2" t="s">
        <v>102</v>
      </c>
      <c r="C2">
        <v>4</v>
      </c>
      <c r="D2" t="s">
        <v>103</v>
      </c>
      <c r="F2" t="b">
        <v>0</v>
      </c>
      <c r="G2">
        <v>5</v>
      </c>
      <c r="H2">
        <v>0</v>
      </c>
      <c r="I2">
        <v>0</v>
      </c>
      <c r="J2">
        <v>100</v>
      </c>
      <c r="K2">
        <v>1</v>
      </c>
      <c r="N2" t="b">
        <v>1</v>
      </c>
      <c r="O2">
        <f>SUMPRODUCT((Inputs!$B$3&gt;={102,106,116,120,128,132})*{10,11,12,13,14,15})</f>
        <v>21</v>
      </c>
      <c r="P2">
        <f>SUMPRODUCT((Inputs!$B$3&gt;={111,124})*{10,10})</f>
        <v>10</v>
      </c>
      <c r="Q2">
        <v>0</v>
      </c>
      <c r="R2">
        <f>6+Inputs!$B$32+IF(Inputs!$B$3&gt;=136,1,0)</f>
        <v>12</v>
      </c>
      <c r="T2">
        <v>0</v>
      </c>
      <c r="U2" t="b">
        <v>0</v>
      </c>
      <c r="V2" t="b">
        <v>0</v>
      </c>
      <c r="W2">
        <v>1</v>
      </c>
      <c r="AA2" t="s">
        <v>104</v>
      </c>
    </row>
    <row r="3" spans="1:27" x14ac:dyDescent="0.2">
      <c r="A3" t="s">
        <v>105</v>
      </c>
      <c r="B3" t="s">
        <v>106</v>
      </c>
      <c r="C3">
        <v>2</v>
      </c>
      <c r="E3">
        <v>1</v>
      </c>
      <c r="F3" t="b">
        <v>0</v>
      </c>
      <c r="G3">
        <v>3</v>
      </c>
      <c r="H3">
        <v>0</v>
      </c>
      <c r="I3">
        <v>0</v>
      </c>
      <c r="J3">
        <v>100</v>
      </c>
      <c r="K3">
        <v>1</v>
      </c>
      <c r="L3">
        <v>130</v>
      </c>
      <c r="M3">
        <v>21</v>
      </c>
      <c r="N3" t="b">
        <v>1</v>
      </c>
      <c r="O3">
        <v>100</v>
      </c>
      <c r="P3">
        <v>0</v>
      </c>
      <c r="Q3">
        <v>0</v>
      </c>
      <c r="R3">
        <v>3</v>
      </c>
      <c r="T3">
        <v>0</v>
      </c>
      <c r="U3" t="b">
        <v>0</v>
      </c>
      <c r="V3" t="b">
        <v>0</v>
      </c>
      <c r="W3">
        <v>1</v>
      </c>
      <c r="X3">
        <v>500</v>
      </c>
      <c r="Y3">
        <v>23</v>
      </c>
      <c r="AA3" t="s">
        <v>107</v>
      </c>
    </row>
    <row r="4" spans="1:27" x14ac:dyDescent="0.2">
      <c r="A4" t="s">
        <v>108</v>
      </c>
      <c r="B4" t="s">
        <v>109</v>
      </c>
      <c r="C4">
        <v>2</v>
      </c>
      <c r="D4" t="s">
        <v>110</v>
      </c>
      <c r="E4">
        <v>18</v>
      </c>
      <c r="F4" t="b">
        <v>1</v>
      </c>
      <c r="G4">
        <v>3</v>
      </c>
      <c r="H4">
        <v>0</v>
      </c>
      <c r="I4">
        <v>0</v>
      </c>
      <c r="J4">
        <v>100</v>
      </c>
      <c r="K4">
        <v>1</v>
      </c>
      <c r="L4">
        <v>2000</v>
      </c>
      <c r="M4">
        <v>12</v>
      </c>
      <c r="N4" t="b">
        <v>1</v>
      </c>
      <c r="O4">
        <v>70</v>
      </c>
      <c r="P4">
        <v>0</v>
      </c>
      <c r="Q4">
        <v>0</v>
      </c>
      <c r="R4">
        <v>6</v>
      </c>
      <c r="T4">
        <v>0</v>
      </c>
      <c r="U4" t="b">
        <v>1</v>
      </c>
      <c r="V4" t="b">
        <v>1</v>
      </c>
      <c r="W4">
        <v>1</v>
      </c>
      <c r="X4">
        <v>800</v>
      </c>
      <c r="Y4">
        <v>23</v>
      </c>
      <c r="AA4" t="s">
        <v>111</v>
      </c>
    </row>
    <row r="5" spans="1:27" x14ac:dyDescent="0.2">
      <c r="A5" t="s">
        <v>112</v>
      </c>
      <c r="B5" t="s">
        <v>113</v>
      </c>
      <c r="C5">
        <v>2</v>
      </c>
      <c r="E5">
        <v>1</v>
      </c>
      <c r="F5" t="b">
        <v>0</v>
      </c>
      <c r="G5">
        <v>5</v>
      </c>
      <c r="H5">
        <v>0</v>
      </c>
      <c r="I5">
        <v>0</v>
      </c>
      <c r="J5">
        <v>100</v>
      </c>
      <c r="K5">
        <v>1</v>
      </c>
      <c r="L5">
        <v>120</v>
      </c>
      <c r="M5">
        <v>21</v>
      </c>
      <c r="N5" t="b">
        <v>1</v>
      </c>
      <c r="O5">
        <v>0</v>
      </c>
      <c r="P5">
        <v>0</v>
      </c>
      <c r="Q5">
        <v>0</v>
      </c>
      <c r="R5">
        <v>1</v>
      </c>
      <c r="T5">
        <v>0</v>
      </c>
      <c r="U5" t="b">
        <v>0</v>
      </c>
      <c r="V5" t="b">
        <v>0</v>
      </c>
      <c r="W5">
        <v>1</v>
      </c>
      <c r="X5">
        <v>1500</v>
      </c>
      <c r="Y5">
        <v>23</v>
      </c>
      <c r="AA5" t="s">
        <v>114</v>
      </c>
    </row>
    <row r="6" spans="1:27" x14ac:dyDescent="0.2">
      <c r="A6" t="s">
        <v>115</v>
      </c>
      <c r="B6" t="s">
        <v>116</v>
      </c>
      <c r="C6">
        <v>2</v>
      </c>
      <c r="E6">
        <v>30</v>
      </c>
      <c r="F6" t="b">
        <v>1</v>
      </c>
      <c r="G6">
        <v>1</v>
      </c>
      <c r="H6">
        <v>0</v>
      </c>
      <c r="I6">
        <v>0</v>
      </c>
      <c r="J6">
        <v>100</v>
      </c>
      <c r="K6">
        <v>1</v>
      </c>
      <c r="L6">
        <v>200</v>
      </c>
      <c r="M6">
        <v>22</v>
      </c>
      <c r="N6" t="b">
        <v>1</v>
      </c>
      <c r="O6">
        <v>0</v>
      </c>
      <c r="P6">
        <v>0</v>
      </c>
      <c r="Q6">
        <v>0</v>
      </c>
      <c r="R6">
        <v>1</v>
      </c>
      <c r="S6" t="s">
        <v>117</v>
      </c>
      <c r="T6">
        <v>19.5</v>
      </c>
      <c r="U6" t="b">
        <v>0</v>
      </c>
      <c r="V6" t="b">
        <v>0</v>
      </c>
      <c r="W6">
        <v>1</v>
      </c>
      <c r="AA6" t="s">
        <v>118</v>
      </c>
    </row>
    <row r="7" spans="1:27" x14ac:dyDescent="0.2">
      <c r="A7" t="s">
        <v>119</v>
      </c>
      <c r="B7" t="s">
        <v>120</v>
      </c>
      <c r="C7">
        <v>3</v>
      </c>
      <c r="D7" t="s">
        <v>110</v>
      </c>
      <c r="E7">
        <v>24.5</v>
      </c>
      <c r="F7" t="b">
        <v>1</v>
      </c>
      <c r="G7">
        <v>3</v>
      </c>
      <c r="H7">
        <v>0</v>
      </c>
      <c r="I7">
        <v>0</v>
      </c>
      <c r="J7">
        <v>100</v>
      </c>
      <c r="K7">
        <v>1</v>
      </c>
      <c r="L7">
        <v>1600</v>
      </c>
      <c r="M7">
        <v>12</v>
      </c>
      <c r="N7" t="b">
        <v>1</v>
      </c>
      <c r="O7">
        <v>50</v>
      </c>
      <c r="P7">
        <v>0</v>
      </c>
      <c r="Q7">
        <v>0</v>
      </c>
      <c r="R7">
        <v>10</v>
      </c>
      <c r="T7">
        <v>0</v>
      </c>
      <c r="U7" t="b">
        <v>1</v>
      </c>
      <c r="V7" t="b">
        <v>1</v>
      </c>
      <c r="W7">
        <v>1</v>
      </c>
      <c r="X7">
        <v>100</v>
      </c>
      <c r="Y7">
        <v>23</v>
      </c>
      <c r="AA7" t="s">
        <v>121</v>
      </c>
    </row>
    <row r="8" spans="1:27" x14ac:dyDescent="0.2">
      <c r="A8" t="s">
        <v>122</v>
      </c>
      <c r="B8" t="s">
        <v>123</v>
      </c>
      <c r="C8">
        <v>3</v>
      </c>
      <c r="D8" t="s">
        <v>110</v>
      </c>
      <c r="E8">
        <v>24.5</v>
      </c>
      <c r="F8" t="b">
        <v>0</v>
      </c>
      <c r="G8">
        <v>1</v>
      </c>
      <c r="H8">
        <f>IF(Inputs!$B$3&gt;=104,0.4,0.8)</f>
        <v>0.4</v>
      </c>
      <c r="I8">
        <v>20</v>
      </c>
      <c r="J8">
        <v>100</v>
      </c>
      <c r="K8">
        <v>1</v>
      </c>
      <c r="L8">
        <v>700</v>
      </c>
      <c r="M8">
        <v>12</v>
      </c>
      <c r="N8" t="b">
        <v>1</v>
      </c>
      <c r="O8">
        <v>0</v>
      </c>
      <c r="P8">
        <v>0</v>
      </c>
      <c r="Q8">
        <v>0</v>
      </c>
      <c r="R8">
        <v>10</v>
      </c>
      <c r="T8">
        <v>0</v>
      </c>
      <c r="U8" t="b">
        <v>0</v>
      </c>
      <c r="V8" t="b">
        <v>0</v>
      </c>
      <c r="W8">
        <v>1</v>
      </c>
      <c r="X8">
        <v>100</v>
      </c>
      <c r="Y8">
        <v>23</v>
      </c>
      <c r="AA8" t="s">
        <v>124</v>
      </c>
    </row>
    <row r="9" spans="1:27" x14ac:dyDescent="0.2">
      <c r="A9" t="s">
        <v>125</v>
      </c>
      <c r="B9" t="s">
        <v>126</v>
      </c>
      <c r="C9">
        <v>4</v>
      </c>
      <c r="E9">
        <f>Skills!E7</f>
        <v>24.5</v>
      </c>
      <c r="F9" t="b">
        <v>0</v>
      </c>
      <c r="G9">
        <f>IF(Inputs!$B$4="pvp",0,(1-Summary!$B$56)*(1)+Summary!$B$56*(IF(Inputs!$B$3&gt;=108,4,3)))</f>
        <v>2.8</v>
      </c>
      <c r="H9">
        <v>0</v>
      </c>
      <c r="I9">
        <v>0</v>
      </c>
      <c r="J9">
        <v>100</v>
      </c>
      <c r="K9">
        <v>1</v>
      </c>
      <c r="L9">
        <v>30000</v>
      </c>
      <c r="M9">
        <v>12</v>
      </c>
      <c r="N9" t="b">
        <v>1</v>
      </c>
      <c r="O9">
        <f>IF(Inputs!$B$3&gt;=122,100,0)</f>
        <v>0</v>
      </c>
      <c r="P9">
        <v>0</v>
      </c>
      <c r="Q9">
        <v>0</v>
      </c>
      <c r="R9">
        <v>10</v>
      </c>
      <c r="T9">
        <v>0</v>
      </c>
      <c r="U9" t="b">
        <v>0</v>
      </c>
      <c r="V9" t="b">
        <v>0</v>
      </c>
      <c r="W9">
        <v>1</v>
      </c>
      <c r="AA9" t="s">
        <v>127</v>
      </c>
    </row>
    <row r="10" spans="1:27" x14ac:dyDescent="0.2">
      <c r="A10" t="s">
        <v>128</v>
      </c>
      <c r="B10" t="s">
        <v>129</v>
      </c>
      <c r="C10">
        <v>3</v>
      </c>
      <c r="D10" t="s">
        <v>110</v>
      </c>
      <c r="E10">
        <v>27</v>
      </c>
      <c r="F10" t="b">
        <v>1</v>
      </c>
      <c r="G10">
        <v>2</v>
      </c>
      <c r="H10">
        <v>2</v>
      </c>
      <c r="I10">
        <v>15</v>
      </c>
      <c r="J10">
        <v>100</v>
      </c>
      <c r="K10">
        <v>1</v>
      </c>
      <c r="L10">
        <v>1200</v>
      </c>
      <c r="M10">
        <v>12</v>
      </c>
      <c r="N10" t="b">
        <v>1</v>
      </c>
      <c r="O10">
        <v>50</v>
      </c>
      <c r="P10">
        <v>0</v>
      </c>
      <c r="Q10">
        <v>100</v>
      </c>
      <c r="R10">
        <v>1</v>
      </c>
      <c r="T10">
        <v>0</v>
      </c>
      <c r="U10" t="b">
        <v>1</v>
      </c>
      <c r="V10" t="b">
        <v>0</v>
      </c>
      <c r="W10">
        <v>1</v>
      </c>
      <c r="X10">
        <v>100</v>
      </c>
      <c r="Y10">
        <v>23</v>
      </c>
      <c r="AA10" t="s">
        <v>130</v>
      </c>
    </row>
    <row r="11" spans="1:27" x14ac:dyDescent="0.2">
      <c r="A11" t="s">
        <v>131</v>
      </c>
      <c r="B11" t="s">
        <v>132</v>
      </c>
      <c r="C11">
        <v>3</v>
      </c>
      <c r="F11" t="b">
        <v>0</v>
      </c>
      <c r="G11">
        <v>1</v>
      </c>
      <c r="H11">
        <v>0</v>
      </c>
      <c r="I11">
        <v>0</v>
      </c>
      <c r="J11">
        <v>100</v>
      </c>
      <c r="K11">
        <v>1</v>
      </c>
      <c r="L11">
        <v>50</v>
      </c>
      <c r="M11">
        <v>0</v>
      </c>
      <c r="N11" t="b">
        <v>0</v>
      </c>
      <c r="O11">
        <v>0</v>
      </c>
      <c r="P11">
        <v>0</v>
      </c>
      <c r="Q11">
        <v>0</v>
      </c>
      <c r="R11">
        <v>1</v>
      </c>
      <c r="T11">
        <v>0</v>
      </c>
      <c r="U11" t="b">
        <v>0</v>
      </c>
      <c r="V11" t="b">
        <v>0</v>
      </c>
      <c r="W11">
        <v>1</v>
      </c>
      <c r="Z11">
        <v>5</v>
      </c>
      <c r="AA11" t="s">
        <v>133</v>
      </c>
    </row>
    <row r="12" spans="1:27" x14ac:dyDescent="0.2">
      <c r="A12" t="s">
        <v>134</v>
      </c>
      <c r="B12" t="s">
        <v>135</v>
      </c>
      <c r="C12">
        <v>3</v>
      </c>
      <c r="F12" t="b">
        <v>0</v>
      </c>
      <c r="G12">
        <v>1</v>
      </c>
      <c r="H12">
        <v>0</v>
      </c>
      <c r="I12">
        <v>0</v>
      </c>
      <c r="J12">
        <v>50</v>
      </c>
      <c r="K12">
        <v>1</v>
      </c>
      <c r="L12">
        <v>120</v>
      </c>
      <c r="M12">
        <v>22</v>
      </c>
      <c r="N12" t="b">
        <v>1</v>
      </c>
      <c r="O12">
        <v>0</v>
      </c>
      <c r="P12">
        <v>0</v>
      </c>
      <c r="Q12">
        <v>0</v>
      </c>
      <c r="R12">
        <v>1</v>
      </c>
      <c r="T12">
        <v>7</v>
      </c>
      <c r="U12" t="b">
        <v>0</v>
      </c>
      <c r="V12" t="b">
        <v>0</v>
      </c>
      <c r="W12">
        <v>1</v>
      </c>
      <c r="AA12" t="s">
        <v>136</v>
      </c>
    </row>
    <row r="13" spans="1:27" x14ac:dyDescent="0.2">
      <c r="A13" t="s">
        <v>137</v>
      </c>
      <c r="B13" t="s">
        <v>138</v>
      </c>
      <c r="C13">
        <v>4</v>
      </c>
      <c r="D13" t="s">
        <v>103</v>
      </c>
      <c r="E13">
        <v>33</v>
      </c>
      <c r="F13" t="b">
        <v>1</v>
      </c>
      <c r="G13">
        <v>9</v>
      </c>
      <c r="H13">
        <v>0</v>
      </c>
      <c r="I13">
        <v>0</v>
      </c>
      <c r="J13">
        <v>100</v>
      </c>
      <c r="K13">
        <v>1</v>
      </c>
      <c r="L13">
        <v>6000</v>
      </c>
      <c r="M13">
        <v>12</v>
      </c>
      <c r="N13" t="b">
        <v>1</v>
      </c>
      <c r="O13">
        <f>IF(Inputs!$B$3&gt;=134,50,0)</f>
        <v>0</v>
      </c>
      <c r="P13">
        <v>0</v>
      </c>
      <c r="Q13">
        <v>0</v>
      </c>
      <c r="R13">
        <v>7</v>
      </c>
      <c r="T13">
        <v>0</v>
      </c>
      <c r="U13" t="b">
        <v>1</v>
      </c>
      <c r="V13" t="b">
        <v>1</v>
      </c>
      <c r="W13">
        <v>3</v>
      </c>
      <c r="AA13" t="s">
        <v>139</v>
      </c>
    </row>
    <row r="14" spans="1:27" x14ac:dyDescent="0.2">
      <c r="A14" t="s">
        <v>140</v>
      </c>
      <c r="B14" t="s">
        <v>141</v>
      </c>
      <c r="C14">
        <v>4</v>
      </c>
      <c r="D14" t="s">
        <v>103</v>
      </c>
      <c r="F14" t="b">
        <v>0</v>
      </c>
      <c r="G14">
        <v>1</v>
      </c>
      <c r="H14">
        <v>1</v>
      </c>
      <c r="I14">
        <v>0</v>
      </c>
      <c r="J14">
        <v>30</v>
      </c>
      <c r="K14">
        <v>1</v>
      </c>
      <c r="L14">
        <v>9500</v>
      </c>
      <c r="M14">
        <v>21</v>
      </c>
      <c r="N14" t="b">
        <v>1</v>
      </c>
      <c r="O14">
        <v>0</v>
      </c>
      <c r="P14">
        <v>0</v>
      </c>
      <c r="Q14">
        <v>0</v>
      </c>
      <c r="R14">
        <v>1</v>
      </c>
      <c r="T14">
        <v>0</v>
      </c>
      <c r="U14" t="b">
        <v>0</v>
      </c>
      <c r="V14" t="b">
        <v>0</v>
      </c>
      <c r="W14">
        <v>1</v>
      </c>
      <c r="AA14" t="s">
        <v>142</v>
      </c>
    </row>
    <row r="15" spans="1:27" x14ac:dyDescent="0.2">
      <c r="A15" t="s">
        <v>143</v>
      </c>
      <c r="B15" t="s">
        <v>144</v>
      </c>
      <c r="C15">
        <v>4</v>
      </c>
      <c r="D15" t="s">
        <v>103</v>
      </c>
      <c r="E15">
        <v>25</v>
      </c>
      <c r="F15" t="b">
        <v>1</v>
      </c>
      <c r="G15">
        <v>3</v>
      </c>
      <c r="H15">
        <v>0</v>
      </c>
      <c r="I15">
        <v>0</v>
      </c>
      <c r="J15">
        <v>100</v>
      </c>
      <c r="K15">
        <v>1</v>
      </c>
      <c r="L15">
        <v>12000</v>
      </c>
      <c r="M15">
        <v>12</v>
      </c>
      <c r="N15" t="b">
        <v>1</v>
      </c>
      <c r="O15">
        <v>0</v>
      </c>
      <c r="P15">
        <v>0</v>
      </c>
      <c r="Q15">
        <v>0</v>
      </c>
      <c r="R15">
        <v>10</v>
      </c>
      <c r="T15">
        <v>0</v>
      </c>
      <c r="U15" t="b">
        <v>1</v>
      </c>
      <c r="V15" t="b">
        <v>1</v>
      </c>
      <c r="W15">
        <v>1</v>
      </c>
      <c r="AA15" t="s">
        <v>145</v>
      </c>
    </row>
    <row r="16" spans="1:27" x14ac:dyDescent="0.2">
      <c r="A16" t="s">
        <v>146</v>
      </c>
      <c r="B16" t="s">
        <v>147</v>
      </c>
      <c r="C16">
        <v>4</v>
      </c>
      <c r="D16" t="s">
        <v>103</v>
      </c>
      <c r="E16">
        <v>25</v>
      </c>
      <c r="F16" t="b">
        <v>0</v>
      </c>
      <c r="G16">
        <v>1</v>
      </c>
      <c r="H16">
        <v>0.5</v>
      </c>
      <c r="I16">
        <f>IF(Inputs!$B$4="pvp",10,(1-Summary!$B$56)*(20)+Summary!$B$56*(10))</f>
        <v>14</v>
      </c>
      <c r="J16">
        <v>100</v>
      </c>
      <c r="K16">
        <v>1</v>
      </c>
      <c r="L16">
        <v>1500</v>
      </c>
      <c r="M16">
        <v>12</v>
      </c>
      <c r="N16" t="b">
        <v>1</v>
      </c>
      <c r="O16">
        <v>0</v>
      </c>
      <c r="P16">
        <v>0</v>
      </c>
      <c r="Q16">
        <v>0</v>
      </c>
      <c r="R16">
        <v>10</v>
      </c>
      <c r="T16">
        <v>0</v>
      </c>
      <c r="U16" t="b">
        <v>0</v>
      </c>
      <c r="V16" t="b">
        <v>0</v>
      </c>
      <c r="W16">
        <v>1</v>
      </c>
      <c r="AA16" t="s">
        <v>148</v>
      </c>
    </row>
    <row r="17" spans="1:27" x14ac:dyDescent="0.2">
      <c r="A17" t="s">
        <v>149</v>
      </c>
      <c r="B17" t="s">
        <v>150</v>
      </c>
      <c r="C17">
        <v>1</v>
      </c>
      <c r="E17">
        <v>21</v>
      </c>
      <c r="F17" t="b">
        <v>1</v>
      </c>
      <c r="G17">
        <v>1</v>
      </c>
      <c r="H17">
        <v>0</v>
      </c>
      <c r="I17">
        <v>0</v>
      </c>
      <c r="J17">
        <v>100</v>
      </c>
      <c r="K17">
        <v>1</v>
      </c>
      <c r="L17">
        <v>120</v>
      </c>
      <c r="M17">
        <v>21</v>
      </c>
      <c r="N17" t="b">
        <v>1</v>
      </c>
      <c r="O17">
        <v>0</v>
      </c>
      <c r="P17">
        <v>0</v>
      </c>
      <c r="Q17">
        <v>0</v>
      </c>
      <c r="R17">
        <v>1</v>
      </c>
      <c r="S17" t="s">
        <v>117</v>
      </c>
      <c r="T17">
        <v>15</v>
      </c>
      <c r="U17" t="b">
        <v>0</v>
      </c>
      <c r="V17" t="b">
        <v>0</v>
      </c>
      <c r="W17">
        <v>1</v>
      </c>
      <c r="AA17" t="s">
        <v>151</v>
      </c>
    </row>
    <row r="18" spans="1:27" x14ac:dyDescent="0.2">
      <c r="A18" t="s">
        <v>152</v>
      </c>
      <c r="B18" t="s">
        <v>153</v>
      </c>
      <c r="C18">
        <v>1</v>
      </c>
      <c r="E18">
        <v>60</v>
      </c>
      <c r="F18" t="b">
        <v>1</v>
      </c>
      <c r="G18">
        <v>1</v>
      </c>
      <c r="H18">
        <v>0</v>
      </c>
      <c r="I18">
        <v>0</v>
      </c>
      <c r="J18">
        <v>100</v>
      </c>
      <c r="K18">
        <v>1</v>
      </c>
      <c r="L18">
        <v>150</v>
      </c>
      <c r="M18">
        <v>0</v>
      </c>
      <c r="N18" t="b">
        <v>0</v>
      </c>
      <c r="O18">
        <v>0</v>
      </c>
      <c r="P18">
        <v>0</v>
      </c>
      <c r="Q18">
        <v>0</v>
      </c>
      <c r="R18">
        <v>1</v>
      </c>
      <c r="S18" t="s">
        <v>154</v>
      </c>
      <c r="T18">
        <v>15</v>
      </c>
      <c r="U18" t="b">
        <v>0</v>
      </c>
      <c r="V18" t="b">
        <v>0</v>
      </c>
      <c r="W18">
        <v>1</v>
      </c>
      <c r="AA18" t="s">
        <v>155</v>
      </c>
    </row>
    <row r="19" spans="1:27" x14ac:dyDescent="0.2">
      <c r="A19" t="s">
        <v>156</v>
      </c>
      <c r="B19" t="s">
        <v>157</v>
      </c>
      <c r="C19">
        <v>4</v>
      </c>
      <c r="E19">
        <v>30</v>
      </c>
      <c r="F19" t="b">
        <v>1</v>
      </c>
      <c r="G19">
        <v>1</v>
      </c>
      <c r="H19">
        <v>0</v>
      </c>
      <c r="I19">
        <v>0</v>
      </c>
      <c r="J19">
        <v>100</v>
      </c>
      <c r="K19">
        <v>1</v>
      </c>
      <c r="L19">
        <v>216.67</v>
      </c>
      <c r="M19">
        <v>21</v>
      </c>
      <c r="N19" t="b">
        <v>1</v>
      </c>
      <c r="O19">
        <v>0</v>
      </c>
      <c r="P19">
        <v>0</v>
      </c>
      <c r="Q19">
        <v>0</v>
      </c>
      <c r="R19">
        <v>1</v>
      </c>
      <c r="S19" t="s">
        <v>158</v>
      </c>
      <c r="T19">
        <v>15</v>
      </c>
      <c r="U19" t="b">
        <v>0</v>
      </c>
      <c r="V19" t="b">
        <v>0</v>
      </c>
      <c r="W19">
        <v>1</v>
      </c>
      <c r="AA19" t="s">
        <v>159</v>
      </c>
    </row>
    <row r="20" spans="1:27" x14ac:dyDescent="0.2">
      <c r="A20" t="s">
        <v>160</v>
      </c>
      <c r="B20" t="s">
        <v>161</v>
      </c>
      <c r="C20">
        <v>3</v>
      </c>
      <c r="F20" t="b">
        <v>0</v>
      </c>
      <c r="G20">
        <v>1</v>
      </c>
      <c r="H20">
        <v>0</v>
      </c>
      <c r="I20">
        <v>0</v>
      </c>
      <c r="J20">
        <v>100</v>
      </c>
      <c r="K20">
        <v>1</v>
      </c>
      <c r="L20">
        <v>80</v>
      </c>
      <c r="M20">
        <v>22</v>
      </c>
      <c r="N20" t="b">
        <v>1</v>
      </c>
      <c r="O20">
        <v>0</v>
      </c>
      <c r="P20">
        <v>0</v>
      </c>
      <c r="Q20">
        <v>0</v>
      </c>
      <c r="R20">
        <v>1</v>
      </c>
      <c r="S20" t="s">
        <v>162</v>
      </c>
      <c r="T20">
        <v>0</v>
      </c>
      <c r="U20" t="b">
        <v>0</v>
      </c>
      <c r="V20" t="b">
        <v>0</v>
      </c>
      <c r="W20">
        <v>1</v>
      </c>
      <c r="AA20" t="s">
        <v>163</v>
      </c>
    </row>
    <row r="21" spans="1:27" x14ac:dyDescent="0.2">
      <c r="A21" t="s">
        <v>164</v>
      </c>
      <c r="B21" t="s">
        <v>165</v>
      </c>
      <c r="C21">
        <v>3</v>
      </c>
      <c r="F21" t="b">
        <v>0</v>
      </c>
      <c r="G21">
        <v>1</v>
      </c>
      <c r="H21">
        <v>0</v>
      </c>
      <c r="I21">
        <v>0</v>
      </c>
      <c r="J21">
        <v>100</v>
      </c>
      <c r="K21">
        <v>1</v>
      </c>
      <c r="L21">
        <v>120</v>
      </c>
      <c r="M21">
        <v>22</v>
      </c>
      <c r="N21" t="b">
        <v>1</v>
      </c>
      <c r="O21">
        <v>0</v>
      </c>
      <c r="P21">
        <v>0</v>
      </c>
      <c r="Q21">
        <v>0</v>
      </c>
      <c r="R21">
        <v>1</v>
      </c>
      <c r="S21" t="s">
        <v>166</v>
      </c>
      <c r="T21">
        <v>0</v>
      </c>
      <c r="U21" t="b">
        <v>0</v>
      </c>
      <c r="V21" t="b">
        <v>0</v>
      </c>
      <c r="W21">
        <v>1</v>
      </c>
      <c r="AA21" t="s">
        <v>167</v>
      </c>
    </row>
    <row r="22" spans="1:27" x14ac:dyDescent="0.2">
      <c r="A22" t="s">
        <v>168</v>
      </c>
      <c r="B22" t="s">
        <v>169</v>
      </c>
      <c r="C22">
        <v>2</v>
      </c>
      <c r="F22" t="b">
        <v>0</v>
      </c>
      <c r="G22">
        <v>1</v>
      </c>
      <c r="H22">
        <v>0</v>
      </c>
      <c r="I22">
        <v>0</v>
      </c>
      <c r="J22">
        <v>100</v>
      </c>
      <c r="K22">
        <v>1</v>
      </c>
      <c r="L22">
        <v>150</v>
      </c>
      <c r="M22">
        <v>22</v>
      </c>
      <c r="N22" t="b">
        <v>1</v>
      </c>
      <c r="O22">
        <v>0</v>
      </c>
      <c r="P22">
        <v>0</v>
      </c>
      <c r="Q22">
        <v>0</v>
      </c>
      <c r="R22">
        <v>1</v>
      </c>
      <c r="S22" t="s">
        <v>170</v>
      </c>
      <c r="T22">
        <v>0</v>
      </c>
      <c r="U22" t="b">
        <v>0</v>
      </c>
      <c r="V22" t="b">
        <v>0</v>
      </c>
      <c r="W22">
        <v>1</v>
      </c>
      <c r="AA22" t="s">
        <v>171</v>
      </c>
    </row>
    <row r="23" spans="1:27" x14ac:dyDescent="0.2">
      <c r="A23" t="s">
        <v>172</v>
      </c>
      <c r="B23" t="s">
        <v>173</v>
      </c>
      <c r="C23">
        <v>4</v>
      </c>
      <c r="F23" t="b">
        <v>0</v>
      </c>
      <c r="G23">
        <v>1</v>
      </c>
      <c r="H23">
        <v>0</v>
      </c>
      <c r="I23">
        <v>0</v>
      </c>
      <c r="J23">
        <v>100</v>
      </c>
      <c r="K23">
        <v>1</v>
      </c>
      <c r="L23">
        <v>150</v>
      </c>
      <c r="M23">
        <v>22</v>
      </c>
      <c r="N23" t="b">
        <v>1</v>
      </c>
      <c r="O23">
        <v>0</v>
      </c>
      <c r="P23">
        <v>0</v>
      </c>
      <c r="Q23">
        <v>0</v>
      </c>
      <c r="R23">
        <v>1</v>
      </c>
      <c r="S23" t="s">
        <v>158</v>
      </c>
      <c r="T23">
        <v>0</v>
      </c>
      <c r="U23" t="b">
        <v>0</v>
      </c>
      <c r="V23" t="b">
        <v>0</v>
      </c>
      <c r="W23">
        <v>1</v>
      </c>
      <c r="AA23" t="s">
        <v>174</v>
      </c>
    </row>
    <row r="24" spans="1:27" x14ac:dyDescent="0.2">
      <c r="A24" t="s">
        <v>175</v>
      </c>
      <c r="B24" t="s">
        <v>176</v>
      </c>
      <c r="C24">
        <v>4</v>
      </c>
      <c r="D24" t="s">
        <v>103</v>
      </c>
      <c r="E24">
        <v>80</v>
      </c>
      <c r="F24" t="b">
        <v>1</v>
      </c>
      <c r="G24">
        <v>1</v>
      </c>
      <c r="H24">
        <v>4</v>
      </c>
      <c r="I24">
        <f>IF(Inputs!$B$3&gt;=138,40,30)</f>
        <v>30</v>
      </c>
      <c r="J24">
        <v>100</v>
      </c>
      <c r="K24">
        <v>1</v>
      </c>
      <c r="L24">
        <v>35000</v>
      </c>
      <c r="M24">
        <v>12</v>
      </c>
      <c r="N24" t="b">
        <v>1</v>
      </c>
      <c r="O24">
        <v>0</v>
      </c>
      <c r="P24">
        <v>0</v>
      </c>
      <c r="Q24">
        <v>0</v>
      </c>
      <c r="R24">
        <f>IF(Inputs!$B$3&gt;=138,6,3)</f>
        <v>3</v>
      </c>
      <c r="T24">
        <v>0</v>
      </c>
      <c r="U24" t="b">
        <v>0</v>
      </c>
      <c r="V24" t="b">
        <v>0</v>
      </c>
      <c r="W24">
        <v>1</v>
      </c>
      <c r="AA24" t="s">
        <v>177</v>
      </c>
    </row>
    <row r="25" spans="1:27" x14ac:dyDescent="0.2">
      <c r="A25" t="s">
        <v>178</v>
      </c>
      <c r="B25" t="s">
        <v>179</v>
      </c>
      <c r="C25">
        <v>4</v>
      </c>
      <c r="F25" t="b">
        <v>0</v>
      </c>
      <c r="G25">
        <v>1</v>
      </c>
      <c r="H25">
        <v>0</v>
      </c>
      <c r="I25">
        <v>0</v>
      </c>
      <c r="J25">
        <v>100</v>
      </c>
      <c r="K25">
        <v>1</v>
      </c>
      <c r="L25">
        <v>100</v>
      </c>
      <c r="M25">
        <v>22</v>
      </c>
      <c r="N25" t="b">
        <v>1</v>
      </c>
      <c r="O25">
        <v>0</v>
      </c>
      <c r="P25">
        <v>0</v>
      </c>
      <c r="Q25">
        <v>0</v>
      </c>
      <c r="R25">
        <v>1</v>
      </c>
      <c r="T25">
        <v>0</v>
      </c>
      <c r="U25" t="b">
        <v>0</v>
      </c>
      <c r="V25" t="b">
        <v>0</v>
      </c>
      <c r="W25">
        <v>1</v>
      </c>
      <c r="AA25" t="s">
        <v>180</v>
      </c>
    </row>
    <row r="26" spans="1:27" x14ac:dyDescent="0.2">
      <c r="A26" t="s">
        <v>181</v>
      </c>
      <c r="B26" t="s">
        <v>182</v>
      </c>
      <c r="C26">
        <v>4</v>
      </c>
      <c r="F26" t="b">
        <v>0</v>
      </c>
      <c r="G26">
        <v>1</v>
      </c>
      <c r="H26">
        <v>0</v>
      </c>
      <c r="I26">
        <v>0</v>
      </c>
      <c r="J26">
        <v>100</v>
      </c>
      <c r="K26">
        <v>1</v>
      </c>
      <c r="L26">
        <v>30</v>
      </c>
      <c r="M26">
        <v>22</v>
      </c>
      <c r="N26" t="b">
        <v>1</v>
      </c>
      <c r="O26">
        <v>0</v>
      </c>
      <c r="P26">
        <v>0</v>
      </c>
      <c r="Q26">
        <v>0</v>
      </c>
      <c r="R26">
        <v>1</v>
      </c>
      <c r="T26">
        <v>0</v>
      </c>
      <c r="U26" t="b">
        <v>0</v>
      </c>
      <c r="V26" t="b">
        <v>0</v>
      </c>
      <c r="W26">
        <v>1</v>
      </c>
      <c r="AA26" t="s">
        <v>183</v>
      </c>
    </row>
    <row r="27" spans="1:27" x14ac:dyDescent="0.2">
      <c r="A27" t="s">
        <v>184</v>
      </c>
      <c r="B27" t="s">
        <v>185</v>
      </c>
      <c r="C27">
        <v>4</v>
      </c>
      <c r="F27" t="b">
        <v>0</v>
      </c>
      <c r="G27">
        <v>1</v>
      </c>
      <c r="H27">
        <v>0</v>
      </c>
      <c r="I27">
        <v>0</v>
      </c>
      <c r="J27">
        <v>100</v>
      </c>
      <c r="K27">
        <v>1</v>
      </c>
      <c r="L27">
        <v>40</v>
      </c>
      <c r="M27">
        <v>22</v>
      </c>
      <c r="N27" t="b">
        <v>1</v>
      </c>
      <c r="O27">
        <v>0</v>
      </c>
      <c r="P27">
        <v>0</v>
      </c>
      <c r="Q27">
        <v>0</v>
      </c>
      <c r="R27">
        <v>1</v>
      </c>
      <c r="T27">
        <v>0</v>
      </c>
      <c r="U27" t="b">
        <v>0</v>
      </c>
      <c r="V27" t="b">
        <v>0</v>
      </c>
      <c r="W27">
        <v>1</v>
      </c>
      <c r="AA27" t="s">
        <v>186</v>
      </c>
    </row>
    <row r="28" spans="1:27" x14ac:dyDescent="0.2">
      <c r="A28" t="s">
        <v>187</v>
      </c>
      <c r="B28" t="s">
        <v>188</v>
      </c>
      <c r="C28">
        <v>4</v>
      </c>
      <c r="D28" t="s">
        <v>110</v>
      </c>
      <c r="E28">
        <f>Skills!E15</f>
        <v>25</v>
      </c>
      <c r="F28" t="b">
        <v>0</v>
      </c>
      <c r="G28">
        <v>1</v>
      </c>
      <c r="H28">
        <f>IF(Inputs!$B$3&gt;=104,0.4,0.8)</f>
        <v>0.4</v>
      </c>
      <c r="I28">
        <v>20</v>
      </c>
      <c r="J28">
        <v>100</v>
      </c>
      <c r="K28">
        <v>1</v>
      </c>
      <c r="L28">
        <v>700</v>
      </c>
      <c r="M28">
        <v>12</v>
      </c>
      <c r="N28" t="b">
        <v>1</v>
      </c>
      <c r="O28">
        <v>0</v>
      </c>
      <c r="P28">
        <v>0</v>
      </c>
      <c r="Q28">
        <v>0</v>
      </c>
      <c r="R28">
        <v>10</v>
      </c>
      <c r="T28">
        <v>0</v>
      </c>
      <c r="U28" t="b">
        <v>0</v>
      </c>
      <c r="V28" t="b">
        <v>0</v>
      </c>
      <c r="W28">
        <v>1</v>
      </c>
      <c r="AA28" t="s">
        <v>189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8"/>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2" customWidth="1"/>
    <col min="2" max="2" width="26" customWidth="1"/>
    <col min="3" max="3" width="10" customWidth="1"/>
    <col min="4" max="4" width="12" customWidth="1"/>
    <col min="5" max="5" width="9" customWidth="1"/>
    <col min="6" max="6" width="15" customWidth="1"/>
    <col min="7" max="7" width="13" customWidth="1"/>
    <col min="8" max="8" width="14" customWidth="1"/>
    <col min="9" max="9" width="17" customWidth="1"/>
    <col min="10" max="10" width="13" customWidth="1"/>
    <col min="11" max="11" width="15" customWidth="1"/>
    <col min="12" max="13" width="12" customWidth="1"/>
    <col min="14" max="14" width="17" customWidth="1"/>
    <col min="15" max="15" width="12" customWidth="1"/>
    <col min="16" max="16" width="10" customWidth="1"/>
  </cols>
  <sheetData>
    <row r="1" spans="1:26" x14ac:dyDescent="0.2">
      <c r="A1" s="8" t="s">
        <v>74</v>
      </c>
      <c r="B1" s="8" t="s">
        <v>75</v>
      </c>
      <c r="C1" s="8" t="s">
        <v>190</v>
      </c>
      <c r="D1" s="8" t="s">
        <v>191</v>
      </c>
      <c r="E1" s="8" t="s">
        <v>192</v>
      </c>
      <c r="F1" s="8" t="s">
        <v>193</v>
      </c>
      <c r="G1" s="8" t="s">
        <v>194</v>
      </c>
      <c r="H1" s="8" t="s">
        <v>195</v>
      </c>
      <c r="I1" s="8" t="s">
        <v>196</v>
      </c>
      <c r="J1" s="8" t="s">
        <v>197</v>
      </c>
      <c r="K1" s="8" t="s">
        <v>198</v>
      </c>
      <c r="L1" s="8" t="s">
        <v>199</v>
      </c>
      <c r="M1" s="8" t="s">
        <v>200</v>
      </c>
      <c r="N1" s="8" t="s">
        <v>201</v>
      </c>
      <c r="O1" s="8" t="s">
        <v>202</v>
      </c>
      <c r="P1" s="8" t="s">
        <v>203</v>
      </c>
      <c r="Q1" t="s">
        <v>204</v>
      </c>
      <c r="R1" t="s">
        <v>205</v>
      </c>
      <c r="Z1" s="5" t="s">
        <v>206</v>
      </c>
    </row>
    <row r="2" spans="1:26" x14ac:dyDescent="0.2">
      <c r="A2" t="str">
        <f>Skills!A2</f>
        <v>BASIC_ATTACK</v>
      </c>
      <c r="B2" t="str">
        <f>Skills!B2</f>
        <v>Basic Attack</v>
      </c>
      <c r="C2" t="b">
        <f>TRUE</f>
        <v>1</v>
      </c>
      <c r="F2">
        <f>Summary!$B$55+Skills!O2</f>
        <v>510.52</v>
      </c>
      <c r="G2">
        <f>Skills!G2*IF(Skills!H2&gt;0,Skills!I2/Skills!H2,1)</f>
        <v>5</v>
      </c>
      <c r="H2">
        <f>1-(1-Skills!J2/100)^Skills!K2</f>
        <v>1</v>
      </c>
      <c r="I2">
        <f>IF(Skills!X2&lt;&gt;"",1+(Skills!X2/10)*($Z$3/1000)/100,1)</f>
        <v>1</v>
      </c>
      <c r="J2">
        <f>Summary!$B$51*(F2/100)</f>
        <v>1275437334.1678655</v>
      </c>
      <c r="K2">
        <f>J2*(1+Summary!$B$52/100)*(1+Inputs!$B$14/100)*(1+IF(Inputs!$B$4="pvp",0,(1-Summary!$B$56)*(Inputs!$B$19+Skills!P2)+Summary!$B$56*(Inputs!$B$20+Skills!Q2))/100)*(1+Inputs!$B$15/100)*(5000/(6000+Inputs!$B$7*(1-Inputs!$B$18/100)))*(1+Inputs!$B$23/100)*(1+F23/100)*(1+IF(Inputs!$B$3&gt;=120,F26,0)/100)^5*(1+(IF(Skills!A2="BASIC_ATTACK",Inputs!$B$16,Inputs!$B$17+IF(Inputs!$B$3&gt;=125,F27*5,0)))/100)*(Summary!$B$58*Summary!$B$59*Summary!$B$60*I2)</f>
        <v>6960952567530.5723</v>
      </c>
      <c r="L2">
        <f>K2*(MIN(Inputs!$B$21,Inputs!$B$22)/100+Inputs!$B$22/100)/2</f>
        <v>18791091456048.777</v>
      </c>
      <c r="M2">
        <f>L2*(1+Inputs!$B$9/100)</f>
        <v>78753464292300.438</v>
      </c>
      <c r="N2">
        <f>L2*(1-MIN(Inputs!$B$8,100)/100)+M2*(MIN(Inputs!$B$8,100)/100)</f>
        <v>78753464292300.438</v>
      </c>
      <c r="O2">
        <f>Skills!G2*N2*Summary!$B$64*IF(Inputs!$B$4="pvp",1,(1-Summary!$B$56)*(1)+Summary!$B$56*(MIN(Skills!R2,Inputs!$B$37)))</f>
        <v>3897785013811828</v>
      </c>
      <c r="P2">
        <f>IF(Summary!$B$3=0,0,O2/Summary!$B$3)</f>
        <v>0.46738363090508683</v>
      </c>
      <c r="Q2">
        <f>IFERROR(1/IF(Inputs!$B$4="pvp",15,MAX(0.1,Skills!E2-IF(Skills!F2=TRUE,Inputs!$B$31,0))),0)</f>
        <v>10</v>
      </c>
      <c r="R2">
        <v>0</v>
      </c>
      <c r="Z2">
        <f>MAX(0,(Inputs!$B$3-100)*3)+Inputs!$B$27+Inputs!$B$28</f>
        <v>172</v>
      </c>
    </row>
    <row r="3" spans="1:26" x14ac:dyDescent="0.2">
      <c r="A3" t="str">
        <f>Skills!A3</f>
        <v>IGNITE</v>
      </c>
      <c r="B3" t="str">
        <f>Skills!B3</f>
        <v>Ignite</v>
      </c>
      <c r="C3" t="b">
        <f>TRUE</f>
        <v>1</v>
      </c>
      <c r="D3">
        <f>IF(Skills!C3=1,60+Inputs!$B$24+Inputs!$B$28,IF(Skills!C3=2,90+Inputs!$B$25+Inputs!$B$28,IF(Skills!C3=3,120+Inputs!$B$26+Inputs!$B$28,MAX(0,(Inputs!$B$3-100)*3)+Inputs!$B$27+Inputs!$B$28)))</f>
        <v>164</v>
      </c>
      <c r="E3">
        <f>INDEX(FactorTable!$B$2:$Y$301, MATCH(ROUND(MIN(300,MAX(1,D3)),0), FactorTable!$A$2:$A$301,0), Skills!M3+1)</f>
        <v>1656</v>
      </c>
      <c r="F3">
        <f>IF(Skills!N3=TRUE,(Skills!L3/10)*(E3/1000),Skills!L3/10)+Skills!O3</f>
        <v>121.52799999999999</v>
      </c>
      <c r="G3">
        <f>Skills!G3*IF(Skills!H3&gt;0,Skills!I3/Skills!H3,1)</f>
        <v>3</v>
      </c>
      <c r="H3">
        <f>1-(1-Skills!J3/100)^Skills!K3</f>
        <v>1</v>
      </c>
      <c r="I3">
        <f>IF(Skills!X3&lt;&gt;"",1+(Skills!X3/10)*($Z$3/1000)/100,1)</f>
        <v>4.76</v>
      </c>
      <c r="J3">
        <f>Summary!$B$51*(F3/100)</f>
        <v>303614644.57171583</v>
      </c>
      <c r="K3">
        <f>J3*(1+Summary!$B$52/100)*(1+Inputs!$B$14/100)*(1+IF(Inputs!$B$4="pvp",0,(1-Summary!$B$56)*(Inputs!$B$19+Skills!P3)+Summary!$B$56*(Inputs!$B$20+Skills!Q3))/100)*(1+Inputs!$B$15/100)*(5000/(6000+Inputs!$B$7*(1-Inputs!$B$18/100)))*(1+Inputs!$B$23/100)*(1+F23/100)*(1+IF(Inputs!$B$3&gt;=120,F26,0)/100)^5*(1+(IF(Skills!A3="BASIC_ATTACK",Inputs!$B$16,Inputs!$B$17+IF(Inputs!$B$3&gt;=125,F27*5,0)))/100)*(Summary!$B$58*Summary!$B$59*Summary!$B$60*I3)</f>
        <v>10995012018164.998</v>
      </c>
      <c r="L3">
        <f>K3*(MIN(Inputs!$B$21,Inputs!$B$22)/100+Inputs!$B$22/100)/2</f>
        <v>29681034943036.406</v>
      </c>
      <c r="M3">
        <f>L3*(1+Inputs!$B$9/100)</f>
        <v>124393217446265.59</v>
      </c>
      <c r="N3">
        <f>L3*(1-MIN(Inputs!$B$8,100)/100)+M3*(MIN(Inputs!$B$8,100)/100)</f>
        <v>124393217446265.59</v>
      </c>
      <c r="O3">
        <f>IF(C3,H3*N3*IF(AND(Inputs!$B$4&lt;&gt;"pvp",Inputs!$B$35&gt;0),((Skills!G3*((R3-1)*IF(Skills!H3&gt;0,Skills!I3/Skills!H3,1)+IF(Skills!H3&gt;0,MIN(Skills!I3,MAX(0,Inputs!$B$35-((R3-1)*IF(Inputs!$B$4="pvp",15,MAX(0.1,Skills!E3-IF(Skills!F3=TRUE,Inputs!$B$31,0))))))/Skills!H3,1)))/Inputs!$B$35),G3*Q3)*IF(Inputs!$B$4="pvp",1,(1-Summary!$B$56)*(1)+Summary!$B$56*(MIN(Skills!R3,Inputs!$B$37))),0)</f>
        <v>820995235145352.75</v>
      </c>
      <c r="P3">
        <f>IF(Summary!$B$3=0,0,O3/Summary!$B$3)</f>
        <v>9.8445587070168566E-2</v>
      </c>
      <c r="Q3">
        <f>IFERROR(1/IF(Inputs!$B$4="pvp",15,MAX(0.1,Skills!E3-IF(Skills!F3=TRUE,Inputs!$B$31,0))),0)</f>
        <v>1</v>
      </c>
      <c r="R3">
        <f>IF(AND(Inputs!$B$4&lt;&gt;"pvp",Inputs!$B$35&gt;0),(INT(Inputs!$B$35/IF(Inputs!$B$4="pvp",15,MAX(0.1,Skills!E3-IF(Skills!F3=TRUE,Inputs!$B$31,0))))+1),0)</f>
        <v>0</v>
      </c>
      <c r="Z3">
        <f>INDEX(FactorTable!$B$2:$Y$301, MATCH(ROUND(MIN(300,MAX(1,Z2)),0), FactorTable!$A$2:$A$301,0), 24)</f>
        <v>7520</v>
      </c>
    </row>
    <row r="4" spans="1:26" x14ac:dyDescent="0.2">
      <c r="A4" t="str">
        <f>Skills!A4</f>
        <v>POISON_BREATH</v>
      </c>
      <c r="B4" t="str">
        <f>Skills!B4</f>
        <v>Poison Breath</v>
      </c>
      <c r="C4" t="b">
        <f>TRUE</f>
        <v>1</v>
      </c>
      <c r="D4">
        <f>IF(Skills!C4=1,60+Inputs!$B$24+Inputs!$B$28,IF(Skills!C4=2,90+Inputs!$B$25+Inputs!$B$28,IF(Skills!C4=3,120+Inputs!$B$26+Inputs!$B$28,MAX(0,(Inputs!$B$3-100)*3)+Inputs!$B$27+Inputs!$B$28)))</f>
        <v>164</v>
      </c>
      <c r="E4">
        <f>INDEX(FactorTable!$B$2:$Y$301, MATCH(ROUND(MIN(300,MAX(1,D4)),0), FactorTable!$A$2:$A$301,0), Skills!M4+1)</f>
        <v>1820</v>
      </c>
      <c r="F4">
        <f>IF(Skills!N4=TRUE,(Skills!L4/10)*(E4/1000),Skills!L4/10)+Skills!O4</f>
        <v>434</v>
      </c>
      <c r="G4">
        <f>Skills!G4*IF(Skills!H4&gt;0,Skills!I4/Skills!H4,1)</f>
        <v>3</v>
      </c>
      <c r="H4">
        <f>1-(1-Skills!J4/100)^Skills!K4</f>
        <v>1</v>
      </c>
      <c r="I4">
        <f>IF(Skills!X4&lt;&gt;"",1+(Skills!X4/10)*($Z$3/1000)/100,1)</f>
        <v>7.0159999999999991</v>
      </c>
      <c r="J4">
        <f>Summary!$B$51*(F4/100)</f>
        <v>1084266636.0355198</v>
      </c>
      <c r="K4">
        <f>J4*(1+Summary!$B$52/100)*(1+Inputs!$B$14/100)*(1+IF(Inputs!$B$4="pvp",0,(1-Summary!$B$56)*(Inputs!$B$19+Skills!P4)+Summary!$B$56*(Inputs!$B$20+Skills!Q4))/100)*(1+Inputs!$B$15/100)*(5000/(6000+Inputs!$B$7*(1-Inputs!$B$18/100)))*(1+Inputs!$B$23/100)*(1+F23/100)*(1+IF(Inputs!$B$3&gt;=120,F26,0)/100)^5*(1+(IF(Skills!A4="BASIC_ATTACK",Inputs!$B$16,Inputs!$B$17+IF(Inputs!$B$3&gt;=125,F27*5,0)))/100)*(Summary!$B$58*Summary!$B$59*Summary!$B$60*I4)</f>
        <v>57875094722852.875</v>
      </c>
      <c r="L4">
        <f>K4*(MIN(Inputs!$B$21,Inputs!$B$22)/100+Inputs!$B$22/100)/2</f>
        <v>156233818204341.31</v>
      </c>
      <c r="M4">
        <f>L4*(1+Inputs!$B$9/100)</f>
        <v>654775932094394.5</v>
      </c>
      <c r="N4">
        <f>L4*(1-MIN(Inputs!$B$8,100)/100)+M4*(MIN(Inputs!$B$8,100)/100)</f>
        <v>654775932094394.5</v>
      </c>
      <c r="O4">
        <f>IF(C4,H4*N4*IF(AND(Inputs!$B$4&lt;&gt;"pvp",Inputs!$B$35&gt;0),((Skills!G4*((R4-1)*IF(Skills!H4&gt;0,Skills!I4/Skills!H4,1)+IF(Skills!H4&gt;0,MIN(Skills!I4,MAX(0,Inputs!$B$35-((R4-1)*IF(Inputs!$B$4="pvp",15,MAX(0.1,Skills!E4-IF(Skills!F4=TRUE,Inputs!$B$31,0))))))/Skills!H4,1)))/Inputs!$B$35),G4*Q4)*IF(Inputs!$B$4="pvp",1,(1-Summary!$B$56)*(1)+Summary!$B$56*(MIN(Skills!R4,Inputs!$B$37))),0)</f>
        <v>436517288062929.56</v>
      </c>
      <c r="P4">
        <f>IF(Summary!$B$3=0,0,O4/Summary!$B$3)</f>
        <v>5.2342813758261109E-2</v>
      </c>
      <c r="Q4">
        <f>IFERROR(1/IF(Inputs!$B$4="pvp",15,MAX(0.1,Skills!E4-IF(Skills!F4=TRUE,Inputs!$B$31,0))),0)</f>
        <v>5.5555555555555552E-2</v>
      </c>
      <c r="R4">
        <f>IF(AND(Inputs!$B$4&lt;&gt;"pvp",Inputs!$B$35&gt;0),(INT(Inputs!$B$35/IF(Inputs!$B$4="pvp",15,MAX(0.1,Skills!E4-IF(Skills!F4=TRUE,Inputs!$B$31,0))))+1),0)</f>
        <v>0</v>
      </c>
    </row>
    <row r="5" spans="1:26" x14ac:dyDescent="0.2">
      <c r="A5" t="str">
        <f>Skills!A5</f>
        <v>ELEMENTAL_DRAIN</v>
      </c>
      <c r="B5" t="str">
        <f>Skills!B5</f>
        <v>Elemental Drain</v>
      </c>
      <c r="C5" t="b">
        <f>TRUE</f>
        <v>1</v>
      </c>
      <c r="D5">
        <f>IF(Skills!C5=1,60+Inputs!$B$24+Inputs!$B$28,IF(Skills!C5=2,90+Inputs!$B$25+Inputs!$B$28,IF(Skills!C5=3,120+Inputs!$B$26+Inputs!$B$28,MAX(0,(Inputs!$B$3-100)*3)+Inputs!$B$27+Inputs!$B$28)))</f>
        <v>164</v>
      </c>
      <c r="E5">
        <f>INDEX(FactorTable!$B$2:$Y$301, MATCH(ROUND(MIN(300,MAX(1,D5)),0), FactorTable!$A$2:$A$301,0), Skills!M5+1)</f>
        <v>1656</v>
      </c>
      <c r="F5">
        <f>IF(Skills!N5=TRUE,(Skills!L5/10)*(E5/1000),Skills!L5/10)+Skills!O5</f>
        <v>19.872</v>
      </c>
      <c r="G5">
        <f>Skills!G5*IF(Skills!H5&gt;0,Skills!I5/Skills!H5,1)</f>
        <v>5</v>
      </c>
      <c r="H5">
        <f>1-(1-Skills!J5/100)^Skills!K5</f>
        <v>1</v>
      </c>
      <c r="I5">
        <f>IF(Skills!X5&lt;&gt;"",1+(Skills!X5/10)*($Z$3/1000)/100,1)</f>
        <v>12.28</v>
      </c>
      <c r="J5">
        <f>Summary!$B$51*(F5/100)</f>
        <v>49646420.717276163</v>
      </c>
      <c r="K5">
        <f>J5*(1+Summary!$B$52/100)*(1+Inputs!$B$14/100)*(1+IF(Inputs!$B$4="pvp",0,(1-Summary!$B$56)*(Inputs!$B$19+Skills!P5)+Summary!$B$56*(Inputs!$B$20+Skills!Q5))/100)*(1+Inputs!$B$15/100)*(5000/(6000+Inputs!$B$7*(1-Inputs!$B$18/100)))*(1+Inputs!$B$23/100)*(1+F23/100)*(1+IF(Inputs!$B$3&gt;=120,F26,0)/100)^5*(1+(IF(Skills!A5="BASIC_ATTACK",Inputs!$B$16,Inputs!$B$17+IF(Inputs!$B$3&gt;=125,F27*5,0)))/100)*(Summary!$B$58*Summary!$B$59*Summary!$B$60*I5)</f>
        <v>4638230744159.3359</v>
      </c>
      <c r="L5">
        <f>K5*(MIN(Inputs!$B$21,Inputs!$B$22)/100+Inputs!$B$22/100)/2</f>
        <v>12520903893858.125</v>
      </c>
      <c r="M5">
        <f>L5*(1+Inputs!$B$9/100)</f>
        <v>52475108219159.414</v>
      </c>
      <c r="N5">
        <f>L5*(1-MIN(Inputs!$B$8,100)/100)+M5*(MIN(Inputs!$B$8,100)/100)</f>
        <v>52475108219159.414</v>
      </c>
      <c r="O5">
        <f>IF(C5,H5*N5*IF(AND(Inputs!$B$4&lt;&gt;"pvp",Inputs!$B$35&gt;0),((Skills!G5*((R5-1)*IF(Skills!H5&gt;0,Skills!I5/Skills!H5,1)+IF(Skills!H5&gt;0,MIN(Skills!I5,MAX(0,Inputs!$B$35-((R5-1)*IF(Inputs!$B$4="pvp",15,MAX(0.1,Skills!E5-IF(Skills!F5=TRUE,Inputs!$B$31,0))))))/Skills!H5,1)))/Inputs!$B$35),G5*Q5)*IF(Inputs!$B$4="pvp",1,(1-Summary!$B$56)*(1)+Summary!$B$56*(MIN(Skills!R5,Inputs!$B$37))),0)</f>
        <v>262375541095797.06</v>
      </c>
      <c r="P5">
        <f>IF(Summary!$B$3=0,0,O5/Summary!$B$3)</f>
        <v>3.1461466608214687E-2</v>
      </c>
      <c r="Q5">
        <f>IFERROR(1/IF(Inputs!$B$4="pvp",15,MAX(0.1,Skills!E5-IF(Skills!F5=TRUE,Inputs!$B$31,0))),0)</f>
        <v>1</v>
      </c>
      <c r="R5">
        <f>IF(AND(Inputs!$B$4&lt;&gt;"pvp",Inputs!$B$35&gt;0),(INT(Inputs!$B$35/IF(Inputs!$B$4="pvp",15,MAX(0.1,Skills!E5-IF(Skills!F5=TRUE,Inputs!$B$31,0))))+1),0)</f>
        <v>0</v>
      </c>
    </row>
    <row r="6" spans="1:26" x14ac:dyDescent="0.2">
      <c r="A6" t="str">
        <f>Skills!A6</f>
        <v>MEDITATION</v>
      </c>
      <c r="B6" t="str">
        <f>Skills!B6</f>
        <v>Meditation</v>
      </c>
      <c r="C6" t="b">
        <f>TRUE</f>
        <v>1</v>
      </c>
      <c r="D6">
        <f>IF(Skills!C6=1,60+Inputs!$B$24+Inputs!$B$28,IF(Skills!C6=2,90+Inputs!$B$25+Inputs!$B$28,IF(Skills!C6=3,120+Inputs!$B$26+Inputs!$B$28,MAX(0,(Inputs!$B$3-100)*3)+Inputs!$B$27+Inputs!$B$28)))</f>
        <v>164</v>
      </c>
      <c r="E6">
        <f>INDEX(FactorTable!$B$2:$Y$301, MATCH(ROUND(MIN(300,MAX(1,D6)),0), FactorTable!$A$2:$A$301,0), Skills!M6+1)</f>
        <v>1492</v>
      </c>
      <c r="F6">
        <f>IF(Skills!N6=TRUE,(Skills!L6/10)*(E6/1000),Skills!L6/10)+Skills!O6</f>
        <v>29.84</v>
      </c>
      <c r="G6">
        <f>Skills!G6*IF(Skills!H6&gt;0,Skills!I6/Skills!H6,1)</f>
        <v>1</v>
      </c>
      <c r="H6">
        <f>1-(1-Skills!J6/100)^Skills!K6</f>
        <v>1</v>
      </c>
      <c r="I6">
        <f>IF(Skills!X6&lt;&gt;"",1+(Skills!X6/10)*($Z$3/1000)/100,1)</f>
        <v>1</v>
      </c>
      <c r="O6">
        <v>0</v>
      </c>
      <c r="P6">
        <f>IF(Summary!$B$3=0,0,O6/Summary!$B$3)</f>
        <v>0</v>
      </c>
      <c r="Q6">
        <f>IFERROR(1/IF(Inputs!$B$4="pvp",15,MAX(0.1,Skills!E6-IF(Skills!F6=TRUE,Inputs!$B$31,0))),0)</f>
        <v>3.3333333333333333E-2</v>
      </c>
      <c r="R6">
        <f>IF(AND(Inputs!$B$4&lt;&gt;"pvp",Inputs!$B$35&gt;0),(INT(Inputs!$B$35/IF(Inputs!$B$4="pvp",15,MAX(0.1,Skills!E6-IF(Skills!F6=TRUE,Inputs!$B$31,0))))+1),0)</f>
        <v>0</v>
      </c>
    </row>
    <row r="7" spans="1:26" x14ac:dyDescent="0.2">
      <c r="A7" t="str">
        <f>Skills!A7</f>
        <v>POISON_MIST_BURST</v>
      </c>
      <c r="B7" t="str">
        <f>Skills!B7</f>
        <v>Poison Mist (burst)</v>
      </c>
      <c r="C7" t="b">
        <f>TRUE</f>
        <v>1</v>
      </c>
      <c r="D7">
        <f>IF(Skills!C7=1,60+Inputs!$B$24+Inputs!$B$28,IF(Skills!C7=2,90+Inputs!$B$25+Inputs!$B$28,IF(Skills!C7=3,120+Inputs!$B$26+Inputs!$B$28,MAX(0,(Inputs!$B$3-100)*3)+Inputs!$B$27+Inputs!$B$28)))</f>
        <v>184</v>
      </c>
      <c r="E7">
        <f>INDEX(FactorTable!$B$2:$Y$301, MATCH(ROUND(MIN(300,MAX(1,D7)),0), FactorTable!$A$2:$A$301,0), Skills!M7+1)</f>
        <v>1920</v>
      </c>
      <c r="F7">
        <f>IF(Skills!N7=TRUE,(Skills!L7/10)*(E7/1000),Skills!L7/10)+Skills!O7</f>
        <v>357.2</v>
      </c>
      <c r="G7">
        <f>Skills!G7*IF(Skills!H7&gt;0,Skills!I7/Skills!H7,1)</f>
        <v>3</v>
      </c>
      <c r="H7">
        <f>1-(1-Skills!J7/100)^Skills!K7</f>
        <v>1</v>
      </c>
      <c r="I7">
        <f>IF(Skills!X7&lt;&gt;"",1+(Skills!X7/10)*($Z$3/1000)/100,1)</f>
        <v>1.7519999999999998</v>
      </c>
      <c r="J7">
        <f>Summary!$B$51*(F7/100)</f>
        <v>892396411.04121602</v>
      </c>
      <c r="K7">
        <f>J7*(1+Summary!$B$52/100)*(1+Inputs!$B$14/100)*(1+IF(Inputs!$B$4="pvp",0,(1-Summary!$B$56)*(Inputs!$B$19+Skills!P7)+Summary!$B$56*(Inputs!$B$20+Skills!Q7))/100)*(1+Inputs!$B$15/100)*(5000/(6000+Inputs!$B$7*(1-Inputs!$B$18/100)))*(1+Inputs!$B$23/100)*(1+F23/100)*(1+IF(Inputs!$B$3&gt;=120,F26,0)/100)^5*(1+(IF(Skills!A7="BASIC_ATTACK",Inputs!$B$16,Inputs!$B$17+IF(Inputs!$B$3&gt;=125,F27*5,0)))/100)*(Summary!$B$58*Summary!$B$59*Summary!$B$60*I7)</f>
        <v>11894822262388.189</v>
      </c>
      <c r="L7">
        <f>K7*(MIN(Inputs!$B$21,Inputs!$B$22)/100+Inputs!$B$22/100)/2</f>
        <v>32110072697316.914</v>
      </c>
      <c r="M7">
        <f>L7*(1+Inputs!$B$9/100)</f>
        <v>134573314674455.2</v>
      </c>
      <c r="N7">
        <f>L7*(1-MIN(Inputs!$B$8,100)/100)+M7*(MIN(Inputs!$B$8,100)/100)</f>
        <v>134573314674455.2</v>
      </c>
      <c r="O7">
        <f>IF(C7,H7*N7*IF(AND(Inputs!$B$4&lt;&gt;"pvp",Inputs!$B$35&gt;0),((Skills!G7*((R7-1)*IF(Skills!H7&gt;0,Skills!I7/Skills!H7,1)+IF(Skills!H7&gt;0,MIN(Skills!I7,MAX(0,Inputs!$B$35-((R7-1)*IF(Inputs!$B$4="pvp",15,MAX(0.1,Skills!E7-IF(Skills!F7=TRUE,Inputs!$B$31,0))))))/Skills!H7,1)))/Inputs!$B$35),G7*Q7)*IF(Inputs!$B$4="pvp",1,(1-Summary!$B$56)*(1)+Summary!$B$56*(MIN(Skills!R7,Inputs!$B$37))),0)</f>
        <v>105461536397940.41</v>
      </c>
      <c r="P7">
        <f>IF(Summary!$B$3=0,0,O7/Summary!$B$3)</f>
        <v>1.264589904980274E-2</v>
      </c>
      <c r="Q7">
        <f>IFERROR(1/IF(Inputs!$B$4="pvp",15,MAX(0.1,Skills!E7-IF(Skills!F7=TRUE,Inputs!$B$31,0))),0)</f>
        <v>4.0816326530612242E-2</v>
      </c>
      <c r="R7">
        <f>IF(AND(Inputs!$B$4&lt;&gt;"pvp",Inputs!$B$35&gt;0),(INT(Inputs!$B$35/IF(Inputs!$B$4="pvp",15,MAX(0.1,Skills!E7-IF(Skills!F7=TRUE,Inputs!$B$31,0))))+1),0)</f>
        <v>0</v>
      </c>
    </row>
    <row r="8" spans="1:26" x14ac:dyDescent="0.2">
      <c r="A8" t="str">
        <f>Skills!A8</f>
        <v>POISON_MIST_DOT</v>
      </c>
      <c r="B8" t="str">
        <f>Skills!B8</f>
        <v>Poison Mist (fog DoT)</v>
      </c>
      <c r="C8" t="b">
        <f>TRUE</f>
        <v>1</v>
      </c>
      <c r="D8">
        <f>IF(Skills!C8=1,60+Inputs!$B$24+Inputs!$B$28,IF(Skills!C8=2,90+Inputs!$B$25+Inputs!$B$28,IF(Skills!C8=3,120+Inputs!$B$26+Inputs!$B$28,MAX(0,(Inputs!$B$3-100)*3)+Inputs!$B$27+Inputs!$B$28)))</f>
        <v>184</v>
      </c>
      <c r="E8">
        <f>INDEX(FactorTable!$B$2:$Y$301, MATCH(ROUND(MIN(300,MAX(1,D8)),0), FactorTable!$A$2:$A$301,0), Skills!M8+1)</f>
        <v>1920</v>
      </c>
      <c r="F8">
        <f>IF(Skills!N8=TRUE,(Skills!L8/10)*(E8/1000),Skills!L8/10)+Skills!O8</f>
        <v>134.4</v>
      </c>
      <c r="G8">
        <f>Skills!G8*IF(Skills!H8&gt;0,Skills!I8/Skills!H8,1)</f>
        <v>50</v>
      </c>
      <c r="H8">
        <f>1-(1-Skills!J8/100)^Skills!K8</f>
        <v>1</v>
      </c>
      <c r="I8">
        <f>IF(Skills!X8&lt;&gt;"",1+(Skills!X8/10)*($Z$3/1000)/100,1)</f>
        <v>1.7519999999999998</v>
      </c>
      <c r="J8">
        <f>Summary!$B$51*(F8/100)</f>
        <v>335772893.74003202</v>
      </c>
      <c r="K8">
        <f>J8*(1+Summary!$B$52/100)*(1+Inputs!$B$14/100)*(1+IF(Inputs!$B$4="pvp",0,(1-Summary!$B$56)*(Inputs!$B$19+Skills!P8)+Summary!$B$56*(Inputs!$B$20+Skills!Q8))/100)*(1+Inputs!$B$15/100)*(5000/(6000+Inputs!$B$7*(1-Inputs!$B$18/100)))*(1+Inputs!$B$23/100)*(1+F23/100)*(1+IF(Inputs!$B$3&gt;=120,F26,0)/100)^5*(1+(IF(Skills!A8="BASIC_ATTACK",Inputs!$B$16,Inputs!$B$17+IF(Inputs!$B$3&gt;=125,F27*5,0)))/100)*(Summary!$B$58*Summary!$B$59*Summary!$B$60*I8)</f>
        <v>4475543426833.6309</v>
      </c>
      <c r="L8">
        <f>K8*(MIN(Inputs!$B$21,Inputs!$B$22)/100+Inputs!$B$22/100)/2</f>
        <v>12081729480737.385</v>
      </c>
      <c r="M8">
        <f>L8*(1+Inputs!$B$9/100)</f>
        <v>50634528253770.391</v>
      </c>
      <c r="N8">
        <f>L8*(1-MIN(Inputs!$B$8,100)/100)+M8*(MIN(Inputs!$B$8,100)/100)</f>
        <v>50634528253770.391</v>
      </c>
      <c r="O8">
        <f>IF(C8,H8*N8*IF(AND(Inputs!$B$4&lt;&gt;"pvp",Inputs!$B$35&gt;0),((Skills!G8*((R8-1)*IF(Skills!H8&gt;0,Skills!I8/Skills!H8,1)+IF(Skills!H8&gt;0,MIN(Skills!I8,MAX(0,Inputs!$B$35-((R8-1)*IF(Inputs!$B$4="pvp",15,MAX(0.1,Skills!E8-IF(Skills!F8=TRUE,Inputs!$B$31,0))))))/Skills!H8,1)))/Inputs!$B$35),G8*Q8)*IF(Inputs!$B$4="pvp",1,(1-Summary!$B$56)*(1)+Summary!$B$56*(MIN(Skills!R8,Inputs!$B$37))),0)</f>
        <v>661348940457409.25</v>
      </c>
      <c r="P8">
        <f>IF(Summary!$B$3=0,0,O8/Summary!$B$3)</f>
        <v>7.9302390457889546E-2</v>
      </c>
      <c r="Q8">
        <f>IFERROR(1/IF(Inputs!$B$4="pvp",15,MAX(0.1,Skills!E8-IF(Skills!F8=TRUE,Inputs!$B$31,0))),0)</f>
        <v>4.0816326530612242E-2</v>
      </c>
      <c r="R8">
        <f>IF(AND(Inputs!$B$4&lt;&gt;"pvp",Inputs!$B$35&gt;0),(INT(Inputs!$B$35/IF(Inputs!$B$4="pvp",15,MAX(0.1,Skills!E8-IF(Skills!F8=TRUE,Inputs!$B$31,0))))+1),0)</f>
        <v>0</v>
      </c>
    </row>
    <row r="9" spans="1:26" x14ac:dyDescent="0.2">
      <c r="A9" t="str">
        <f>Skills!A9</f>
        <v>MIST_ERUPTION</v>
      </c>
      <c r="B9" t="str">
        <f>Skills!B9</f>
        <v>Mist Eruption</v>
      </c>
      <c r="C9" t="b">
        <f>Inputs!$B$3&gt;=103</f>
        <v>1</v>
      </c>
      <c r="D9">
        <f>IF(Skills!C9=1,60+Inputs!$B$24+Inputs!$B$28,IF(Skills!C9=2,90+Inputs!$B$25+Inputs!$B$28,IF(Skills!C9=3,120+Inputs!$B$26+Inputs!$B$28,MAX(0,(Inputs!$B$3-100)*3)+Inputs!$B$27+Inputs!$B$28)))</f>
        <v>172</v>
      </c>
      <c r="E9">
        <f>INDEX(FactorTable!$B$2:$Y$301, MATCH(ROUND(MIN(300,MAX(1,D9)),0), FactorTable!$A$2:$A$301,0), Skills!M9+1)</f>
        <v>1860</v>
      </c>
      <c r="F9">
        <f>IF(Skills!N9=TRUE,(Skills!L9/10)*(E9/1000),Skills!L9/10)+Skills!O9</f>
        <v>5580</v>
      </c>
      <c r="G9">
        <f>Skills!G9*IF(Skills!H9&gt;0,Skills!I9/Skills!H9,1)</f>
        <v>2.8</v>
      </c>
      <c r="H9">
        <f>1-(1-Skills!J9/100)^Skills!K9</f>
        <v>1</v>
      </c>
      <c r="I9">
        <f>IF(Skills!X9&lt;&gt;"",1+(Skills!X9/10)*($Z$3/1000)/100,1)</f>
        <v>1</v>
      </c>
      <c r="J9">
        <f>Summary!$B$51*(F9/100)</f>
        <v>13940571034.742399</v>
      </c>
      <c r="K9">
        <f>J9*(1+Summary!$B$52/100)*(1+Inputs!$B$14/100)*(1+IF(Inputs!$B$4="pvp",0,(1-Summary!$B$56)*(Inputs!$B$19+Skills!P9)+Summary!$B$56*(Inputs!$B$20+Skills!Q9))/100)*(1+Inputs!$B$15/100)*(5000/(6000+Inputs!$B$7*(1-Inputs!$B$18/100)))*(1+Inputs!$B$23/100)*(1+F23/100)*(1+IF(Inputs!$B$3&gt;=120,F26,0)/100)^5*(1+(IF(Skills!A9="BASIC_ATTACK",Inputs!$B$16,Inputs!$B$17+IF(Inputs!$B$3&gt;=125,F27*5,0)))/100)*(Summary!$B$58*Summary!$B$59*Summary!$B$60*I9)</f>
        <v>106058774333294.53</v>
      </c>
      <c r="L9">
        <f>K9*(MIN(Inputs!$B$21,Inputs!$B$22)/100+Inputs!$B$22/100)/2</f>
        <v>286305661312728.56</v>
      </c>
      <c r="M9">
        <f>L9*(1+Inputs!$B$9/100)</f>
        <v>1199907026561645.5</v>
      </c>
      <c r="N9">
        <f>L9*(1-MIN(Inputs!$B$8,100)/100)+M9*(MIN(Inputs!$B$8,100)/100)</f>
        <v>1199907026561645.5</v>
      </c>
      <c r="O9">
        <f>IF(C9,H9*N9*IF(AND(Inputs!$B$4&lt;&gt;"pvp",Inputs!$B$35&gt;0),((Skills!G9*((R9-1)*IF(Skills!H9&gt;0,Skills!I9/Skills!H9,1)+IF(Skills!H9&gt;0,MIN(Skills!I9,MAX(0,Inputs!$B$35-((R9-1)*IF(Inputs!$B$4="pvp",15,MAX(0.1,Skills!E9-IF(Skills!F7=TRUE,Inputs!$B$31,0))))))/Skills!H9,1)))/Inputs!$B$35),G9*Q9)*IF(Inputs!$B$4="pvp",1,(1-Summary!$B$56)*(1)+Summary!$B$56*(MIN(Skills!R9,Inputs!$B$37))),0)</f>
        <v>877646282285089.12</v>
      </c>
      <c r="P9">
        <f>IF(Summary!$B$3=0,0,O9/Summary!$B$3)</f>
        <v>0.10523861747408285</v>
      </c>
      <c r="Q9">
        <f>IFERROR(1/IF(Inputs!$B$4="pvp",15,MAX(0.1,Skills!E9-IF(Skills!F7=TRUE,Inputs!$B$31,0))),0)</f>
        <v>4.0816326530612242E-2</v>
      </c>
      <c r="R9">
        <f>IF(AND(Inputs!$B$4&lt;&gt;"pvp",Inputs!$B$35&gt;0),(INT(Inputs!$B$35/IF(Inputs!$B$4="pvp",15,MAX(0.1,Skills!E9-IF(Skills!F7=TRUE,Inputs!$B$31,0))))+1),0)</f>
        <v>0</v>
      </c>
    </row>
    <row r="10" spans="1:26" x14ac:dyDescent="0.2">
      <c r="A10" t="str">
        <f>Skills!A10</f>
        <v>CREEPING_TOXIN</v>
      </c>
      <c r="B10" t="str">
        <f>Skills!B10</f>
        <v>Creeping Toxin</v>
      </c>
      <c r="C10" t="b">
        <f>TRUE</f>
        <v>1</v>
      </c>
      <c r="D10">
        <f>IF(Skills!C10=1,60+Inputs!$B$24+Inputs!$B$28,IF(Skills!C10=2,90+Inputs!$B$25+Inputs!$B$28,IF(Skills!C10=3,120+Inputs!$B$26+Inputs!$B$28,MAX(0,(Inputs!$B$3-100)*3)+Inputs!$B$27+Inputs!$B$28)))</f>
        <v>184</v>
      </c>
      <c r="E10">
        <f>INDEX(FactorTable!$B$2:$Y$301, MATCH(ROUND(MIN(300,MAX(1,D10)),0), FactorTable!$A$2:$A$301,0), Skills!M10+1)</f>
        <v>1920</v>
      </c>
      <c r="F10">
        <f>IF(Skills!N10=TRUE,(Skills!L10/10)*(E10/1000),Skills!L10/10)+Skills!O10</f>
        <v>280.39999999999998</v>
      </c>
      <c r="G10">
        <f>Skills!G10*IF(Skills!H10&gt;0,Skills!I10/Skills!H10,1)</f>
        <v>15</v>
      </c>
      <c r="H10">
        <f>1-(1-Skills!J10/100)^Skills!K10</f>
        <v>1</v>
      </c>
      <c r="I10">
        <f>IF(Skills!X10&lt;&gt;"",1+(Skills!X10/10)*($Z$3/1000)/100,1)</f>
        <v>1.7519999999999998</v>
      </c>
      <c r="J10">
        <f>Summary!$B$51*(F10/100)</f>
        <v>700526186.04691195</v>
      </c>
      <c r="K10">
        <f>J10*(1+Summary!$B$52/100)*(1+Inputs!$B$14/100)*(1+IF(Inputs!$B$4="pvp",0,(1-Summary!$B$56)*(Inputs!$B$19+Skills!P10)+Summary!$B$56*(Inputs!$B$20+Skills!Q10))/100)*(1+Inputs!$B$15/100)*(5000/(6000+Inputs!$B$7*(1-Inputs!$B$18/100)))*(1+Inputs!$B$23/100)*(1+F23/100)*(1+IF(Inputs!$B$3&gt;=120,F26,0)/100)^5*(1+(IF(Skills!A10="BASIC_ATTACK",Inputs!$B$16,Inputs!$B$17+IF(Inputs!$B$3&gt;=125,F27*5,0)))/100)*(Summary!$B$58*Summary!$B$59*Summary!$B$60*I10)</f>
        <v>11018767832821.695</v>
      </c>
      <c r="L10">
        <f>K10*(MIN(Inputs!$B$21,Inputs!$B$22)/100+Inputs!$B$22/100)/2</f>
        <v>29745163764702.16</v>
      </c>
      <c r="M10">
        <f>L10*(1+Inputs!$B$9/100)</f>
        <v>124661981337866.78</v>
      </c>
      <c r="N10">
        <f>L10*(1-MIN(Inputs!$B$8,100)/100)+M10*(MIN(Inputs!$B$8,100)/100)</f>
        <v>124661981337866.78</v>
      </c>
      <c r="O10">
        <f>IF(C10,H10*N10*IF(AND(Inputs!$B$4&lt;&gt;"pvp",Inputs!$B$35&gt;0),((Skills!G10*((R10-1)*IF(Skills!H10&gt;0,Skills!I10/Skills!H10,1)+IF(Skills!H10&gt;0,MIN(Skills!I10,MAX(0,Inputs!$B$35-((R10-1)*IF(Inputs!$B$4="pvp",15,MAX(0.1,Skills!E10-IF(Skills!F10=TRUE,Inputs!$B$31,0))))))/Skills!H10,1)))/Inputs!$B$35),G10*Q10)*IF(Inputs!$B$4="pvp",1,(1-Summary!$B$56)*(1)+Summary!$B$56*(MIN(Skills!R10,Inputs!$B$37))),0)</f>
        <v>69256656298814.883</v>
      </c>
      <c r="P10">
        <f>IF(Summary!$B$3=0,0,O10/Summary!$B$3)</f>
        <v>8.3045697416826384E-3</v>
      </c>
      <c r="Q10">
        <f>IFERROR(1/IF(Inputs!$B$4="pvp",15,MAX(0.1,Skills!E10-IF(Skills!F10=TRUE,Inputs!$B$31,0))),0)</f>
        <v>3.7037037037037035E-2</v>
      </c>
      <c r="R10">
        <f>IF(AND(Inputs!$B$4&lt;&gt;"pvp",Inputs!$B$35&gt;0),(INT(Inputs!$B$35/IF(Inputs!$B$4="pvp",15,MAX(0.1,Skills!E10-IF(Skills!F10=TRUE,Inputs!$B$31,0))))+1),0)</f>
        <v>0</v>
      </c>
    </row>
    <row r="11" spans="1:26" x14ac:dyDescent="0.2">
      <c r="A11" t="str">
        <f>Skills!A11</f>
        <v>BURNING_MAGIC</v>
      </c>
      <c r="B11" t="str">
        <f>Skills!B11</f>
        <v>Burning Magic</v>
      </c>
      <c r="C11" t="b">
        <f>TRUE</f>
        <v>1</v>
      </c>
      <c r="D11">
        <f>IF(Skills!C11=1,60+Inputs!$B$24+Inputs!$B$28,IF(Skills!C11=2,90+Inputs!$B$25+Inputs!$B$28,IF(Skills!C11=3,120+Inputs!$B$26+Inputs!$B$28,MAX(0,(Inputs!$B$3-100)*3)+Inputs!$B$27+Inputs!$B$28)))</f>
        <v>184</v>
      </c>
      <c r="E11">
        <f>INDEX(FactorTable!$B$2:$Y$301, MATCH(ROUND(MIN(300,MAX(1,D11)),0), FactorTable!$A$2:$A$301,0), Skills!M11+1)</f>
        <v>0</v>
      </c>
      <c r="F11">
        <f>IF(Skills!N11=TRUE,(Skills!L11/10)*(E11/1000),Skills!L11/10)+Skills!O11</f>
        <v>5</v>
      </c>
      <c r="G11">
        <f>Skills!G11*IF(Skills!H11&gt;0,Skills!I11/Skills!H11,1)</f>
        <v>1</v>
      </c>
      <c r="H11">
        <f>1-(1-Skills!J11/100)^Skills!K11</f>
        <v>1</v>
      </c>
      <c r="I11">
        <f>IF(Skills!X11&lt;&gt;"",1+(Skills!X11/10)*($Z$3/1000)/100,1)</f>
        <v>1</v>
      </c>
      <c r="O11">
        <v>0</v>
      </c>
      <c r="P11">
        <f>IF(Summary!$B$3=0,0,O11/Summary!$B$3)</f>
        <v>0</v>
      </c>
      <c r="Q11">
        <f>IFERROR(1/IF(Inputs!$B$4="pvp",15,MAX(0.1,Skills!E11-IF(Skills!F11=TRUE,Inputs!$B$31,0))),0)</f>
        <v>10</v>
      </c>
      <c r="R11">
        <v>0</v>
      </c>
    </row>
    <row r="12" spans="1:26" x14ac:dyDescent="0.2">
      <c r="A12" t="str">
        <f>Skills!A12</f>
        <v>ELEMENTAL_DECREASE</v>
      </c>
      <c r="B12" t="str">
        <f>Skills!B12</f>
        <v>Elemental Decrease</v>
      </c>
      <c r="C12" t="b">
        <f>TRUE</f>
        <v>1</v>
      </c>
      <c r="D12">
        <f>IF(Skills!C12=1,60+Inputs!$B$24+Inputs!$B$28,IF(Skills!C12=2,90+Inputs!$B$25+Inputs!$B$28,IF(Skills!C12=3,120+Inputs!$B$26+Inputs!$B$28,MAX(0,(Inputs!$B$3-100)*3)+Inputs!$B$27+Inputs!$B$28)))</f>
        <v>184</v>
      </c>
      <c r="E12">
        <f>INDEX(FactorTable!$B$2:$Y$301, MATCH(ROUND(MIN(300,MAX(1,D12)),0), FactorTable!$A$2:$A$301,0), Skills!M12+1)</f>
        <v>1552</v>
      </c>
      <c r="F12">
        <f>IF(Skills!N12=TRUE,(Skills!L12/10)*(E12/1000),Skills!L12/10)+Skills!O12</f>
        <v>18.624000000000002</v>
      </c>
      <c r="G12">
        <f>Skills!G12*IF(Skills!H12&gt;0,Skills!I12/Skills!H12,1)</f>
        <v>1</v>
      </c>
      <c r="H12">
        <f>1-(1-Skills!J12/100)^Skills!K12</f>
        <v>0.5</v>
      </c>
      <c r="I12">
        <f>IF(Skills!X12&lt;&gt;"",1+(Skills!X12/10)*($Z$3/1000)/100,1)</f>
        <v>1</v>
      </c>
      <c r="O12">
        <v>0</v>
      </c>
      <c r="P12">
        <f>IF(Summary!$B$3=0,0,O12/Summary!$B$3)</f>
        <v>0</v>
      </c>
      <c r="Q12">
        <f>IFERROR(1/IF(Inputs!$B$4="pvp",15,MAX(0.1,Skills!E12-IF(Skills!F12=TRUE,Inputs!$B$31,0))),0)</f>
        <v>10</v>
      </c>
      <c r="R12">
        <v>0</v>
      </c>
    </row>
    <row r="13" spans="1:26" x14ac:dyDescent="0.2">
      <c r="A13" t="str">
        <f>Skills!A13</f>
        <v>METEOR_SHOWER_BURST</v>
      </c>
      <c r="B13" t="str">
        <f>Skills!B13</f>
        <v>Meteor Shower (burst)</v>
      </c>
      <c r="C13" t="b">
        <f>Inputs!$B$3&gt;=105</f>
        <v>1</v>
      </c>
      <c r="D13">
        <f>IF(Skills!C13=1,60+Inputs!$B$24+Inputs!$B$28,IF(Skills!C13=2,90+Inputs!$B$25+Inputs!$B$28,IF(Skills!C13=3,120+Inputs!$B$26+Inputs!$B$28,MAX(0,(Inputs!$B$3-100)*3)+Inputs!$B$27+Inputs!$B$28)))</f>
        <v>172</v>
      </c>
      <c r="E13">
        <f>INDEX(FactorTable!$B$2:$Y$301, MATCH(ROUND(MIN(300,MAX(1,D13)),0), FactorTable!$A$2:$A$301,0), Skills!M13+1)</f>
        <v>1860</v>
      </c>
      <c r="F13">
        <f>IF(Skills!N13=TRUE,(Skills!L13/10)*(E13/1000),Skills!L13/10)+Skills!O13</f>
        <v>1116</v>
      </c>
      <c r="G13">
        <f>Skills!G13*IF(Skills!H13&gt;0,Skills!I13/Skills!H13,1)</f>
        <v>9</v>
      </c>
      <c r="H13">
        <f>1-(1-Skills!J13/100)^Skills!K13</f>
        <v>1</v>
      </c>
      <c r="I13">
        <f>IF(Skills!X13&lt;&gt;"",1+(Skills!X13/10)*($Z$3/1000)/100,1)</f>
        <v>1</v>
      </c>
      <c r="J13">
        <f>Summary!$B$51*(F13/100)</f>
        <v>2788114206.9484801</v>
      </c>
      <c r="K13">
        <f>J13*(1+Summary!$B$52/100)*(1+Inputs!$B$14/100)*(1+IF(Inputs!$B$4="pvp",0,(1-Summary!$B$56)*(Inputs!$B$19+Skills!P13)+Summary!$B$56*(Inputs!$B$20+Skills!Q13))/100)*(1+Inputs!$B$15/100)*(5000/(6000+Inputs!$B$7*(1-Inputs!$B$18/100)))*(1+Inputs!$B$23/100)*(1+F23/100)*(1+IF(Inputs!$B$3&gt;=120,F26,0)/100)^5*(1+(IF(Skills!A13="BASIC_ATTACK",Inputs!$B$16,Inputs!$B$17+IF(Inputs!$B$3&gt;=125,F27*5,0)))/100)*(Summary!$B$58*Summary!$B$59*Summary!$B$60*I13)</f>
        <v>21211754866658.902</v>
      </c>
      <c r="L13">
        <f>K13*(MIN(Inputs!$B$21,Inputs!$B$22)/100+Inputs!$B$22/100)/2</f>
        <v>57261132262545.695</v>
      </c>
      <c r="M13">
        <f>L13*(1+Inputs!$B$9/100)</f>
        <v>239981405312329.06</v>
      </c>
      <c r="N13">
        <f>L13*(1-MIN(Inputs!$B$8,100)/100)+M13*(MIN(Inputs!$B$8,100)/100)</f>
        <v>239981405312329.06</v>
      </c>
      <c r="O13">
        <f>IF(C13,H13*N13*IF(AND(Inputs!$B$4&lt;&gt;"pvp",Inputs!$B$35&gt;0),((Skills!G13*((R13-1)*IF(Skills!H13&gt;0,Skills!I13/Skills!H13,1)+IF(Skills!H13&gt;0,MIN(Skills!I13,MAX(0,Inputs!$B$35-((R13-1)*IF(Inputs!$B$4="pvp",15,MAX(0.1,Skills!E13-IF(Skills!F13=TRUE,Inputs!$B$31,0))))))/Skills!H13,1)))/Inputs!$B$35),G13*Q13)*IF(Inputs!$B$4="pvp",1,(1-Summary!$B$56)*(1)+Summary!$B$56*(MIN(Skills!R13,Inputs!$B$37))),0)</f>
        <v>301067581210012.88</v>
      </c>
      <c r="P13">
        <f>IF(Summary!$B$3=0,0,O13/Summary!$B$3)</f>
        <v>3.6101031420441784E-2</v>
      </c>
      <c r="Q13">
        <f>IFERROR(1/IF(Inputs!$B$4="pvp",15,MAX(0.1,Skills!E13-IF(Skills!F13=TRUE,Inputs!$B$31,0))),0)</f>
        <v>3.0303030303030304E-2</v>
      </c>
      <c r="R13">
        <f>IF(AND(Inputs!$B$4&lt;&gt;"pvp",Inputs!$B$35&gt;0),(INT(Inputs!$B$35/IF(Inputs!$B$4="pvp",15,MAX(0.1,Skills!E13-IF(Skills!F13=TRUE,Inputs!$B$31,0))))+1),0)</f>
        <v>0</v>
      </c>
    </row>
    <row r="14" spans="1:26" x14ac:dyDescent="0.2">
      <c r="A14" t="str">
        <f>Skills!A14</f>
        <v>METEOR_PROC</v>
      </c>
      <c r="B14" t="str">
        <f>Skills!B14</f>
        <v>Meteor Proc (30% on-hit, 1s ICD)</v>
      </c>
      <c r="C14" t="b">
        <f>Inputs!$B$3&gt;=113</f>
        <v>1</v>
      </c>
      <c r="D14">
        <f>IF(Skills!C14=1,60+Inputs!$B$24+Inputs!$B$28,IF(Skills!C14=2,90+Inputs!$B$25+Inputs!$B$28,IF(Skills!C14=3,120+Inputs!$B$26+Inputs!$B$28,MAX(0,(Inputs!$B$3-100)*3)+Inputs!$B$27+Inputs!$B$28)))</f>
        <v>172</v>
      </c>
      <c r="E14">
        <f>INDEX(FactorTable!$B$2:$Y$301, MATCH(ROUND(MIN(300,MAX(1,D14)),0), FactorTable!$A$2:$A$301,0), Skills!M14+1)</f>
        <v>1688</v>
      </c>
      <c r="F14">
        <f>IF(Skills!N14=TRUE,(Skills!L14/10)*(E14/1000),Skills!L14/10)+Skills!O14</f>
        <v>1603.6</v>
      </c>
      <c r="G14">
        <f>Skills!G14*IF(Skills!H14&gt;0,Skills!I14/Skills!H14,1)</f>
        <v>0</v>
      </c>
      <c r="H14">
        <f>1-(1-Skills!J14/100)^Skills!K14</f>
        <v>0.30000000000000004</v>
      </c>
      <c r="I14">
        <f>IF(Skills!X14&lt;&gt;"",1+(Skills!X14/10)*($Z$3/1000)/100,1)</f>
        <v>1</v>
      </c>
      <c r="J14">
        <f>Summary!$B$51*(F14/100)</f>
        <v>4006290270.8446074</v>
      </c>
      <c r="K14">
        <f>J14*(1+Summary!$B$52/100)*(1+Inputs!$B$14/100)*(1+IF(Inputs!$B$4="pvp",0,(1-Summary!$B$56)*(Inputs!$B$19+Skills!P14)+Summary!$B$56*(Inputs!$B$20+Skills!Q14))/100)*(1+Inputs!$B$15/100)*(5000/(6000+Inputs!$B$7*(1-Inputs!$B$18/100)))*(1+Inputs!$B$23/100)*(1+F23/100)*(1+IF(Inputs!$B$3&gt;=120,F26,0)/100)^5*(1+(IF(Skills!A14="BASIC_ATTACK",Inputs!$B$16,Inputs!$B$17+IF(Inputs!$B$3&gt;=125,F27*5,0)))/100)*(Summary!$B$58*Summary!$B$59*Summary!$B$60*I14)</f>
        <v>30479543104098.766</v>
      </c>
      <c r="L14">
        <f>K14*(MIN(Inputs!$B$21,Inputs!$B$22)/100+Inputs!$B$22/100)/2</f>
        <v>82279526609514.609</v>
      </c>
      <c r="M14">
        <f>L14*(1+Inputs!$B$9/100)</f>
        <v>344833496020475.81</v>
      </c>
      <c r="N14">
        <f>L14*(1-MIN(Inputs!$B$8,100)/100)+M14*(MIN(Inputs!$B$8,100)/100)</f>
        <v>344833496020475.81</v>
      </c>
      <c r="O14">
        <f>IF(C14,(H14*Summary!$B$66)/(1+Skills!H14*H14*Summary!$B$66)*N14*IF(Inputs!$B$4="pvp",1,(1-Summary!$B$56)*(1)+Summary!$B$56*(MIN(Skills!R14,Inputs!$B$37))),0)</f>
        <v>108471730590284.94</v>
      </c>
      <c r="P14">
        <f>IF(Summary!$B$3=0,0,O14/Summary!$B$3)</f>
        <v>1.3006851612953858E-2</v>
      </c>
      <c r="Q14">
        <f>IFERROR(1/IF(Inputs!$B$4="pvp",15,MAX(0.1,Skills!E14-IF(Skills!F14=TRUE,Inputs!$B$31,0))),0)</f>
        <v>10</v>
      </c>
      <c r="R14">
        <v>0</v>
      </c>
    </row>
    <row r="15" spans="1:26" x14ac:dyDescent="0.2">
      <c r="A15" t="str">
        <f>Skills!A15</f>
        <v>FLAME_HAZE_BURST</v>
      </c>
      <c r="B15" t="str">
        <f>Skills!B15</f>
        <v>Flame Haze (burst)</v>
      </c>
      <c r="C15" t="b">
        <f>Inputs!$B$3&gt;=107</f>
        <v>1</v>
      </c>
      <c r="D15">
        <f>IF(Skills!C15=1,60+Inputs!$B$24+Inputs!$B$28,IF(Skills!C15=2,90+Inputs!$B$25+Inputs!$B$28,IF(Skills!C15=3,120+Inputs!$B$26+Inputs!$B$28,MAX(0,(Inputs!$B$3-100)*3)+Inputs!$B$27+Inputs!$B$28)))</f>
        <v>172</v>
      </c>
      <c r="E15">
        <f>INDEX(FactorTable!$B$2:$Y$301, MATCH(ROUND(MIN(300,MAX(1,D15)),0), FactorTable!$A$2:$A$301,0), Skills!M15+1)</f>
        <v>1860</v>
      </c>
      <c r="F15">
        <f>IF(Skills!N15=TRUE,(Skills!L15/10)*(E15/1000),Skills!L15/10)+Skills!O15</f>
        <v>2232</v>
      </c>
      <c r="G15">
        <f>Skills!G15*IF(Skills!H15&gt;0,Skills!I15/Skills!H15,1)</f>
        <v>3</v>
      </c>
      <c r="H15">
        <f>1-(1-Skills!J15/100)^Skills!K15</f>
        <v>1</v>
      </c>
      <c r="I15">
        <f>IF(Skills!X15&lt;&gt;"",1+(Skills!X15/10)*($Z$3/1000)/100,1)</f>
        <v>1</v>
      </c>
      <c r="J15">
        <f>Summary!$B$51*(F15/100)</f>
        <v>5576228413.8969603</v>
      </c>
      <c r="K15">
        <f>J15*(1+Summary!$B$52/100)*(1+Inputs!$B$14/100)*(1+IF(Inputs!$B$4="pvp",0,(1-Summary!$B$56)*(Inputs!$B$19+Skills!P15)+Summary!$B$56*(Inputs!$B$20+Skills!Q15))/100)*(1+Inputs!$B$15/100)*(5000/(6000+Inputs!$B$7*(1-Inputs!$B$18/100)))*(1+Inputs!$B$23/100)*(1+F23/100)*(1+IF(Inputs!$B$3&gt;=120,F26,0)/100)^5*(1+(IF(Skills!A15="BASIC_ATTACK",Inputs!$B$16,Inputs!$B$17+IF(Inputs!$B$3&gt;=125,F27*5,0)))/100)*(Summary!$B$58*Summary!$B$59*Summary!$B$60*I15)</f>
        <v>42423509733317.805</v>
      </c>
      <c r="L15">
        <f>K15*(MIN(Inputs!$B$21,Inputs!$B$22)/100+Inputs!$B$22/100)/2</f>
        <v>114522264525091.39</v>
      </c>
      <c r="M15">
        <f>L15*(1+Inputs!$B$9/100)</f>
        <v>479962810624658.12</v>
      </c>
      <c r="N15">
        <f>L15*(1-MIN(Inputs!$B$8,100)/100)+M15*(MIN(Inputs!$B$8,100)/100)</f>
        <v>479962810624658.12</v>
      </c>
      <c r="O15">
        <f>IF(C15,H15*N15*IF(AND(Inputs!$B$4&lt;&gt;"pvp",Inputs!$B$35&gt;0),((Skills!G15*((R15-1)*IF(Skills!H15&gt;0,Skills!I15/Skills!H15,1)+IF(Skills!H15&gt;0,MIN(Skills!I15,MAX(0,Inputs!$B$35-((R15-1)*IF(Inputs!$B$4="pvp",15,MAX(0.1,Skills!E15-IF(Skills!F15=TRUE,Inputs!$B$31,0))))))/Skills!H15,1)))/Inputs!$B$35),G15*Q15)*IF(Inputs!$B$4="pvp",1,(1-Summary!$B$56)*(1)+Summary!$B$56*(MIN(Skills!R15,Inputs!$B$37))),0)</f>
        <v>368611438559737.5</v>
      </c>
      <c r="P15">
        <f>IF(Summary!$B$3=0,0,O15/Summary!$B$3)</f>
        <v>4.4200219339114805E-2</v>
      </c>
      <c r="Q15">
        <f>IFERROR(1/IF(Inputs!$B$4="pvp",15,MAX(0.1,Skills!E15-IF(Skills!F15=TRUE,Inputs!$B$31,0))),0)</f>
        <v>0.04</v>
      </c>
      <c r="R15">
        <f>IF(AND(Inputs!$B$4&lt;&gt;"pvp",Inputs!$B$35&gt;0),(INT(Inputs!$B$35/IF(Inputs!$B$4="pvp",15,MAX(0.1,Skills!E15-IF(Skills!F15=TRUE,Inputs!$B$31,0))))+1),0)</f>
        <v>0</v>
      </c>
    </row>
    <row r="16" spans="1:26" x14ac:dyDescent="0.2">
      <c r="A16" t="str">
        <f>Skills!A16</f>
        <v>FLAME_HAZE_DOT</v>
      </c>
      <c r="B16" t="str">
        <f>Skills!B16</f>
        <v>Flame Haze (burn DoT)</v>
      </c>
      <c r="C16" t="b">
        <f>Inputs!$B$3&gt;=107</f>
        <v>1</v>
      </c>
      <c r="D16">
        <f>IF(Skills!C16=1,60+Inputs!$B$24+Inputs!$B$28,IF(Skills!C16=2,90+Inputs!$B$25+Inputs!$B$28,IF(Skills!C16=3,120+Inputs!$B$26+Inputs!$B$28,MAX(0,(Inputs!$B$3-100)*3)+Inputs!$B$27+Inputs!$B$28)))</f>
        <v>172</v>
      </c>
      <c r="E16">
        <f>INDEX(FactorTable!$B$2:$Y$301, MATCH(ROUND(MIN(300,MAX(1,D16)),0), FactorTable!$A$2:$A$301,0), Skills!M16+1)</f>
        <v>1860</v>
      </c>
      <c r="F16">
        <f>IF(Skills!N16=TRUE,(Skills!L16/10)*(E16/1000),Skills!L16/10)+Skills!O16</f>
        <v>279</v>
      </c>
      <c r="G16">
        <f>Skills!G16*IF(Skills!H16&gt;0,Skills!I16/Skills!H16,1)</f>
        <v>28</v>
      </c>
      <c r="H16">
        <f>1-(1-Skills!J16/100)^Skills!K16</f>
        <v>1</v>
      </c>
      <c r="I16">
        <f>IF(Skills!X16&lt;&gt;"",1+(Skills!X16/10)*($Z$3/1000)/100,1)</f>
        <v>1</v>
      </c>
      <c r="J16">
        <f>Summary!$B$51*(F16/100)</f>
        <v>697028551.73712003</v>
      </c>
      <c r="K16">
        <f>J16*(1+Summary!$B$52/100)*(1+Inputs!$B$14/100)*(1+IF(Inputs!$B$4="pvp",0,(1-Summary!$B$56)*(Inputs!$B$19+Skills!P16)+Summary!$B$56*(Inputs!$B$20+Skills!Q16))/100)*(1+Inputs!$B$15/100)*(5000/(6000+Inputs!$B$7*(1-Inputs!$B$18/100)))*(1+Inputs!$B$23/100)*(1+F23/100)*(1+IF(Inputs!$B$3&gt;=120,F26,0)/100)^5*(1+(IF(Skills!A16="BASIC_ATTACK",Inputs!$B$16,Inputs!$B$17+IF(Inputs!$B$3&gt;=125,F27*5,0)))/100)*(Summary!$B$58*Summary!$B$59*Summary!$B$60*I16)</f>
        <v>5302938716664.7256</v>
      </c>
      <c r="L16">
        <f>K16*(MIN(Inputs!$B$21,Inputs!$B$22)/100+Inputs!$B$22/100)/2</f>
        <v>14315283065636.424</v>
      </c>
      <c r="M16">
        <f>L16*(1+Inputs!$B$9/100)</f>
        <v>59995351328082.266</v>
      </c>
      <c r="N16">
        <f>L16*(1-MIN(Inputs!$B$8,100)/100)+M16*(MIN(Inputs!$B$8,100)/100)</f>
        <v>59995351328082.266</v>
      </c>
      <c r="O16">
        <f>IF(C16,H16*N16*IF(AND(Inputs!$B$4&lt;&gt;"pvp",Inputs!$B$35&gt;0),((Skills!G16*((R16-1)*IF(Skills!H16&gt;0,Skills!I16/Skills!H16,1)+IF(Skills!H16&gt;0,MIN(Skills!I16,MAX(0,Inputs!$B$35-((R16-1)*IF(Inputs!$B$4="pvp",15,MAX(0.1,Skills!E16-IF(Skills!F16=TRUE,Inputs!$B$31,0))))))/Skills!H16,1)))/Inputs!$B$35),G16*Q16)*(1+IF(Inputs!$B$3&gt;=126,0.05*(Summary!$B$64+Q13+(H14*Summary!$B$66)/(1+Skills!H14*H14*Summary!$B$66)+Q24),0)*Skills!E15)*IF(Inputs!$B$4="pvp",1,(1-Summary!$B$56)*(1)+Summary!$B$56*(MIN(Skills!R16,Inputs!$B$37))),0)</f>
        <v>430046678319693.75</v>
      </c>
      <c r="P16">
        <f>IF(Summary!$B$3=0,0,O16/Summary!$B$3)</f>
        <v>5.156692256230061E-2</v>
      </c>
      <c r="Q16">
        <f>IFERROR(1/IF(Inputs!$B$4="pvp",15,MAX(0.1,Skills!E16-IF(Skills!F16=TRUE,Inputs!$B$31,0))),0)</f>
        <v>0.04</v>
      </c>
      <c r="R16">
        <f>IF(AND(Inputs!$B$4&lt;&gt;"pvp",Inputs!$B$35&gt;0),(INT(Inputs!$B$35/IF(Inputs!$B$4="pvp",15,MAX(0.1,Skills!E16-IF(Skills!F16=TRUE,Inputs!$B$31,0))))+1),0)</f>
        <v>0</v>
      </c>
    </row>
    <row r="17" spans="1:18" x14ac:dyDescent="0.2">
      <c r="A17" t="str">
        <f>Skills!A17</f>
        <v>MAGIC_GUARD</v>
      </c>
      <c r="B17" t="str">
        <f>Skills!B17</f>
        <v>Magic Guard</v>
      </c>
      <c r="C17" t="b">
        <f>TRUE</f>
        <v>1</v>
      </c>
      <c r="D17">
        <f>IF(Skills!C17=1,60+Inputs!$B$24+Inputs!$B$28,IF(Skills!C17=2,90+Inputs!$B$25+Inputs!$B$28,IF(Skills!C17=3,120+Inputs!$B$26+Inputs!$B$28,MAX(0,(Inputs!$B$3-100)*3)+Inputs!$B$27+Inputs!$B$28)))</f>
        <v>115</v>
      </c>
      <c r="E17">
        <f>INDEX(FactorTable!$B$2:$Y$301, MATCH(ROUND(MIN(300,MAX(1,D17)),0), FactorTable!$A$2:$A$301,0), Skills!M17+1)</f>
        <v>1460</v>
      </c>
      <c r="F17">
        <f>IF(Skills!N17=TRUE,(Skills!L17/10)*(E17/1000),Skills!L17/10)+Skills!O17</f>
        <v>17.52</v>
      </c>
      <c r="G17">
        <f>Skills!G17*IF(Skills!H17&gt;0,Skills!I17/Skills!H17,1)</f>
        <v>1</v>
      </c>
      <c r="H17">
        <f>1-(1-Skills!J17/100)^Skills!K17</f>
        <v>1</v>
      </c>
      <c r="I17">
        <f>IF(Skills!X17&lt;&gt;"",1+(Skills!X17/10)*($Z$3/1000)/100,1)</f>
        <v>1</v>
      </c>
      <c r="O17">
        <v>0</v>
      </c>
      <c r="P17">
        <f>IF(Summary!$B$3=0,0,O17/Summary!$B$3)</f>
        <v>0</v>
      </c>
      <c r="Q17">
        <f>IFERROR(1/IF(Inputs!$B$4="pvp",15,MAX(0.1,Skills!E17-IF(Skills!F17=TRUE,Inputs!$B$31,0))),0)</f>
        <v>4.7619047619047616E-2</v>
      </c>
      <c r="R17">
        <f>IF(AND(Inputs!$B$4&lt;&gt;"pvp",Inputs!$B$35&gt;0),(INT(Inputs!$B$35/IF(Inputs!$B$4="pvp",15,MAX(0.1,Skills!E17-IF(Skills!F17=TRUE,Inputs!$B$31,0))))+1),0)</f>
        <v>0</v>
      </c>
    </row>
    <row r="18" spans="1:18" x14ac:dyDescent="0.2">
      <c r="A18" t="str">
        <f>Skills!A18</f>
        <v>NIMBLE_FEET</v>
      </c>
      <c r="B18" t="str">
        <f>Skills!B18</f>
        <v>Nimble Feet</v>
      </c>
      <c r="C18" t="b">
        <f>TRUE</f>
        <v>1</v>
      </c>
      <c r="D18">
        <f>IF(Skills!C18=1,60+Inputs!$B$24+Inputs!$B$28,IF(Skills!C18=2,90+Inputs!$B$25+Inputs!$B$28,IF(Skills!C18=3,120+Inputs!$B$26+Inputs!$B$28,MAX(0,(Inputs!$B$3-100)*3)+Inputs!$B$27+Inputs!$B$28)))</f>
        <v>115</v>
      </c>
      <c r="E18">
        <f>INDEX(FactorTable!$B$2:$Y$301, MATCH(ROUND(MIN(300,MAX(1,D18)),0), FactorTable!$A$2:$A$301,0), Skills!M18+1)</f>
        <v>0</v>
      </c>
      <c r="F18">
        <f>IF(Skills!N18=TRUE,(Skills!L18/10)*(E18/1000),Skills!L18/10)+Skills!O18</f>
        <v>15</v>
      </c>
      <c r="G18">
        <f>Skills!G18*IF(Skills!H18&gt;0,Skills!I18/Skills!H18,1)</f>
        <v>1</v>
      </c>
      <c r="H18">
        <f>1-(1-Skills!J18/100)^Skills!K18</f>
        <v>1</v>
      </c>
      <c r="I18">
        <f>IF(Skills!X18&lt;&gt;"",1+(Skills!X18/10)*($Z$3/1000)/100,1)</f>
        <v>1</v>
      </c>
      <c r="O18">
        <v>0</v>
      </c>
      <c r="P18">
        <f>IF(Summary!$B$3=0,0,O18/Summary!$B$3)</f>
        <v>0</v>
      </c>
      <c r="Q18">
        <f>IFERROR(1/IF(Inputs!$B$4="pvp",15,MAX(0.1,Skills!E18-IF(Skills!F18=TRUE,Inputs!$B$31,0))),0)</f>
        <v>1.6666666666666666E-2</v>
      </c>
      <c r="R18">
        <f>IF(AND(Inputs!$B$4&lt;&gt;"pvp",Inputs!$B$35&gt;0),(INT(Inputs!$B$35/IF(Inputs!$B$4="pvp",15,MAX(0.1,Skills!E18-IF(Skills!F18=TRUE,Inputs!$B$31,0))))+1),0)</f>
        <v>0</v>
      </c>
    </row>
    <row r="19" spans="1:18" x14ac:dyDescent="0.2">
      <c r="A19" t="str">
        <f>Skills!A19</f>
        <v>INFINITY</v>
      </c>
      <c r="B19" t="str">
        <f>Skills!B19</f>
        <v>Infinity</v>
      </c>
      <c r="C19" t="b">
        <f>Inputs!$B$3&gt;=110</f>
        <v>1</v>
      </c>
      <c r="D19">
        <f>IF(Skills!C19=1,60+Inputs!$B$24+Inputs!$B$28,IF(Skills!C19=2,90+Inputs!$B$25+Inputs!$B$28,IF(Skills!C19=3,120+Inputs!$B$26+Inputs!$B$28,MAX(0,(Inputs!$B$3-100)*3)+Inputs!$B$27+Inputs!$B$28)))</f>
        <v>172</v>
      </c>
      <c r="E19">
        <f>INDEX(FactorTable!$B$2:$Y$301, MATCH(ROUND(MIN(300,MAX(1,D19)),0), FactorTable!$A$2:$A$301,0), Skills!M19+1)</f>
        <v>1688</v>
      </c>
      <c r="F19">
        <f>IF(Skills!N19=TRUE,(Skills!L19/10)*(E19/1000),Skills!L19/10)+Skills!O19</f>
        <v>36.573895999999998</v>
      </c>
      <c r="G19">
        <f>Skills!G19*IF(Skills!H19&gt;0,Skills!I19/Skills!H19,1)</f>
        <v>1</v>
      </c>
      <c r="H19">
        <f>1-(1-Skills!J19/100)^Skills!K19</f>
        <v>1</v>
      </c>
      <c r="I19">
        <f>IF(Skills!X19&lt;&gt;"",1+(Skills!X19/10)*($Z$3/1000)/100,1)</f>
        <v>1</v>
      </c>
      <c r="O19">
        <v>0</v>
      </c>
      <c r="P19">
        <f>IF(Summary!$B$3=0,0,O19/Summary!$B$3)</f>
        <v>0</v>
      </c>
      <c r="Q19">
        <f>IFERROR(1/IF(Inputs!$B$4="pvp",15,MAX(0.1,Skills!E19-IF(Skills!F19=TRUE,Inputs!$B$31,0))),0)</f>
        <v>3.3333333333333333E-2</v>
      </c>
      <c r="R19">
        <f>IF(AND(Inputs!$B$4&lt;&gt;"pvp",Inputs!$B$35&gt;0),(INT(Inputs!$B$35/IF(Inputs!$B$4="pvp",15,MAX(0.1,Skills!E19-IF(Skills!F19=TRUE,Inputs!$B$31,0))))+1),0)</f>
        <v>0</v>
      </c>
    </row>
    <row r="20" spans="1:18" x14ac:dyDescent="0.2">
      <c r="A20" t="str">
        <f>Skills!A20</f>
        <v>MAGIC_CRITICAL_RATE</v>
      </c>
      <c r="B20" t="str">
        <f>Skills!B20</f>
        <v>Magic Critical (Crit Rate)</v>
      </c>
      <c r="C20" t="b">
        <f>TRUE</f>
        <v>1</v>
      </c>
      <c r="D20">
        <f>IF(Skills!C20=1,60+Inputs!$B$24+Inputs!$B$28,IF(Skills!C20=2,90+Inputs!$B$25+Inputs!$B$28,IF(Skills!C20=3,120+Inputs!$B$26+Inputs!$B$28,MAX(0,(Inputs!$B$3-100)*3)+Inputs!$B$27+Inputs!$B$28)))</f>
        <v>184</v>
      </c>
      <c r="E20">
        <f>INDEX(FactorTable!$B$2:$Y$301, MATCH(ROUND(MIN(300,MAX(1,D20)),0), FactorTable!$A$2:$A$301,0), Skills!M20+1)</f>
        <v>1552</v>
      </c>
      <c r="F20">
        <f>IF(Skills!N20=TRUE,(Skills!L20/10)*(E20/1000),Skills!L20/10)+Skills!O20</f>
        <v>12.416</v>
      </c>
      <c r="G20">
        <f>Skills!G20*IF(Skills!H20&gt;0,Skills!I20/Skills!H20,1)</f>
        <v>1</v>
      </c>
      <c r="H20">
        <f>1-(1-Skills!J20/100)^Skills!K20</f>
        <v>1</v>
      </c>
      <c r="I20">
        <f>IF(Skills!X20&lt;&gt;"",1+(Skills!X20/10)*($Z$3/1000)/100,1)</f>
        <v>1</v>
      </c>
      <c r="O20">
        <v>0</v>
      </c>
      <c r="P20">
        <f>IF(Summary!$B$3=0,0,O20/Summary!$B$3)</f>
        <v>0</v>
      </c>
      <c r="Q20">
        <f>IFERROR(1/IF(Inputs!$B$4="pvp",15,MAX(0.1,Skills!E20-IF(Skills!F20=TRUE,Inputs!$B$31,0))),0)</f>
        <v>10</v>
      </c>
      <c r="R20">
        <v>0</v>
      </c>
    </row>
    <row r="21" spans="1:18" x14ac:dyDescent="0.2">
      <c r="A21" t="str">
        <f>Skills!A21</f>
        <v>MAGIC_CRITICAL_DAMAGE</v>
      </c>
      <c r="B21" t="str">
        <f>Skills!B21</f>
        <v>Magic Critical (Crit Damage)</v>
      </c>
      <c r="C21" t="b">
        <f>TRUE</f>
        <v>1</v>
      </c>
      <c r="D21">
        <f>IF(Skills!C21=1,60+Inputs!$B$24+Inputs!$B$28,IF(Skills!C21=2,90+Inputs!$B$25+Inputs!$B$28,IF(Skills!C21=3,120+Inputs!$B$26+Inputs!$B$28,MAX(0,(Inputs!$B$3-100)*3)+Inputs!$B$27+Inputs!$B$28)))</f>
        <v>184</v>
      </c>
      <c r="E21">
        <f>INDEX(FactorTable!$B$2:$Y$301, MATCH(ROUND(MIN(300,MAX(1,D21)),0), FactorTable!$A$2:$A$301,0), Skills!M21+1)</f>
        <v>1552</v>
      </c>
      <c r="F21">
        <f>IF(Skills!N21=TRUE,(Skills!L21/10)*(E21/1000),Skills!L21/10)+Skills!O21</f>
        <v>18.624000000000002</v>
      </c>
      <c r="G21">
        <f>Skills!G21*IF(Skills!H21&gt;0,Skills!I21/Skills!H21,1)</f>
        <v>1</v>
      </c>
      <c r="H21">
        <f>1-(1-Skills!J21/100)^Skills!K21</f>
        <v>1</v>
      </c>
      <c r="I21">
        <f>IF(Skills!X21&lt;&gt;"",1+(Skills!X21/10)*($Z$3/1000)/100,1)</f>
        <v>1</v>
      </c>
      <c r="O21">
        <v>0</v>
      </c>
      <c r="P21">
        <f>IF(Summary!$B$3=0,0,O21/Summary!$B$3)</f>
        <v>0</v>
      </c>
      <c r="Q21">
        <f>IFERROR(1/IF(Inputs!$B$4="pvp",15,MAX(0.1,Skills!E21-IF(Skills!F21=TRUE,Inputs!$B$31,0))),0)</f>
        <v>10</v>
      </c>
      <c r="R21">
        <v>0</v>
      </c>
    </row>
    <row r="22" spans="1:18" x14ac:dyDescent="0.2">
      <c r="A22" t="str">
        <f>Skills!A22</f>
        <v>SPELL_MASTERY</v>
      </c>
      <c r="B22" t="str">
        <f>Skills!B22</f>
        <v>Spell Mastery</v>
      </c>
      <c r="C22" t="b">
        <f>TRUE</f>
        <v>1</v>
      </c>
      <c r="D22">
        <f>IF(Skills!C22=1,60+Inputs!$B$24+Inputs!$B$28,IF(Skills!C22=2,90+Inputs!$B$25+Inputs!$B$28,IF(Skills!C22=3,120+Inputs!$B$26+Inputs!$B$28,MAX(0,(Inputs!$B$3-100)*3)+Inputs!$B$27+Inputs!$B$28)))</f>
        <v>164</v>
      </c>
      <c r="E22">
        <f>INDEX(FactorTable!$B$2:$Y$301, MATCH(ROUND(MIN(300,MAX(1,D22)),0), FactorTable!$A$2:$A$301,0), Skills!M22+1)</f>
        <v>1492</v>
      </c>
      <c r="F22">
        <f>IF(Skills!N22=TRUE,(Skills!L22/10)*(E22/1000),Skills!L22/10)+Skills!O22</f>
        <v>22.38</v>
      </c>
      <c r="G22">
        <f>Skills!G22*IF(Skills!H22&gt;0,Skills!I22/Skills!H22,1)</f>
        <v>1</v>
      </c>
      <c r="H22">
        <f>1-(1-Skills!J22/100)^Skills!K22</f>
        <v>1</v>
      </c>
      <c r="I22">
        <f>IF(Skills!X22&lt;&gt;"",1+(Skills!X22/10)*($Z$3/1000)/100,1)</f>
        <v>1</v>
      </c>
      <c r="O22">
        <v>0</v>
      </c>
      <c r="P22">
        <f>IF(Summary!$B$3=0,0,O22/Summary!$B$3)</f>
        <v>0</v>
      </c>
      <c r="Q22">
        <f>IFERROR(1/IF(Inputs!$B$4="pvp",15,MAX(0.1,Skills!E22-IF(Skills!F22=TRUE,Inputs!$B$31,0))),0)</f>
        <v>10</v>
      </c>
      <c r="R22">
        <v>0</v>
      </c>
    </row>
    <row r="23" spans="1:18" x14ac:dyDescent="0.2">
      <c r="A23" t="str">
        <f>Skills!A23</f>
        <v>ELEMENT_AMPLIFICATION</v>
      </c>
      <c r="B23" t="str">
        <f>Skills!B23</f>
        <v>Element Amplification</v>
      </c>
      <c r="C23" t="b">
        <f>TRUE</f>
        <v>1</v>
      </c>
      <c r="D23">
        <f>IF(Skills!C23=1,60+Inputs!$B$24+Inputs!$B$28,IF(Skills!C23=2,90+Inputs!$B$25+Inputs!$B$28,IF(Skills!C23=3,120+Inputs!$B$26+Inputs!$B$28,MAX(0,(Inputs!$B$3-100)*3)+Inputs!$B$27+Inputs!$B$28)))</f>
        <v>172</v>
      </c>
      <c r="E23">
        <f>INDEX(FactorTable!$B$2:$Y$301, MATCH(ROUND(MIN(300,MAX(1,D23)),0), FactorTable!$A$2:$A$301,0), Skills!M23+1)</f>
        <v>1516</v>
      </c>
      <c r="F23">
        <f>IF(Skills!N23=TRUE,(Skills!L23/10)*(E23/1000),Skills!L23/10)+Skills!O23</f>
        <v>22.740000000000002</v>
      </c>
      <c r="G23">
        <f>Skills!G23*IF(Skills!H23&gt;0,Skills!I23/Skills!H23,1)</f>
        <v>1</v>
      </c>
      <c r="H23">
        <f>1-(1-Skills!J23/100)^Skills!K23</f>
        <v>1</v>
      </c>
      <c r="I23">
        <f>IF(Skills!X23&lt;&gt;"",1+(Skills!X23/10)*($Z$3/1000)/100,1)</f>
        <v>1</v>
      </c>
      <c r="O23">
        <v>0</v>
      </c>
      <c r="P23">
        <f>IF(Summary!$B$3=0,0,O23/Summary!$B$3)</f>
        <v>0</v>
      </c>
      <c r="Q23">
        <f>IFERROR(1/IF(Inputs!$B$4="pvp",15,MAX(0.1,Skills!E23-IF(Skills!F23=TRUE,Inputs!$B$31,0))),0)</f>
        <v>10</v>
      </c>
      <c r="R23">
        <v>0</v>
      </c>
    </row>
    <row r="24" spans="1:18" x14ac:dyDescent="0.2">
      <c r="A24" t="str">
        <f>Skills!A24</f>
        <v>IFRIT</v>
      </c>
      <c r="B24" t="str">
        <f>Skills!B24</f>
        <v>Ifrit</v>
      </c>
      <c r="C24" t="b">
        <f>Inputs!$B$3&gt;=115</f>
        <v>0</v>
      </c>
      <c r="D24">
        <f>IF(Skills!C24=1,60+Inputs!$B$24+Inputs!$B$28,IF(Skills!C24=2,90+Inputs!$B$25+Inputs!$B$28,IF(Skills!C24=3,120+Inputs!$B$26+Inputs!$B$28,MAX(0,(Inputs!$B$3-100)*3)+Inputs!$B$27+Inputs!$B$28)))</f>
        <v>172</v>
      </c>
      <c r="E24">
        <f>INDEX(FactorTable!$B$2:$Y$301, MATCH(ROUND(MIN(300,MAX(1,D24)),0), FactorTable!$A$2:$A$301,0), Skills!M24+1)</f>
        <v>1860</v>
      </c>
      <c r="F24">
        <f>IF(Skills!N24=TRUE,(Skills!L24/10)*(E24/1000),Skills!L24/10)+Skills!O24</f>
        <v>6510</v>
      </c>
      <c r="G24">
        <f>Skills!G24*IF(Skills!H24&gt;0,Skills!I24/Skills!H24,1)</f>
        <v>7.5</v>
      </c>
      <c r="H24">
        <f>1-(1-Skills!J24/100)^Skills!K24</f>
        <v>1</v>
      </c>
      <c r="I24">
        <f>IF(Skills!X24&lt;&gt;"",1+(Skills!X24/10)*($Z$3/1000)/100,1)</f>
        <v>1</v>
      </c>
      <c r="J24">
        <f>Summary!$B$51*(F24/100)</f>
        <v>16263999540.532799</v>
      </c>
      <c r="K24">
        <f>J24*(1+Summary!$B$52/100)*(1+Inputs!$B$14/100)*(1+IF(Inputs!$B$4="pvp",0,(1-Summary!$B$56)*(Inputs!$B$19+Skills!P24)+Summary!$B$56*(Inputs!$B$20+Skills!Q24))/100)*(1+Inputs!$B$15/100)*(5000/(6000+Inputs!$B$7*(1-Inputs!$B$18/100)))*(1+Inputs!$B$23/100)*(1+F23/100)*(1+IF(Inputs!$B$3&gt;=120,F26,0)/100)^5*(1+(IF(Skills!A24="BASIC_ATTACK",Inputs!$B$16,Inputs!$B$17+IF(Inputs!$B$3&gt;=125,F27*5,0)))/100)*(Summary!$B$58*Summary!$B$59*Summary!$B$60*I24)</f>
        <v>123735236722176.92</v>
      </c>
      <c r="L24">
        <f>K24*(MIN(Inputs!$B$21,Inputs!$B$22)/100+Inputs!$B$22/100)/2</f>
        <v>334023271531516.56</v>
      </c>
      <c r="M24">
        <f>L24*(1+Inputs!$B$9/100)</f>
        <v>1399891530988586.2</v>
      </c>
      <c r="N24">
        <f>L24*(1-MIN(Inputs!$B$8,100)/100)+M24*(MIN(Inputs!$B$8,100)/100)</f>
        <v>1399891530988586.2</v>
      </c>
      <c r="O24">
        <f>IF(C24,H24*N24*IF(AND(Inputs!$B$4&lt;&gt;"pvp",Inputs!$B$35&gt;0),((Skills!G24*((R24-1)*IF(Skills!H24&gt;0,Skills!I24/Skills!H24,1)+IF(Skills!H24&gt;0,MIN(Skills!I24,MAX(0,Inputs!$B$35-((R24-1)*IF(Inputs!$B$4="pvp",15,MAX(0.1,Skills!E24-IF(Skills!F24=TRUE,Inputs!$B$31,0))))))/Skills!H24,1)))/Inputs!$B$35),G24*Q24)*(1+IF(Inputs!$B$3&gt;=130,0.2*(Skills!I16/Skills!E15+IF(Inputs!$B$3&gt;=126,0.05*(Summary!$B$64+Q13+(H14*Summary!$B$66)/(1+Skills!H14*H14*Summary!$B$66)+Q24),0)*Skills!I16),0))*IF(Inputs!$B$4="pvp",1,(1-Summary!$B$56)*(1)+Summary!$B$56*(MIN(Skills!R24,Inputs!$B$37))),0)</f>
        <v>0</v>
      </c>
      <c r="P24">
        <f>IF(Summary!$B$3=0,0,O24/Summary!$B$3)</f>
        <v>0</v>
      </c>
      <c r="Q24">
        <f>IFERROR(1/IF(Inputs!$B$4="pvp",15,MAX(0.1,Skills!E24-IF(Skills!F24=TRUE,Inputs!$B$31,0))),0)</f>
        <v>1.2500000000000001E-2</v>
      </c>
      <c r="R24">
        <f>IF(AND(Inputs!$B$4&lt;&gt;"pvp",Inputs!$B$35&gt;0),(INT(Inputs!$B$35/IF(Inputs!$B$4="pvp",15,MAX(0.1,Skills!E24-IF(Skills!F24=TRUE,Inputs!$B$31,0))))+1),0)</f>
        <v>0</v>
      </c>
    </row>
    <row r="25" spans="1:18" x14ac:dyDescent="0.2">
      <c r="A25" t="str">
        <f>Skills!A25</f>
        <v>BUFF_MASTERY</v>
      </c>
      <c r="B25" t="str">
        <f>Skills!B25</f>
        <v>Buff Mastery</v>
      </c>
      <c r="C25" t="b">
        <f>Inputs!$B$3&gt;=117</f>
        <v>0</v>
      </c>
      <c r="D25">
        <f>IF(Skills!C25=1,60+Inputs!$B$24+Inputs!$B$28,IF(Skills!C25=2,90+Inputs!$B$25+Inputs!$B$28,IF(Skills!C25=3,120+Inputs!$B$26+Inputs!$B$28,MAX(0,(Inputs!$B$3-100)*3)+Inputs!$B$27+Inputs!$B$28)))</f>
        <v>172</v>
      </c>
      <c r="E25">
        <f>INDEX(FactorTable!$B$2:$Y$301, MATCH(ROUND(MIN(300,MAX(1,D25)),0), FactorTable!$A$2:$A$301,0), Skills!M25+1)</f>
        <v>1516</v>
      </c>
      <c r="F25">
        <f>IF(Skills!N25=TRUE,(Skills!L25/10)*(E25/1000),Skills!L25/10)+Skills!O25</f>
        <v>15.16</v>
      </c>
      <c r="G25">
        <f>Skills!G25*IF(Skills!H25&gt;0,Skills!I25/Skills!H25,1)</f>
        <v>1</v>
      </c>
      <c r="H25">
        <f>1-(1-Skills!J25/100)^Skills!K25</f>
        <v>1</v>
      </c>
      <c r="I25">
        <f>IF(Skills!X25&lt;&gt;"",1+(Skills!X25/10)*($Z$3/1000)/100,1)</f>
        <v>1</v>
      </c>
      <c r="O25">
        <v>0</v>
      </c>
      <c r="P25">
        <f>IF(Summary!$B$3=0,0,O25/Summary!$B$3)</f>
        <v>0</v>
      </c>
      <c r="Q25">
        <f>IFERROR(1/IF(Inputs!$B$4="pvp",15,MAX(0.1,Skills!E25-IF(Skills!F25=TRUE,Inputs!$B$31,0))),0)</f>
        <v>10</v>
      </c>
      <c r="R25">
        <v>0</v>
      </c>
    </row>
    <row r="26" spans="1:18" x14ac:dyDescent="0.2">
      <c r="A26" t="str">
        <f>Skills!A26</f>
        <v>ARCANE_AIM</v>
      </c>
      <c r="B26" t="str">
        <f>Skills!B26</f>
        <v>Arcane Aim</v>
      </c>
      <c r="C26" t="b">
        <f>Inputs!$B$3&gt;=120</f>
        <v>0</v>
      </c>
      <c r="D26">
        <f>IF(Skills!C26=1,60+Inputs!$B$24+Inputs!$B$28,IF(Skills!C26=2,90+Inputs!$B$25+Inputs!$B$28,IF(Skills!C26=3,120+Inputs!$B$26+Inputs!$B$28,MAX(0,(Inputs!$B$3-100)*3)+Inputs!$B$27+Inputs!$B$28)))</f>
        <v>172</v>
      </c>
      <c r="E26">
        <f>INDEX(FactorTable!$B$2:$Y$301, MATCH(ROUND(MIN(300,MAX(1,D26)),0), FactorTable!$A$2:$A$301,0), Skills!M26+1)</f>
        <v>1516</v>
      </c>
      <c r="F26">
        <f>IF(Skills!N26=TRUE,(Skills!L26/10)*(E26/1000),Skills!L26/10)+Skills!O26</f>
        <v>4.548</v>
      </c>
      <c r="G26">
        <f>Skills!G26*IF(Skills!H26&gt;0,Skills!I26/Skills!H26,1)</f>
        <v>1</v>
      </c>
      <c r="H26">
        <f>1-(1-Skills!J26/100)^Skills!K26</f>
        <v>1</v>
      </c>
      <c r="I26">
        <f>IF(Skills!X26&lt;&gt;"",1+(Skills!X26/10)*($Z$3/1000)/100,1)</f>
        <v>1</v>
      </c>
      <c r="O26">
        <v>0</v>
      </c>
      <c r="P26">
        <f>IF(Summary!$B$3=0,0,O26/Summary!$B$3)</f>
        <v>0</v>
      </c>
      <c r="Q26">
        <f>IFERROR(1/IF(Inputs!$B$4="pvp",15,MAX(0.1,Skills!E26-IF(Skills!F26=TRUE,Inputs!$B$31,0))),0)</f>
        <v>10</v>
      </c>
      <c r="R26">
        <v>0</v>
      </c>
    </row>
    <row r="27" spans="1:18" x14ac:dyDescent="0.2">
      <c r="A27" t="str">
        <f>Skills!A27</f>
        <v>FERVENT_DRAIN</v>
      </c>
      <c r="B27" t="str">
        <f>Skills!B27</f>
        <v>Fervent Drain</v>
      </c>
      <c r="C27" t="b">
        <f>Inputs!$B$3&gt;=125</f>
        <v>0</v>
      </c>
      <c r="D27">
        <f>IF(Skills!C27=1,60+Inputs!$B$24+Inputs!$B$28,IF(Skills!C27=2,90+Inputs!$B$25+Inputs!$B$28,IF(Skills!C27=3,120+Inputs!$B$26+Inputs!$B$28,MAX(0,(Inputs!$B$3-100)*3)+Inputs!$B$27+Inputs!$B$28)))</f>
        <v>172</v>
      </c>
      <c r="E27">
        <f>INDEX(FactorTable!$B$2:$Y$301, MATCH(ROUND(MIN(300,MAX(1,D27)),0), FactorTable!$A$2:$A$301,0), Skills!M27+1)</f>
        <v>1516</v>
      </c>
      <c r="F27">
        <f>IF(Skills!N27=TRUE,(Skills!L27/10)*(E27/1000),Skills!L27/10)+Skills!O27</f>
        <v>6.0640000000000001</v>
      </c>
      <c r="G27">
        <f>Skills!G27*IF(Skills!H27&gt;0,Skills!I27/Skills!H27,1)</f>
        <v>1</v>
      </c>
      <c r="H27">
        <f>1-(1-Skills!J27/100)^Skills!K27</f>
        <v>1</v>
      </c>
      <c r="I27">
        <f>IF(Skills!X27&lt;&gt;"",1+(Skills!X27/10)*($Z$3/1000)/100,1)</f>
        <v>1</v>
      </c>
      <c r="O27">
        <v>0</v>
      </c>
      <c r="P27">
        <f>IF(Summary!$B$3=0,0,O27/Summary!$B$3)</f>
        <v>0</v>
      </c>
      <c r="Q27">
        <f>IFERROR(1/IF(Inputs!$B$4="pvp",15,MAX(0.1,Skills!E27-IF(Skills!F27=TRUE,Inputs!$B$31,0))),0)</f>
        <v>10</v>
      </c>
      <c r="R27">
        <v>0</v>
      </c>
    </row>
    <row r="28" spans="1:18" x14ac:dyDescent="0.2">
      <c r="A28" t="str">
        <f>Skills!A28</f>
        <v>FLAME_HAZE_FOG</v>
      </c>
      <c r="B28" t="str">
        <f>Skills!B28</f>
        <v>Flame Haze (poison fog DoT)</v>
      </c>
      <c r="C28" t="b">
        <f>Inputs!$B$3&gt;=118</f>
        <v>0</v>
      </c>
      <c r="D28">
        <f>IF(Skills!C28=1,60+Inputs!$B$24+Inputs!$B$28,IF(Skills!C28=2,90+Inputs!$B$25+Inputs!$B$28,IF(Skills!C28=3,120+Inputs!$B$26+Inputs!$B$28,MAX(0,(Inputs!$B$3-100)*3)+Inputs!$B$27+Inputs!$B$28)))</f>
        <v>172</v>
      </c>
      <c r="E28">
        <f>INDEX(FactorTable!$B$2:$Y$301, MATCH(ROUND(MIN(300,MAX(1,D28)),0), FactorTable!$A$2:$A$301,0), Skills!M28+1)</f>
        <v>1860</v>
      </c>
      <c r="F28">
        <f>IF(Skills!N28=TRUE,(Skills!L28/10)*(E28/1000),Skills!L28/10)+Skills!O28</f>
        <v>130.20000000000002</v>
      </c>
      <c r="G28">
        <f>Skills!G28*IF(Skills!H28&gt;0,Skills!I28/Skills!H28,1)</f>
        <v>50</v>
      </c>
      <c r="H28">
        <f>1-(1-Skills!J28/100)^Skills!K28</f>
        <v>1</v>
      </c>
      <c r="I28">
        <f>IF(Skills!X28&lt;&gt;"",1+(Skills!X28/10)*($Z$3/1000)/100,1)</f>
        <v>1</v>
      </c>
      <c r="J28">
        <f>Summary!$B$51*(F28/100)</f>
        <v>325279990.81065607</v>
      </c>
      <c r="K28">
        <f>J28*(1+Summary!$B$52/100)*(1+Inputs!$B$14/100)*(1+IF(Inputs!$B$4="pvp",0,(1-Summary!$B$56)*(Inputs!$B$19+Skills!P28)+Summary!$B$56*(Inputs!$B$20+Skills!Q28))/100)*(1+Inputs!$B$15/100)*(5000/(6000+Inputs!$B$7*(1-Inputs!$B$18/100)))*(1+Inputs!$B$23/100)*(1+F23/100)*(1+IF(Inputs!$B$3&gt;=120,F26,0)/100)^5*(1+(IF(Skills!A28="BASIC_ATTACK",Inputs!$B$16,Inputs!$B$17+IF(Inputs!$B$3&gt;=125,F27*5,0)))/100)*(Summary!$B$58*Summary!$B$59*Summary!$B$60*I28)</f>
        <v>2474704734443.54</v>
      </c>
      <c r="L28">
        <f>K28*(MIN(Inputs!$B$21,Inputs!$B$22)/100+Inputs!$B$22/100)/2</f>
        <v>6680465430630.335</v>
      </c>
      <c r="M28">
        <f>L28*(1+Inputs!$B$9/100)</f>
        <v>27997830619771.738</v>
      </c>
      <c r="N28">
        <f>L28*(1-MIN(Inputs!$B$8,100)/100)+M28*(MIN(Inputs!$B$8,100)/100)</f>
        <v>27997830619771.738</v>
      </c>
      <c r="O28">
        <f>IF(C28,H28*N28*IF(AND(Inputs!$B$4&lt;&gt;"pvp",Inputs!$B$35&gt;0),((Skills!G28*((R28-1)*IF(Skills!H28&gt;0,Skills!I28/Skills!H28,1)+IF(Skills!H28&gt;0,MIN(Skills!I28,MAX(0,Inputs!$B$35-((R28-1)*IF(Inputs!$B$4="pvp",15,MAX(0.1,Skills!E28-IF(Skills!F28=TRUE,Inputs!$B$31,0))))))/Skills!H28,1)))/Inputs!$B$35),G28*Q28)*IF(Inputs!$B$4="pvp",1,(1-Summary!$B$56)*(1)+Summary!$B$56*(MIN(Skills!R28,Inputs!$B$37))),0)</f>
        <v>0</v>
      </c>
      <c r="P28">
        <f>IF(Summary!$B$3=0,0,O28/Summary!$B$3)</f>
        <v>0</v>
      </c>
      <c r="Q28">
        <f>IFERROR(1/IF(Inputs!$B$4="pvp",15,MAX(0.1,Skills!E28-IF(Skills!F28=TRUE,Inputs!$B$31,0))),0)</f>
        <v>0.04</v>
      </c>
      <c r="R28">
        <f>IF(AND(Inputs!$B$4&lt;&gt;"pvp",Inputs!$B$35&gt;0),(INT(Inputs!$B$35/IF(Inputs!$B$4="pvp",15,MAX(0.1,Skills!E28-IF(Skills!F28=TRUE,Inputs!$B$31,0))))+1),0)</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6"/>
  <sheetViews>
    <sheetView topLeftCell="A13" workbookViewId="0">
      <selection activeCell="B31" sqref="B31"/>
    </sheetView>
  </sheetViews>
  <sheetFormatPr baseColWidth="10" defaultColWidth="8.83203125" defaultRowHeight="15" x14ac:dyDescent="0.2"/>
  <cols>
    <col min="1" max="1" width="55" customWidth="1"/>
    <col min="2" max="2" width="16" customWidth="1"/>
    <col min="3" max="3" width="12" customWidth="1"/>
  </cols>
  <sheetData>
    <row r="1" spans="1:3" ht="19" x14ac:dyDescent="0.25">
      <c r="A1" s="4" t="s">
        <v>207</v>
      </c>
    </row>
    <row r="3" spans="1:3" ht="17" x14ac:dyDescent="0.2">
      <c r="A3" s="9" t="s">
        <v>208</v>
      </c>
      <c r="B3" s="9">
        <f>SUM(Calc!O2:O28)</f>
        <v>8339583922234890</v>
      </c>
    </row>
    <row r="5" spans="1:3" ht="16" x14ac:dyDescent="0.2">
      <c r="A5" s="7" t="s">
        <v>209</v>
      </c>
    </row>
    <row r="6" spans="1:3" x14ac:dyDescent="0.2">
      <c r="A6" s="8" t="s">
        <v>210</v>
      </c>
      <c r="B6" s="8" t="s">
        <v>202</v>
      </c>
      <c r="C6" s="8" t="s">
        <v>203</v>
      </c>
    </row>
    <row r="7" spans="1:3" x14ac:dyDescent="0.2">
      <c r="A7" t="str">
        <f>Calc!B2</f>
        <v>Basic Attack</v>
      </c>
      <c r="B7">
        <f>Calc!O2</f>
        <v>3897785013811828</v>
      </c>
      <c r="C7">
        <f>Calc!P2*100</f>
        <v>46.738363090508685</v>
      </c>
    </row>
    <row r="8" spans="1:3" x14ac:dyDescent="0.2">
      <c r="A8" t="str">
        <f>Calc!B3</f>
        <v>Ignite</v>
      </c>
      <c r="B8">
        <f>Calc!O3</f>
        <v>820995235145352.75</v>
      </c>
      <c r="C8">
        <f>Calc!P3*100</f>
        <v>9.8445587070168568</v>
      </c>
    </row>
    <row r="9" spans="1:3" x14ac:dyDescent="0.2">
      <c r="A9" t="str">
        <f>Calc!B4</f>
        <v>Poison Breath</v>
      </c>
      <c r="B9">
        <f>Calc!O4</f>
        <v>436517288062929.56</v>
      </c>
      <c r="C9">
        <f>Calc!P4*100</f>
        <v>5.2342813758261109</v>
      </c>
    </row>
    <row r="10" spans="1:3" x14ac:dyDescent="0.2">
      <c r="A10" t="str">
        <f>Calc!B5</f>
        <v>Elemental Drain</v>
      </c>
      <c r="B10">
        <f>Calc!O5</f>
        <v>262375541095797.06</v>
      </c>
      <c r="C10">
        <f>Calc!P5*100</f>
        <v>3.1461466608214685</v>
      </c>
    </row>
    <row r="11" spans="1:3" x14ac:dyDescent="0.2">
      <c r="A11" t="str">
        <f>Calc!B7</f>
        <v>Poison Mist (burst)</v>
      </c>
      <c r="B11">
        <f>Calc!O7</f>
        <v>105461536397940.41</v>
      </c>
      <c r="C11">
        <f>Calc!P7*100</f>
        <v>1.264589904980274</v>
      </c>
    </row>
    <row r="12" spans="1:3" x14ac:dyDescent="0.2">
      <c r="A12" t="str">
        <f>Calc!B8</f>
        <v>Poison Mist (fog DoT)</v>
      </c>
      <c r="B12">
        <f>Calc!O8</f>
        <v>661348940457409.25</v>
      </c>
      <c r="C12">
        <f>Calc!P8*100</f>
        <v>7.9302390457889542</v>
      </c>
    </row>
    <row r="13" spans="1:3" x14ac:dyDescent="0.2">
      <c r="A13" t="str">
        <f>Calc!B9</f>
        <v>Mist Eruption</v>
      </c>
      <c r="B13">
        <f>Calc!O9</f>
        <v>877646282285089.12</v>
      </c>
      <c r="C13">
        <f>Calc!P9*100</f>
        <v>10.523861747408285</v>
      </c>
    </row>
    <row r="14" spans="1:3" x14ac:dyDescent="0.2">
      <c r="A14" t="str">
        <f>Calc!B10</f>
        <v>Creeping Toxin</v>
      </c>
      <c r="B14">
        <f>Calc!O10</f>
        <v>69256656298814.883</v>
      </c>
      <c r="C14">
        <f>Calc!P10*100</f>
        <v>0.83045697416826381</v>
      </c>
    </row>
    <row r="15" spans="1:3" x14ac:dyDescent="0.2">
      <c r="A15" t="str">
        <f>Calc!B13</f>
        <v>Meteor Shower (burst)</v>
      </c>
      <c r="B15">
        <f>Calc!O13</f>
        <v>301067581210012.88</v>
      </c>
      <c r="C15">
        <f>Calc!P13*100</f>
        <v>3.6101031420441783</v>
      </c>
    </row>
    <row r="16" spans="1:3" x14ac:dyDescent="0.2">
      <c r="A16" t="str">
        <f>Calc!B14</f>
        <v>Meteor Proc (30% on-hit, 1s ICD)</v>
      </c>
      <c r="B16">
        <f>Calc!O14</f>
        <v>108471730590284.94</v>
      </c>
      <c r="C16">
        <f>Calc!P14*100</f>
        <v>1.3006851612953858</v>
      </c>
    </row>
    <row r="17" spans="1:3" x14ac:dyDescent="0.2">
      <c r="A17" t="str">
        <f>Calc!B15</f>
        <v>Flame Haze (burst)</v>
      </c>
      <c r="B17">
        <f>Calc!O15</f>
        <v>368611438559737.5</v>
      </c>
      <c r="C17">
        <f>Calc!P15*100</f>
        <v>4.4200219339114808</v>
      </c>
    </row>
    <row r="18" spans="1:3" x14ac:dyDescent="0.2">
      <c r="A18" t="str">
        <f>Calc!B16</f>
        <v>Flame Haze (burn DoT)</v>
      </c>
      <c r="B18">
        <f>Calc!O16</f>
        <v>430046678319693.75</v>
      </c>
      <c r="C18">
        <f>Calc!P16*100</f>
        <v>5.1566922562300608</v>
      </c>
    </row>
    <row r="19" spans="1:3" x14ac:dyDescent="0.2">
      <c r="A19" t="str">
        <f>Calc!B24</f>
        <v>Ifrit</v>
      </c>
      <c r="B19">
        <f>Calc!O24</f>
        <v>0</v>
      </c>
      <c r="C19">
        <f>Calc!P24*100</f>
        <v>0</v>
      </c>
    </row>
    <row r="20" spans="1:3" x14ac:dyDescent="0.2">
      <c r="A20" t="str">
        <f>Calc!B28</f>
        <v>Flame Haze (poison fog DoT)</v>
      </c>
      <c r="B20">
        <f>Calc!O28</f>
        <v>0</v>
      </c>
      <c r="C20">
        <f>Calc!P28*100</f>
        <v>0</v>
      </c>
    </row>
    <row r="21" spans="1:3" ht="16" x14ac:dyDescent="0.2">
      <c r="A21" s="7" t="s">
        <v>211</v>
      </c>
    </row>
    <row r="23" spans="1:3" x14ac:dyDescent="0.2">
      <c r="A23" s="8" t="s">
        <v>212</v>
      </c>
      <c r="B23" s="8" t="s">
        <v>213</v>
      </c>
      <c r="C23" s="8" t="s">
        <v>214</v>
      </c>
    </row>
    <row r="24" spans="1:3" x14ac:dyDescent="0.2">
      <c r="A24" t="str">
        <f>Sensitivity!A5</f>
        <v>Flat INT</v>
      </c>
      <c r="B24">
        <f>Sensitivity!H5</f>
        <v>166957805663</v>
      </c>
      <c r="C24">
        <f>Sensitivity!B5</f>
        <v>499.50248741525178</v>
      </c>
    </row>
    <row r="25" spans="1:3" x14ac:dyDescent="0.2">
      <c r="A25" t="str">
        <f>Sensitivity!A6</f>
        <v>INT %</v>
      </c>
      <c r="B25">
        <f>Sensitivity!H6</f>
        <v>29416469501559</v>
      </c>
      <c r="C25">
        <f>Sensitivity!B6</f>
        <v>2.8350050374987221</v>
      </c>
    </row>
    <row r="26" spans="1:3" x14ac:dyDescent="0.2">
      <c r="A26" t="str">
        <f>Sensitivity!A7</f>
        <v>DAMAGE %</v>
      </c>
      <c r="B26">
        <f>Sensitivity!H7</f>
        <v>8104551916653</v>
      </c>
      <c r="C26">
        <f>Sensitivity!B7</f>
        <v>10.2899999999989</v>
      </c>
    </row>
    <row r="27" spans="1:3" x14ac:dyDescent="0.2">
      <c r="A27" t="str">
        <f>Sensitivity!A8</f>
        <v>DAMAGE_AMP %</v>
      </c>
      <c r="B27">
        <f>Sensitivity!H8</f>
        <v>49997505528984</v>
      </c>
      <c r="C27">
        <f>Sensitivity!B8</f>
        <v>1.6680000000000745</v>
      </c>
    </row>
    <row r="28" spans="1:3" x14ac:dyDescent="0.2">
      <c r="A28" t="str">
        <f>Sensitivity!A9</f>
        <v>BOSS_DAMAGE %</v>
      </c>
      <c r="B28">
        <f>Sensitivity!H9</f>
        <v>9943311758663</v>
      </c>
      <c r="C28">
        <f>Sensitivity!B9</f>
        <v>8.3871290819863535</v>
      </c>
    </row>
    <row r="29" spans="1:3" x14ac:dyDescent="0.2">
      <c r="A29" t="str">
        <f>Sensitivity!A10</f>
        <v>NORMAL_DAMAGE %</v>
      </c>
      <c r="B29">
        <f>Sensitivity!H10</f>
        <v>14914967637997</v>
      </c>
      <c r="C29">
        <f>Sensitivity!B10</f>
        <v>5.5914193879904586</v>
      </c>
    </row>
    <row r="30" spans="1:3" x14ac:dyDescent="0.2">
      <c r="A30" t="str">
        <f>Sensitivity!A11</f>
        <v>FINAL_DAMAGE % (multiplicative source)</v>
      </c>
      <c r="B30">
        <f>Sensitivity!H11</f>
        <v>83395839222349</v>
      </c>
      <c r="C30">
        <f>Sensitivity!B11</f>
        <v>1</v>
      </c>
    </row>
    <row r="31" spans="1:3" x14ac:dyDescent="0.2">
      <c r="A31" t="str">
        <f>Sensitivity!A12</f>
        <v>MIN_DAMAGE %</v>
      </c>
      <c r="B31">
        <f>Sensitivity!H12</f>
        <v>15446534399400</v>
      </c>
      <c r="C31">
        <f>Sensitivity!B12</f>
        <v>5.3989999999995861</v>
      </c>
    </row>
    <row r="32" spans="1:3" x14ac:dyDescent="0.2">
      <c r="A32" t="str">
        <f>Sensitivity!A13</f>
        <v>MAX_DAMAGE %</v>
      </c>
      <c r="B32">
        <f>Sensitivity!H13</f>
        <v>15446534399400</v>
      </c>
      <c r="C32">
        <f>Sensitivity!B13</f>
        <v>5.3989999999995861</v>
      </c>
    </row>
    <row r="33" spans="1:3" x14ac:dyDescent="0.2">
      <c r="A33" t="str">
        <f>Sensitivity!A14</f>
        <v>CRIT_RATE %</v>
      </c>
      <c r="B33">
        <f>Sensitivity!H14</f>
        <v>0</v>
      </c>
      <c r="C33" t="str">
        <f>Sensitivity!B14</f>
        <v>n/a</v>
      </c>
    </row>
    <row r="34" spans="1:3" x14ac:dyDescent="0.2">
      <c r="A34" t="str">
        <f>Sensitivity!A15</f>
        <v>CRIT_DAMAGE %</v>
      </c>
      <c r="B34">
        <f>Sensitivity!H15</f>
        <v>19898792465366</v>
      </c>
      <c r="C34">
        <f>Sensitivity!B15</f>
        <v>4.1910000000002272</v>
      </c>
    </row>
    <row r="35" spans="1:3" x14ac:dyDescent="0.2">
      <c r="A35" t="str">
        <f>Sensitivity!A16</f>
        <v>ATTACK_SPEED % (diminishing returns, factor 150)</v>
      </c>
      <c r="B35">
        <f>Sensitivity!H16</f>
        <v>17494373998280</v>
      </c>
      <c r="C35">
        <f>Sensitivity!B16</f>
        <v>4.7670090527701072</v>
      </c>
    </row>
    <row r="36" spans="1:3" x14ac:dyDescent="0.2">
      <c r="A36" t="str">
        <f>Sensitivity!A17</f>
        <v>DEF_PEN % (diminishing returns, factor 100)</v>
      </c>
      <c r="B36">
        <f>Sensitivity!H17</f>
        <v>21917900923646</v>
      </c>
      <c r="C36">
        <f>Sensitivity!B17</f>
        <v>3.8049190710765672</v>
      </c>
    </row>
    <row r="37" spans="1:3" x14ac:dyDescent="0.2">
      <c r="A37" t="str">
        <f>Sensitivity!A18</f>
        <v>BASIC_ATTACK_DAMAGE %</v>
      </c>
      <c r="B37">
        <f>Sensitivity!H18</f>
        <v>26770501468488</v>
      </c>
      <c r="C37">
        <f>Sensitivity!B18</f>
        <v>3.115213935028986</v>
      </c>
    </row>
    <row r="38" spans="1:3" x14ac:dyDescent="0.2">
      <c r="A38" t="str">
        <f>Sensitivity!A19</f>
        <v>SKILL_DAMAGE %</v>
      </c>
      <c r="B38">
        <f>Sensitivity!H19</f>
        <v>21625116399331</v>
      </c>
      <c r="C38">
        <f>Sensitivity!B19</f>
        <v>3.8564342351900245</v>
      </c>
    </row>
    <row r="39" spans="1:3" x14ac:dyDescent="0.2">
      <c r="A39" t="str">
        <f>Sensitivity!A20</f>
        <v>Skill Level Bonus — 1st Job</v>
      </c>
      <c r="B39">
        <f>Sensitivity!H20</f>
        <v>2167598910663</v>
      </c>
      <c r="C39">
        <f>Sensitivity!B20</f>
        <v>38.473833333334291</v>
      </c>
    </row>
    <row r="40" spans="1:3" x14ac:dyDescent="0.2">
      <c r="A40" t="str">
        <f>Sensitivity!A21</f>
        <v>Skill Level Bonus — 2nd Job</v>
      </c>
      <c r="B40">
        <f>Sensitivity!H21</f>
        <v>5152546945349</v>
      </c>
      <c r="C40">
        <f>Sensitivity!B21</f>
        <v>16.185362327970314</v>
      </c>
    </row>
    <row r="41" spans="1:3" x14ac:dyDescent="0.2">
      <c r="A41" t="str">
        <f>Sensitivity!A22</f>
        <v>Skill Level Bonus — 3rd Job</v>
      </c>
      <c r="B41">
        <f>Sensitivity!H22</f>
        <v>5354944716547</v>
      </c>
      <c r="C41">
        <f>Sensitivity!B22</f>
        <v>15.573613480017423</v>
      </c>
    </row>
    <row r="42" spans="1:3" x14ac:dyDescent="0.2">
      <c r="A42" t="str">
        <f>Sensitivity!A23</f>
        <v>Skill Level Bonus — 4th Job</v>
      </c>
      <c r="B42">
        <f>Sensitivity!H23</f>
        <v>22712893081353</v>
      </c>
      <c r="C42">
        <f>Sensitivity!B23</f>
        <v>3.6717400519450698</v>
      </c>
    </row>
    <row r="43" spans="1:3" x14ac:dyDescent="0.2">
      <c r="A43" t="str">
        <f>Sensitivity!A24</f>
        <v>Skill Level Bonus — All Skills</v>
      </c>
      <c r="B43">
        <f>Sensitivity!H24</f>
        <v>35422747738737</v>
      </c>
      <c r="C43">
        <f>Sensitivity!B24</f>
        <v>2.3543018129887354</v>
      </c>
    </row>
    <row r="44" spans="1:3" x14ac:dyDescent="0.2">
      <c r="A44" t="str">
        <f>Sensitivity!A25</f>
        <v>Flat ATTACK</v>
      </c>
      <c r="B44">
        <f>Sensitivity!H25</f>
        <v>9246775854</v>
      </c>
      <c r="C44">
        <f>Sensitivity!B25</f>
        <v>9018.9100008582336</v>
      </c>
    </row>
    <row r="45" spans="1:3" x14ac:dyDescent="0.2">
      <c r="A45" t="str">
        <f>Sensitivity!A26</f>
        <v>ATTACK %</v>
      </c>
      <c r="B45">
        <f>Sensitivity!H26</f>
        <v>301059316777</v>
      </c>
      <c r="C45">
        <f>Sensitivity!B26</f>
        <v>277.00800000173615</v>
      </c>
    </row>
    <row r="46" spans="1:3" x14ac:dyDescent="0.2">
      <c r="A46" t="str">
        <f>Sensitivity!A27</f>
        <v>Skill Cooldown Decrease (seconds)</v>
      </c>
      <c r="B46">
        <f>Sensitivity!H27</f>
        <v>52811582128798</v>
      </c>
      <c r="C46">
        <f>Sensitivity!B27</f>
        <v>1.5791202584873036</v>
      </c>
    </row>
    <row r="47" spans="1:3" x14ac:dyDescent="0.2">
      <c r="A47" t="str">
        <f>Sensitivity!A28</f>
        <v>Basic Attack Target Increase (flat)</v>
      </c>
      <c r="B47">
        <f>Sensitivity!H28</f>
        <v>307719869511460</v>
      </c>
      <c r="C47">
        <f>Sensitivity!B28</f>
        <v>0.27101220130747228</v>
      </c>
    </row>
    <row r="48" spans="1:3" x14ac:dyDescent="0.2">
      <c r="A48" t="str">
        <f>Sensitivity!A29</f>
        <v>Buff Duration Increase %</v>
      </c>
      <c r="B48">
        <f>Sensitivity!H29</f>
        <v>33773782296366</v>
      </c>
      <c r="C48">
        <f>Sensitivity!B29</f>
        <v>2.4692478470592638</v>
      </c>
    </row>
    <row r="50" spans="1:2" ht="16" x14ac:dyDescent="0.2">
      <c r="A50" s="7" t="s">
        <v>215</v>
      </c>
    </row>
    <row r="51" spans="1:2" x14ac:dyDescent="0.2">
      <c r="A51" t="s">
        <v>216</v>
      </c>
      <c r="B51">
        <f>Inputs!$B$5*(1+Inputs!$B$6/100)</f>
        <v>249831022.12799999</v>
      </c>
    </row>
    <row r="52" spans="1:2" x14ac:dyDescent="0.2">
      <c r="A52" t="s">
        <v>217</v>
      </c>
      <c r="B52">
        <f>(Inputs!$B$11*(1+Inputs!$B$12/100))*0.01+Inputs!$B$13*0.0025</f>
        <v>1912.5205799999999</v>
      </c>
    </row>
    <row r="53" spans="1:2" x14ac:dyDescent="0.2">
      <c r="A53" t="s">
        <v>218</v>
      </c>
      <c r="B53">
        <f>MAX(0,(Inputs!$B$3-100)*3)+Inputs!$B$27+Inputs!$B$28</f>
        <v>172</v>
      </c>
    </row>
    <row r="54" spans="1:2" x14ac:dyDescent="0.2">
      <c r="A54" t="s">
        <v>219</v>
      </c>
      <c r="B54">
        <f>INDEX(FactorTable!$B$2:$Y$301, MATCH(ROUND(MIN(300,MAX(1,Summary!$B$53)),0), FactorTable!$A$2:$A$301,0), 22)</f>
        <v>1688</v>
      </c>
    </row>
    <row r="55" spans="1:2" x14ac:dyDescent="0.2">
      <c r="A55" t="s">
        <v>220</v>
      </c>
      <c r="B55">
        <f>290*Summary!$B$54/1000</f>
        <v>489.52</v>
      </c>
    </row>
    <row r="56" spans="1:2" x14ac:dyDescent="0.2">
      <c r="A56" t="s">
        <v>221</v>
      </c>
      <c r="B56">
        <f>IF(Inputs!$B$4="normal",1,IF(Inputs!$B$4="breakthrough",Inputs!$B$36/100,0))</f>
        <v>0.6</v>
      </c>
    </row>
    <row r="58" spans="1:2" x14ac:dyDescent="0.2">
      <c r="A58" t="s">
        <v>222</v>
      </c>
      <c r="B58">
        <f>1+(Calc!F11*Skills!Z11)/100</f>
        <v>1.25</v>
      </c>
    </row>
    <row r="59" spans="1:2" x14ac:dyDescent="0.2">
      <c r="A59" t="s">
        <v>223</v>
      </c>
      <c r="B59">
        <f>1+Calc!F12/100</f>
        <v>1.18624</v>
      </c>
    </row>
    <row r="60" spans="1:2" x14ac:dyDescent="0.2">
      <c r="A60" t="s">
        <v>224</v>
      </c>
      <c r="B60">
        <f>(1+(Calc!F6*IF(AND(Inputs!$B$4&lt;&gt;"pvp",Inputs!$B$35&gt;0),(((Calc!R6-1)*(Skills!T6*(1+(Inputs!$B$33+IF(Inputs!$B$3&gt;=117,Calc!F25,0))/100))+MIN((Skills!T6*(1+(Inputs!$B$33+IF(Inputs!$B$3&gt;=117,Calc!F25,0))/100)),MAX(0,Inputs!$B$35-((Calc!R6-1)*Skills!E6))))/Inputs!$B$35),IF(Inputs!$B$4="pvp",MIN((Skills!T6*(1+(Inputs!$B$33+IF(Inputs!$B$3&gt;=117,Calc!F25,0))/100)),15)/15,(Skills!T6*(1+(Inputs!$B$33+IF(Inputs!$B$3&gt;=117,Calc!F25,0))/100))/Skills!E6))+Calc!F17*IF(AND(Inputs!$B$4&lt;&gt;"pvp",Inputs!$B$35&gt;0),(((Calc!R17-1)*(Skills!T17*(1+(Inputs!$B$33+IF(Inputs!$B$3&gt;=117,Calc!F25,0))/100))+MIN((Skills!T17*(1+(Inputs!$B$33+IF(Inputs!$B$3&gt;=117,Calc!F25,0))/100)),MAX(0,Inputs!$B$35-((Calc!R17-1)*Skills!E17))))/Inputs!$B$35),IF(Inputs!$B$4="pvp",MIN((Skills!T17*(1+(Inputs!$B$33+IF(Inputs!$B$3&gt;=117,Calc!F25,0))/100)),15)/15,(Skills!T17*(1+(Inputs!$B$33+IF(Inputs!$B$3&gt;=117,Calc!F25,0))/100))/Skills!E17)))/100)*IF(Calc!C19=TRUE,(1+Calc!F19*IF(AND(Inputs!$B$4&lt;&gt;"pvp",Inputs!$B$35&gt;0),(((Calc!R19-1)*(Skills!T19*(1+(Inputs!$B$33+IF(Inputs!$B$3&gt;=117,Calc!F25,0))/100))+MIN((Skills!T19*(1+(Inputs!$B$33+IF(Inputs!$B$3&gt;=117,Calc!F25,0))/100)),MAX(0,Inputs!$B$35-((Calc!R19-1)*Skills!E19))))/Inputs!$B$35),IF(Inputs!$B$4="pvp",MIN((Skills!T19*(1+(Inputs!$B$33+IF(Inputs!$B$3&gt;=117,Calc!F25,0))/100)),15)/15,(Skills!T19*(1+(Inputs!$B$33+IF(Inputs!$B$3&gt;=117,Calc!F25,0))/100))/Skills!E19))/100),1)</f>
        <v>1.5603265106950857</v>
      </c>
    </row>
    <row r="61" spans="1:2" x14ac:dyDescent="0.2">
      <c r="A61" t="s">
        <v>225</v>
      </c>
      <c r="B61">
        <f>Calc!F18*IF(AND(Inputs!$B$4&lt;&gt;"pvp",Inputs!$B$35&gt;0),(((Calc!R18-1)*(Skills!T18*(1+(Inputs!$B$33+IF(Inputs!$B$3&gt;=117,Calc!F25,0))/100))+MIN((Skills!T18*(1+(Inputs!$B$33+IF(Inputs!$B$3&gt;=117,Calc!F25,0))/100)),MAX(0,Inputs!$B$35-((Calc!R18-1)*Skills!E18))))/Inputs!$B$35),IF(Inputs!$B$4="pvp",MIN((Skills!T18*(1+(Inputs!$B$33+IF(Inputs!$B$3&gt;=117,Calc!F25,0))/100)),15)/15,(Skills!T18*(1+(Inputs!$B$33+IF(Inputs!$B$3&gt;=117,Calc!F25,0))/100))/Skills!E18))</f>
        <v>3.75</v>
      </c>
    </row>
    <row r="62" spans="1:2" x14ac:dyDescent="0.2">
      <c r="A62" t="s">
        <v>226</v>
      </c>
      <c r="B62">
        <f>1+MIN(150,150*(1-(1-Inputs!$B$10/150)*(1-B61/150)))/100</f>
        <v>1.6371249999999999</v>
      </c>
    </row>
    <row r="63" spans="1:2" x14ac:dyDescent="0.2">
      <c r="A63" t="s">
        <v>227</v>
      </c>
      <c r="B63">
        <f>IF(AND(Inputs!$B$4&lt;&gt;"pvp",Inputs!$B$35&gt;0),SUMPRODUCT((Skills!F2:F28=TRUE)*(Calc!C2:C28=TRUE)*Calc!R2:R28)/Inputs!$B$35,SUMPRODUCT((Skills!F2:F28=TRUE)*(Calc!C2:C28=TRUE)*Calc!Q2:Q28))</f>
        <v>0.33466433037861604</v>
      </c>
    </row>
    <row r="64" spans="1:2" x14ac:dyDescent="0.2">
      <c r="A64" t="s">
        <v>228</v>
      </c>
      <c r="B64">
        <f>MAX(0,B62-B63)</f>
        <v>1.3024606696213838</v>
      </c>
    </row>
    <row r="65" spans="1:2" x14ac:dyDescent="0.2">
      <c r="A65" t="s">
        <v>229</v>
      </c>
      <c r="B65">
        <f>Calc!O2</f>
        <v>3897785013811828</v>
      </c>
    </row>
    <row r="66" spans="1:2" x14ac:dyDescent="0.2">
      <c r="A66" t="s">
        <v>230</v>
      </c>
      <c r="B66">
        <f>IF(AND(Inputs!$B$4&lt;&gt;"pvp",Inputs!$B$35&gt;0),SUMPRODUCT((Skills!V2:V28=TRUE)*(Calc!C2:C28=TRUE)*Calc!R2:R28*Skills!W2:W28)/Inputs!$B$35,SUMPRODUCT((Skills!V2:V28=TRUE)*(Calc!C2:C28=TRUE)*Calc!Q2:Q28*Skills!W2:W28))+B64</f>
        <v>1.5297416426166426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79"/>
  <sheetViews>
    <sheetView workbookViewId="0">
      <pane ySplit="4" topLeftCell="A5" activePane="bottomLeft" state="frozen"/>
      <selection pane="bottomLeft"/>
    </sheetView>
  </sheetViews>
  <sheetFormatPr baseColWidth="10" defaultColWidth="8.83203125" defaultRowHeight="15" x14ac:dyDescent="0.2"/>
  <cols>
    <col min="1" max="1" width="40" customWidth="1"/>
    <col min="2" max="2" width="16" customWidth="1"/>
    <col min="3" max="3" width="8" customWidth="1"/>
    <col min="4" max="5" width="14" customWidth="1"/>
    <col min="6" max="6" width="16" customWidth="1"/>
    <col min="7" max="7" width="14" customWidth="1"/>
    <col min="8" max="8" width="12" customWidth="1"/>
    <col min="9" max="9" width="10" customWidth="1"/>
  </cols>
  <sheetData>
    <row r="1" spans="1:9" ht="19" x14ac:dyDescent="0.25">
      <c r="A1" s="4" t="s">
        <v>231</v>
      </c>
    </row>
    <row r="2" spans="1:9" x14ac:dyDescent="0.2">
      <c r="A2" t="s">
        <v>232</v>
      </c>
    </row>
    <row r="4" spans="1:9" x14ac:dyDescent="0.2">
      <c r="A4" s="8" t="s">
        <v>212</v>
      </c>
      <c r="B4" s="8" t="s">
        <v>214</v>
      </c>
      <c r="C4" s="8" t="s">
        <v>233</v>
      </c>
      <c r="D4" s="8" t="s">
        <v>234</v>
      </c>
      <c r="E4" s="8" t="s">
        <v>235</v>
      </c>
      <c r="F4" s="8" t="s">
        <v>236</v>
      </c>
      <c r="G4" s="8" t="s">
        <v>237</v>
      </c>
      <c r="H4" s="8" t="s">
        <v>238</v>
      </c>
      <c r="I4" s="8" t="s">
        <v>239</v>
      </c>
    </row>
    <row r="5" spans="1:9" x14ac:dyDescent="0.2">
      <c r="A5" t="s">
        <v>23</v>
      </c>
      <c r="B5">
        <f t="shared" ref="B5:B29" si="0">IFERROR(1/(I5-100),"n/a")</f>
        <v>499.50248741525178</v>
      </c>
      <c r="C5" t="s">
        <v>240</v>
      </c>
      <c r="D5">
        <f>Inputs!$B$11</f>
        <v>58007</v>
      </c>
      <c r="E5">
        <f>(Inputs!$B$11+1)</f>
        <v>58008</v>
      </c>
      <c r="F5">
        <f>Summary!$B$3</f>
        <v>8339583922234890</v>
      </c>
      <c r="G5">
        <f>B71</f>
        <v>8339750880040553</v>
      </c>
      <c r="H5">
        <f t="shared" ref="H5:H29" si="1">G5-F5</f>
        <v>166957805663</v>
      </c>
      <c r="I5">
        <f t="shared" ref="I5:I29" si="2">IF(F5=0,0,G5/F5*100)</f>
        <v>100.00200199203246</v>
      </c>
    </row>
    <row r="6" spans="1:9" x14ac:dyDescent="0.2">
      <c r="A6" t="s">
        <v>24</v>
      </c>
      <c r="B6">
        <f t="shared" si="0"/>
        <v>2.8350050374987221</v>
      </c>
      <c r="C6" t="s">
        <v>241</v>
      </c>
      <c r="D6">
        <f>Inputs!$B$12</f>
        <v>229.4</v>
      </c>
      <c r="E6">
        <f>(Inputs!$B$12+1)</f>
        <v>230.4</v>
      </c>
      <c r="F6">
        <f>Summary!$B$3</f>
        <v>8339583922234890</v>
      </c>
      <c r="G6">
        <f>B113</f>
        <v>8369000391736449</v>
      </c>
      <c r="H6">
        <f t="shared" si="1"/>
        <v>29416469501559</v>
      </c>
      <c r="I6">
        <f t="shared" si="2"/>
        <v>100.35273305929724</v>
      </c>
    </row>
    <row r="7" spans="1:9" x14ac:dyDescent="0.2">
      <c r="A7" t="s">
        <v>26</v>
      </c>
      <c r="B7">
        <f t="shared" si="0"/>
        <v>10.2899999999989</v>
      </c>
      <c r="C7" t="s">
        <v>241</v>
      </c>
      <c r="D7">
        <f>Inputs!$B$14</f>
        <v>929</v>
      </c>
      <c r="E7">
        <f>(Inputs!$B$14+1)</f>
        <v>930</v>
      </c>
      <c r="F7">
        <f>Summary!$B$3</f>
        <v>8339583922234890</v>
      </c>
      <c r="G7">
        <f>B155</f>
        <v>8347688474151543</v>
      </c>
      <c r="H7">
        <f t="shared" si="1"/>
        <v>8104551916653</v>
      </c>
      <c r="I7">
        <f t="shared" si="2"/>
        <v>100.0971817298348</v>
      </c>
    </row>
    <row r="8" spans="1:9" x14ac:dyDescent="0.2">
      <c r="A8" t="s">
        <v>27</v>
      </c>
      <c r="B8">
        <f t="shared" si="0"/>
        <v>1.6680000000000745</v>
      </c>
      <c r="C8" t="s">
        <v>241</v>
      </c>
      <c r="D8">
        <f>Inputs!$B$15</f>
        <v>66.8</v>
      </c>
      <c r="E8">
        <f>(Inputs!$B$15+1)</f>
        <v>67.8</v>
      </c>
      <c r="F8">
        <f>Summary!$B$3</f>
        <v>8339583922234890</v>
      </c>
      <c r="G8">
        <f>B197</f>
        <v>8389581427763874</v>
      </c>
      <c r="H8">
        <f t="shared" si="1"/>
        <v>49997505528984</v>
      </c>
      <c r="I8">
        <f t="shared" si="2"/>
        <v>100.59952038369302</v>
      </c>
    </row>
    <row r="9" spans="1:9" x14ac:dyDescent="0.2">
      <c r="A9" t="s">
        <v>31</v>
      </c>
      <c r="B9">
        <f t="shared" si="0"/>
        <v>8.3871290819863535</v>
      </c>
      <c r="C9" t="s">
        <v>241</v>
      </c>
      <c r="D9">
        <f>Inputs!$B$19</f>
        <v>208.3</v>
      </c>
      <c r="E9">
        <f>(Inputs!$B$19+1)</f>
        <v>209.3</v>
      </c>
      <c r="F9">
        <f>Summary!$B$3</f>
        <v>8339583922234890</v>
      </c>
      <c r="G9">
        <f>B239</f>
        <v>8349527233993553</v>
      </c>
      <c r="H9">
        <f t="shared" si="1"/>
        <v>9943311758663</v>
      </c>
      <c r="I9">
        <f t="shared" si="2"/>
        <v>100.11923030994572</v>
      </c>
    </row>
    <row r="10" spans="1:9" x14ac:dyDescent="0.2">
      <c r="A10" t="s">
        <v>32</v>
      </c>
      <c r="B10">
        <f t="shared" si="0"/>
        <v>5.5914193879904586</v>
      </c>
      <c r="C10" t="s">
        <v>241</v>
      </c>
      <c r="D10">
        <f>Inputs!$B$20</f>
        <v>249.8</v>
      </c>
      <c r="E10">
        <f>(Inputs!$B$20+1)</f>
        <v>250.8</v>
      </c>
      <c r="F10">
        <f>Summary!$B$3</f>
        <v>8339583922234890</v>
      </c>
      <c r="G10">
        <f>B281</f>
        <v>8354498889872887</v>
      </c>
      <c r="H10">
        <f t="shared" si="1"/>
        <v>14914967637997</v>
      </c>
      <c r="I10">
        <f t="shared" si="2"/>
        <v>100.1788454649186</v>
      </c>
    </row>
    <row r="11" spans="1:9" x14ac:dyDescent="0.2">
      <c r="A11" t="s">
        <v>242</v>
      </c>
      <c r="B11">
        <f t="shared" si="0"/>
        <v>1</v>
      </c>
      <c r="C11" t="s">
        <v>243</v>
      </c>
      <c r="D11">
        <f>Inputs!$B$23</f>
        <v>84.3</v>
      </c>
      <c r="E11">
        <f>((((1+Inputs!$B$23/100)*(1.01))-1)*100)</f>
        <v>86.142999999999986</v>
      </c>
      <c r="F11">
        <f>Summary!$B$3</f>
        <v>8339583922234890</v>
      </c>
      <c r="G11">
        <f>B323</f>
        <v>8422979761457239</v>
      </c>
      <c r="H11">
        <f t="shared" si="1"/>
        <v>83395839222349</v>
      </c>
      <c r="I11">
        <f t="shared" si="2"/>
        <v>101</v>
      </c>
    </row>
    <row r="12" spans="1:9" x14ac:dyDescent="0.2">
      <c r="A12" t="s">
        <v>33</v>
      </c>
      <c r="B12">
        <f t="shared" si="0"/>
        <v>5.3989999999995861</v>
      </c>
      <c r="C12" t="s">
        <v>241</v>
      </c>
      <c r="D12">
        <f>Inputs!$B$21</f>
        <v>269</v>
      </c>
      <c r="E12">
        <f>(Inputs!$B$21+1)</f>
        <v>270</v>
      </c>
      <c r="F12">
        <f>Summary!$B$3</f>
        <v>8339583922234890</v>
      </c>
      <c r="G12">
        <f>B365</f>
        <v>8355030456634290</v>
      </c>
      <c r="H12">
        <f t="shared" si="1"/>
        <v>15446534399400</v>
      </c>
      <c r="I12">
        <f t="shared" si="2"/>
        <v>100.18521948508985</v>
      </c>
    </row>
    <row r="13" spans="1:9" x14ac:dyDescent="0.2">
      <c r="A13" t="s">
        <v>34</v>
      </c>
      <c r="B13">
        <f t="shared" si="0"/>
        <v>5.3989999999995861</v>
      </c>
      <c r="C13" t="s">
        <v>241</v>
      </c>
      <c r="D13">
        <f>Inputs!$B$22</f>
        <v>270.89999999999998</v>
      </c>
      <c r="E13">
        <f>(Inputs!$B$22+1)</f>
        <v>271.89999999999998</v>
      </c>
      <c r="F13">
        <f>Summary!$B$3</f>
        <v>8339583922234890</v>
      </c>
      <c r="G13">
        <f>B407</f>
        <v>8355030456634290</v>
      </c>
      <c r="H13">
        <f t="shared" si="1"/>
        <v>15446534399400</v>
      </c>
      <c r="I13">
        <f t="shared" si="2"/>
        <v>100.18521948508985</v>
      </c>
    </row>
    <row r="14" spans="1:9" x14ac:dyDescent="0.2">
      <c r="A14" t="s">
        <v>20</v>
      </c>
      <c r="B14" t="str">
        <f t="shared" si="0"/>
        <v>n/a</v>
      </c>
      <c r="C14" t="s">
        <v>241</v>
      </c>
      <c r="D14">
        <f>Inputs!$B$8</f>
        <v>107</v>
      </c>
      <c r="E14">
        <f>(Inputs!$B$8+1)</f>
        <v>108</v>
      </c>
      <c r="F14">
        <f>Summary!$B$3</f>
        <v>8339583922234890</v>
      </c>
      <c r="G14">
        <f>B449</f>
        <v>8339583922234890</v>
      </c>
      <c r="H14">
        <f t="shared" si="1"/>
        <v>0</v>
      </c>
      <c r="I14">
        <f t="shared" si="2"/>
        <v>100</v>
      </c>
    </row>
    <row r="15" spans="1:9" x14ac:dyDescent="0.2">
      <c r="A15" t="s">
        <v>21</v>
      </c>
      <c r="B15">
        <f t="shared" si="0"/>
        <v>4.1910000000002272</v>
      </c>
      <c r="C15" t="s">
        <v>241</v>
      </c>
      <c r="D15">
        <f>Inputs!$B$9</f>
        <v>319.10000000000002</v>
      </c>
      <c r="E15">
        <f>(Inputs!$B$9+1)</f>
        <v>320.10000000000002</v>
      </c>
      <c r="F15">
        <f>Summary!$B$3</f>
        <v>8339583922234890</v>
      </c>
      <c r="G15">
        <f>B491</f>
        <v>8359482714700256</v>
      </c>
      <c r="H15">
        <f t="shared" si="1"/>
        <v>19898792465366</v>
      </c>
      <c r="I15">
        <f t="shared" si="2"/>
        <v>100.23860653781912</v>
      </c>
    </row>
    <row r="16" spans="1:9" x14ac:dyDescent="0.2">
      <c r="A16" t="s">
        <v>244</v>
      </c>
      <c r="B16">
        <f t="shared" si="0"/>
        <v>4.7670090527701072</v>
      </c>
      <c r="C16" t="s">
        <v>245</v>
      </c>
      <c r="D16">
        <f>Inputs!$B$10</f>
        <v>61.5</v>
      </c>
      <c r="E16">
        <f>((1-(1-Inputs!$B$10/150)*(1-1/150))*150)</f>
        <v>62.089999999999989</v>
      </c>
      <c r="F16">
        <f>Summary!$B$3</f>
        <v>8339583922234890</v>
      </c>
      <c r="G16">
        <f>B533</f>
        <v>8357078296233170</v>
      </c>
      <c r="H16">
        <f t="shared" si="1"/>
        <v>17494373998280</v>
      </c>
      <c r="I16">
        <f t="shared" si="2"/>
        <v>100.20977514179859</v>
      </c>
    </row>
    <row r="17" spans="1:9" x14ac:dyDescent="0.2">
      <c r="A17" t="s">
        <v>246</v>
      </c>
      <c r="B17">
        <f t="shared" si="0"/>
        <v>3.8049190710765672</v>
      </c>
      <c r="C17" t="s">
        <v>247</v>
      </c>
      <c r="D17">
        <f>Inputs!$B$18</f>
        <v>39.1</v>
      </c>
      <c r="E17">
        <f>((1-(1-Inputs!$B$18/100)*(1-1/100))*100)</f>
        <v>39.709000000000003</v>
      </c>
      <c r="F17">
        <f>Summary!$B$3</f>
        <v>8339583922234890</v>
      </c>
      <c r="G17">
        <f>B575</f>
        <v>8361501823158536</v>
      </c>
      <c r="H17">
        <f t="shared" si="1"/>
        <v>21917900923646</v>
      </c>
      <c r="I17">
        <f t="shared" si="2"/>
        <v>100.26281767925147</v>
      </c>
    </row>
    <row r="18" spans="1:9" x14ac:dyDescent="0.2">
      <c r="A18" t="s">
        <v>28</v>
      </c>
      <c r="B18">
        <f t="shared" si="0"/>
        <v>3.115213935028986</v>
      </c>
      <c r="C18" t="s">
        <v>241</v>
      </c>
      <c r="D18">
        <f>Inputs!$B$16</f>
        <v>45.6</v>
      </c>
      <c r="E18">
        <f>(Inputs!$B$16+1)</f>
        <v>46.6</v>
      </c>
      <c r="F18">
        <f>Summary!$B$3</f>
        <v>8339583922234890</v>
      </c>
      <c r="G18">
        <f>B617</f>
        <v>8366354423703378</v>
      </c>
      <c r="H18">
        <f t="shared" si="1"/>
        <v>26770501468488</v>
      </c>
      <c r="I18">
        <f t="shared" si="2"/>
        <v>100.32100524100625</v>
      </c>
    </row>
    <row r="19" spans="1:9" x14ac:dyDescent="0.2">
      <c r="A19" t="s">
        <v>29</v>
      </c>
      <c r="B19">
        <f t="shared" si="0"/>
        <v>3.8564342351900245</v>
      </c>
      <c r="C19" t="s">
        <v>241</v>
      </c>
      <c r="D19">
        <f>Inputs!$B$17</f>
        <v>105.4</v>
      </c>
      <c r="E19">
        <f>(Inputs!$B$17+1)</f>
        <v>106.4</v>
      </c>
      <c r="F19">
        <f>Summary!$B$3</f>
        <v>8339583922234890</v>
      </c>
      <c r="G19">
        <f>B659</f>
        <v>8361209038634221</v>
      </c>
      <c r="H19">
        <f t="shared" si="1"/>
        <v>21625116399331</v>
      </c>
      <c r="I19">
        <f t="shared" si="2"/>
        <v>100.2593068982935</v>
      </c>
    </row>
    <row r="20" spans="1:9" x14ac:dyDescent="0.2">
      <c r="A20" t="s">
        <v>36</v>
      </c>
      <c r="B20">
        <f t="shared" si="0"/>
        <v>38.473833333334291</v>
      </c>
      <c r="C20" t="s">
        <v>248</v>
      </c>
      <c r="D20">
        <f>Inputs!$B$24</f>
        <v>0</v>
      </c>
      <c r="E20">
        <f>(Inputs!$B$24+1)</f>
        <v>1</v>
      </c>
      <c r="F20">
        <f>Summary!$B$3</f>
        <v>8339583922234890</v>
      </c>
      <c r="G20">
        <f>B701</f>
        <v>8341751521145553</v>
      </c>
      <c r="H20">
        <f t="shared" si="1"/>
        <v>2167598910663</v>
      </c>
      <c r="I20">
        <f t="shared" si="2"/>
        <v>100.02599169132267</v>
      </c>
    </row>
    <row r="21" spans="1:9" x14ac:dyDescent="0.2">
      <c r="A21" t="s">
        <v>37</v>
      </c>
      <c r="B21">
        <f t="shared" si="0"/>
        <v>16.185362327970314</v>
      </c>
      <c r="C21" t="s">
        <v>248</v>
      </c>
      <c r="D21">
        <f>Inputs!$B$25</f>
        <v>19</v>
      </c>
      <c r="E21">
        <f>(Inputs!$B$25+1)</f>
        <v>20</v>
      </c>
      <c r="F21">
        <f>Summary!$B$3</f>
        <v>8339583922234890</v>
      </c>
      <c r="G21">
        <f>B743</f>
        <v>8344736469180239</v>
      </c>
      <c r="H21">
        <f t="shared" si="1"/>
        <v>5152546945349</v>
      </c>
      <c r="I21">
        <f t="shared" si="2"/>
        <v>100.0617842208124</v>
      </c>
    </row>
    <row r="22" spans="1:9" x14ac:dyDescent="0.2">
      <c r="A22" t="s">
        <v>38</v>
      </c>
      <c r="B22">
        <f t="shared" si="0"/>
        <v>15.573613480017423</v>
      </c>
      <c r="C22" t="s">
        <v>248</v>
      </c>
      <c r="D22">
        <f>Inputs!$B$26</f>
        <v>9</v>
      </c>
      <c r="E22">
        <f>(Inputs!$B$26+1)</f>
        <v>10</v>
      </c>
      <c r="F22">
        <f>Summary!$B$3</f>
        <v>8339583922234890</v>
      </c>
      <c r="G22">
        <f>B785</f>
        <v>8344938866951437</v>
      </c>
      <c r="H22">
        <f t="shared" si="1"/>
        <v>5354944716547</v>
      </c>
      <c r="I22">
        <f t="shared" si="2"/>
        <v>100.0642111736806</v>
      </c>
    </row>
    <row r="23" spans="1:9" x14ac:dyDescent="0.2">
      <c r="A23" t="s">
        <v>39</v>
      </c>
      <c r="B23">
        <f t="shared" si="0"/>
        <v>3.6717400519450698</v>
      </c>
      <c r="C23" t="s">
        <v>248</v>
      </c>
      <c r="D23">
        <f>Inputs!$B$27</f>
        <v>75</v>
      </c>
      <c r="E23">
        <f>(Inputs!$B$27+1)</f>
        <v>76</v>
      </c>
      <c r="F23">
        <f>Summary!$B$3</f>
        <v>8339583922234890</v>
      </c>
      <c r="G23">
        <f>B827</f>
        <v>8362296815316243</v>
      </c>
      <c r="H23">
        <f t="shared" si="1"/>
        <v>22712893081353</v>
      </c>
      <c r="I23">
        <f t="shared" si="2"/>
        <v>100.27235043490354</v>
      </c>
    </row>
    <row r="24" spans="1:9" x14ac:dyDescent="0.2">
      <c r="A24" t="s">
        <v>40</v>
      </c>
      <c r="B24">
        <f t="shared" si="0"/>
        <v>2.3543018129887354</v>
      </c>
      <c r="C24" t="s">
        <v>248</v>
      </c>
      <c r="D24">
        <f>Inputs!$B$28</f>
        <v>55</v>
      </c>
      <c r="E24">
        <f>(Inputs!$B$28+1)</f>
        <v>56</v>
      </c>
      <c r="F24">
        <f>Summary!$B$3</f>
        <v>8339583922234890</v>
      </c>
      <c r="G24">
        <f>B869</f>
        <v>8375006669973627</v>
      </c>
      <c r="H24">
        <f t="shared" si="1"/>
        <v>35422747738737</v>
      </c>
      <c r="I24">
        <f t="shared" si="2"/>
        <v>100.42475437706541</v>
      </c>
    </row>
    <row r="25" spans="1:9" x14ac:dyDescent="0.2">
      <c r="A25" t="s">
        <v>17</v>
      </c>
      <c r="B25">
        <f t="shared" si="0"/>
        <v>9018.9100008582336</v>
      </c>
      <c r="C25" t="s">
        <v>240</v>
      </c>
      <c r="D25">
        <f>Inputs!$B$5</f>
        <v>901891</v>
      </c>
      <c r="E25">
        <f>(Inputs!$B$5+1)</f>
        <v>901892</v>
      </c>
      <c r="F25">
        <f>Summary!$B$3</f>
        <v>8339583922234890</v>
      </c>
      <c r="G25">
        <f>B911</f>
        <v>8339593169010744</v>
      </c>
      <c r="H25">
        <f t="shared" si="1"/>
        <v>9246775854</v>
      </c>
      <c r="I25">
        <f t="shared" si="2"/>
        <v>100.0001108781438</v>
      </c>
    </row>
    <row r="26" spans="1:9" x14ac:dyDescent="0.2">
      <c r="A26" t="s">
        <v>18</v>
      </c>
      <c r="B26">
        <f t="shared" si="0"/>
        <v>277.00800000173615</v>
      </c>
      <c r="C26" t="s">
        <v>241</v>
      </c>
      <c r="D26">
        <f>Inputs!$B$6</f>
        <v>27600.799999999999</v>
      </c>
      <c r="E26">
        <f>(Inputs!$B$6+1)</f>
        <v>27601.8</v>
      </c>
      <c r="F26">
        <f>Summary!$B$3</f>
        <v>8339583922234890</v>
      </c>
      <c r="G26">
        <f>B953</f>
        <v>8339884981551667</v>
      </c>
      <c r="H26">
        <f t="shared" si="1"/>
        <v>301059316777</v>
      </c>
      <c r="I26">
        <f t="shared" si="2"/>
        <v>100.00361000404318</v>
      </c>
    </row>
    <row r="27" spans="1:9" x14ac:dyDescent="0.2">
      <c r="A27" t="s">
        <v>249</v>
      </c>
      <c r="B27">
        <f t="shared" si="0"/>
        <v>1.5791202584873036</v>
      </c>
      <c r="C27" t="s">
        <v>240</v>
      </c>
      <c r="D27">
        <f>Inputs!$B$31</f>
        <v>0</v>
      </c>
      <c r="E27">
        <f>(Inputs!$B$31+1)</f>
        <v>1</v>
      </c>
      <c r="F27">
        <f>Summary!$B$3</f>
        <v>8339583922234890</v>
      </c>
      <c r="G27">
        <f>B995</f>
        <v>8392395504363688</v>
      </c>
      <c r="H27">
        <f t="shared" si="1"/>
        <v>52811582128798</v>
      </c>
      <c r="I27">
        <f t="shared" si="2"/>
        <v>100.63326399279934</v>
      </c>
    </row>
    <row r="28" spans="1:9" x14ac:dyDescent="0.2">
      <c r="A28" t="s">
        <v>250</v>
      </c>
      <c r="B28">
        <f t="shared" si="0"/>
        <v>0.27101220130747228</v>
      </c>
      <c r="C28" t="s">
        <v>240</v>
      </c>
      <c r="D28">
        <f>Inputs!$B$32</f>
        <v>6</v>
      </c>
      <c r="E28">
        <f>(Inputs!$B$32+1)</f>
        <v>7</v>
      </c>
      <c r="F28">
        <f>Summary!$B$3</f>
        <v>8339583922234890</v>
      </c>
      <c r="G28">
        <f>B1037</f>
        <v>8647303791746350</v>
      </c>
      <c r="H28">
        <f t="shared" si="1"/>
        <v>307719869511460</v>
      </c>
      <c r="I28">
        <f t="shared" si="2"/>
        <v>103.68987077030332</v>
      </c>
    </row>
    <row r="29" spans="1:9" x14ac:dyDescent="0.2">
      <c r="A29" t="s">
        <v>44</v>
      </c>
      <c r="B29">
        <f t="shared" si="0"/>
        <v>2.4692478470592638</v>
      </c>
      <c r="C29" t="s">
        <v>241</v>
      </c>
      <c r="D29">
        <f>Inputs!$B$33</f>
        <v>0</v>
      </c>
      <c r="E29">
        <f>(Inputs!$B$33+1)</f>
        <v>1</v>
      </c>
      <c r="F29">
        <f>Summary!$B$3</f>
        <v>8339583922234890</v>
      </c>
      <c r="G29">
        <f>B1079</f>
        <v>8373357704531256</v>
      </c>
      <c r="H29">
        <f t="shared" si="1"/>
        <v>33773782296366</v>
      </c>
      <c r="I29">
        <f t="shared" si="2"/>
        <v>100.40498162272003</v>
      </c>
    </row>
    <row r="32" spans="1:9" x14ac:dyDescent="0.2">
      <c r="A32" s="5" t="s">
        <v>251</v>
      </c>
    </row>
    <row r="33" spans="1:22" x14ac:dyDescent="0.2">
      <c r="A33" s="8" t="s">
        <v>74</v>
      </c>
      <c r="B33" s="8" t="s">
        <v>75</v>
      </c>
      <c r="C33" s="8" t="s">
        <v>190</v>
      </c>
      <c r="D33" s="8" t="s">
        <v>191</v>
      </c>
      <c r="E33" s="8" t="s">
        <v>192</v>
      </c>
      <c r="F33" s="8" t="s">
        <v>193</v>
      </c>
      <c r="G33" s="8" t="s">
        <v>194</v>
      </c>
      <c r="H33" s="8" t="s">
        <v>195</v>
      </c>
      <c r="I33" s="8" t="s">
        <v>196</v>
      </c>
      <c r="J33" s="8" t="s">
        <v>197</v>
      </c>
      <c r="K33" s="8" t="s">
        <v>198</v>
      </c>
      <c r="L33" s="8" t="s">
        <v>199</v>
      </c>
      <c r="M33" s="8" t="s">
        <v>200</v>
      </c>
      <c r="N33" s="8" t="s">
        <v>201</v>
      </c>
      <c r="O33" s="8" t="s">
        <v>202</v>
      </c>
      <c r="P33" s="8" t="s">
        <v>203</v>
      </c>
      <c r="R33" t="s">
        <v>252</v>
      </c>
    </row>
    <row r="34" spans="1:22" x14ac:dyDescent="0.2">
      <c r="A34" t="str">
        <f>Skills!A2</f>
        <v>BASIC_ATTACK</v>
      </c>
      <c r="B34" t="str">
        <f>Skills!B2</f>
        <v>Basic Attack</v>
      </c>
      <c r="C34" t="b">
        <f>TRUE</f>
        <v>1</v>
      </c>
      <c r="F34">
        <f>T36+Skills!O2</f>
        <v>510.52</v>
      </c>
      <c r="G34">
        <f>Calc!G2</f>
        <v>5</v>
      </c>
      <c r="H34">
        <f>Calc!H2</f>
        <v>1</v>
      </c>
      <c r="I34">
        <f>IF(Skills!X2&lt;&gt;"",1+(Skills!X2/10)*(R35/1000)/100,1)</f>
        <v>1</v>
      </c>
      <c r="J34">
        <f>((Inputs!$B$5*(1+Inputs!$B$6/100))+(((Inputs!$B$11+1)*(1+Inputs!$B$12/100))-(Inputs!$B$11*(1+Inputs!$B$12/100)))*(1+Inputs!$B$6/100))*(F34/100)</f>
        <v>1275441992.4808755</v>
      </c>
      <c r="K34">
        <f>J34*(1+(((Inputs!$B$11+1)*(1+Inputs!$B$12/100))*0.01+Inputs!$B$13*0.0025)/100)*(1+Inputs!$B$14/100)*(1+IF(Inputs!$B$4="pvp",0,(1-Summary!$B$56)*(Inputs!$B$19+Skills!P2)+Summary!$B$56*(Inputs!$B$20+Skills!Q2))/100)*(1+Inputs!$B$15/100)*(5000/(6000+Inputs!$B$7*(1-Inputs!$B$18/100)))*(1+Inputs!$B$23/100)*(1+F55/100)*(1+IF(Inputs!$B$3&gt;=120,F58,0)/100)^5*(1+(IF(Skills!A2="BASIC_ATTACK",Inputs!$B$16,Inputs!$B$17+IF(Inputs!$B$3&gt;=125,F59*5,0)))/100)*(B62*B63*B64*I34)</f>
        <v>6961091925246.3564</v>
      </c>
      <c r="L34">
        <f>K34*(MIN(Inputs!$B$21+(F54-Calc!F22),Inputs!$B$22)/100+Inputs!$B$22/100)/2</f>
        <v>18791467652202.535</v>
      </c>
      <c r="M34">
        <f>L34*(1+(Inputs!$B$9+(F53-Calc!F21))/100)</f>
        <v>78755040930380.844</v>
      </c>
      <c r="N34">
        <f>L34*(1-MIN(Inputs!$B$8+(F52-Calc!F20),100)/100)+M34*(MIN(Inputs!$B$8+(F52-Calc!F20),100)/100)</f>
        <v>78755040930380.844</v>
      </c>
      <c r="O34">
        <f>Skills!G2*N34*B68*IF(Inputs!$B$4="pvp",1,(1-Summary!$B$56)*(1)+Summary!$B$56*(MIN((6+Inputs!$B$32+IF(Inputs!$B$3&gt;=136,1,0)),Inputs!$B$37)))</f>
        <v>3897863047157246.5</v>
      </c>
      <c r="P34">
        <f>IF(B71=0,0,O34/B71)</f>
        <v>0.46738363090508678</v>
      </c>
      <c r="R34">
        <f>MAX(0,(Inputs!$B$3-100)*3)+Inputs!$B$27+Inputs!$B$28</f>
        <v>172</v>
      </c>
      <c r="S34">
        <v>0</v>
      </c>
      <c r="T34">
        <f>MAX(0,(Inputs!$B$3-100)*3)+Inputs!$B$27+Inputs!$B$28</f>
        <v>172</v>
      </c>
      <c r="V34">
        <f>IFERROR(1/IF(Inputs!$B$4="pvp",15,MAX(0.1,Skills!E2-IF(Skills!F2=TRUE,Inputs!$B$31,0))),0)</f>
        <v>10</v>
      </c>
    </row>
    <row r="35" spans="1:22" x14ac:dyDescent="0.2">
      <c r="A35" t="str">
        <f>Skills!A3</f>
        <v>IGNITE</v>
      </c>
      <c r="B35" t="str">
        <f>Skills!B3</f>
        <v>Ignite</v>
      </c>
      <c r="C35" t="b">
        <f>TRUE</f>
        <v>1</v>
      </c>
      <c r="D35">
        <f>IF(Skills!C3=1,60+Inputs!$B$24+Inputs!$B$28,IF(Skills!C3=2,90+Inputs!$B$25+Inputs!$B$28,IF(Skills!C3=3,120+Inputs!$B$26+Inputs!$B$28,MAX(0,(Inputs!$B$3-100)*3)+Inputs!$B$27+Inputs!$B$28)))</f>
        <v>164</v>
      </c>
      <c r="E35">
        <f>INDEX(FactorTable!$B$2:$Y$301, MATCH(ROUND(MIN(300,MAX(1,D35)),0), FactorTable!$A$2:$A$301,0), Skills!M3+1)</f>
        <v>1656</v>
      </c>
      <c r="F35">
        <f>IF(Skills!N3=TRUE,(Skills!L3/10)*(E35/1000),Skills!L3/10)+Skills!O3</f>
        <v>121.52799999999999</v>
      </c>
      <c r="G35">
        <f>Calc!G3</f>
        <v>3</v>
      </c>
      <c r="H35">
        <f>Calc!H3</f>
        <v>1</v>
      </c>
      <c r="I35">
        <f>IF(Skills!X3&lt;&gt;"",1+(Skills!X3/10)*(R35/1000)/100,1)</f>
        <v>4.76</v>
      </c>
      <c r="J35">
        <f>((Inputs!$B$5*(1+Inputs!$B$6/100))+(((Inputs!$B$11+1)*(1+Inputs!$B$12/100))-(Inputs!$B$11*(1+Inputs!$B$12/100)))*(1+Inputs!$B$6/100))*(F35/100)</f>
        <v>303615753.47139353</v>
      </c>
      <c r="K35">
        <f>J35*(1+(((Inputs!$B$11+1)*(1+Inputs!$B$12/100))*0.01+Inputs!$B$13*0.0025)/100)*(1+Inputs!$B$14/100)*(1+IF(Inputs!$B$4="pvp",0,(1-Summary!$B$56)*(Inputs!$B$19+Skills!P3)+Summary!$B$56*(Inputs!$B$20+Skills!Q3))/100)*(1+Inputs!$B$15/100)*(5000/(6000+Inputs!$B$7*(1-Inputs!$B$18/100)))*(1+Inputs!$B$23/100)*(1+F55/100)*(1+IF(Inputs!$B$3&gt;=120,F58,0)/100)^5*(1+(IF(Skills!A3="BASIC_ATTACK",Inputs!$B$16,Inputs!$B$17+IF(Inputs!$B$3&gt;=125,F59*5,0)))/100)*(B62*B63*B64*I35)</f>
        <v>10995232137429.564</v>
      </c>
      <c r="L35">
        <f>K35*(MIN(Inputs!$B$21+(F54-Calc!F22),Inputs!$B$22)/100+Inputs!$B$22/100)/2</f>
        <v>29681629154991.105</v>
      </c>
      <c r="M35">
        <f>L35*(1+(Inputs!$B$9+(F53-Calc!F21))/100)</f>
        <v>124395707788567.75</v>
      </c>
      <c r="N35">
        <f>L35*(1-MIN(Inputs!$B$8+(F52-Calc!F20),100)/100)+M35*(MIN(Inputs!$B$8+(F52-Calc!F20),100)/100)</f>
        <v>124395707788567.75</v>
      </c>
      <c r="O35">
        <f>IF(C35,H35*N35*IF(AND(Inputs!$B$4&lt;&gt;"pvp",Inputs!$B$35&gt;0),((Skills!G3*((S35-1)*IF(Skills!H3&gt;0,Skills!I3/Skills!H3,1)+IF(Skills!H3&gt;0,MIN(Skills!I3,MAX(0,Inputs!$B$35-((S35-1)*IF(Inputs!$B$4="pvp",15,MAX(0.1,Skills!E3-IF(Skills!F3=TRUE,Inputs!$B$31,0))))))/Skills!H3,1)))/Inputs!$B$35),G35*V35)*IF(Inputs!$B$4="pvp",1,(1-Summary!$B$56)*(1)+Summary!$B$56*(MIN(Skills!R3,Inputs!$B$37))),0)</f>
        <v>821011671404547</v>
      </c>
      <c r="P35">
        <f>IF(B71=0,0,O35/B71)</f>
        <v>9.8445587070168539E-2</v>
      </c>
      <c r="R35">
        <f>INDEX(FactorTable!$B$2:$Y$301, MATCH(ROUND(MIN(300,MAX(1,R34)),0), FactorTable!$A$2:$A$301,0), 24)</f>
        <v>7520</v>
      </c>
      <c r="S35">
        <f>IF(AND(Inputs!$B$4&lt;&gt;"pvp",Inputs!$B$35&gt;0),(INT(Inputs!$B$35/IF(Inputs!$B$4="pvp",15,MAX(0.1,Skills!E3-IF(Skills!F3=TRUE,Inputs!$B$31,0))))+1),0)</f>
        <v>0</v>
      </c>
      <c r="T35">
        <f>INDEX(FactorTable!$B$2:$Y$301, MATCH(ROUND(MIN(300,MAX(1,T34)),0), FactorTable!$A$2:$A$301,0), 22)</f>
        <v>1688</v>
      </c>
      <c r="V35">
        <f>IFERROR(1/IF(Inputs!$B$4="pvp",15,MAX(0.1,Skills!E3-IF(Skills!F3=TRUE,Inputs!$B$31,0))),0)</f>
        <v>1</v>
      </c>
    </row>
    <row r="36" spans="1:22" x14ac:dyDescent="0.2">
      <c r="A36" t="str">
        <f>Skills!A4</f>
        <v>POISON_BREATH</v>
      </c>
      <c r="B36" t="str">
        <f>Skills!B4</f>
        <v>Poison Breath</v>
      </c>
      <c r="C36" t="b">
        <f>TRUE</f>
        <v>1</v>
      </c>
      <c r="D36">
        <f>IF(Skills!C4=1,60+Inputs!$B$24+Inputs!$B$28,IF(Skills!C4=2,90+Inputs!$B$25+Inputs!$B$28,IF(Skills!C4=3,120+Inputs!$B$26+Inputs!$B$28,MAX(0,(Inputs!$B$3-100)*3)+Inputs!$B$27+Inputs!$B$28)))</f>
        <v>164</v>
      </c>
      <c r="E36">
        <f>INDEX(FactorTable!$B$2:$Y$301, MATCH(ROUND(MIN(300,MAX(1,D36)),0), FactorTable!$A$2:$A$301,0), Skills!M4+1)</f>
        <v>1820</v>
      </c>
      <c r="F36">
        <f>IF(Skills!N4=TRUE,(Skills!L4/10)*(E36/1000),Skills!L4/10)+Skills!O4</f>
        <v>434</v>
      </c>
      <c r="G36">
        <f>Calc!G4</f>
        <v>3</v>
      </c>
      <c r="H36">
        <f>Calc!H4</f>
        <v>1</v>
      </c>
      <c r="I36">
        <f>IF(Skills!X4&lt;&gt;"",1+(Skills!X4/10)*(R35/1000)/100,1)</f>
        <v>7.0159999999999991</v>
      </c>
      <c r="J36">
        <f>((Inputs!$B$5*(1+Inputs!$B$6/100))+(((Inputs!$B$11+1)*(1+Inputs!$B$12/100))-(Inputs!$B$11*(1+Inputs!$B$12/100)))*(1+Inputs!$B$6/100))*(F36/100)</f>
        <v>1084270596.1308076</v>
      </c>
      <c r="K36">
        <f>J36*(1+(((Inputs!$B$11+1)*(1+Inputs!$B$12/100))*0.01+Inputs!$B$13*0.0025)/100)*(1+Inputs!$B$14/100)*(1+IF(Inputs!$B$4="pvp",0,(1-Summary!$B$56)*(Inputs!$B$19+Skills!P4)+Summary!$B$56*(Inputs!$B$20+Skills!Q4))/100)*(1+Inputs!$B$15/100)*(5000/(6000+Inputs!$B$7*(1-Inputs!$B$18/100)))*(1+Inputs!$B$23/100)*(1+F55/100)*(1+IF(Inputs!$B$3&gt;=120,F58,0)/100)^5*(1+(IF(Skills!A4="BASIC_ATTACK",Inputs!$B$16,Inputs!$B$17+IF(Inputs!$B$3&gt;=125,F59*5,0)))/100)*(B62*B63*B64*I36)</f>
        <v>57876253377637.992</v>
      </c>
      <c r="L36">
        <f>K36*(MIN(Inputs!$B$21+(F54-Calc!F22),Inputs!$B$22)/100+Inputs!$B$22/100)/2</f>
        <v>156236945992933.75</v>
      </c>
      <c r="M36">
        <f>L36*(1+(Inputs!$B$9+(F53-Calc!F21))/100)</f>
        <v>654789040656385.5</v>
      </c>
      <c r="N36">
        <f>L36*(1-MIN(Inputs!$B$8+(F52-Calc!F20),100)/100)+M36*(MIN(Inputs!$B$8+(F52-Calc!F20),100)/100)</f>
        <v>654789040656385.5</v>
      </c>
      <c r="O36">
        <f>IF(C36,H36*N36*IF(AND(Inputs!$B$4&lt;&gt;"pvp",Inputs!$B$35&gt;0),((Skills!G4*((S36-1)*IF(Skills!H4&gt;0,Skills!I4/Skills!H4,1)+IF(Skills!H4&gt;0,MIN(Skills!I4,MAX(0,Inputs!$B$35-((S36-1)*IF(Inputs!$B$4="pvp",15,MAX(0.1,Skills!E4-IF(Skills!F4=TRUE,Inputs!$B$31,0))))))/Skills!H4,1)))/Inputs!$B$35),G36*V36)*IF(Inputs!$B$4="pvp",1,(1-Summary!$B$56)*(1)+Summary!$B$56*(MIN(Skills!R4,Inputs!$B$37))),0)</f>
        <v>436526027104256.94</v>
      </c>
      <c r="P36">
        <f>IF(B71=0,0,O36/B71)</f>
        <v>5.2342813758261122E-2</v>
      </c>
      <c r="S36">
        <f>IF(AND(Inputs!$B$4&lt;&gt;"pvp",Inputs!$B$35&gt;0),(INT(Inputs!$B$35/IF(Inputs!$B$4="pvp",15,MAX(0.1,Skills!E4-IF(Skills!F4=TRUE,Inputs!$B$31,0))))+1),0)</f>
        <v>0</v>
      </c>
      <c r="T36">
        <f>290*T35/1000</f>
        <v>489.52</v>
      </c>
      <c r="V36">
        <f>IFERROR(1/IF(Inputs!$B$4="pvp",15,MAX(0.1,Skills!E4-IF(Skills!F4=TRUE,Inputs!$B$31,0))),0)</f>
        <v>5.5555555555555552E-2</v>
      </c>
    </row>
    <row r="37" spans="1:22" x14ac:dyDescent="0.2">
      <c r="A37" t="str">
        <f>Skills!A5</f>
        <v>ELEMENTAL_DRAIN</v>
      </c>
      <c r="B37" t="str">
        <f>Skills!B5</f>
        <v>Elemental Drain</v>
      </c>
      <c r="C37" t="b">
        <f>TRUE</f>
        <v>1</v>
      </c>
      <c r="D37">
        <f>IF(Skills!C5=1,60+Inputs!$B$24+Inputs!$B$28,IF(Skills!C5=2,90+Inputs!$B$25+Inputs!$B$28,IF(Skills!C5=3,120+Inputs!$B$26+Inputs!$B$28,MAX(0,(Inputs!$B$3-100)*3)+Inputs!$B$27+Inputs!$B$28)))</f>
        <v>164</v>
      </c>
      <c r="E37">
        <f>INDEX(FactorTable!$B$2:$Y$301, MATCH(ROUND(MIN(300,MAX(1,D37)),0), FactorTable!$A$2:$A$301,0), Skills!M5+1)</f>
        <v>1656</v>
      </c>
      <c r="F37">
        <f>IF(Skills!N5=TRUE,(Skills!L5/10)*(E37/1000),Skills!L5/10)+Skills!O5</f>
        <v>19.872</v>
      </c>
      <c r="G37">
        <f>Calc!G5</f>
        <v>5</v>
      </c>
      <c r="H37">
        <f>Calc!H5</f>
        <v>1</v>
      </c>
      <c r="I37">
        <f>IF(Skills!X5&lt;&gt;"",1+(Skills!X5/10)*(R35/1000)/100,1)</f>
        <v>12.28</v>
      </c>
      <c r="J37">
        <f>((Inputs!$B$5*(1+Inputs!$B$6/100))+(((Inputs!$B$11+1)*(1+Inputs!$B$12/100))-(Inputs!$B$11*(1+Inputs!$B$12/100)))*(1+Inputs!$B$6/100))*(F37/100)</f>
        <v>49646602.042192191</v>
      </c>
      <c r="K37">
        <f>J37*(1+(((Inputs!$B$11+1)*(1+Inputs!$B$12/100))*0.01+Inputs!$B$13*0.0025)/100)*(1+Inputs!$B$14/100)*(1+IF(Inputs!$B$4="pvp",0,(1-Summary!$B$56)*(Inputs!$B$19+Skills!P5)+Summary!$B$56*(Inputs!$B$20+Skills!Q5))/100)*(1+Inputs!$B$15/100)*(5000/(6000+Inputs!$B$7*(1-Inputs!$B$18/100)))*(1+Inputs!$B$23/100)*(1+F55/100)*(1+IF(Inputs!$B$3&gt;=120,F58,0)/100)^5*(1+(IF(Skills!A5="BASIC_ATTACK",Inputs!$B$16,Inputs!$B$17+IF(Inputs!$B$3&gt;=125,F59*5,0)))/100)*(B62*B63*B64*I37)</f>
        <v>4638323601169.2783</v>
      </c>
      <c r="L37">
        <f>K37*(MIN(Inputs!$B$21+(F54-Calc!F22),Inputs!$B$22)/100+Inputs!$B$22/100)/2</f>
        <v>12521154561356.465</v>
      </c>
      <c r="M37">
        <f>L37*(1+(Inputs!$B$9+(F53-Calc!F21))/100)</f>
        <v>52476158766644.953</v>
      </c>
      <c r="N37">
        <f>L37*(1-MIN(Inputs!$B$8+(F52-Calc!F20),100)/100)+M37*(MIN(Inputs!$B$8+(F52-Calc!F20),100)/100)</f>
        <v>52476158766644.953</v>
      </c>
      <c r="O37">
        <f>IF(C37,H37*N37*IF(AND(Inputs!$B$4&lt;&gt;"pvp",Inputs!$B$35&gt;0),((Skills!G5*((S37-1)*IF(Skills!H5&gt;0,Skills!I5/Skills!H5,1)+IF(Skills!H5&gt;0,MIN(Skills!I5,MAX(0,Inputs!$B$35-((S37-1)*IF(Inputs!$B$4="pvp",15,MAX(0.1,Skills!E5-IF(Skills!F5=TRUE,Inputs!$B$31,0))))))/Skills!H5,1)))/Inputs!$B$35),G37*V37)*IF(Inputs!$B$4="pvp",1,(1-Summary!$B$56)*(1)+Summary!$B$56*(MIN(Skills!R5,Inputs!$B$37))),0)</f>
        <v>262380793833224.75</v>
      </c>
      <c r="P37">
        <f>IF(B71=0,0,O37/B71)</f>
        <v>3.1461466608214667E-2</v>
      </c>
      <c r="S37">
        <f>IF(AND(Inputs!$B$4&lt;&gt;"pvp",Inputs!$B$35&gt;0),(INT(Inputs!$B$35/IF(Inputs!$B$4="pvp",15,MAX(0.1,Skills!E5-IF(Skills!F5=TRUE,Inputs!$B$31,0))))+1),0)</f>
        <v>0</v>
      </c>
      <c r="V37">
        <f>IFERROR(1/IF(Inputs!$B$4="pvp",15,MAX(0.1,Skills!E5-IF(Skills!F5=TRUE,Inputs!$B$31,0))),0)</f>
        <v>1</v>
      </c>
    </row>
    <row r="38" spans="1:22" x14ac:dyDescent="0.2">
      <c r="A38" t="str">
        <f>Skills!A6</f>
        <v>MEDITATION</v>
      </c>
      <c r="B38" t="str">
        <f>Skills!B6</f>
        <v>Meditation</v>
      </c>
      <c r="C38" t="b">
        <f>TRUE</f>
        <v>1</v>
      </c>
      <c r="D38">
        <f>IF(Skills!C6=1,60+Inputs!$B$24+Inputs!$B$28,IF(Skills!C6=2,90+Inputs!$B$25+Inputs!$B$28,IF(Skills!C6=3,120+Inputs!$B$26+Inputs!$B$28,MAX(0,(Inputs!$B$3-100)*3)+Inputs!$B$27+Inputs!$B$28)))</f>
        <v>164</v>
      </c>
      <c r="E38">
        <f>INDEX(FactorTable!$B$2:$Y$301, MATCH(ROUND(MIN(300,MAX(1,D38)),0), FactorTable!$A$2:$A$301,0), Skills!M6+1)</f>
        <v>1492</v>
      </c>
      <c r="F38">
        <f>IF(Skills!N6=TRUE,(Skills!L6/10)*(E38/1000),Skills!L6/10)+Skills!O6</f>
        <v>29.84</v>
      </c>
      <c r="G38">
        <f>Calc!G6</f>
        <v>1</v>
      </c>
      <c r="H38">
        <f>Calc!H6</f>
        <v>1</v>
      </c>
      <c r="I38">
        <f>IF(Skills!X6&lt;&gt;"",1+(Skills!X6/10)*(R35/1000)/100,1)</f>
        <v>1</v>
      </c>
      <c r="O38">
        <v>0</v>
      </c>
      <c r="P38">
        <f>IF(B71=0,0,O38/B71)</f>
        <v>0</v>
      </c>
      <c r="S38">
        <f>IF(AND(Inputs!$B$4&lt;&gt;"pvp",Inputs!$B$35&gt;0),(INT(Inputs!$B$35/IF(Inputs!$B$4="pvp",15,MAX(0.1,Skills!E6-IF(Skills!F6=TRUE,Inputs!$B$31,0))))+1),0)</f>
        <v>0</v>
      </c>
      <c r="V38">
        <f>IFERROR(1/IF(Inputs!$B$4="pvp",15,MAX(0.1,Skills!E6-IF(Skills!F6=TRUE,Inputs!$B$31,0))),0)</f>
        <v>3.3333333333333333E-2</v>
      </c>
    </row>
    <row r="39" spans="1:22" x14ac:dyDescent="0.2">
      <c r="A39" t="str">
        <f>Skills!A7</f>
        <v>POISON_MIST_BURST</v>
      </c>
      <c r="B39" t="str">
        <f>Skills!B7</f>
        <v>Poison Mist (burst)</v>
      </c>
      <c r="C39" t="b">
        <f>TRUE</f>
        <v>1</v>
      </c>
      <c r="D39">
        <f>IF(Skills!C7=1,60+Inputs!$B$24+Inputs!$B$28,IF(Skills!C7=2,90+Inputs!$B$25+Inputs!$B$28,IF(Skills!C7=3,120+Inputs!$B$26+Inputs!$B$28,MAX(0,(Inputs!$B$3-100)*3)+Inputs!$B$27+Inputs!$B$28)))</f>
        <v>184</v>
      </c>
      <c r="E39">
        <f>INDEX(FactorTable!$B$2:$Y$301, MATCH(ROUND(MIN(300,MAX(1,D39)),0), FactorTable!$A$2:$A$301,0), Skills!M7+1)</f>
        <v>1920</v>
      </c>
      <c r="F39">
        <f>IF(Skills!N7=TRUE,(Skills!L7/10)*(E39/1000),Skills!L7/10)+Skills!O7</f>
        <v>357.2</v>
      </c>
      <c r="G39">
        <f>Calc!G7</f>
        <v>3</v>
      </c>
      <c r="H39">
        <f>Calc!H7</f>
        <v>1</v>
      </c>
      <c r="I39">
        <f>IF(Skills!X7&lt;&gt;"",1+(Skills!X7/10)*(R35/1000)/100,1)</f>
        <v>1.7519999999999998</v>
      </c>
      <c r="J39">
        <f>((Inputs!$B$5*(1+Inputs!$B$6/100))+(((Inputs!$B$11+1)*(1+Inputs!$B$12/100))-(Inputs!$B$11*(1+Inputs!$B$12/100)))*(1+Inputs!$B$6/100))*(F39/100)</f>
        <v>892399670.36388135</v>
      </c>
      <c r="K39">
        <f>J39*(1+(((Inputs!$B$11+1)*(1+Inputs!$B$12/100))*0.01+Inputs!$B$13*0.0025)/100)*(1+Inputs!$B$14/100)*(1+IF(Inputs!$B$4="pvp",0,(1-Summary!$B$56)*(Inputs!$B$19+Skills!P7)+Summary!$B$56*(Inputs!$B$20+Skills!Q7))/100)*(1+Inputs!$B$15/100)*(5000/(6000+Inputs!$B$7*(1-Inputs!$B$18/100)))*(1+Inputs!$B$23/100)*(1+F55/100)*(1+IF(Inputs!$B$3&gt;=120,F58,0)/100)^5*(1+(IF(Skills!A7="BASIC_ATTACK",Inputs!$B$16,Inputs!$B$17+IF(Inputs!$B$3&gt;=125,F59*5,0)))/100)*(B62*B63*B64*I39)</f>
        <v>11895060395782.156</v>
      </c>
      <c r="L39">
        <f>K39*(MIN(Inputs!$B$21+(F54-Calc!F22),Inputs!$B$22)/100+Inputs!$B$22/100)/2</f>
        <v>32110715538413.926</v>
      </c>
      <c r="M39">
        <f>L39*(1+(Inputs!$B$9+(F53-Calc!F21))/100)</f>
        <v>134576008821492.78</v>
      </c>
      <c r="N39">
        <f>L39*(1-MIN(Inputs!$B$8+(F52-Calc!F20),100)/100)+M39*(MIN(Inputs!$B$8+(F52-Calc!F20),100)/100)</f>
        <v>134576008821492.78</v>
      </c>
      <c r="O39">
        <f>IF(C39,H39*N39*IF(AND(Inputs!$B$4&lt;&gt;"pvp",Inputs!$B$35&gt;0),((Skills!G7*((S39-1)*IF(Skills!H7&gt;0,Skills!I7/Skills!H7,1)+IF(Skills!H7&gt;0,MIN(Skills!I7,MAX(0,Inputs!$B$35-((S39-1)*IF(Inputs!$B$4="pvp",15,MAX(0.1,Skills!E7-IF(Skills!F7=TRUE,Inputs!$B$31,0))))))/Skills!H7,1)))/Inputs!$B$35),G39*V39)*IF(Inputs!$B$4="pvp",1,(1-Summary!$B$56)*(1)+Summary!$B$56*(MIN(Skills!R7,Inputs!$B$37))),0)</f>
        <v>105463647729496.38</v>
      </c>
      <c r="P39">
        <f>IF(B71=0,0,O39/B71)</f>
        <v>1.2645899049802737E-2</v>
      </c>
      <c r="S39">
        <f>IF(AND(Inputs!$B$4&lt;&gt;"pvp",Inputs!$B$35&gt;0),(INT(Inputs!$B$35/IF(Inputs!$B$4="pvp",15,MAX(0.1,Skills!E7-IF(Skills!F7=TRUE,Inputs!$B$31,0))))+1),0)</f>
        <v>0</v>
      </c>
      <c r="V39">
        <f>IFERROR(1/IF(Inputs!$B$4="pvp",15,MAX(0.1,Skills!E7-IF(Skills!F7=TRUE,Inputs!$B$31,0))),0)</f>
        <v>4.0816326530612242E-2</v>
      </c>
    </row>
    <row r="40" spans="1:22" x14ac:dyDescent="0.2">
      <c r="A40" t="str">
        <f>Skills!A8</f>
        <v>POISON_MIST_DOT</v>
      </c>
      <c r="B40" t="str">
        <f>Skills!B8</f>
        <v>Poison Mist (fog DoT)</v>
      </c>
      <c r="C40" t="b">
        <f>TRUE</f>
        <v>1</v>
      </c>
      <c r="D40">
        <f>IF(Skills!C8=1,60+Inputs!$B$24+Inputs!$B$28,IF(Skills!C8=2,90+Inputs!$B$25+Inputs!$B$28,IF(Skills!C8=3,120+Inputs!$B$26+Inputs!$B$28,MAX(0,(Inputs!$B$3-100)*3)+Inputs!$B$27+Inputs!$B$28)))</f>
        <v>184</v>
      </c>
      <c r="E40">
        <f>INDEX(FactorTable!$B$2:$Y$301, MATCH(ROUND(MIN(300,MAX(1,D40)),0), FactorTable!$A$2:$A$301,0), Skills!M8+1)</f>
        <v>1920</v>
      </c>
      <c r="F40">
        <f>IF(Skills!N8=TRUE,(Skills!L8/10)*(E40/1000),Skills!L8/10)+Skills!O8</f>
        <v>134.4</v>
      </c>
      <c r="G40">
        <f>Calc!G8</f>
        <v>50</v>
      </c>
      <c r="H40">
        <f>Calc!H8</f>
        <v>1</v>
      </c>
      <c r="I40">
        <f>IF(Skills!X8&lt;&gt;"",1+(Skills!X8/10)*(R35/1000)/100,1)</f>
        <v>1.7519999999999998</v>
      </c>
      <c r="J40">
        <f>((Inputs!$B$5*(1+Inputs!$B$6/100))+(((Inputs!$B$11+1)*(1+Inputs!$B$12/100))-(Inputs!$B$11*(1+Inputs!$B$12/100)))*(1+Inputs!$B$6/100))*(F40/100)</f>
        <v>335774120.09212112</v>
      </c>
      <c r="K40">
        <f>J40*(1+(((Inputs!$B$11+1)*(1+Inputs!$B$12/100))*0.01+Inputs!$B$13*0.0025)/100)*(1+Inputs!$B$14/100)*(1+IF(Inputs!$B$4="pvp",0,(1-Summary!$B$56)*(Inputs!$B$19+Skills!P8)+Summary!$B$56*(Inputs!$B$20+Skills!Q8))/100)*(1+Inputs!$B$15/100)*(5000/(6000+Inputs!$B$7*(1-Inputs!$B$18/100)))*(1+Inputs!$B$23/100)*(1+F55/100)*(1+IF(Inputs!$B$3&gt;=120,F58,0)/100)^5*(1+(IF(Skills!A8="BASIC_ATTACK",Inputs!$B$16,Inputs!$B$17+IF(Inputs!$B$3&gt;=125,F59*5,0)))/100)*(B62*B63*B64*I40)</f>
        <v>4475633026856.4443</v>
      </c>
      <c r="L40">
        <f>K40*(MIN(Inputs!$B$21+(F54-Calc!F22),Inputs!$B$22)/100+Inputs!$B$22/100)/2</f>
        <v>12081971355998.969</v>
      </c>
      <c r="M40">
        <f>L40*(1+(Inputs!$B$9+(F53-Calc!F21))/100)</f>
        <v>50635541952991.688</v>
      </c>
      <c r="N40">
        <f>L40*(1-MIN(Inputs!$B$8+(F52-Calc!F20),100)/100)+M40*(MIN(Inputs!$B$8+(F52-Calc!F20),100)/100)</f>
        <v>50635541952991.688</v>
      </c>
      <c r="O40">
        <f>IF(C40,H40*N40*IF(AND(Inputs!$B$4&lt;&gt;"pvp",Inputs!$B$35&gt;0),((Skills!G8*((S40-1)*IF(Skills!H8&gt;0,Skills!I8/Skills!H8,1)+IF(Skills!H8&gt;0,MIN(Skills!I8,MAX(0,Inputs!$B$35-((S40-1)*IF(Inputs!$B$4="pvp",15,MAX(0.1,Skills!E8-IF(Skills!F8=TRUE,Inputs!$B$31,0))))))/Skills!H8,1)))/Inputs!$B$35),G40*V40)*IF(Inputs!$B$4="pvp",1,(1-Summary!$B$56)*(1)+Summary!$B$56*(MIN(Skills!R8,Inputs!$B$37))),0)</f>
        <v>661362180610503.75</v>
      </c>
      <c r="P40">
        <f>IF(B71=0,0,O40/B71)</f>
        <v>7.9302390457889532E-2</v>
      </c>
      <c r="S40">
        <f>IF(AND(Inputs!$B$4&lt;&gt;"pvp",Inputs!$B$35&gt;0),(INT(Inputs!$B$35/IF(Inputs!$B$4="pvp",15,MAX(0.1,Skills!E8-IF(Skills!F8=TRUE,Inputs!$B$31,0))))+1),0)</f>
        <v>0</v>
      </c>
      <c r="V40">
        <f>IFERROR(1/IF(Inputs!$B$4="pvp",15,MAX(0.1,Skills!E8-IF(Skills!F8=TRUE,Inputs!$B$31,0))),0)</f>
        <v>4.0816326530612242E-2</v>
      </c>
    </row>
    <row r="41" spans="1:22" x14ac:dyDescent="0.2">
      <c r="A41" t="str">
        <f>Skills!A9</f>
        <v>MIST_ERUPTION</v>
      </c>
      <c r="B41" t="str">
        <f>Skills!B9</f>
        <v>Mist Eruption</v>
      </c>
      <c r="C41" t="b">
        <f>Inputs!$B$3&gt;=103</f>
        <v>1</v>
      </c>
      <c r="D41">
        <f>IF(Skills!C9=1,60+Inputs!$B$24+Inputs!$B$28,IF(Skills!C9=2,90+Inputs!$B$25+Inputs!$B$28,IF(Skills!C9=3,120+Inputs!$B$26+Inputs!$B$28,MAX(0,(Inputs!$B$3-100)*3)+Inputs!$B$27+Inputs!$B$28)))</f>
        <v>172</v>
      </c>
      <c r="E41">
        <f>INDEX(FactorTable!$B$2:$Y$301, MATCH(ROUND(MIN(300,MAX(1,D41)),0), FactorTable!$A$2:$A$301,0), Skills!M9+1)</f>
        <v>1860</v>
      </c>
      <c r="F41">
        <f>IF(Skills!N9=TRUE,(Skills!L9/10)*(E41/1000),Skills!L9/10)+Skills!O9</f>
        <v>5580</v>
      </c>
      <c r="G41">
        <f>Calc!G9</f>
        <v>2.8</v>
      </c>
      <c r="H41">
        <f>Calc!H9</f>
        <v>1</v>
      </c>
      <c r="I41">
        <f>IF(Skills!X9&lt;&gt;"",1+(Skills!X9/10)*(R35/1000)/100,1)</f>
        <v>1</v>
      </c>
      <c r="J41">
        <f>((Inputs!$B$5*(1+Inputs!$B$6/100))+(((Inputs!$B$11+1)*(1+Inputs!$B$12/100))-(Inputs!$B$11*(1+Inputs!$B$12/100)))*(1+Inputs!$B$6/100))*(F41/100)</f>
        <v>13940621950.253241</v>
      </c>
      <c r="K41">
        <f>J41*(1+(((Inputs!$B$11+1)*(1+Inputs!$B$12/100))*0.01+Inputs!$B$13*0.0025)/100)*(1+Inputs!$B$14/100)*(1+IF(Inputs!$B$4="pvp",0,(1-Summary!$B$56)*(Inputs!$B$19+Skills!P9)+Summary!$B$56*(Inputs!$B$20+Skills!Q9))/100)*(1+Inputs!$B$15/100)*(5000/(6000+Inputs!$B$7*(1-Inputs!$B$18/100)))*(1+Inputs!$B$23/100)*(1+F55/100)*(1+IF(Inputs!$B$3&gt;=120,F58,0)/100)^5*(1+(IF(Skills!A9="BASIC_ATTACK",Inputs!$B$16,Inputs!$B$17+IF(Inputs!$B$3&gt;=125,F59*5,0)))/100)*(B62*B63*B64*I41)</f>
        <v>106060897621506.39</v>
      </c>
      <c r="L41">
        <f>K41*(MIN(Inputs!$B$21+(F54-Calc!F22),Inputs!$B$22)/100+Inputs!$B$22/100)/2</f>
        <v>286311393129256.44</v>
      </c>
      <c r="M41">
        <f>L41*(1+(Inputs!$B$9+(F53-Calc!F21))/100)</f>
        <v>1199931048604714</v>
      </c>
      <c r="N41">
        <f>L41*(1-MIN(Inputs!$B$8+(F52-Calc!F20),100)/100)+M41*(MIN(Inputs!$B$8+(F52-Calc!F20),100)/100)</f>
        <v>1199931048604714</v>
      </c>
      <c r="O41">
        <f>IF(C41,H41*N41*IF(AND(Inputs!$B$4&lt;&gt;"pvp",Inputs!$B$35&gt;0),((Skills!G9*((S41-1)*IF(Skills!H9&gt;0,Skills!I9/Skills!H9,1)+IF(Skills!H9&gt;0,MIN(Skills!I9,MAX(0,Inputs!$B$35-((S41-1)*IF(Inputs!$B$4="pvp",15,MAX(0.1,Skills!E9-IF(Skills!F7=TRUE,Inputs!$B$31,0))))))/Skills!H9,1)))/Inputs!$B$35),G41*V41)*IF(Inputs!$B$4="pvp",1,(1-Summary!$B$56)*(1)+Summary!$B$56*(MIN(Skills!R9,Inputs!$B$37))),0)</f>
        <v>877663852693733.5</v>
      </c>
      <c r="P41">
        <f>IF(B71=0,0,O41/B71)</f>
        <v>0.10523861747408284</v>
      </c>
      <c r="S41">
        <f>IF(AND(Inputs!$B$4&lt;&gt;"pvp",Inputs!$B$35&gt;0),(INT(Inputs!$B$35/IF(Inputs!$B$4="pvp",15,MAX(0.1,Skills!E9-IF(Skills!F7=TRUE,Inputs!$B$31,0))))+1),0)</f>
        <v>0</v>
      </c>
      <c r="V41">
        <f>IFERROR(1/IF(Inputs!$B$4="pvp",15,MAX(0.1,Skills!E9-IF(Skills!F7=TRUE,Inputs!$B$31,0))),0)</f>
        <v>4.0816326530612242E-2</v>
      </c>
    </row>
    <row r="42" spans="1:22" x14ac:dyDescent="0.2">
      <c r="A42" t="str">
        <f>Skills!A10</f>
        <v>CREEPING_TOXIN</v>
      </c>
      <c r="B42" t="str">
        <f>Skills!B10</f>
        <v>Creeping Toxin</v>
      </c>
      <c r="C42" t="b">
        <f>TRUE</f>
        <v>1</v>
      </c>
      <c r="D42">
        <f>IF(Skills!C10=1,60+Inputs!$B$24+Inputs!$B$28,IF(Skills!C10=2,90+Inputs!$B$25+Inputs!$B$28,IF(Skills!C10=3,120+Inputs!$B$26+Inputs!$B$28,MAX(0,(Inputs!$B$3-100)*3)+Inputs!$B$27+Inputs!$B$28)))</f>
        <v>184</v>
      </c>
      <c r="E42">
        <f>INDEX(FactorTable!$B$2:$Y$301, MATCH(ROUND(MIN(300,MAX(1,D42)),0), FactorTable!$A$2:$A$301,0), Skills!M10+1)</f>
        <v>1920</v>
      </c>
      <c r="F42">
        <f>IF(Skills!N10=TRUE,(Skills!L10/10)*(E42/1000),Skills!L10/10)+Skills!O10</f>
        <v>280.39999999999998</v>
      </c>
      <c r="G42">
        <f>Calc!G10</f>
        <v>15</v>
      </c>
      <c r="H42">
        <f>Calc!H10</f>
        <v>1</v>
      </c>
      <c r="I42">
        <f>IF(Skills!X10&lt;&gt;"",1+(Skills!X10/10)*(R35/1000)/100,1)</f>
        <v>1.7519999999999998</v>
      </c>
      <c r="J42">
        <f>((Inputs!$B$5*(1+Inputs!$B$6/100))+(((Inputs!$B$11+1)*(1+Inputs!$B$12/100))-(Inputs!$B$11*(1+Inputs!$B$12/100)))*(1+Inputs!$B$6/100))*(F42/100)</f>
        <v>700528744.59695494</v>
      </c>
      <c r="K42">
        <f>J42*(1+(((Inputs!$B$11+1)*(1+Inputs!$B$12/100))*0.01+Inputs!$B$13*0.0025)/100)*(1+Inputs!$B$14/100)*(1+IF(Inputs!$B$4="pvp",0,(1-Summary!$B$56)*(Inputs!$B$19+Skills!P10)+Summary!$B$56*(Inputs!$B$20+Skills!Q10))/100)*(1+Inputs!$B$15/100)*(5000/(6000+Inputs!$B$7*(1-Inputs!$B$18/100)))*(1+Inputs!$B$23/100)*(1+F55/100)*(1+IF(Inputs!$B$3&gt;=120,F58,0)/100)^5*(1+(IF(Skills!A10="BASIC_ATTACK",Inputs!$B$16,Inputs!$B$17+IF(Inputs!$B$3&gt;=125,F59*5,0)))/100)*(B62*B63*B64*I42)</f>
        <v>11018988427675.779</v>
      </c>
      <c r="L42">
        <f>K42*(MIN(Inputs!$B$21+(F54-Calc!F22),Inputs!$B$22)/100+Inputs!$B$22/100)/2</f>
        <v>29745759260510.762</v>
      </c>
      <c r="M42">
        <f>L42*(1+(Inputs!$B$9+(F53-Calc!F21))/100)</f>
        <v>124664477060800.62</v>
      </c>
      <c r="N42">
        <f>L42*(1-MIN(Inputs!$B$8+(F52-Calc!F20),100)/100)+M42*(MIN(Inputs!$B$8+(F52-Calc!F20),100)/100)</f>
        <v>124664477060800.62</v>
      </c>
      <c r="O42">
        <f>IF(C42,H42*N42*IF(AND(Inputs!$B$4&lt;&gt;"pvp",Inputs!$B$35&gt;0),((Skills!G10*((S42-1)*IF(Skills!H10&gt;0,Skills!I10/Skills!H10,1)+IF(Skills!H10&gt;0,MIN(Skills!I10,MAX(0,Inputs!$B$35-((S42-1)*IF(Inputs!$B$4="pvp",15,MAX(0.1,Skills!E10-IF(Skills!F10=TRUE,Inputs!$B$31,0))))))/Skills!H10,1)))/Inputs!$B$35),G42*V42)*IF(Inputs!$B$4="pvp",1,(1-Summary!$B$56)*(1)+Summary!$B$56*(MIN(Skills!R10,Inputs!$B$37))),0)</f>
        <v>69258042811555.906</v>
      </c>
      <c r="P42">
        <f>IF(B71=0,0,O42/B71)</f>
        <v>8.3045697416826349E-3</v>
      </c>
      <c r="S42">
        <f>IF(AND(Inputs!$B$4&lt;&gt;"pvp",Inputs!$B$35&gt;0),(INT(Inputs!$B$35/IF(Inputs!$B$4="pvp",15,MAX(0.1,Skills!E10-IF(Skills!F10=TRUE,Inputs!$B$31,0))))+1),0)</f>
        <v>0</v>
      </c>
      <c r="V42">
        <f>IFERROR(1/IF(Inputs!$B$4="pvp",15,MAX(0.1,Skills!E10-IF(Skills!F10=TRUE,Inputs!$B$31,0))),0)</f>
        <v>3.7037037037037035E-2</v>
      </c>
    </row>
    <row r="43" spans="1:22" x14ac:dyDescent="0.2">
      <c r="A43" t="str">
        <f>Skills!A11</f>
        <v>BURNING_MAGIC</v>
      </c>
      <c r="B43" t="str">
        <f>Skills!B11</f>
        <v>Burning Magic</v>
      </c>
      <c r="C43" t="b">
        <f>TRUE</f>
        <v>1</v>
      </c>
      <c r="D43">
        <f>IF(Skills!C11=1,60+Inputs!$B$24+Inputs!$B$28,IF(Skills!C11=2,90+Inputs!$B$25+Inputs!$B$28,IF(Skills!C11=3,120+Inputs!$B$26+Inputs!$B$28,MAX(0,(Inputs!$B$3-100)*3)+Inputs!$B$27+Inputs!$B$28)))</f>
        <v>184</v>
      </c>
      <c r="E43">
        <f>INDEX(FactorTable!$B$2:$Y$301, MATCH(ROUND(MIN(300,MAX(1,D43)),0), FactorTable!$A$2:$A$301,0), Skills!M11+1)</f>
        <v>0</v>
      </c>
      <c r="F43">
        <f>IF(Skills!N11=TRUE,(Skills!L11/10)*(E43/1000),Skills!L11/10)+Skills!O11</f>
        <v>5</v>
      </c>
      <c r="G43">
        <f>Calc!G11</f>
        <v>1</v>
      </c>
      <c r="H43">
        <f>Calc!H11</f>
        <v>1</v>
      </c>
      <c r="I43">
        <f>IF(Skills!X11&lt;&gt;"",1+(Skills!X11/10)*(R35/1000)/100,1)</f>
        <v>1</v>
      </c>
      <c r="O43">
        <v>0</v>
      </c>
      <c r="P43">
        <f>IF(B71=0,0,O43/B71)</f>
        <v>0</v>
      </c>
      <c r="S43">
        <v>0</v>
      </c>
      <c r="V43">
        <f>IFERROR(1/IF(Inputs!$B$4="pvp",15,MAX(0.1,Skills!E11-IF(Skills!F11=TRUE,Inputs!$B$31,0))),0)</f>
        <v>10</v>
      </c>
    </row>
    <row r="44" spans="1:22" x14ac:dyDescent="0.2">
      <c r="A44" t="str">
        <f>Skills!A12</f>
        <v>ELEMENTAL_DECREASE</v>
      </c>
      <c r="B44" t="str">
        <f>Skills!B12</f>
        <v>Elemental Decrease</v>
      </c>
      <c r="C44" t="b">
        <f>TRUE</f>
        <v>1</v>
      </c>
      <c r="D44">
        <f>IF(Skills!C12=1,60+Inputs!$B$24+Inputs!$B$28,IF(Skills!C12=2,90+Inputs!$B$25+Inputs!$B$28,IF(Skills!C12=3,120+Inputs!$B$26+Inputs!$B$28,MAX(0,(Inputs!$B$3-100)*3)+Inputs!$B$27+Inputs!$B$28)))</f>
        <v>184</v>
      </c>
      <c r="E44">
        <f>INDEX(FactorTable!$B$2:$Y$301, MATCH(ROUND(MIN(300,MAX(1,D44)),0), FactorTable!$A$2:$A$301,0), Skills!M12+1)</f>
        <v>1552</v>
      </c>
      <c r="F44">
        <f>IF(Skills!N12=TRUE,(Skills!L12/10)*(E44/1000),Skills!L12/10)+Skills!O12</f>
        <v>18.624000000000002</v>
      </c>
      <c r="G44">
        <f>Calc!G12</f>
        <v>1</v>
      </c>
      <c r="H44">
        <f>Calc!H12</f>
        <v>0.5</v>
      </c>
      <c r="I44">
        <f>IF(Skills!X12&lt;&gt;"",1+(Skills!X12/10)*(R35/1000)/100,1)</f>
        <v>1</v>
      </c>
      <c r="O44">
        <v>0</v>
      </c>
      <c r="P44">
        <f>IF(B71=0,0,O44/B71)</f>
        <v>0</v>
      </c>
      <c r="S44">
        <v>0</v>
      </c>
      <c r="V44">
        <f>IFERROR(1/IF(Inputs!$B$4="pvp",15,MAX(0.1,Skills!E12-IF(Skills!F12=TRUE,Inputs!$B$31,0))),0)</f>
        <v>10</v>
      </c>
    </row>
    <row r="45" spans="1:22" x14ac:dyDescent="0.2">
      <c r="A45" t="str">
        <f>Skills!A13</f>
        <v>METEOR_SHOWER_BURST</v>
      </c>
      <c r="B45" t="str">
        <f>Skills!B13</f>
        <v>Meteor Shower (burst)</v>
      </c>
      <c r="C45" t="b">
        <f>Inputs!$B$3&gt;=105</f>
        <v>1</v>
      </c>
      <c r="D45">
        <f>IF(Skills!C13=1,60+Inputs!$B$24+Inputs!$B$28,IF(Skills!C13=2,90+Inputs!$B$25+Inputs!$B$28,IF(Skills!C13=3,120+Inputs!$B$26+Inputs!$B$28,MAX(0,(Inputs!$B$3-100)*3)+Inputs!$B$27+Inputs!$B$28)))</f>
        <v>172</v>
      </c>
      <c r="E45">
        <f>INDEX(FactorTable!$B$2:$Y$301, MATCH(ROUND(MIN(300,MAX(1,D45)),0), FactorTable!$A$2:$A$301,0), Skills!M13+1)</f>
        <v>1860</v>
      </c>
      <c r="F45">
        <f>IF(Skills!N13=TRUE,(Skills!L13/10)*(E45/1000),Skills!L13/10)+Skills!O13</f>
        <v>1116</v>
      </c>
      <c r="G45">
        <f>Calc!G13</f>
        <v>9</v>
      </c>
      <c r="H45">
        <f>Calc!H13</f>
        <v>1</v>
      </c>
      <c r="I45">
        <f>IF(Skills!X13&lt;&gt;"",1+(Skills!X13/10)*(R35/1000)/100,1)</f>
        <v>1</v>
      </c>
      <c r="J45">
        <f>((Inputs!$B$5*(1+Inputs!$B$6/100))+(((Inputs!$B$11+1)*(1+Inputs!$B$12/100))-(Inputs!$B$11*(1+Inputs!$B$12/100)))*(1+Inputs!$B$6/100))*(F45/100)</f>
        <v>2788124390.0506482</v>
      </c>
      <c r="K45">
        <f>J45*(1+(((Inputs!$B$11+1)*(1+Inputs!$B$12/100))*0.01+Inputs!$B$13*0.0025)/100)*(1+Inputs!$B$14/100)*(1+IF(Inputs!$B$4="pvp",0,(1-Summary!$B$56)*(Inputs!$B$19+Skills!P13)+Summary!$B$56*(Inputs!$B$20+Skills!Q13))/100)*(1+Inputs!$B$15/100)*(5000/(6000+Inputs!$B$7*(1-Inputs!$B$18/100)))*(1+Inputs!$B$23/100)*(1+F55/100)*(1+IF(Inputs!$B$3&gt;=120,F58,0)/100)^5*(1+(IF(Skills!A13="BASIC_ATTACK",Inputs!$B$16,Inputs!$B$17+IF(Inputs!$B$3&gt;=125,F59*5,0)))/100)*(B62*B63*B64*I45)</f>
        <v>21212179524301.27</v>
      </c>
      <c r="L45">
        <f>K45*(MIN(Inputs!$B$21+(F54-Calc!F22),Inputs!$B$22)/100+Inputs!$B$22/100)/2</f>
        <v>57262278625851.266</v>
      </c>
      <c r="M45">
        <f>L45*(1+(Inputs!$B$9+(F53-Calc!F21))/100)</f>
        <v>239986209720942.69</v>
      </c>
      <c r="N45">
        <f>L45*(1-MIN(Inputs!$B$8+(F52-Calc!F20),100)/100)+M45*(MIN(Inputs!$B$8+(F52-Calc!F20),100)/100)</f>
        <v>239986209720942.69</v>
      </c>
      <c r="O45">
        <f>IF(C45,H45*N45*IF(AND(Inputs!$B$4&lt;&gt;"pvp",Inputs!$B$35&gt;0),((Skills!G13*((S45-1)*IF(Skills!H13&gt;0,Skills!I13/Skills!H13,1)+IF(Skills!H13&gt;0,MIN(Skills!I13,MAX(0,Inputs!$B$35-((S45-1)*IF(Inputs!$B$4="pvp",15,MAX(0.1,Skills!E13-IF(Skills!F13=TRUE,Inputs!$B$31,0))))))/Skills!H13,1)))/Inputs!$B$35),G45*V45)*IF(Inputs!$B$4="pvp",1,(1-Summary!$B$56)*(1)+Summary!$B$56*(MIN(Skills!R13,Inputs!$B$37))),0)</f>
        <v>301073608559000.81</v>
      </c>
      <c r="P45">
        <f>IF(B71=0,0,O45/B71)</f>
        <v>3.6101031420441757E-2</v>
      </c>
      <c r="S45">
        <f>IF(AND(Inputs!$B$4&lt;&gt;"pvp",Inputs!$B$35&gt;0),(INT(Inputs!$B$35/IF(Inputs!$B$4="pvp",15,MAX(0.1,Skills!E13-IF(Skills!F13=TRUE,Inputs!$B$31,0))))+1),0)</f>
        <v>0</v>
      </c>
      <c r="V45">
        <f>IFERROR(1/IF(Inputs!$B$4="pvp",15,MAX(0.1,Skills!E13-IF(Skills!F13=TRUE,Inputs!$B$31,0))),0)</f>
        <v>3.0303030303030304E-2</v>
      </c>
    </row>
    <row r="46" spans="1:22" x14ac:dyDescent="0.2">
      <c r="A46" t="str">
        <f>Skills!A14</f>
        <v>METEOR_PROC</v>
      </c>
      <c r="B46" t="str">
        <f>Skills!B14</f>
        <v>Meteor Proc (30% on-hit, 1s ICD)</v>
      </c>
      <c r="C46" t="b">
        <f>Inputs!$B$3&gt;=113</f>
        <v>1</v>
      </c>
      <c r="D46">
        <f>IF(Skills!C14=1,60+Inputs!$B$24+Inputs!$B$28,IF(Skills!C14=2,90+Inputs!$B$25+Inputs!$B$28,IF(Skills!C14=3,120+Inputs!$B$26+Inputs!$B$28,MAX(0,(Inputs!$B$3-100)*3)+Inputs!$B$27+Inputs!$B$28)))</f>
        <v>172</v>
      </c>
      <c r="E46">
        <f>INDEX(FactorTable!$B$2:$Y$301, MATCH(ROUND(MIN(300,MAX(1,D46)),0), FactorTable!$A$2:$A$301,0), Skills!M14+1)</f>
        <v>1688</v>
      </c>
      <c r="F46">
        <f>IF(Skills!N14=TRUE,(Skills!L14/10)*(E46/1000),Skills!L14/10)+Skills!O14</f>
        <v>1603.6</v>
      </c>
      <c r="G46">
        <f>Calc!G14</f>
        <v>0</v>
      </c>
      <c r="H46">
        <f>Calc!H14</f>
        <v>0.30000000000000004</v>
      </c>
      <c r="I46">
        <f>IF(Skills!X14&lt;&gt;"",1+(Skills!X14/10)*(R35/1000)/100,1)</f>
        <v>1</v>
      </c>
      <c r="J46">
        <f>((Inputs!$B$5*(1+Inputs!$B$6/100))+(((Inputs!$B$11+1)*(1+Inputs!$B$12/100))-(Inputs!$B$11*(1+Inputs!$B$12/100)))*(1+Inputs!$B$6/100))*(F46/100)</f>
        <v>4006304903.1229563</v>
      </c>
      <c r="K46">
        <f>J46*(1+(((Inputs!$B$11+1)*(1+Inputs!$B$12/100))*0.01+Inputs!$B$13*0.0025)/100)*(1+Inputs!$B$14/100)*(1+IF(Inputs!$B$4="pvp",0,(1-Summary!$B$56)*(Inputs!$B$19+Skills!P14)+Summary!$B$56*(Inputs!$B$20+Skills!Q14))/100)*(1+Inputs!$B$15/100)*(5000/(6000+Inputs!$B$7*(1-Inputs!$B$18/100)))*(1+Inputs!$B$23/100)*(1+F55/100)*(1+IF(Inputs!$B$3&gt;=120,F58,0)/100)^5*(1+(IF(Skills!A14="BASIC_ATTACK",Inputs!$B$16,Inputs!$B$17+IF(Inputs!$B$3&gt;=125,F59*5,0)))/100)*(B62*B63*B64*I46)</f>
        <v>30480153302123.227</v>
      </c>
      <c r="L46">
        <f>K46*(MIN(Inputs!$B$21+(F54-Calc!F22),Inputs!$B$22)/100+Inputs!$B$22/100)/2</f>
        <v>82281173839081.641</v>
      </c>
      <c r="M46">
        <f>L46*(1+(Inputs!$B$9+(F53-Calc!F21))/100)</f>
        <v>344840399559591.19</v>
      </c>
      <c r="N46">
        <f>L46*(1-MIN(Inputs!$B$8+(F52-Calc!F20),100)/100)+M46*(MIN(Inputs!$B$8+(F52-Calc!F20),100)/100)</f>
        <v>344840399559591.19</v>
      </c>
      <c r="O46">
        <f>IF(C46,(H46*B69)/(1+Skills!H14*H46*B69)*N46*IF(Inputs!$B$4="pvp",1,(1-Summary!$B$56)*(1)+Summary!$B$56*(MIN(Skills!R14,Inputs!$B$37))),0)</f>
        <v>108473902185688.77</v>
      </c>
      <c r="P46">
        <f>IF(B71=0,0,O46/B71)</f>
        <v>1.3006851612953851E-2</v>
      </c>
      <c r="S46">
        <v>0</v>
      </c>
      <c r="V46">
        <f>IFERROR(1/IF(Inputs!$B$4="pvp",15,MAX(0.1,Skills!E14-IF(Skills!F14=TRUE,Inputs!$B$31,0))),0)</f>
        <v>10</v>
      </c>
    </row>
    <row r="47" spans="1:22" x14ac:dyDescent="0.2">
      <c r="A47" t="str">
        <f>Skills!A15</f>
        <v>FLAME_HAZE_BURST</v>
      </c>
      <c r="B47" t="str">
        <f>Skills!B15</f>
        <v>Flame Haze (burst)</v>
      </c>
      <c r="C47" t="b">
        <f>Inputs!$B$3&gt;=107</f>
        <v>1</v>
      </c>
      <c r="D47">
        <f>IF(Skills!C15=1,60+Inputs!$B$24+Inputs!$B$28,IF(Skills!C15=2,90+Inputs!$B$25+Inputs!$B$28,IF(Skills!C15=3,120+Inputs!$B$26+Inputs!$B$28,MAX(0,(Inputs!$B$3-100)*3)+Inputs!$B$27+Inputs!$B$28)))</f>
        <v>172</v>
      </c>
      <c r="E47">
        <f>INDEX(FactorTable!$B$2:$Y$301, MATCH(ROUND(MIN(300,MAX(1,D47)),0), FactorTable!$A$2:$A$301,0), Skills!M15+1)</f>
        <v>1860</v>
      </c>
      <c r="F47">
        <f>IF(Skills!N15=TRUE,(Skills!L15/10)*(E47/1000),Skills!L15/10)+Skills!O15</f>
        <v>2232</v>
      </c>
      <c r="G47">
        <f>Calc!G15</f>
        <v>3</v>
      </c>
      <c r="H47">
        <f>Calc!H15</f>
        <v>1</v>
      </c>
      <c r="I47">
        <f>IF(Skills!X15&lt;&gt;"",1+(Skills!X15/10)*(R35/1000)/100,1)</f>
        <v>1</v>
      </c>
      <c r="J47">
        <f>((Inputs!$B$5*(1+Inputs!$B$6/100))+(((Inputs!$B$11+1)*(1+Inputs!$B$12/100))-(Inputs!$B$11*(1+Inputs!$B$12/100)))*(1+Inputs!$B$6/100))*(F47/100)</f>
        <v>5576248780.1012964</v>
      </c>
      <c r="K47">
        <f>J47*(1+(((Inputs!$B$11+1)*(1+Inputs!$B$12/100))*0.01+Inputs!$B$13*0.0025)/100)*(1+Inputs!$B$14/100)*(1+IF(Inputs!$B$4="pvp",0,(1-Summary!$B$56)*(Inputs!$B$19+Skills!P15)+Summary!$B$56*(Inputs!$B$20+Skills!Q15))/100)*(1+Inputs!$B$15/100)*(5000/(6000+Inputs!$B$7*(1-Inputs!$B$18/100)))*(1+Inputs!$B$23/100)*(1+F55/100)*(1+IF(Inputs!$B$3&gt;=120,F58,0)/100)^5*(1+(IF(Skills!A15="BASIC_ATTACK",Inputs!$B$16,Inputs!$B$17+IF(Inputs!$B$3&gt;=125,F59*5,0)))/100)*(B62*B63*B64*I47)</f>
        <v>42424359048602.539</v>
      </c>
      <c r="L47">
        <f>K47*(MIN(Inputs!$B$21+(F54-Calc!F22),Inputs!$B$22)/100+Inputs!$B$22/100)/2</f>
        <v>114524557251702.53</v>
      </c>
      <c r="M47">
        <f>L47*(1+(Inputs!$B$9+(F53-Calc!F21))/100)</f>
        <v>479972419441885.38</v>
      </c>
      <c r="N47">
        <f>L47*(1-MIN(Inputs!$B$8+(F52-Calc!F20),100)/100)+M47*(MIN(Inputs!$B$8+(F52-Calc!F20),100)/100)</f>
        <v>479972419441885.38</v>
      </c>
      <c r="O47">
        <f>IF(C47,H47*N47*IF(AND(Inputs!$B$4&lt;&gt;"pvp",Inputs!$B$35&gt;0),((Skills!G15*((S47-1)*IF(Skills!H15&gt;0,Skills!I15/Skills!H15,1)+IF(Skills!H15&gt;0,MIN(Skills!I15,MAX(0,Inputs!$B$35-((S47-1)*IF(Inputs!$B$4="pvp",15,MAX(0.1,Skills!E15-IF(Skills!F15=TRUE,Inputs!$B$31,0))))))/Skills!H15,1)))/Inputs!$B$35),G47*V47)*IF(Inputs!$B$4="pvp",1,(1-Summary!$B$56)*(1)+Summary!$B$56*(MIN(Skills!R15,Inputs!$B$37))),0)</f>
        <v>368618818131368</v>
      </c>
      <c r="P47">
        <f>IF(B71=0,0,O47/B71)</f>
        <v>4.4200219339114784E-2</v>
      </c>
      <c r="S47">
        <f>IF(AND(Inputs!$B$4&lt;&gt;"pvp",Inputs!$B$35&gt;0),(INT(Inputs!$B$35/IF(Inputs!$B$4="pvp",15,MAX(0.1,Skills!E15-IF(Skills!F15=TRUE,Inputs!$B$31,0))))+1),0)</f>
        <v>0</v>
      </c>
      <c r="V47">
        <f>IFERROR(1/IF(Inputs!$B$4="pvp",15,MAX(0.1,Skills!E15-IF(Skills!F15=TRUE,Inputs!$B$31,0))),0)</f>
        <v>0.04</v>
      </c>
    </row>
    <row r="48" spans="1:22" x14ac:dyDescent="0.2">
      <c r="A48" t="str">
        <f>Skills!A16</f>
        <v>FLAME_HAZE_DOT</v>
      </c>
      <c r="B48" t="str">
        <f>Skills!B16</f>
        <v>Flame Haze (burn DoT)</v>
      </c>
      <c r="C48" t="b">
        <f>Inputs!$B$3&gt;=107</f>
        <v>1</v>
      </c>
      <c r="D48">
        <f>IF(Skills!C16=1,60+Inputs!$B$24+Inputs!$B$28,IF(Skills!C16=2,90+Inputs!$B$25+Inputs!$B$28,IF(Skills!C16=3,120+Inputs!$B$26+Inputs!$B$28,MAX(0,(Inputs!$B$3-100)*3)+Inputs!$B$27+Inputs!$B$28)))</f>
        <v>172</v>
      </c>
      <c r="E48">
        <f>INDEX(FactorTable!$B$2:$Y$301, MATCH(ROUND(MIN(300,MAX(1,D48)),0), FactorTable!$A$2:$A$301,0), Skills!M16+1)</f>
        <v>1860</v>
      </c>
      <c r="F48">
        <f>IF(Skills!N16=TRUE,(Skills!L16/10)*(E48/1000),Skills!L16/10)+Skills!O16</f>
        <v>279</v>
      </c>
      <c r="G48">
        <f>Calc!G16</f>
        <v>28</v>
      </c>
      <c r="H48">
        <f>Calc!H16</f>
        <v>1</v>
      </c>
      <c r="I48">
        <f>IF(Skills!X16&lt;&gt;"",1+(Skills!X16/10)*(R35/1000)/100,1)</f>
        <v>1</v>
      </c>
      <c r="J48">
        <f>((Inputs!$B$5*(1+Inputs!$B$6/100))+(((Inputs!$B$11+1)*(1+Inputs!$B$12/100))-(Inputs!$B$11*(1+Inputs!$B$12/100)))*(1+Inputs!$B$6/100))*(F48/100)</f>
        <v>697031097.51266205</v>
      </c>
      <c r="K48">
        <f>J48*(1+(((Inputs!$B$11+1)*(1+Inputs!$B$12/100))*0.01+Inputs!$B$13*0.0025)/100)*(1+Inputs!$B$14/100)*(1+IF(Inputs!$B$4="pvp",0,(1-Summary!$B$56)*(Inputs!$B$19+Skills!P16)+Summary!$B$56*(Inputs!$B$20+Skills!Q16))/100)*(1+Inputs!$B$15/100)*(5000/(6000+Inputs!$B$7*(1-Inputs!$B$18/100)))*(1+Inputs!$B$23/100)*(1+F55/100)*(1+IF(Inputs!$B$3&gt;=120,F58,0)/100)^5*(1+(IF(Skills!A16="BASIC_ATTACK",Inputs!$B$16,Inputs!$B$17+IF(Inputs!$B$3&gt;=125,F59*5,0)))/100)*(B62*B63*B64*I48)</f>
        <v>5303044881075.3174</v>
      </c>
      <c r="L48">
        <f>K48*(MIN(Inputs!$B$21+(F54-Calc!F22),Inputs!$B$22)/100+Inputs!$B$22/100)/2</f>
        <v>14315569656462.816</v>
      </c>
      <c r="M48">
        <f>L48*(1+(Inputs!$B$9+(F53-Calc!F21))/100)</f>
        <v>59996552430235.672</v>
      </c>
      <c r="N48">
        <f>L48*(1-MIN(Inputs!$B$8+(F52-Calc!F20),100)/100)+M48*(MIN(Inputs!$B$8+(F52-Calc!F20),100)/100)</f>
        <v>59996552430235.672</v>
      </c>
      <c r="O48">
        <f>IF(C48,H48*N48*IF(AND(Inputs!$B$4&lt;&gt;"pvp",Inputs!$B$35&gt;0),((Skills!G16*((S48-1)*IF(Skills!H16&gt;0,Skills!I16/Skills!H16,1)+IF(Skills!H16&gt;0,MIN(Skills!I16,MAX(0,Inputs!$B$35-((S48-1)*IF(Inputs!$B$4="pvp",15,MAX(0.1,Skills!E16-IF(Skills!F16=TRUE,Inputs!$B$31,0))))))/Skills!H16,1)))/Inputs!$B$35),G48*V48)*(1+IF(Inputs!$B$3&gt;=126,0.05*(B68+V45+(H46*B69)/(1+Skills!H14*H46*B69)+V56),0)*Skills!E15)*IF(Inputs!$B$4="pvp",1,(1-Summary!$B$56)*(1)+Summary!$B$56*(MIN(Skills!R16,Inputs!$B$37))),0)</f>
        <v>430055287819929.38</v>
      </c>
      <c r="P48">
        <f>IF(B71=0,0,O48/B71)</f>
        <v>5.1566922562300589E-2</v>
      </c>
      <c r="S48">
        <f>IF(AND(Inputs!$B$4&lt;&gt;"pvp",Inputs!$B$35&gt;0),(INT(Inputs!$B$35/IF(Inputs!$B$4="pvp",15,MAX(0.1,Skills!E16-IF(Skills!F16=TRUE,Inputs!$B$31,0))))+1),0)</f>
        <v>0</v>
      </c>
      <c r="V48">
        <f>IFERROR(1/IF(Inputs!$B$4="pvp",15,MAX(0.1,Skills!E16-IF(Skills!F16=TRUE,Inputs!$B$31,0))),0)</f>
        <v>0.04</v>
      </c>
    </row>
    <row r="49" spans="1:22" x14ac:dyDescent="0.2">
      <c r="A49" t="str">
        <f>Skills!A17</f>
        <v>MAGIC_GUARD</v>
      </c>
      <c r="B49" t="str">
        <f>Skills!B17</f>
        <v>Magic Guard</v>
      </c>
      <c r="C49" t="b">
        <f>TRUE</f>
        <v>1</v>
      </c>
      <c r="D49">
        <f>IF(Skills!C17=1,60+Inputs!$B$24+Inputs!$B$28,IF(Skills!C17=2,90+Inputs!$B$25+Inputs!$B$28,IF(Skills!C17=3,120+Inputs!$B$26+Inputs!$B$28,MAX(0,(Inputs!$B$3-100)*3)+Inputs!$B$27+Inputs!$B$28)))</f>
        <v>115</v>
      </c>
      <c r="E49">
        <f>INDEX(FactorTable!$B$2:$Y$301, MATCH(ROUND(MIN(300,MAX(1,D49)),0), FactorTable!$A$2:$A$301,0), Skills!M17+1)</f>
        <v>1460</v>
      </c>
      <c r="F49">
        <f>IF(Skills!N17=TRUE,(Skills!L17/10)*(E49/1000),Skills!L17/10)+Skills!O17</f>
        <v>17.52</v>
      </c>
      <c r="G49">
        <f>Calc!G17</f>
        <v>1</v>
      </c>
      <c r="H49">
        <f>Calc!H17</f>
        <v>1</v>
      </c>
      <c r="I49">
        <f>IF(Skills!X17&lt;&gt;"",1+(Skills!X17/10)*(R35/1000)/100,1)</f>
        <v>1</v>
      </c>
      <c r="O49">
        <v>0</v>
      </c>
      <c r="P49">
        <f>IF(B71=0,0,O49/B71)</f>
        <v>0</v>
      </c>
      <c r="S49">
        <f>IF(AND(Inputs!$B$4&lt;&gt;"pvp",Inputs!$B$35&gt;0),(INT(Inputs!$B$35/IF(Inputs!$B$4="pvp",15,MAX(0.1,Skills!E17-IF(Skills!F17=TRUE,Inputs!$B$31,0))))+1),0)</f>
        <v>0</v>
      </c>
      <c r="V49">
        <f>IFERROR(1/IF(Inputs!$B$4="pvp",15,MAX(0.1,Skills!E17-IF(Skills!F17=TRUE,Inputs!$B$31,0))),0)</f>
        <v>4.7619047619047616E-2</v>
      </c>
    </row>
    <row r="50" spans="1:22" x14ac:dyDescent="0.2">
      <c r="A50" t="str">
        <f>Skills!A18</f>
        <v>NIMBLE_FEET</v>
      </c>
      <c r="B50" t="str">
        <f>Skills!B18</f>
        <v>Nimble Feet</v>
      </c>
      <c r="C50" t="b">
        <f>TRUE</f>
        <v>1</v>
      </c>
      <c r="D50">
        <f>IF(Skills!C18=1,60+Inputs!$B$24+Inputs!$B$28,IF(Skills!C18=2,90+Inputs!$B$25+Inputs!$B$28,IF(Skills!C18=3,120+Inputs!$B$26+Inputs!$B$28,MAX(0,(Inputs!$B$3-100)*3)+Inputs!$B$27+Inputs!$B$28)))</f>
        <v>115</v>
      </c>
      <c r="E50">
        <f>INDEX(FactorTable!$B$2:$Y$301, MATCH(ROUND(MIN(300,MAX(1,D50)),0), FactorTable!$A$2:$A$301,0), Skills!M18+1)</f>
        <v>0</v>
      </c>
      <c r="F50">
        <f>IF(Skills!N18=TRUE,(Skills!L18/10)*(E50/1000),Skills!L18/10)+Skills!O18</f>
        <v>15</v>
      </c>
      <c r="G50">
        <f>Calc!G18</f>
        <v>1</v>
      </c>
      <c r="H50">
        <f>Calc!H18</f>
        <v>1</v>
      </c>
      <c r="I50">
        <f>IF(Skills!X18&lt;&gt;"",1+(Skills!X18/10)*(R35/1000)/100,1)</f>
        <v>1</v>
      </c>
      <c r="O50">
        <v>0</v>
      </c>
      <c r="P50">
        <f>IF(B71=0,0,O50/B71)</f>
        <v>0</v>
      </c>
      <c r="S50">
        <f>IF(AND(Inputs!$B$4&lt;&gt;"pvp",Inputs!$B$35&gt;0),(INT(Inputs!$B$35/IF(Inputs!$B$4="pvp",15,MAX(0.1,Skills!E18-IF(Skills!F18=TRUE,Inputs!$B$31,0))))+1),0)</f>
        <v>0</v>
      </c>
      <c r="V50">
        <f>IFERROR(1/IF(Inputs!$B$4="pvp",15,MAX(0.1,Skills!E18-IF(Skills!F18=TRUE,Inputs!$B$31,0))),0)</f>
        <v>1.6666666666666666E-2</v>
      </c>
    </row>
    <row r="51" spans="1:22" x14ac:dyDescent="0.2">
      <c r="A51" t="str">
        <f>Skills!A19</f>
        <v>INFINITY</v>
      </c>
      <c r="B51" t="str">
        <f>Skills!B19</f>
        <v>Infinity</v>
      </c>
      <c r="C51" t="b">
        <f>Inputs!$B$3&gt;=110</f>
        <v>1</v>
      </c>
      <c r="D51">
        <f>IF(Skills!C19=1,60+Inputs!$B$24+Inputs!$B$28,IF(Skills!C19=2,90+Inputs!$B$25+Inputs!$B$28,IF(Skills!C19=3,120+Inputs!$B$26+Inputs!$B$28,MAX(0,(Inputs!$B$3-100)*3)+Inputs!$B$27+Inputs!$B$28)))</f>
        <v>172</v>
      </c>
      <c r="E51">
        <f>INDEX(FactorTable!$B$2:$Y$301, MATCH(ROUND(MIN(300,MAX(1,D51)),0), FactorTable!$A$2:$A$301,0), Skills!M19+1)</f>
        <v>1688</v>
      </c>
      <c r="F51">
        <f>IF(Skills!N19=TRUE,(Skills!L19/10)*(E51/1000),Skills!L19/10)+Skills!O19</f>
        <v>36.573895999999998</v>
      </c>
      <c r="G51">
        <f>Calc!G19</f>
        <v>1</v>
      </c>
      <c r="H51">
        <f>Calc!H19</f>
        <v>1</v>
      </c>
      <c r="I51">
        <f>IF(Skills!X19&lt;&gt;"",1+(Skills!X19/10)*(R35/1000)/100,1)</f>
        <v>1</v>
      </c>
      <c r="O51">
        <v>0</v>
      </c>
      <c r="P51">
        <f>IF(B71=0,0,O51/B71)</f>
        <v>0</v>
      </c>
      <c r="S51">
        <f>IF(AND(Inputs!$B$4&lt;&gt;"pvp",Inputs!$B$35&gt;0),(INT(Inputs!$B$35/IF(Inputs!$B$4="pvp",15,MAX(0.1,Skills!E19-IF(Skills!F19=TRUE,Inputs!$B$31,0))))+1),0)</f>
        <v>0</v>
      </c>
      <c r="V51">
        <f>IFERROR(1/IF(Inputs!$B$4="pvp",15,MAX(0.1,Skills!E19-IF(Skills!F19=TRUE,Inputs!$B$31,0))),0)</f>
        <v>3.3333333333333333E-2</v>
      </c>
    </row>
    <row r="52" spans="1:22" x14ac:dyDescent="0.2">
      <c r="A52" t="str">
        <f>Skills!A20</f>
        <v>MAGIC_CRITICAL_RATE</v>
      </c>
      <c r="B52" t="str">
        <f>Skills!B20</f>
        <v>Magic Critical (Crit Rate)</v>
      </c>
      <c r="C52" t="b">
        <f>TRUE</f>
        <v>1</v>
      </c>
      <c r="D52">
        <f>IF(Skills!C20=1,60+Inputs!$B$24+Inputs!$B$28,IF(Skills!C20=2,90+Inputs!$B$25+Inputs!$B$28,IF(Skills!C20=3,120+Inputs!$B$26+Inputs!$B$28,MAX(0,(Inputs!$B$3-100)*3)+Inputs!$B$27+Inputs!$B$28)))</f>
        <v>184</v>
      </c>
      <c r="E52">
        <f>INDEX(FactorTable!$B$2:$Y$301, MATCH(ROUND(MIN(300,MAX(1,D52)),0), FactorTable!$A$2:$A$301,0), Skills!M20+1)</f>
        <v>1552</v>
      </c>
      <c r="F52">
        <f>IF(Skills!N20=TRUE,(Skills!L20/10)*(E52/1000),Skills!L20/10)+Skills!O20</f>
        <v>12.416</v>
      </c>
      <c r="G52">
        <f>Calc!G20</f>
        <v>1</v>
      </c>
      <c r="H52">
        <f>Calc!H20</f>
        <v>1</v>
      </c>
      <c r="I52">
        <f>IF(Skills!X20&lt;&gt;"",1+(Skills!X20/10)*(R35/1000)/100,1)</f>
        <v>1</v>
      </c>
      <c r="O52">
        <v>0</v>
      </c>
      <c r="P52">
        <f>IF(B71=0,0,O52/B71)</f>
        <v>0</v>
      </c>
      <c r="S52">
        <v>0</v>
      </c>
      <c r="V52">
        <f>IFERROR(1/IF(Inputs!$B$4="pvp",15,MAX(0.1,Skills!E20-IF(Skills!F20=TRUE,Inputs!$B$31,0))),0)</f>
        <v>10</v>
      </c>
    </row>
    <row r="53" spans="1:22" x14ac:dyDescent="0.2">
      <c r="A53" t="str">
        <f>Skills!A21</f>
        <v>MAGIC_CRITICAL_DAMAGE</v>
      </c>
      <c r="B53" t="str">
        <f>Skills!B21</f>
        <v>Magic Critical (Crit Damage)</v>
      </c>
      <c r="C53" t="b">
        <f>TRUE</f>
        <v>1</v>
      </c>
      <c r="D53">
        <f>IF(Skills!C21=1,60+Inputs!$B$24+Inputs!$B$28,IF(Skills!C21=2,90+Inputs!$B$25+Inputs!$B$28,IF(Skills!C21=3,120+Inputs!$B$26+Inputs!$B$28,MAX(0,(Inputs!$B$3-100)*3)+Inputs!$B$27+Inputs!$B$28)))</f>
        <v>184</v>
      </c>
      <c r="E53">
        <f>INDEX(FactorTable!$B$2:$Y$301, MATCH(ROUND(MIN(300,MAX(1,D53)),0), FactorTable!$A$2:$A$301,0), Skills!M21+1)</f>
        <v>1552</v>
      </c>
      <c r="F53">
        <f>IF(Skills!N21=TRUE,(Skills!L21/10)*(E53/1000),Skills!L21/10)+Skills!O21</f>
        <v>18.624000000000002</v>
      </c>
      <c r="G53">
        <f>Calc!G21</f>
        <v>1</v>
      </c>
      <c r="H53">
        <f>Calc!H21</f>
        <v>1</v>
      </c>
      <c r="I53">
        <f>IF(Skills!X21&lt;&gt;"",1+(Skills!X21/10)*(R35/1000)/100,1)</f>
        <v>1</v>
      </c>
      <c r="O53">
        <v>0</v>
      </c>
      <c r="P53">
        <f>IF(B71=0,0,O53/B71)</f>
        <v>0</v>
      </c>
      <c r="S53">
        <v>0</v>
      </c>
      <c r="V53">
        <f>IFERROR(1/IF(Inputs!$B$4="pvp",15,MAX(0.1,Skills!E21-IF(Skills!F21=TRUE,Inputs!$B$31,0))),0)</f>
        <v>10</v>
      </c>
    </row>
    <row r="54" spans="1:22" x14ac:dyDescent="0.2">
      <c r="A54" t="str">
        <f>Skills!A22</f>
        <v>SPELL_MASTERY</v>
      </c>
      <c r="B54" t="str">
        <f>Skills!B22</f>
        <v>Spell Mastery</v>
      </c>
      <c r="C54" t="b">
        <f>TRUE</f>
        <v>1</v>
      </c>
      <c r="D54">
        <f>IF(Skills!C22=1,60+Inputs!$B$24+Inputs!$B$28,IF(Skills!C22=2,90+Inputs!$B$25+Inputs!$B$28,IF(Skills!C22=3,120+Inputs!$B$26+Inputs!$B$28,MAX(0,(Inputs!$B$3-100)*3)+Inputs!$B$27+Inputs!$B$28)))</f>
        <v>164</v>
      </c>
      <c r="E54">
        <f>INDEX(FactorTable!$B$2:$Y$301, MATCH(ROUND(MIN(300,MAX(1,D54)),0), FactorTable!$A$2:$A$301,0), Skills!M22+1)</f>
        <v>1492</v>
      </c>
      <c r="F54">
        <f>IF(Skills!N22=TRUE,(Skills!L22/10)*(E54/1000),Skills!L22/10)+Skills!O22</f>
        <v>22.38</v>
      </c>
      <c r="G54">
        <f>Calc!G22</f>
        <v>1</v>
      </c>
      <c r="H54">
        <f>Calc!H22</f>
        <v>1</v>
      </c>
      <c r="I54">
        <f>IF(Skills!X22&lt;&gt;"",1+(Skills!X22/10)*(R35/1000)/100,1)</f>
        <v>1</v>
      </c>
      <c r="O54">
        <v>0</v>
      </c>
      <c r="P54">
        <f>IF(B71=0,0,O54/B71)</f>
        <v>0</v>
      </c>
      <c r="S54">
        <v>0</v>
      </c>
      <c r="V54">
        <f>IFERROR(1/IF(Inputs!$B$4="pvp",15,MAX(0.1,Skills!E22-IF(Skills!F22=TRUE,Inputs!$B$31,0))),0)</f>
        <v>10</v>
      </c>
    </row>
    <row r="55" spans="1:22" x14ac:dyDescent="0.2">
      <c r="A55" t="str">
        <f>Skills!A23</f>
        <v>ELEMENT_AMPLIFICATION</v>
      </c>
      <c r="B55" t="str">
        <f>Skills!B23</f>
        <v>Element Amplification</v>
      </c>
      <c r="C55" t="b">
        <f>TRUE</f>
        <v>1</v>
      </c>
      <c r="D55">
        <f>IF(Skills!C23=1,60+Inputs!$B$24+Inputs!$B$28,IF(Skills!C23=2,90+Inputs!$B$25+Inputs!$B$28,IF(Skills!C23=3,120+Inputs!$B$26+Inputs!$B$28,MAX(0,(Inputs!$B$3-100)*3)+Inputs!$B$27+Inputs!$B$28)))</f>
        <v>172</v>
      </c>
      <c r="E55">
        <f>INDEX(FactorTable!$B$2:$Y$301, MATCH(ROUND(MIN(300,MAX(1,D55)),0), FactorTable!$A$2:$A$301,0), Skills!M23+1)</f>
        <v>1516</v>
      </c>
      <c r="F55">
        <f>IF(Skills!N23=TRUE,(Skills!L23/10)*(E55/1000),Skills!L23/10)+Skills!O23</f>
        <v>22.740000000000002</v>
      </c>
      <c r="G55">
        <f>Calc!G23</f>
        <v>1</v>
      </c>
      <c r="H55">
        <f>Calc!H23</f>
        <v>1</v>
      </c>
      <c r="I55">
        <f>IF(Skills!X23&lt;&gt;"",1+(Skills!X23/10)*(R35/1000)/100,1)</f>
        <v>1</v>
      </c>
      <c r="O55">
        <v>0</v>
      </c>
      <c r="P55">
        <f>IF(B71=0,0,O55/B71)</f>
        <v>0</v>
      </c>
      <c r="S55">
        <v>0</v>
      </c>
      <c r="V55">
        <f>IFERROR(1/IF(Inputs!$B$4="pvp",15,MAX(0.1,Skills!E23-IF(Skills!F23=TRUE,Inputs!$B$31,0))),0)</f>
        <v>10</v>
      </c>
    </row>
    <row r="56" spans="1:22" x14ac:dyDescent="0.2">
      <c r="A56" t="str">
        <f>Skills!A24</f>
        <v>IFRIT</v>
      </c>
      <c r="B56" t="str">
        <f>Skills!B24</f>
        <v>Ifrit</v>
      </c>
      <c r="C56" t="b">
        <f>Inputs!$B$3&gt;=115</f>
        <v>0</v>
      </c>
      <c r="D56">
        <f>IF(Skills!C24=1,60+Inputs!$B$24+Inputs!$B$28,IF(Skills!C24=2,90+Inputs!$B$25+Inputs!$B$28,IF(Skills!C24=3,120+Inputs!$B$26+Inputs!$B$28,MAX(0,(Inputs!$B$3-100)*3)+Inputs!$B$27+Inputs!$B$28)))</f>
        <v>172</v>
      </c>
      <c r="E56">
        <f>INDEX(FactorTable!$B$2:$Y$301, MATCH(ROUND(MIN(300,MAX(1,D56)),0), FactorTable!$A$2:$A$301,0), Skills!M24+1)</f>
        <v>1860</v>
      </c>
      <c r="F56">
        <f>IF(Skills!N24=TRUE,(Skills!L24/10)*(E56/1000),Skills!L24/10)+Skills!O24</f>
        <v>6510</v>
      </c>
      <c r="G56">
        <f>Calc!G24</f>
        <v>7.5</v>
      </c>
      <c r="H56">
        <f>Calc!H24</f>
        <v>1</v>
      </c>
      <c r="I56">
        <f>IF(Skills!X24&lt;&gt;"",1+(Skills!X24/10)*(R35/1000)/100,1)</f>
        <v>1</v>
      </c>
      <c r="J56">
        <f>((Inputs!$B$5*(1+Inputs!$B$6/100))+(((Inputs!$B$11+1)*(1+Inputs!$B$12/100))-(Inputs!$B$11*(1+Inputs!$B$12/100)))*(1+Inputs!$B$6/100))*(F56/100)</f>
        <v>16264058941.962114</v>
      </c>
      <c r="K56">
        <f>J56*(1+(((Inputs!$B$11+1)*(1+Inputs!$B$12/100))*0.01+Inputs!$B$13*0.0025)/100)*(1+Inputs!$B$14/100)*(1+IF(Inputs!$B$4="pvp",0,(1-Summary!$B$56)*(Inputs!$B$19+Skills!P24)+Summary!$B$56*(Inputs!$B$20+Skills!Q24))/100)*(1+Inputs!$B$15/100)*(5000/(6000+Inputs!$B$7*(1-Inputs!$B$18/100)))*(1+Inputs!$B$23/100)*(1+F55/100)*(1+IF(Inputs!$B$3&gt;=120,F58,0)/100)^5*(1+(IF(Skills!A24="BASIC_ATTACK",Inputs!$B$16,Inputs!$B$17+IF(Inputs!$B$3&gt;=125,F59*5,0)))/100)*(B62*B63*B64*I56)</f>
        <v>123737713891757.42</v>
      </c>
      <c r="L56">
        <f>K56*(MIN(Inputs!$B$21+(F54-Calc!F22),Inputs!$B$22)/100+Inputs!$B$22/100)/2</f>
        <v>334029958650799.12</v>
      </c>
      <c r="M56">
        <f>L56*(1+(Inputs!$B$9+(F53-Calc!F21))/100)</f>
        <v>1399919556705499.2</v>
      </c>
      <c r="N56">
        <f>L56*(1-MIN(Inputs!$B$8+(F52-Calc!F20),100)/100)+M56*(MIN(Inputs!$B$8+(F52-Calc!F20),100)/100)</f>
        <v>1399919556705499.2</v>
      </c>
      <c r="O56">
        <f>IF(C56,H56*N56*IF(AND(Inputs!$B$4&lt;&gt;"pvp",Inputs!$B$35&gt;0),((Skills!G24*((S56-1)*IF(Skills!H24&gt;0,Skills!I24/Skills!H24,1)+IF(Skills!H24&gt;0,MIN(Skills!I24,MAX(0,Inputs!$B$35-((S56-1)*IF(Inputs!$B$4="pvp",15,MAX(0.1,Skills!E24-IF(Skills!F24=TRUE,Inputs!$B$31,0))))))/Skills!H24,1)))/Inputs!$B$35),G56*V56)*(1+IF(Inputs!$B$3&gt;=130,0.2*(Skills!I16/Skills!E15+IF(Inputs!$B$3&gt;=126,0.05*(B68+V45+(H46*B69)/(1+Skills!H14*H46*B69)+V56),0)*Skills!I16),0))*IF(Inputs!$B$4="pvp",1,(1-Summary!$B$56)*(1)+Summary!$B$56*(MIN(Skills!R24,Inputs!$B$37))),0)</f>
        <v>0</v>
      </c>
      <c r="P56">
        <f>IF(B71=0,0,O56/B71)</f>
        <v>0</v>
      </c>
      <c r="S56">
        <f>IF(AND(Inputs!$B$4&lt;&gt;"pvp",Inputs!$B$35&gt;0),(INT(Inputs!$B$35/IF(Inputs!$B$4="pvp",15,MAX(0.1,Skills!E24-IF(Skills!F24=TRUE,Inputs!$B$31,0))))+1),0)</f>
        <v>0</v>
      </c>
      <c r="V56">
        <f>IFERROR(1/IF(Inputs!$B$4="pvp",15,MAX(0.1,Skills!E24-IF(Skills!F24=TRUE,Inputs!$B$31,0))),0)</f>
        <v>1.2500000000000001E-2</v>
      </c>
    </row>
    <row r="57" spans="1:22" x14ac:dyDescent="0.2">
      <c r="A57" t="str">
        <f>Skills!A25</f>
        <v>BUFF_MASTERY</v>
      </c>
      <c r="B57" t="str">
        <f>Skills!B25</f>
        <v>Buff Mastery</v>
      </c>
      <c r="C57" t="b">
        <f>Inputs!$B$3&gt;=117</f>
        <v>0</v>
      </c>
      <c r="D57">
        <f>IF(Skills!C25=1,60+Inputs!$B$24+Inputs!$B$28,IF(Skills!C25=2,90+Inputs!$B$25+Inputs!$B$28,IF(Skills!C25=3,120+Inputs!$B$26+Inputs!$B$28,MAX(0,(Inputs!$B$3-100)*3)+Inputs!$B$27+Inputs!$B$28)))</f>
        <v>172</v>
      </c>
      <c r="E57">
        <f>INDEX(FactorTable!$B$2:$Y$301, MATCH(ROUND(MIN(300,MAX(1,D57)),0), FactorTable!$A$2:$A$301,0), Skills!M25+1)</f>
        <v>1516</v>
      </c>
      <c r="F57">
        <f>IF(Skills!N25=TRUE,(Skills!L25/10)*(E57/1000),Skills!L25/10)+Skills!O25</f>
        <v>15.16</v>
      </c>
      <c r="G57">
        <f>Calc!G25</f>
        <v>1</v>
      </c>
      <c r="H57">
        <f>Calc!H25</f>
        <v>1</v>
      </c>
      <c r="I57">
        <f>IF(Skills!X25&lt;&gt;"",1+(Skills!X25/10)*(R35/1000)/100,1)</f>
        <v>1</v>
      </c>
      <c r="O57">
        <v>0</v>
      </c>
      <c r="P57">
        <f>IF(B71=0,0,O57/B71)</f>
        <v>0</v>
      </c>
      <c r="S57">
        <v>0</v>
      </c>
      <c r="V57">
        <f>IFERROR(1/IF(Inputs!$B$4="pvp",15,MAX(0.1,Skills!E25-IF(Skills!F25=TRUE,Inputs!$B$31,0))),0)</f>
        <v>10</v>
      </c>
    </row>
    <row r="58" spans="1:22" x14ac:dyDescent="0.2">
      <c r="A58" t="str">
        <f>Skills!A26</f>
        <v>ARCANE_AIM</v>
      </c>
      <c r="B58" t="str">
        <f>Skills!B26</f>
        <v>Arcane Aim</v>
      </c>
      <c r="C58" t="b">
        <f>Inputs!$B$3&gt;=120</f>
        <v>0</v>
      </c>
      <c r="D58">
        <f>IF(Skills!C26=1,60+Inputs!$B$24+Inputs!$B$28,IF(Skills!C26=2,90+Inputs!$B$25+Inputs!$B$28,IF(Skills!C26=3,120+Inputs!$B$26+Inputs!$B$28,MAX(0,(Inputs!$B$3-100)*3)+Inputs!$B$27+Inputs!$B$28)))</f>
        <v>172</v>
      </c>
      <c r="E58">
        <f>INDEX(FactorTable!$B$2:$Y$301, MATCH(ROUND(MIN(300,MAX(1,D58)),0), FactorTable!$A$2:$A$301,0), Skills!M26+1)</f>
        <v>1516</v>
      </c>
      <c r="F58">
        <f>IF(Skills!N26=TRUE,(Skills!L26/10)*(E58/1000),Skills!L26/10)+Skills!O26</f>
        <v>4.548</v>
      </c>
      <c r="G58">
        <f>Calc!G26</f>
        <v>1</v>
      </c>
      <c r="H58">
        <f>Calc!H26</f>
        <v>1</v>
      </c>
      <c r="I58">
        <f>IF(Skills!X26&lt;&gt;"",1+(Skills!X26/10)*(R35/1000)/100,1)</f>
        <v>1</v>
      </c>
      <c r="O58">
        <v>0</v>
      </c>
      <c r="P58">
        <f>IF(B71=0,0,O58/B71)</f>
        <v>0</v>
      </c>
      <c r="S58">
        <v>0</v>
      </c>
      <c r="V58">
        <f>IFERROR(1/IF(Inputs!$B$4="pvp",15,MAX(0.1,Skills!E26-IF(Skills!F26=TRUE,Inputs!$B$31,0))),0)</f>
        <v>10</v>
      </c>
    </row>
    <row r="59" spans="1:22" x14ac:dyDescent="0.2">
      <c r="A59" t="str">
        <f>Skills!A27</f>
        <v>FERVENT_DRAIN</v>
      </c>
      <c r="B59" t="str">
        <f>Skills!B27</f>
        <v>Fervent Drain</v>
      </c>
      <c r="C59" t="b">
        <f>Inputs!$B$3&gt;=125</f>
        <v>0</v>
      </c>
      <c r="D59">
        <f>IF(Skills!C27=1,60+Inputs!$B$24+Inputs!$B$28,IF(Skills!C27=2,90+Inputs!$B$25+Inputs!$B$28,IF(Skills!C27=3,120+Inputs!$B$26+Inputs!$B$28,MAX(0,(Inputs!$B$3-100)*3)+Inputs!$B$27+Inputs!$B$28)))</f>
        <v>172</v>
      </c>
      <c r="E59">
        <f>INDEX(FactorTable!$B$2:$Y$301, MATCH(ROUND(MIN(300,MAX(1,D59)),0), FactorTable!$A$2:$A$301,0), Skills!M27+1)</f>
        <v>1516</v>
      </c>
      <c r="F59">
        <f>IF(Skills!N27=TRUE,(Skills!L27/10)*(E59/1000),Skills!L27/10)+Skills!O27</f>
        <v>6.0640000000000001</v>
      </c>
      <c r="G59">
        <f>Calc!G27</f>
        <v>1</v>
      </c>
      <c r="H59">
        <f>Calc!H27</f>
        <v>1</v>
      </c>
      <c r="I59">
        <f>IF(Skills!X27&lt;&gt;"",1+(Skills!X27/10)*(R35/1000)/100,1)</f>
        <v>1</v>
      </c>
      <c r="O59">
        <v>0</v>
      </c>
      <c r="P59">
        <f>IF(B71=0,0,O59/B71)</f>
        <v>0</v>
      </c>
      <c r="S59">
        <v>0</v>
      </c>
      <c r="V59">
        <f>IFERROR(1/IF(Inputs!$B$4="pvp",15,MAX(0.1,Skills!E27-IF(Skills!F27=TRUE,Inputs!$B$31,0))),0)</f>
        <v>10</v>
      </c>
    </row>
    <row r="60" spans="1:22" x14ac:dyDescent="0.2">
      <c r="A60" t="str">
        <f>Skills!A28</f>
        <v>FLAME_HAZE_FOG</v>
      </c>
      <c r="B60" t="str">
        <f>Skills!B28</f>
        <v>Flame Haze (poison fog DoT)</v>
      </c>
      <c r="C60" t="b">
        <f>Inputs!$B$3&gt;=118</f>
        <v>0</v>
      </c>
      <c r="D60">
        <f>IF(Skills!C28=1,60+Inputs!$B$24+Inputs!$B$28,IF(Skills!C28=2,90+Inputs!$B$25+Inputs!$B$28,IF(Skills!C28=3,120+Inputs!$B$26+Inputs!$B$28,MAX(0,(Inputs!$B$3-100)*3)+Inputs!$B$27+Inputs!$B$28)))</f>
        <v>172</v>
      </c>
      <c r="E60">
        <f>INDEX(FactorTable!$B$2:$Y$301, MATCH(ROUND(MIN(300,MAX(1,D60)),0), FactorTable!$A$2:$A$301,0), Skills!M28+1)</f>
        <v>1860</v>
      </c>
      <c r="F60">
        <f>IF(Skills!N28=TRUE,(Skills!L28/10)*(E60/1000),Skills!L28/10)+Skills!O28</f>
        <v>130.20000000000002</v>
      </c>
      <c r="G60">
        <f>Calc!G28</f>
        <v>50</v>
      </c>
      <c r="H60">
        <f>Calc!H28</f>
        <v>1</v>
      </c>
      <c r="I60">
        <f>IF(Skills!X28&lt;&gt;"",1+(Skills!X28/10)*(R35/1000)/100,1)</f>
        <v>1</v>
      </c>
      <c r="J60">
        <f>((Inputs!$B$5*(1+Inputs!$B$6/100))+(((Inputs!$B$11+1)*(1+Inputs!$B$12/100))-(Inputs!$B$11*(1+Inputs!$B$12/100)))*(1+Inputs!$B$6/100))*(F60/100)</f>
        <v>325281178.8392424</v>
      </c>
      <c r="K60">
        <f>J60*(1+(((Inputs!$B$11+1)*(1+Inputs!$B$12/100))*0.01+Inputs!$B$13*0.0025)/100)*(1+Inputs!$B$14/100)*(1+IF(Inputs!$B$4="pvp",0,(1-Summary!$B$56)*(Inputs!$B$19+Skills!P28)+Summary!$B$56*(Inputs!$B$20+Skills!Q28))/100)*(1+Inputs!$B$15/100)*(5000/(6000+Inputs!$B$7*(1-Inputs!$B$18/100)))*(1+Inputs!$B$23/100)*(1+F55/100)*(1+IF(Inputs!$B$3&gt;=120,F58,0)/100)^5*(1+(IF(Skills!A28="BASIC_ATTACK",Inputs!$B$16,Inputs!$B$17+IF(Inputs!$B$3&gt;=125,F59*5,0)))/100)*(B62*B63*B64*I60)</f>
        <v>2474754277835.1494</v>
      </c>
      <c r="L60">
        <f>K60*(MIN(Inputs!$B$21+(F54-Calc!F22),Inputs!$B$22)/100+Inputs!$B$22/100)/2</f>
        <v>6680599173015.9844</v>
      </c>
      <c r="M60">
        <f>L60*(1+(Inputs!$B$9+(F53-Calc!F21))/100)</f>
        <v>27998391134109.996</v>
      </c>
      <c r="N60">
        <f>L60*(1-MIN(Inputs!$B$8+(F52-Calc!F20),100)/100)+M60*(MIN(Inputs!$B$8+(F52-Calc!F20),100)/100)</f>
        <v>27998391134109.996</v>
      </c>
      <c r="O60">
        <f>IF(C60,H60*N60*IF(AND(Inputs!$B$4&lt;&gt;"pvp",Inputs!$B$35&gt;0),((Skills!G28*((S60-1)*IF(Skills!H28&gt;0,Skills!I28/Skills!H28,1)+IF(Skills!H28&gt;0,MIN(Skills!I28,MAX(0,Inputs!$B$35-((S60-1)*IF(Inputs!$B$4="pvp",15,MAX(0.1,Skills!E28-IF(Skills!F28=TRUE,Inputs!$B$31,0))))))/Skills!H28,1)))/Inputs!$B$35),G60*V60)*IF(Inputs!$B$4="pvp",1,(1-Summary!$B$56)*(1)+Summary!$B$56*(MIN(Skills!R28,Inputs!$B$37))),0)</f>
        <v>0</v>
      </c>
      <c r="P60">
        <f>IF(B71=0,0,O60/B71)</f>
        <v>0</v>
      </c>
      <c r="S60">
        <f>IF(AND(Inputs!$B$4&lt;&gt;"pvp",Inputs!$B$35&gt;0),(INT(Inputs!$B$35/IF(Inputs!$B$4="pvp",15,MAX(0.1,Skills!E28-IF(Skills!F28=TRUE,Inputs!$B$31,0))))+1),0)</f>
        <v>0</v>
      </c>
      <c r="V60">
        <f>IFERROR(1/IF(Inputs!$B$4="pvp",15,MAX(0.1,Skills!E28-IF(Skills!F28=TRUE,Inputs!$B$31,0))),0)</f>
        <v>0.04</v>
      </c>
    </row>
    <row r="62" spans="1:22" x14ac:dyDescent="0.2">
      <c r="A62" t="s">
        <v>222</v>
      </c>
      <c r="B62">
        <f>1+(F43*Skills!Z11)/100</f>
        <v>1.25</v>
      </c>
    </row>
    <row r="63" spans="1:22" x14ac:dyDescent="0.2">
      <c r="A63" t="s">
        <v>223</v>
      </c>
      <c r="B63">
        <f>1+F44/100</f>
        <v>1.18624</v>
      </c>
    </row>
    <row r="64" spans="1:22" x14ac:dyDescent="0.2">
      <c r="A64" t="s">
        <v>224</v>
      </c>
      <c r="B64">
        <f>(1+(F38*IF(AND(Inputs!$B$4&lt;&gt;"pvp",Inputs!$B$35&gt;0),(((S38-1)*(Skills!T6*(1+(Inputs!$B$33+IF(Inputs!$B$3&gt;=117,F57,0))/100))+MIN((Skills!T6*(1+(Inputs!$B$33+IF(Inputs!$B$3&gt;=117,F57,0))/100)),MAX(0,Inputs!$B$35-((S38-1)*Skills!E6))))/Inputs!$B$35),IF(Inputs!$B$4="pvp",MIN((Skills!T6*(1+(Inputs!$B$33+IF(Inputs!$B$3&gt;=117,F57,0))/100)),15)/15,(Skills!T6*(1+(Inputs!$B$33+IF(Inputs!$B$3&gt;=117,F57,0))/100))/Skills!E6))+F49*IF(AND(Inputs!$B$4&lt;&gt;"pvp",Inputs!$B$35&gt;0),(((S49-1)*(Skills!T17*(1+(Inputs!$B$33+IF(Inputs!$B$3&gt;=117,F57,0))/100))+MIN((Skills!T17*(1+(Inputs!$B$33+IF(Inputs!$B$3&gt;=117,F57,0))/100)),MAX(0,Inputs!$B$35-((S49-1)*Skills!E17))))/Inputs!$B$35),IF(Inputs!$B$4="pvp",MIN((Skills!T17*(1+(Inputs!$B$33+IF(Inputs!$B$3&gt;=117,F57,0))/100)),15)/15,(Skills!T17*(1+(Inputs!$B$33+IF(Inputs!$B$3&gt;=117,F57,0))/100))/Skills!E17)))/100)*IF(C51=TRUE,(1+F51*IF(AND(Inputs!$B$4&lt;&gt;"pvp",Inputs!$B$35&gt;0),(((S51-1)*(Skills!T19*(1+(Inputs!$B$33+IF(Inputs!$B$3&gt;=117,F57,0))/100))+MIN((Skills!T19*(1+(Inputs!$B$33+IF(Inputs!$B$3&gt;=117,F57,0))/100)),MAX(0,Inputs!$B$35-((S51-1)*Skills!E19))))/Inputs!$B$35),IF(Inputs!$B$4="pvp",MIN((Skills!T19*(1+(Inputs!$B$33+IF(Inputs!$B$3&gt;=117,F57,0))/100)),15)/15,(Skills!T19*(1+(Inputs!$B$33+IF(Inputs!$B$3&gt;=117,F57,0))/100))/Skills!E19))/100),1)</f>
        <v>1.5603265106950857</v>
      </c>
    </row>
    <row r="65" spans="1:22" x14ac:dyDescent="0.2">
      <c r="A65" t="s">
        <v>225</v>
      </c>
      <c r="B65">
        <f>F50*IF(AND(Inputs!$B$4&lt;&gt;"pvp",Inputs!$B$35&gt;0),(((S50-1)*(Skills!T18*(1+(Inputs!$B$33+IF(Inputs!$B$3&gt;=117,F57,0))/100))+MIN((Skills!T18*(1+(Inputs!$B$33+IF(Inputs!$B$3&gt;=117,F57,0))/100)),MAX(0,Inputs!$B$35-((S50-1)*Skills!E18))))/Inputs!$B$35),IF(Inputs!$B$4="pvp",MIN((Skills!T18*(1+(Inputs!$B$33+IF(Inputs!$B$3&gt;=117,F57,0))/100)),15)/15,(Skills!T18*(1+(Inputs!$B$33+IF(Inputs!$B$3&gt;=117,F57,0))/100))/Skills!E18))</f>
        <v>3.75</v>
      </c>
    </row>
    <row r="66" spans="1:22" x14ac:dyDescent="0.2">
      <c r="A66" t="s">
        <v>253</v>
      </c>
      <c r="B66">
        <f>1+MIN(150,150*(1-(1-Inputs!$B$10/150)*(1-B65/150)))/100</f>
        <v>1.6371249999999999</v>
      </c>
    </row>
    <row r="67" spans="1:22" x14ac:dyDescent="0.2">
      <c r="A67" t="s">
        <v>254</v>
      </c>
      <c r="B67">
        <f>IF(AND(Inputs!$B$4&lt;&gt;"pvp",Inputs!$B$35&gt;0),SUMPRODUCT((Skills!F2:F28=TRUE)*(C34:C60=TRUE)*S34:S60)/Inputs!$B$35,SUMPRODUCT((Skills!F2:F28=TRUE)*(C34:C60=TRUE)*V34:V60))</f>
        <v>0.33466433037861604</v>
      </c>
    </row>
    <row r="68" spans="1:22" x14ac:dyDescent="0.2">
      <c r="A68" t="s">
        <v>228</v>
      </c>
      <c r="B68">
        <f>MAX(0,B66-B67)</f>
        <v>1.3024606696213838</v>
      </c>
    </row>
    <row r="69" spans="1:22" x14ac:dyDescent="0.2">
      <c r="A69" t="s">
        <v>255</v>
      </c>
      <c r="B69">
        <f>IF(AND(Inputs!$B$4&lt;&gt;"pvp",Inputs!$B$35&gt;0),SUMPRODUCT((Skills!V2:V28=TRUE)*(C34:C60=TRUE)*S34:S60*Skills!W2:W28)/Inputs!$B$35,SUMPRODUCT((Skills!V2:V28=TRUE)*(C34:C60=TRUE)*V34:V60*Skills!W2:W28))+B68</f>
        <v>1.5297416426166426</v>
      </c>
    </row>
    <row r="71" spans="1:22" x14ac:dyDescent="0.2">
      <c r="A71" s="5" t="s">
        <v>208</v>
      </c>
      <c r="B71" s="5">
        <f>SUM(O34:O60)</f>
        <v>8339750880040553</v>
      </c>
    </row>
    <row r="74" spans="1:22" x14ac:dyDescent="0.2">
      <c r="A74" s="5" t="s">
        <v>256</v>
      </c>
    </row>
    <row r="75" spans="1:22" x14ac:dyDescent="0.2">
      <c r="A75" s="8" t="s">
        <v>74</v>
      </c>
      <c r="B75" s="8" t="s">
        <v>75</v>
      </c>
      <c r="C75" s="8" t="s">
        <v>190</v>
      </c>
      <c r="D75" s="8" t="s">
        <v>191</v>
      </c>
      <c r="E75" s="8" t="s">
        <v>192</v>
      </c>
      <c r="F75" s="8" t="s">
        <v>193</v>
      </c>
      <c r="G75" s="8" t="s">
        <v>194</v>
      </c>
      <c r="H75" s="8" t="s">
        <v>195</v>
      </c>
      <c r="I75" s="8" t="s">
        <v>196</v>
      </c>
      <c r="J75" s="8" t="s">
        <v>197</v>
      </c>
      <c r="K75" s="8" t="s">
        <v>198</v>
      </c>
      <c r="L75" s="8" t="s">
        <v>199</v>
      </c>
      <c r="M75" s="8" t="s">
        <v>200</v>
      </c>
      <c r="N75" s="8" t="s">
        <v>201</v>
      </c>
      <c r="O75" s="8" t="s">
        <v>202</v>
      </c>
      <c r="P75" s="8" t="s">
        <v>203</v>
      </c>
      <c r="R75" t="s">
        <v>252</v>
      </c>
    </row>
    <row r="76" spans="1:22" x14ac:dyDescent="0.2">
      <c r="A76" t="str">
        <f>Skills!A2</f>
        <v>BASIC_ATTACK</v>
      </c>
      <c r="B76" t="str">
        <f>Skills!B2</f>
        <v>Basic Attack</v>
      </c>
      <c r="C76" t="b">
        <f>TRUE</f>
        <v>1</v>
      </c>
      <c r="F76">
        <f>T78+Skills!O2</f>
        <v>510.52</v>
      </c>
      <c r="G76">
        <f>Calc!G2</f>
        <v>5</v>
      </c>
      <c r="H76">
        <f>Calc!H2</f>
        <v>1</v>
      </c>
      <c r="I76">
        <f>IF(Skills!X2&lt;&gt;"",1+(Skills!X2/10)*(R77/1000)/100,1)</f>
        <v>1</v>
      </c>
      <c r="J76">
        <f>((Inputs!$B$5*(1+Inputs!$B$6/100))+((Inputs!$B$11*(1+(Inputs!$B$12+1)/100))-(Inputs!$B$11*(1+Inputs!$B$12/100)))*(1+Inputs!$B$6/100))*(F76/100)</f>
        <v>1276257658.2806807</v>
      </c>
      <c r="K76">
        <f>J76*(1+((Inputs!$B$11*(1+(Inputs!$B$12+1)/100))*0.01+Inputs!$B$13*0.0025)/100)*(1+Inputs!$B$14/100)*(1+IF(Inputs!$B$4="pvp",0,(1-Summary!$B$56)*(Inputs!$B$19+Skills!P2)+Summary!$B$56*(Inputs!$B$20+Skills!Q2))/100)*(1+Inputs!$B$15/100)*(5000/(6000+Inputs!$B$7*(1-Inputs!$B$18/100)))*(1+Inputs!$B$23/100)*(1+F97/100)*(1+IF(Inputs!$B$3&gt;=120,F100,0)/100)^5*(1+(IF(Skills!A2="BASIC_ATTACK",Inputs!$B$16,Inputs!$B$17+IF(Inputs!$B$3&gt;=125,F101*5,0)))/100)*(B104*B105*B106*I76)</f>
        <v>6985506148478.252</v>
      </c>
      <c r="L76">
        <f>K76*(MIN(Inputs!$B$21+(F96-Calc!F22),Inputs!$B$22)/100+Inputs!$B$22/100)/2</f>
        <v>18857373847817.039</v>
      </c>
      <c r="M76">
        <f>L76*(1+(Inputs!$B$9+(F95-Calc!F21))/100)</f>
        <v>79031253796201.219</v>
      </c>
      <c r="N76">
        <f>L76*(1-MIN(Inputs!$B$8+(F94-Calc!F20),100)/100)+M76*(MIN(Inputs!$B$8+(F94-Calc!F20),100)/100)</f>
        <v>79031253796201.219</v>
      </c>
      <c r="O76">
        <f>Skills!G2*N76*B110*IF(Inputs!$B$4="pvp",1,(1-Summary!$B$56)*(1)+Summary!$B$56*(MIN((6+Inputs!$B$32+IF(Inputs!$B$3&gt;=136,1,0)),Inputs!$B$37)))</f>
        <v>3911533790135875.5</v>
      </c>
      <c r="P76">
        <f>IF(B113=0,0,O76/B113)</f>
        <v>0.46738363090508683</v>
      </c>
      <c r="R76">
        <f>MAX(0,(Inputs!$B$3-100)*3)+Inputs!$B$27+Inputs!$B$28</f>
        <v>172</v>
      </c>
      <c r="S76">
        <v>0</v>
      </c>
      <c r="T76">
        <f>MAX(0,(Inputs!$B$3-100)*3)+Inputs!$B$27+Inputs!$B$28</f>
        <v>172</v>
      </c>
      <c r="V76">
        <f>IFERROR(1/IF(Inputs!$B$4="pvp",15,MAX(0.1,Skills!E2-IF(Skills!F2=TRUE,Inputs!$B$31,0))),0)</f>
        <v>10</v>
      </c>
    </row>
    <row r="77" spans="1:22" x14ac:dyDescent="0.2">
      <c r="A77" t="str">
        <f>Skills!A3</f>
        <v>IGNITE</v>
      </c>
      <c r="B77" t="str">
        <f>Skills!B3</f>
        <v>Ignite</v>
      </c>
      <c r="C77" t="b">
        <f>TRUE</f>
        <v>1</v>
      </c>
      <c r="D77">
        <f>IF(Skills!C3=1,60+Inputs!$B$24+Inputs!$B$28,IF(Skills!C3=2,90+Inputs!$B$25+Inputs!$B$28,IF(Skills!C3=3,120+Inputs!$B$26+Inputs!$B$28,MAX(0,(Inputs!$B$3-100)*3)+Inputs!$B$27+Inputs!$B$28)))</f>
        <v>164</v>
      </c>
      <c r="E77">
        <f>INDEX(FactorTable!$B$2:$Y$301, MATCH(ROUND(MIN(300,MAX(1,D77)),0), FactorTable!$A$2:$A$301,0), Skills!M3+1)</f>
        <v>1656</v>
      </c>
      <c r="F77">
        <f>IF(Skills!N3=TRUE,(Skills!L3/10)*(E77/1000),Skills!L3/10)+Skills!O3</f>
        <v>121.52799999999999</v>
      </c>
      <c r="G77">
        <f>Calc!G3</f>
        <v>3</v>
      </c>
      <c r="H77">
        <f>Calc!H3</f>
        <v>1</v>
      </c>
      <c r="I77">
        <f>IF(Skills!X3&lt;&gt;"",1+(Skills!X3/10)*(R77/1000)/100,1)</f>
        <v>4.76</v>
      </c>
      <c r="J77">
        <f>((Inputs!$B$5*(1+Inputs!$B$6/100))+((Inputs!$B$11*(1+(Inputs!$B$12+1)/100))-(Inputs!$B$11*(1+Inputs!$B$12/100)))*(1+Inputs!$B$6/100))*(F77/100)</f>
        <v>303809920.66037476</v>
      </c>
      <c r="K77">
        <f>J77*(1+((Inputs!$B$11*(1+(Inputs!$B$12+1)/100))*0.01+Inputs!$B$13*0.0025)/100)*(1+Inputs!$B$14/100)*(1+IF(Inputs!$B$4="pvp",0,(1-Summary!$B$56)*(Inputs!$B$19+Skills!P3)+Summary!$B$56*(Inputs!$B$20+Skills!Q3))/100)*(1+Inputs!$B$15/100)*(5000/(6000+Inputs!$B$7*(1-Inputs!$B$18/100)))*(1+Inputs!$B$23/100)*(1+F97/100)*(1+IF(Inputs!$B$3&gt;=120,F100,0)/100)^5*(1+(IF(Skills!A3="BASIC_ATTACK",Inputs!$B$16,Inputs!$B$17+IF(Inputs!$B$3&gt;=125,F101*5,0)))/100)*(B104*B105*B106*I77)</f>
        <v>11033795060426.768</v>
      </c>
      <c r="L77">
        <f>K77*(MIN(Inputs!$B$21+(F96-Calc!F22),Inputs!$B$22)/100+Inputs!$B$22/100)/2</f>
        <v>29785729765622.055</v>
      </c>
      <c r="M77">
        <f>L77*(1+(Inputs!$B$9+(F95-Calc!F21))/100)</f>
        <v>124831993447722.05</v>
      </c>
      <c r="N77">
        <f>L77*(1-MIN(Inputs!$B$8+(F94-Calc!F20),100)/100)+M77*(MIN(Inputs!$B$8+(F94-Calc!F20),100)/100)</f>
        <v>124831993447722.05</v>
      </c>
      <c r="O77">
        <f>IF(C77,H77*N77*IF(AND(Inputs!$B$4&lt;&gt;"pvp",Inputs!$B$35&gt;0),((Skills!G3*((S77-1)*IF(Skills!H3&gt;0,Skills!I3/Skills!H3,1)+IF(Skills!H3&gt;0,MIN(Skills!I3,MAX(0,Inputs!$B$35-((S77-1)*IF(Inputs!$B$4="pvp",15,MAX(0.1,Skills!E3-IF(Skills!F3=TRUE,Inputs!$B$31,0))))))/Skills!H3,1)))/Inputs!$B$35),G77*V77)*IF(Inputs!$B$4="pvp",1,(1-Summary!$B$56)*(1)+Summary!$B$56*(MIN(Skills!R3,Inputs!$B$37))),0)</f>
        <v>823891156754965.38</v>
      </c>
      <c r="P77">
        <f>IF(B113=0,0,O77/B113)</f>
        <v>9.8445587070168566E-2</v>
      </c>
      <c r="R77">
        <f>INDEX(FactorTable!$B$2:$Y$301, MATCH(ROUND(MIN(300,MAX(1,R76)),0), FactorTable!$A$2:$A$301,0), 24)</f>
        <v>7520</v>
      </c>
      <c r="S77">
        <f>IF(AND(Inputs!$B$4&lt;&gt;"pvp",Inputs!$B$35&gt;0),(INT(Inputs!$B$35/IF(Inputs!$B$4="pvp",15,MAX(0.1,Skills!E3-IF(Skills!F3=TRUE,Inputs!$B$31,0))))+1),0)</f>
        <v>0</v>
      </c>
      <c r="T77">
        <f>INDEX(FactorTable!$B$2:$Y$301, MATCH(ROUND(MIN(300,MAX(1,T76)),0), FactorTable!$A$2:$A$301,0), 22)</f>
        <v>1688</v>
      </c>
      <c r="V77">
        <f>IFERROR(1/IF(Inputs!$B$4="pvp",15,MAX(0.1,Skills!E3-IF(Skills!F3=TRUE,Inputs!$B$31,0))),0)</f>
        <v>1</v>
      </c>
    </row>
    <row r="78" spans="1:22" x14ac:dyDescent="0.2">
      <c r="A78" t="str">
        <f>Skills!A4</f>
        <v>POISON_BREATH</v>
      </c>
      <c r="B78" t="str">
        <f>Skills!B4</f>
        <v>Poison Breath</v>
      </c>
      <c r="C78" t="b">
        <f>TRUE</f>
        <v>1</v>
      </c>
      <c r="D78">
        <f>IF(Skills!C4=1,60+Inputs!$B$24+Inputs!$B$28,IF(Skills!C4=2,90+Inputs!$B$25+Inputs!$B$28,IF(Skills!C4=3,120+Inputs!$B$26+Inputs!$B$28,MAX(0,(Inputs!$B$3-100)*3)+Inputs!$B$27+Inputs!$B$28)))</f>
        <v>164</v>
      </c>
      <c r="E78">
        <f>INDEX(FactorTable!$B$2:$Y$301, MATCH(ROUND(MIN(300,MAX(1,D78)),0), FactorTable!$A$2:$A$301,0), Skills!M4+1)</f>
        <v>1820</v>
      </c>
      <c r="F78">
        <f>IF(Skills!N4=TRUE,(Skills!L4/10)*(E78/1000),Skills!L4/10)+Skills!O4</f>
        <v>434</v>
      </c>
      <c r="G78">
        <f>Calc!G4</f>
        <v>3</v>
      </c>
      <c r="H78">
        <f>Calc!H4</f>
        <v>1</v>
      </c>
      <c r="I78">
        <f>IF(Skills!X4&lt;&gt;"",1+(Skills!X4/10)*(R77/1000)/100,1)</f>
        <v>7.0159999999999991</v>
      </c>
      <c r="J78">
        <f>((Inputs!$B$5*(1+Inputs!$B$6/100))+((Inputs!$B$11*(1+(Inputs!$B$12+1)/100))-(Inputs!$B$11*(1+Inputs!$B$12/100)))*(1+Inputs!$B$6/100))*(F78/100)</f>
        <v>1084964004.7281504</v>
      </c>
      <c r="K78">
        <f>J78*(1+((Inputs!$B$11*(1+(Inputs!$B$12+1)/100))*0.01+Inputs!$B$13*0.0025)/100)*(1+Inputs!$B$14/100)*(1+IF(Inputs!$B$4="pvp",0,(1-Summary!$B$56)*(Inputs!$B$19+Skills!P4)+Summary!$B$56*(Inputs!$B$20+Skills!Q4))/100)*(1+Inputs!$B$15/100)*(5000/(6000+Inputs!$B$7*(1-Inputs!$B$18/100)))*(1+Inputs!$B$23/100)*(1+F97/100)*(1+IF(Inputs!$B$3&gt;=120,F100,0)/100)^5*(1+(IF(Skills!A4="BASIC_ATTACK",Inputs!$B$16,Inputs!$B$17+IF(Inputs!$B$3&gt;=125,F101*5,0)))/100)*(B104*B105*B106*I78)</f>
        <v>58079239315039.961</v>
      </c>
      <c r="L78">
        <f>K78*(MIN(Inputs!$B$21+(F96-Calc!F22),Inputs!$B$22)/100+Inputs!$B$22/100)/2</f>
        <v>156784906530950.34</v>
      </c>
      <c r="M78">
        <f>L78*(1+(Inputs!$B$9+(F95-Calc!F21))/100)</f>
        <v>657085543271213</v>
      </c>
      <c r="N78">
        <f>L78*(1-MIN(Inputs!$B$8+(F94-Calc!F20),100)/100)+M78*(MIN(Inputs!$B$8+(F94-Calc!F20),100)/100)</f>
        <v>657085543271213</v>
      </c>
      <c r="O78">
        <f>IF(C78,H78*N78*IF(AND(Inputs!$B$4&lt;&gt;"pvp",Inputs!$B$35&gt;0),((Skills!G4*((S78-1)*IF(Skills!H4&gt;0,Skills!I4/Skills!H4,1)+IF(Skills!H4&gt;0,MIN(Skills!I4,MAX(0,Inputs!$B$35-((S78-1)*IF(Inputs!$B$4="pvp",15,MAX(0.1,Skills!E4-IF(Skills!F4=TRUE,Inputs!$B$31,0))))))/Skills!H4,1)))/Inputs!$B$35),G78*V78)*IF(Inputs!$B$4="pvp",1,(1-Summary!$B$56)*(1)+Summary!$B$56*(MIN(Skills!R4,Inputs!$B$37))),0)</f>
        <v>438057028847475.25</v>
      </c>
      <c r="P78">
        <f>IF(B113=0,0,O78/B113)</f>
        <v>5.2342813758261116E-2</v>
      </c>
      <c r="S78">
        <f>IF(AND(Inputs!$B$4&lt;&gt;"pvp",Inputs!$B$35&gt;0),(INT(Inputs!$B$35/IF(Inputs!$B$4="pvp",15,MAX(0.1,Skills!E4-IF(Skills!F4=TRUE,Inputs!$B$31,0))))+1),0)</f>
        <v>0</v>
      </c>
      <c r="T78">
        <f>290*T77/1000</f>
        <v>489.52</v>
      </c>
      <c r="V78">
        <f>IFERROR(1/IF(Inputs!$B$4="pvp",15,MAX(0.1,Skills!E4-IF(Skills!F4=TRUE,Inputs!$B$31,0))),0)</f>
        <v>5.5555555555555552E-2</v>
      </c>
    </row>
    <row r="79" spans="1:22" x14ac:dyDescent="0.2">
      <c r="A79" t="str">
        <f>Skills!A5</f>
        <v>ELEMENTAL_DRAIN</v>
      </c>
      <c r="B79" t="str">
        <f>Skills!B5</f>
        <v>Elemental Drain</v>
      </c>
      <c r="C79" t="b">
        <f>TRUE</f>
        <v>1</v>
      </c>
      <c r="D79">
        <f>IF(Skills!C5=1,60+Inputs!$B$24+Inputs!$B$28,IF(Skills!C5=2,90+Inputs!$B$25+Inputs!$B$28,IF(Skills!C5=3,120+Inputs!$B$26+Inputs!$B$28,MAX(0,(Inputs!$B$3-100)*3)+Inputs!$B$27+Inputs!$B$28)))</f>
        <v>164</v>
      </c>
      <c r="E79">
        <f>INDEX(FactorTable!$B$2:$Y$301, MATCH(ROUND(MIN(300,MAX(1,D79)),0), FactorTable!$A$2:$A$301,0), Skills!M5+1)</f>
        <v>1656</v>
      </c>
      <c r="F79">
        <f>IF(Skills!N5=TRUE,(Skills!L5/10)*(E79/1000),Skills!L5/10)+Skills!O5</f>
        <v>19.872</v>
      </c>
      <c r="G79">
        <f>Calc!G5</f>
        <v>5</v>
      </c>
      <c r="H79">
        <f>Calc!H5</f>
        <v>1</v>
      </c>
      <c r="I79">
        <f>IF(Skills!X5&lt;&gt;"",1+(Skills!X5/10)*(R77/1000)/100,1)</f>
        <v>12.28</v>
      </c>
      <c r="J79">
        <f>((Inputs!$B$5*(1+Inputs!$B$6/100))+((Inputs!$B$11*(1+(Inputs!$B$12+1)/100))-(Inputs!$B$11*(1+Inputs!$B$12/100)))*(1+Inputs!$B$6/100))*(F79/100)</f>
        <v>49678351.847829044</v>
      </c>
      <c r="K79">
        <f>J79*(1+((Inputs!$B$11*(1+(Inputs!$B$12+1)/100))*0.01+Inputs!$B$13*0.0025)/100)*(1+Inputs!$B$14/100)*(1+IF(Inputs!$B$4="pvp",0,(1-Summary!$B$56)*(Inputs!$B$19+Skills!P5)+Summary!$B$56*(Inputs!$B$20+Skills!Q5))/100)*(1+Inputs!$B$15/100)*(5000/(6000+Inputs!$B$7*(1-Inputs!$B$18/100)))*(1+Inputs!$B$23/100)*(1+F97/100)*(1+IF(Inputs!$B$3&gt;=120,F100,0)/100)^5*(1+(IF(Skills!A5="BASIC_ATTACK",Inputs!$B$16,Inputs!$B$17+IF(Inputs!$B$3&gt;=125,F101*5,0)))/100)*(B104*B105*B106*I79)</f>
        <v>4654591317360.4717</v>
      </c>
      <c r="L79">
        <f>K79*(MIN(Inputs!$B$21+(F96-Calc!F22),Inputs!$B$22)/100+Inputs!$B$22/100)/2</f>
        <v>12565069261214.592</v>
      </c>
      <c r="M79">
        <f>L79*(1+(Inputs!$B$9+(F95-Calc!F21))/100)</f>
        <v>52660205273750.367</v>
      </c>
      <c r="N79">
        <f>L79*(1-MIN(Inputs!$B$8+(F94-Calc!F20),100)/100)+M79*(MIN(Inputs!$B$8+(F94-Calc!F20),100)/100)</f>
        <v>52660205273750.367</v>
      </c>
      <c r="O79">
        <f>IF(C79,H79*N79*IF(AND(Inputs!$B$4&lt;&gt;"pvp",Inputs!$B$35&gt;0),((Skills!G5*((S79-1)*IF(Skills!H5&gt;0,Skills!I5/Skills!H5,1)+IF(Skills!H5&gt;0,MIN(Skills!I5,MAX(0,Inputs!$B$35-((S79-1)*IF(Inputs!$B$4="pvp",15,MAX(0.1,Skills!E5-IF(Skills!F5=TRUE,Inputs!$B$31,0))))))/Skills!H5,1)))/Inputs!$B$35),G79*V79)*IF(Inputs!$B$4="pvp",1,(1-Summary!$B$56)*(1)+Summary!$B$56*(MIN(Skills!R5,Inputs!$B$37))),0)</f>
        <v>263301026368751.84</v>
      </c>
      <c r="P79">
        <f>IF(B113=0,0,O79/B113)</f>
        <v>3.146146660821468E-2</v>
      </c>
      <c r="S79">
        <f>IF(AND(Inputs!$B$4&lt;&gt;"pvp",Inputs!$B$35&gt;0),(INT(Inputs!$B$35/IF(Inputs!$B$4="pvp",15,MAX(0.1,Skills!E5-IF(Skills!F5=TRUE,Inputs!$B$31,0))))+1),0)</f>
        <v>0</v>
      </c>
      <c r="V79">
        <f>IFERROR(1/IF(Inputs!$B$4="pvp",15,MAX(0.1,Skills!E5-IF(Skills!F5=TRUE,Inputs!$B$31,0))),0)</f>
        <v>1</v>
      </c>
    </row>
    <row r="80" spans="1:22" x14ac:dyDescent="0.2">
      <c r="A80" t="str">
        <f>Skills!A6</f>
        <v>MEDITATION</v>
      </c>
      <c r="B80" t="str">
        <f>Skills!B6</f>
        <v>Meditation</v>
      </c>
      <c r="C80" t="b">
        <f>TRUE</f>
        <v>1</v>
      </c>
      <c r="D80">
        <f>IF(Skills!C6=1,60+Inputs!$B$24+Inputs!$B$28,IF(Skills!C6=2,90+Inputs!$B$25+Inputs!$B$28,IF(Skills!C6=3,120+Inputs!$B$26+Inputs!$B$28,MAX(0,(Inputs!$B$3-100)*3)+Inputs!$B$27+Inputs!$B$28)))</f>
        <v>164</v>
      </c>
      <c r="E80">
        <f>INDEX(FactorTable!$B$2:$Y$301, MATCH(ROUND(MIN(300,MAX(1,D80)),0), FactorTable!$A$2:$A$301,0), Skills!M6+1)</f>
        <v>1492</v>
      </c>
      <c r="F80">
        <f>IF(Skills!N6=TRUE,(Skills!L6/10)*(E80/1000),Skills!L6/10)+Skills!O6</f>
        <v>29.84</v>
      </c>
      <c r="G80">
        <f>Calc!G6</f>
        <v>1</v>
      </c>
      <c r="H80">
        <f>Calc!H6</f>
        <v>1</v>
      </c>
      <c r="I80">
        <f>IF(Skills!X6&lt;&gt;"",1+(Skills!X6/10)*(R77/1000)/100,1)</f>
        <v>1</v>
      </c>
      <c r="O80">
        <v>0</v>
      </c>
      <c r="P80">
        <f>IF(B113=0,0,O80/B113)</f>
        <v>0</v>
      </c>
      <c r="S80">
        <f>IF(AND(Inputs!$B$4&lt;&gt;"pvp",Inputs!$B$35&gt;0),(INT(Inputs!$B$35/IF(Inputs!$B$4="pvp",15,MAX(0.1,Skills!E6-IF(Skills!F6=TRUE,Inputs!$B$31,0))))+1),0)</f>
        <v>0</v>
      </c>
      <c r="V80">
        <f>IFERROR(1/IF(Inputs!$B$4="pvp",15,MAX(0.1,Skills!E6-IF(Skills!F6=TRUE,Inputs!$B$31,0))),0)</f>
        <v>3.3333333333333333E-2</v>
      </c>
    </row>
    <row r="81" spans="1:22" x14ac:dyDescent="0.2">
      <c r="A81" t="str">
        <f>Skills!A7</f>
        <v>POISON_MIST_BURST</v>
      </c>
      <c r="B81" t="str">
        <f>Skills!B7</f>
        <v>Poison Mist (burst)</v>
      </c>
      <c r="C81" t="b">
        <f>TRUE</f>
        <v>1</v>
      </c>
      <c r="D81">
        <f>IF(Skills!C7=1,60+Inputs!$B$24+Inputs!$B$28,IF(Skills!C7=2,90+Inputs!$B$25+Inputs!$B$28,IF(Skills!C7=3,120+Inputs!$B$26+Inputs!$B$28,MAX(0,(Inputs!$B$3-100)*3)+Inputs!$B$27+Inputs!$B$28)))</f>
        <v>184</v>
      </c>
      <c r="E81">
        <f>INDEX(FactorTable!$B$2:$Y$301, MATCH(ROUND(MIN(300,MAX(1,D81)),0), FactorTable!$A$2:$A$301,0), Skills!M7+1)</f>
        <v>1920</v>
      </c>
      <c r="F81">
        <f>IF(Skills!N7=TRUE,(Skills!L7/10)*(E81/1000),Skills!L7/10)+Skills!O7</f>
        <v>357.2</v>
      </c>
      <c r="G81">
        <f>Calc!G7</f>
        <v>3</v>
      </c>
      <c r="H81">
        <f>Calc!H7</f>
        <v>1</v>
      </c>
      <c r="I81">
        <f>IF(Skills!X7&lt;&gt;"",1+(Skills!X7/10)*(R77/1000)/100,1)</f>
        <v>1.7519999999999998</v>
      </c>
      <c r="J81">
        <f>((Inputs!$B$5*(1+Inputs!$B$6/100))+((Inputs!$B$11*(1+(Inputs!$B$12+1)/100))-(Inputs!$B$11*(1+Inputs!$B$12/100)))*(1+Inputs!$B$6/100))*(F81/100)</f>
        <v>892970374.39837635</v>
      </c>
      <c r="K81">
        <f>J81*(1+((Inputs!$B$11*(1+(Inputs!$B$12+1)/100))*0.01+Inputs!$B$13*0.0025)/100)*(1+Inputs!$B$14/100)*(1+IF(Inputs!$B$4="pvp",0,(1-Summary!$B$56)*(Inputs!$B$19+Skills!P7)+Summary!$B$56*(Inputs!$B$20+Skills!Q7))/100)*(1+Inputs!$B$15/100)*(5000/(6000+Inputs!$B$7*(1-Inputs!$B$18/100)))*(1+Inputs!$B$23/100)*(1+F97/100)*(1+IF(Inputs!$B$3&gt;=120,F100,0)/100)^5*(1+(IF(Skills!A7="BASIC_ATTACK",Inputs!$B$16,Inputs!$B$17+IF(Inputs!$B$3&gt;=125,F101*5,0)))/100)*(B104*B105*B106*I81)</f>
        <v>11936779232852.281</v>
      </c>
      <c r="L81">
        <f>K81*(MIN(Inputs!$B$21+(F96-Calc!F22),Inputs!$B$22)/100+Inputs!$B$22/100)/2</f>
        <v>32223335539084.727</v>
      </c>
      <c r="M81">
        <f>L81*(1+(Inputs!$B$9+(F95-Calc!F21))/100)</f>
        <v>135047999244304.11</v>
      </c>
      <c r="N81">
        <f>L81*(1-MIN(Inputs!$B$8+(F94-Calc!F20),100)/100)+M81*(MIN(Inputs!$B$8+(F94-Calc!F20),100)/100)</f>
        <v>135047999244304.11</v>
      </c>
      <c r="O81">
        <f>IF(C81,H81*N81*IF(AND(Inputs!$B$4&lt;&gt;"pvp",Inputs!$B$35&gt;0),((Skills!G7*((S81-1)*IF(Skills!H7&gt;0,Skills!I7/Skills!H7,1)+IF(Skills!H7&gt;0,MIN(Skills!I7,MAX(0,Inputs!$B$35-((S81-1)*IF(Inputs!$B$4="pvp",15,MAX(0.1,Skills!E7-IF(Skills!F7=TRUE,Inputs!$B$31,0))))))/Skills!H7,1)))/Inputs!$B$35),G81*V81)*IF(Inputs!$B$4="pvp",1,(1-Summary!$B$56)*(1)+Summary!$B$56*(MIN(Skills!R7,Inputs!$B$37))),0)</f>
        <v>105833534101658.73</v>
      </c>
      <c r="P81">
        <f>IF(B113=0,0,O81/B113)</f>
        <v>1.2645899049802742E-2</v>
      </c>
      <c r="S81">
        <f>IF(AND(Inputs!$B$4&lt;&gt;"pvp",Inputs!$B$35&gt;0),(INT(Inputs!$B$35/IF(Inputs!$B$4="pvp",15,MAX(0.1,Skills!E7-IF(Skills!F7=TRUE,Inputs!$B$31,0))))+1),0)</f>
        <v>0</v>
      </c>
      <c r="V81">
        <f>IFERROR(1/IF(Inputs!$B$4="pvp",15,MAX(0.1,Skills!E7-IF(Skills!F7=TRUE,Inputs!$B$31,0))),0)</f>
        <v>4.0816326530612242E-2</v>
      </c>
    </row>
    <row r="82" spans="1:22" x14ac:dyDescent="0.2">
      <c r="A82" t="str">
        <f>Skills!A8</f>
        <v>POISON_MIST_DOT</v>
      </c>
      <c r="B82" t="str">
        <f>Skills!B8</f>
        <v>Poison Mist (fog DoT)</v>
      </c>
      <c r="C82" t="b">
        <f>TRUE</f>
        <v>1</v>
      </c>
      <c r="D82">
        <f>IF(Skills!C8=1,60+Inputs!$B$24+Inputs!$B$28,IF(Skills!C8=2,90+Inputs!$B$25+Inputs!$B$28,IF(Skills!C8=3,120+Inputs!$B$26+Inputs!$B$28,MAX(0,(Inputs!$B$3-100)*3)+Inputs!$B$27+Inputs!$B$28)))</f>
        <v>184</v>
      </c>
      <c r="E82">
        <f>INDEX(FactorTable!$B$2:$Y$301, MATCH(ROUND(MIN(300,MAX(1,D82)),0), FactorTable!$A$2:$A$301,0), Skills!M8+1)</f>
        <v>1920</v>
      </c>
      <c r="F82">
        <f>IF(Skills!N8=TRUE,(Skills!L8/10)*(E82/1000),Skills!L8/10)+Skills!O8</f>
        <v>134.4</v>
      </c>
      <c r="G82">
        <f>Calc!G8</f>
        <v>50</v>
      </c>
      <c r="H82">
        <f>Calc!H8</f>
        <v>1</v>
      </c>
      <c r="I82">
        <f>IF(Skills!X8&lt;&gt;"",1+(Skills!X8/10)*(R77/1000)/100,1)</f>
        <v>1.7519999999999998</v>
      </c>
      <c r="J82">
        <f>((Inputs!$B$5*(1+Inputs!$B$6/100))+((Inputs!$B$11*(1+(Inputs!$B$12+1)/100))-(Inputs!$B$11*(1+Inputs!$B$12/100)))*(1+Inputs!$B$6/100))*(F82/100)</f>
        <v>335988853.07710469</v>
      </c>
      <c r="K82">
        <f>J82*(1+((Inputs!$B$11*(1+(Inputs!$B$12+1)/100))*0.01+Inputs!$B$13*0.0025)/100)*(1+Inputs!$B$14/100)*(1+IF(Inputs!$B$4="pvp",0,(1-Summary!$B$56)*(Inputs!$B$19+Skills!P8)+Summary!$B$56*(Inputs!$B$20+Skills!Q8))/100)*(1+Inputs!$B$15/100)*(5000/(6000+Inputs!$B$7*(1-Inputs!$B$18/100)))*(1+Inputs!$B$23/100)*(1+F97/100)*(1+IF(Inputs!$B$3&gt;=120,F100,0)/100)^5*(1+(IF(Skills!A8="BASIC_ATTACK",Inputs!$B$16,Inputs!$B$17+IF(Inputs!$B$3&gt;=125,F101*5,0)))/100)*(B104*B105*B106*I82)</f>
        <v>4491330148083.2764</v>
      </c>
      <c r="L82">
        <f>K82*(MIN(Inputs!$B$21+(F96-Calc!F22),Inputs!$B$22)/100+Inputs!$B$22/100)/2</f>
        <v>12124345734750.803</v>
      </c>
      <c r="M82">
        <f>L82*(1+(Inputs!$B$9+(F95-Calc!F21))/100)</f>
        <v>50813132974340.625</v>
      </c>
      <c r="N82">
        <f>L82*(1-MIN(Inputs!$B$8+(F94-Calc!F20),100)/100)+M82*(MIN(Inputs!$B$8+(F94-Calc!F20),100)/100)</f>
        <v>50813132974340.625</v>
      </c>
      <c r="O82">
        <f>IF(C82,H82*N82*IF(AND(Inputs!$B$4&lt;&gt;"pvp",Inputs!$B$35&gt;0),((Skills!G8*((S82-1)*IF(Skills!H8&gt;0,Skills!I8/Skills!H8,1)+IF(Skills!H8&gt;0,MIN(Skills!I8,MAX(0,Inputs!$B$35-((S82-1)*IF(Inputs!$B$4="pvp",15,MAX(0.1,Skills!E8-IF(Skills!F8=TRUE,Inputs!$B$31,0))))))/Skills!H8,1)))/Inputs!$B$35),G82*V82)*IF(Inputs!$B$4="pvp",1,(1-Summary!$B$56)*(1)+Summary!$B$56*(MIN(Skills!R8,Inputs!$B$37))),0)</f>
        <v>663681736807714.38</v>
      </c>
      <c r="P82">
        <f>IF(B113=0,0,O82/B113)</f>
        <v>7.9302390457889532E-2</v>
      </c>
      <c r="S82">
        <f>IF(AND(Inputs!$B$4&lt;&gt;"pvp",Inputs!$B$35&gt;0),(INT(Inputs!$B$35/IF(Inputs!$B$4="pvp",15,MAX(0.1,Skills!E8-IF(Skills!F8=TRUE,Inputs!$B$31,0))))+1),0)</f>
        <v>0</v>
      </c>
      <c r="V82">
        <f>IFERROR(1/IF(Inputs!$B$4="pvp",15,MAX(0.1,Skills!E8-IF(Skills!F8=TRUE,Inputs!$B$31,0))),0)</f>
        <v>4.0816326530612242E-2</v>
      </c>
    </row>
    <row r="83" spans="1:22" x14ac:dyDescent="0.2">
      <c r="A83" t="str">
        <f>Skills!A9</f>
        <v>MIST_ERUPTION</v>
      </c>
      <c r="B83" t="str">
        <f>Skills!B9</f>
        <v>Mist Eruption</v>
      </c>
      <c r="C83" t="b">
        <f>Inputs!$B$3&gt;=103</f>
        <v>1</v>
      </c>
      <c r="D83">
        <f>IF(Skills!C9=1,60+Inputs!$B$24+Inputs!$B$28,IF(Skills!C9=2,90+Inputs!$B$25+Inputs!$B$28,IF(Skills!C9=3,120+Inputs!$B$26+Inputs!$B$28,MAX(0,(Inputs!$B$3-100)*3)+Inputs!$B$27+Inputs!$B$28)))</f>
        <v>172</v>
      </c>
      <c r="E83">
        <f>INDEX(FactorTable!$B$2:$Y$301, MATCH(ROUND(MIN(300,MAX(1,D83)),0), FactorTable!$A$2:$A$301,0), Skills!M9+1)</f>
        <v>1860</v>
      </c>
      <c r="F83">
        <f>IF(Skills!N9=TRUE,(Skills!L9/10)*(E83/1000),Skills!L9/10)+Skills!O9</f>
        <v>5580</v>
      </c>
      <c r="G83">
        <f>Calc!G9</f>
        <v>2.8</v>
      </c>
      <c r="H83">
        <f>Calc!H9</f>
        <v>1</v>
      </c>
      <c r="I83">
        <f>IF(Skills!X9&lt;&gt;"",1+(Skills!X9/10)*(R77/1000)/100,1)</f>
        <v>1</v>
      </c>
      <c r="J83">
        <f>((Inputs!$B$5*(1+Inputs!$B$6/100))+((Inputs!$B$11*(1+(Inputs!$B$12+1)/100))-(Inputs!$B$11*(1+Inputs!$B$12/100)))*(1+Inputs!$B$6/100))*(F83/100)</f>
        <v>13949537203.647648</v>
      </c>
      <c r="K83">
        <f>J83*(1+((Inputs!$B$11*(1+(Inputs!$B$12+1)/100))*0.01+Inputs!$B$13*0.0025)/100)*(1+Inputs!$B$14/100)*(1+IF(Inputs!$B$4="pvp",0,(1-Summary!$B$56)*(Inputs!$B$19+Skills!P9)+Summary!$B$56*(Inputs!$B$20+Skills!Q9))/100)*(1+Inputs!$B$15/100)*(5000/(6000+Inputs!$B$7*(1-Inputs!$B$18/100)))*(1+Inputs!$B$23/100)*(1+F97/100)*(1+IF(Inputs!$B$3&gt;=120,F100,0)/100)^5*(1+(IF(Skills!A9="BASIC_ATTACK",Inputs!$B$16,Inputs!$B$17+IF(Inputs!$B$3&gt;=125,F101*5,0)))/100)*(B104*B105*B106*I83)</f>
        <v>106432878692653.47</v>
      </c>
      <c r="L83">
        <f>K83*(MIN(Inputs!$B$21+(F96-Calc!F22),Inputs!$B$22)/100+Inputs!$B$22/100)/2</f>
        <v>287315556030818</v>
      </c>
      <c r="M83">
        <f>L83*(1+(Inputs!$B$9+(F95-Calc!F21))/100)</f>
        <v>1204139495325158.5</v>
      </c>
      <c r="N83">
        <f>L83*(1-MIN(Inputs!$B$8+(F94-Calc!F20),100)/100)+M83*(MIN(Inputs!$B$8+(F94-Calc!F20),100)/100)</f>
        <v>1204139495325158.5</v>
      </c>
      <c r="O83">
        <f>IF(C83,H83*N83*IF(AND(Inputs!$B$4&lt;&gt;"pvp",Inputs!$B$35&gt;0),((Skills!G9*((S83-1)*IF(Skills!H9&gt;0,Skills!I9/Skills!H9,1)+IF(Skills!H9&gt;0,MIN(Skills!I9,MAX(0,Inputs!$B$35-((S83-1)*IF(Inputs!$B$4="pvp",15,MAX(0.1,Skills!E9-IF(Skills!F7=TRUE,Inputs!$B$31,0))))))/Skills!H9,1)))/Inputs!$B$35),G83*V83)*IF(Inputs!$B$4="pvp",1,(1-Summary!$B$56)*(1)+Summary!$B$56*(MIN(Skills!R9,Inputs!$B$37))),0)</f>
        <v>880742030866401.5</v>
      </c>
      <c r="P83">
        <f>IF(B113=0,0,O83/B113)</f>
        <v>0.10523861747408284</v>
      </c>
      <c r="S83">
        <f>IF(AND(Inputs!$B$4&lt;&gt;"pvp",Inputs!$B$35&gt;0),(INT(Inputs!$B$35/IF(Inputs!$B$4="pvp",15,MAX(0.1,Skills!E9-IF(Skills!F7=TRUE,Inputs!$B$31,0))))+1),0)</f>
        <v>0</v>
      </c>
      <c r="V83">
        <f>IFERROR(1/IF(Inputs!$B$4="pvp",15,MAX(0.1,Skills!E9-IF(Skills!F7=TRUE,Inputs!$B$31,0))),0)</f>
        <v>4.0816326530612242E-2</v>
      </c>
    </row>
    <row r="84" spans="1:22" x14ac:dyDescent="0.2">
      <c r="A84" t="str">
        <f>Skills!A10</f>
        <v>CREEPING_TOXIN</v>
      </c>
      <c r="B84" t="str">
        <f>Skills!B10</f>
        <v>Creeping Toxin</v>
      </c>
      <c r="C84" t="b">
        <f>TRUE</f>
        <v>1</v>
      </c>
      <c r="D84">
        <f>IF(Skills!C10=1,60+Inputs!$B$24+Inputs!$B$28,IF(Skills!C10=2,90+Inputs!$B$25+Inputs!$B$28,IF(Skills!C10=3,120+Inputs!$B$26+Inputs!$B$28,MAX(0,(Inputs!$B$3-100)*3)+Inputs!$B$27+Inputs!$B$28)))</f>
        <v>184</v>
      </c>
      <c r="E84">
        <f>INDEX(FactorTable!$B$2:$Y$301, MATCH(ROUND(MIN(300,MAX(1,D84)),0), FactorTable!$A$2:$A$301,0), Skills!M10+1)</f>
        <v>1920</v>
      </c>
      <c r="F84">
        <f>IF(Skills!N10=TRUE,(Skills!L10/10)*(E84/1000),Skills!L10/10)+Skills!O10</f>
        <v>280.39999999999998</v>
      </c>
      <c r="G84">
        <f>Calc!G10</f>
        <v>15</v>
      </c>
      <c r="H84">
        <f>Calc!H10</f>
        <v>1</v>
      </c>
      <c r="I84">
        <f>IF(Skills!X10&lt;&gt;"",1+(Skills!X10/10)*(R77/1000)/100,1)</f>
        <v>1.7519999999999998</v>
      </c>
      <c r="J84">
        <f>((Inputs!$B$5*(1+Inputs!$B$6/100))+((Inputs!$B$11*(1+(Inputs!$B$12+1)/100))-(Inputs!$B$11*(1+Inputs!$B$12/100)))*(1+Inputs!$B$6/100))*(F84/100)</f>
        <v>700976744.0686022</v>
      </c>
      <c r="K84">
        <f>J84*(1+((Inputs!$B$11*(1+(Inputs!$B$12+1)/100))*0.01+Inputs!$B$13*0.0025)/100)*(1+Inputs!$B$14/100)*(1+IF(Inputs!$B$4="pvp",0,(1-Summary!$B$56)*(Inputs!$B$19+Skills!P10)+Summary!$B$56*(Inputs!$B$20+Skills!Q10))/100)*(1+Inputs!$B$15/100)*(5000/(6000+Inputs!$B$7*(1-Inputs!$B$18/100)))*(1+Inputs!$B$23/100)*(1+F97/100)*(1+IF(Inputs!$B$3&gt;=120,F100,0)/100)^5*(1+(IF(Skills!A10="BASIC_ATTACK",Inputs!$B$16,Inputs!$B$17+IF(Inputs!$B$3&gt;=125,F101*5,0)))/100)*(B104*B105*B106*I84)</f>
        <v>11057634669695.266</v>
      </c>
      <c r="L84">
        <f>K84*(MIN(Inputs!$B$21+(F96-Calc!F22),Inputs!$B$22)/100+Inputs!$B$22/100)/2</f>
        <v>29850084790842.363</v>
      </c>
      <c r="M84">
        <f>L84*(1+(Inputs!$B$9+(F95-Calc!F21))/100)</f>
        <v>125101705358420.36</v>
      </c>
      <c r="N84">
        <f>L84*(1-MIN(Inputs!$B$8+(F94-Calc!F20),100)/100)+M84*(MIN(Inputs!$B$8+(F94-Calc!F20),100)/100)</f>
        <v>125101705358420.36</v>
      </c>
      <c r="O84">
        <f>IF(C84,H84*N84*IF(AND(Inputs!$B$4&lt;&gt;"pvp",Inputs!$B$35&gt;0),((Skills!G10*((S84-1)*IF(Skills!H10&gt;0,Skills!I10/Skills!H10,1)+IF(Skills!H10&gt;0,MIN(Skills!I10,MAX(0,Inputs!$B$35-((S84-1)*IF(Inputs!$B$4="pvp",15,MAX(0.1,Skills!E10-IF(Skills!F10=TRUE,Inputs!$B$31,0))))))/Skills!H10,1)))/Inputs!$B$35),G84*V84)*IF(Inputs!$B$4="pvp",1,(1-Summary!$B$56)*(1)+Summary!$B$56*(MIN(Skills!R10,Inputs!$B$37))),0)</f>
        <v>69500947421344.648</v>
      </c>
      <c r="P84">
        <f>IF(B113=0,0,O84/B113)</f>
        <v>8.3045697416826367E-3</v>
      </c>
      <c r="S84">
        <f>IF(AND(Inputs!$B$4&lt;&gt;"pvp",Inputs!$B$35&gt;0),(INT(Inputs!$B$35/IF(Inputs!$B$4="pvp",15,MAX(0.1,Skills!E10-IF(Skills!F10=TRUE,Inputs!$B$31,0))))+1),0)</f>
        <v>0</v>
      </c>
      <c r="V84">
        <f>IFERROR(1/IF(Inputs!$B$4="pvp",15,MAX(0.1,Skills!E10-IF(Skills!F10=TRUE,Inputs!$B$31,0))),0)</f>
        <v>3.7037037037037035E-2</v>
      </c>
    </row>
    <row r="85" spans="1:22" x14ac:dyDescent="0.2">
      <c r="A85" t="str">
        <f>Skills!A11</f>
        <v>BURNING_MAGIC</v>
      </c>
      <c r="B85" t="str">
        <f>Skills!B11</f>
        <v>Burning Magic</v>
      </c>
      <c r="C85" t="b">
        <f>TRUE</f>
        <v>1</v>
      </c>
      <c r="D85">
        <f>IF(Skills!C11=1,60+Inputs!$B$24+Inputs!$B$28,IF(Skills!C11=2,90+Inputs!$B$25+Inputs!$B$28,IF(Skills!C11=3,120+Inputs!$B$26+Inputs!$B$28,MAX(0,(Inputs!$B$3-100)*3)+Inputs!$B$27+Inputs!$B$28)))</f>
        <v>184</v>
      </c>
      <c r="E85">
        <f>INDEX(FactorTable!$B$2:$Y$301, MATCH(ROUND(MIN(300,MAX(1,D85)),0), FactorTable!$A$2:$A$301,0), Skills!M11+1)</f>
        <v>0</v>
      </c>
      <c r="F85">
        <f>IF(Skills!N11=TRUE,(Skills!L11/10)*(E85/1000),Skills!L11/10)+Skills!O11</f>
        <v>5</v>
      </c>
      <c r="G85">
        <f>Calc!G11</f>
        <v>1</v>
      </c>
      <c r="H85">
        <f>Calc!H11</f>
        <v>1</v>
      </c>
      <c r="I85">
        <f>IF(Skills!X11&lt;&gt;"",1+(Skills!X11/10)*(R77/1000)/100,1)</f>
        <v>1</v>
      </c>
      <c r="O85">
        <v>0</v>
      </c>
      <c r="P85">
        <f>IF(B113=0,0,O85/B113)</f>
        <v>0</v>
      </c>
      <c r="S85">
        <v>0</v>
      </c>
      <c r="V85">
        <f>IFERROR(1/IF(Inputs!$B$4="pvp",15,MAX(0.1,Skills!E11-IF(Skills!F11=TRUE,Inputs!$B$31,0))),0)</f>
        <v>10</v>
      </c>
    </row>
    <row r="86" spans="1:22" x14ac:dyDescent="0.2">
      <c r="A86" t="str">
        <f>Skills!A12</f>
        <v>ELEMENTAL_DECREASE</v>
      </c>
      <c r="B86" t="str">
        <f>Skills!B12</f>
        <v>Elemental Decrease</v>
      </c>
      <c r="C86" t="b">
        <f>TRUE</f>
        <v>1</v>
      </c>
      <c r="D86">
        <f>IF(Skills!C12=1,60+Inputs!$B$24+Inputs!$B$28,IF(Skills!C12=2,90+Inputs!$B$25+Inputs!$B$28,IF(Skills!C12=3,120+Inputs!$B$26+Inputs!$B$28,MAX(0,(Inputs!$B$3-100)*3)+Inputs!$B$27+Inputs!$B$28)))</f>
        <v>184</v>
      </c>
      <c r="E86">
        <f>INDEX(FactorTable!$B$2:$Y$301, MATCH(ROUND(MIN(300,MAX(1,D86)),0), FactorTable!$A$2:$A$301,0), Skills!M12+1)</f>
        <v>1552</v>
      </c>
      <c r="F86">
        <f>IF(Skills!N12=TRUE,(Skills!L12/10)*(E86/1000),Skills!L12/10)+Skills!O12</f>
        <v>18.624000000000002</v>
      </c>
      <c r="G86">
        <f>Calc!G12</f>
        <v>1</v>
      </c>
      <c r="H86">
        <f>Calc!H12</f>
        <v>0.5</v>
      </c>
      <c r="I86">
        <f>IF(Skills!X12&lt;&gt;"",1+(Skills!X12/10)*(R77/1000)/100,1)</f>
        <v>1</v>
      </c>
      <c r="O86">
        <v>0</v>
      </c>
      <c r="P86">
        <f>IF(B113=0,0,O86/B113)</f>
        <v>0</v>
      </c>
      <c r="S86">
        <v>0</v>
      </c>
      <c r="V86">
        <f>IFERROR(1/IF(Inputs!$B$4="pvp",15,MAX(0.1,Skills!E12-IF(Skills!F12=TRUE,Inputs!$B$31,0))),0)</f>
        <v>10</v>
      </c>
    </row>
    <row r="87" spans="1:22" x14ac:dyDescent="0.2">
      <c r="A87" t="str">
        <f>Skills!A13</f>
        <v>METEOR_SHOWER_BURST</v>
      </c>
      <c r="B87" t="str">
        <f>Skills!B13</f>
        <v>Meteor Shower (burst)</v>
      </c>
      <c r="C87" t="b">
        <f>Inputs!$B$3&gt;=105</f>
        <v>1</v>
      </c>
      <c r="D87">
        <f>IF(Skills!C13=1,60+Inputs!$B$24+Inputs!$B$28,IF(Skills!C13=2,90+Inputs!$B$25+Inputs!$B$28,IF(Skills!C13=3,120+Inputs!$B$26+Inputs!$B$28,MAX(0,(Inputs!$B$3-100)*3)+Inputs!$B$27+Inputs!$B$28)))</f>
        <v>172</v>
      </c>
      <c r="E87">
        <f>INDEX(FactorTable!$B$2:$Y$301, MATCH(ROUND(MIN(300,MAX(1,D87)),0), FactorTable!$A$2:$A$301,0), Skills!M13+1)</f>
        <v>1860</v>
      </c>
      <c r="F87">
        <f>IF(Skills!N13=TRUE,(Skills!L13/10)*(E87/1000),Skills!L13/10)+Skills!O13</f>
        <v>1116</v>
      </c>
      <c r="G87">
        <f>Calc!G13</f>
        <v>9</v>
      </c>
      <c r="H87">
        <f>Calc!H13</f>
        <v>1</v>
      </c>
      <c r="I87">
        <f>IF(Skills!X13&lt;&gt;"",1+(Skills!X13/10)*(R77/1000)/100,1)</f>
        <v>1</v>
      </c>
      <c r="J87">
        <f>((Inputs!$B$5*(1+Inputs!$B$6/100))+((Inputs!$B$11*(1+(Inputs!$B$12+1)/100))-(Inputs!$B$11*(1+Inputs!$B$12/100)))*(1+Inputs!$B$6/100))*(F87/100)</f>
        <v>2789907440.7295299</v>
      </c>
      <c r="K87">
        <f>J87*(1+((Inputs!$B$11*(1+(Inputs!$B$12+1)/100))*0.01+Inputs!$B$13*0.0025)/100)*(1+Inputs!$B$14/100)*(1+IF(Inputs!$B$4="pvp",0,(1-Summary!$B$56)*(Inputs!$B$19+Skills!P13)+Summary!$B$56*(Inputs!$B$20+Skills!Q13))/100)*(1+Inputs!$B$15/100)*(5000/(6000+Inputs!$B$7*(1-Inputs!$B$18/100)))*(1+Inputs!$B$23/100)*(1+F97/100)*(1+IF(Inputs!$B$3&gt;=120,F100,0)/100)^5*(1+(IF(Skills!A13="BASIC_ATTACK",Inputs!$B$16,Inputs!$B$17+IF(Inputs!$B$3&gt;=125,F101*5,0)))/100)*(B104*B105*B106*I87)</f>
        <v>21286575738530.699</v>
      </c>
      <c r="L87">
        <f>K87*(MIN(Inputs!$B$21+(F96-Calc!F22),Inputs!$B$22)/100+Inputs!$B$22/100)/2</f>
        <v>57463111206163.617</v>
      </c>
      <c r="M87">
        <f>L87*(1+(Inputs!$B$9+(F95-Calc!F21))/100)</f>
        <v>240827899065031.75</v>
      </c>
      <c r="N87">
        <f>L87*(1-MIN(Inputs!$B$8+(F94-Calc!F20),100)/100)+M87*(MIN(Inputs!$B$8+(F94-Calc!F20),100)/100)</f>
        <v>240827899065031.75</v>
      </c>
      <c r="O87">
        <f>IF(C87,H87*N87*IF(AND(Inputs!$B$4&lt;&gt;"pvp",Inputs!$B$35&gt;0),((Skills!G13*((S87-1)*IF(Skills!H13&gt;0,Skills!I13/Skills!H13,1)+IF(Skills!H13&gt;0,MIN(Skills!I13,MAX(0,Inputs!$B$35-((S87-1)*IF(Inputs!$B$4="pvp",15,MAX(0.1,Skills!E13-IF(Skills!F13=TRUE,Inputs!$B$31,0))))))/Skills!H13,1)))/Inputs!$B$35),G87*V87)*IF(Inputs!$B$4="pvp",1,(1-Summary!$B$56)*(1)+Summary!$B$56*(MIN(Skills!R13,Inputs!$B$37))),0)</f>
        <v>302129546099767.12</v>
      </c>
      <c r="P87">
        <f>IF(B113=0,0,O87/B113)</f>
        <v>3.6101031420441784E-2</v>
      </c>
      <c r="S87">
        <f>IF(AND(Inputs!$B$4&lt;&gt;"pvp",Inputs!$B$35&gt;0),(INT(Inputs!$B$35/IF(Inputs!$B$4="pvp",15,MAX(0.1,Skills!E13-IF(Skills!F13=TRUE,Inputs!$B$31,0))))+1),0)</f>
        <v>0</v>
      </c>
      <c r="V87">
        <f>IFERROR(1/IF(Inputs!$B$4="pvp",15,MAX(0.1,Skills!E13-IF(Skills!F13=TRUE,Inputs!$B$31,0))),0)</f>
        <v>3.0303030303030304E-2</v>
      </c>
    </row>
    <row r="88" spans="1:22" x14ac:dyDescent="0.2">
      <c r="A88" t="str">
        <f>Skills!A14</f>
        <v>METEOR_PROC</v>
      </c>
      <c r="B88" t="str">
        <f>Skills!B14</f>
        <v>Meteor Proc (30% on-hit, 1s ICD)</v>
      </c>
      <c r="C88" t="b">
        <f>Inputs!$B$3&gt;=113</f>
        <v>1</v>
      </c>
      <c r="D88">
        <f>IF(Skills!C14=1,60+Inputs!$B$24+Inputs!$B$28,IF(Skills!C14=2,90+Inputs!$B$25+Inputs!$B$28,IF(Skills!C14=3,120+Inputs!$B$26+Inputs!$B$28,MAX(0,(Inputs!$B$3-100)*3)+Inputs!$B$27+Inputs!$B$28)))</f>
        <v>172</v>
      </c>
      <c r="E88">
        <f>INDEX(FactorTable!$B$2:$Y$301, MATCH(ROUND(MIN(300,MAX(1,D88)),0), FactorTable!$A$2:$A$301,0), Skills!M14+1)</f>
        <v>1688</v>
      </c>
      <c r="F88">
        <f>IF(Skills!N14=TRUE,(Skills!L14/10)*(E88/1000),Skills!L14/10)+Skills!O14</f>
        <v>1603.6</v>
      </c>
      <c r="G88">
        <f>Calc!G14</f>
        <v>0</v>
      </c>
      <c r="H88">
        <f>Calc!H14</f>
        <v>0.30000000000000004</v>
      </c>
      <c r="I88">
        <f>IF(Skills!X14&lt;&gt;"",1+(Skills!X14/10)*(R77/1000)/100,1)</f>
        <v>1</v>
      </c>
      <c r="J88">
        <f>((Inputs!$B$5*(1+Inputs!$B$6/100))+((Inputs!$B$11*(1+(Inputs!$B$12+1)/100))-(Inputs!$B$11*(1+Inputs!$B$12/100)))*(1+Inputs!$B$6/100))*(F88/100)</f>
        <v>4008866999.9586678</v>
      </c>
      <c r="K88">
        <f>J88*(1+((Inputs!$B$11*(1+(Inputs!$B$12+1)/100))*0.01+Inputs!$B$13*0.0025)/100)*(1+Inputs!$B$14/100)*(1+IF(Inputs!$B$4="pvp",0,(1-Summary!$B$56)*(Inputs!$B$19+Skills!P14)+Summary!$B$56*(Inputs!$B$20+Skills!Q14))/100)*(1+Inputs!$B$15/100)*(5000/(6000+Inputs!$B$7*(1-Inputs!$B$18/100)))*(1+Inputs!$B$23/100)*(1+F97/100)*(1+IF(Inputs!$B$3&gt;=120,F100,0)/100)^5*(1+(IF(Skills!A14="BASIC_ATTACK",Inputs!$B$16,Inputs!$B$17+IF(Inputs!$B$3&gt;=125,F101*5,0)))/100)*(B104*B105*B106*I88)</f>
        <v>30587054528949.664</v>
      </c>
      <c r="L88">
        <f>K88*(MIN(Inputs!$B$21+(F96-Calc!F22),Inputs!$B$22)/100+Inputs!$B$22/100)/2</f>
        <v>82569753700899.609</v>
      </c>
      <c r="M88">
        <f>L88*(1+(Inputs!$B$9+(F95-Calc!F21))/100)</f>
        <v>346049837760470.31</v>
      </c>
      <c r="N88">
        <f>L88*(1-MIN(Inputs!$B$8+(F94-Calc!F20),100)/100)+M88*(MIN(Inputs!$B$8+(F94-Calc!F20),100)/100)</f>
        <v>346049837760470.31</v>
      </c>
      <c r="O88">
        <f>IF(C88,(H88*B111)/(1+Skills!H14*H88*B111)*N88*IF(Inputs!$B$4="pvp",1,(1-Summary!$B$56)*(1)+Summary!$B$56*(MIN(Skills!R14,Inputs!$B$37))),0)</f>
        <v>108854346244068.67</v>
      </c>
      <c r="P88">
        <f>IF(B113=0,0,O88/B113)</f>
        <v>1.3006851612953854E-2</v>
      </c>
      <c r="S88">
        <v>0</v>
      </c>
      <c r="V88">
        <f>IFERROR(1/IF(Inputs!$B$4="pvp",15,MAX(0.1,Skills!E14-IF(Skills!F14=TRUE,Inputs!$B$31,0))),0)</f>
        <v>10</v>
      </c>
    </row>
    <row r="89" spans="1:22" x14ac:dyDescent="0.2">
      <c r="A89" t="str">
        <f>Skills!A15</f>
        <v>FLAME_HAZE_BURST</v>
      </c>
      <c r="B89" t="str">
        <f>Skills!B15</f>
        <v>Flame Haze (burst)</v>
      </c>
      <c r="C89" t="b">
        <f>Inputs!$B$3&gt;=107</f>
        <v>1</v>
      </c>
      <c r="D89">
        <f>IF(Skills!C15=1,60+Inputs!$B$24+Inputs!$B$28,IF(Skills!C15=2,90+Inputs!$B$25+Inputs!$B$28,IF(Skills!C15=3,120+Inputs!$B$26+Inputs!$B$28,MAX(0,(Inputs!$B$3-100)*3)+Inputs!$B$27+Inputs!$B$28)))</f>
        <v>172</v>
      </c>
      <c r="E89">
        <f>INDEX(FactorTable!$B$2:$Y$301, MATCH(ROUND(MIN(300,MAX(1,D89)),0), FactorTable!$A$2:$A$301,0), Skills!M15+1)</f>
        <v>1860</v>
      </c>
      <c r="F89">
        <f>IF(Skills!N15=TRUE,(Skills!L15/10)*(E89/1000),Skills!L15/10)+Skills!O15</f>
        <v>2232</v>
      </c>
      <c r="G89">
        <f>Calc!G15</f>
        <v>3</v>
      </c>
      <c r="H89">
        <f>Calc!H15</f>
        <v>1</v>
      </c>
      <c r="I89">
        <f>IF(Skills!X15&lt;&gt;"",1+(Skills!X15/10)*(R77/1000)/100,1)</f>
        <v>1</v>
      </c>
      <c r="J89">
        <f>((Inputs!$B$5*(1+Inputs!$B$6/100))+((Inputs!$B$11*(1+(Inputs!$B$12+1)/100))-(Inputs!$B$11*(1+Inputs!$B$12/100)))*(1+Inputs!$B$6/100))*(F89/100)</f>
        <v>5579814881.4590597</v>
      </c>
      <c r="K89">
        <f>J89*(1+((Inputs!$B$11*(1+(Inputs!$B$12+1)/100))*0.01+Inputs!$B$13*0.0025)/100)*(1+Inputs!$B$14/100)*(1+IF(Inputs!$B$4="pvp",0,(1-Summary!$B$56)*(Inputs!$B$19+Skills!P15)+Summary!$B$56*(Inputs!$B$20+Skills!Q15))/100)*(1+Inputs!$B$15/100)*(5000/(6000+Inputs!$B$7*(1-Inputs!$B$18/100)))*(1+Inputs!$B$23/100)*(1+F97/100)*(1+IF(Inputs!$B$3&gt;=120,F100,0)/100)^5*(1+(IF(Skills!A15="BASIC_ATTACK",Inputs!$B$16,Inputs!$B$17+IF(Inputs!$B$3&gt;=125,F101*5,0)))/100)*(B104*B105*B106*I89)</f>
        <v>42573151477061.398</v>
      </c>
      <c r="L89">
        <f>K89*(MIN(Inputs!$B$21+(F96-Calc!F22),Inputs!$B$22)/100+Inputs!$B$22/100)/2</f>
        <v>114926222412327.23</v>
      </c>
      <c r="M89">
        <f>L89*(1+(Inputs!$B$9+(F95-Calc!F21))/100)</f>
        <v>481655798130063.5</v>
      </c>
      <c r="N89">
        <f>L89*(1-MIN(Inputs!$B$8+(F94-Calc!F20),100)/100)+M89*(MIN(Inputs!$B$8+(F94-Calc!F20),100)/100)</f>
        <v>481655798130063.5</v>
      </c>
      <c r="O89">
        <f>IF(C89,H89*N89*IF(AND(Inputs!$B$4&lt;&gt;"pvp",Inputs!$B$35&gt;0),((Skills!G15*((S89-1)*IF(Skills!H15&gt;0,Skills!I15/Skills!H15,1)+IF(Skills!H15&gt;0,MIN(Skills!I15,MAX(0,Inputs!$B$35-((S89-1)*IF(Inputs!$B$4="pvp",15,MAX(0.1,Skills!E15-IF(Skills!F15=TRUE,Inputs!$B$31,0))))))/Skills!H15,1)))/Inputs!$B$35),G89*V89)*IF(Inputs!$B$4="pvp",1,(1-Summary!$B$56)*(1)+Summary!$B$56*(MIN(Skills!R15,Inputs!$B$37))),0)</f>
        <v>369911652963888.75</v>
      </c>
      <c r="P89">
        <f>IF(B113=0,0,O89/B113)</f>
        <v>4.4200219339114805E-2</v>
      </c>
      <c r="S89">
        <f>IF(AND(Inputs!$B$4&lt;&gt;"pvp",Inputs!$B$35&gt;0),(INT(Inputs!$B$35/IF(Inputs!$B$4="pvp",15,MAX(0.1,Skills!E15-IF(Skills!F15=TRUE,Inputs!$B$31,0))))+1),0)</f>
        <v>0</v>
      </c>
      <c r="V89">
        <f>IFERROR(1/IF(Inputs!$B$4="pvp",15,MAX(0.1,Skills!E15-IF(Skills!F15=TRUE,Inputs!$B$31,0))),0)</f>
        <v>0.04</v>
      </c>
    </row>
    <row r="90" spans="1:22" x14ac:dyDescent="0.2">
      <c r="A90" t="str">
        <f>Skills!A16</f>
        <v>FLAME_HAZE_DOT</v>
      </c>
      <c r="B90" t="str">
        <f>Skills!B16</f>
        <v>Flame Haze (burn DoT)</v>
      </c>
      <c r="C90" t="b">
        <f>Inputs!$B$3&gt;=107</f>
        <v>1</v>
      </c>
      <c r="D90">
        <f>IF(Skills!C16=1,60+Inputs!$B$24+Inputs!$B$28,IF(Skills!C16=2,90+Inputs!$B$25+Inputs!$B$28,IF(Skills!C16=3,120+Inputs!$B$26+Inputs!$B$28,MAX(0,(Inputs!$B$3-100)*3)+Inputs!$B$27+Inputs!$B$28)))</f>
        <v>172</v>
      </c>
      <c r="E90">
        <f>INDEX(FactorTable!$B$2:$Y$301, MATCH(ROUND(MIN(300,MAX(1,D90)),0), FactorTable!$A$2:$A$301,0), Skills!M16+1)</f>
        <v>1860</v>
      </c>
      <c r="F90">
        <f>IF(Skills!N16=TRUE,(Skills!L16/10)*(E90/1000),Skills!L16/10)+Skills!O16</f>
        <v>279</v>
      </c>
      <c r="G90">
        <f>Calc!G16</f>
        <v>28</v>
      </c>
      <c r="H90">
        <f>Calc!H16</f>
        <v>1</v>
      </c>
      <c r="I90">
        <f>IF(Skills!X16&lt;&gt;"",1+(Skills!X16/10)*(R77/1000)/100,1)</f>
        <v>1</v>
      </c>
      <c r="J90">
        <f>((Inputs!$B$5*(1+Inputs!$B$6/100))+((Inputs!$B$11*(1+(Inputs!$B$12+1)/100))-(Inputs!$B$11*(1+Inputs!$B$12/100)))*(1+Inputs!$B$6/100))*(F90/100)</f>
        <v>697476860.18238246</v>
      </c>
      <c r="K90">
        <f>J90*(1+((Inputs!$B$11*(1+(Inputs!$B$12+1)/100))*0.01+Inputs!$B$13*0.0025)/100)*(1+Inputs!$B$14/100)*(1+IF(Inputs!$B$4="pvp",0,(1-Summary!$B$56)*(Inputs!$B$19+Skills!P16)+Summary!$B$56*(Inputs!$B$20+Skills!Q16))/100)*(1+Inputs!$B$15/100)*(5000/(6000+Inputs!$B$7*(1-Inputs!$B$18/100)))*(1+Inputs!$B$23/100)*(1+F97/100)*(1+IF(Inputs!$B$3&gt;=120,F100,0)/100)^5*(1+(IF(Skills!A16="BASIC_ATTACK",Inputs!$B$16,Inputs!$B$17+IF(Inputs!$B$3&gt;=125,F101*5,0)))/100)*(B104*B105*B106*I90)</f>
        <v>5321643934632.6748</v>
      </c>
      <c r="L90">
        <f>K90*(MIN(Inputs!$B$21+(F96-Calc!F22),Inputs!$B$22)/100+Inputs!$B$22/100)/2</f>
        <v>14365777801540.904</v>
      </c>
      <c r="M90">
        <f>L90*(1+(Inputs!$B$9+(F95-Calc!F21))/100)</f>
        <v>60206974766257.938</v>
      </c>
      <c r="N90">
        <f>L90*(1-MIN(Inputs!$B$8+(F94-Calc!F20),100)/100)+M90*(MIN(Inputs!$B$8+(F94-Calc!F20),100)/100)</f>
        <v>60206974766257.938</v>
      </c>
      <c r="O90">
        <f>IF(C90,H90*N90*IF(AND(Inputs!$B$4&lt;&gt;"pvp",Inputs!$B$35&gt;0),((Skills!G16*((S90-1)*IF(Skills!H16&gt;0,Skills!I16/Skills!H16,1)+IF(Skills!H16&gt;0,MIN(Skills!I16,MAX(0,Inputs!$B$35-((S90-1)*IF(Inputs!$B$4="pvp",15,MAX(0.1,Skills!E16-IF(Skills!F16=TRUE,Inputs!$B$31,0))))))/Skills!H16,1)))/Inputs!$B$35),G90*V90)*(1+IF(Inputs!$B$3&gt;=126,0.05*(B110+V87+(H88*B111)/(1+Skills!H14*H88*B111)+V98),0)*Skills!E15)*IF(Inputs!$B$4="pvp",1,(1-Summary!$B$56)*(1)+Summary!$B$56*(MIN(Skills!R16,Inputs!$B$37))),0)</f>
        <v>431563595124537</v>
      </c>
      <c r="P90">
        <f>IF(B113=0,0,O90/B113)</f>
        <v>5.1566922562300617E-2</v>
      </c>
      <c r="S90">
        <f>IF(AND(Inputs!$B$4&lt;&gt;"pvp",Inputs!$B$35&gt;0),(INT(Inputs!$B$35/IF(Inputs!$B$4="pvp",15,MAX(0.1,Skills!E16-IF(Skills!F16=TRUE,Inputs!$B$31,0))))+1),0)</f>
        <v>0</v>
      </c>
      <c r="V90">
        <f>IFERROR(1/IF(Inputs!$B$4="pvp",15,MAX(0.1,Skills!E16-IF(Skills!F16=TRUE,Inputs!$B$31,0))),0)</f>
        <v>0.04</v>
      </c>
    </row>
    <row r="91" spans="1:22" x14ac:dyDescent="0.2">
      <c r="A91" t="str">
        <f>Skills!A17</f>
        <v>MAGIC_GUARD</v>
      </c>
      <c r="B91" t="str">
        <f>Skills!B17</f>
        <v>Magic Guard</v>
      </c>
      <c r="C91" t="b">
        <f>TRUE</f>
        <v>1</v>
      </c>
      <c r="D91">
        <f>IF(Skills!C17=1,60+Inputs!$B$24+Inputs!$B$28,IF(Skills!C17=2,90+Inputs!$B$25+Inputs!$B$28,IF(Skills!C17=3,120+Inputs!$B$26+Inputs!$B$28,MAX(0,(Inputs!$B$3-100)*3)+Inputs!$B$27+Inputs!$B$28)))</f>
        <v>115</v>
      </c>
      <c r="E91">
        <f>INDEX(FactorTable!$B$2:$Y$301, MATCH(ROUND(MIN(300,MAX(1,D91)),0), FactorTable!$A$2:$A$301,0), Skills!M17+1)</f>
        <v>1460</v>
      </c>
      <c r="F91">
        <f>IF(Skills!N17=TRUE,(Skills!L17/10)*(E91/1000),Skills!L17/10)+Skills!O17</f>
        <v>17.52</v>
      </c>
      <c r="G91">
        <f>Calc!G17</f>
        <v>1</v>
      </c>
      <c r="H91">
        <f>Calc!H17</f>
        <v>1</v>
      </c>
      <c r="I91">
        <f>IF(Skills!X17&lt;&gt;"",1+(Skills!X17/10)*(R77/1000)/100,1)</f>
        <v>1</v>
      </c>
      <c r="O91">
        <v>0</v>
      </c>
      <c r="P91">
        <f>IF(B113=0,0,O91/B113)</f>
        <v>0</v>
      </c>
      <c r="S91">
        <f>IF(AND(Inputs!$B$4&lt;&gt;"pvp",Inputs!$B$35&gt;0),(INT(Inputs!$B$35/IF(Inputs!$B$4="pvp",15,MAX(0.1,Skills!E17-IF(Skills!F17=TRUE,Inputs!$B$31,0))))+1),0)</f>
        <v>0</v>
      </c>
      <c r="V91">
        <f>IFERROR(1/IF(Inputs!$B$4="pvp",15,MAX(0.1,Skills!E17-IF(Skills!F17=TRUE,Inputs!$B$31,0))),0)</f>
        <v>4.7619047619047616E-2</v>
      </c>
    </row>
    <row r="92" spans="1:22" x14ac:dyDescent="0.2">
      <c r="A92" t="str">
        <f>Skills!A18</f>
        <v>NIMBLE_FEET</v>
      </c>
      <c r="B92" t="str">
        <f>Skills!B18</f>
        <v>Nimble Feet</v>
      </c>
      <c r="C92" t="b">
        <f>TRUE</f>
        <v>1</v>
      </c>
      <c r="D92">
        <f>IF(Skills!C18=1,60+Inputs!$B$24+Inputs!$B$28,IF(Skills!C18=2,90+Inputs!$B$25+Inputs!$B$28,IF(Skills!C18=3,120+Inputs!$B$26+Inputs!$B$28,MAX(0,(Inputs!$B$3-100)*3)+Inputs!$B$27+Inputs!$B$28)))</f>
        <v>115</v>
      </c>
      <c r="E92">
        <f>INDEX(FactorTable!$B$2:$Y$301, MATCH(ROUND(MIN(300,MAX(1,D92)),0), FactorTable!$A$2:$A$301,0), Skills!M18+1)</f>
        <v>0</v>
      </c>
      <c r="F92">
        <f>IF(Skills!N18=TRUE,(Skills!L18/10)*(E92/1000),Skills!L18/10)+Skills!O18</f>
        <v>15</v>
      </c>
      <c r="G92">
        <f>Calc!G18</f>
        <v>1</v>
      </c>
      <c r="H92">
        <f>Calc!H18</f>
        <v>1</v>
      </c>
      <c r="I92">
        <f>IF(Skills!X18&lt;&gt;"",1+(Skills!X18/10)*(R77/1000)/100,1)</f>
        <v>1</v>
      </c>
      <c r="O92">
        <v>0</v>
      </c>
      <c r="P92">
        <f>IF(B113=0,0,O92/B113)</f>
        <v>0</v>
      </c>
      <c r="S92">
        <f>IF(AND(Inputs!$B$4&lt;&gt;"pvp",Inputs!$B$35&gt;0),(INT(Inputs!$B$35/IF(Inputs!$B$4="pvp",15,MAX(0.1,Skills!E18-IF(Skills!F18=TRUE,Inputs!$B$31,0))))+1),0)</f>
        <v>0</v>
      </c>
      <c r="V92">
        <f>IFERROR(1/IF(Inputs!$B$4="pvp",15,MAX(0.1,Skills!E18-IF(Skills!F18=TRUE,Inputs!$B$31,0))),0)</f>
        <v>1.6666666666666666E-2</v>
      </c>
    </row>
    <row r="93" spans="1:22" x14ac:dyDescent="0.2">
      <c r="A93" t="str">
        <f>Skills!A19</f>
        <v>INFINITY</v>
      </c>
      <c r="B93" t="str">
        <f>Skills!B19</f>
        <v>Infinity</v>
      </c>
      <c r="C93" t="b">
        <f>Inputs!$B$3&gt;=110</f>
        <v>1</v>
      </c>
      <c r="D93">
        <f>IF(Skills!C19=1,60+Inputs!$B$24+Inputs!$B$28,IF(Skills!C19=2,90+Inputs!$B$25+Inputs!$B$28,IF(Skills!C19=3,120+Inputs!$B$26+Inputs!$B$28,MAX(0,(Inputs!$B$3-100)*3)+Inputs!$B$27+Inputs!$B$28)))</f>
        <v>172</v>
      </c>
      <c r="E93">
        <f>INDEX(FactorTable!$B$2:$Y$301, MATCH(ROUND(MIN(300,MAX(1,D93)),0), FactorTable!$A$2:$A$301,0), Skills!M19+1)</f>
        <v>1688</v>
      </c>
      <c r="F93">
        <f>IF(Skills!N19=TRUE,(Skills!L19/10)*(E93/1000),Skills!L19/10)+Skills!O19</f>
        <v>36.573895999999998</v>
      </c>
      <c r="G93">
        <f>Calc!G19</f>
        <v>1</v>
      </c>
      <c r="H93">
        <f>Calc!H19</f>
        <v>1</v>
      </c>
      <c r="I93">
        <f>IF(Skills!X19&lt;&gt;"",1+(Skills!X19/10)*(R77/1000)/100,1)</f>
        <v>1</v>
      </c>
      <c r="O93">
        <v>0</v>
      </c>
      <c r="P93">
        <f>IF(B113=0,0,O93/B113)</f>
        <v>0</v>
      </c>
      <c r="S93">
        <f>IF(AND(Inputs!$B$4&lt;&gt;"pvp",Inputs!$B$35&gt;0),(INT(Inputs!$B$35/IF(Inputs!$B$4="pvp",15,MAX(0.1,Skills!E19-IF(Skills!F19=TRUE,Inputs!$B$31,0))))+1),0)</f>
        <v>0</v>
      </c>
      <c r="V93">
        <f>IFERROR(1/IF(Inputs!$B$4="pvp",15,MAX(0.1,Skills!E19-IF(Skills!F19=TRUE,Inputs!$B$31,0))),0)</f>
        <v>3.3333333333333333E-2</v>
      </c>
    </row>
    <row r="94" spans="1:22" x14ac:dyDescent="0.2">
      <c r="A94" t="str">
        <f>Skills!A20</f>
        <v>MAGIC_CRITICAL_RATE</v>
      </c>
      <c r="B94" t="str">
        <f>Skills!B20</f>
        <v>Magic Critical (Crit Rate)</v>
      </c>
      <c r="C94" t="b">
        <f>TRUE</f>
        <v>1</v>
      </c>
      <c r="D94">
        <f>IF(Skills!C20=1,60+Inputs!$B$24+Inputs!$B$28,IF(Skills!C20=2,90+Inputs!$B$25+Inputs!$B$28,IF(Skills!C20=3,120+Inputs!$B$26+Inputs!$B$28,MAX(0,(Inputs!$B$3-100)*3)+Inputs!$B$27+Inputs!$B$28)))</f>
        <v>184</v>
      </c>
      <c r="E94">
        <f>INDEX(FactorTable!$B$2:$Y$301, MATCH(ROUND(MIN(300,MAX(1,D94)),0), FactorTable!$A$2:$A$301,0), Skills!M20+1)</f>
        <v>1552</v>
      </c>
      <c r="F94">
        <f>IF(Skills!N20=TRUE,(Skills!L20/10)*(E94/1000),Skills!L20/10)+Skills!O20</f>
        <v>12.416</v>
      </c>
      <c r="G94">
        <f>Calc!G20</f>
        <v>1</v>
      </c>
      <c r="H94">
        <f>Calc!H20</f>
        <v>1</v>
      </c>
      <c r="I94">
        <f>IF(Skills!X20&lt;&gt;"",1+(Skills!X20/10)*(R77/1000)/100,1)</f>
        <v>1</v>
      </c>
      <c r="O94">
        <v>0</v>
      </c>
      <c r="P94">
        <f>IF(B113=0,0,O94/B113)</f>
        <v>0</v>
      </c>
      <c r="S94">
        <v>0</v>
      </c>
      <c r="V94">
        <f>IFERROR(1/IF(Inputs!$B$4="pvp",15,MAX(0.1,Skills!E20-IF(Skills!F20=TRUE,Inputs!$B$31,0))),0)</f>
        <v>10</v>
      </c>
    </row>
    <row r="95" spans="1:22" x14ac:dyDescent="0.2">
      <c r="A95" t="str">
        <f>Skills!A21</f>
        <v>MAGIC_CRITICAL_DAMAGE</v>
      </c>
      <c r="B95" t="str">
        <f>Skills!B21</f>
        <v>Magic Critical (Crit Damage)</v>
      </c>
      <c r="C95" t="b">
        <f>TRUE</f>
        <v>1</v>
      </c>
      <c r="D95">
        <f>IF(Skills!C21=1,60+Inputs!$B$24+Inputs!$B$28,IF(Skills!C21=2,90+Inputs!$B$25+Inputs!$B$28,IF(Skills!C21=3,120+Inputs!$B$26+Inputs!$B$28,MAX(0,(Inputs!$B$3-100)*3)+Inputs!$B$27+Inputs!$B$28)))</f>
        <v>184</v>
      </c>
      <c r="E95">
        <f>INDEX(FactorTable!$B$2:$Y$301, MATCH(ROUND(MIN(300,MAX(1,D95)),0), FactorTable!$A$2:$A$301,0), Skills!M21+1)</f>
        <v>1552</v>
      </c>
      <c r="F95">
        <f>IF(Skills!N21=TRUE,(Skills!L21/10)*(E95/1000),Skills!L21/10)+Skills!O21</f>
        <v>18.624000000000002</v>
      </c>
      <c r="G95">
        <f>Calc!G21</f>
        <v>1</v>
      </c>
      <c r="H95">
        <f>Calc!H21</f>
        <v>1</v>
      </c>
      <c r="I95">
        <f>IF(Skills!X21&lt;&gt;"",1+(Skills!X21/10)*(R77/1000)/100,1)</f>
        <v>1</v>
      </c>
      <c r="O95">
        <v>0</v>
      </c>
      <c r="P95">
        <f>IF(B113=0,0,O95/B113)</f>
        <v>0</v>
      </c>
      <c r="S95">
        <v>0</v>
      </c>
      <c r="V95">
        <f>IFERROR(1/IF(Inputs!$B$4="pvp",15,MAX(0.1,Skills!E21-IF(Skills!F21=TRUE,Inputs!$B$31,0))),0)</f>
        <v>10</v>
      </c>
    </row>
    <row r="96" spans="1:22" x14ac:dyDescent="0.2">
      <c r="A96" t="str">
        <f>Skills!A22</f>
        <v>SPELL_MASTERY</v>
      </c>
      <c r="B96" t="str">
        <f>Skills!B22</f>
        <v>Spell Mastery</v>
      </c>
      <c r="C96" t="b">
        <f>TRUE</f>
        <v>1</v>
      </c>
      <c r="D96">
        <f>IF(Skills!C22=1,60+Inputs!$B$24+Inputs!$B$28,IF(Skills!C22=2,90+Inputs!$B$25+Inputs!$B$28,IF(Skills!C22=3,120+Inputs!$B$26+Inputs!$B$28,MAX(0,(Inputs!$B$3-100)*3)+Inputs!$B$27+Inputs!$B$28)))</f>
        <v>164</v>
      </c>
      <c r="E96">
        <f>INDEX(FactorTable!$B$2:$Y$301, MATCH(ROUND(MIN(300,MAX(1,D96)),0), FactorTable!$A$2:$A$301,0), Skills!M22+1)</f>
        <v>1492</v>
      </c>
      <c r="F96">
        <f>IF(Skills!N22=TRUE,(Skills!L22/10)*(E96/1000),Skills!L22/10)+Skills!O22</f>
        <v>22.38</v>
      </c>
      <c r="G96">
        <f>Calc!G22</f>
        <v>1</v>
      </c>
      <c r="H96">
        <f>Calc!H22</f>
        <v>1</v>
      </c>
      <c r="I96">
        <f>IF(Skills!X22&lt;&gt;"",1+(Skills!X22/10)*(R77/1000)/100,1)</f>
        <v>1</v>
      </c>
      <c r="O96">
        <v>0</v>
      </c>
      <c r="P96">
        <f>IF(B113=0,0,O96/B113)</f>
        <v>0</v>
      </c>
      <c r="S96">
        <v>0</v>
      </c>
      <c r="V96">
        <f>IFERROR(1/IF(Inputs!$B$4="pvp",15,MAX(0.1,Skills!E22-IF(Skills!F22=TRUE,Inputs!$B$31,0))),0)</f>
        <v>10</v>
      </c>
    </row>
    <row r="97" spans="1:22" x14ac:dyDescent="0.2">
      <c r="A97" t="str">
        <f>Skills!A23</f>
        <v>ELEMENT_AMPLIFICATION</v>
      </c>
      <c r="B97" t="str">
        <f>Skills!B23</f>
        <v>Element Amplification</v>
      </c>
      <c r="C97" t="b">
        <f>TRUE</f>
        <v>1</v>
      </c>
      <c r="D97">
        <f>IF(Skills!C23=1,60+Inputs!$B$24+Inputs!$B$28,IF(Skills!C23=2,90+Inputs!$B$25+Inputs!$B$28,IF(Skills!C23=3,120+Inputs!$B$26+Inputs!$B$28,MAX(0,(Inputs!$B$3-100)*3)+Inputs!$B$27+Inputs!$B$28)))</f>
        <v>172</v>
      </c>
      <c r="E97">
        <f>INDEX(FactorTable!$B$2:$Y$301, MATCH(ROUND(MIN(300,MAX(1,D97)),0), FactorTable!$A$2:$A$301,0), Skills!M23+1)</f>
        <v>1516</v>
      </c>
      <c r="F97">
        <f>IF(Skills!N23=TRUE,(Skills!L23/10)*(E97/1000),Skills!L23/10)+Skills!O23</f>
        <v>22.740000000000002</v>
      </c>
      <c r="G97">
        <f>Calc!G23</f>
        <v>1</v>
      </c>
      <c r="H97">
        <f>Calc!H23</f>
        <v>1</v>
      </c>
      <c r="I97">
        <f>IF(Skills!X23&lt;&gt;"",1+(Skills!X23/10)*(R77/1000)/100,1)</f>
        <v>1</v>
      </c>
      <c r="O97">
        <v>0</v>
      </c>
      <c r="P97">
        <f>IF(B113=0,0,O97/B113)</f>
        <v>0</v>
      </c>
      <c r="S97">
        <v>0</v>
      </c>
      <c r="V97">
        <f>IFERROR(1/IF(Inputs!$B$4="pvp",15,MAX(0.1,Skills!E23-IF(Skills!F23=TRUE,Inputs!$B$31,0))),0)</f>
        <v>10</v>
      </c>
    </row>
    <row r="98" spans="1:22" x14ac:dyDescent="0.2">
      <c r="A98" t="str">
        <f>Skills!A24</f>
        <v>IFRIT</v>
      </c>
      <c r="B98" t="str">
        <f>Skills!B24</f>
        <v>Ifrit</v>
      </c>
      <c r="C98" t="b">
        <f>Inputs!$B$3&gt;=115</f>
        <v>0</v>
      </c>
      <c r="D98">
        <f>IF(Skills!C24=1,60+Inputs!$B$24+Inputs!$B$28,IF(Skills!C24=2,90+Inputs!$B$25+Inputs!$B$28,IF(Skills!C24=3,120+Inputs!$B$26+Inputs!$B$28,MAX(0,(Inputs!$B$3-100)*3)+Inputs!$B$27+Inputs!$B$28)))</f>
        <v>172</v>
      </c>
      <c r="E98">
        <f>INDEX(FactorTable!$B$2:$Y$301, MATCH(ROUND(MIN(300,MAX(1,D98)),0), FactorTable!$A$2:$A$301,0), Skills!M24+1)</f>
        <v>1860</v>
      </c>
      <c r="F98">
        <f>IF(Skills!N24=TRUE,(Skills!L24/10)*(E98/1000),Skills!L24/10)+Skills!O24</f>
        <v>6510</v>
      </c>
      <c r="G98">
        <f>Calc!G24</f>
        <v>7.5</v>
      </c>
      <c r="H98">
        <f>Calc!H24</f>
        <v>1</v>
      </c>
      <c r="I98">
        <f>IF(Skills!X24&lt;&gt;"",1+(Skills!X24/10)*(R77/1000)/100,1)</f>
        <v>1</v>
      </c>
      <c r="J98">
        <f>((Inputs!$B$5*(1+Inputs!$B$6/100))+((Inputs!$B$11*(1+(Inputs!$B$12+1)/100))-(Inputs!$B$11*(1+Inputs!$B$12/100)))*(1+Inputs!$B$6/100))*(F98/100)</f>
        <v>16274460070.922255</v>
      </c>
      <c r="K98">
        <f>J98*(1+((Inputs!$B$11*(1+(Inputs!$B$12+1)/100))*0.01+Inputs!$B$13*0.0025)/100)*(1+Inputs!$B$14/100)*(1+IF(Inputs!$B$4="pvp",0,(1-Summary!$B$56)*(Inputs!$B$19+Skills!P24)+Summary!$B$56*(Inputs!$B$20+Skills!Q24))/100)*(1+Inputs!$B$15/100)*(5000/(6000+Inputs!$B$7*(1-Inputs!$B$18/100)))*(1+Inputs!$B$23/100)*(1+F97/100)*(1+IF(Inputs!$B$3&gt;=120,F100,0)/100)^5*(1+(IF(Skills!A24="BASIC_ATTACK",Inputs!$B$16,Inputs!$B$17+IF(Inputs!$B$3&gt;=125,F101*5,0)))/100)*(B104*B105*B106*I98)</f>
        <v>124171691808095.73</v>
      </c>
      <c r="L98">
        <f>K98*(MIN(Inputs!$B$21+(F96-Calc!F22),Inputs!$B$22)/100+Inputs!$B$22/100)/2</f>
        <v>335201482035954.38</v>
      </c>
      <c r="M98">
        <f>L98*(1+(Inputs!$B$9+(F95-Calc!F21))/100)</f>
        <v>1404829411212685</v>
      </c>
      <c r="N98">
        <f>L98*(1-MIN(Inputs!$B$8+(F94-Calc!F20),100)/100)+M98*(MIN(Inputs!$B$8+(F94-Calc!F20),100)/100)</f>
        <v>1404829411212685</v>
      </c>
      <c r="O98">
        <f>IF(C98,H98*N98*IF(AND(Inputs!$B$4&lt;&gt;"pvp",Inputs!$B$35&gt;0),((Skills!G24*((S98-1)*IF(Skills!H24&gt;0,Skills!I24/Skills!H24,1)+IF(Skills!H24&gt;0,MIN(Skills!I24,MAX(0,Inputs!$B$35-((S98-1)*IF(Inputs!$B$4="pvp",15,MAX(0.1,Skills!E24-IF(Skills!F24=TRUE,Inputs!$B$31,0))))))/Skills!H24,1)))/Inputs!$B$35),G98*V98)*(1+IF(Inputs!$B$3&gt;=130,0.2*(Skills!I16/Skills!E15+IF(Inputs!$B$3&gt;=126,0.05*(B110+V87+(H88*B111)/(1+Skills!H14*H88*B111)+V98),0)*Skills!I16),0))*IF(Inputs!$B$4="pvp",1,(1-Summary!$B$56)*(1)+Summary!$B$56*(MIN(Skills!R24,Inputs!$B$37))),0)</f>
        <v>0</v>
      </c>
      <c r="P98">
        <f>IF(B113=0,0,O98/B113)</f>
        <v>0</v>
      </c>
      <c r="S98">
        <f>IF(AND(Inputs!$B$4&lt;&gt;"pvp",Inputs!$B$35&gt;0),(INT(Inputs!$B$35/IF(Inputs!$B$4="pvp",15,MAX(0.1,Skills!E24-IF(Skills!F24=TRUE,Inputs!$B$31,0))))+1),0)</f>
        <v>0</v>
      </c>
      <c r="V98">
        <f>IFERROR(1/IF(Inputs!$B$4="pvp",15,MAX(0.1,Skills!E24-IF(Skills!F24=TRUE,Inputs!$B$31,0))),0)</f>
        <v>1.2500000000000001E-2</v>
      </c>
    </row>
    <row r="99" spans="1:22" x14ac:dyDescent="0.2">
      <c r="A99" t="str">
        <f>Skills!A25</f>
        <v>BUFF_MASTERY</v>
      </c>
      <c r="B99" t="str">
        <f>Skills!B25</f>
        <v>Buff Mastery</v>
      </c>
      <c r="C99" t="b">
        <f>Inputs!$B$3&gt;=117</f>
        <v>0</v>
      </c>
      <c r="D99">
        <f>IF(Skills!C25=1,60+Inputs!$B$24+Inputs!$B$28,IF(Skills!C25=2,90+Inputs!$B$25+Inputs!$B$28,IF(Skills!C25=3,120+Inputs!$B$26+Inputs!$B$28,MAX(0,(Inputs!$B$3-100)*3)+Inputs!$B$27+Inputs!$B$28)))</f>
        <v>172</v>
      </c>
      <c r="E99">
        <f>INDEX(FactorTable!$B$2:$Y$301, MATCH(ROUND(MIN(300,MAX(1,D99)),0), FactorTable!$A$2:$A$301,0), Skills!M25+1)</f>
        <v>1516</v>
      </c>
      <c r="F99">
        <f>IF(Skills!N25=TRUE,(Skills!L25/10)*(E99/1000),Skills!L25/10)+Skills!O25</f>
        <v>15.16</v>
      </c>
      <c r="G99">
        <f>Calc!G25</f>
        <v>1</v>
      </c>
      <c r="H99">
        <f>Calc!H25</f>
        <v>1</v>
      </c>
      <c r="I99">
        <f>IF(Skills!X25&lt;&gt;"",1+(Skills!X25/10)*(R77/1000)/100,1)</f>
        <v>1</v>
      </c>
      <c r="O99">
        <v>0</v>
      </c>
      <c r="P99">
        <f>IF(B113=0,0,O99/B113)</f>
        <v>0</v>
      </c>
      <c r="S99">
        <v>0</v>
      </c>
      <c r="V99">
        <f>IFERROR(1/IF(Inputs!$B$4="pvp",15,MAX(0.1,Skills!E25-IF(Skills!F25=TRUE,Inputs!$B$31,0))),0)</f>
        <v>10</v>
      </c>
    </row>
    <row r="100" spans="1:22" x14ac:dyDescent="0.2">
      <c r="A100" t="str">
        <f>Skills!A26</f>
        <v>ARCANE_AIM</v>
      </c>
      <c r="B100" t="str">
        <f>Skills!B26</f>
        <v>Arcane Aim</v>
      </c>
      <c r="C100" t="b">
        <f>Inputs!$B$3&gt;=120</f>
        <v>0</v>
      </c>
      <c r="D100">
        <f>IF(Skills!C26=1,60+Inputs!$B$24+Inputs!$B$28,IF(Skills!C26=2,90+Inputs!$B$25+Inputs!$B$28,IF(Skills!C26=3,120+Inputs!$B$26+Inputs!$B$28,MAX(0,(Inputs!$B$3-100)*3)+Inputs!$B$27+Inputs!$B$28)))</f>
        <v>172</v>
      </c>
      <c r="E100">
        <f>INDEX(FactorTable!$B$2:$Y$301, MATCH(ROUND(MIN(300,MAX(1,D100)),0), FactorTable!$A$2:$A$301,0), Skills!M26+1)</f>
        <v>1516</v>
      </c>
      <c r="F100">
        <f>IF(Skills!N26=TRUE,(Skills!L26/10)*(E100/1000),Skills!L26/10)+Skills!O26</f>
        <v>4.548</v>
      </c>
      <c r="G100">
        <f>Calc!G26</f>
        <v>1</v>
      </c>
      <c r="H100">
        <f>Calc!H26</f>
        <v>1</v>
      </c>
      <c r="I100">
        <f>IF(Skills!X26&lt;&gt;"",1+(Skills!X26/10)*(R77/1000)/100,1)</f>
        <v>1</v>
      </c>
      <c r="O100">
        <v>0</v>
      </c>
      <c r="P100">
        <f>IF(B113=0,0,O100/B113)</f>
        <v>0</v>
      </c>
      <c r="S100">
        <v>0</v>
      </c>
      <c r="V100">
        <f>IFERROR(1/IF(Inputs!$B$4="pvp",15,MAX(0.1,Skills!E26-IF(Skills!F26=TRUE,Inputs!$B$31,0))),0)</f>
        <v>10</v>
      </c>
    </row>
    <row r="101" spans="1:22" x14ac:dyDescent="0.2">
      <c r="A101" t="str">
        <f>Skills!A27</f>
        <v>FERVENT_DRAIN</v>
      </c>
      <c r="B101" t="str">
        <f>Skills!B27</f>
        <v>Fervent Drain</v>
      </c>
      <c r="C101" t="b">
        <f>Inputs!$B$3&gt;=125</f>
        <v>0</v>
      </c>
      <c r="D101">
        <f>IF(Skills!C27=1,60+Inputs!$B$24+Inputs!$B$28,IF(Skills!C27=2,90+Inputs!$B$25+Inputs!$B$28,IF(Skills!C27=3,120+Inputs!$B$26+Inputs!$B$28,MAX(0,(Inputs!$B$3-100)*3)+Inputs!$B$27+Inputs!$B$28)))</f>
        <v>172</v>
      </c>
      <c r="E101">
        <f>INDEX(FactorTable!$B$2:$Y$301, MATCH(ROUND(MIN(300,MAX(1,D101)),0), FactorTable!$A$2:$A$301,0), Skills!M27+1)</f>
        <v>1516</v>
      </c>
      <c r="F101">
        <f>IF(Skills!N27=TRUE,(Skills!L27/10)*(E101/1000),Skills!L27/10)+Skills!O27</f>
        <v>6.0640000000000001</v>
      </c>
      <c r="G101">
        <f>Calc!G27</f>
        <v>1</v>
      </c>
      <c r="H101">
        <f>Calc!H27</f>
        <v>1</v>
      </c>
      <c r="I101">
        <f>IF(Skills!X27&lt;&gt;"",1+(Skills!X27/10)*(R77/1000)/100,1)</f>
        <v>1</v>
      </c>
      <c r="O101">
        <v>0</v>
      </c>
      <c r="P101">
        <f>IF(B113=0,0,O101/B113)</f>
        <v>0</v>
      </c>
      <c r="S101">
        <v>0</v>
      </c>
      <c r="V101">
        <f>IFERROR(1/IF(Inputs!$B$4="pvp",15,MAX(0.1,Skills!E27-IF(Skills!F27=TRUE,Inputs!$B$31,0))),0)</f>
        <v>10</v>
      </c>
    </row>
    <row r="102" spans="1:22" x14ac:dyDescent="0.2">
      <c r="A102" t="str">
        <f>Skills!A28</f>
        <v>FLAME_HAZE_FOG</v>
      </c>
      <c r="B102" t="str">
        <f>Skills!B28</f>
        <v>Flame Haze (poison fog DoT)</v>
      </c>
      <c r="C102" t="b">
        <f>Inputs!$B$3&gt;=118</f>
        <v>0</v>
      </c>
      <c r="D102">
        <f>IF(Skills!C28=1,60+Inputs!$B$24+Inputs!$B$28,IF(Skills!C28=2,90+Inputs!$B$25+Inputs!$B$28,IF(Skills!C28=3,120+Inputs!$B$26+Inputs!$B$28,MAX(0,(Inputs!$B$3-100)*3)+Inputs!$B$27+Inputs!$B$28)))</f>
        <v>172</v>
      </c>
      <c r="E102">
        <f>INDEX(FactorTable!$B$2:$Y$301, MATCH(ROUND(MIN(300,MAX(1,D102)),0), FactorTable!$A$2:$A$301,0), Skills!M28+1)</f>
        <v>1860</v>
      </c>
      <c r="F102">
        <f>IF(Skills!N28=TRUE,(Skills!L28/10)*(E102/1000),Skills!L28/10)+Skills!O28</f>
        <v>130.20000000000002</v>
      </c>
      <c r="G102">
        <f>Calc!G28</f>
        <v>50</v>
      </c>
      <c r="H102">
        <f>Calc!H28</f>
        <v>1</v>
      </c>
      <c r="I102">
        <f>IF(Skills!X28&lt;&gt;"",1+(Skills!X28/10)*(R77/1000)/100,1)</f>
        <v>1</v>
      </c>
      <c r="J102">
        <f>((Inputs!$B$5*(1+Inputs!$B$6/100))+((Inputs!$B$11*(1+(Inputs!$B$12+1)/100))-(Inputs!$B$11*(1+Inputs!$B$12/100)))*(1+Inputs!$B$6/100))*(F102/100)</f>
        <v>325489201.41844517</v>
      </c>
      <c r="K102">
        <f>J102*(1+((Inputs!$B$11*(1+(Inputs!$B$12+1)/100))*0.01+Inputs!$B$13*0.0025)/100)*(1+Inputs!$B$14/100)*(1+IF(Inputs!$B$4="pvp",0,(1-Summary!$B$56)*(Inputs!$B$19+Skills!P28)+Summary!$B$56*(Inputs!$B$20+Skills!Q28))/100)*(1+Inputs!$B$15/100)*(5000/(6000+Inputs!$B$7*(1-Inputs!$B$18/100)))*(1+Inputs!$B$23/100)*(1+F97/100)*(1+IF(Inputs!$B$3&gt;=120,F100,0)/100)^5*(1+(IF(Skills!A28="BASIC_ATTACK",Inputs!$B$16,Inputs!$B$17+IF(Inputs!$B$3&gt;=125,F101*5,0)))/100)*(B104*B105*B106*I102)</f>
        <v>2483433836161.915</v>
      </c>
      <c r="L102">
        <f>K102*(MIN(Inputs!$B$21+(F96-Calc!F22),Inputs!$B$22)/100+Inputs!$B$22/100)/2</f>
        <v>6704029640719.0889</v>
      </c>
      <c r="M102">
        <f>L102*(1+(Inputs!$B$9+(F95-Calc!F21))/100)</f>
        <v>28096588224253.707</v>
      </c>
      <c r="N102">
        <f>L102*(1-MIN(Inputs!$B$8+(F94-Calc!F20),100)/100)+M102*(MIN(Inputs!$B$8+(F94-Calc!F20),100)/100)</f>
        <v>28096588224253.707</v>
      </c>
      <c r="O102">
        <f>IF(C102,H102*N102*IF(AND(Inputs!$B$4&lt;&gt;"pvp",Inputs!$B$35&gt;0),((Skills!G28*((S102-1)*IF(Skills!H28&gt;0,Skills!I28/Skills!H28,1)+IF(Skills!H28&gt;0,MIN(Skills!I28,MAX(0,Inputs!$B$35-((S102-1)*IF(Inputs!$B$4="pvp",15,MAX(0.1,Skills!E28-IF(Skills!F28=TRUE,Inputs!$B$31,0))))))/Skills!H28,1)))/Inputs!$B$35),G102*V102)*IF(Inputs!$B$4="pvp",1,(1-Summary!$B$56)*(1)+Summary!$B$56*(MIN(Skills!R28,Inputs!$B$37))),0)</f>
        <v>0</v>
      </c>
      <c r="P102">
        <f>IF(B113=0,0,O102/B113)</f>
        <v>0</v>
      </c>
      <c r="S102">
        <f>IF(AND(Inputs!$B$4&lt;&gt;"pvp",Inputs!$B$35&gt;0),(INT(Inputs!$B$35/IF(Inputs!$B$4="pvp",15,MAX(0.1,Skills!E28-IF(Skills!F28=TRUE,Inputs!$B$31,0))))+1),0)</f>
        <v>0</v>
      </c>
      <c r="V102">
        <f>IFERROR(1/IF(Inputs!$B$4="pvp",15,MAX(0.1,Skills!E28-IF(Skills!F28=TRUE,Inputs!$B$31,0))),0)</f>
        <v>0.04</v>
      </c>
    </row>
    <row r="104" spans="1:22" x14ac:dyDescent="0.2">
      <c r="A104" t="s">
        <v>222</v>
      </c>
      <c r="B104">
        <f>1+(F85*Skills!Z11)/100</f>
        <v>1.25</v>
      </c>
    </row>
    <row r="105" spans="1:22" x14ac:dyDescent="0.2">
      <c r="A105" t="s">
        <v>223</v>
      </c>
      <c r="B105">
        <f>1+F86/100</f>
        <v>1.18624</v>
      </c>
    </row>
    <row r="106" spans="1:22" x14ac:dyDescent="0.2">
      <c r="A106" t="s">
        <v>224</v>
      </c>
      <c r="B106">
        <f>(1+(F80*IF(AND(Inputs!$B$4&lt;&gt;"pvp",Inputs!$B$35&gt;0),(((S80-1)*(Skills!T6*(1+(Inputs!$B$33+IF(Inputs!$B$3&gt;=117,F99,0))/100))+MIN((Skills!T6*(1+(Inputs!$B$33+IF(Inputs!$B$3&gt;=117,F99,0))/100)),MAX(0,Inputs!$B$35-((S80-1)*Skills!E6))))/Inputs!$B$35),IF(Inputs!$B$4="pvp",MIN((Skills!T6*(1+(Inputs!$B$33+IF(Inputs!$B$3&gt;=117,F99,0))/100)),15)/15,(Skills!T6*(1+(Inputs!$B$33+IF(Inputs!$B$3&gt;=117,F99,0))/100))/Skills!E6))+F91*IF(AND(Inputs!$B$4&lt;&gt;"pvp",Inputs!$B$35&gt;0),(((S91-1)*(Skills!T17*(1+(Inputs!$B$33+IF(Inputs!$B$3&gt;=117,F99,0))/100))+MIN((Skills!T17*(1+(Inputs!$B$33+IF(Inputs!$B$3&gt;=117,F99,0))/100)),MAX(0,Inputs!$B$35-((S91-1)*Skills!E17))))/Inputs!$B$35),IF(Inputs!$B$4="pvp",MIN((Skills!T17*(1+(Inputs!$B$33+IF(Inputs!$B$3&gt;=117,F99,0))/100)),15)/15,(Skills!T17*(1+(Inputs!$B$33+IF(Inputs!$B$3&gt;=117,F99,0))/100))/Skills!E17)))/100)*IF(C93=TRUE,(1+F93*IF(AND(Inputs!$B$4&lt;&gt;"pvp",Inputs!$B$35&gt;0),(((S93-1)*(Skills!T19*(1+(Inputs!$B$33+IF(Inputs!$B$3&gt;=117,F99,0))/100))+MIN((Skills!T19*(1+(Inputs!$B$33+IF(Inputs!$B$3&gt;=117,F99,0))/100)),MAX(0,Inputs!$B$35-((S93-1)*Skills!E19))))/Inputs!$B$35),IF(Inputs!$B$4="pvp",MIN((Skills!T19*(1+(Inputs!$B$33+IF(Inputs!$B$3&gt;=117,F99,0))/100)),15)/15,(Skills!T19*(1+(Inputs!$B$33+IF(Inputs!$B$3&gt;=117,F99,0))/100))/Skills!E19))/100),1)</f>
        <v>1.5603265106950857</v>
      </c>
    </row>
    <row r="107" spans="1:22" x14ac:dyDescent="0.2">
      <c r="A107" t="s">
        <v>225</v>
      </c>
      <c r="B107">
        <f>F92*IF(AND(Inputs!$B$4&lt;&gt;"pvp",Inputs!$B$35&gt;0),(((S92-1)*(Skills!T18*(1+(Inputs!$B$33+IF(Inputs!$B$3&gt;=117,F99,0))/100))+MIN((Skills!T18*(1+(Inputs!$B$33+IF(Inputs!$B$3&gt;=117,F99,0))/100)),MAX(0,Inputs!$B$35-((S92-1)*Skills!E18))))/Inputs!$B$35),IF(Inputs!$B$4="pvp",MIN((Skills!T18*(1+(Inputs!$B$33+IF(Inputs!$B$3&gt;=117,F99,0))/100)),15)/15,(Skills!T18*(1+(Inputs!$B$33+IF(Inputs!$B$3&gt;=117,F99,0))/100))/Skills!E18))</f>
        <v>3.75</v>
      </c>
    </row>
    <row r="108" spans="1:22" x14ac:dyDescent="0.2">
      <c r="A108" t="s">
        <v>253</v>
      </c>
      <c r="B108">
        <f>1+MIN(150,150*(1-(1-Inputs!$B$10/150)*(1-B107/150)))/100</f>
        <v>1.6371249999999999</v>
      </c>
    </row>
    <row r="109" spans="1:22" x14ac:dyDescent="0.2">
      <c r="A109" t="s">
        <v>254</v>
      </c>
      <c r="B109">
        <f>IF(AND(Inputs!$B$4&lt;&gt;"pvp",Inputs!$B$35&gt;0),SUMPRODUCT((Skills!F2:F28=TRUE)*(C76:C102=TRUE)*S76:S102)/Inputs!$B$35,SUMPRODUCT((Skills!F2:F28=TRUE)*(C76:C102=TRUE)*V76:V102))</f>
        <v>0.33466433037861604</v>
      </c>
    </row>
    <row r="110" spans="1:22" x14ac:dyDescent="0.2">
      <c r="A110" t="s">
        <v>228</v>
      </c>
      <c r="B110">
        <f>MAX(0,B108-B109)</f>
        <v>1.3024606696213838</v>
      </c>
    </row>
    <row r="111" spans="1:22" x14ac:dyDescent="0.2">
      <c r="A111" t="s">
        <v>255</v>
      </c>
      <c r="B111">
        <f>IF(AND(Inputs!$B$4&lt;&gt;"pvp",Inputs!$B$35&gt;0),SUMPRODUCT((Skills!V2:V28=TRUE)*(C76:C102=TRUE)*S76:S102*Skills!W2:W28)/Inputs!$B$35,SUMPRODUCT((Skills!V2:V28=TRUE)*(C76:C102=TRUE)*V76:V102*Skills!W2:W28))+B110</f>
        <v>1.5297416426166426</v>
      </c>
    </row>
    <row r="113" spans="1:22" x14ac:dyDescent="0.2">
      <c r="A113" s="5" t="s">
        <v>208</v>
      </c>
      <c r="B113" s="5">
        <f>SUM(O76:O102)</f>
        <v>8369000391736449</v>
      </c>
    </row>
    <row r="116" spans="1:22" x14ac:dyDescent="0.2">
      <c r="A116" s="5" t="s">
        <v>257</v>
      </c>
    </row>
    <row r="117" spans="1:22" x14ac:dyDescent="0.2">
      <c r="A117" s="8" t="s">
        <v>74</v>
      </c>
      <c r="B117" s="8" t="s">
        <v>75</v>
      </c>
      <c r="C117" s="8" t="s">
        <v>190</v>
      </c>
      <c r="D117" s="8" t="s">
        <v>191</v>
      </c>
      <c r="E117" s="8" t="s">
        <v>192</v>
      </c>
      <c r="F117" s="8" t="s">
        <v>193</v>
      </c>
      <c r="G117" s="8" t="s">
        <v>194</v>
      </c>
      <c r="H117" s="8" t="s">
        <v>195</v>
      </c>
      <c r="I117" s="8" t="s">
        <v>196</v>
      </c>
      <c r="J117" s="8" t="s">
        <v>197</v>
      </c>
      <c r="K117" s="8" t="s">
        <v>198</v>
      </c>
      <c r="L117" s="8" t="s">
        <v>199</v>
      </c>
      <c r="M117" s="8" t="s">
        <v>200</v>
      </c>
      <c r="N117" s="8" t="s">
        <v>201</v>
      </c>
      <c r="O117" s="8" t="s">
        <v>202</v>
      </c>
      <c r="P117" s="8" t="s">
        <v>203</v>
      </c>
      <c r="R117" t="s">
        <v>252</v>
      </c>
    </row>
    <row r="118" spans="1:22" x14ac:dyDescent="0.2">
      <c r="A118" t="str">
        <f>Skills!A2</f>
        <v>BASIC_ATTACK</v>
      </c>
      <c r="B118" t="str">
        <f>Skills!B2</f>
        <v>Basic Attack</v>
      </c>
      <c r="C118" t="b">
        <f>TRUE</f>
        <v>1</v>
      </c>
      <c r="F118">
        <f>T120+Skills!O2</f>
        <v>510.52</v>
      </c>
      <c r="G118">
        <f>Calc!G2</f>
        <v>5</v>
      </c>
      <c r="H118">
        <f>Calc!H2</f>
        <v>1</v>
      </c>
      <c r="I118">
        <f>IF(Skills!X2&lt;&gt;"",1+(Skills!X2/10)*(R119/1000)/100,1)</f>
        <v>1</v>
      </c>
      <c r="J118">
        <f>((Inputs!$B$5*(1+Inputs!$B$6/100))+((Inputs!$B$11*(1+Inputs!$B$12/100))-(Inputs!$B$11*(1+Inputs!$B$12/100)))*(1+Inputs!$B$6/100))*(F118/100)</f>
        <v>1275437334.1678655</v>
      </c>
      <c r="K118">
        <f>J118*(1+((Inputs!$B$11*(1+Inputs!$B$12/100))*0.01+Inputs!$B$13*0.0025)/100)*(1+(Inputs!$B$14+1)/100)*(1+IF(Inputs!$B$4="pvp",0,(1-Summary!$B$56)*(Inputs!$B$19+Skills!P2)+Summary!$B$56*(Inputs!$B$20+Skills!Q2))/100)*(1+Inputs!$B$15/100)*(5000/(6000+Inputs!$B$7*(1-Inputs!$B$18/100)))*(1+Inputs!$B$23/100)*(1+F139/100)*(1+IF(Inputs!$B$3&gt;=120,F142,0)/100)^5*(1+(IF(Skills!A2="BASIC_ATTACK",Inputs!$B$16,Inputs!$B$17+IF(Inputs!$B$3&gt;=125,F143*5,0)))/100)*(B146*B147*B148*I118)</f>
        <v>6967717341648.6797</v>
      </c>
      <c r="L118">
        <f>K118*(MIN(Inputs!$B$21+(F138-Calc!F22),Inputs!$B$22)/100+Inputs!$B$22/100)/2</f>
        <v>18809352963780.609</v>
      </c>
      <c r="M118">
        <f>L118*(1+(Inputs!$B$9+(F137-Calc!F21))/100)</f>
        <v>78829998271204.547</v>
      </c>
      <c r="N118">
        <f>L118*(1-MIN(Inputs!$B$8+(F136-Calc!F20),100)/100)+M118*(MIN(Inputs!$B$8+(F136-Calc!F20),100)/100)</f>
        <v>78829998271204.547</v>
      </c>
      <c r="O118">
        <f>Skills!G2*N118*B152*IF(Inputs!$B$4="pvp",1,(1-Summary!$B$56)*(1)+Summary!$B$56*(MIN((6+Inputs!$B$32+IF(Inputs!$B$3&gt;=136,1,0)),Inputs!$B$37)))</f>
        <v>3901572948713493</v>
      </c>
      <c r="P118">
        <f>IF(B155=0,0,O118/B155)</f>
        <v>0.46738363090508694</v>
      </c>
      <c r="R118">
        <f>MAX(0,(Inputs!$B$3-100)*3)+Inputs!$B$27+Inputs!$B$28</f>
        <v>172</v>
      </c>
      <c r="S118">
        <v>0</v>
      </c>
      <c r="T118">
        <f>MAX(0,(Inputs!$B$3-100)*3)+Inputs!$B$27+Inputs!$B$28</f>
        <v>172</v>
      </c>
      <c r="V118">
        <f>IFERROR(1/IF(Inputs!$B$4="pvp",15,MAX(0.1,Skills!E2-IF(Skills!F2=TRUE,Inputs!$B$31,0))),0)</f>
        <v>10</v>
      </c>
    </row>
    <row r="119" spans="1:22" x14ac:dyDescent="0.2">
      <c r="A119" t="str">
        <f>Skills!A3</f>
        <v>IGNITE</v>
      </c>
      <c r="B119" t="str">
        <f>Skills!B3</f>
        <v>Ignite</v>
      </c>
      <c r="C119" t="b">
        <f>TRUE</f>
        <v>1</v>
      </c>
      <c r="D119">
        <f>IF(Skills!C3=1,60+Inputs!$B$24+Inputs!$B$28,IF(Skills!C3=2,90+Inputs!$B$25+Inputs!$B$28,IF(Skills!C3=3,120+Inputs!$B$26+Inputs!$B$28,MAX(0,(Inputs!$B$3-100)*3)+Inputs!$B$27+Inputs!$B$28)))</f>
        <v>164</v>
      </c>
      <c r="E119">
        <f>INDEX(FactorTable!$B$2:$Y$301, MATCH(ROUND(MIN(300,MAX(1,D119)),0), FactorTable!$A$2:$A$301,0), Skills!M3+1)</f>
        <v>1656</v>
      </c>
      <c r="F119">
        <f>IF(Skills!N3=TRUE,(Skills!L3/10)*(E119/1000),Skills!L3/10)+Skills!O3</f>
        <v>121.52799999999999</v>
      </c>
      <c r="G119">
        <f>Calc!G3</f>
        <v>3</v>
      </c>
      <c r="H119">
        <f>Calc!H3</f>
        <v>1</v>
      </c>
      <c r="I119">
        <f>IF(Skills!X3&lt;&gt;"",1+(Skills!X3/10)*(R119/1000)/100,1)</f>
        <v>4.76</v>
      </c>
      <c r="J119">
        <f>((Inputs!$B$5*(1+Inputs!$B$6/100))+((Inputs!$B$11*(1+Inputs!$B$12/100))-(Inputs!$B$11*(1+Inputs!$B$12/100)))*(1+Inputs!$B$6/100))*(F119/100)</f>
        <v>303614644.57171583</v>
      </c>
      <c r="K119">
        <f>J119*(1+((Inputs!$B$11*(1+Inputs!$B$12/100))*0.01+Inputs!$B$13*0.0025)/100)*(1+(Inputs!$B$14+1)/100)*(1+IF(Inputs!$B$4="pvp",0,(1-Summary!$B$56)*(Inputs!$B$19+Skills!P3)+Summary!$B$56*(Inputs!$B$20+Skills!Q3))/100)*(1+Inputs!$B$15/100)*(5000/(6000+Inputs!$B$7*(1-Inputs!$B$18/100)))*(1+Inputs!$B$23/100)*(1+F139/100)*(1+IF(Inputs!$B$3&gt;=120,F142,0)/100)^5*(1+(IF(Skills!A3="BASIC_ATTACK",Inputs!$B$16,Inputs!$B$17+IF(Inputs!$B$3&gt;=125,F143*5,0)))/100)*(B146*B147*B148*I119)</f>
        <v>11005697161039.795</v>
      </c>
      <c r="L119">
        <f>K119*(MIN(Inputs!$B$21+(F138-Calc!F22),Inputs!$B$22)/100+Inputs!$B$22/100)/2</f>
        <v>29709879486226.922</v>
      </c>
      <c r="M119">
        <f>L119*(1+(Inputs!$B$9+(F137-Calc!F21))/100)</f>
        <v>124514104926777.05</v>
      </c>
      <c r="N119">
        <f>L119*(1-MIN(Inputs!$B$8+(F136-Calc!F20),100)/100)+M119*(MIN(Inputs!$B$8+(F136-Calc!F20),100)/100)</f>
        <v>124514104926777.05</v>
      </c>
      <c r="O119">
        <f>IF(C119,H119*N119*IF(AND(Inputs!$B$4&lt;&gt;"pvp",Inputs!$B$35&gt;0),((Skills!G3*((S119-1)*IF(Skills!H3&gt;0,Skills!I3/Skills!H3,1)+IF(Skills!H3&gt;0,MIN(Skills!I3,MAX(0,Inputs!$B$35-((S119-1)*IF(Inputs!$B$4="pvp",15,MAX(0.1,Skills!E3-IF(Skills!F3=TRUE,Inputs!$B$31,0))))))/Skills!H3,1)))/Inputs!$B$35),G119*V119)*IF(Inputs!$B$4="pvp",1,(1-Summary!$B$56)*(1)+Summary!$B$56*(MIN(Skills!R3,Inputs!$B$37))),0)</f>
        <v>821793092516728.38</v>
      </c>
      <c r="P119">
        <f>IF(B155=0,0,O119/B155)</f>
        <v>9.844558707016858E-2</v>
      </c>
      <c r="R119">
        <f>INDEX(FactorTable!$B$2:$Y$301, MATCH(ROUND(MIN(300,MAX(1,R118)),0), FactorTable!$A$2:$A$301,0), 24)</f>
        <v>7520</v>
      </c>
      <c r="S119">
        <f>IF(AND(Inputs!$B$4&lt;&gt;"pvp",Inputs!$B$35&gt;0),(INT(Inputs!$B$35/IF(Inputs!$B$4="pvp",15,MAX(0.1,Skills!E3-IF(Skills!F3=TRUE,Inputs!$B$31,0))))+1),0)</f>
        <v>0</v>
      </c>
      <c r="T119">
        <f>INDEX(FactorTable!$B$2:$Y$301, MATCH(ROUND(MIN(300,MAX(1,T118)),0), FactorTable!$A$2:$A$301,0), 22)</f>
        <v>1688</v>
      </c>
      <c r="V119">
        <f>IFERROR(1/IF(Inputs!$B$4="pvp",15,MAX(0.1,Skills!E3-IF(Skills!F3=TRUE,Inputs!$B$31,0))),0)</f>
        <v>1</v>
      </c>
    </row>
    <row r="120" spans="1:22" x14ac:dyDescent="0.2">
      <c r="A120" t="str">
        <f>Skills!A4</f>
        <v>POISON_BREATH</v>
      </c>
      <c r="B120" t="str">
        <f>Skills!B4</f>
        <v>Poison Breath</v>
      </c>
      <c r="C120" t="b">
        <f>TRUE</f>
        <v>1</v>
      </c>
      <c r="D120">
        <f>IF(Skills!C4=1,60+Inputs!$B$24+Inputs!$B$28,IF(Skills!C4=2,90+Inputs!$B$25+Inputs!$B$28,IF(Skills!C4=3,120+Inputs!$B$26+Inputs!$B$28,MAX(0,(Inputs!$B$3-100)*3)+Inputs!$B$27+Inputs!$B$28)))</f>
        <v>164</v>
      </c>
      <c r="E120">
        <f>INDEX(FactorTable!$B$2:$Y$301, MATCH(ROUND(MIN(300,MAX(1,D120)),0), FactorTable!$A$2:$A$301,0), Skills!M4+1)</f>
        <v>1820</v>
      </c>
      <c r="F120">
        <f>IF(Skills!N4=TRUE,(Skills!L4/10)*(E120/1000),Skills!L4/10)+Skills!O4</f>
        <v>434</v>
      </c>
      <c r="G120">
        <f>Calc!G4</f>
        <v>3</v>
      </c>
      <c r="H120">
        <f>Calc!H4</f>
        <v>1</v>
      </c>
      <c r="I120">
        <f>IF(Skills!X4&lt;&gt;"",1+(Skills!X4/10)*(R119/1000)/100,1)</f>
        <v>7.0159999999999991</v>
      </c>
      <c r="J120">
        <f>((Inputs!$B$5*(1+Inputs!$B$6/100))+((Inputs!$B$11*(1+Inputs!$B$12/100))-(Inputs!$B$11*(1+Inputs!$B$12/100)))*(1+Inputs!$B$6/100))*(F120/100)</f>
        <v>1084266636.0355198</v>
      </c>
      <c r="K120">
        <f>J120*(1+((Inputs!$B$11*(1+Inputs!$B$12/100))*0.01+Inputs!$B$13*0.0025)/100)*(1+(Inputs!$B$14+1)/100)*(1+IF(Inputs!$B$4="pvp",0,(1-Summary!$B$56)*(Inputs!$B$19+Skills!P4)+Summary!$B$56*(Inputs!$B$20+Skills!Q4))/100)*(1+Inputs!$B$15/100)*(5000/(6000+Inputs!$B$7*(1-Inputs!$B$18/100)))*(1+Inputs!$B$23/100)*(1+F139/100)*(1+IF(Inputs!$B$3&gt;=120,F142,0)/100)^5*(1+(IF(Skills!A4="BASIC_ATTACK",Inputs!$B$16,Inputs!$B$17+IF(Inputs!$B$3&gt;=125,F143*5,0)))/100)*(B146*B147*B148*I120)</f>
        <v>57931338741048.078</v>
      </c>
      <c r="L120">
        <f>K120*(MIN(Inputs!$B$21+(F138-Calc!F22),Inputs!$B$22)/100+Inputs!$B$22/100)/2</f>
        <v>156385648931459.25</v>
      </c>
      <c r="M120">
        <f>L120*(1+(Inputs!$B$9+(F137-Calc!F21))/100)</f>
        <v>655412254671745.88</v>
      </c>
      <c r="N120">
        <f>L120*(1-MIN(Inputs!$B$8+(F136-Calc!F20),100)/100)+M120*(MIN(Inputs!$B$8+(F136-Calc!F20),100)/100)</f>
        <v>655412254671745.88</v>
      </c>
      <c r="O120">
        <f>IF(C120,H120*N120*IF(AND(Inputs!$B$4&lt;&gt;"pvp",Inputs!$B$35&gt;0),((Skills!G4*((S120-1)*IF(Skills!H4&gt;0,Skills!I4/Skills!H4,1)+IF(Skills!H4&gt;0,MIN(Skills!I4,MAX(0,Inputs!$B$35-((S120-1)*IF(Inputs!$B$4="pvp",15,MAX(0.1,Skills!E4-IF(Skills!F4=TRUE,Inputs!$B$31,0))))))/Skills!H4,1)))/Inputs!$B$35),G120*V120)*IF(Inputs!$B$4="pvp",1,(1-Summary!$B$56)*(1)+Summary!$B$56*(MIN(Skills!R4,Inputs!$B$37))),0)</f>
        <v>436941503114497.19</v>
      </c>
      <c r="P120">
        <f>IF(B155=0,0,O120/B155)</f>
        <v>5.2342813758261122E-2</v>
      </c>
      <c r="S120">
        <f>IF(AND(Inputs!$B$4&lt;&gt;"pvp",Inputs!$B$35&gt;0),(INT(Inputs!$B$35/IF(Inputs!$B$4="pvp",15,MAX(0.1,Skills!E4-IF(Skills!F4=TRUE,Inputs!$B$31,0))))+1),0)</f>
        <v>0</v>
      </c>
      <c r="T120">
        <f>290*T119/1000</f>
        <v>489.52</v>
      </c>
      <c r="V120">
        <f>IFERROR(1/IF(Inputs!$B$4="pvp",15,MAX(0.1,Skills!E4-IF(Skills!F4=TRUE,Inputs!$B$31,0))),0)</f>
        <v>5.5555555555555552E-2</v>
      </c>
    </row>
    <row r="121" spans="1:22" x14ac:dyDescent="0.2">
      <c r="A121" t="str">
        <f>Skills!A5</f>
        <v>ELEMENTAL_DRAIN</v>
      </c>
      <c r="B121" t="str">
        <f>Skills!B5</f>
        <v>Elemental Drain</v>
      </c>
      <c r="C121" t="b">
        <f>TRUE</f>
        <v>1</v>
      </c>
      <c r="D121">
        <f>IF(Skills!C5=1,60+Inputs!$B$24+Inputs!$B$28,IF(Skills!C5=2,90+Inputs!$B$25+Inputs!$B$28,IF(Skills!C5=3,120+Inputs!$B$26+Inputs!$B$28,MAX(0,(Inputs!$B$3-100)*3)+Inputs!$B$27+Inputs!$B$28)))</f>
        <v>164</v>
      </c>
      <c r="E121">
        <f>INDEX(FactorTable!$B$2:$Y$301, MATCH(ROUND(MIN(300,MAX(1,D121)),0), FactorTable!$A$2:$A$301,0), Skills!M5+1)</f>
        <v>1656</v>
      </c>
      <c r="F121">
        <f>IF(Skills!N5=TRUE,(Skills!L5/10)*(E121/1000),Skills!L5/10)+Skills!O5</f>
        <v>19.872</v>
      </c>
      <c r="G121">
        <f>Calc!G5</f>
        <v>5</v>
      </c>
      <c r="H121">
        <f>Calc!H5</f>
        <v>1</v>
      </c>
      <c r="I121">
        <f>IF(Skills!X5&lt;&gt;"",1+(Skills!X5/10)*(R119/1000)/100,1)</f>
        <v>12.28</v>
      </c>
      <c r="J121">
        <f>((Inputs!$B$5*(1+Inputs!$B$6/100))+((Inputs!$B$11*(1+Inputs!$B$12/100))-(Inputs!$B$11*(1+Inputs!$B$12/100)))*(1+Inputs!$B$6/100))*(F121/100)</f>
        <v>49646420.717276163</v>
      </c>
      <c r="K121">
        <f>J121*(1+((Inputs!$B$11*(1+Inputs!$B$12/100))*0.01+Inputs!$B$13*0.0025)/100)*(1+(Inputs!$B$14+1)/100)*(1+IF(Inputs!$B$4="pvp",0,(1-Summary!$B$56)*(Inputs!$B$19+Skills!P5)+Summary!$B$56*(Inputs!$B$20+Skills!Q5))/100)*(1+Inputs!$B$15/100)*(5000/(6000+Inputs!$B$7*(1-Inputs!$B$18/100)))*(1+Inputs!$B$23/100)*(1+F139/100)*(1+IF(Inputs!$B$3&gt;=120,F142,0)/100)^5*(1+(IF(Skills!A5="BASIC_ATTACK",Inputs!$B$16,Inputs!$B$17+IF(Inputs!$B$3&gt;=125,F143*5,0)))/100)*(B146*B147*B148*I121)</f>
        <v>4642738257030.2393</v>
      </c>
      <c r="L121">
        <f>K121*(MIN(Inputs!$B$21+(F138-Calc!F22),Inputs!$B$22)/100+Inputs!$B$22/100)/2</f>
        <v>12533071924853.129</v>
      </c>
      <c r="M121">
        <f>L121*(1+(Inputs!$B$9+(F137-Calc!F21))/100)</f>
        <v>52526104437059.469</v>
      </c>
      <c r="N121">
        <f>L121*(1-MIN(Inputs!$B$8+(F136-Calc!F20),100)/100)+M121*(MIN(Inputs!$B$8+(F136-Calc!F20),100)/100)</f>
        <v>52526104437059.469</v>
      </c>
      <c r="O121">
        <f>IF(C121,H121*N121*IF(AND(Inputs!$B$4&lt;&gt;"pvp",Inputs!$B$35&gt;0),((Skills!G5*((S121-1)*IF(Skills!H5&gt;0,Skills!I5/Skills!H5,1)+IF(Skills!H5&gt;0,MIN(Skills!I5,MAX(0,Inputs!$B$35-((S121-1)*IF(Inputs!$B$4="pvp",15,MAX(0.1,Skills!E5-IF(Skills!F5=TRUE,Inputs!$B$31,0))))))/Skills!H5,1)))/Inputs!$B$35),G121*V121)*IF(Inputs!$B$4="pvp",1,(1-Summary!$B$56)*(1)+Summary!$B$56*(MIN(Skills!R5,Inputs!$B$37))),0)</f>
        <v>262630522185297.34</v>
      </c>
      <c r="P121">
        <f>IF(B155=0,0,O121/B155)</f>
        <v>3.146146660821468E-2</v>
      </c>
      <c r="S121">
        <f>IF(AND(Inputs!$B$4&lt;&gt;"pvp",Inputs!$B$35&gt;0),(INT(Inputs!$B$35/IF(Inputs!$B$4="pvp",15,MAX(0.1,Skills!E5-IF(Skills!F5=TRUE,Inputs!$B$31,0))))+1),0)</f>
        <v>0</v>
      </c>
      <c r="V121">
        <f>IFERROR(1/IF(Inputs!$B$4="pvp",15,MAX(0.1,Skills!E5-IF(Skills!F5=TRUE,Inputs!$B$31,0))),0)</f>
        <v>1</v>
      </c>
    </row>
    <row r="122" spans="1:22" x14ac:dyDescent="0.2">
      <c r="A122" t="str">
        <f>Skills!A6</f>
        <v>MEDITATION</v>
      </c>
      <c r="B122" t="str">
        <f>Skills!B6</f>
        <v>Meditation</v>
      </c>
      <c r="C122" t="b">
        <f>TRUE</f>
        <v>1</v>
      </c>
      <c r="D122">
        <f>IF(Skills!C6=1,60+Inputs!$B$24+Inputs!$B$28,IF(Skills!C6=2,90+Inputs!$B$25+Inputs!$B$28,IF(Skills!C6=3,120+Inputs!$B$26+Inputs!$B$28,MAX(0,(Inputs!$B$3-100)*3)+Inputs!$B$27+Inputs!$B$28)))</f>
        <v>164</v>
      </c>
      <c r="E122">
        <f>INDEX(FactorTable!$B$2:$Y$301, MATCH(ROUND(MIN(300,MAX(1,D122)),0), FactorTable!$A$2:$A$301,0), Skills!M6+1)</f>
        <v>1492</v>
      </c>
      <c r="F122">
        <f>IF(Skills!N6=TRUE,(Skills!L6/10)*(E122/1000),Skills!L6/10)+Skills!O6</f>
        <v>29.84</v>
      </c>
      <c r="G122">
        <f>Calc!G6</f>
        <v>1</v>
      </c>
      <c r="H122">
        <f>Calc!H6</f>
        <v>1</v>
      </c>
      <c r="I122">
        <f>IF(Skills!X6&lt;&gt;"",1+(Skills!X6/10)*(R119/1000)/100,1)</f>
        <v>1</v>
      </c>
      <c r="O122">
        <v>0</v>
      </c>
      <c r="P122">
        <f>IF(B155=0,0,O122/B155)</f>
        <v>0</v>
      </c>
      <c r="S122">
        <f>IF(AND(Inputs!$B$4&lt;&gt;"pvp",Inputs!$B$35&gt;0),(INT(Inputs!$B$35/IF(Inputs!$B$4="pvp",15,MAX(0.1,Skills!E6-IF(Skills!F6=TRUE,Inputs!$B$31,0))))+1),0)</f>
        <v>0</v>
      </c>
      <c r="V122">
        <f>IFERROR(1/IF(Inputs!$B$4="pvp",15,MAX(0.1,Skills!E6-IF(Skills!F6=TRUE,Inputs!$B$31,0))),0)</f>
        <v>3.3333333333333333E-2</v>
      </c>
    </row>
    <row r="123" spans="1:22" x14ac:dyDescent="0.2">
      <c r="A123" t="str">
        <f>Skills!A7</f>
        <v>POISON_MIST_BURST</v>
      </c>
      <c r="B123" t="str">
        <f>Skills!B7</f>
        <v>Poison Mist (burst)</v>
      </c>
      <c r="C123" t="b">
        <f>TRUE</f>
        <v>1</v>
      </c>
      <c r="D123">
        <f>IF(Skills!C7=1,60+Inputs!$B$24+Inputs!$B$28,IF(Skills!C7=2,90+Inputs!$B$25+Inputs!$B$28,IF(Skills!C7=3,120+Inputs!$B$26+Inputs!$B$28,MAX(0,(Inputs!$B$3-100)*3)+Inputs!$B$27+Inputs!$B$28)))</f>
        <v>184</v>
      </c>
      <c r="E123">
        <f>INDEX(FactorTable!$B$2:$Y$301, MATCH(ROUND(MIN(300,MAX(1,D123)),0), FactorTable!$A$2:$A$301,0), Skills!M7+1)</f>
        <v>1920</v>
      </c>
      <c r="F123">
        <f>IF(Skills!N7=TRUE,(Skills!L7/10)*(E123/1000),Skills!L7/10)+Skills!O7</f>
        <v>357.2</v>
      </c>
      <c r="G123">
        <f>Calc!G7</f>
        <v>3</v>
      </c>
      <c r="H123">
        <f>Calc!H7</f>
        <v>1</v>
      </c>
      <c r="I123">
        <f>IF(Skills!X7&lt;&gt;"",1+(Skills!X7/10)*(R119/1000)/100,1)</f>
        <v>1.7519999999999998</v>
      </c>
      <c r="J123">
        <f>((Inputs!$B$5*(1+Inputs!$B$6/100))+((Inputs!$B$11*(1+Inputs!$B$12/100))-(Inputs!$B$11*(1+Inputs!$B$12/100)))*(1+Inputs!$B$6/100))*(F123/100)</f>
        <v>892396411.04121602</v>
      </c>
      <c r="K123">
        <f>J123*(1+((Inputs!$B$11*(1+Inputs!$B$12/100))*0.01+Inputs!$B$13*0.0025)/100)*(1+(Inputs!$B$14+1)/100)*(1+IF(Inputs!$B$4="pvp",0,(1-Summary!$B$56)*(Inputs!$B$19+Skills!P7)+Summary!$B$56*(Inputs!$B$20+Skills!Q7))/100)*(1+Inputs!$B$15/100)*(5000/(6000+Inputs!$B$7*(1-Inputs!$B$18/100)))*(1+Inputs!$B$23/100)*(1+F139/100)*(1+IF(Inputs!$B$3&gt;=120,F142,0)/100)^5*(1+(IF(Skills!A7="BASIC_ATTACK",Inputs!$B$16,Inputs!$B$17+IF(Inputs!$B$3&gt;=125,F143*5,0)))/100)*(B146*B147*B148*I123)</f>
        <v>11906381856423.553</v>
      </c>
      <c r="L123">
        <f>K123*(MIN(Inputs!$B$21+(F138-Calc!F22),Inputs!$B$22)/100+Inputs!$B$22/100)/2</f>
        <v>32141277821415.375</v>
      </c>
      <c r="M123">
        <f>L123*(1+(Inputs!$B$9+(F137-Calc!F21))/100)</f>
        <v>134704095349551.86</v>
      </c>
      <c r="N123">
        <f>L123*(1-MIN(Inputs!$B$8+(F136-Calc!F20),100)/100)+M123*(MIN(Inputs!$B$8+(F136-Calc!F20),100)/100)</f>
        <v>134704095349551.86</v>
      </c>
      <c r="O123">
        <f>IF(C123,H123*N123*IF(AND(Inputs!$B$4&lt;&gt;"pvp",Inputs!$B$35&gt;0),((Skills!G7*((S123-1)*IF(Skills!H7&gt;0,Skills!I7/Skills!H7,1)+IF(Skills!H7&gt;0,MIN(Skills!I7,MAX(0,Inputs!$B$35-((S123-1)*IF(Inputs!$B$4="pvp",15,MAX(0.1,Skills!E7-IF(Skills!F7=TRUE,Inputs!$B$31,0))))))/Skills!H7,1)))/Inputs!$B$35),G123*V123)*IF(Inputs!$B$4="pvp",1,(1-Summary!$B$56)*(1)+Summary!$B$56*(MIN(Skills!R7,Inputs!$B$37))),0)</f>
        <v>105564025743322.28</v>
      </c>
      <c r="P123">
        <f>IF(B155=0,0,O123/B155)</f>
        <v>1.264589904980274E-2</v>
      </c>
      <c r="S123">
        <f>IF(AND(Inputs!$B$4&lt;&gt;"pvp",Inputs!$B$35&gt;0),(INT(Inputs!$B$35/IF(Inputs!$B$4="pvp",15,MAX(0.1,Skills!E7-IF(Skills!F7=TRUE,Inputs!$B$31,0))))+1),0)</f>
        <v>0</v>
      </c>
      <c r="V123">
        <f>IFERROR(1/IF(Inputs!$B$4="pvp",15,MAX(0.1,Skills!E7-IF(Skills!F7=TRUE,Inputs!$B$31,0))),0)</f>
        <v>4.0816326530612242E-2</v>
      </c>
    </row>
    <row r="124" spans="1:22" x14ac:dyDescent="0.2">
      <c r="A124" t="str">
        <f>Skills!A8</f>
        <v>POISON_MIST_DOT</v>
      </c>
      <c r="B124" t="str">
        <f>Skills!B8</f>
        <v>Poison Mist (fog DoT)</v>
      </c>
      <c r="C124" t="b">
        <f>TRUE</f>
        <v>1</v>
      </c>
      <c r="D124">
        <f>IF(Skills!C8=1,60+Inputs!$B$24+Inputs!$B$28,IF(Skills!C8=2,90+Inputs!$B$25+Inputs!$B$28,IF(Skills!C8=3,120+Inputs!$B$26+Inputs!$B$28,MAX(0,(Inputs!$B$3-100)*3)+Inputs!$B$27+Inputs!$B$28)))</f>
        <v>184</v>
      </c>
      <c r="E124">
        <f>INDEX(FactorTable!$B$2:$Y$301, MATCH(ROUND(MIN(300,MAX(1,D124)),0), FactorTable!$A$2:$A$301,0), Skills!M8+1)</f>
        <v>1920</v>
      </c>
      <c r="F124">
        <f>IF(Skills!N8=TRUE,(Skills!L8/10)*(E124/1000),Skills!L8/10)+Skills!O8</f>
        <v>134.4</v>
      </c>
      <c r="G124">
        <f>Calc!G8</f>
        <v>50</v>
      </c>
      <c r="H124">
        <f>Calc!H8</f>
        <v>1</v>
      </c>
      <c r="I124">
        <f>IF(Skills!X8&lt;&gt;"",1+(Skills!X8/10)*(R119/1000)/100,1)</f>
        <v>1.7519999999999998</v>
      </c>
      <c r="J124">
        <f>((Inputs!$B$5*(1+Inputs!$B$6/100))+((Inputs!$B$11*(1+Inputs!$B$12/100))-(Inputs!$B$11*(1+Inputs!$B$12/100)))*(1+Inputs!$B$6/100))*(F124/100)</f>
        <v>335772893.74003202</v>
      </c>
      <c r="K124">
        <f>J124*(1+((Inputs!$B$11*(1+Inputs!$B$12/100))*0.01+Inputs!$B$13*0.0025)/100)*(1+(Inputs!$B$14+1)/100)*(1+IF(Inputs!$B$4="pvp",0,(1-Summary!$B$56)*(Inputs!$B$19+Skills!P8)+Summary!$B$56*(Inputs!$B$20+Skills!Q8))/100)*(1+Inputs!$B$15/100)*(5000/(6000+Inputs!$B$7*(1-Inputs!$B$18/100)))*(1+Inputs!$B$23/100)*(1+F139/100)*(1+IF(Inputs!$B$3&gt;=120,F142,0)/100)^5*(1+(IF(Skills!A8="BASIC_ATTACK",Inputs!$B$16,Inputs!$B$17+IF(Inputs!$B$3&gt;=125,F143*5,0)))/100)*(B146*B147*B148*I124)</f>
        <v>4479892837355.3359</v>
      </c>
      <c r="L124">
        <f>K124*(MIN(Inputs!$B$21+(F138-Calc!F22),Inputs!$B$22)/100+Inputs!$B$22/100)/2</f>
        <v>12093470714440.727</v>
      </c>
      <c r="M124">
        <f>L124*(1+(Inputs!$B$9+(F137-Calc!F21))/100)</f>
        <v>50683735764221.094</v>
      </c>
      <c r="N124">
        <f>L124*(1-MIN(Inputs!$B$8+(F136-Calc!F20),100)/100)+M124*(MIN(Inputs!$B$8+(F136-Calc!F20),100)/100)</f>
        <v>50683735764221.094</v>
      </c>
      <c r="O124">
        <f>IF(C124,H124*N124*IF(AND(Inputs!$B$4&lt;&gt;"pvp",Inputs!$B$35&gt;0),((Skills!G8*((S124-1)*IF(Skills!H8&gt;0,Skills!I8/Skills!H8,1)+IF(Skills!H8&gt;0,MIN(Skills!I8,MAX(0,Inputs!$B$35-((S124-1)*IF(Inputs!$B$4="pvp",15,MAX(0.1,Skills!E8-IF(Skills!F8=TRUE,Inputs!$B$31,0))))))/Skills!H8,1)))/Inputs!$B$35),G124*V124)*IF(Inputs!$B$4="pvp",1,(1-Summary!$B$56)*(1)+Summary!$B$56*(MIN(Skills!R8,Inputs!$B$37))),0)</f>
        <v>661991650797989.88</v>
      </c>
      <c r="P124">
        <f>IF(B155=0,0,O124/B155)</f>
        <v>7.9302390457889546E-2</v>
      </c>
      <c r="S124">
        <f>IF(AND(Inputs!$B$4&lt;&gt;"pvp",Inputs!$B$35&gt;0),(INT(Inputs!$B$35/IF(Inputs!$B$4="pvp",15,MAX(0.1,Skills!E8-IF(Skills!F8=TRUE,Inputs!$B$31,0))))+1),0)</f>
        <v>0</v>
      </c>
      <c r="V124">
        <f>IFERROR(1/IF(Inputs!$B$4="pvp",15,MAX(0.1,Skills!E8-IF(Skills!F8=TRUE,Inputs!$B$31,0))),0)</f>
        <v>4.0816326530612242E-2</v>
      </c>
    </row>
    <row r="125" spans="1:22" x14ac:dyDescent="0.2">
      <c r="A125" t="str">
        <f>Skills!A9</f>
        <v>MIST_ERUPTION</v>
      </c>
      <c r="B125" t="str">
        <f>Skills!B9</f>
        <v>Mist Eruption</v>
      </c>
      <c r="C125" t="b">
        <f>Inputs!$B$3&gt;=103</f>
        <v>1</v>
      </c>
      <c r="D125">
        <f>IF(Skills!C9=1,60+Inputs!$B$24+Inputs!$B$28,IF(Skills!C9=2,90+Inputs!$B$25+Inputs!$B$28,IF(Skills!C9=3,120+Inputs!$B$26+Inputs!$B$28,MAX(0,(Inputs!$B$3-100)*3)+Inputs!$B$27+Inputs!$B$28)))</f>
        <v>172</v>
      </c>
      <c r="E125">
        <f>INDEX(FactorTable!$B$2:$Y$301, MATCH(ROUND(MIN(300,MAX(1,D125)),0), FactorTable!$A$2:$A$301,0), Skills!M9+1)</f>
        <v>1860</v>
      </c>
      <c r="F125">
        <f>IF(Skills!N9=TRUE,(Skills!L9/10)*(E125/1000),Skills!L9/10)+Skills!O9</f>
        <v>5580</v>
      </c>
      <c r="G125">
        <f>Calc!G9</f>
        <v>2.8</v>
      </c>
      <c r="H125">
        <f>Calc!H9</f>
        <v>1</v>
      </c>
      <c r="I125">
        <f>IF(Skills!X9&lt;&gt;"",1+(Skills!X9/10)*(R119/1000)/100,1)</f>
        <v>1</v>
      </c>
      <c r="J125">
        <f>((Inputs!$B$5*(1+Inputs!$B$6/100))+((Inputs!$B$11*(1+Inputs!$B$12/100))-(Inputs!$B$11*(1+Inputs!$B$12/100)))*(1+Inputs!$B$6/100))*(F125/100)</f>
        <v>13940571034.742399</v>
      </c>
      <c r="K125">
        <f>J125*(1+((Inputs!$B$11*(1+Inputs!$B$12/100))*0.01+Inputs!$B$13*0.0025)/100)*(1+(Inputs!$B$14+1)/100)*(1+IF(Inputs!$B$4="pvp",0,(1-Summary!$B$56)*(Inputs!$B$19+Skills!P9)+Summary!$B$56*(Inputs!$B$20+Skills!Q9))/100)*(1+Inputs!$B$15/100)*(5000/(6000+Inputs!$B$7*(1-Inputs!$B$18/100)))*(1+Inputs!$B$23/100)*(1+F139/100)*(1+IF(Inputs!$B$3&gt;=120,F142,0)/100)^5*(1+(IF(Skills!A9="BASIC_ATTACK",Inputs!$B$16,Inputs!$B$17+IF(Inputs!$B$3&gt;=125,F143*5,0)))/100)*(B146*B147*B148*I125)</f>
        <v>106161844084833.2</v>
      </c>
      <c r="L125">
        <f>K125*(MIN(Inputs!$B$21+(F138-Calc!F22),Inputs!$B$22)/100+Inputs!$B$22/100)/2</f>
        <v>286583898107007.19</v>
      </c>
      <c r="M125">
        <f>L125*(1+(Inputs!$B$9+(F137-Calc!F21))/100)</f>
        <v>1201073116966467.2</v>
      </c>
      <c r="N125">
        <f>L125*(1-MIN(Inputs!$B$8+(F136-Calc!F20),100)/100)+M125*(MIN(Inputs!$B$8+(F136-Calc!F20),100)/100)</f>
        <v>1201073116966467.2</v>
      </c>
      <c r="O125">
        <f>IF(C125,H125*N125*IF(AND(Inputs!$B$4&lt;&gt;"pvp",Inputs!$B$35&gt;0),((Skills!G9*((S125-1)*IF(Skills!H9&gt;0,Skills!I9/Skills!H9,1)+IF(Skills!H9&gt;0,MIN(Skills!I9,MAX(0,Inputs!$B$35-((S125-1)*IF(Inputs!$B$4="pvp",15,MAX(0.1,Skills!E9-IF(Skills!F7=TRUE,Inputs!$B$31,0))))))/Skills!H9,1)))/Inputs!$B$35),G125*V125)*IF(Inputs!$B$4="pvp",1,(1-Summary!$B$56)*(1)+Summary!$B$56*(MIN(Skills!R9,Inputs!$B$37))),0)</f>
        <v>878499194124044.5</v>
      </c>
      <c r="P125">
        <f>IF(B155=0,0,O125/B155)</f>
        <v>0.10523861747408284</v>
      </c>
      <c r="S125">
        <f>IF(AND(Inputs!$B$4&lt;&gt;"pvp",Inputs!$B$35&gt;0),(INT(Inputs!$B$35/IF(Inputs!$B$4="pvp",15,MAX(0.1,Skills!E9-IF(Skills!F7=TRUE,Inputs!$B$31,0))))+1),0)</f>
        <v>0</v>
      </c>
      <c r="V125">
        <f>IFERROR(1/IF(Inputs!$B$4="pvp",15,MAX(0.1,Skills!E9-IF(Skills!F7=TRUE,Inputs!$B$31,0))),0)</f>
        <v>4.0816326530612242E-2</v>
      </c>
    </row>
    <row r="126" spans="1:22" x14ac:dyDescent="0.2">
      <c r="A126" t="str">
        <f>Skills!A10</f>
        <v>CREEPING_TOXIN</v>
      </c>
      <c r="B126" t="str">
        <f>Skills!B10</f>
        <v>Creeping Toxin</v>
      </c>
      <c r="C126" t="b">
        <f>TRUE</f>
        <v>1</v>
      </c>
      <c r="D126">
        <f>IF(Skills!C10=1,60+Inputs!$B$24+Inputs!$B$28,IF(Skills!C10=2,90+Inputs!$B$25+Inputs!$B$28,IF(Skills!C10=3,120+Inputs!$B$26+Inputs!$B$28,MAX(0,(Inputs!$B$3-100)*3)+Inputs!$B$27+Inputs!$B$28)))</f>
        <v>184</v>
      </c>
      <c r="E126">
        <f>INDEX(FactorTable!$B$2:$Y$301, MATCH(ROUND(MIN(300,MAX(1,D126)),0), FactorTable!$A$2:$A$301,0), Skills!M10+1)</f>
        <v>1920</v>
      </c>
      <c r="F126">
        <f>IF(Skills!N10=TRUE,(Skills!L10/10)*(E126/1000),Skills!L10/10)+Skills!O10</f>
        <v>280.39999999999998</v>
      </c>
      <c r="G126">
        <f>Calc!G10</f>
        <v>15</v>
      </c>
      <c r="H126">
        <f>Calc!H10</f>
        <v>1</v>
      </c>
      <c r="I126">
        <f>IF(Skills!X10&lt;&gt;"",1+(Skills!X10/10)*(R119/1000)/100,1)</f>
        <v>1.7519999999999998</v>
      </c>
      <c r="J126">
        <f>((Inputs!$B$5*(1+Inputs!$B$6/100))+((Inputs!$B$11*(1+Inputs!$B$12/100))-(Inputs!$B$11*(1+Inputs!$B$12/100)))*(1+Inputs!$B$6/100))*(F126/100)</f>
        <v>700526186.04691195</v>
      </c>
      <c r="K126">
        <f>J126*(1+((Inputs!$B$11*(1+Inputs!$B$12/100))*0.01+Inputs!$B$13*0.0025)/100)*(1+(Inputs!$B$14+1)/100)*(1+IF(Inputs!$B$4="pvp",0,(1-Summary!$B$56)*(Inputs!$B$19+Skills!P10)+Summary!$B$56*(Inputs!$B$20+Skills!Q10))/100)*(1+Inputs!$B$15/100)*(5000/(6000+Inputs!$B$7*(1-Inputs!$B$18/100)))*(1+Inputs!$B$23/100)*(1+F139/100)*(1+IF(Inputs!$B$3&gt;=120,F142,0)/100)^5*(1+(IF(Skills!A10="BASIC_ATTACK",Inputs!$B$16,Inputs!$B$17+IF(Inputs!$B$3&gt;=125,F143*5,0)))/100)*(B146*B147*B148*I126)</f>
        <v>11029476062008.113</v>
      </c>
      <c r="L126">
        <f>K126*(MIN(Inputs!$B$21+(F138-Calc!F22),Inputs!$B$22)/100+Inputs!$B$22/100)/2</f>
        <v>29774070629390.898</v>
      </c>
      <c r="M126">
        <f>L126*(1+(Inputs!$B$9+(F137-Calc!F21))/100)</f>
        <v>124783130007777.28</v>
      </c>
      <c r="N126">
        <f>L126*(1-MIN(Inputs!$B$8+(F136-Calc!F20),100)/100)+M126*(MIN(Inputs!$B$8+(F136-Calc!F20),100)/100)</f>
        <v>124783130007777.28</v>
      </c>
      <c r="O126">
        <f>IF(C126,H126*N126*IF(AND(Inputs!$B$4&lt;&gt;"pvp",Inputs!$B$35&gt;0),((Skills!G10*((S126-1)*IF(Skills!H10&gt;0,Skills!I10/Skills!H10,1)+IF(Skills!H10&gt;0,MIN(Skills!I10,MAX(0,Inputs!$B$35-((S126-1)*IF(Inputs!$B$4="pvp",15,MAX(0.1,Skills!E10-IF(Skills!F10=TRUE,Inputs!$B$31,0))))))/Skills!H10,1)))/Inputs!$B$35),G126*V126)*IF(Inputs!$B$4="pvp",1,(1-Summary!$B$56)*(1)+Summary!$B$56*(MIN(Skills!R10,Inputs!$B$37))),0)</f>
        <v>69323961115431.828</v>
      </c>
      <c r="P126">
        <f>IF(B155=0,0,O126/B155)</f>
        <v>8.3045697416826401E-3</v>
      </c>
      <c r="S126">
        <f>IF(AND(Inputs!$B$4&lt;&gt;"pvp",Inputs!$B$35&gt;0),(INT(Inputs!$B$35/IF(Inputs!$B$4="pvp",15,MAX(0.1,Skills!E10-IF(Skills!F10=TRUE,Inputs!$B$31,0))))+1),0)</f>
        <v>0</v>
      </c>
      <c r="V126">
        <f>IFERROR(1/IF(Inputs!$B$4="pvp",15,MAX(0.1,Skills!E10-IF(Skills!F10=TRUE,Inputs!$B$31,0))),0)</f>
        <v>3.7037037037037035E-2</v>
      </c>
    </row>
    <row r="127" spans="1:22" x14ac:dyDescent="0.2">
      <c r="A127" t="str">
        <f>Skills!A11</f>
        <v>BURNING_MAGIC</v>
      </c>
      <c r="B127" t="str">
        <f>Skills!B11</f>
        <v>Burning Magic</v>
      </c>
      <c r="C127" t="b">
        <f>TRUE</f>
        <v>1</v>
      </c>
      <c r="D127">
        <f>IF(Skills!C11=1,60+Inputs!$B$24+Inputs!$B$28,IF(Skills!C11=2,90+Inputs!$B$25+Inputs!$B$28,IF(Skills!C11=3,120+Inputs!$B$26+Inputs!$B$28,MAX(0,(Inputs!$B$3-100)*3)+Inputs!$B$27+Inputs!$B$28)))</f>
        <v>184</v>
      </c>
      <c r="E127">
        <f>INDEX(FactorTable!$B$2:$Y$301, MATCH(ROUND(MIN(300,MAX(1,D127)),0), FactorTable!$A$2:$A$301,0), Skills!M11+1)</f>
        <v>0</v>
      </c>
      <c r="F127">
        <f>IF(Skills!N11=TRUE,(Skills!L11/10)*(E127/1000),Skills!L11/10)+Skills!O11</f>
        <v>5</v>
      </c>
      <c r="G127">
        <f>Calc!G11</f>
        <v>1</v>
      </c>
      <c r="H127">
        <f>Calc!H11</f>
        <v>1</v>
      </c>
      <c r="I127">
        <f>IF(Skills!X11&lt;&gt;"",1+(Skills!X11/10)*(R119/1000)/100,1)</f>
        <v>1</v>
      </c>
      <c r="O127">
        <v>0</v>
      </c>
      <c r="P127">
        <f>IF(B155=0,0,O127/B155)</f>
        <v>0</v>
      </c>
      <c r="S127">
        <v>0</v>
      </c>
      <c r="V127">
        <f>IFERROR(1/IF(Inputs!$B$4="pvp",15,MAX(0.1,Skills!E11-IF(Skills!F11=TRUE,Inputs!$B$31,0))),0)</f>
        <v>10</v>
      </c>
    </row>
    <row r="128" spans="1:22" x14ac:dyDescent="0.2">
      <c r="A128" t="str">
        <f>Skills!A12</f>
        <v>ELEMENTAL_DECREASE</v>
      </c>
      <c r="B128" t="str">
        <f>Skills!B12</f>
        <v>Elemental Decrease</v>
      </c>
      <c r="C128" t="b">
        <f>TRUE</f>
        <v>1</v>
      </c>
      <c r="D128">
        <f>IF(Skills!C12=1,60+Inputs!$B$24+Inputs!$B$28,IF(Skills!C12=2,90+Inputs!$B$25+Inputs!$B$28,IF(Skills!C12=3,120+Inputs!$B$26+Inputs!$B$28,MAX(0,(Inputs!$B$3-100)*3)+Inputs!$B$27+Inputs!$B$28)))</f>
        <v>184</v>
      </c>
      <c r="E128">
        <f>INDEX(FactorTable!$B$2:$Y$301, MATCH(ROUND(MIN(300,MAX(1,D128)),0), FactorTable!$A$2:$A$301,0), Skills!M12+1)</f>
        <v>1552</v>
      </c>
      <c r="F128">
        <f>IF(Skills!N12=TRUE,(Skills!L12/10)*(E128/1000),Skills!L12/10)+Skills!O12</f>
        <v>18.624000000000002</v>
      </c>
      <c r="G128">
        <f>Calc!G12</f>
        <v>1</v>
      </c>
      <c r="H128">
        <f>Calc!H12</f>
        <v>0.5</v>
      </c>
      <c r="I128">
        <f>IF(Skills!X12&lt;&gt;"",1+(Skills!X12/10)*(R119/1000)/100,1)</f>
        <v>1</v>
      </c>
      <c r="O128">
        <v>0</v>
      </c>
      <c r="P128">
        <f>IF(B155=0,0,O128/B155)</f>
        <v>0</v>
      </c>
      <c r="S128">
        <v>0</v>
      </c>
      <c r="V128">
        <f>IFERROR(1/IF(Inputs!$B$4="pvp",15,MAX(0.1,Skills!E12-IF(Skills!F12=TRUE,Inputs!$B$31,0))),0)</f>
        <v>10</v>
      </c>
    </row>
    <row r="129" spans="1:22" x14ac:dyDescent="0.2">
      <c r="A129" t="str">
        <f>Skills!A13</f>
        <v>METEOR_SHOWER_BURST</v>
      </c>
      <c r="B129" t="str">
        <f>Skills!B13</f>
        <v>Meteor Shower (burst)</v>
      </c>
      <c r="C129" t="b">
        <f>Inputs!$B$3&gt;=105</f>
        <v>1</v>
      </c>
      <c r="D129">
        <f>IF(Skills!C13=1,60+Inputs!$B$24+Inputs!$B$28,IF(Skills!C13=2,90+Inputs!$B$25+Inputs!$B$28,IF(Skills!C13=3,120+Inputs!$B$26+Inputs!$B$28,MAX(0,(Inputs!$B$3-100)*3)+Inputs!$B$27+Inputs!$B$28)))</f>
        <v>172</v>
      </c>
      <c r="E129">
        <f>INDEX(FactorTable!$B$2:$Y$301, MATCH(ROUND(MIN(300,MAX(1,D129)),0), FactorTable!$A$2:$A$301,0), Skills!M13+1)</f>
        <v>1860</v>
      </c>
      <c r="F129">
        <f>IF(Skills!N13=TRUE,(Skills!L13/10)*(E129/1000),Skills!L13/10)+Skills!O13</f>
        <v>1116</v>
      </c>
      <c r="G129">
        <f>Calc!G13</f>
        <v>9</v>
      </c>
      <c r="H129">
        <f>Calc!H13</f>
        <v>1</v>
      </c>
      <c r="I129">
        <f>IF(Skills!X13&lt;&gt;"",1+(Skills!X13/10)*(R119/1000)/100,1)</f>
        <v>1</v>
      </c>
      <c r="J129">
        <f>((Inputs!$B$5*(1+Inputs!$B$6/100))+((Inputs!$B$11*(1+Inputs!$B$12/100))-(Inputs!$B$11*(1+Inputs!$B$12/100)))*(1+Inputs!$B$6/100))*(F129/100)</f>
        <v>2788114206.9484801</v>
      </c>
      <c r="K129">
        <f>J129*(1+((Inputs!$B$11*(1+Inputs!$B$12/100))*0.01+Inputs!$B$13*0.0025)/100)*(1+(Inputs!$B$14+1)/100)*(1+IF(Inputs!$B$4="pvp",0,(1-Summary!$B$56)*(Inputs!$B$19+Skills!P13)+Summary!$B$56*(Inputs!$B$20+Skills!Q13))/100)*(1+Inputs!$B$15/100)*(5000/(6000+Inputs!$B$7*(1-Inputs!$B$18/100)))*(1+Inputs!$B$23/100)*(1+F139/100)*(1+IF(Inputs!$B$3&gt;=120,F142,0)/100)^5*(1+(IF(Skills!A13="BASIC_ATTACK",Inputs!$B$16,Inputs!$B$17+IF(Inputs!$B$3&gt;=125,F143*5,0)))/100)*(B146*B147*B148*I129)</f>
        <v>21232368816966.637</v>
      </c>
      <c r="L129">
        <f>K129*(MIN(Inputs!$B$21+(F138-Calc!F22),Inputs!$B$22)/100+Inputs!$B$22/100)/2</f>
        <v>57316779621401.43</v>
      </c>
      <c r="M129">
        <f>L129*(1+(Inputs!$B$9+(F137-Calc!F21))/100)</f>
        <v>240214623393293.44</v>
      </c>
      <c r="N129">
        <f>L129*(1-MIN(Inputs!$B$8+(F136-Calc!F20),100)/100)+M129*(MIN(Inputs!$B$8+(F136-Calc!F20),100)/100)</f>
        <v>240214623393293.44</v>
      </c>
      <c r="O129">
        <f>IF(C129,H129*N129*IF(AND(Inputs!$B$4&lt;&gt;"pvp",Inputs!$B$35&gt;0),((Skills!G13*((S129-1)*IF(Skills!H13&gt;0,Skills!I13/Skills!H13,1)+IF(Skills!H13&gt;0,MIN(Skills!I13,MAX(0,Inputs!$B$35-((S129-1)*IF(Inputs!$B$4="pvp",15,MAX(0.1,Skills!E13-IF(Skills!F13=TRUE,Inputs!$B$31,0))))))/Skills!H13,1)))/Inputs!$B$35),G129*V129)*IF(Inputs!$B$4="pvp",1,(1-Summary!$B$56)*(1)+Summary!$B$56*(MIN(Skills!R13,Inputs!$B$37))),0)</f>
        <v>301360163893404.5</v>
      </c>
      <c r="P129">
        <f>IF(B155=0,0,O129/B155)</f>
        <v>3.610103142044177E-2</v>
      </c>
      <c r="S129">
        <f>IF(AND(Inputs!$B$4&lt;&gt;"pvp",Inputs!$B$35&gt;0),(INT(Inputs!$B$35/IF(Inputs!$B$4="pvp",15,MAX(0.1,Skills!E13-IF(Skills!F13=TRUE,Inputs!$B$31,0))))+1),0)</f>
        <v>0</v>
      </c>
      <c r="V129">
        <f>IFERROR(1/IF(Inputs!$B$4="pvp",15,MAX(0.1,Skills!E13-IF(Skills!F13=TRUE,Inputs!$B$31,0))),0)</f>
        <v>3.0303030303030304E-2</v>
      </c>
    </row>
    <row r="130" spans="1:22" x14ac:dyDescent="0.2">
      <c r="A130" t="str">
        <f>Skills!A14</f>
        <v>METEOR_PROC</v>
      </c>
      <c r="B130" t="str">
        <f>Skills!B14</f>
        <v>Meteor Proc (30% on-hit, 1s ICD)</v>
      </c>
      <c r="C130" t="b">
        <f>Inputs!$B$3&gt;=113</f>
        <v>1</v>
      </c>
      <c r="D130">
        <f>IF(Skills!C14=1,60+Inputs!$B$24+Inputs!$B$28,IF(Skills!C14=2,90+Inputs!$B$25+Inputs!$B$28,IF(Skills!C14=3,120+Inputs!$B$26+Inputs!$B$28,MAX(0,(Inputs!$B$3-100)*3)+Inputs!$B$27+Inputs!$B$28)))</f>
        <v>172</v>
      </c>
      <c r="E130">
        <f>INDEX(FactorTable!$B$2:$Y$301, MATCH(ROUND(MIN(300,MAX(1,D130)),0), FactorTable!$A$2:$A$301,0), Skills!M14+1)</f>
        <v>1688</v>
      </c>
      <c r="F130">
        <f>IF(Skills!N14=TRUE,(Skills!L14/10)*(E130/1000),Skills!L14/10)+Skills!O14</f>
        <v>1603.6</v>
      </c>
      <c r="G130">
        <f>Calc!G14</f>
        <v>0</v>
      </c>
      <c r="H130">
        <f>Calc!H14</f>
        <v>0.30000000000000004</v>
      </c>
      <c r="I130">
        <f>IF(Skills!X14&lt;&gt;"",1+(Skills!X14/10)*(R119/1000)/100,1)</f>
        <v>1</v>
      </c>
      <c r="J130">
        <f>((Inputs!$B$5*(1+Inputs!$B$6/100))+((Inputs!$B$11*(1+Inputs!$B$12/100))-(Inputs!$B$11*(1+Inputs!$B$12/100)))*(1+Inputs!$B$6/100))*(F130/100)</f>
        <v>4006290270.8446074</v>
      </c>
      <c r="K130">
        <f>J130*(1+((Inputs!$B$11*(1+Inputs!$B$12/100))*0.01+Inputs!$B$13*0.0025)/100)*(1+(Inputs!$B$14+1)/100)*(1+IF(Inputs!$B$4="pvp",0,(1-Summary!$B$56)*(Inputs!$B$19+Skills!P14)+Summary!$B$56*(Inputs!$B$20+Skills!Q14))/100)*(1+Inputs!$B$15/100)*(5000/(6000+Inputs!$B$7*(1-Inputs!$B$18/100)))*(1+Inputs!$B$23/100)*(1+F139/100)*(1+IF(Inputs!$B$3&gt;=120,F142,0)/100)^5*(1+(IF(Skills!A14="BASIC_ATTACK",Inputs!$B$16,Inputs!$B$17+IF(Inputs!$B$3&gt;=125,F143*5,0)))/100)*(B146*B147*B148*I130)</f>
        <v>30509163651333.059</v>
      </c>
      <c r="L130">
        <f>K130*(MIN(Inputs!$B$21+(F138-Calc!F22),Inputs!$B$22)/100+Inputs!$B$22/100)/2</f>
        <v>82359487276773.578</v>
      </c>
      <c r="M130">
        <f>L130*(1+(Inputs!$B$9+(F137-Calc!F21))/100)</f>
        <v>345168611176958.12</v>
      </c>
      <c r="N130">
        <f>L130*(1-MIN(Inputs!$B$8+(F136-Calc!F20),100)/100)+M130*(MIN(Inputs!$B$8+(F136-Calc!F20),100)/100)</f>
        <v>345168611176958.12</v>
      </c>
      <c r="O130">
        <f>IF(C130,(H130*B153)/(1+Skills!H14*H130*B153)*N130*IF(Inputs!$B$4="pvp",1,(1-Summary!$B$56)*(1)+Summary!$B$56*(MIN(Skills!R14,Inputs!$B$37))),0)</f>
        <v>108577145294454.27</v>
      </c>
      <c r="P130">
        <f>IF(B155=0,0,O130/B155)</f>
        <v>1.3006851612953851E-2</v>
      </c>
      <c r="S130">
        <v>0</v>
      </c>
      <c r="V130">
        <f>IFERROR(1/IF(Inputs!$B$4="pvp",15,MAX(0.1,Skills!E14-IF(Skills!F14=TRUE,Inputs!$B$31,0))),0)</f>
        <v>10</v>
      </c>
    </row>
    <row r="131" spans="1:22" x14ac:dyDescent="0.2">
      <c r="A131" t="str">
        <f>Skills!A15</f>
        <v>FLAME_HAZE_BURST</v>
      </c>
      <c r="B131" t="str">
        <f>Skills!B15</f>
        <v>Flame Haze (burst)</v>
      </c>
      <c r="C131" t="b">
        <f>Inputs!$B$3&gt;=107</f>
        <v>1</v>
      </c>
      <c r="D131">
        <f>IF(Skills!C15=1,60+Inputs!$B$24+Inputs!$B$28,IF(Skills!C15=2,90+Inputs!$B$25+Inputs!$B$28,IF(Skills!C15=3,120+Inputs!$B$26+Inputs!$B$28,MAX(0,(Inputs!$B$3-100)*3)+Inputs!$B$27+Inputs!$B$28)))</f>
        <v>172</v>
      </c>
      <c r="E131">
        <f>INDEX(FactorTable!$B$2:$Y$301, MATCH(ROUND(MIN(300,MAX(1,D131)),0), FactorTable!$A$2:$A$301,0), Skills!M15+1)</f>
        <v>1860</v>
      </c>
      <c r="F131">
        <f>IF(Skills!N15=TRUE,(Skills!L15/10)*(E131/1000),Skills!L15/10)+Skills!O15</f>
        <v>2232</v>
      </c>
      <c r="G131">
        <f>Calc!G15</f>
        <v>3</v>
      </c>
      <c r="H131">
        <f>Calc!H15</f>
        <v>1</v>
      </c>
      <c r="I131">
        <f>IF(Skills!X15&lt;&gt;"",1+(Skills!X15/10)*(R119/1000)/100,1)</f>
        <v>1</v>
      </c>
      <c r="J131">
        <f>((Inputs!$B$5*(1+Inputs!$B$6/100))+((Inputs!$B$11*(1+Inputs!$B$12/100))-(Inputs!$B$11*(1+Inputs!$B$12/100)))*(1+Inputs!$B$6/100))*(F131/100)</f>
        <v>5576228413.8969603</v>
      </c>
      <c r="K131">
        <f>J131*(1+((Inputs!$B$11*(1+Inputs!$B$12/100))*0.01+Inputs!$B$13*0.0025)/100)*(1+(Inputs!$B$14+1)/100)*(1+IF(Inputs!$B$4="pvp",0,(1-Summary!$B$56)*(Inputs!$B$19+Skills!P15)+Summary!$B$56*(Inputs!$B$20+Skills!Q15))/100)*(1+Inputs!$B$15/100)*(5000/(6000+Inputs!$B$7*(1-Inputs!$B$18/100)))*(1+Inputs!$B$23/100)*(1+F139/100)*(1+IF(Inputs!$B$3&gt;=120,F142,0)/100)^5*(1+(IF(Skills!A15="BASIC_ATTACK",Inputs!$B$16,Inputs!$B$17+IF(Inputs!$B$3&gt;=125,F143*5,0)))/100)*(B146*B147*B148*I131)</f>
        <v>42464737633933.273</v>
      </c>
      <c r="L131">
        <f>K131*(MIN(Inputs!$B$21+(F138-Calc!F22),Inputs!$B$22)/100+Inputs!$B$22/100)/2</f>
        <v>114633559242802.86</v>
      </c>
      <c r="M131">
        <f>L131*(1+(Inputs!$B$9+(F137-Calc!F21))/100)</f>
        <v>480429246786586.88</v>
      </c>
      <c r="N131">
        <f>L131*(1-MIN(Inputs!$B$8+(F136-Calc!F20),100)/100)+M131*(MIN(Inputs!$B$8+(F136-Calc!F20),100)/100)</f>
        <v>480429246786586.88</v>
      </c>
      <c r="O131">
        <f>IF(C131,H131*N131*IF(AND(Inputs!$B$4&lt;&gt;"pvp",Inputs!$B$35&gt;0),((Skills!G15*((S131-1)*IF(Skills!H15&gt;0,Skills!I15/Skills!H15,1)+IF(Skills!H15&gt;0,MIN(Skills!I15,MAX(0,Inputs!$B$35-((S131-1)*IF(Inputs!$B$4="pvp",15,MAX(0.1,Skills!E15-IF(Skills!F15=TRUE,Inputs!$B$31,0))))))/Skills!H15,1)))/Inputs!$B$35),G131*V131)*IF(Inputs!$B$4="pvp",1,(1-Summary!$B$56)*(1)+Summary!$B$56*(MIN(Skills!R15,Inputs!$B$37))),0)</f>
        <v>368969661532098.75</v>
      </c>
      <c r="P131">
        <f>IF(B155=0,0,O131/B155)</f>
        <v>4.4200219339114798E-2</v>
      </c>
      <c r="S131">
        <f>IF(AND(Inputs!$B$4&lt;&gt;"pvp",Inputs!$B$35&gt;0),(INT(Inputs!$B$35/IF(Inputs!$B$4="pvp",15,MAX(0.1,Skills!E15-IF(Skills!F15=TRUE,Inputs!$B$31,0))))+1),0)</f>
        <v>0</v>
      </c>
      <c r="V131">
        <f>IFERROR(1/IF(Inputs!$B$4="pvp",15,MAX(0.1,Skills!E15-IF(Skills!F15=TRUE,Inputs!$B$31,0))),0)</f>
        <v>0.04</v>
      </c>
    </row>
    <row r="132" spans="1:22" x14ac:dyDescent="0.2">
      <c r="A132" t="str">
        <f>Skills!A16</f>
        <v>FLAME_HAZE_DOT</v>
      </c>
      <c r="B132" t="str">
        <f>Skills!B16</f>
        <v>Flame Haze (burn DoT)</v>
      </c>
      <c r="C132" t="b">
        <f>Inputs!$B$3&gt;=107</f>
        <v>1</v>
      </c>
      <c r="D132">
        <f>IF(Skills!C16=1,60+Inputs!$B$24+Inputs!$B$28,IF(Skills!C16=2,90+Inputs!$B$25+Inputs!$B$28,IF(Skills!C16=3,120+Inputs!$B$26+Inputs!$B$28,MAX(0,(Inputs!$B$3-100)*3)+Inputs!$B$27+Inputs!$B$28)))</f>
        <v>172</v>
      </c>
      <c r="E132">
        <f>INDEX(FactorTable!$B$2:$Y$301, MATCH(ROUND(MIN(300,MAX(1,D132)),0), FactorTable!$A$2:$A$301,0), Skills!M16+1)</f>
        <v>1860</v>
      </c>
      <c r="F132">
        <f>IF(Skills!N16=TRUE,(Skills!L16/10)*(E132/1000),Skills!L16/10)+Skills!O16</f>
        <v>279</v>
      </c>
      <c r="G132">
        <f>Calc!G16</f>
        <v>28</v>
      </c>
      <c r="H132">
        <f>Calc!H16</f>
        <v>1</v>
      </c>
      <c r="I132">
        <f>IF(Skills!X16&lt;&gt;"",1+(Skills!X16/10)*(R119/1000)/100,1)</f>
        <v>1</v>
      </c>
      <c r="J132">
        <f>((Inputs!$B$5*(1+Inputs!$B$6/100))+((Inputs!$B$11*(1+Inputs!$B$12/100))-(Inputs!$B$11*(1+Inputs!$B$12/100)))*(1+Inputs!$B$6/100))*(F132/100)</f>
        <v>697028551.73712003</v>
      </c>
      <c r="K132">
        <f>J132*(1+((Inputs!$B$11*(1+Inputs!$B$12/100))*0.01+Inputs!$B$13*0.0025)/100)*(1+(Inputs!$B$14+1)/100)*(1+IF(Inputs!$B$4="pvp",0,(1-Summary!$B$56)*(Inputs!$B$19+Skills!P16)+Summary!$B$56*(Inputs!$B$20+Skills!Q16))/100)*(1+Inputs!$B$15/100)*(5000/(6000+Inputs!$B$7*(1-Inputs!$B$18/100)))*(1+Inputs!$B$23/100)*(1+F139/100)*(1+IF(Inputs!$B$3&gt;=120,F142,0)/100)^5*(1+(IF(Skills!A16="BASIC_ATTACK",Inputs!$B$16,Inputs!$B$17+IF(Inputs!$B$3&gt;=125,F143*5,0)))/100)*(B146*B147*B148*I132)</f>
        <v>5308092204241.6592</v>
      </c>
      <c r="L132">
        <f>K132*(MIN(Inputs!$B$21+(F138-Calc!F22),Inputs!$B$22)/100+Inputs!$B$22/100)/2</f>
        <v>14329194905350.357</v>
      </c>
      <c r="M132">
        <f>L132*(1+(Inputs!$B$9+(F137-Calc!F21))/100)</f>
        <v>60053655848323.359</v>
      </c>
      <c r="N132">
        <f>L132*(1-MIN(Inputs!$B$8+(F136-Calc!F20),100)/100)+M132*(MIN(Inputs!$B$8+(F136-Calc!F20),100)/100)</f>
        <v>60053655848323.359</v>
      </c>
      <c r="O132">
        <f>IF(C132,H132*N132*IF(AND(Inputs!$B$4&lt;&gt;"pvp",Inputs!$B$35&gt;0),((Skills!G16*((S132-1)*IF(Skills!H16&gt;0,Skills!I16/Skills!H16,1)+IF(Skills!H16&gt;0,MIN(Skills!I16,MAX(0,Inputs!$B$35-((S132-1)*IF(Inputs!$B$4="pvp",15,MAX(0.1,Skills!E16-IF(Skills!F16=TRUE,Inputs!$B$31,0))))))/Skills!H16,1)))/Inputs!$B$35),G132*V132)*(1+IF(Inputs!$B$3&gt;=126,0.05*(B152+V129+(H130*B153)/(1+Skills!H14*H130*B153)+V140),0)*Skills!E15)*IF(Inputs!$B$4="pvp",1,(1-Summary!$B$56)*(1)+Summary!$B$56*(MIN(Skills!R16,Inputs!$B$37))),0)</f>
        <v>430464605120781.94</v>
      </c>
      <c r="P132">
        <f>IF(B155=0,0,O132/B155)</f>
        <v>5.156692256230061E-2</v>
      </c>
      <c r="S132">
        <f>IF(AND(Inputs!$B$4&lt;&gt;"pvp",Inputs!$B$35&gt;0),(INT(Inputs!$B$35/IF(Inputs!$B$4="pvp",15,MAX(0.1,Skills!E16-IF(Skills!F16=TRUE,Inputs!$B$31,0))))+1),0)</f>
        <v>0</v>
      </c>
      <c r="V132">
        <f>IFERROR(1/IF(Inputs!$B$4="pvp",15,MAX(0.1,Skills!E16-IF(Skills!F16=TRUE,Inputs!$B$31,0))),0)</f>
        <v>0.04</v>
      </c>
    </row>
    <row r="133" spans="1:22" x14ac:dyDescent="0.2">
      <c r="A133" t="str">
        <f>Skills!A17</f>
        <v>MAGIC_GUARD</v>
      </c>
      <c r="B133" t="str">
        <f>Skills!B17</f>
        <v>Magic Guard</v>
      </c>
      <c r="C133" t="b">
        <f>TRUE</f>
        <v>1</v>
      </c>
      <c r="D133">
        <f>IF(Skills!C17=1,60+Inputs!$B$24+Inputs!$B$28,IF(Skills!C17=2,90+Inputs!$B$25+Inputs!$B$28,IF(Skills!C17=3,120+Inputs!$B$26+Inputs!$B$28,MAX(0,(Inputs!$B$3-100)*3)+Inputs!$B$27+Inputs!$B$28)))</f>
        <v>115</v>
      </c>
      <c r="E133">
        <f>INDEX(FactorTable!$B$2:$Y$301, MATCH(ROUND(MIN(300,MAX(1,D133)),0), FactorTable!$A$2:$A$301,0), Skills!M17+1)</f>
        <v>1460</v>
      </c>
      <c r="F133">
        <f>IF(Skills!N17=TRUE,(Skills!L17/10)*(E133/1000),Skills!L17/10)+Skills!O17</f>
        <v>17.52</v>
      </c>
      <c r="G133">
        <f>Calc!G17</f>
        <v>1</v>
      </c>
      <c r="H133">
        <f>Calc!H17</f>
        <v>1</v>
      </c>
      <c r="I133">
        <f>IF(Skills!X17&lt;&gt;"",1+(Skills!X17/10)*(R119/1000)/100,1)</f>
        <v>1</v>
      </c>
      <c r="O133">
        <v>0</v>
      </c>
      <c r="P133">
        <f>IF(B155=0,0,O133/B155)</f>
        <v>0</v>
      </c>
      <c r="S133">
        <f>IF(AND(Inputs!$B$4&lt;&gt;"pvp",Inputs!$B$35&gt;0),(INT(Inputs!$B$35/IF(Inputs!$B$4="pvp",15,MAX(0.1,Skills!E17-IF(Skills!F17=TRUE,Inputs!$B$31,0))))+1),0)</f>
        <v>0</v>
      </c>
      <c r="V133">
        <f>IFERROR(1/IF(Inputs!$B$4="pvp",15,MAX(0.1,Skills!E17-IF(Skills!F17=TRUE,Inputs!$B$31,0))),0)</f>
        <v>4.7619047619047616E-2</v>
      </c>
    </row>
    <row r="134" spans="1:22" x14ac:dyDescent="0.2">
      <c r="A134" t="str">
        <f>Skills!A18</f>
        <v>NIMBLE_FEET</v>
      </c>
      <c r="B134" t="str">
        <f>Skills!B18</f>
        <v>Nimble Feet</v>
      </c>
      <c r="C134" t="b">
        <f>TRUE</f>
        <v>1</v>
      </c>
      <c r="D134">
        <f>IF(Skills!C18=1,60+Inputs!$B$24+Inputs!$B$28,IF(Skills!C18=2,90+Inputs!$B$25+Inputs!$B$28,IF(Skills!C18=3,120+Inputs!$B$26+Inputs!$B$28,MAX(0,(Inputs!$B$3-100)*3)+Inputs!$B$27+Inputs!$B$28)))</f>
        <v>115</v>
      </c>
      <c r="E134">
        <f>INDEX(FactorTable!$B$2:$Y$301, MATCH(ROUND(MIN(300,MAX(1,D134)),0), FactorTable!$A$2:$A$301,0), Skills!M18+1)</f>
        <v>0</v>
      </c>
      <c r="F134">
        <f>IF(Skills!N18=TRUE,(Skills!L18/10)*(E134/1000),Skills!L18/10)+Skills!O18</f>
        <v>15</v>
      </c>
      <c r="G134">
        <f>Calc!G18</f>
        <v>1</v>
      </c>
      <c r="H134">
        <f>Calc!H18</f>
        <v>1</v>
      </c>
      <c r="I134">
        <f>IF(Skills!X18&lt;&gt;"",1+(Skills!X18/10)*(R119/1000)/100,1)</f>
        <v>1</v>
      </c>
      <c r="O134">
        <v>0</v>
      </c>
      <c r="P134">
        <f>IF(B155=0,0,O134/B155)</f>
        <v>0</v>
      </c>
      <c r="S134">
        <f>IF(AND(Inputs!$B$4&lt;&gt;"pvp",Inputs!$B$35&gt;0),(INT(Inputs!$B$35/IF(Inputs!$B$4="pvp",15,MAX(0.1,Skills!E18-IF(Skills!F18=TRUE,Inputs!$B$31,0))))+1),0)</f>
        <v>0</v>
      </c>
      <c r="V134">
        <f>IFERROR(1/IF(Inputs!$B$4="pvp",15,MAX(0.1,Skills!E18-IF(Skills!F18=TRUE,Inputs!$B$31,0))),0)</f>
        <v>1.6666666666666666E-2</v>
      </c>
    </row>
    <row r="135" spans="1:22" x14ac:dyDescent="0.2">
      <c r="A135" t="str">
        <f>Skills!A19</f>
        <v>INFINITY</v>
      </c>
      <c r="B135" t="str">
        <f>Skills!B19</f>
        <v>Infinity</v>
      </c>
      <c r="C135" t="b">
        <f>Inputs!$B$3&gt;=110</f>
        <v>1</v>
      </c>
      <c r="D135">
        <f>IF(Skills!C19=1,60+Inputs!$B$24+Inputs!$B$28,IF(Skills!C19=2,90+Inputs!$B$25+Inputs!$B$28,IF(Skills!C19=3,120+Inputs!$B$26+Inputs!$B$28,MAX(0,(Inputs!$B$3-100)*3)+Inputs!$B$27+Inputs!$B$28)))</f>
        <v>172</v>
      </c>
      <c r="E135">
        <f>INDEX(FactorTable!$B$2:$Y$301, MATCH(ROUND(MIN(300,MAX(1,D135)),0), FactorTable!$A$2:$A$301,0), Skills!M19+1)</f>
        <v>1688</v>
      </c>
      <c r="F135">
        <f>IF(Skills!N19=TRUE,(Skills!L19/10)*(E135/1000),Skills!L19/10)+Skills!O19</f>
        <v>36.573895999999998</v>
      </c>
      <c r="G135">
        <f>Calc!G19</f>
        <v>1</v>
      </c>
      <c r="H135">
        <f>Calc!H19</f>
        <v>1</v>
      </c>
      <c r="I135">
        <f>IF(Skills!X19&lt;&gt;"",1+(Skills!X19/10)*(R119/1000)/100,1)</f>
        <v>1</v>
      </c>
      <c r="O135">
        <v>0</v>
      </c>
      <c r="P135">
        <f>IF(B155=0,0,O135/B155)</f>
        <v>0</v>
      </c>
      <c r="S135">
        <f>IF(AND(Inputs!$B$4&lt;&gt;"pvp",Inputs!$B$35&gt;0),(INT(Inputs!$B$35/IF(Inputs!$B$4="pvp",15,MAX(0.1,Skills!E19-IF(Skills!F19=TRUE,Inputs!$B$31,0))))+1),0)</f>
        <v>0</v>
      </c>
      <c r="V135">
        <f>IFERROR(1/IF(Inputs!$B$4="pvp",15,MAX(0.1,Skills!E19-IF(Skills!F19=TRUE,Inputs!$B$31,0))),0)</f>
        <v>3.3333333333333333E-2</v>
      </c>
    </row>
    <row r="136" spans="1:22" x14ac:dyDescent="0.2">
      <c r="A136" t="str">
        <f>Skills!A20</f>
        <v>MAGIC_CRITICAL_RATE</v>
      </c>
      <c r="B136" t="str">
        <f>Skills!B20</f>
        <v>Magic Critical (Crit Rate)</v>
      </c>
      <c r="C136" t="b">
        <f>TRUE</f>
        <v>1</v>
      </c>
      <c r="D136">
        <f>IF(Skills!C20=1,60+Inputs!$B$24+Inputs!$B$28,IF(Skills!C20=2,90+Inputs!$B$25+Inputs!$B$28,IF(Skills!C20=3,120+Inputs!$B$26+Inputs!$B$28,MAX(0,(Inputs!$B$3-100)*3)+Inputs!$B$27+Inputs!$B$28)))</f>
        <v>184</v>
      </c>
      <c r="E136">
        <f>INDEX(FactorTable!$B$2:$Y$301, MATCH(ROUND(MIN(300,MAX(1,D136)),0), FactorTable!$A$2:$A$301,0), Skills!M20+1)</f>
        <v>1552</v>
      </c>
      <c r="F136">
        <f>IF(Skills!N20=TRUE,(Skills!L20/10)*(E136/1000),Skills!L20/10)+Skills!O20</f>
        <v>12.416</v>
      </c>
      <c r="G136">
        <f>Calc!G20</f>
        <v>1</v>
      </c>
      <c r="H136">
        <f>Calc!H20</f>
        <v>1</v>
      </c>
      <c r="I136">
        <f>IF(Skills!X20&lt;&gt;"",1+(Skills!X20/10)*(R119/1000)/100,1)</f>
        <v>1</v>
      </c>
      <c r="O136">
        <v>0</v>
      </c>
      <c r="P136">
        <f>IF(B155=0,0,O136/B155)</f>
        <v>0</v>
      </c>
      <c r="S136">
        <v>0</v>
      </c>
      <c r="V136">
        <f>IFERROR(1/IF(Inputs!$B$4="pvp",15,MAX(0.1,Skills!E20-IF(Skills!F20=TRUE,Inputs!$B$31,0))),0)</f>
        <v>10</v>
      </c>
    </row>
    <row r="137" spans="1:22" x14ac:dyDescent="0.2">
      <c r="A137" t="str">
        <f>Skills!A21</f>
        <v>MAGIC_CRITICAL_DAMAGE</v>
      </c>
      <c r="B137" t="str">
        <f>Skills!B21</f>
        <v>Magic Critical (Crit Damage)</v>
      </c>
      <c r="C137" t="b">
        <f>TRUE</f>
        <v>1</v>
      </c>
      <c r="D137">
        <f>IF(Skills!C21=1,60+Inputs!$B$24+Inputs!$B$28,IF(Skills!C21=2,90+Inputs!$B$25+Inputs!$B$28,IF(Skills!C21=3,120+Inputs!$B$26+Inputs!$B$28,MAX(0,(Inputs!$B$3-100)*3)+Inputs!$B$27+Inputs!$B$28)))</f>
        <v>184</v>
      </c>
      <c r="E137">
        <f>INDEX(FactorTable!$B$2:$Y$301, MATCH(ROUND(MIN(300,MAX(1,D137)),0), FactorTable!$A$2:$A$301,0), Skills!M21+1)</f>
        <v>1552</v>
      </c>
      <c r="F137">
        <f>IF(Skills!N21=TRUE,(Skills!L21/10)*(E137/1000),Skills!L21/10)+Skills!O21</f>
        <v>18.624000000000002</v>
      </c>
      <c r="G137">
        <f>Calc!G21</f>
        <v>1</v>
      </c>
      <c r="H137">
        <f>Calc!H21</f>
        <v>1</v>
      </c>
      <c r="I137">
        <f>IF(Skills!X21&lt;&gt;"",1+(Skills!X21/10)*(R119/1000)/100,1)</f>
        <v>1</v>
      </c>
      <c r="O137">
        <v>0</v>
      </c>
      <c r="P137">
        <f>IF(B155=0,0,O137/B155)</f>
        <v>0</v>
      </c>
      <c r="S137">
        <v>0</v>
      </c>
      <c r="V137">
        <f>IFERROR(1/IF(Inputs!$B$4="pvp",15,MAX(0.1,Skills!E21-IF(Skills!F21=TRUE,Inputs!$B$31,0))),0)</f>
        <v>10</v>
      </c>
    </row>
    <row r="138" spans="1:22" x14ac:dyDescent="0.2">
      <c r="A138" t="str">
        <f>Skills!A22</f>
        <v>SPELL_MASTERY</v>
      </c>
      <c r="B138" t="str">
        <f>Skills!B22</f>
        <v>Spell Mastery</v>
      </c>
      <c r="C138" t="b">
        <f>TRUE</f>
        <v>1</v>
      </c>
      <c r="D138">
        <f>IF(Skills!C22=1,60+Inputs!$B$24+Inputs!$B$28,IF(Skills!C22=2,90+Inputs!$B$25+Inputs!$B$28,IF(Skills!C22=3,120+Inputs!$B$26+Inputs!$B$28,MAX(0,(Inputs!$B$3-100)*3)+Inputs!$B$27+Inputs!$B$28)))</f>
        <v>164</v>
      </c>
      <c r="E138">
        <f>INDEX(FactorTable!$B$2:$Y$301, MATCH(ROUND(MIN(300,MAX(1,D138)),0), FactorTable!$A$2:$A$301,0), Skills!M22+1)</f>
        <v>1492</v>
      </c>
      <c r="F138">
        <f>IF(Skills!N22=TRUE,(Skills!L22/10)*(E138/1000),Skills!L22/10)+Skills!O22</f>
        <v>22.38</v>
      </c>
      <c r="G138">
        <f>Calc!G22</f>
        <v>1</v>
      </c>
      <c r="H138">
        <f>Calc!H22</f>
        <v>1</v>
      </c>
      <c r="I138">
        <f>IF(Skills!X22&lt;&gt;"",1+(Skills!X22/10)*(R119/1000)/100,1)</f>
        <v>1</v>
      </c>
      <c r="O138">
        <v>0</v>
      </c>
      <c r="P138">
        <f>IF(B155=0,0,O138/B155)</f>
        <v>0</v>
      </c>
      <c r="S138">
        <v>0</v>
      </c>
      <c r="V138">
        <f>IFERROR(1/IF(Inputs!$B$4="pvp",15,MAX(0.1,Skills!E22-IF(Skills!F22=TRUE,Inputs!$B$31,0))),0)</f>
        <v>10</v>
      </c>
    </row>
    <row r="139" spans="1:22" x14ac:dyDescent="0.2">
      <c r="A139" t="str">
        <f>Skills!A23</f>
        <v>ELEMENT_AMPLIFICATION</v>
      </c>
      <c r="B139" t="str">
        <f>Skills!B23</f>
        <v>Element Amplification</v>
      </c>
      <c r="C139" t="b">
        <f>TRUE</f>
        <v>1</v>
      </c>
      <c r="D139">
        <f>IF(Skills!C23=1,60+Inputs!$B$24+Inputs!$B$28,IF(Skills!C23=2,90+Inputs!$B$25+Inputs!$B$28,IF(Skills!C23=3,120+Inputs!$B$26+Inputs!$B$28,MAX(0,(Inputs!$B$3-100)*3)+Inputs!$B$27+Inputs!$B$28)))</f>
        <v>172</v>
      </c>
      <c r="E139">
        <f>INDEX(FactorTable!$B$2:$Y$301, MATCH(ROUND(MIN(300,MAX(1,D139)),0), FactorTable!$A$2:$A$301,0), Skills!M23+1)</f>
        <v>1516</v>
      </c>
      <c r="F139">
        <f>IF(Skills!N23=TRUE,(Skills!L23/10)*(E139/1000),Skills!L23/10)+Skills!O23</f>
        <v>22.740000000000002</v>
      </c>
      <c r="G139">
        <f>Calc!G23</f>
        <v>1</v>
      </c>
      <c r="H139">
        <f>Calc!H23</f>
        <v>1</v>
      </c>
      <c r="I139">
        <f>IF(Skills!X23&lt;&gt;"",1+(Skills!X23/10)*(R119/1000)/100,1)</f>
        <v>1</v>
      </c>
      <c r="O139">
        <v>0</v>
      </c>
      <c r="P139">
        <f>IF(B155=0,0,O139/B155)</f>
        <v>0</v>
      </c>
      <c r="S139">
        <v>0</v>
      </c>
      <c r="V139">
        <f>IFERROR(1/IF(Inputs!$B$4="pvp",15,MAX(0.1,Skills!E23-IF(Skills!F23=TRUE,Inputs!$B$31,0))),0)</f>
        <v>10</v>
      </c>
    </row>
    <row r="140" spans="1:22" x14ac:dyDescent="0.2">
      <c r="A140" t="str">
        <f>Skills!A24</f>
        <v>IFRIT</v>
      </c>
      <c r="B140" t="str">
        <f>Skills!B24</f>
        <v>Ifrit</v>
      </c>
      <c r="C140" t="b">
        <f>Inputs!$B$3&gt;=115</f>
        <v>0</v>
      </c>
      <c r="D140">
        <f>IF(Skills!C24=1,60+Inputs!$B$24+Inputs!$B$28,IF(Skills!C24=2,90+Inputs!$B$25+Inputs!$B$28,IF(Skills!C24=3,120+Inputs!$B$26+Inputs!$B$28,MAX(0,(Inputs!$B$3-100)*3)+Inputs!$B$27+Inputs!$B$28)))</f>
        <v>172</v>
      </c>
      <c r="E140">
        <f>INDEX(FactorTable!$B$2:$Y$301, MATCH(ROUND(MIN(300,MAX(1,D140)),0), FactorTable!$A$2:$A$301,0), Skills!M24+1)</f>
        <v>1860</v>
      </c>
      <c r="F140">
        <f>IF(Skills!N24=TRUE,(Skills!L24/10)*(E140/1000),Skills!L24/10)+Skills!O24</f>
        <v>6510</v>
      </c>
      <c r="G140">
        <f>Calc!G24</f>
        <v>7.5</v>
      </c>
      <c r="H140">
        <f>Calc!H24</f>
        <v>1</v>
      </c>
      <c r="I140">
        <f>IF(Skills!X24&lt;&gt;"",1+(Skills!X24/10)*(R119/1000)/100,1)</f>
        <v>1</v>
      </c>
      <c r="J140">
        <f>((Inputs!$B$5*(1+Inputs!$B$6/100))+((Inputs!$B$11*(1+Inputs!$B$12/100))-(Inputs!$B$11*(1+Inputs!$B$12/100)))*(1+Inputs!$B$6/100))*(F140/100)</f>
        <v>16263999540.532799</v>
      </c>
      <c r="K140">
        <f>J140*(1+((Inputs!$B$11*(1+Inputs!$B$12/100))*0.01+Inputs!$B$13*0.0025)/100)*(1+(Inputs!$B$14+1)/100)*(1+IF(Inputs!$B$4="pvp",0,(1-Summary!$B$56)*(Inputs!$B$19+Skills!P24)+Summary!$B$56*(Inputs!$B$20+Skills!Q24))/100)*(1+Inputs!$B$15/100)*(5000/(6000+Inputs!$B$7*(1-Inputs!$B$18/100)))*(1+Inputs!$B$23/100)*(1+F139/100)*(1+IF(Inputs!$B$3&gt;=120,F142,0)/100)^5*(1+(IF(Skills!A24="BASIC_ATTACK",Inputs!$B$16,Inputs!$B$17+IF(Inputs!$B$3&gt;=125,F143*5,0)))/100)*(B146*B147*B148*I140)</f>
        <v>123855484765638.72</v>
      </c>
      <c r="L140">
        <f>K140*(MIN(Inputs!$B$21+(F138-Calc!F22),Inputs!$B$22)/100+Inputs!$B$22/100)/2</f>
        <v>334347881124841.69</v>
      </c>
      <c r="M140">
        <f>L140*(1+(Inputs!$B$9+(F137-Calc!F21))/100)</f>
        <v>1401251969794211.8</v>
      </c>
      <c r="N140">
        <f>L140*(1-MIN(Inputs!$B$8+(F136-Calc!F20),100)/100)+M140*(MIN(Inputs!$B$8+(F136-Calc!F20),100)/100)</f>
        <v>1401251969794211.8</v>
      </c>
      <c r="O140">
        <f>IF(C140,H140*N140*IF(AND(Inputs!$B$4&lt;&gt;"pvp",Inputs!$B$35&gt;0),((Skills!G24*((S140-1)*IF(Skills!H24&gt;0,Skills!I24/Skills!H24,1)+IF(Skills!H24&gt;0,MIN(Skills!I24,MAX(0,Inputs!$B$35-((S140-1)*IF(Inputs!$B$4="pvp",15,MAX(0.1,Skills!E24-IF(Skills!F24=TRUE,Inputs!$B$31,0))))))/Skills!H24,1)))/Inputs!$B$35),G140*V140)*(1+IF(Inputs!$B$3&gt;=130,0.2*(Skills!I16/Skills!E15+IF(Inputs!$B$3&gt;=126,0.05*(B152+V129+(H130*B153)/(1+Skills!H14*H130*B153)+V140),0)*Skills!I16),0))*IF(Inputs!$B$4="pvp",1,(1-Summary!$B$56)*(1)+Summary!$B$56*(MIN(Skills!R24,Inputs!$B$37))),0)</f>
        <v>0</v>
      </c>
      <c r="P140">
        <f>IF(B155=0,0,O140/B155)</f>
        <v>0</v>
      </c>
      <c r="S140">
        <f>IF(AND(Inputs!$B$4&lt;&gt;"pvp",Inputs!$B$35&gt;0),(INT(Inputs!$B$35/IF(Inputs!$B$4="pvp",15,MAX(0.1,Skills!E24-IF(Skills!F24=TRUE,Inputs!$B$31,0))))+1),0)</f>
        <v>0</v>
      </c>
      <c r="V140">
        <f>IFERROR(1/IF(Inputs!$B$4="pvp",15,MAX(0.1,Skills!E24-IF(Skills!F24=TRUE,Inputs!$B$31,0))),0)</f>
        <v>1.2500000000000001E-2</v>
      </c>
    </row>
    <row r="141" spans="1:22" x14ac:dyDescent="0.2">
      <c r="A141" t="str">
        <f>Skills!A25</f>
        <v>BUFF_MASTERY</v>
      </c>
      <c r="B141" t="str">
        <f>Skills!B25</f>
        <v>Buff Mastery</v>
      </c>
      <c r="C141" t="b">
        <f>Inputs!$B$3&gt;=117</f>
        <v>0</v>
      </c>
      <c r="D141">
        <f>IF(Skills!C25=1,60+Inputs!$B$24+Inputs!$B$28,IF(Skills!C25=2,90+Inputs!$B$25+Inputs!$B$28,IF(Skills!C25=3,120+Inputs!$B$26+Inputs!$B$28,MAX(0,(Inputs!$B$3-100)*3)+Inputs!$B$27+Inputs!$B$28)))</f>
        <v>172</v>
      </c>
      <c r="E141">
        <f>INDEX(FactorTable!$B$2:$Y$301, MATCH(ROUND(MIN(300,MAX(1,D141)),0), FactorTable!$A$2:$A$301,0), Skills!M25+1)</f>
        <v>1516</v>
      </c>
      <c r="F141">
        <f>IF(Skills!N25=TRUE,(Skills!L25/10)*(E141/1000),Skills!L25/10)+Skills!O25</f>
        <v>15.16</v>
      </c>
      <c r="G141">
        <f>Calc!G25</f>
        <v>1</v>
      </c>
      <c r="H141">
        <f>Calc!H25</f>
        <v>1</v>
      </c>
      <c r="I141">
        <f>IF(Skills!X25&lt;&gt;"",1+(Skills!X25/10)*(R119/1000)/100,1)</f>
        <v>1</v>
      </c>
      <c r="O141">
        <v>0</v>
      </c>
      <c r="P141">
        <f>IF(B155=0,0,O141/B155)</f>
        <v>0</v>
      </c>
      <c r="S141">
        <v>0</v>
      </c>
      <c r="V141">
        <f>IFERROR(1/IF(Inputs!$B$4="pvp",15,MAX(0.1,Skills!E25-IF(Skills!F25=TRUE,Inputs!$B$31,0))),0)</f>
        <v>10</v>
      </c>
    </row>
    <row r="142" spans="1:22" x14ac:dyDescent="0.2">
      <c r="A142" t="str">
        <f>Skills!A26</f>
        <v>ARCANE_AIM</v>
      </c>
      <c r="B142" t="str">
        <f>Skills!B26</f>
        <v>Arcane Aim</v>
      </c>
      <c r="C142" t="b">
        <f>Inputs!$B$3&gt;=120</f>
        <v>0</v>
      </c>
      <c r="D142">
        <f>IF(Skills!C26=1,60+Inputs!$B$24+Inputs!$B$28,IF(Skills!C26=2,90+Inputs!$B$25+Inputs!$B$28,IF(Skills!C26=3,120+Inputs!$B$26+Inputs!$B$28,MAX(0,(Inputs!$B$3-100)*3)+Inputs!$B$27+Inputs!$B$28)))</f>
        <v>172</v>
      </c>
      <c r="E142">
        <f>INDEX(FactorTable!$B$2:$Y$301, MATCH(ROUND(MIN(300,MAX(1,D142)),0), FactorTable!$A$2:$A$301,0), Skills!M26+1)</f>
        <v>1516</v>
      </c>
      <c r="F142">
        <f>IF(Skills!N26=TRUE,(Skills!L26/10)*(E142/1000),Skills!L26/10)+Skills!O26</f>
        <v>4.548</v>
      </c>
      <c r="G142">
        <f>Calc!G26</f>
        <v>1</v>
      </c>
      <c r="H142">
        <f>Calc!H26</f>
        <v>1</v>
      </c>
      <c r="I142">
        <f>IF(Skills!X26&lt;&gt;"",1+(Skills!X26/10)*(R119/1000)/100,1)</f>
        <v>1</v>
      </c>
      <c r="O142">
        <v>0</v>
      </c>
      <c r="P142">
        <f>IF(B155=0,0,O142/B155)</f>
        <v>0</v>
      </c>
      <c r="S142">
        <v>0</v>
      </c>
      <c r="V142">
        <f>IFERROR(1/IF(Inputs!$B$4="pvp",15,MAX(0.1,Skills!E26-IF(Skills!F26=TRUE,Inputs!$B$31,0))),0)</f>
        <v>10</v>
      </c>
    </row>
    <row r="143" spans="1:22" x14ac:dyDescent="0.2">
      <c r="A143" t="str">
        <f>Skills!A27</f>
        <v>FERVENT_DRAIN</v>
      </c>
      <c r="B143" t="str">
        <f>Skills!B27</f>
        <v>Fervent Drain</v>
      </c>
      <c r="C143" t="b">
        <f>Inputs!$B$3&gt;=125</f>
        <v>0</v>
      </c>
      <c r="D143">
        <f>IF(Skills!C27=1,60+Inputs!$B$24+Inputs!$B$28,IF(Skills!C27=2,90+Inputs!$B$25+Inputs!$B$28,IF(Skills!C27=3,120+Inputs!$B$26+Inputs!$B$28,MAX(0,(Inputs!$B$3-100)*3)+Inputs!$B$27+Inputs!$B$28)))</f>
        <v>172</v>
      </c>
      <c r="E143">
        <f>INDEX(FactorTable!$B$2:$Y$301, MATCH(ROUND(MIN(300,MAX(1,D143)),0), FactorTable!$A$2:$A$301,0), Skills!M27+1)</f>
        <v>1516</v>
      </c>
      <c r="F143">
        <f>IF(Skills!N27=TRUE,(Skills!L27/10)*(E143/1000),Skills!L27/10)+Skills!O27</f>
        <v>6.0640000000000001</v>
      </c>
      <c r="G143">
        <f>Calc!G27</f>
        <v>1</v>
      </c>
      <c r="H143">
        <f>Calc!H27</f>
        <v>1</v>
      </c>
      <c r="I143">
        <f>IF(Skills!X27&lt;&gt;"",1+(Skills!X27/10)*(R119/1000)/100,1)</f>
        <v>1</v>
      </c>
      <c r="O143">
        <v>0</v>
      </c>
      <c r="P143">
        <f>IF(B155=0,0,O143/B155)</f>
        <v>0</v>
      </c>
      <c r="S143">
        <v>0</v>
      </c>
      <c r="V143">
        <f>IFERROR(1/IF(Inputs!$B$4="pvp",15,MAX(0.1,Skills!E27-IF(Skills!F27=TRUE,Inputs!$B$31,0))),0)</f>
        <v>10</v>
      </c>
    </row>
    <row r="144" spans="1:22" x14ac:dyDescent="0.2">
      <c r="A144" t="str">
        <f>Skills!A28</f>
        <v>FLAME_HAZE_FOG</v>
      </c>
      <c r="B144" t="str">
        <f>Skills!B28</f>
        <v>Flame Haze (poison fog DoT)</v>
      </c>
      <c r="C144" t="b">
        <f>Inputs!$B$3&gt;=118</f>
        <v>0</v>
      </c>
      <c r="D144">
        <f>IF(Skills!C28=1,60+Inputs!$B$24+Inputs!$B$28,IF(Skills!C28=2,90+Inputs!$B$25+Inputs!$B$28,IF(Skills!C28=3,120+Inputs!$B$26+Inputs!$B$28,MAX(0,(Inputs!$B$3-100)*3)+Inputs!$B$27+Inputs!$B$28)))</f>
        <v>172</v>
      </c>
      <c r="E144">
        <f>INDEX(FactorTable!$B$2:$Y$301, MATCH(ROUND(MIN(300,MAX(1,D144)),0), FactorTable!$A$2:$A$301,0), Skills!M28+1)</f>
        <v>1860</v>
      </c>
      <c r="F144">
        <f>IF(Skills!N28=TRUE,(Skills!L28/10)*(E144/1000),Skills!L28/10)+Skills!O28</f>
        <v>130.20000000000002</v>
      </c>
      <c r="G144">
        <f>Calc!G28</f>
        <v>50</v>
      </c>
      <c r="H144">
        <f>Calc!H28</f>
        <v>1</v>
      </c>
      <c r="I144">
        <f>IF(Skills!X28&lt;&gt;"",1+(Skills!X28/10)*(R119/1000)/100,1)</f>
        <v>1</v>
      </c>
      <c r="J144">
        <f>((Inputs!$B$5*(1+Inputs!$B$6/100))+((Inputs!$B$11*(1+Inputs!$B$12/100))-(Inputs!$B$11*(1+Inputs!$B$12/100)))*(1+Inputs!$B$6/100))*(F144/100)</f>
        <v>325279990.81065607</v>
      </c>
      <c r="K144">
        <f>J144*(1+((Inputs!$B$11*(1+Inputs!$B$12/100))*0.01+Inputs!$B$13*0.0025)/100)*(1+(Inputs!$B$14+1)/100)*(1+IF(Inputs!$B$4="pvp",0,(1-Summary!$B$56)*(Inputs!$B$19+Skills!P28)+Summary!$B$56*(Inputs!$B$20+Skills!Q28))/100)*(1+Inputs!$B$15/100)*(5000/(6000+Inputs!$B$7*(1-Inputs!$B$18/100)))*(1+Inputs!$B$23/100)*(1+F139/100)*(1+IF(Inputs!$B$3&gt;=120,F142,0)/100)^5*(1+(IF(Skills!A28="BASIC_ATTACK",Inputs!$B$16,Inputs!$B$17+IF(Inputs!$B$3&gt;=125,F143*5,0)))/100)*(B146*B147*B148*I144)</f>
        <v>2477109695312.7759</v>
      </c>
      <c r="L144">
        <f>K144*(MIN(Inputs!$B$21+(F138-Calc!F22),Inputs!$B$22)/100+Inputs!$B$22/100)/2</f>
        <v>6686957622496.8379</v>
      </c>
      <c r="M144">
        <f>L144*(1+(Inputs!$B$9+(F137-Calc!F21))/100)</f>
        <v>28025039395884.254</v>
      </c>
      <c r="N144">
        <f>L144*(1-MIN(Inputs!$B$8+(F136-Calc!F20),100)/100)+M144*(MIN(Inputs!$B$8+(F136-Calc!F20),100)/100)</f>
        <v>28025039395884.254</v>
      </c>
      <c r="O144">
        <f>IF(C144,H144*N144*IF(AND(Inputs!$B$4&lt;&gt;"pvp",Inputs!$B$35&gt;0),((Skills!G28*((S144-1)*IF(Skills!H28&gt;0,Skills!I28/Skills!H28,1)+IF(Skills!H28&gt;0,MIN(Skills!I28,MAX(0,Inputs!$B$35-((S144-1)*IF(Inputs!$B$4="pvp",15,MAX(0.1,Skills!E28-IF(Skills!F28=TRUE,Inputs!$B$31,0))))))/Skills!H28,1)))/Inputs!$B$35),G144*V144)*IF(Inputs!$B$4="pvp",1,(1-Summary!$B$56)*(1)+Summary!$B$56*(MIN(Skills!R28,Inputs!$B$37))),0)</f>
        <v>0</v>
      </c>
      <c r="P144">
        <f>IF(B155=0,0,O144/B155)</f>
        <v>0</v>
      </c>
      <c r="S144">
        <f>IF(AND(Inputs!$B$4&lt;&gt;"pvp",Inputs!$B$35&gt;0),(INT(Inputs!$B$35/IF(Inputs!$B$4="pvp",15,MAX(0.1,Skills!E28-IF(Skills!F28=TRUE,Inputs!$B$31,0))))+1),0)</f>
        <v>0</v>
      </c>
      <c r="V144">
        <f>IFERROR(1/IF(Inputs!$B$4="pvp",15,MAX(0.1,Skills!E28-IF(Skills!F28=TRUE,Inputs!$B$31,0))),0)</f>
        <v>0.04</v>
      </c>
    </row>
    <row r="146" spans="1:22" x14ac:dyDescent="0.2">
      <c r="A146" t="s">
        <v>222</v>
      </c>
      <c r="B146">
        <f>1+(F127*Skills!Z11)/100</f>
        <v>1.25</v>
      </c>
    </row>
    <row r="147" spans="1:22" x14ac:dyDescent="0.2">
      <c r="A147" t="s">
        <v>223</v>
      </c>
      <c r="B147">
        <f>1+F128/100</f>
        <v>1.18624</v>
      </c>
    </row>
    <row r="148" spans="1:22" x14ac:dyDescent="0.2">
      <c r="A148" t="s">
        <v>224</v>
      </c>
      <c r="B148">
        <f>(1+(F122*IF(AND(Inputs!$B$4&lt;&gt;"pvp",Inputs!$B$35&gt;0),(((S122-1)*(Skills!T6*(1+(Inputs!$B$33+IF(Inputs!$B$3&gt;=117,F141,0))/100))+MIN((Skills!T6*(1+(Inputs!$B$33+IF(Inputs!$B$3&gt;=117,F141,0))/100)),MAX(0,Inputs!$B$35-((S122-1)*Skills!E6))))/Inputs!$B$35),IF(Inputs!$B$4="pvp",MIN((Skills!T6*(1+(Inputs!$B$33+IF(Inputs!$B$3&gt;=117,F141,0))/100)),15)/15,(Skills!T6*(1+(Inputs!$B$33+IF(Inputs!$B$3&gt;=117,F141,0))/100))/Skills!E6))+F133*IF(AND(Inputs!$B$4&lt;&gt;"pvp",Inputs!$B$35&gt;0),(((S133-1)*(Skills!T17*(1+(Inputs!$B$33+IF(Inputs!$B$3&gt;=117,F141,0))/100))+MIN((Skills!T17*(1+(Inputs!$B$33+IF(Inputs!$B$3&gt;=117,F141,0))/100)),MAX(0,Inputs!$B$35-((S133-1)*Skills!E17))))/Inputs!$B$35),IF(Inputs!$B$4="pvp",MIN((Skills!T17*(1+(Inputs!$B$33+IF(Inputs!$B$3&gt;=117,F141,0))/100)),15)/15,(Skills!T17*(1+(Inputs!$B$33+IF(Inputs!$B$3&gt;=117,F141,0))/100))/Skills!E17)))/100)*IF(C135=TRUE,(1+F135*IF(AND(Inputs!$B$4&lt;&gt;"pvp",Inputs!$B$35&gt;0),(((S135-1)*(Skills!T19*(1+(Inputs!$B$33+IF(Inputs!$B$3&gt;=117,F141,0))/100))+MIN((Skills!T19*(1+(Inputs!$B$33+IF(Inputs!$B$3&gt;=117,F141,0))/100)),MAX(0,Inputs!$B$35-((S135-1)*Skills!E19))))/Inputs!$B$35),IF(Inputs!$B$4="pvp",MIN((Skills!T19*(1+(Inputs!$B$33+IF(Inputs!$B$3&gt;=117,F141,0))/100)),15)/15,(Skills!T19*(1+(Inputs!$B$33+IF(Inputs!$B$3&gt;=117,F141,0))/100))/Skills!E19))/100),1)</f>
        <v>1.5603265106950857</v>
      </c>
    </row>
    <row r="149" spans="1:22" x14ac:dyDescent="0.2">
      <c r="A149" t="s">
        <v>225</v>
      </c>
      <c r="B149">
        <f>F134*IF(AND(Inputs!$B$4&lt;&gt;"pvp",Inputs!$B$35&gt;0),(((S134-1)*(Skills!T18*(1+(Inputs!$B$33+IF(Inputs!$B$3&gt;=117,F141,0))/100))+MIN((Skills!T18*(1+(Inputs!$B$33+IF(Inputs!$B$3&gt;=117,F141,0))/100)),MAX(0,Inputs!$B$35-((S134-1)*Skills!E18))))/Inputs!$B$35),IF(Inputs!$B$4="pvp",MIN((Skills!T18*(1+(Inputs!$B$33+IF(Inputs!$B$3&gt;=117,F141,0))/100)),15)/15,(Skills!T18*(1+(Inputs!$B$33+IF(Inputs!$B$3&gt;=117,F141,0))/100))/Skills!E18))</f>
        <v>3.75</v>
      </c>
    </row>
    <row r="150" spans="1:22" x14ac:dyDescent="0.2">
      <c r="A150" t="s">
        <v>253</v>
      </c>
      <c r="B150">
        <f>1+MIN(150,150*(1-(1-Inputs!$B$10/150)*(1-B149/150)))/100</f>
        <v>1.6371249999999999</v>
      </c>
    </row>
    <row r="151" spans="1:22" x14ac:dyDescent="0.2">
      <c r="A151" t="s">
        <v>254</v>
      </c>
      <c r="B151">
        <f>IF(AND(Inputs!$B$4&lt;&gt;"pvp",Inputs!$B$35&gt;0),SUMPRODUCT((Skills!F2:F28=TRUE)*(C118:C144=TRUE)*S118:S144)/Inputs!$B$35,SUMPRODUCT((Skills!F2:F28=TRUE)*(C118:C144=TRUE)*V118:V144))</f>
        <v>0.33466433037861604</v>
      </c>
    </row>
    <row r="152" spans="1:22" x14ac:dyDescent="0.2">
      <c r="A152" t="s">
        <v>228</v>
      </c>
      <c r="B152">
        <f>MAX(0,B150-B151)</f>
        <v>1.3024606696213838</v>
      </c>
    </row>
    <row r="153" spans="1:22" x14ac:dyDescent="0.2">
      <c r="A153" t="s">
        <v>255</v>
      </c>
      <c r="B153">
        <f>IF(AND(Inputs!$B$4&lt;&gt;"pvp",Inputs!$B$35&gt;0),SUMPRODUCT((Skills!V2:V28=TRUE)*(C118:C144=TRUE)*S118:S144*Skills!W2:W28)/Inputs!$B$35,SUMPRODUCT((Skills!V2:V28=TRUE)*(C118:C144=TRUE)*V118:V144*Skills!W2:W28))+B152</f>
        <v>1.5297416426166426</v>
      </c>
    </row>
    <row r="155" spans="1:22" x14ac:dyDescent="0.2">
      <c r="A155" s="5" t="s">
        <v>208</v>
      </c>
      <c r="B155" s="5">
        <f>SUM(O118:O144)</f>
        <v>8347688474151543</v>
      </c>
    </row>
    <row r="158" spans="1:22" x14ac:dyDescent="0.2">
      <c r="A158" s="5" t="s">
        <v>258</v>
      </c>
    </row>
    <row r="159" spans="1:22" x14ac:dyDescent="0.2">
      <c r="A159" s="8" t="s">
        <v>74</v>
      </c>
      <c r="B159" s="8" t="s">
        <v>75</v>
      </c>
      <c r="C159" s="8" t="s">
        <v>190</v>
      </c>
      <c r="D159" s="8" t="s">
        <v>191</v>
      </c>
      <c r="E159" s="8" t="s">
        <v>192</v>
      </c>
      <c r="F159" s="8" t="s">
        <v>193</v>
      </c>
      <c r="G159" s="8" t="s">
        <v>194</v>
      </c>
      <c r="H159" s="8" t="s">
        <v>195</v>
      </c>
      <c r="I159" s="8" t="s">
        <v>196</v>
      </c>
      <c r="J159" s="8" t="s">
        <v>197</v>
      </c>
      <c r="K159" s="8" t="s">
        <v>198</v>
      </c>
      <c r="L159" s="8" t="s">
        <v>199</v>
      </c>
      <c r="M159" s="8" t="s">
        <v>200</v>
      </c>
      <c r="N159" s="8" t="s">
        <v>201</v>
      </c>
      <c r="O159" s="8" t="s">
        <v>202</v>
      </c>
      <c r="P159" s="8" t="s">
        <v>203</v>
      </c>
      <c r="R159" t="s">
        <v>252</v>
      </c>
    </row>
    <row r="160" spans="1:22" x14ac:dyDescent="0.2">
      <c r="A160" t="str">
        <f>Skills!A2</f>
        <v>BASIC_ATTACK</v>
      </c>
      <c r="B160" t="str">
        <f>Skills!B2</f>
        <v>Basic Attack</v>
      </c>
      <c r="C160" t="b">
        <f>TRUE</f>
        <v>1</v>
      </c>
      <c r="F160">
        <f>T162+Skills!O2</f>
        <v>510.52</v>
      </c>
      <c r="G160">
        <f>Calc!G2</f>
        <v>5</v>
      </c>
      <c r="H160">
        <f>Calc!H2</f>
        <v>1</v>
      </c>
      <c r="I160">
        <f>IF(Skills!X2&lt;&gt;"",1+(Skills!X2/10)*(R161/1000)/100,1)</f>
        <v>1</v>
      </c>
      <c r="J160">
        <f>((Inputs!$B$5*(1+Inputs!$B$6/100))+((Inputs!$B$11*(1+Inputs!$B$12/100))-(Inputs!$B$11*(1+Inputs!$B$12/100)))*(1+Inputs!$B$6/100))*(F160/100)</f>
        <v>1275437334.1678655</v>
      </c>
      <c r="K160">
        <f>J160*(1+((Inputs!$B$11*(1+Inputs!$B$12/100))*0.01+Inputs!$B$13*0.0025)/100)*(1+Inputs!$B$14/100)*(1+IF(Inputs!$B$4="pvp",0,(1-Summary!$B$56)*(Inputs!$B$19+Skills!P2)+Summary!$B$56*(Inputs!$B$20+Skills!Q2))/100)*(1+(Inputs!$B$15+1)/100)*(5000/(6000+Inputs!$B$7*(1-Inputs!$B$18/100)))*(1+Inputs!$B$23/100)*(1+F181/100)*(1+IF(Inputs!$B$3&gt;=120,F184,0)/100)^5*(1+(IF(Skills!A2="BASIC_ATTACK",Inputs!$B$16,Inputs!$B$17+IF(Inputs!$B$3&gt;=125,F185*5,0)))/100)*(B188*B189*B190*I160)</f>
        <v>7002684897072.1221</v>
      </c>
      <c r="L160">
        <f>K160*(MIN(Inputs!$B$21+(F180-Calc!F22),Inputs!$B$22)/100+Inputs!$B$22/100)/2</f>
        <v>18903747879646.191</v>
      </c>
      <c r="M160">
        <f>L160*(1+(Inputs!$B$9+(F179-Calc!F21))/100)</f>
        <v>79225607363597.203</v>
      </c>
      <c r="N160">
        <f>L160*(1-MIN(Inputs!$B$8+(F178-Calc!F20),100)/100)+M160*(MIN(Inputs!$B$8+(F178-Calc!F20),100)/100)</f>
        <v>79225607363597.203</v>
      </c>
      <c r="O160">
        <f>Skills!G2*N160*B194*IF(Inputs!$B$4="pvp",1,(1-Summary!$B$56)*(1)+Summary!$B$56*(MIN((6+Inputs!$B$32+IF(Inputs!$B$3&gt;=136,1,0)),Inputs!$B$37)))</f>
        <v>3921153029482162.5</v>
      </c>
      <c r="P160">
        <f>IF(B197=0,0,O160/B197)</f>
        <v>0.46738363090508689</v>
      </c>
      <c r="R160">
        <f>MAX(0,(Inputs!$B$3-100)*3)+Inputs!$B$27+Inputs!$B$28</f>
        <v>172</v>
      </c>
      <c r="S160">
        <v>0</v>
      </c>
      <c r="T160">
        <f>MAX(0,(Inputs!$B$3-100)*3)+Inputs!$B$27+Inputs!$B$28</f>
        <v>172</v>
      </c>
      <c r="V160">
        <f>IFERROR(1/IF(Inputs!$B$4="pvp",15,MAX(0.1,Skills!E2-IF(Skills!F2=TRUE,Inputs!$B$31,0))),0)</f>
        <v>10</v>
      </c>
    </row>
    <row r="161" spans="1:22" x14ac:dyDescent="0.2">
      <c r="A161" t="str">
        <f>Skills!A3</f>
        <v>IGNITE</v>
      </c>
      <c r="B161" t="str">
        <f>Skills!B3</f>
        <v>Ignite</v>
      </c>
      <c r="C161" t="b">
        <f>TRUE</f>
        <v>1</v>
      </c>
      <c r="D161">
        <f>IF(Skills!C3=1,60+Inputs!$B$24+Inputs!$B$28,IF(Skills!C3=2,90+Inputs!$B$25+Inputs!$B$28,IF(Skills!C3=3,120+Inputs!$B$26+Inputs!$B$28,MAX(0,(Inputs!$B$3-100)*3)+Inputs!$B$27+Inputs!$B$28)))</f>
        <v>164</v>
      </c>
      <c r="E161">
        <f>INDEX(FactorTable!$B$2:$Y$301, MATCH(ROUND(MIN(300,MAX(1,D161)),0), FactorTable!$A$2:$A$301,0), Skills!M3+1)</f>
        <v>1656</v>
      </c>
      <c r="F161">
        <f>IF(Skills!N3=TRUE,(Skills!L3/10)*(E161/1000),Skills!L3/10)+Skills!O3</f>
        <v>121.52799999999999</v>
      </c>
      <c r="G161">
        <f>Calc!G3</f>
        <v>3</v>
      </c>
      <c r="H161">
        <f>Calc!H3</f>
        <v>1</v>
      </c>
      <c r="I161">
        <f>IF(Skills!X3&lt;&gt;"",1+(Skills!X3/10)*(R161/1000)/100,1)</f>
        <v>4.76</v>
      </c>
      <c r="J161">
        <f>((Inputs!$B$5*(1+Inputs!$B$6/100))+((Inputs!$B$11*(1+Inputs!$B$12/100))-(Inputs!$B$11*(1+Inputs!$B$12/100)))*(1+Inputs!$B$6/100))*(F161/100)</f>
        <v>303614644.57171583</v>
      </c>
      <c r="K161">
        <f>J161*(1+((Inputs!$B$11*(1+Inputs!$B$12/100))*0.01+Inputs!$B$13*0.0025)/100)*(1+Inputs!$B$14/100)*(1+IF(Inputs!$B$4="pvp",0,(1-Summary!$B$56)*(Inputs!$B$19+Skills!P3)+Summary!$B$56*(Inputs!$B$20+Skills!Q3))/100)*(1+(Inputs!$B$15+1)/100)*(5000/(6000+Inputs!$B$7*(1-Inputs!$B$18/100)))*(1+Inputs!$B$23/100)*(1+F181/100)*(1+IF(Inputs!$B$3&gt;=120,F184,0)/100)^5*(1+(IF(Skills!A3="BASIC_ATTACK",Inputs!$B$16,Inputs!$B$17+IF(Inputs!$B$3&gt;=125,F185*5,0)))/100)*(B188*B189*B190*I161)</f>
        <v>11060929356403.398</v>
      </c>
      <c r="L161">
        <f>K161*(MIN(Inputs!$B$21+(F180-Calc!F22),Inputs!$B$22)/100+Inputs!$B$22/100)/2</f>
        <v>29858978797610.969</v>
      </c>
      <c r="M161">
        <f>L161*(1+(Inputs!$B$9+(F179-Calc!F21))/100)</f>
        <v>125138980140787.59</v>
      </c>
      <c r="N161">
        <f>L161*(1-MIN(Inputs!$B$8+(F178-Calc!F20),100)/100)+M161*(MIN(Inputs!$B$8+(F178-Calc!F20),100)/100)</f>
        <v>125138980140787.59</v>
      </c>
      <c r="O161">
        <f>IF(C161,H161*N161*IF(AND(Inputs!$B$4&lt;&gt;"pvp",Inputs!$B$35&gt;0),((Skills!G3*((S161-1)*IF(Skills!H3&gt;0,Skills!I3/Skills!H3,1)+IF(Skills!H3&gt;0,MIN(Skills!I3,MAX(0,Inputs!$B$35-((S161-1)*IF(Inputs!$B$4="pvp",15,MAX(0.1,Skills!E3-IF(Skills!F3=TRUE,Inputs!$B$31,0))))))/Skills!H3,1)))/Inputs!$B$35),G161*V161)*IF(Inputs!$B$4="pvp",1,(1-Summary!$B$56)*(1)+Summary!$B$56*(MIN(Skills!R3,Inputs!$B$37))),0)</f>
        <v>825917268929198</v>
      </c>
      <c r="P161">
        <f>IF(B197=0,0,O161/B197)</f>
        <v>9.8445587070168622E-2</v>
      </c>
      <c r="R161">
        <f>INDEX(FactorTable!$B$2:$Y$301, MATCH(ROUND(MIN(300,MAX(1,R160)),0), FactorTable!$A$2:$A$301,0), 24)</f>
        <v>7520</v>
      </c>
      <c r="S161">
        <f>IF(AND(Inputs!$B$4&lt;&gt;"pvp",Inputs!$B$35&gt;0),(INT(Inputs!$B$35/IF(Inputs!$B$4="pvp",15,MAX(0.1,Skills!E3-IF(Skills!F3=TRUE,Inputs!$B$31,0))))+1),0)</f>
        <v>0</v>
      </c>
      <c r="T161">
        <f>INDEX(FactorTable!$B$2:$Y$301, MATCH(ROUND(MIN(300,MAX(1,T160)),0), FactorTable!$A$2:$A$301,0), 22)</f>
        <v>1688</v>
      </c>
      <c r="V161">
        <f>IFERROR(1/IF(Inputs!$B$4="pvp",15,MAX(0.1,Skills!E3-IF(Skills!F3=TRUE,Inputs!$B$31,0))),0)</f>
        <v>1</v>
      </c>
    </row>
    <row r="162" spans="1:22" x14ac:dyDescent="0.2">
      <c r="A162" t="str">
        <f>Skills!A4</f>
        <v>POISON_BREATH</v>
      </c>
      <c r="B162" t="str">
        <f>Skills!B4</f>
        <v>Poison Breath</v>
      </c>
      <c r="C162" t="b">
        <f>TRUE</f>
        <v>1</v>
      </c>
      <c r="D162">
        <f>IF(Skills!C4=1,60+Inputs!$B$24+Inputs!$B$28,IF(Skills!C4=2,90+Inputs!$B$25+Inputs!$B$28,IF(Skills!C4=3,120+Inputs!$B$26+Inputs!$B$28,MAX(0,(Inputs!$B$3-100)*3)+Inputs!$B$27+Inputs!$B$28)))</f>
        <v>164</v>
      </c>
      <c r="E162">
        <f>INDEX(FactorTable!$B$2:$Y$301, MATCH(ROUND(MIN(300,MAX(1,D162)),0), FactorTable!$A$2:$A$301,0), Skills!M4+1)</f>
        <v>1820</v>
      </c>
      <c r="F162">
        <f>IF(Skills!N4=TRUE,(Skills!L4/10)*(E162/1000),Skills!L4/10)+Skills!O4</f>
        <v>434</v>
      </c>
      <c r="G162">
        <f>Calc!G4</f>
        <v>3</v>
      </c>
      <c r="H162">
        <f>Calc!H4</f>
        <v>1</v>
      </c>
      <c r="I162">
        <f>IF(Skills!X4&lt;&gt;"",1+(Skills!X4/10)*(R161/1000)/100,1)</f>
        <v>7.0159999999999991</v>
      </c>
      <c r="J162">
        <f>((Inputs!$B$5*(1+Inputs!$B$6/100))+((Inputs!$B$11*(1+Inputs!$B$12/100))-(Inputs!$B$11*(1+Inputs!$B$12/100)))*(1+Inputs!$B$6/100))*(F162/100)</f>
        <v>1084266636.0355198</v>
      </c>
      <c r="K162">
        <f>J162*(1+((Inputs!$B$11*(1+Inputs!$B$12/100))*0.01+Inputs!$B$13*0.0025)/100)*(1+Inputs!$B$14/100)*(1+IF(Inputs!$B$4="pvp",0,(1-Summary!$B$56)*(Inputs!$B$19+Skills!P4)+Summary!$B$56*(Inputs!$B$20+Skills!Q4))/100)*(1+(Inputs!$B$15+1)/100)*(5000/(6000+Inputs!$B$7*(1-Inputs!$B$18/100)))*(1+Inputs!$B$23/100)*(1+F181/100)*(1+IF(Inputs!$B$3&gt;=120,F184,0)/100)^5*(1+(IF(Skills!A4="BASIC_ATTACK",Inputs!$B$16,Inputs!$B$17+IF(Inputs!$B$3&gt;=125,F185*5,0)))/100)*(B188*B189*B190*I162)</f>
        <v>58222067712798.031</v>
      </c>
      <c r="L162">
        <f>K162*(MIN(Inputs!$B$21+(F180-Calc!F22),Inputs!$B$22)/100+Inputs!$B$22/100)/2</f>
        <v>157170471790698.25</v>
      </c>
      <c r="M162">
        <f>L162*(1+(Inputs!$B$9+(F179-Calc!F21))/100)</f>
        <v>658701447274816.5</v>
      </c>
      <c r="N162">
        <f>L162*(1-MIN(Inputs!$B$8+(F178-Calc!F20),100)/100)+M162*(MIN(Inputs!$B$8+(F178-Calc!F20),100)/100)</f>
        <v>658701447274816.5</v>
      </c>
      <c r="O162">
        <f>IF(C162,H162*N162*IF(AND(Inputs!$B$4&lt;&gt;"pvp",Inputs!$B$35&gt;0),((Skills!G4*((S162-1)*IF(Skills!H4&gt;0,Skills!I4/Skills!H4,1)+IF(Skills!H4&gt;0,MIN(Skills!I4,MAX(0,Inputs!$B$35-((S162-1)*IF(Inputs!$B$4="pvp",15,MAX(0.1,Skills!E4-IF(Skills!F4=TRUE,Inputs!$B$31,0))))))/Skills!H4,1)))/Inputs!$B$35),G162*V162)*IF(Inputs!$B$4="pvp",1,(1-Summary!$B$56)*(1)+Summary!$B$56*(MIN(Skills!R4,Inputs!$B$37))),0)</f>
        <v>439134298183210.94</v>
      </c>
      <c r="P162">
        <f>IF(B197=0,0,O162/B197)</f>
        <v>5.2342813758261129E-2</v>
      </c>
      <c r="S162">
        <f>IF(AND(Inputs!$B$4&lt;&gt;"pvp",Inputs!$B$35&gt;0),(INT(Inputs!$B$35/IF(Inputs!$B$4="pvp",15,MAX(0.1,Skills!E4-IF(Skills!F4=TRUE,Inputs!$B$31,0))))+1),0)</f>
        <v>0</v>
      </c>
      <c r="T162">
        <f>290*T161/1000</f>
        <v>489.52</v>
      </c>
      <c r="V162">
        <f>IFERROR(1/IF(Inputs!$B$4="pvp",15,MAX(0.1,Skills!E4-IF(Skills!F4=TRUE,Inputs!$B$31,0))),0)</f>
        <v>5.5555555555555552E-2</v>
      </c>
    </row>
    <row r="163" spans="1:22" x14ac:dyDescent="0.2">
      <c r="A163" t="str">
        <f>Skills!A5</f>
        <v>ELEMENTAL_DRAIN</v>
      </c>
      <c r="B163" t="str">
        <f>Skills!B5</f>
        <v>Elemental Drain</v>
      </c>
      <c r="C163" t="b">
        <f>TRUE</f>
        <v>1</v>
      </c>
      <c r="D163">
        <f>IF(Skills!C5=1,60+Inputs!$B$24+Inputs!$B$28,IF(Skills!C5=2,90+Inputs!$B$25+Inputs!$B$28,IF(Skills!C5=3,120+Inputs!$B$26+Inputs!$B$28,MAX(0,(Inputs!$B$3-100)*3)+Inputs!$B$27+Inputs!$B$28)))</f>
        <v>164</v>
      </c>
      <c r="E163">
        <f>INDEX(FactorTable!$B$2:$Y$301, MATCH(ROUND(MIN(300,MAX(1,D163)),0), FactorTable!$A$2:$A$301,0), Skills!M5+1)</f>
        <v>1656</v>
      </c>
      <c r="F163">
        <f>IF(Skills!N5=TRUE,(Skills!L5/10)*(E163/1000),Skills!L5/10)+Skills!O5</f>
        <v>19.872</v>
      </c>
      <c r="G163">
        <f>Calc!G5</f>
        <v>5</v>
      </c>
      <c r="H163">
        <f>Calc!H5</f>
        <v>1</v>
      </c>
      <c r="I163">
        <f>IF(Skills!X5&lt;&gt;"",1+(Skills!X5/10)*(R161/1000)/100,1)</f>
        <v>12.28</v>
      </c>
      <c r="J163">
        <f>((Inputs!$B$5*(1+Inputs!$B$6/100))+((Inputs!$B$11*(1+Inputs!$B$12/100))-(Inputs!$B$11*(1+Inputs!$B$12/100)))*(1+Inputs!$B$6/100))*(F163/100)</f>
        <v>49646420.717276163</v>
      </c>
      <c r="K163">
        <f>J163*(1+((Inputs!$B$11*(1+Inputs!$B$12/100))*0.01+Inputs!$B$13*0.0025)/100)*(1+Inputs!$B$14/100)*(1+IF(Inputs!$B$4="pvp",0,(1-Summary!$B$56)*(Inputs!$B$19+Skills!P5)+Summary!$B$56*(Inputs!$B$20+Skills!Q5))/100)*(1+(Inputs!$B$15+1)/100)*(5000/(6000+Inputs!$B$7*(1-Inputs!$B$18/100)))*(1+Inputs!$B$23/100)*(1+F181/100)*(1+IF(Inputs!$B$3&gt;=120,F184,0)/100)^5*(1+(IF(Skills!A5="BASIC_ATTACK",Inputs!$B$16,Inputs!$B$17+IF(Inputs!$B$3&gt;=125,F185*5,0)))/100)*(B188*B189*B190*I163)</f>
        <v>4666037882913.2881</v>
      </c>
      <c r="L163">
        <f>K163*(MIN(Inputs!$B$21+(F180-Calc!F22),Inputs!$B$22)/100+Inputs!$B$22/100)/2</f>
        <v>12595969264924.42</v>
      </c>
      <c r="M163">
        <f>L163*(1+(Inputs!$B$9+(F179-Calc!F21))/100)</f>
        <v>52789707189298.25</v>
      </c>
      <c r="N163">
        <f>L163*(1-MIN(Inputs!$B$8+(F178-Calc!F20),100)/100)+M163*(MIN(Inputs!$B$8+(F178-Calc!F20),100)/100)</f>
        <v>52789707189298.25</v>
      </c>
      <c r="O163">
        <f>IF(C163,H163*N163*IF(AND(Inputs!$B$4&lt;&gt;"pvp",Inputs!$B$35&gt;0),((Skills!G5*((S163-1)*IF(Skills!H5&gt;0,Skills!I5/Skills!H5,1)+IF(Skills!H5&gt;0,MIN(Skills!I5,MAX(0,Inputs!$B$35-((S163-1)*IF(Inputs!$B$4="pvp",15,MAX(0.1,Skills!E5-IF(Skills!F5=TRUE,Inputs!$B$31,0))))))/Skills!H5,1)))/Inputs!$B$35),G163*V163)*IF(Inputs!$B$4="pvp",1,(1-Summary!$B$56)*(1)+Summary!$B$56*(MIN(Skills!R5,Inputs!$B$37))),0)</f>
        <v>263948535946491.25</v>
      </c>
      <c r="P163">
        <f>IF(B197=0,0,O163/B197)</f>
        <v>3.1461466608214687E-2</v>
      </c>
      <c r="S163">
        <f>IF(AND(Inputs!$B$4&lt;&gt;"pvp",Inputs!$B$35&gt;0),(INT(Inputs!$B$35/IF(Inputs!$B$4="pvp",15,MAX(0.1,Skills!E5-IF(Skills!F5=TRUE,Inputs!$B$31,0))))+1),0)</f>
        <v>0</v>
      </c>
      <c r="V163">
        <f>IFERROR(1/IF(Inputs!$B$4="pvp",15,MAX(0.1,Skills!E5-IF(Skills!F5=TRUE,Inputs!$B$31,0))),0)</f>
        <v>1</v>
      </c>
    </row>
    <row r="164" spans="1:22" x14ac:dyDescent="0.2">
      <c r="A164" t="str">
        <f>Skills!A6</f>
        <v>MEDITATION</v>
      </c>
      <c r="B164" t="str">
        <f>Skills!B6</f>
        <v>Meditation</v>
      </c>
      <c r="C164" t="b">
        <f>TRUE</f>
        <v>1</v>
      </c>
      <c r="D164">
        <f>IF(Skills!C6=1,60+Inputs!$B$24+Inputs!$B$28,IF(Skills!C6=2,90+Inputs!$B$25+Inputs!$B$28,IF(Skills!C6=3,120+Inputs!$B$26+Inputs!$B$28,MAX(0,(Inputs!$B$3-100)*3)+Inputs!$B$27+Inputs!$B$28)))</f>
        <v>164</v>
      </c>
      <c r="E164">
        <f>INDEX(FactorTable!$B$2:$Y$301, MATCH(ROUND(MIN(300,MAX(1,D164)),0), FactorTable!$A$2:$A$301,0), Skills!M6+1)</f>
        <v>1492</v>
      </c>
      <c r="F164">
        <f>IF(Skills!N6=TRUE,(Skills!L6/10)*(E164/1000),Skills!L6/10)+Skills!O6</f>
        <v>29.84</v>
      </c>
      <c r="G164">
        <f>Calc!G6</f>
        <v>1</v>
      </c>
      <c r="H164">
        <f>Calc!H6</f>
        <v>1</v>
      </c>
      <c r="I164">
        <f>IF(Skills!X6&lt;&gt;"",1+(Skills!X6/10)*(R161/1000)/100,1)</f>
        <v>1</v>
      </c>
      <c r="O164">
        <v>0</v>
      </c>
      <c r="P164">
        <f>IF(B197=0,0,O164/B197)</f>
        <v>0</v>
      </c>
      <c r="S164">
        <f>IF(AND(Inputs!$B$4&lt;&gt;"pvp",Inputs!$B$35&gt;0),(INT(Inputs!$B$35/IF(Inputs!$B$4="pvp",15,MAX(0.1,Skills!E6-IF(Skills!F6=TRUE,Inputs!$B$31,0))))+1),0)</f>
        <v>0</v>
      </c>
      <c r="V164">
        <f>IFERROR(1/IF(Inputs!$B$4="pvp",15,MAX(0.1,Skills!E6-IF(Skills!F6=TRUE,Inputs!$B$31,0))),0)</f>
        <v>3.3333333333333333E-2</v>
      </c>
    </row>
    <row r="165" spans="1:22" x14ac:dyDescent="0.2">
      <c r="A165" t="str">
        <f>Skills!A7</f>
        <v>POISON_MIST_BURST</v>
      </c>
      <c r="B165" t="str">
        <f>Skills!B7</f>
        <v>Poison Mist (burst)</v>
      </c>
      <c r="C165" t="b">
        <f>TRUE</f>
        <v>1</v>
      </c>
      <c r="D165">
        <f>IF(Skills!C7=1,60+Inputs!$B$24+Inputs!$B$28,IF(Skills!C7=2,90+Inputs!$B$25+Inputs!$B$28,IF(Skills!C7=3,120+Inputs!$B$26+Inputs!$B$28,MAX(0,(Inputs!$B$3-100)*3)+Inputs!$B$27+Inputs!$B$28)))</f>
        <v>184</v>
      </c>
      <c r="E165">
        <f>INDEX(FactorTable!$B$2:$Y$301, MATCH(ROUND(MIN(300,MAX(1,D165)),0), FactorTable!$A$2:$A$301,0), Skills!M7+1)</f>
        <v>1920</v>
      </c>
      <c r="F165">
        <f>IF(Skills!N7=TRUE,(Skills!L7/10)*(E165/1000),Skills!L7/10)+Skills!O7</f>
        <v>357.2</v>
      </c>
      <c r="G165">
        <f>Calc!G7</f>
        <v>3</v>
      </c>
      <c r="H165">
        <f>Calc!H7</f>
        <v>1</v>
      </c>
      <c r="I165">
        <f>IF(Skills!X7&lt;&gt;"",1+(Skills!X7/10)*(R161/1000)/100,1)</f>
        <v>1.7519999999999998</v>
      </c>
      <c r="J165">
        <f>((Inputs!$B$5*(1+Inputs!$B$6/100))+((Inputs!$B$11*(1+Inputs!$B$12/100))-(Inputs!$B$11*(1+Inputs!$B$12/100)))*(1+Inputs!$B$6/100))*(F165/100)</f>
        <v>892396411.04121602</v>
      </c>
      <c r="K165">
        <f>J165*(1+((Inputs!$B$11*(1+Inputs!$B$12/100))*0.01+Inputs!$B$13*0.0025)/100)*(1+Inputs!$B$14/100)*(1+IF(Inputs!$B$4="pvp",0,(1-Summary!$B$56)*(Inputs!$B$19+Skills!P7)+Summary!$B$56*(Inputs!$B$20+Skills!Q7))/100)*(1+(Inputs!$B$15+1)/100)*(5000/(6000+Inputs!$B$7*(1-Inputs!$B$18/100)))*(1+Inputs!$B$23/100)*(1+F181/100)*(1+IF(Inputs!$B$3&gt;=120,F184,0)/100)^5*(1+(IF(Skills!A7="BASIC_ATTACK",Inputs!$B$16,Inputs!$B$17+IF(Inputs!$B$3&gt;=125,F185*5,0)))/100)*(B188*B189*B190*I165)</f>
        <v>11966134146455.268</v>
      </c>
      <c r="L165">
        <f>K165*(MIN(Inputs!$B$21+(F180-Calc!F22),Inputs!$B$22)/100+Inputs!$B$22/100)/2</f>
        <v>32302579128355.988</v>
      </c>
      <c r="M165">
        <f>L165*(1+(Inputs!$B$9+(F179-Calc!F21))/100)</f>
        <v>135380109126939.97</v>
      </c>
      <c r="N165">
        <f>L165*(1-MIN(Inputs!$B$8+(F178-Calc!F20),100)/100)+M165*(MIN(Inputs!$B$8+(F178-Calc!F20),100)/100)</f>
        <v>135380109126939.97</v>
      </c>
      <c r="O165">
        <f>IF(C165,H165*N165*IF(AND(Inputs!$B$4&lt;&gt;"pvp",Inputs!$B$35&gt;0),((Skills!G7*((S165-1)*IF(Skills!H7&gt;0,Skills!I7/Skills!H7,1)+IF(Skills!H7&gt;0,MIN(Skills!I7,MAX(0,Inputs!$B$35-((S165-1)*IF(Inputs!$B$4="pvp",15,MAX(0.1,Skills!E7-IF(Skills!F7=TRUE,Inputs!$B$31,0))))))/Skills!H7,1)))/Inputs!$B$35),G165*V165)*IF(Inputs!$B$4="pvp",1,(1-Summary!$B$56)*(1)+Summary!$B$56*(MIN(Skills!R7,Inputs!$B$37))),0)</f>
        <v>106093799805601.94</v>
      </c>
      <c r="P165">
        <f>IF(B197=0,0,O165/B197)</f>
        <v>1.2645899049802746E-2</v>
      </c>
      <c r="S165">
        <f>IF(AND(Inputs!$B$4&lt;&gt;"pvp",Inputs!$B$35&gt;0),(INT(Inputs!$B$35/IF(Inputs!$B$4="pvp",15,MAX(0.1,Skills!E7-IF(Skills!F7=TRUE,Inputs!$B$31,0))))+1),0)</f>
        <v>0</v>
      </c>
      <c r="V165">
        <f>IFERROR(1/IF(Inputs!$B$4="pvp",15,MAX(0.1,Skills!E7-IF(Skills!F7=TRUE,Inputs!$B$31,0))),0)</f>
        <v>4.0816326530612242E-2</v>
      </c>
    </row>
    <row r="166" spans="1:22" x14ac:dyDescent="0.2">
      <c r="A166" t="str">
        <f>Skills!A8</f>
        <v>POISON_MIST_DOT</v>
      </c>
      <c r="B166" t="str">
        <f>Skills!B8</f>
        <v>Poison Mist (fog DoT)</v>
      </c>
      <c r="C166" t="b">
        <f>TRUE</f>
        <v>1</v>
      </c>
      <c r="D166">
        <f>IF(Skills!C8=1,60+Inputs!$B$24+Inputs!$B$28,IF(Skills!C8=2,90+Inputs!$B$25+Inputs!$B$28,IF(Skills!C8=3,120+Inputs!$B$26+Inputs!$B$28,MAX(0,(Inputs!$B$3-100)*3)+Inputs!$B$27+Inputs!$B$28)))</f>
        <v>184</v>
      </c>
      <c r="E166">
        <f>INDEX(FactorTable!$B$2:$Y$301, MATCH(ROUND(MIN(300,MAX(1,D166)),0), FactorTable!$A$2:$A$301,0), Skills!M8+1)</f>
        <v>1920</v>
      </c>
      <c r="F166">
        <f>IF(Skills!N8=TRUE,(Skills!L8/10)*(E166/1000),Skills!L8/10)+Skills!O8</f>
        <v>134.4</v>
      </c>
      <c r="G166">
        <f>Calc!G8</f>
        <v>50</v>
      </c>
      <c r="H166">
        <f>Calc!H8</f>
        <v>1</v>
      </c>
      <c r="I166">
        <f>IF(Skills!X8&lt;&gt;"",1+(Skills!X8/10)*(R161/1000)/100,1)</f>
        <v>1.7519999999999998</v>
      </c>
      <c r="J166">
        <f>((Inputs!$B$5*(1+Inputs!$B$6/100))+((Inputs!$B$11*(1+Inputs!$B$12/100))-(Inputs!$B$11*(1+Inputs!$B$12/100)))*(1+Inputs!$B$6/100))*(F166/100)</f>
        <v>335772893.74003202</v>
      </c>
      <c r="K166">
        <f>J166*(1+((Inputs!$B$11*(1+Inputs!$B$12/100))*0.01+Inputs!$B$13*0.0025)/100)*(1+Inputs!$B$14/100)*(1+IF(Inputs!$B$4="pvp",0,(1-Summary!$B$56)*(Inputs!$B$19+Skills!P8)+Summary!$B$56*(Inputs!$B$20+Skills!Q8))/100)*(1+(Inputs!$B$15+1)/100)*(5000/(6000+Inputs!$B$7*(1-Inputs!$B$18/100)))*(1+Inputs!$B$23/100)*(1+F181/100)*(1+IF(Inputs!$B$3&gt;=120,F184,0)/100)^5*(1+(IF(Skills!A8="BASIC_ATTACK",Inputs!$B$16,Inputs!$B$17+IF(Inputs!$B$3&gt;=125,F185*5,0)))/100)*(B188*B189*B190*I166)</f>
        <v>4502375221958.5322</v>
      </c>
      <c r="L166">
        <f>K166*(MIN(Inputs!$B$21+(F180-Calc!F22),Inputs!$B$22)/100+Inputs!$B$22/100)/2</f>
        <v>12154161911677.057</v>
      </c>
      <c r="M166">
        <f>L166*(1+(Inputs!$B$9+(F179-Calc!F21))/100)</f>
        <v>50938092571838.555</v>
      </c>
      <c r="N166">
        <f>L166*(1-MIN(Inputs!$B$8+(F178-Calc!F20),100)/100)+M166*(MIN(Inputs!$B$8+(F178-Calc!F20),100)/100)</f>
        <v>50938092571838.555</v>
      </c>
      <c r="O166">
        <f>IF(C166,H166*N166*IF(AND(Inputs!$B$4&lt;&gt;"pvp",Inputs!$B$35&gt;0),((Skills!G8*((S166-1)*IF(Skills!H8&gt;0,Skills!I8/Skills!H8,1)+IF(Skills!H8&gt;0,MIN(Skills!I8,MAX(0,Inputs!$B$35-((S166-1)*IF(Inputs!$B$4="pvp",15,MAX(0.1,Skills!E8-IF(Skills!F8=TRUE,Inputs!$B$31,0))))))/Skills!H8,1)))/Inputs!$B$35),G166*V166)*IF(Inputs!$B$4="pvp",1,(1-Summary!$B$56)*(1)+Summary!$B$56*(MIN(Skills!R8,Inputs!$B$37))),0)</f>
        <v>665313862162789.38</v>
      </c>
      <c r="P166">
        <f>IF(B197=0,0,O166/B197)</f>
        <v>7.9302390457889574E-2</v>
      </c>
      <c r="S166">
        <f>IF(AND(Inputs!$B$4&lt;&gt;"pvp",Inputs!$B$35&gt;0),(INT(Inputs!$B$35/IF(Inputs!$B$4="pvp",15,MAX(0.1,Skills!E8-IF(Skills!F8=TRUE,Inputs!$B$31,0))))+1),0)</f>
        <v>0</v>
      </c>
      <c r="V166">
        <f>IFERROR(1/IF(Inputs!$B$4="pvp",15,MAX(0.1,Skills!E8-IF(Skills!F8=TRUE,Inputs!$B$31,0))),0)</f>
        <v>4.0816326530612242E-2</v>
      </c>
    </row>
    <row r="167" spans="1:22" x14ac:dyDescent="0.2">
      <c r="A167" t="str">
        <f>Skills!A9</f>
        <v>MIST_ERUPTION</v>
      </c>
      <c r="B167" t="str">
        <f>Skills!B9</f>
        <v>Mist Eruption</v>
      </c>
      <c r="C167" t="b">
        <f>Inputs!$B$3&gt;=103</f>
        <v>1</v>
      </c>
      <c r="D167">
        <f>IF(Skills!C9=1,60+Inputs!$B$24+Inputs!$B$28,IF(Skills!C9=2,90+Inputs!$B$25+Inputs!$B$28,IF(Skills!C9=3,120+Inputs!$B$26+Inputs!$B$28,MAX(0,(Inputs!$B$3-100)*3)+Inputs!$B$27+Inputs!$B$28)))</f>
        <v>172</v>
      </c>
      <c r="E167">
        <f>INDEX(FactorTable!$B$2:$Y$301, MATCH(ROUND(MIN(300,MAX(1,D167)),0), FactorTable!$A$2:$A$301,0), Skills!M9+1)</f>
        <v>1860</v>
      </c>
      <c r="F167">
        <f>IF(Skills!N9=TRUE,(Skills!L9/10)*(E167/1000),Skills!L9/10)+Skills!O9</f>
        <v>5580</v>
      </c>
      <c r="G167">
        <f>Calc!G9</f>
        <v>2.8</v>
      </c>
      <c r="H167">
        <f>Calc!H9</f>
        <v>1</v>
      </c>
      <c r="I167">
        <f>IF(Skills!X9&lt;&gt;"",1+(Skills!X9/10)*(R161/1000)/100,1)</f>
        <v>1</v>
      </c>
      <c r="J167">
        <f>((Inputs!$B$5*(1+Inputs!$B$6/100))+((Inputs!$B$11*(1+Inputs!$B$12/100))-(Inputs!$B$11*(1+Inputs!$B$12/100)))*(1+Inputs!$B$6/100))*(F167/100)</f>
        <v>13940571034.742399</v>
      </c>
      <c r="K167">
        <f>J167*(1+((Inputs!$B$11*(1+Inputs!$B$12/100))*0.01+Inputs!$B$13*0.0025)/100)*(1+Inputs!$B$14/100)*(1+IF(Inputs!$B$4="pvp",0,(1-Summary!$B$56)*(Inputs!$B$19+Skills!P9)+Summary!$B$56*(Inputs!$B$20+Skills!Q9))/100)*(1+(Inputs!$B$15+1)/100)*(5000/(6000+Inputs!$B$7*(1-Inputs!$B$18/100)))*(1+Inputs!$B$23/100)*(1+F181/100)*(1+IF(Inputs!$B$3&gt;=120,F184,0)/100)^5*(1+(IF(Skills!A9="BASIC_ATTACK",Inputs!$B$16,Inputs!$B$17+IF(Inputs!$B$3&gt;=125,F185*5,0)))/100)*(B188*B189*B190*I167)</f>
        <v>106694618304117.62</v>
      </c>
      <c r="L167">
        <f>K167*(MIN(Inputs!$B$21+(F180-Calc!F22),Inputs!$B$22)/100+Inputs!$B$22/100)/2</f>
        <v>288022122111965.5</v>
      </c>
      <c r="M167">
        <f>L167*(1+(Inputs!$B$9+(F179-Calc!F21))/100)</f>
        <v>1207100713771247.5</v>
      </c>
      <c r="N167">
        <f>L167*(1-MIN(Inputs!$B$8+(F178-Calc!F20),100)/100)+M167*(MIN(Inputs!$B$8+(F178-Calc!F20),100)/100)</f>
        <v>1207100713771247.5</v>
      </c>
      <c r="O167">
        <f>IF(C167,H167*N167*IF(AND(Inputs!$B$4&lt;&gt;"pvp",Inputs!$B$35&gt;0),((Skills!G9*((S167-1)*IF(Skills!H9&gt;0,Skills!I9/Skills!H9,1)+IF(Skills!H9&gt;0,MIN(Skills!I9,MAX(0,Inputs!$B$35-((S167-1)*IF(Inputs!$B$4="pvp",15,MAX(0.1,Skills!E9-IF(Skills!F7=TRUE,Inputs!$B$31,0))))))/Skills!H9,1)))/Inputs!$B$35),G167*V167)*IF(Inputs!$B$4="pvp",1,(1-Summary!$B$56)*(1)+Summary!$B$56*(MIN(Skills!R9,Inputs!$B$37))),0)</f>
        <v>882907950644112.38</v>
      </c>
      <c r="P167">
        <f>IF(B197=0,0,O167/B197)</f>
        <v>0.10523861747408288</v>
      </c>
      <c r="S167">
        <f>IF(AND(Inputs!$B$4&lt;&gt;"pvp",Inputs!$B$35&gt;0),(INT(Inputs!$B$35/IF(Inputs!$B$4="pvp",15,MAX(0.1,Skills!E9-IF(Skills!F7=TRUE,Inputs!$B$31,0))))+1),0)</f>
        <v>0</v>
      </c>
      <c r="V167">
        <f>IFERROR(1/IF(Inputs!$B$4="pvp",15,MAX(0.1,Skills!E9-IF(Skills!F7=TRUE,Inputs!$B$31,0))),0)</f>
        <v>4.0816326530612242E-2</v>
      </c>
    </row>
    <row r="168" spans="1:22" x14ac:dyDescent="0.2">
      <c r="A168" t="str">
        <f>Skills!A10</f>
        <v>CREEPING_TOXIN</v>
      </c>
      <c r="B168" t="str">
        <f>Skills!B10</f>
        <v>Creeping Toxin</v>
      </c>
      <c r="C168" t="b">
        <f>TRUE</f>
        <v>1</v>
      </c>
      <c r="D168">
        <f>IF(Skills!C10=1,60+Inputs!$B$24+Inputs!$B$28,IF(Skills!C10=2,90+Inputs!$B$25+Inputs!$B$28,IF(Skills!C10=3,120+Inputs!$B$26+Inputs!$B$28,MAX(0,(Inputs!$B$3-100)*3)+Inputs!$B$27+Inputs!$B$28)))</f>
        <v>184</v>
      </c>
      <c r="E168">
        <f>INDEX(FactorTable!$B$2:$Y$301, MATCH(ROUND(MIN(300,MAX(1,D168)),0), FactorTable!$A$2:$A$301,0), Skills!M10+1)</f>
        <v>1920</v>
      </c>
      <c r="F168">
        <f>IF(Skills!N10=TRUE,(Skills!L10/10)*(E168/1000),Skills!L10/10)+Skills!O10</f>
        <v>280.39999999999998</v>
      </c>
      <c r="G168">
        <f>Calc!G10</f>
        <v>15</v>
      </c>
      <c r="H168">
        <f>Calc!H10</f>
        <v>1</v>
      </c>
      <c r="I168">
        <f>IF(Skills!X10&lt;&gt;"",1+(Skills!X10/10)*(R161/1000)/100,1)</f>
        <v>1.7519999999999998</v>
      </c>
      <c r="J168">
        <f>((Inputs!$B$5*(1+Inputs!$B$6/100))+((Inputs!$B$11*(1+Inputs!$B$12/100))-(Inputs!$B$11*(1+Inputs!$B$12/100)))*(1+Inputs!$B$6/100))*(F168/100)</f>
        <v>700526186.04691195</v>
      </c>
      <c r="K168">
        <f>J168*(1+((Inputs!$B$11*(1+Inputs!$B$12/100))*0.01+Inputs!$B$13*0.0025)/100)*(1+Inputs!$B$14/100)*(1+IF(Inputs!$B$4="pvp",0,(1-Summary!$B$56)*(Inputs!$B$19+Skills!P10)+Summary!$B$56*(Inputs!$B$20+Skills!Q10))/100)*(1+(Inputs!$B$15+1)/100)*(5000/(6000+Inputs!$B$7*(1-Inputs!$B$18/100)))*(1+Inputs!$B$23/100)*(1+F181/100)*(1+IF(Inputs!$B$3&gt;=120,F184,0)/100)^5*(1+(IF(Skills!A10="BASIC_ATTACK",Inputs!$B$16,Inputs!$B$17+IF(Inputs!$B$3&gt;=125,F185*5,0)))/100)*(B188*B189*B190*I168)</f>
        <v>11084827592011.275</v>
      </c>
      <c r="L168">
        <f>K168*(MIN(Inputs!$B$21+(F180-Calc!F22),Inputs!$B$22)/100+Inputs!$B$22/100)/2</f>
        <v>29923492084634.434</v>
      </c>
      <c r="M168">
        <f>L168*(1+(Inputs!$B$9+(F179-Calc!F21))/100)</f>
        <v>125409355326702.94</v>
      </c>
      <c r="N168">
        <f>L168*(1-MIN(Inputs!$B$8+(F178-Calc!F20),100)/100)+M168*(MIN(Inputs!$B$8+(F178-Calc!F20),100)/100)</f>
        <v>125409355326702.94</v>
      </c>
      <c r="O168">
        <f>IF(C168,H168*N168*IF(AND(Inputs!$B$4&lt;&gt;"pvp",Inputs!$B$35&gt;0),((Skills!G10*((S168-1)*IF(Skills!H10&gt;0,Skills!I10/Skills!H10,1)+IF(Skills!H10&gt;0,MIN(Skills!I10,MAX(0,Inputs!$B$35-((S168-1)*IF(Inputs!$B$4="pvp",15,MAX(0.1,Skills!E10-IF(Skills!F10=TRUE,Inputs!$B$31,0))))))/Skills!H10,1)))/Inputs!$B$35),G168*V168)*IF(Inputs!$B$4="pvp",1,(1-Summary!$B$56)*(1)+Summary!$B$56*(MIN(Skills!R10,Inputs!$B$37))),0)</f>
        <v>69671864070390.523</v>
      </c>
      <c r="P168">
        <f>IF(B197=0,0,O168/B197)</f>
        <v>8.3045697416826419E-3</v>
      </c>
      <c r="S168">
        <f>IF(AND(Inputs!$B$4&lt;&gt;"pvp",Inputs!$B$35&gt;0),(INT(Inputs!$B$35/IF(Inputs!$B$4="pvp",15,MAX(0.1,Skills!E10-IF(Skills!F10=TRUE,Inputs!$B$31,0))))+1),0)</f>
        <v>0</v>
      </c>
      <c r="V168">
        <f>IFERROR(1/IF(Inputs!$B$4="pvp",15,MAX(0.1,Skills!E10-IF(Skills!F10=TRUE,Inputs!$B$31,0))),0)</f>
        <v>3.7037037037037035E-2</v>
      </c>
    </row>
    <row r="169" spans="1:22" x14ac:dyDescent="0.2">
      <c r="A169" t="str">
        <f>Skills!A11</f>
        <v>BURNING_MAGIC</v>
      </c>
      <c r="B169" t="str">
        <f>Skills!B11</f>
        <v>Burning Magic</v>
      </c>
      <c r="C169" t="b">
        <f>TRUE</f>
        <v>1</v>
      </c>
      <c r="D169">
        <f>IF(Skills!C11=1,60+Inputs!$B$24+Inputs!$B$28,IF(Skills!C11=2,90+Inputs!$B$25+Inputs!$B$28,IF(Skills!C11=3,120+Inputs!$B$26+Inputs!$B$28,MAX(0,(Inputs!$B$3-100)*3)+Inputs!$B$27+Inputs!$B$28)))</f>
        <v>184</v>
      </c>
      <c r="E169">
        <f>INDEX(FactorTable!$B$2:$Y$301, MATCH(ROUND(MIN(300,MAX(1,D169)),0), FactorTable!$A$2:$A$301,0), Skills!M11+1)</f>
        <v>0</v>
      </c>
      <c r="F169">
        <f>IF(Skills!N11=TRUE,(Skills!L11/10)*(E169/1000),Skills!L11/10)+Skills!O11</f>
        <v>5</v>
      </c>
      <c r="G169">
        <f>Calc!G11</f>
        <v>1</v>
      </c>
      <c r="H169">
        <f>Calc!H11</f>
        <v>1</v>
      </c>
      <c r="I169">
        <f>IF(Skills!X11&lt;&gt;"",1+(Skills!X11/10)*(R161/1000)/100,1)</f>
        <v>1</v>
      </c>
      <c r="O169">
        <v>0</v>
      </c>
      <c r="P169">
        <f>IF(B197=0,0,O169/B197)</f>
        <v>0</v>
      </c>
      <c r="S169">
        <v>0</v>
      </c>
      <c r="V169">
        <f>IFERROR(1/IF(Inputs!$B$4="pvp",15,MAX(0.1,Skills!E11-IF(Skills!F11=TRUE,Inputs!$B$31,0))),0)</f>
        <v>10</v>
      </c>
    </row>
    <row r="170" spans="1:22" x14ac:dyDescent="0.2">
      <c r="A170" t="str">
        <f>Skills!A12</f>
        <v>ELEMENTAL_DECREASE</v>
      </c>
      <c r="B170" t="str">
        <f>Skills!B12</f>
        <v>Elemental Decrease</v>
      </c>
      <c r="C170" t="b">
        <f>TRUE</f>
        <v>1</v>
      </c>
      <c r="D170">
        <f>IF(Skills!C12=1,60+Inputs!$B$24+Inputs!$B$28,IF(Skills!C12=2,90+Inputs!$B$25+Inputs!$B$28,IF(Skills!C12=3,120+Inputs!$B$26+Inputs!$B$28,MAX(0,(Inputs!$B$3-100)*3)+Inputs!$B$27+Inputs!$B$28)))</f>
        <v>184</v>
      </c>
      <c r="E170">
        <f>INDEX(FactorTable!$B$2:$Y$301, MATCH(ROUND(MIN(300,MAX(1,D170)),0), FactorTable!$A$2:$A$301,0), Skills!M12+1)</f>
        <v>1552</v>
      </c>
      <c r="F170">
        <f>IF(Skills!N12=TRUE,(Skills!L12/10)*(E170/1000),Skills!L12/10)+Skills!O12</f>
        <v>18.624000000000002</v>
      </c>
      <c r="G170">
        <f>Calc!G12</f>
        <v>1</v>
      </c>
      <c r="H170">
        <f>Calc!H12</f>
        <v>0.5</v>
      </c>
      <c r="I170">
        <f>IF(Skills!X12&lt;&gt;"",1+(Skills!X12/10)*(R161/1000)/100,1)</f>
        <v>1</v>
      </c>
      <c r="O170">
        <v>0</v>
      </c>
      <c r="P170">
        <f>IF(B197=0,0,O170/B197)</f>
        <v>0</v>
      </c>
      <c r="S170">
        <v>0</v>
      </c>
      <c r="V170">
        <f>IFERROR(1/IF(Inputs!$B$4="pvp",15,MAX(0.1,Skills!E12-IF(Skills!F12=TRUE,Inputs!$B$31,0))),0)</f>
        <v>10</v>
      </c>
    </row>
    <row r="171" spans="1:22" x14ac:dyDescent="0.2">
      <c r="A171" t="str">
        <f>Skills!A13</f>
        <v>METEOR_SHOWER_BURST</v>
      </c>
      <c r="B171" t="str">
        <f>Skills!B13</f>
        <v>Meteor Shower (burst)</v>
      </c>
      <c r="C171" t="b">
        <f>Inputs!$B$3&gt;=105</f>
        <v>1</v>
      </c>
      <c r="D171">
        <f>IF(Skills!C13=1,60+Inputs!$B$24+Inputs!$B$28,IF(Skills!C13=2,90+Inputs!$B$25+Inputs!$B$28,IF(Skills!C13=3,120+Inputs!$B$26+Inputs!$B$28,MAX(0,(Inputs!$B$3-100)*3)+Inputs!$B$27+Inputs!$B$28)))</f>
        <v>172</v>
      </c>
      <c r="E171">
        <f>INDEX(FactorTable!$B$2:$Y$301, MATCH(ROUND(MIN(300,MAX(1,D171)),0), FactorTable!$A$2:$A$301,0), Skills!M13+1)</f>
        <v>1860</v>
      </c>
      <c r="F171">
        <f>IF(Skills!N13=TRUE,(Skills!L13/10)*(E171/1000),Skills!L13/10)+Skills!O13</f>
        <v>1116</v>
      </c>
      <c r="G171">
        <f>Calc!G13</f>
        <v>9</v>
      </c>
      <c r="H171">
        <f>Calc!H13</f>
        <v>1</v>
      </c>
      <c r="I171">
        <f>IF(Skills!X13&lt;&gt;"",1+(Skills!X13/10)*(R161/1000)/100,1)</f>
        <v>1</v>
      </c>
      <c r="J171">
        <f>((Inputs!$B$5*(1+Inputs!$B$6/100))+((Inputs!$B$11*(1+Inputs!$B$12/100))-(Inputs!$B$11*(1+Inputs!$B$12/100)))*(1+Inputs!$B$6/100))*(F171/100)</f>
        <v>2788114206.9484801</v>
      </c>
      <c r="K171">
        <f>J171*(1+((Inputs!$B$11*(1+Inputs!$B$12/100))*0.01+Inputs!$B$13*0.0025)/100)*(1+Inputs!$B$14/100)*(1+IF(Inputs!$B$4="pvp",0,(1-Summary!$B$56)*(Inputs!$B$19+Skills!P13)+Summary!$B$56*(Inputs!$B$20+Skills!Q13))/100)*(1+(Inputs!$B$15+1)/100)*(5000/(6000+Inputs!$B$7*(1-Inputs!$B$18/100)))*(1+Inputs!$B$23/100)*(1+F181/100)*(1+IF(Inputs!$B$3&gt;=120,F184,0)/100)^5*(1+(IF(Skills!A13="BASIC_ATTACK",Inputs!$B$16,Inputs!$B$17+IF(Inputs!$B$3&gt;=125,F185*5,0)))/100)*(B188*B189*B190*I171)</f>
        <v>21338923660823.523</v>
      </c>
      <c r="L171">
        <f>K171*(MIN(Inputs!$B$21+(F180-Calc!F22),Inputs!$B$22)/100+Inputs!$B$22/100)/2</f>
        <v>57604424422393.094</v>
      </c>
      <c r="M171">
        <f>L171*(1+(Inputs!$B$9+(F179-Calc!F21))/100)</f>
        <v>241420142754249.5</v>
      </c>
      <c r="N171">
        <f>L171*(1-MIN(Inputs!$B$8+(F178-Calc!F20),100)/100)+M171*(MIN(Inputs!$B$8+(F178-Calc!F20),100)/100)</f>
        <v>241420142754249.5</v>
      </c>
      <c r="O171">
        <f>IF(C171,H171*N171*IF(AND(Inputs!$B$4&lt;&gt;"pvp",Inputs!$B$35&gt;0),((Skills!G13*((S171-1)*IF(Skills!H13&gt;0,Skills!I13/Skills!H13,1)+IF(Skills!H13&gt;0,MIN(Skills!I13,MAX(0,Inputs!$B$35-((S171-1)*IF(Inputs!$B$4="pvp",15,MAX(0.1,Skills!E13-IF(Skills!F13=TRUE,Inputs!$B$31,0))))))/Skills!H13,1)))/Inputs!$B$35),G171*V171)*IF(Inputs!$B$4="pvp",1,(1-Summary!$B$56)*(1)+Summary!$B$56*(MIN(Skills!R13,Inputs!$B$37))),0)</f>
        <v>302872542728058.5</v>
      </c>
      <c r="P171">
        <f>IF(B197=0,0,O171/B197)</f>
        <v>3.6101031420441791E-2</v>
      </c>
      <c r="S171">
        <f>IF(AND(Inputs!$B$4&lt;&gt;"pvp",Inputs!$B$35&gt;0),(INT(Inputs!$B$35/IF(Inputs!$B$4="pvp",15,MAX(0.1,Skills!E13-IF(Skills!F13=TRUE,Inputs!$B$31,0))))+1),0)</f>
        <v>0</v>
      </c>
      <c r="V171">
        <f>IFERROR(1/IF(Inputs!$B$4="pvp",15,MAX(0.1,Skills!E13-IF(Skills!F13=TRUE,Inputs!$B$31,0))),0)</f>
        <v>3.0303030303030304E-2</v>
      </c>
    </row>
    <row r="172" spans="1:22" x14ac:dyDescent="0.2">
      <c r="A172" t="str">
        <f>Skills!A14</f>
        <v>METEOR_PROC</v>
      </c>
      <c r="B172" t="str">
        <f>Skills!B14</f>
        <v>Meteor Proc (30% on-hit, 1s ICD)</v>
      </c>
      <c r="C172" t="b">
        <f>Inputs!$B$3&gt;=113</f>
        <v>1</v>
      </c>
      <c r="D172">
        <f>IF(Skills!C14=1,60+Inputs!$B$24+Inputs!$B$28,IF(Skills!C14=2,90+Inputs!$B$25+Inputs!$B$28,IF(Skills!C14=3,120+Inputs!$B$26+Inputs!$B$28,MAX(0,(Inputs!$B$3-100)*3)+Inputs!$B$27+Inputs!$B$28)))</f>
        <v>172</v>
      </c>
      <c r="E172">
        <f>INDEX(FactorTable!$B$2:$Y$301, MATCH(ROUND(MIN(300,MAX(1,D172)),0), FactorTable!$A$2:$A$301,0), Skills!M14+1)</f>
        <v>1688</v>
      </c>
      <c r="F172">
        <f>IF(Skills!N14=TRUE,(Skills!L14/10)*(E172/1000),Skills!L14/10)+Skills!O14</f>
        <v>1603.6</v>
      </c>
      <c r="G172">
        <f>Calc!G14</f>
        <v>0</v>
      </c>
      <c r="H172">
        <f>Calc!H14</f>
        <v>0.30000000000000004</v>
      </c>
      <c r="I172">
        <f>IF(Skills!X14&lt;&gt;"",1+(Skills!X14/10)*(R161/1000)/100,1)</f>
        <v>1</v>
      </c>
      <c r="J172">
        <f>((Inputs!$B$5*(1+Inputs!$B$6/100))+((Inputs!$B$11*(1+Inputs!$B$12/100))-(Inputs!$B$11*(1+Inputs!$B$12/100)))*(1+Inputs!$B$6/100))*(F172/100)</f>
        <v>4006290270.8446074</v>
      </c>
      <c r="K172">
        <f>J172*(1+((Inputs!$B$11*(1+Inputs!$B$12/100))*0.01+Inputs!$B$13*0.0025)/100)*(1+Inputs!$B$14/100)*(1+IF(Inputs!$B$4="pvp",0,(1-Summary!$B$56)*(Inputs!$B$19+Skills!P14)+Summary!$B$56*(Inputs!$B$20+Skills!Q14))/100)*(1+(Inputs!$B$15+1)/100)*(5000/(6000+Inputs!$B$7*(1-Inputs!$B$18/100)))*(1+Inputs!$B$23/100)*(1+F181/100)*(1+IF(Inputs!$B$3&gt;=120,F184,0)/100)^5*(1+(IF(Skills!A14="BASIC_ATTACK",Inputs!$B$16,Inputs!$B$17+IF(Inputs!$B$3&gt;=125,F185*5,0)))/100)*(B188*B189*B190*I172)</f>
        <v>30662274177864.34</v>
      </c>
      <c r="L172">
        <f>K172*(MIN(Inputs!$B$21+(F180-Calc!F22),Inputs!$B$22)/100+Inputs!$B$22/100)/2</f>
        <v>82772809143144.766</v>
      </c>
      <c r="M172">
        <f>L172*(1+(Inputs!$B$9+(F179-Calc!F21))/100)</f>
        <v>346900843118919.75</v>
      </c>
      <c r="N172">
        <f>L172*(1-MIN(Inputs!$B$8+(F178-Calc!F20),100)/100)+M172*(MIN(Inputs!$B$8+(F178-Calc!F20),100)/100)</f>
        <v>346900843118919.75</v>
      </c>
      <c r="O172">
        <f>IF(C172,(H172*B195)/(1+Skills!H14*H172*B195)*N172*IF(Inputs!$B$4="pvp",1,(1-Summary!$B$56)*(1)+Summary!$B$56*(MIN(Skills!R14,Inputs!$B$37))),0)</f>
        <v>109122040725718.25</v>
      </c>
      <c r="P172">
        <f>IF(B197=0,0,O172/B197)</f>
        <v>1.3006851612953854E-2</v>
      </c>
      <c r="S172">
        <v>0</v>
      </c>
      <c r="V172">
        <f>IFERROR(1/IF(Inputs!$B$4="pvp",15,MAX(0.1,Skills!E14-IF(Skills!F14=TRUE,Inputs!$B$31,0))),0)</f>
        <v>10</v>
      </c>
    </row>
    <row r="173" spans="1:22" x14ac:dyDescent="0.2">
      <c r="A173" t="str">
        <f>Skills!A15</f>
        <v>FLAME_HAZE_BURST</v>
      </c>
      <c r="B173" t="str">
        <f>Skills!B15</f>
        <v>Flame Haze (burst)</v>
      </c>
      <c r="C173" t="b">
        <f>Inputs!$B$3&gt;=107</f>
        <v>1</v>
      </c>
      <c r="D173">
        <f>IF(Skills!C15=1,60+Inputs!$B$24+Inputs!$B$28,IF(Skills!C15=2,90+Inputs!$B$25+Inputs!$B$28,IF(Skills!C15=3,120+Inputs!$B$26+Inputs!$B$28,MAX(0,(Inputs!$B$3-100)*3)+Inputs!$B$27+Inputs!$B$28)))</f>
        <v>172</v>
      </c>
      <c r="E173">
        <f>INDEX(FactorTable!$B$2:$Y$301, MATCH(ROUND(MIN(300,MAX(1,D173)),0), FactorTable!$A$2:$A$301,0), Skills!M15+1)</f>
        <v>1860</v>
      </c>
      <c r="F173">
        <f>IF(Skills!N15=TRUE,(Skills!L15/10)*(E173/1000),Skills!L15/10)+Skills!O15</f>
        <v>2232</v>
      </c>
      <c r="G173">
        <f>Calc!G15</f>
        <v>3</v>
      </c>
      <c r="H173">
        <f>Calc!H15</f>
        <v>1</v>
      </c>
      <c r="I173">
        <f>IF(Skills!X15&lt;&gt;"",1+(Skills!X15/10)*(R161/1000)/100,1)</f>
        <v>1</v>
      </c>
      <c r="J173">
        <f>((Inputs!$B$5*(1+Inputs!$B$6/100))+((Inputs!$B$11*(1+Inputs!$B$12/100))-(Inputs!$B$11*(1+Inputs!$B$12/100)))*(1+Inputs!$B$6/100))*(F173/100)</f>
        <v>5576228413.8969603</v>
      </c>
      <c r="K173">
        <f>J173*(1+((Inputs!$B$11*(1+Inputs!$B$12/100))*0.01+Inputs!$B$13*0.0025)/100)*(1+Inputs!$B$14/100)*(1+IF(Inputs!$B$4="pvp",0,(1-Summary!$B$56)*(Inputs!$B$19+Skills!P15)+Summary!$B$56*(Inputs!$B$20+Skills!Q15))/100)*(1+(Inputs!$B$15+1)/100)*(5000/(6000+Inputs!$B$7*(1-Inputs!$B$18/100)))*(1+Inputs!$B$23/100)*(1+F181/100)*(1+IF(Inputs!$B$3&gt;=120,F184,0)/100)^5*(1+(IF(Skills!A15="BASIC_ATTACK",Inputs!$B$16,Inputs!$B$17+IF(Inputs!$B$3&gt;=125,F185*5,0)))/100)*(B188*B189*B190*I173)</f>
        <v>42677847321647.047</v>
      </c>
      <c r="L173">
        <f>K173*(MIN(Inputs!$B$21+(F180-Calc!F22),Inputs!$B$22)/100+Inputs!$B$22/100)/2</f>
        <v>115208848844786.19</v>
      </c>
      <c r="M173">
        <f>L173*(1+(Inputs!$B$9+(F179-Calc!F21))/100)</f>
        <v>482840285508499</v>
      </c>
      <c r="N173">
        <f>L173*(1-MIN(Inputs!$B$8+(F178-Calc!F20),100)/100)+M173*(MIN(Inputs!$B$8+(F178-Calc!F20),100)/100)</f>
        <v>482840285508499</v>
      </c>
      <c r="O173">
        <f>IF(C173,H173*N173*IF(AND(Inputs!$B$4&lt;&gt;"pvp",Inputs!$B$35&gt;0),((Skills!G15*((S173-1)*IF(Skills!H15&gt;0,Skills!I15/Skills!H15,1)+IF(Skills!H15&gt;0,MIN(Skills!I15,MAX(0,Inputs!$B$35-((S173-1)*IF(Inputs!$B$4="pvp",15,MAX(0.1,Skills!E15-IF(Skills!F15=TRUE,Inputs!$B$31,0))))))/Skills!H15,1)))/Inputs!$B$35),G173*V173)*IF(Inputs!$B$4="pvp",1,(1-Summary!$B$56)*(1)+Summary!$B$56*(MIN(Skills!R15,Inputs!$B$37))),0)</f>
        <v>370821339270527.25</v>
      </c>
      <c r="P173">
        <f>IF(B197=0,0,O173/B197)</f>
        <v>4.4200219339114812E-2</v>
      </c>
      <c r="S173">
        <f>IF(AND(Inputs!$B$4&lt;&gt;"pvp",Inputs!$B$35&gt;0),(INT(Inputs!$B$35/IF(Inputs!$B$4="pvp",15,MAX(0.1,Skills!E15-IF(Skills!F15=TRUE,Inputs!$B$31,0))))+1),0)</f>
        <v>0</v>
      </c>
      <c r="V173">
        <f>IFERROR(1/IF(Inputs!$B$4="pvp",15,MAX(0.1,Skills!E15-IF(Skills!F15=TRUE,Inputs!$B$31,0))),0)</f>
        <v>0.04</v>
      </c>
    </row>
    <row r="174" spans="1:22" x14ac:dyDescent="0.2">
      <c r="A174" t="str">
        <f>Skills!A16</f>
        <v>FLAME_HAZE_DOT</v>
      </c>
      <c r="B174" t="str">
        <f>Skills!B16</f>
        <v>Flame Haze (burn DoT)</v>
      </c>
      <c r="C174" t="b">
        <f>Inputs!$B$3&gt;=107</f>
        <v>1</v>
      </c>
      <c r="D174">
        <f>IF(Skills!C16=1,60+Inputs!$B$24+Inputs!$B$28,IF(Skills!C16=2,90+Inputs!$B$25+Inputs!$B$28,IF(Skills!C16=3,120+Inputs!$B$26+Inputs!$B$28,MAX(0,(Inputs!$B$3-100)*3)+Inputs!$B$27+Inputs!$B$28)))</f>
        <v>172</v>
      </c>
      <c r="E174">
        <f>INDEX(FactorTable!$B$2:$Y$301, MATCH(ROUND(MIN(300,MAX(1,D174)),0), FactorTable!$A$2:$A$301,0), Skills!M16+1)</f>
        <v>1860</v>
      </c>
      <c r="F174">
        <f>IF(Skills!N16=TRUE,(Skills!L16/10)*(E174/1000),Skills!L16/10)+Skills!O16</f>
        <v>279</v>
      </c>
      <c r="G174">
        <f>Calc!G16</f>
        <v>28</v>
      </c>
      <c r="H174">
        <f>Calc!H16</f>
        <v>1</v>
      </c>
      <c r="I174">
        <f>IF(Skills!X16&lt;&gt;"",1+(Skills!X16/10)*(R161/1000)/100,1)</f>
        <v>1</v>
      </c>
      <c r="J174">
        <f>((Inputs!$B$5*(1+Inputs!$B$6/100))+((Inputs!$B$11*(1+Inputs!$B$12/100))-(Inputs!$B$11*(1+Inputs!$B$12/100)))*(1+Inputs!$B$6/100))*(F174/100)</f>
        <v>697028551.73712003</v>
      </c>
      <c r="K174">
        <f>J174*(1+((Inputs!$B$11*(1+Inputs!$B$12/100))*0.01+Inputs!$B$13*0.0025)/100)*(1+Inputs!$B$14/100)*(1+IF(Inputs!$B$4="pvp",0,(1-Summary!$B$56)*(Inputs!$B$19+Skills!P16)+Summary!$B$56*(Inputs!$B$20+Skills!Q16))/100)*(1+(Inputs!$B$15+1)/100)*(5000/(6000+Inputs!$B$7*(1-Inputs!$B$18/100)))*(1+Inputs!$B$23/100)*(1+F181/100)*(1+IF(Inputs!$B$3&gt;=120,F184,0)/100)^5*(1+(IF(Skills!A16="BASIC_ATTACK",Inputs!$B$16,Inputs!$B$17+IF(Inputs!$B$3&gt;=125,F185*5,0)))/100)*(B188*B189*B190*I174)</f>
        <v>5334730915205.8809</v>
      </c>
      <c r="L174">
        <f>K174*(MIN(Inputs!$B$21+(F180-Calc!F22),Inputs!$B$22)/100+Inputs!$B$22/100)/2</f>
        <v>14401106105598.273</v>
      </c>
      <c r="M174">
        <f>L174*(1+(Inputs!$B$9+(F179-Calc!F21))/100)</f>
        <v>60355035688562.375</v>
      </c>
      <c r="N174">
        <f>L174*(1-MIN(Inputs!$B$8+(F178-Calc!F20),100)/100)+M174*(MIN(Inputs!$B$8+(F178-Calc!F20),100)/100)</f>
        <v>60355035688562.375</v>
      </c>
      <c r="O174">
        <f>IF(C174,H174*N174*IF(AND(Inputs!$B$4&lt;&gt;"pvp",Inputs!$B$35&gt;0),((Skills!G16*((S174-1)*IF(Skills!H16&gt;0,Skills!I16/Skills!H16,1)+IF(Skills!H16&gt;0,MIN(Skills!I16,MAX(0,Inputs!$B$35-((S174-1)*IF(Inputs!$B$4="pvp",15,MAX(0.1,Skills!E16-IF(Skills!F16=TRUE,Inputs!$B$31,0))))))/Skills!H16,1)))/Inputs!$B$35),G174*V174)*(1+IF(Inputs!$B$3&gt;=126,0.05*(B194+V171+(H172*B195)/(1+Skills!H14*H172*B195)+V182),0)*Skills!E15)*IF(Inputs!$B$4="pvp",1,(1-Summary!$B$56)*(1)+Summary!$B$56*(MIN(Skills!R16,Inputs!$B$37))),0)</f>
        <v>432624895815615.19</v>
      </c>
      <c r="P174">
        <f>IF(B197=0,0,O174/B197)</f>
        <v>5.1566922562300624E-2</v>
      </c>
      <c r="S174">
        <f>IF(AND(Inputs!$B$4&lt;&gt;"pvp",Inputs!$B$35&gt;0),(INT(Inputs!$B$35/IF(Inputs!$B$4="pvp",15,MAX(0.1,Skills!E16-IF(Skills!F16=TRUE,Inputs!$B$31,0))))+1),0)</f>
        <v>0</v>
      </c>
      <c r="V174">
        <f>IFERROR(1/IF(Inputs!$B$4="pvp",15,MAX(0.1,Skills!E16-IF(Skills!F16=TRUE,Inputs!$B$31,0))),0)</f>
        <v>0.04</v>
      </c>
    </row>
    <row r="175" spans="1:22" x14ac:dyDescent="0.2">
      <c r="A175" t="str">
        <f>Skills!A17</f>
        <v>MAGIC_GUARD</v>
      </c>
      <c r="B175" t="str">
        <f>Skills!B17</f>
        <v>Magic Guard</v>
      </c>
      <c r="C175" t="b">
        <f>TRUE</f>
        <v>1</v>
      </c>
      <c r="D175">
        <f>IF(Skills!C17=1,60+Inputs!$B$24+Inputs!$B$28,IF(Skills!C17=2,90+Inputs!$B$25+Inputs!$B$28,IF(Skills!C17=3,120+Inputs!$B$26+Inputs!$B$28,MAX(0,(Inputs!$B$3-100)*3)+Inputs!$B$27+Inputs!$B$28)))</f>
        <v>115</v>
      </c>
      <c r="E175">
        <f>INDEX(FactorTable!$B$2:$Y$301, MATCH(ROUND(MIN(300,MAX(1,D175)),0), FactorTable!$A$2:$A$301,0), Skills!M17+1)</f>
        <v>1460</v>
      </c>
      <c r="F175">
        <f>IF(Skills!N17=TRUE,(Skills!L17/10)*(E175/1000),Skills!L17/10)+Skills!O17</f>
        <v>17.52</v>
      </c>
      <c r="G175">
        <f>Calc!G17</f>
        <v>1</v>
      </c>
      <c r="H175">
        <f>Calc!H17</f>
        <v>1</v>
      </c>
      <c r="I175">
        <f>IF(Skills!X17&lt;&gt;"",1+(Skills!X17/10)*(R161/1000)/100,1)</f>
        <v>1</v>
      </c>
      <c r="O175">
        <v>0</v>
      </c>
      <c r="P175">
        <f>IF(B197=0,0,O175/B197)</f>
        <v>0</v>
      </c>
      <c r="S175">
        <f>IF(AND(Inputs!$B$4&lt;&gt;"pvp",Inputs!$B$35&gt;0),(INT(Inputs!$B$35/IF(Inputs!$B$4="pvp",15,MAX(0.1,Skills!E17-IF(Skills!F17=TRUE,Inputs!$B$31,0))))+1),0)</f>
        <v>0</v>
      </c>
      <c r="V175">
        <f>IFERROR(1/IF(Inputs!$B$4="pvp",15,MAX(0.1,Skills!E17-IF(Skills!F17=TRUE,Inputs!$B$31,0))),0)</f>
        <v>4.7619047619047616E-2</v>
      </c>
    </row>
    <row r="176" spans="1:22" x14ac:dyDescent="0.2">
      <c r="A176" t="str">
        <f>Skills!A18</f>
        <v>NIMBLE_FEET</v>
      </c>
      <c r="B176" t="str">
        <f>Skills!B18</f>
        <v>Nimble Feet</v>
      </c>
      <c r="C176" t="b">
        <f>TRUE</f>
        <v>1</v>
      </c>
      <c r="D176">
        <f>IF(Skills!C18=1,60+Inputs!$B$24+Inputs!$B$28,IF(Skills!C18=2,90+Inputs!$B$25+Inputs!$B$28,IF(Skills!C18=3,120+Inputs!$B$26+Inputs!$B$28,MAX(0,(Inputs!$B$3-100)*3)+Inputs!$B$27+Inputs!$B$28)))</f>
        <v>115</v>
      </c>
      <c r="E176">
        <f>INDEX(FactorTable!$B$2:$Y$301, MATCH(ROUND(MIN(300,MAX(1,D176)),0), FactorTable!$A$2:$A$301,0), Skills!M18+1)</f>
        <v>0</v>
      </c>
      <c r="F176">
        <f>IF(Skills!N18=TRUE,(Skills!L18/10)*(E176/1000),Skills!L18/10)+Skills!O18</f>
        <v>15</v>
      </c>
      <c r="G176">
        <f>Calc!G18</f>
        <v>1</v>
      </c>
      <c r="H176">
        <f>Calc!H18</f>
        <v>1</v>
      </c>
      <c r="I176">
        <f>IF(Skills!X18&lt;&gt;"",1+(Skills!X18/10)*(R161/1000)/100,1)</f>
        <v>1</v>
      </c>
      <c r="O176">
        <v>0</v>
      </c>
      <c r="P176">
        <f>IF(B197=0,0,O176/B197)</f>
        <v>0</v>
      </c>
      <c r="S176">
        <f>IF(AND(Inputs!$B$4&lt;&gt;"pvp",Inputs!$B$35&gt;0),(INT(Inputs!$B$35/IF(Inputs!$B$4="pvp",15,MAX(0.1,Skills!E18-IF(Skills!F18=TRUE,Inputs!$B$31,0))))+1),0)</f>
        <v>0</v>
      </c>
      <c r="V176">
        <f>IFERROR(1/IF(Inputs!$B$4="pvp",15,MAX(0.1,Skills!E18-IF(Skills!F18=TRUE,Inputs!$B$31,0))),0)</f>
        <v>1.6666666666666666E-2</v>
      </c>
    </row>
    <row r="177" spans="1:22" x14ac:dyDescent="0.2">
      <c r="A177" t="str">
        <f>Skills!A19</f>
        <v>INFINITY</v>
      </c>
      <c r="B177" t="str">
        <f>Skills!B19</f>
        <v>Infinity</v>
      </c>
      <c r="C177" t="b">
        <f>Inputs!$B$3&gt;=110</f>
        <v>1</v>
      </c>
      <c r="D177">
        <f>IF(Skills!C19=1,60+Inputs!$B$24+Inputs!$B$28,IF(Skills!C19=2,90+Inputs!$B$25+Inputs!$B$28,IF(Skills!C19=3,120+Inputs!$B$26+Inputs!$B$28,MAX(0,(Inputs!$B$3-100)*3)+Inputs!$B$27+Inputs!$B$28)))</f>
        <v>172</v>
      </c>
      <c r="E177">
        <f>INDEX(FactorTable!$B$2:$Y$301, MATCH(ROUND(MIN(300,MAX(1,D177)),0), FactorTable!$A$2:$A$301,0), Skills!M19+1)</f>
        <v>1688</v>
      </c>
      <c r="F177">
        <f>IF(Skills!N19=TRUE,(Skills!L19/10)*(E177/1000),Skills!L19/10)+Skills!O19</f>
        <v>36.573895999999998</v>
      </c>
      <c r="G177">
        <f>Calc!G19</f>
        <v>1</v>
      </c>
      <c r="H177">
        <f>Calc!H19</f>
        <v>1</v>
      </c>
      <c r="I177">
        <f>IF(Skills!X19&lt;&gt;"",1+(Skills!X19/10)*(R161/1000)/100,1)</f>
        <v>1</v>
      </c>
      <c r="O177">
        <v>0</v>
      </c>
      <c r="P177">
        <f>IF(B197=0,0,O177/B197)</f>
        <v>0</v>
      </c>
      <c r="S177">
        <f>IF(AND(Inputs!$B$4&lt;&gt;"pvp",Inputs!$B$35&gt;0),(INT(Inputs!$B$35/IF(Inputs!$B$4="pvp",15,MAX(0.1,Skills!E19-IF(Skills!F19=TRUE,Inputs!$B$31,0))))+1),0)</f>
        <v>0</v>
      </c>
      <c r="V177">
        <f>IFERROR(1/IF(Inputs!$B$4="pvp",15,MAX(0.1,Skills!E19-IF(Skills!F19=TRUE,Inputs!$B$31,0))),0)</f>
        <v>3.3333333333333333E-2</v>
      </c>
    </row>
    <row r="178" spans="1:22" x14ac:dyDescent="0.2">
      <c r="A178" t="str">
        <f>Skills!A20</f>
        <v>MAGIC_CRITICAL_RATE</v>
      </c>
      <c r="B178" t="str">
        <f>Skills!B20</f>
        <v>Magic Critical (Crit Rate)</v>
      </c>
      <c r="C178" t="b">
        <f>TRUE</f>
        <v>1</v>
      </c>
      <c r="D178">
        <f>IF(Skills!C20=1,60+Inputs!$B$24+Inputs!$B$28,IF(Skills!C20=2,90+Inputs!$B$25+Inputs!$B$28,IF(Skills!C20=3,120+Inputs!$B$26+Inputs!$B$28,MAX(0,(Inputs!$B$3-100)*3)+Inputs!$B$27+Inputs!$B$28)))</f>
        <v>184</v>
      </c>
      <c r="E178">
        <f>INDEX(FactorTable!$B$2:$Y$301, MATCH(ROUND(MIN(300,MAX(1,D178)),0), FactorTable!$A$2:$A$301,0), Skills!M20+1)</f>
        <v>1552</v>
      </c>
      <c r="F178">
        <f>IF(Skills!N20=TRUE,(Skills!L20/10)*(E178/1000),Skills!L20/10)+Skills!O20</f>
        <v>12.416</v>
      </c>
      <c r="G178">
        <f>Calc!G20</f>
        <v>1</v>
      </c>
      <c r="H178">
        <f>Calc!H20</f>
        <v>1</v>
      </c>
      <c r="I178">
        <f>IF(Skills!X20&lt;&gt;"",1+(Skills!X20/10)*(R161/1000)/100,1)</f>
        <v>1</v>
      </c>
      <c r="O178">
        <v>0</v>
      </c>
      <c r="P178">
        <f>IF(B197=0,0,O178/B197)</f>
        <v>0</v>
      </c>
      <c r="S178">
        <v>0</v>
      </c>
      <c r="V178">
        <f>IFERROR(1/IF(Inputs!$B$4="pvp",15,MAX(0.1,Skills!E20-IF(Skills!F20=TRUE,Inputs!$B$31,0))),0)</f>
        <v>10</v>
      </c>
    </row>
    <row r="179" spans="1:22" x14ac:dyDescent="0.2">
      <c r="A179" t="str">
        <f>Skills!A21</f>
        <v>MAGIC_CRITICAL_DAMAGE</v>
      </c>
      <c r="B179" t="str">
        <f>Skills!B21</f>
        <v>Magic Critical (Crit Damage)</v>
      </c>
      <c r="C179" t="b">
        <f>TRUE</f>
        <v>1</v>
      </c>
      <c r="D179">
        <f>IF(Skills!C21=1,60+Inputs!$B$24+Inputs!$B$28,IF(Skills!C21=2,90+Inputs!$B$25+Inputs!$B$28,IF(Skills!C21=3,120+Inputs!$B$26+Inputs!$B$28,MAX(0,(Inputs!$B$3-100)*3)+Inputs!$B$27+Inputs!$B$28)))</f>
        <v>184</v>
      </c>
      <c r="E179">
        <f>INDEX(FactorTable!$B$2:$Y$301, MATCH(ROUND(MIN(300,MAX(1,D179)),0), FactorTable!$A$2:$A$301,0), Skills!M21+1)</f>
        <v>1552</v>
      </c>
      <c r="F179">
        <f>IF(Skills!N21=TRUE,(Skills!L21/10)*(E179/1000),Skills!L21/10)+Skills!O21</f>
        <v>18.624000000000002</v>
      </c>
      <c r="G179">
        <f>Calc!G21</f>
        <v>1</v>
      </c>
      <c r="H179">
        <f>Calc!H21</f>
        <v>1</v>
      </c>
      <c r="I179">
        <f>IF(Skills!X21&lt;&gt;"",1+(Skills!X21/10)*(R161/1000)/100,1)</f>
        <v>1</v>
      </c>
      <c r="O179">
        <v>0</v>
      </c>
      <c r="P179">
        <f>IF(B197=0,0,O179/B197)</f>
        <v>0</v>
      </c>
      <c r="S179">
        <v>0</v>
      </c>
      <c r="V179">
        <f>IFERROR(1/IF(Inputs!$B$4="pvp",15,MAX(0.1,Skills!E21-IF(Skills!F21=TRUE,Inputs!$B$31,0))),0)</f>
        <v>10</v>
      </c>
    </row>
    <row r="180" spans="1:22" x14ac:dyDescent="0.2">
      <c r="A180" t="str">
        <f>Skills!A22</f>
        <v>SPELL_MASTERY</v>
      </c>
      <c r="B180" t="str">
        <f>Skills!B22</f>
        <v>Spell Mastery</v>
      </c>
      <c r="C180" t="b">
        <f>TRUE</f>
        <v>1</v>
      </c>
      <c r="D180">
        <f>IF(Skills!C22=1,60+Inputs!$B$24+Inputs!$B$28,IF(Skills!C22=2,90+Inputs!$B$25+Inputs!$B$28,IF(Skills!C22=3,120+Inputs!$B$26+Inputs!$B$28,MAX(0,(Inputs!$B$3-100)*3)+Inputs!$B$27+Inputs!$B$28)))</f>
        <v>164</v>
      </c>
      <c r="E180">
        <f>INDEX(FactorTable!$B$2:$Y$301, MATCH(ROUND(MIN(300,MAX(1,D180)),0), FactorTable!$A$2:$A$301,0), Skills!M22+1)</f>
        <v>1492</v>
      </c>
      <c r="F180">
        <f>IF(Skills!N22=TRUE,(Skills!L22/10)*(E180/1000),Skills!L22/10)+Skills!O22</f>
        <v>22.38</v>
      </c>
      <c r="G180">
        <f>Calc!G22</f>
        <v>1</v>
      </c>
      <c r="H180">
        <f>Calc!H22</f>
        <v>1</v>
      </c>
      <c r="I180">
        <f>IF(Skills!X22&lt;&gt;"",1+(Skills!X22/10)*(R161/1000)/100,1)</f>
        <v>1</v>
      </c>
      <c r="O180">
        <v>0</v>
      </c>
      <c r="P180">
        <f>IF(B197=0,0,O180/B197)</f>
        <v>0</v>
      </c>
      <c r="S180">
        <v>0</v>
      </c>
      <c r="V180">
        <f>IFERROR(1/IF(Inputs!$B$4="pvp",15,MAX(0.1,Skills!E22-IF(Skills!F22=TRUE,Inputs!$B$31,0))),0)</f>
        <v>10</v>
      </c>
    </row>
    <row r="181" spans="1:22" x14ac:dyDescent="0.2">
      <c r="A181" t="str">
        <f>Skills!A23</f>
        <v>ELEMENT_AMPLIFICATION</v>
      </c>
      <c r="B181" t="str">
        <f>Skills!B23</f>
        <v>Element Amplification</v>
      </c>
      <c r="C181" t="b">
        <f>TRUE</f>
        <v>1</v>
      </c>
      <c r="D181">
        <f>IF(Skills!C23=1,60+Inputs!$B$24+Inputs!$B$28,IF(Skills!C23=2,90+Inputs!$B$25+Inputs!$B$28,IF(Skills!C23=3,120+Inputs!$B$26+Inputs!$B$28,MAX(0,(Inputs!$B$3-100)*3)+Inputs!$B$27+Inputs!$B$28)))</f>
        <v>172</v>
      </c>
      <c r="E181">
        <f>INDEX(FactorTable!$B$2:$Y$301, MATCH(ROUND(MIN(300,MAX(1,D181)),0), FactorTable!$A$2:$A$301,0), Skills!M23+1)</f>
        <v>1516</v>
      </c>
      <c r="F181">
        <f>IF(Skills!N23=TRUE,(Skills!L23/10)*(E181/1000),Skills!L23/10)+Skills!O23</f>
        <v>22.740000000000002</v>
      </c>
      <c r="G181">
        <f>Calc!G23</f>
        <v>1</v>
      </c>
      <c r="H181">
        <f>Calc!H23</f>
        <v>1</v>
      </c>
      <c r="I181">
        <f>IF(Skills!X23&lt;&gt;"",1+(Skills!X23/10)*(R161/1000)/100,1)</f>
        <v>1</v>
      </c>
      <c r="O181">
        <v>0</v>
      </c>
      <c r="P181">
        <f>IF(B197=0,0,O181/B197)</f>
        <v>0</v>
      </c>
      <c r="S181">
        <v>0</v>
      </c>
      <c r="V181">
        <f>IFERROR(1/IF(Inputs!$B$4="pvp",15,MAX(0.1,Skills!E23-IF(Skills!F23=TRUE,Inputs!$B$31,0))),0)</f>
        <v>10</v>
      </c>
    </row>
    <row r="182" spans="1:22" x14ac:dyDescent="0.2">
      <c r="A182" t="str">
        <f>Skills!A24</f>
        <v>IFRIT</v>
      </c>
      <c r="B182" t="str">
        <f>Skills!B24</f>
        <v>Ifrit</v>
      </c>
      <c r="C182" t="b">
        <f>Inputs!$B$3&gt;=115</f>
        <v>0</v>
      </c>
      <c r="D182">
        <f>IF(Skills!C24=1,60+Inputs!$B$24+Inputs!$B$28,IF(Skills!C24=2,90+Inputs!$B$25+Inputs!$B$28,IF(Skills!C24=3,120+Inputs!$B$26+Inputs!$B$28,MAX(0,(Inputs!$B$3-100)*3)+Inputs!$B$27+Inputs!$B$28)))</f>
        <v>172</v>
      </c>
      <c r="E182">
        <f>INDEX(FactorTable!$B$2:$Y$301, MATCH(ROUND(MIN(300,MAX(1,D182)),0), FactorTable!$A$2:$A$301,0), Skills!M24+1)</f>
        <v>1860</v>
      </c>
      <c r="F182">
        <f>IF(Skills!N24=TRUE,(Skills!L24/10)*(E182/1000),Skills!L24/10)+Skills!O24</f>
        <v>6510</v>
      </c>
      <c r="G182">
        <f>Calc!G24</f>
        <v>7.5</v>
      </c>
      <c r="H182">
        <f>Calc!H24</f>
        <v>1</v>
      </c>
      <c r="I182">
        <f>IF(Skills!X24&lt;&gt;"",1+(Skills!X24/10)*(R161/1000)/100,1)</f>
        <v>1</v>
      </c>
      <c r="J182">
        <f>((Inputs!$B$5*(1+Inputs!$B$6/100))+((Inputs!$B$11*(1+Inputs!$B$12/100))-(Inputs!$B$11*(1+Inputs!$B$12/100)))*(1+Inputs!$B$6/100))*(F182/100)</f>
        <v>16263999540.532799</v>
      </c>
      <c r="K182">
        <f>J182*(1+((Inputs!$B$11*(1+Inputs!$B$12/100))*0.01+Inputs!$B$13*0.0025)/100)*(1+Inputs!$B$14/100)*(1+IF(Inputs!$B$4="pvp",0,(1-Summary!$B$56)*(Inputs!$B$19+Skills!P24)+Summary!$B$56*(Inputs!$B$20+Skills!Q24))/100)*(1+(Inputs!$B$15+1)/100)*(5000/(6000+Inputs!$B$7*(1-Inputs!$B$18/100)))*(1+Inputs!$B$23/100)*(1+F181/100)*(1+IF(Inputs!$B$3&gt;=120,F184,0)/100)^5*(1+(IF(Skills!A24="BASIC_ATTACK",Inputs!$B$16,Inputs!$B$17+IF(Inputs!$B$3&gt;=125,F185*5,0)))/100)*(B188*B189*B190*I182)</f>
        <v>124477054688137.2</v>
      </c>
      <c r="L182">
        <f>K182*(MIN(Inputs!$B$21+(F180-Calc!F22),Inputs!$B$22)/100+Inputs!$B$22/100)/2</f>
        <v>336025809130626.31</v>
      </c>
      <c r="M182">
        <f>L182*(1+(Inputs!$B$9+(F179-Calc!F21))/100)</f>
        <v>1408284166066455</v>
      </c>
      <c r="N182">
        <f>L182*(1-MIN(Inputs!$B$8+(F178-Calc!F20),100)/100)+M182*(MIN(Inputs!$B$8+(F178-Calc!F20),100)/100)</f>
        <v>1408284166066455</v>
      </c>
      <c r="O182">
        <f>IF(C182,H182*N182*IF(AND(Inputs!$B$4&lt;&gt;"pvp",Inputs!$B$35&gt;0),((Skills!G24*((S182-1)*IF(Skills!H24&gt;0,Skills!I24/Skills!H24,1)+IF(Skills!H24&gt;0,MIN(Skills!I24,MAX(0,Inputs!$B$35-((S182-1)*IF(Inputs!$B$4="pvp",15,MAX(0.1,Skills!E24-IF(Skills!F24=TRUE,Inputs!$B$31,0))))))/Skills!H24,1)))/Inputs!$B$35),G182*V182)*(1+IF(Inputs!$B$3&gt;=130,0.2*(Skills!I16/Skills!E15+IF(Inputs!$B$3&gt;=126,0.05*(B194+V171+(H172*B195)/(1+Skills!H14*H172*B195)+V182),0)*Skills!I16),0))*IF(Inputs!$B$4="pvp",1,(1-Summary!$B$56)*(1)+Summary!$B$56*(MIN(Skills!R24,Inputs!$B$37))),0)</f>
        <v>0</v>
      </c>
      <c r="P182">
        <f>IF(B197=0,0,O182/B197)</f>
        <v>0</v>
      </c>
      <c r="S182">
        <f>IF(AND(Inputs!$B$4&lt;&gt;"pvp",Inputs!$B$35&gt;0),(INT(Inputs!$B$35/IF(Inputs!$B$4="pvp",15,MAX(0.1,Skills!E24-IF(Skills!F24=TRUE,Inputs!$B$31,0))))+1),0)</f>
        <v>0</v>
      </c>
      <c r="V182">
        <f>IFERROR(1/IF(Inputs!$B$4="pvp",15,MAX(0.1,Skills!E24-IF(Skills!F24=TRUE,Inputs!$B$31,0))),0)</f>
        <v>1.2500000000000001E-2</v>
      </c>
    </row>
    <row r="183" spans="1:22" x14ac:dyDescent="0.2">
      <c r="A183" t="str">
        <f>Skills!A25</f>
        <v>BUFF_MASTERY</v>
      </c>
      <c r="B183" t="str">
        <f>Skills!B25</f>
        <v>Buff Mastery</v>
      </c>
      <c r="C183" t="b">
        <f>Inputs!$B$3&gt;=117</f>
        <v>0</v>
      </c>
      <c r="D183">
        <f>IF(Skills!C25=1,60+Inputs!$B$24+Inputs!$B$28,IF(Skills!C25=2,90+Inputs!$B$25+Inputs!$B$28,IF(Skills!C25=3,120+Inputs!$B$26+Inputs!$B$28,MAX(0,(Inputs!$B$3-100)*3)+Inputs!$B$27+Inputs!$B$28)))</f>
        <v>172</v>
      </c>
      <c r="E183">
        <f>INDEX(FactorTable!$B$2:$Y$301, MATCH(ROUND(MIN(300,MAX(1,D183)),0), FactorTable!$A$2:$A$301,0), Skills!M25+1)</f>
        <v>1516</v>
      </c>
      <c r="F183">
        <f>IF(Skills!N25=TRUE,(Skills!L25/10)*(E183/1000),Skills!L25/10)+Skills!O25</f>
        <v>15.16</v>
      </c>
      <c r="G183">
        <f>Calc!G25</f>
        <v>1</v>
      </c>
      <c r="H183">
        <f>Calc!H25</f>
        <v>1</v>
      </c>
      <c r="I183">
        <f>IF(Skills!X25&lt;&gt;"",1+(Skills!X25/10)*(R161/1000)/100,1)</f>
        <v>1</v>
      </c>
      <c r="O183">
        <v>0</v>
      </c>
      <c r="P183">
        <f>IF(B197=0,0,O183/B197)</f>
        <v>0</v>
      </c>
      <c r="S183">
        <v>0</v>
      </c>
      <c r="V183">
        <f>IFERROR(1/IF(Inputs!$B$4="pvp",15,MAX(0.1,Skills!E25-IF(Skills!F25=TRUE,Inputs!$B$31,0))),0)</f>
        <v>10</v>
      </c>
    </row>
    <row r="184" spans="1:22" x14ac:dyDescent="0.2">
      <c r="A184" t="str">
        <f>Skills!A26</f>
        <v>ARCANE_AIM</v>
      </c>
      <c r="B184" t="str">
        <f>Skills!B26</f>
        <v>Arcane Aim</v>
      </c>
      <c r="C184" t="b">
        <f>Inputs!$B$3&gt;=120</f>
        <v>0</v>
      </c>
      <c r="D184">
        <f>IF(Skills!C26=1,60+Inputs!$B$24+Inputs!$B$28,IF(Skills!C26=2,90+Inputs!$B$25+Inputs!$B$28,IF(Skills!C26=3,120+Inputs!$B$26+Inputs!$B$28,MAX(0,(Inputs!$B$3-100)*3)+Inputs!$B$27+Inputs!$B$28)))</f>
        <v>172</v>
      </c>
      <c r="E184">
        <f>INDEX(FactorTable!$B$2:$Y$301, MATCH(ROUND(MIN(300,MAX(1,D184)),0), FactorTable!$A$2:$A$301,0), Skills!M26+1)</f>
        <v>1516</v>
      </c>
      <c r="F184">
        <f>IF(Skills!N26=TRUE,(Skills!L26/10)*(E184/1000),Skills!L26/10)+Skills!O26</f>
        <v>4.548</v>
      </c>
      <c r="G184">
        <f>Calc!G26</f>
        <v>1</v>
      </c>
      <c r="H184">
        <f>Calc!H26</f>
        <v>1</v>
      </c>
      <c r="I184">
        <f>IF(Skills!X26&lt;&gt;"",1+(Skills!X26/10)*(R161/1000)/100,1)</f>
        <v>1</v>
      </c>
      <c r="O184">
        <v>0</v>
      </c>
      <c r="P184">
        <f>IF(B197=0,0,O184/B197)</f>
        <v>0</v>
      </c>
      <c r="S184">
        <v>0</v>
      </c>
      <c r="V184">
        <f>IFERROR(1/IF(Inputs!$B$4="pvp",15,MAX(0.1,Skills!E26-IF(Skills!F26=TRUE,Inputs!$B$31,0))),0)</f>
        <v>10</v>
      </c>
    </row>
    <row r="185" spans="1:22" x14ac:dyDescent="0.2">
      <c r="A185" t="str">
        <f>Skills!A27</f>
        <v>FERVENT_DRAIN</v>
      </c>
      <c r="B185" t="str">
        <f>Skills!B27</f>
        <v>Fervent Drain</v>
      </c>
      <c r="C185" t="b">
        <f>Inputs!$B$3&gt;=125</f>
        <v>0</v>
      </c>
      <c r="D185">
        <f>IF(Skills!C27=1,60+Inputs!$B$24+Inputs!$B$28,IF(Skills!C27=2,90+Inputs!$B$25+Inputs!$B$28,IF(Skills!C27=3,120+Inputs!$B$26+Inputs!$B$28,MAX(0,(Inputs!$B$3-100)*3)+Inputs!$B$27+Inputs!$B$28)))</f>
        <v>172</v>
      </c>
      <c r="E185">
        <f>INDEX(FactorTable!$B$2:$Y$301, MATCH(ROUND(MIN(300,MAX(1,D185)),0), FactorTable!$A$2:$A$301,0), Skills!M27+1)</f>
        <v>1516</v>
      </c>
      <c r="F185">
        <f>IF(Skills!N27=TRUE,(Skills!L27/10)*(E185/1000),Skills!L27/10)+Skills!O27</f>
        <v>6.0640000000000001</v>
      </c>
      <c r="G185">
        <f>Calc!G27</f>
        <v>1</v>
      </c>
      <c r="H185">
        <f>Calc!H27</f>
        <v>1</v>
      </c>
      <c r="I185">
        <f>IF(Skills!X27&lt;&gt;"",1+(Skills!X27/10)*(R161/1000)/100,1)</f>
        <v>1</v>
      </c>
      <c r="O185">
        <v>0</v>
      </c>
      <c r="P185">
        <f>IF(B197=0,0,O185/B197)</f>
        <v>0</v>
      </c>
      <c r="S185">
        <v>0</v>
      </c>
      <c r="V185">
        <f>IFERROR(1/IF(Inputs!$B$4="pvp",15,MAX(0.1,Skills!E27-IF(Skills!F27=TRUE,Inputs!$B$31,0))),0)</f>
        <v>10</v>
      </c>
    </row>
    <row r="186" spans="1:22" x14ac:dyDescent="0.2">
      <c r="A186" t="str">
        <f>Skills!A28</f>
        <v>FLAME_HAZE_FOG</v>
      </c>
      <c r="B186" t="str">
        <f>Skills!B28</f>
        <v>Flame Haze (poison fog DoT)</v>
      </c>
      <c r="C186" t="b">
        <f>Inputs!$B$3&gt;=118</f>
        <v>0</v>
      </c>
      <c r="D186">
        <f>IF(Skills!C28=1,60+Inputs!$B$24+Inputs!$B$28,IF(Skills!C28=2,90+Inputs!$B$25+Inputs!$B$28,IF(Skills!C28=3,120+Inputs!$B$26+Inputs!$B$28,MAX(0,(Inputs!$B$3-100)*3)+Inputs!$B$27+Inputs!$B$28)))</f>
        <v>172</v>
      </c>
      <c r="E186">
        <f>INDEX(FactorTable!$B$2:$Y$301, MATCH(ROUND(MIN(300,MAX(1,D186)),0), FactorTable!$A$2:$A$301,0), Skills!M28+1)</f>
        <v>1860</v>
      </c>
      <c r="F186">
        <f>IF(Skills!N28=TRUE,(Skills!L28/10)*(E186/1000),Skills!L28/10)+Skills!O28</f>
        <v>130.20000000000002</v>
      </c>
      <c r="G186">
        <f>Calc!G28</f>
        <v>50</v>
      </c>
      <c r="H186">
        <f>Calc!H28</f>
        <v>1</v>
      </c>
      <c r="I186">
        <f>IF(Skills!X28&lt;&gt;"",1+(Skills!X28/10)*(R161/1000)/100,1)</f>
        <v>1</v>
      </c>
      <c r="J186">
        <f>((Inputs!$B$5*(1+Inputs!$B$6/100))+((Inputs!$B$11*(1+Inputs!$B$12/100))-(Inputs!$B$11*(1+Inputs!$B$12/100)))*(1+Inputs!$B$6/100))*(F186/100)</f>
        <v>325279990.81065607</v>
      </c>
      <c r="K186">
        <f>J186*(1+((Inputs!$B$11*(1+Inputs!$B$12/100))*0.01+Inputs!$B$13*0.0025)/100)*(1+Inputs!$B$14/100)*(1+IF(Inputs!$B$4="pvp",0,(1-Summary!$B$56)*(Inputs!$B$19+Skills!P28)+Summary!$B$56*(Inputs!$B$20+Skills!Q28))/100)*(1+(Inputs!$B$15+1)/100)*(5000/(6000+Inputs!$B$7*(1-Inputs!$B$18/100)))*(1+Inputs!$B$23/100)*(1+F181/100)*(1+IF(Inputs!$B$3&gt;=120,F184,0)/100)^5*(1+(IF(Skills!A28="BASIC_ATTACK",Inputs!$B$16,Inputs!$B$17+IF(Inputs!$B$3&gt;=125,F185*5,0)))/100)*(B188*B189*B190*I186)</f>
        <v>2489541093762.7456</v>
      </c>
      <c r="L186">
        <f>K186*(MIN(Inputs!$B$21+(F180-Calc!F22),Inputs!$B$22)/100+Inputs!$B$22/100)/2</f>
        <v>6720516182612.5303</v>
      </c>
      <c r="M186">
        <f>L186*(1+(Inputs!$B$9+(F179-Calc!F21))/100)</f>
        <v>28165683321329.121</v>
      </c>
      <c r="N186">
        <f>L186*(1-MIN(Inputs!$B$8+(F178-Calc!F20),100)/100)+M186*(MIN(Inputs!$B$8+(F178-Calc!F20),100)/100)</f>
        <v>28165683321329.121</v>
      </c>
      <c r="O186">
        <f>IF(C186,H186*N186*IF(AND(Inputs!$B$4&lt;&gt;"pvp",Inputs!$B$35&gt;0),((Skills!G28*((S186-1)*IF(Skills!H28&gt;0,Skills!I28/Skills!H28,1)+IF(Skills!H28&gt;0,MIN(Skills!I28,MAX(0,Inputs!$B$35-((S186-1)*IF(Inputs!$B$4="pvp",15,MAX(0.1,Skills!E28-IF(Skills!F28=TRUE,Inputs!$B$31,0))))))/Skills!H28,1)))/Inputs!$B$35),G186*V186)*IF(Inputs!$B$4="pvp",1,(1-Summary!$B$56)*(1)+Summary!$B$56*(MIN(Skills!R28,Inputs!$B$37))),0)</f>
        <v>0</v>
      </c>
      <c r="P186">
        <f>IF(B197=0,0,O186/B197)</f>
        <v>0</v>
      </c>
      <c r="S186">
        <f>IF(AND(Inputs!$B$4&lt;&gt;"pvp",Inputs!$B$35&gt;0),(INT(Inputs!$B$35/IF(Inputs!$B$4="pvp",15,MAX(0.1,Skills!E28-IF(Skills!F28=TRUE,Inputs!$B$31,0))))+1),0)</f>
        <v>0</v>
      </c>
      <c r="V186">
        <f>IFERROR(1/IF(Inputs!$B$4="pvp",15,MAX(0.1,Skills!E28-IF(Skills!F28=TRUE,Inputs!$B$31,0))),0)</f>
        <v>0.04</v>
      </c>
    </row>
    <row r="188" spans="1:22" x14ac:dyDescent="0.2">
      <c r="A188" t="s">
        <v>222</v>
      </c>
      <c r="B188">
        <f>1+(F169*Skills!Z11)/100</f>
        <v>1.25</v>
      </c>
    </row>
    <row r="189" spans="1:22" x14ac:dyDescent="0.2">
      <c r="A189" t="s">
        <v>223</v>
      </c>
      <c r="B189">
        <f>1+F170/100</f>
        <v>1.18624</v>
      </c>
    </row>
    <row r="190" spans="1:22" x14ac:dyDescent="0.2">
      <c r="A190" t="s">
        <v>224</v>
      </c>
      <c r="B190">
        <f>(1+(F164*IF(AND(Inputs!$B$4&lt;&gt;"pvp",Inputs!$B$35&gt;0),(((S164-1)*(Skills!T6*(1+(Inputs!$B$33+IF(Inputs!$B$3&gt;=117,F183,0))/100))+MIN((Skills!T6*(1+(Inputs!$B$33+IF(Inputs!$B$3&gt;=117,F183,0))/100)),MAX(0,Inputs!$B$35-((S164-1)*Skills!E6))))/Inputs!$B$35),IF(Inputs!$B$4="pvp",MIN((Skills!T6*(1+(Inputs!$B$33+IF(Inputs!$B$3&gt;=117,F183,0))/100)),15)/15,(Skills!T6*(1+(Inputs!$B$33+IF(Inputs!$B$3&gt;=117,F183,0))/100))/Skills!E6))+F175*IF(AND(Inputs!$B$4&lt;&gt;"pvp",Inputs!$B$35&gt;0),(((S175-1)*(Skills!T17*(1+(Inputs!$B$33+IF(Inputs!$B$3&gt;=117,F183,0))/100))+MIN((Skills!T17*(1+(Inputs!$B$33+IF(Inputs!$B$3&gt;=117,F183,0))/100)),MAX(0,Inputs!$B$35-((S175-1)*Skills!E17))))/Inputs!$B$35),IF(Inputs!$B$4="pvp",MIN((Skills!T17*(1+(Inputs!$B$33+IF(Inputs!$B$3&gt;=117,F183,0))/100)),15)/15,(Skills!T17*(1+(Inputs!$B$33+IF(Inputs!$B$3&gt;=117,F183,0))/100))/Skills!E17)))/100)*IF(C177=TRUE,(1+F177*IF(AND(Inputs!$B$4&lt;&gt;"pvp",Inputs!$B$35&gt;0),(((S177-1)*(Skills!T19*(1+(Inputs!$B$33+IF(Inputs!$B$3&gt;=117,F183,0))/100))+MIN((Skills!T19*(1+(Inputs!$B$33+IF(Inputs!$B$3&gt;=117,F183,0))/100)),MAX(0,Inputs!$B$35-((S177-1)*Skills!E19))))/Inputs!$B$35),IF(Inputs!$B$4="pvp",MIN((Skills!T19*(1+(Inputs!$B$33+IF(Inputs!$B$3&gt;=117,F183,0))/100)),15)/15,(Skills!T19*(1+(Inputs!$B$33+IF(Inputs!$B$3&gt;=117,F183,0))/100))/Skills!E19))/100),1)</f>
        <v>1.5603265106950857</v>
      </c>
    </row>
    <row r="191" spans="1:22" x14ac:dyDescent="0.2">
      <c r="A191" t="s">
        <v>225</v>
      </c>
      <c r="B191">
        <f>F176*IF(AND(Inputs!$B$4&lt;&gt;"pvp",Inputs!$B$35&gt;0),(((S176-1)*(Skills!T18*(1+(Inputs!$B$33+IF(Inputs!$B$3&gt;=117,F183,0))/100))+MIN((Skills!T18*(1+(Inputs!$B$33+IF(Inputs!$B$3&gt;=117,F183,0))/100)),MAX(0,Inputs!$B$35-((S176-1)*Skills!E18))))/Inputs!$B$35),IF(Inputs!$B$4="pvp",MIN((Skills!T18*(1+(Inputs!$B$33+IF(Inputs!$B$3&gt;=117,F183,0))/100)),15)/15,(Skills!T18*(1+(Inputs!$B$33+IF(Inputs!$B$3&gt;=117,F183,0))/100))/Skills!E18))</f>
        <v>3.75</v>
      </c>
    </row>
    <row r="192" spans="1:22" x14ac:dyDescent="0.2">
      <c r="A192" t="s">
        <v>253</v>
      </c>
      <c r="B192">
        <f>1+MIN(150,150*(1-(1-Inputs!$B$10/150)*(1-B191/150)))/100</f>
        <v>1.6371249999999999</v>
      </c>
    </row>
    <row r="193" spans="1:22" x14ac:dyDescent="0.2">
      <c r="A193" t="s">
        <v>254</v>
      </c>
      <c r="B193">
        <f>IF(AND(Inputs!$B$4&lt;&gt;"pvp",Inputs!$B$35&gt;0),SUMPRODUCT((Skills!F2:F28=TRUE)*(C160:C186=TRUE)*S160:S186)/Inputs!$B$35,SUMPRODUCT((Skills!F2:F28=TRUE)*(C160:C186=TRUE)*V160:V186))</f>
        <v>0.33466433037861604</v>
      </c>
    </row>
    <row r="194" spans="1:22" x14ac:dyDescent="0.2">
      <c r="A194" t="s">
        <v>228</v>
      </c>
      <c r="B194">
        <f>MAX(0,B192-B193)</f>
        <v>1.3024606696213838</v>
      </c>
    </row>
    <row r="195" spans="1:22" x14ac:dyDescent="0.2">
      <c r="A195" t="s">
        <v>255</v>
      </c>
      <c r="B195">
        <f>IF(AND(Inputs!$B$4&lt;&gt;"pvp",Inputs!$B$35&gt;0),SUMPRODUCT((Skills!V2:V28=TRUE)*(C160:C186=TRUE)*S160:S186*Skills!W2:W28)/Inputs!$B$35,SUMPRODUCT((Skills!V2:V28=TRUE)*(C160:C186=TRUE)*V160:V186*Skills!W2:W28))+B194</f>
        <v>1.5297416426166426</v>
      </c>
    </row>
    <row r="197" spans="1:22" x14ac:dyDescent="0.2">
      <c r="A197" s="5" t="s">
        <v>208</v>
      </c>
      <c r="B197" s="5">
        <f>SUM(O160:O186)</f>
        <v>8389581427763874</v>
      </c>
    </row>
    <row r="200" spans="1:22" x14ac:dyDescent="0.2">
      <c r="A200" s="5" t="s">
        <v>259</v>
      </c>
    </row>
    <row r="201" spans="1:22" x14ac:dyDescent="0.2">
      <c r="A201" s="8" t="s">
        <v>74</v>
      </c>
      <c r="B201" s="8" t="s">
        <v>75</v>
      </c>
      <c r="C201" s="8" t="s">
        <v>190</v>
      </c>
      <c r="D201" s="8" t="s">
        <v>191</v>
      </c>
      <c r="E201" s="8" t="s">
        <v>192</v>
      </c>
      <c r="F201" s="8" t="s">
        <v>193</v>
      </c>
      <c r="G201" s="8" t="s">
        <v>194</v>
      </c>
      <c r="H201" s="8" t="s">
        <v>195</v>
      </c>
      <c r="I201" s="8" t="s">
        <v>196</v>
      </c>
      <c r="J201" s="8" t="s">
        <v>197</v>
      </c>
      <c r="K201" s="8" t="s">
        <v>198</v>
      </c>
      <c r="L201" s="8" t="s">
        <v>199</v>
      </c>
      <c r="M201" s="8" t="s">
        <v>200</v>
      </c>
      <c r="N201" s="8" t="s">
        <v>201</v>
      </c>
      <c r="O201" s="8" t="s">
        <v>202</v>
      </c>
      <c r="P201" s="8" t="s">
        <v>203</v>
      </c>
      <c r="R201" t="s">
        <v>252</v>
      </c>
    </row>
    <row r="202" spans="1:22" x14ac:dyDescent="0.2">
      <c r="A202" t="str">
        <f>Skills!A2</f>
        <v>BASIC_ATTACK</v>
      </c>
      <c r="B202" t="str">
        <f>Skills!B2</f>
        <v>Basic Attack</v>
      </c>
      <c r="C202" t="b">
        <f>TRUE</f>
        <v>1</v>
      </c>
      <c r="F202">
        <f>T204+Skills!O2</f>
        <v>510.52</v>
      </c>
      <c r="G202">
        <f>Calc!G2</f>
        <v>5</v>
      </c>
      <c r="H202">
        <f>Calc!H2</f>
        <v>1</v>
      </c>
      <c r="I202">
        <f>IF(Skills!X2&lt;&gt;"",1+(Skills!X2/10)*(R203/1000)/100,1)</f>
        <v>1</v>
      </c>
      <c r="J202">
        <f>((Inputs!$B$5*(1+Inputs!$B$6/100))+((Inputs!$B$11*(1+Inputs!$B$12/100))-(Inputs!$B$11*(1+Inputs!$B$12/100)))*(1+Inputs!$B$6/100))*(F202/100)</f>
        <v>1275437334.1678655</v>
      </c>
      <c r="K202">
        <f>J202*(1+((Inputs!$B$11*(1+Inputs!$B$12/100))*0.01+Inputs!$B$13*0.0025)/100)*(1+Inputs!$B$14/100)*(1+IF(Inputs!$B$4="pvp",0,(1-Summary!$B$56)*((Inputs!$B$19+1)+Skills!P2)+Summary!$B$56*(Inputs!$B$20+Skills!Q2))/100)*(1+Inputs!$B$15/100)*(5000/(6000+Inputs!$B$7*(1-Inputs!$B$18/100)))*(1+Inputs!$B$23/100)*(1+F223/100)*(1+IF(Inputs!$B$3&gt;=120,F226,0)/100)^5*(1+(IF(Skills!A2="BASIC_ATTACK",Inputs!$B$16,Inputs!$B$17+IF(Inputs!$B$3&gt;=125,F227*5,0)))/100)*(B230*B231*B232*I202)</f>
        <v>6969209925261.9248</v>
      </c>
      <c r="L202">
        <f>K202*(MIN(Inputs!$B$21+(F222-Calc!F22),Inputs!$B$22)/100+Inputs!$B$22/100)/2</f>
        <v>18813382193244.562</v>
      </c>
      <c r="M202">
        <f>L202*(1+(Inputs!$B$9+(F221-Calc!F21))/100)</f>
        <v>78846884771887.969</v>
      </c>
      <c r="N202">
        <f>L202*(1-MIN(Inputs!$B$8+(F220-Calc!F20),100)/100)+M202*(MIN(Inputs!$B$8+(F220-Calc!F20),100)/100)</f>
        <v>78846884771887.969</v>
      </c>
      <c r="O202">
        <f>Skills!G2*N202*B236*IF(Inputs!$B$4="pvp",1,(1-Summary!$B$56)*(1)+Summary!$B$56*(MIN((6+Inputs!$B$32+IF(Inputs!$B$3&gt;=136,1,0)),Inputs!$B$37)))</f>
        <v>3902408720827025</v>
      </c>
      <c r="P202">
        <f>IF(B239=0,0,O202/B239)</f>
        <v>0.46738080030915896</v>
      </c>
      <c r="R202">
        <f>MAX(0,(Inputs!$B$3-100)*3)+Inputs!$B$27+Inputs!$B$28</f>
        <v>172</v>
      </c>
      <c r="S202">
        <v>0</v>
      </c>
      <c r="T202">
        <f>MAX(0,(Inputs!$B$3-100)*3)+Inputs!$B$27+Inputs!$B$28</f>
        <v>172</v>
      </c>
      <c r="V202">
        <f>IFERROR(1/IF(Inputs!$B$4="pvp",15,MAX(0.1,Skills!E2-IF(Skills!F2=TRUE,Inputs!$B$31,0))),0)</f>
        <v>10</v>
      </c>
    </row>
    <row r="203" spans="1:22" x14ac:dyDescent="0.2">
      <c r="A203" t="str">
        <f>Skills!A3</f>
        <v>IGNITE</v>
      </c>
      <c r="B203" t="str">
        <f>Skills!B3</f>
        <v>Ignite</v>
      </c>
      <c r="C203" t="b">
        <f>TRUE</f>
        <v>1</v>
      </c>
      <c r="D203">
        <f>IF(Skills!C3=1,60+Inputs!$B$24+Inputs!$B$28,IF(Skills!C3=2,90+Inputs!$B$25+Inputs!$B$28,IF(Skills!C3=3,120+Inputs!$B$26+Inputs!$B$28,MAX(0,(Inputs!$B$3-100)*3)+Inputs!$B$27+Inputs!$B$28)))</f>
        <v>164</v>
      </c>
      <c r="E203">
        <f>INDEX(FactorTable!$B$2:$Y$301, MATCH(ROUND(MIN(300,MAX(1,D203)),0), FactorTable!$A$2:$A$301,0), Skills!M3+1)</f>
        <v>1656</v>
      </c>
      <c r="F203">
        <f>IF(Skills!N3=TRUE,(Skills!L3/10)*(E203/1000),Skills!L3/10)+Skills!O3</f>
        <v>121.52799999999999</v>
      </c>
      <c r="G203">
        <f>Calc!G3</f>
        <v>3</v>
      </c>
      <c r="H203">
        <f>Calc!H3</f>
        <v>1</v>
      </c>
      <c r="I203">
        <f>IF(Skills!X3&lt;&gt;"",1+(Skills!X3/10)*(R203/1000)/100,1)</f>
        <v>4.76</v>
      </c>
      <c r="J203">
        <f>((Inputs!$B$5*(1+Inputs!$B$6/100))+((Inputs!$B$11*(1+Inputs!$B$12/100))-(Inputs!$B$11*(1+Inputs!$B$12/100)))*(1+Inputs!$B$6/100))*(F203/100)</f>
        <v>303614644.57171583</v>
      </c>
      <c r="K203">
        <f>J203*(1+((Inputs!$B$11*(1+Inputs!$B$12/100))*0.01+Inputs!$B$13*0.0025)/100)*(1+Inputs!$B$14/100)*(1+IF(Inputs!$B$4="pvp",0,(1-Summary!$B$56)*((Inputs!$B$19+1)+Skills!P3)+Summary!$B$56*(Inputs!$B$20+Skills!Q3))/100)*(1+Inputs!$B$15/100)*(5000/(6000+Inputs!$B$7*(1-Inputs!$B$18/100)))*(1+Inputs!$B$23/100)*(1+F223/100)*(1+IF(Inputs!$B$3&gt;=120,F226,0)/100)^5*(1+(IF(Skills!A3="BASIC_ATTACK",Inputs!$B$16,Inputs!$B$17+IF(Inputs!$B$3&gt;=125,F227*5,0)))/100)*(B230*B231*B232*I203)</f>
        <v>11008211312304.453</v>
      </c>
      <c r="L203">
        <f>K203*(MIN(Inputs!$B$21+(F222-Calc!F22),Inputs!$B$22)/100+Inputs!$B$22/100)/2</f>
        <v>29716666437565.867</v>
      </c>
      <c r="M203">
        <f>L203*(1+(Inputs!$B$9+(F221-Calc!F21))/100)</f>
        <v>124542549039838.58</v>
      </c>
      <c r="N203">
        <f>L203*(1-MIN(Inputs!$B$8+(F220-Calc!F20),100)/100)+M203*(MIN(Inputs!$B$8+(F220-Calc!F20),100)/100)</f>
        <v>124542549039838.58</v>
      </c>
      <c r="O203">
        <f>IF(C203,H203*N203*IF(AND(Inputs!$B$4&lt;&gt;"pvp",Inputs!$B$35&gt;0),((Skills!G3*((S203-1)*IF(Skills!H3&gt;0,Skills!I3/Skills!H3,1)+IF(Skills!H3&gt;0,MIN(Skills!I3,MAX(0,Inputs!$B$35-((S203-1)*IF(Inputs!$B$4="pvp",15,MAX(0.1,Skills!E3-IF(Skills!F3=TRUE,Inputs!$B$31,0))))))/Skills!H3,1)))/Inputs!$B$35),G203*V203)*IF(Inputs!$B$4="pvp",1,(1-Summary!$B$56)*(1)+Summary!$B$56*(MIN(Skills!R3,Inputs!$B$37))),0)</f>
        <v>821980823662934.5</v>
      </c>
      <c r="P203">
        <f>IF(B239=0,0,O203/B239)</f>
        <v>9.8446391110192669E-2</v>
      </c>
      <c r="R203">
        <f>INDEX(FactorTable!$B$2:$Y$301, MATCH(ROUND(MIN(300,MAX(1,R202)),0), FactorTable!$A$2:$A$301,0), 24)</f>
        <v>7520</v>
      </c>
      <c r="S203">
        <f>IF(AND(Inputs!$B$4&lt;&gt;"pvp",Inputs!$B$35&gt;0),(INT(Inputs!$B$35/IF(Inputs!$B$4="pvp",15,MAX(0.1,Skills!E3-IF(Skills!F3=TRUE,Inputs!$B$31,0))))+1),0)</f>
        <v>0</v>
      </c>
      <c r="T203">
        <f>INDEX(FactorTable!$B$2:$Y$301, MATCH(ROUND(MIN(300,MAX(1,T202)),0), FactorTable!$A$2:$A$301,0), 22)</f>
        <v>1688</v>
      </c>
      <c r="V203">
        <f>IFERROR(1/IF(Inputs!$B$4="pvp",15,MAX(0.1,Skills!E3-IF(Skills!F3=TRUE,Inputs!$B$31,0))),0)</f>
        <v>1</v>
      </c>
    </row>
    <row r="204" spans="1:22" x14ac:dyDescent="0.2">
      <c r="A204" t="str">
        <f>Skills!A4</f>
        <v>POISON_BREATH</v>
      </c>
      <c r="B204" t="str">
        <f>Skills!B4</f>
        <v>Poison Breath</v>
      </c>
      <c r="C204" t="b">
        <f>TRUE</f>
        <v>1</v>
      </c>
      <c r="D204">
        <f>IF(Skills!C4=1,60+Inputs!$B$24+Inputs!$B$28,IF(Skills!C4=2,90+Inputs!$B$25+Inputs!$B$28,IF(Skills!C4=3,120+Inputs!$B$26+Inputs!$B$28,MAX(0,(Inputs!$B$3-100)*3)+Inputs!$B$27+Inputs!$B$28)))</f>
        <v>164</v>
      </c>
      <c r="E204">
        <f>INDEX(FactorTable!$B$2:$Y$301, MATCH(ROUND(MIN(300,MAX(1,D204)),0), FactorTable!$A$2:$A$301,0), Skills!M4+1)</f>
        <v>1820</v>
      </c>
      <c r="F204">
        <f>IF(Skills!N4=TRUE,(Skills!L4/10)*(E204/1000),Skills!L4/10)+Skills!O4</f>
        <v>434</v>
      </c>
      <c r="G204">
        <f>Calc!G4</f>
        <v>3</v>
      </c>
      <c r="H204">
        <f>Calc!H4</f>
        <v>1</v>
      </c>
      <c r="I204">
        <f>IF(Skills!X4&lt;&gt;"",1+(Skills!X4/10)*(R203/1000)/100,1)</f>
        <v>7.0159999999999991</v>
      </c>
      <c r="J204">
        <f>((Inputs!$B$5*(1+Inputs!$B$6/100))+((Inputs!$B$11*(1+Inputs!$B$12/100))-(Inputs!$B$11*(1+Inputs!$B$12/100)))*(1+Inputs!$B$6/100))*(F204/100)</f>
        <v>1084266636.0355198</v>
      </c>
      <c r="K204">
        <f>J204*(1+((Inputs!$B$11*(1+Inputs!$B$12/100))*0.01+Inputs!$B$13*0.0025)/100)*(1+Inputs!$B$14/100)*(1+IF(Inputs!$B$4="pvp",0,(1-Summary!$B$56)*((Inputs!$B$19+1)+Skills!P4)+Summary!$B$56*(Inputs!$B$20+Skills!Q4))/100)*(1+Inputs!$B$15/100)*(5000/(6000+Inputs!$B$7*(1-Inputs!$B$18/100)))*(1+Inputs!$B$23/100)*(1+F223/100)*(1+IF(Inputs!$B$3&gt;=120,F226,0)/100)^5*(1+(IF(Skills!A4="BASIC_ATTACK",Inputs!$B$16,Inputs!$B$17+IF(Inputs!$B$3&gt;=125,F227*5,0)))/100)*(B230*B231*B232*I204)</f>
        <v>57944572627682.242</v>
      </c>
      <c r="L204">
        <f>K204*(MIN(Inputs!$B$21+(F222-Calc!F22),Inputs!$B$22)/100+Inputs!$B$22/100)/2</f>
        <v>156421373808428.19</v>
      </c>
      <c r="M204">
        <f>L204*(1+(Inputs!$B$9+(F221-Calc!F21))/100)</f>
        <v>655561977631122.62</v>
      </c>
      <c r="N204">
        <f>L204*(1-MIN(Inputs!$B$8+(F220-Calc!F20),100)/100)+M204*(MIN(Inputs!$B$8+(F220-Calc!F20),100)/100)</f>
        <v>655561977631122.62</v>
      </c>
      <c r="O204">
        <f>IF(C204,H204*N204*IF(AND(Inputs!$B$4&lt;&gt;"pvp",Inputs!$B$35&gt;0),((Skills!G4*((S204-1)*IF(Skills!H4&gt;0,Skills!I4/Skills!H4,1)+IF(Skills!H4&gt;0,MIN(Skills!I4,MAX(0,Inputs!$B$35-((S204-1)*IF(Inputs!$B$4="pvp",15,MAX(0.1,Skills!E4-IF(Skills!F4=TRUE,Inputs!$B$31,0))))))/Skills!H4,1)))/Inputs!$B$35),G204*V204)*IF(Inputs!$B$4="pvp",1,(1-Summary!$B$56)*(1)+Summary!$B$56*(MIN(Skills!R4,Inputs!$B$37))),0)</f>
        <v>437041318420748.31</v>
      </c>
      <c r="P204">
        <f>IF(B239=0,0,O204/B239)</f>
        <v>5.2343241260584858E-2</v>
      </c>
      <c r="S204">
        <f>IF(AND(Inputs!$B$4&lt;&gt;"pvp",Inputs!$B$35&gt;0),(INT(Inputs!$B$35/IF(Inputs!$B$4="pvp",15,MAX(0.1,Skills!E4-IF(Skills!F4=TRUE,Inputs!$B$31,0))))+1),0)</f>
        <v>0</v>
      </c>
      <c r="T204">
        <f>290*T203/1000</f>
        <v>489.52</v>
      </c>
      <c r="V204">
        <f>IFERROR(1/IF(Inputs!$B$4="pvp",15,MAX(0.1,Skills!E4-IF(Skills!F4=TRUE,Inputs!$B$31,0))),0)</f>
        <v>5.5555555555555552E-2</v>
      </c>
    </row>
    <row r="205" spans="1:22" x14ac:dyDescent="0.2">
      <c r="A205" t="str">
        <f>Skills!A5</f>
        <v>ELEMENTAL_DRAIN</v>
      </c>
      <c r="B205" t="str">
        <f>Skills!B5</f>
        <v>Elemental Drain</v>
      </c>
      <c r="C205" t="b">
        <f>TRUE</f>
        <v>1</v>
      </c>
      <c r="D205">
        <f>IF(Skills!C5=1,60+Inputs!$B$24+Inputs!$B$28,IF(Skills!C5=2,90+Inputs!$B$25+Inputs!$B$28,IF(Skills!C5=3,120+Inputs!$B$26+Inputs!$B$28,MAX(0,(Inputs!$B$3-100)*3)+Inputs!$B$27+Inputs!$B$28)))</f>
        <v>164</v>
      </c>
      <c r="E205">
        <f>INDEX(FactorTable!$B$2:$Y$301, MATCH(ROUND(MIN(300,MAX(1,D205)),0), FactorTable!$A$2:$A$301,0), Skills!M5+1)</f>
        <v>1656</v>
      </c>
      <c r="F205">
        <f>IF(Skills!N5=TRUE,(Skills!L5/10)*(E205/1000),Skills!L5/10)+Skills!O5</f>
        <v>19.872</v>
      </c>
      <c r="G205">
        <f>Calc!G5</f>
        <v>5</v>
      </c>
      <c r="H205">
        <f>Calc!H5</f>
        <v>1</v>
      </c>
      <c r="I205">
        <f>IF(Skills!X5&lt;&gt;"",1+(Skills!X5/10)*(R203/1000)/100,1)</f>
        <v>12.28</v>
      </c>
      <c r="J205">
        <f>((Inputs!$B$5*(1+Inputs!$B$6/100))+((Inputs!$B$11*(1+Inputs!$B$12/100))-(Inputs!$B$11*(1+Inputs!$B$12/100)))*(1+Inputs!$B$6/100))*(F205/100)</f>
        <v>49646420.717276163</v>
      </c>
      <c r="K205">
        <f>J205*(1+((Inputs!$B$11*(1+Inputs!$B$12/100))*0.01+Inputs!$B$13*0.0025)/100)*(1+Inputs!$B$14/100)*(1+IF(Inputs!$B$4="pvp",0,(1-Summary!$B$56)*((Inputs!$B$19+1)+Skills!P5)+Summary!$B$56*(Inputs!$B$20+Skills!Q5))/100)*(1+Inputs!$B$15/100)*(5000/(6000+Inputs!$B$7*(1-Inputs!$B$18/100)))*(1+Inputs!$B$23/100)*(1+F223/100)*(1+IF(Inputs!$B$3&gt;=120,F226,0)/100)^5*(1+(IF(Skills!A5="BASIC_ATTACK",Inputs!$B$16,Inputs!$B$17+IF(Inputs!$B$3&gt;=125,F227*5,0)))/100)*(B230*B231*B232*I205)</f>
        <v>4643798848293.9805</v>
      </c>
      <c r="L205">
        <f>K205*(MIN(Inputs!$B$21+(F222-Calc!F22),Inputs!$B$22)/100+Inputs!$B$22/100)/2</f>
        <v>12535934990969.598</v>
      </c>
      <c r="M205">
        <f>L205*(1+(Inputs!$B$9+(F221-Calc!F21))/100)</f>
        <v>52538103547153.594</v>
      </c>
      <c r="N205">
        <f>L205*(1-MIN(Inputs!$B$8+(F220-Calc!F20),100)/100)+M205*(MIN(Inputs!$B$8+(F220-Calc!F20),100)/100)</f>
        <v>52538103547153.594</v>
      </c>
      <c r="O205">
        <f>IF(C205,H205*N205*IF(AND(Inputs!$B$4&lt;&gt;"pvp",Inputs!$B$35&gt;0),((Skills!G5*((S205-1)*IF(Skills!H5&gt;0,Skills!I5/Skills!H5,1)+IF(Skills!H5&gt;0,MIN(Skills!I5,MAX(0,Inputs!$B$35-((S205-1)*IF(Inputs!$B$4="pvp",15,MAX(0.1,Skills!E5-IF(Skills!F5=TRUE,Inputs!$B$31,0))))))/Skills!H5,1)))/Inputs!$B$35),G205*V205)*IF(Inputs!$B$4="pvp",1,(1-Summary!$B$56)*(1)+Summary!$B$56*(MIN(Skills!R5,Inputs!$B$37))),0)</f>
        <v>262690517735767.97</v>
      </c>
      <c r="P205">
        <f>IF(B239=0,0,O205/B239)</f>
        <v>3.1461723565170518E-2</v>
      </c>
      <c r="S205">
        <f>IF(AND(Inputs!$B$4&lt;&gt;"pvp",Inputs!$B$35&gt;0),(INT(Inputs!$B$35/IF(Inputs!$B$4="pvp",15,MAX(0.1,Skills!E5-IF(Skills!F5=TRUE,Inputs!$B$31,0))))+1),0)</f>
        <v>0</v>
      </c>
      <c r="V205">
        <f>IFERROR(1/IF(Inputs!$B$4="pvp",15,MAX(0.1,Skills!E5-IF(Skills!F5=TRUE,Inputs!$B$31,0))),0)</f>
        <v>1</v>
      </c>
    </row>
    <row r="206" spans="1:22" x14ac:dyDescent="0.2">
      <c r="A206" t="str">
        <f>Skills!A6</f>
        <v>MEDITATION</v>
      </c>
      <c r="B206" t="str">
        <f>Skills!B6</f>
        <v>Meditation</v>
      </c>
      <c r="C206" t="b">
        <f>TRUE</f>
        <v>1</v>
      </c>
      <c r="D206">
        <f>IF(Skills!C6=1,60+Inputs!$B$24+Inputs!$B$28,IF(Skills!C6=2,90+Inputs!$B$25+Inputs!$B$28,IF(Skills!C6=3,120+Inputs!$B$26+Inputs!$B$28,MAX(0,(Inputs!$B$3-100)*3)+Inputs!$B$27+Inputs!$B$28)))</f>
        <v>164</v>
      </c>
      <c r="E206">
        <f>INDEX(FactorTable!$B$2:$Y$301, MATCH(ROUND(MIN(300,MAX(1,D206)),0), FactorTable!$A$2:$A$301,0), Skills!M6+1)</f>
        <v>1492</v>
      </c>
      <c r="F206">
        <f>IF(Skills!N6=TRUE,(Skills!L6/10)*(E206/1000),Skills!L6/10)+Skills!O6</f>
        <v>29.84</v>
      </c>
      <c r="G206">
        <f>Calc!G6</f>
        <v>1</v>
      </c>
      <c r="H206">
        <f>Calc!H6</f>
        <v>1</v>
      </c>
      <c r="I206">
        <f>IF(Skills!X6&lt;&gt;"",1+(Skills!X6/10)*(R203/1000)/100,1)</f>
        <v>1</v>
      </c>
      <c r="O206">
        <v>0</v>
      </c>
      <c r="P206">
        <f>IF(B239=0,0,O206/B239)</f>
        <v>0</v>
      </c>
      <c r="S206">
        <f>IF(AND(Inputs!$B$4&lt;&gt;"pvp",Inputs!$B$35&gt;0),(INT(Inputs!$B$35/IF(Inputs!$B$4="pvp",15,MAX(0.1,Skills!E6-IF(Skills!F6=TRUE,Inputs!$B$31,0))))+1),0)</f>
        <v>0</v>
      </c>
      <c r="V206">
        <f>IFERROR(1/IF(Inputs!$B$4="pvp",15,MAX(0.1,Skills!E6-IF(Skills!F6=TRUE,Inputs!$B$31,0))),0)</f>
        <v>3.3333333333333333E-2</v>
      </c>
    </row>
    <row r="207" spans="1:22" x14ac:dyDescent="0.2">
      <c r="A207" t="str">
        <f>Skills!A7</f>
        <v>POISON_MIST_BURST</v>
      </c>
      <c r="B207" t="str">
        <f>Skills!B7</f>
        <v>Poison Mist (burst)</v>
      </c>
      <c r="C207" t="b">
        <f>TRUE</f>
        <v>1</v>
      </c>
      <c r="D207">
        <f>IF(Skills!C7=1,60+Inputs!$B$24+Inputs!$B$28,IF(Skills!C7=2,90+Inputs!$B$25+Inputs!$B$28,IF(Skills!C7=3,120+Inputs!$B$26+Inputs!$B$28,MAX(0,(Inputs!$B$3-100)*3)+Inputs!$B$27+Inputs!$B$28)))</f>
        <v>184</v>
      </c>
      <c r="E207">
        <f>INDEX(FactorTable!$B$2:$Y$301, MATCH(ROUND(MIN(300,MAX(1,D207)),0), FactorTable!$A$2:$A$301,0), Skills!M7+1)</f>
        <v>1920</v>
      </c>
      <c r="F207">
        <f>IF(Skills!N7=TRUE,(Skills!L7/10)*(E207/1000),Skills!L7/10)+Skills!O7</f>
        <v>357.2</v>
      </c>
      <c r="G207">
        <f>Calc!G7</f>
        <v>3</v>
      </c>
      <c r="H207">
        <f>Calc!H7</f>
        <v>1</v>
      </c>
      <c r="I207">
        <f>IF(Skills!X7&lt;&gt;"",1+(Skills!X7/10)*(R203/1000)/100,1)</f>
        <v>1.7519999999999998</v>
      </c>
      <c r="J207">
        <f>((Inputs!$B$5*(1+Inputs!$B$6/100))+((Inputs!$B$11*(1+Inputs!$B$12/100))-(Inputs!$B$11*(1+Inputs!$B$12/100)))*(1+Inputs!$B$6/100))*(F207/100)</f>
        <v>892396411.04121602</v>
      </c>
      <c r="K207">
        <f>J207*(1+((Inputs!$B$11*(1+Inputs!$B$12/100))*0.01+Inputs!$B$13*0.0025)/100)*(1+Inputs!$B$14/100)*(1+IF(Inputs!$B$4="pvp",0,(1-Summary!$B$56)*((Inputs!$B$19+1)+Skills!P7)+Summary!$B$56*(Inputs!$B$20+Skills!Q7))/100)*(1+Inputs!$B$15/100)*(5000/(6000+Inputs!$B$7*(1-Inputs!$B$18/100)))*(1+Inputs!$B$23/100)*(1+F223/100)*(1+IF(Inputs!$B$3&gt;=120,F226,0)/100)^5*(1+(IF(Skills!A7="BASIC_ATTACK",Inputs!$B$16,Inputs!$B$17+IF(Inputs!$B$3&gt;=125,F227*5,0)))/100)*(B230*B231*B232*I207)</f>
        <v>11909101760902.463</v>
      </c>
      <c r="L207">
        <f>K207*(MIN(Inputs!$B$21+(F222-Calc!F22),Inputs!$B$22)/100+Inputs!$B$22/100)/2</f>
        <v>32148620203556.195</v>
      </c>
      <c r="M207">
        <f>L207*(1+(Inputs!$B$9+(F221-Calc!F21))/100)</f>
        <v>134734867273104.03</v>
      </c>
      <c r="N207">
        <f>L207*(1-MIN(Inputs!$B$8+(F220-Calc!F20),100)/100)+M207*(MIN(Inputs!$B$8+(F220-Calc!F20),100)/100)</f>
        <v>134734867273104.03</v>
      </c>
      <c r="O207">
        <f>IF(C207,H207*N207*IF(AND(Inputs!$B$4&lt;&gt;"pvp",Inputs!$B$35&gt;0),((Skills!G7*((S207-1)*IF(Skills!H7&gt;0,Skills!I7/Skills!H7,1)+IF(Skills!H7&gt;0,MIN(Skills!I7,MAX(0,Inputs!$B$35-((S207-1)*IF(Inputs!$B$4="pvp",15,MAX(0.1,Skills!E7-IF(Skills!F7=TRUE,Inputs!$B$31,0))))))/Skills!H7,1)))/Inputs!$B$35),G207*V207)*IF(Inputs!$B$4="pvp",1,(1-Summary!$B$56)*(1)+Summary!$B$56*(MIN(Skills!R7,Inputs!$B$37))),0)</f>
        <v>105588140883412.14</v>
      </c>
      <c r="P207">
        <f>IF(B239=0,0,O207/B239)</f>
        <v>1.2646002333345245E-2</v>
      </c>
      <c r="S207">
        <f>IF(AND(Inputs!$B$4&lt;&gt;"pvp",Inputs!$B$35&gt;0),(INT(Inputs!$B$35/IF(Inputs!$B$4="pvp",15,MAX(0.1,Skills!E7-IF(Skills!F7=TRUE,Inputs!$B$31,0))))+1),0)</f>
        <v>0</v>
      </c>
      <c r="V207">
        <f>IFERROR(1/IF(Inputs!$B$4="pvp",15,MAX(0.1,Skills!E7-IF(Skills!F7=TRUE,Inputs!$B$31,0))),0)</f>
        <v>4.0816326530612242E-2</v>
      </c>
    </row>
    <row r="208" spans="1:22" x14ac:dyDescent="0.2">
      <c r="A208" t="str">
        <f>Skills!A8</f>
        <v>POISON_MIST_DOT</v>
      </c>
      <c r="B208" t="str">
        <f>Skills!B8</f>
        <v>Poison Mist (fog DoT)</v>
      </c>
      <c r="C208" t="b">
        <f>TRUE</f>
        <v>1</v>
      </c>
      <c r="D208">
        <f>IF(Skills!C8=1,60+Inputs!$B$24+Inputs!$B$28,IF(Skills!C8=2,90+Inputs!$B$25+Inputs!$B$28,IF(Skills!C8=3,120+Inputs!$B$26+Inputs!$B$28,MAX(0,(Inputs!$B$3-100)*3)+Inputs!$B$27+Inputs!$B$28)))</f>
        <v>184</v>
      </c>
      <c r="E208">
        <f>INDEX(FactorTable!$B$2:$Y$301, MATCH(ROUND(MIN(300,MAX(1,D208)),0), FactorTable!$A$2:$A$301,0), Skills!M8+1)</f>
        <v>1920</v>
      </c>
      <c r="F208">
        <f>IF(Skills!N8=TRUE,(Skills!L8/10)*(E208/1000),Skills!L8/10)+Skills!O8</f>
        <v>134.4</v>
      </c>
      <c r="G208">
        <f>Calc!G8</f>
        <v>50</v>
      </c>
      <c r="H208">
        <f>Calc!H8</f>
        <v>1</v>
      </c>
      <c r="I208">
        <f>IF(Skills!X8&lt;&gt;"",1+(Skills!X8/10)*(R203/1000)/100,1)</f>
        <v>1.7519999999999998</v>
      </c>
      <c r="J208">
        <f>((Inputs!$B$5*(1+Inputs!$B$6/100))+((Inputs!$B$11*(1+Inputs!$B$12/100))-(Inputs!$B$11*(1+Inputs!$B$12/100)))*(1+Inputs!$B$6/100))*(F208/100)</f>
        <v>335772893.74003202</v>
      </c>
      <c r="K208">
        <f>J208*(1+((Inputs!$B$11*(1+Inputs!$B$12/100))*0.01+Inputs!$B$13*0.0025)/100)*(1+Inputs!$B$14/100)*(1+IF(Inputs!$B$4="pvp",0,(1-Summary!$B$56)*((Inputs!$B$19+1)+Skills!P8)+Summary!$B$56*(Inputs!$B$20+Skills!Q8))/100)*(1+Inputs!$B$15/100)*(5000/(6000+Inputs!$B$7*(1-Inputs!$B$18/100)))*(1+Inputs!$B$23/100)*(1+F223/100)*(1+IF(Inputs!$B$3&gt;=120,F226,0)/100)^5*(1+(IF(Skills!A8="BASIC_ATTACK",Inputs!$B$16,Inputs!$B$17+IF(Inputs!$B$3&gt;=125,F227*5,0)))/100)*(B230*B231*B232*I208)</f>
        <v>4480916228066.3252</v>
      </c>
      <c r="L208">
        <f>K208*(MIN(Inputs!$B$21+(F222-Calc!F22),Inputs!$B$22)/100+Inputs!$B$22/100)/2</f>
        <v>12096233357665.043</v>
      </c>
      <c r="M208">
        <f>L208*(1+(Inputs!$B$9+(F221-Calc!F21))/100)</f>
        <v>50695314001974.203</v>
      </c>
      <c r="N208">
        <f>L208*(1-MIN(Inputs!$B$8+(F220-Calc!F20),100)/100)+M208*(MIN(Inputs!$B$8+(F220-Calc!F20),100)/100)</f>
        <v>50695314001974.203</v>
      </c>
      <c r="O208">
        <f>IF(C208,H208*N208*IF(AND(Inputs!$B$4&lt;&gt;"pvp",Inputs!$B$35&gt;0),((Skills!G8*((S208-1)*IF(Skills!H8&gt;0,Skills!I8/Skills!H8,1)+IF(Skills!H8&gt;0,MIN(Skills!I8,MAX(0,Inputs!$B$35-((S208-1)*IF(Inputs!$B$4="pvp",15,MAX(0.1,Skills!E8-IF(Skills!F8=TRUE,Inputs!$B$31,0))))))/Skills!H8,1)))/Inputs!$B$35),G208*V208)*IF(Inputs!$B$4="pvp",1,(1-Summary!$B$56)*(1)+Summary!$B$56*(MIN(Skills!R8,Inputs!$B$37))),0)</f>
        <v>662142876760479.38</v>
      </c>
      <c r="P208">
        <f>IF(B239=0,0,O208/B239)</f>
        <v>7.9303038148637608E-2</v>
      </c>
      <c r="S208">
        <f>IF(AND(Inputs!$B$4&lt;&gt;"pvp",Inputs!$B$35&gt;0),(INT(Inputs!$B$35/IF(Inputs!$B$4="pvp",15,MAX(0.1,Skills!E8-IF(Skills!F8=TRUE,Inputs!$B$31,0))))+1),0)</f>
        <v>0</v>
      </c>
      <c r="V208">
        <f>IFERROR(1/IF(Inputs!$B$4="pvp",15,MAX(0.1,Skills!E8-IF(Skills!F8=TRUE,Inputs!$B$31,0))),0)</f>
        <v>4.0816326530612242E-2</v>
      </c>
    </row>
    <row r="209" spans="1:22" x14ac:dyDescent="0.2">
      <c r="A209" t="str">
        <f>Skills!A9</f>
        <v>MIST_ERUPTION</v>
      </c>
      <c r="B209" t="str">
        <f>Skills!B9</f>
        <v>Mist Eruption</v>
      </c>
      <c r="C209" t="b">
        <f>Inputs!$B$3&gt;=103</f>
        <v>1</v>
      </c>
      <c r="D209">
        <f>IF(Skills!C9=1,60+Inputs!$B$24+Inputs!$B$28,IF(Skills!C9=2,90+Inputs!$B$25+Inputs!$B$28,IF(Skills!C9=3,120+Inputs!$B$26+Inputs!$B$28,MAX(0,(Inputs!$B$3-100)*3)+Inputs!$B$27+Inputs!$B$28)))</f>
        <v>172</v>
      </c>
      <c r="E209">
        <f>INDEX(FactorTable!$B$2:$Y$301, MATCH(ROUND(MIN(300,MAX(1,D209)),0), FactorTable!$A$2:$A$301,0), Skills!M9+1)</f>
        <v>1860</v>
      </c>
      <c r="F209">
        <f>IF(Skills!N9=TRUE,(Skills!L9/10)*(E209/1000),Skills!L9/10)+Skills!O9</f>
        <v>5580</v>
      </c>
      <c r="G209">
        <f>Calc!G9</f>
        <v>2.8</v>
      </c>
      <c r="H209">
        <f>Calc!H9</f>
        <v>1</v>
      </c>
      <c r="I209">
        <f>IF(Skills!X9&lt;&gt;"",1+(Skills!X9/10)*(R203/1000)/100,1)</f>
        <v>1</v>
      </c>
      <c r="J209">
        <f>((Inputs!$B$5*(1+Inputs!$B$6/100))+((Inputs!$B$11*(1+Inputs!$B$12/100))-(Inputs!$B$11*(1+Inputs!$B$12/100)))*(1+Inputs!$B$6/100))*(F209/100)</f>
        <v>13940571034.742399</v>
      </c>
      <c r="K209">
        <f>J209*(1+((Inputs!$B$11*(1+Inputs!$B$12/100))*0.01+Inputs!$B$13*0.0025)/100)*(1+Inputs!$B$14/100)*(1+IF(Inputs!$B$4="pvp",0,(1-Summary!$B$56)*((Inputs!$B$19+1)+Skills!P9)+Summary!$B$56*(Inputs!$B$20+Skills!Q9))/100)*(1+Inputs!$B$15/100)*(5000/(6000+Inputs!$B$7*(1-Inputs!$B$18/100)))*(1+Inputs!$B$23/100)*(1+F223/100)*(1+IF(Inputs!$B$3&gt;=120,F226,0)/100)^5*(1+(IF(Skills!A9="BASIC_ATTACK",Inputs!$B$16,Inputs!$B$17+IF(Inputs!$B$3&gt;=125,F227*5,0)))/100)*(B230*B231*B232*I209)</f>
        <v>106186095791077.58</v>
      </c>
      <c r="L209">
        <f>K209*(MIN(Inputs!$B$21+(F222-Calc!F22),Inputs!$B$22)/100+Inputs!$B$22/100)/2</f>
        <v>286649365588013.88</v>
      </c>
      <c r="M209">
        <f>L209*(1+(Inputs!$B$9+(F221-Calc!F21))/100)</f>
        <v>1201347491179366.2</v>
      </c>
      <c r="N209">
        <f>L209*(1-MIN(Inputs!$B$8+(F220-Calc!F20),100)/100)+M209*(MIN(Inputs!$B$8+(F220-Calc!F20),100)/100)</f>
        <v>1201347491179366.2</v>
      </c>
      <c r="O209">
        <f>IF(C209,H209*N209*IF(AND(Inputs!$B$4&lt;&gt;"pvp",Inputs!$B$35&gt;0),((Skills!G9*((S209-1)*IF(Skills!H9&gt;0,Skills!I9/Skills!H9,1)+IF(Skills!H9&gt;0,MIN(Skills!I9,MAX(0,Inputs!$B$35-((S209-1)*IF(Inputs!$B$4="pvp",15,MAX(0.1,Skills!E9-IF(Skills!F7=TRUE,Inputs!$B$31,0))))))/Skills!H9,1)))/Inputs!$B$35),G209*V209)*IF(Inputs!$B$4="pvp",1,(1-Summary!$B$56)*(1)+Summary!$B$56*(MIN(Skills!R9,Inputs!$B$37))),0)</f>
        <v>878699879262622</v>
      </c>
      <c r="P209">
        <f>IF(B239=0,0,O209/B239)</f>
        <v>0.1052394769951954</v>
      </c>
      <c r="S209">
        <f>IF(AND(Inputs!$B$4&lt;&gt;"pvp",Inputs!$B$35&gt;0),(INT(Inputs!$B$35/IF(Inputs!$B$4="pvp",15,MAX(0.1,Skills!E9-IF(Skills!F7=TRUE,Inputs!$B$31,0))))+1),0)</f>
        <v>0</v>
      </c>
      <c r="V209">
        <f>IFERROR(1/IF(Inputs!$B$4="pvp",15,MAX(0.1,Skills!E9-IF(Skills!F7=TRUE,Inputs!$B$31,0))),0)</f>
        <v>4.0816326530612242E-2</v>
      </c>
    </row>
    <row r="210" spans="1:22" x14ac:dyDescent="0.2">
      <c r="A210" t="str">
        <f>Skills!A10</f>
        <v>CREEPING_TOXIN</v>
      </c>
      <c r="B210" t="str">
        <f>Skills!B10</f>
        <v>Creeping Toxin</v>
      </c>
      <c r="C210" t="b">
        <f>TRUE</f>
        <v>1</v>
      </c>
      <c r="D210">
        <f>IF(Skills!C10=1,60+Inputs!$B$24+Inputs!$B$28,IF(Skills!C10=2,90+Inputs!$B$25+Inputs!$B$28,IF(Skills!C10=3,120+Inputs!$B$26+Inputs!$B$28,MAX(0,(Inputs!$B$3-100)*3)+Inputs!$B$27+Inputs!$B$28)))</f>
        <v>184</v>
      </c>
      <c r="E210">
        <f>INDEX(FactorTable!$B$2:$Y$301, MATCH(ROUND(MIN(300,MAX(1,D210)),0), FactorTable!$A$2:$A$301,0), Skills!M10+1)</f>
        <v>1920</v>
      </c>
      <c r="F210">
        <f>IF(Skills!N10=TRUE,(Skills!L10/10)*(E210/1000),Skills!L10/10)+Skills!O10</f>
        <v>280.39999999999998</v>
      </c>
      <c r="G210">
        <f>Calc!G10</f>
        <v>15</v>
      </c>
      <c r="H210">
        <f>Calc!H10</f>
        <v>1</v>
      </c>
      <c r="I210">
        <f>IF(Skills!X10&lt;&gt;"",1+(Skills!X10/10)*(R203/1000)/100,1)</f>
        <v>1.7519999999999998</v>
      </c>
      <c r="J210">
        <f>((Inputs!$B$5*(1+Inputs!$B$6/100))+((Inputs!$B$11*(1+Inputs!$B$12/100))-(Inputs!$B$11*(1+Inputs!$B$12/100)))*(1+Inputs!$B$6/100))*(F210/100)</f>
        <v>700526186.04691195</v>
      </c>
      <c r="K210">
        <f>J210*(1+((Inputs!$B$11*(1+Inputs!$B$12/100))*0.01+Inputs!$B$13*0.0025)/100)*(1+Inputs!$B$14/100)*(1+IF(Inputs!$B$4="pvp",0,(1-Summary!$B$56)*((Inputs!$B$19+1)+Skills!P10)+Summary!$B$56*(Inputs!$B$20+Skills!Q10))/100)*(1+Inputs!$B$15/100)*(5000/(6000+Inputs!$B$7*(1-Inputs!$B$18/100)))*(1+Inputs!$B$23/100)*(1+F223/100)*(1+IF(Inputs!$B$3&gt;=120,F226,0)/100)^5*(1+(IF(Skills!A10="BASIC_ATTACK",Inputs!$B$16,Inputs!$B$17+IF(Inputs!$B$3&gt;=125,F227*5,0)))/100)*(B230*B231*B232*I210)</f>
        <v>11029977159203</v>
      </c>
      <c r="L210">
        <f>K210*(MIN(Inputs!$B$21+(F222-Calc!F22),Inputs!$B$22)/100+Inputs!$B$22/100)/2</f>
        <v>29775423341268.492</v>
      </c>
      <c r="M210">
        <f>L210*(1+(Inputs!$B$9+(F221-Calc!F21))/100)</f>
        <v>124788799223256.27</v>
      </c>
      <c r="N210">
        <f>L210*(1-MIN(Inputs!$B$8+(F220-Calc!F20),100)/100)+M210*(MIN(Inputs!$B$8+(F220-Calc!F20),100)/100)</f>
        <v>124788799223256.27</v>
      </c>
      <c r="O210">
        <f>IF(C210,H210*N210*IF(AND(Inputs!$B$4&lt;&gt;"pvp",Inputs!$B$35&gt;0),((Skills!G10*((S210-1)*IF(Skills!H10&gt;0,Skills!I10/Skills!H10,1)+IF(Skills!H10&gt;0,MIN(Skills!I10,MAX(0,Inputs!$B$35-((S210-1)*IF(Inputs!$B$4="pvp",15,MAX(0.1,Skills!E10-IF(Skills!F10=TRUE,Inputs!$B$31,0))))))/Skills!H10,1)))/Inputs!$B$35),G210*V210)*IF(Inputs!$B$4="pvp",1,(1-Summary!$B$56)*(1)+Summary!$B$56*(MIN(Skills!R10,Inputs!$B$37))),0)</f>
        <v>69327110679586.82</v>
      </c>
      <c r="P210">
        <f>IF(B239=0,0,O210/B239)</f>
        <v>8.3031180971940947E-3</v>
      </c>
      <c r="S210">
        <f>IF(AND(Inputs!$B$4&lt;&gt;"pvp",Inputs!$B$35&gt;0),(INT(Inputs!$B$35/IF(Inputs!$B$4="pvp",15,MAX(0.1,Skills!E10-IF(Skills!F10=TRUE,Inputs!$B$31,0))))+1),0)</f>
        <v>0</v>
      </c>
      <c r="V210">
        <f>IFERROR(1/IF(Inputs!$B$4="pvp",15,MAX(0.1,Skills!E10-IF(Skills!F10=TRUE,Inputs!$B$31,0))),0)</f>
        <v>3.7037037037037035E-2</v>
      </c>
    </row>
    <row r="211" spans="1:22" x14ac:dyDescent="0.2">
      <c r="A211" t="str">
        <f>Skills!A11</f>
        <v>BURNING_MAGIC</v>
      </c>
      <c r="B211" t="str">
        <f>Skills!B11</f>
        <v>Burning Magic</v>
      </c>
      <c r="C211" t="b">
        <f>TRUE</f>
        <v>1</v>
      </c>
      <c r="D211">
        <f>IF(Skills!C11=1,60+Inputs!$B$24+Inputs!$B$28,IF(Skills!C11=2,90+Inputs!$B$25+Inputs!$B$28,IF(Skills!C11=3,120+Inputs!$B$26+Inputs!$B$28,MAX(0,(Inputs!$B$3-100)*3)+Inputs!$B$27+Inputs!$B$28)))</f>
        <v>184</v>
      </c>
      <c r="E211">
        <f>INDEX(FactorTable!$B$2:$Y$301, MATCH(ROUND(MIN(300,MAX(1,D211)),0), FactorTable!$A$2:$A$301,0), Skills!M11+1)</f>
        <v>0</v>
      </c>
      <c r="F211">
        <f>IF(Skills!N11=TRUE,(Skills!L11/10)*(E211/1000),Skills!L11/10)+Skills!O11</f>
        <v>5</v>
      </c>
      <c r="G211">
        <f>Calc!G11</f>
        <v>1</v>
      </c>
      <c r="H211">
        <f>Calc!H11</f>
        <v>1</v>
      </c>
      <c r="I211">
        <f>IF(Skills!X11&lt;&gt;"",1+(Skills!X11/10)*(R203/1000)/100,1)</f>
        <v>1</v>
      </c>
      <c r="O211">
        <v>0</v>
      </c>
      <c r="P211">
        <f>IF(B239=0,0,O211/B239)</f>
        <v>0</v>
      </c>
      <c r="S211">
        <v>0</v>
      </c>
      <c r="V211">
        <f>IFERROR(1/IF(Inputs!$B$4="pvp",15,MAX(0.1,Skills!E11-IF(Skills!F11=TRUE,Inputs!$B$31,0))),0)</f>
        <v>10</v>
      </c>
    </row>
    <row r="212" spans="1:22" x14ac:dyDescent="0.2">
      <c r="A212" t="str">
        <f>Skills!A12</f>
        <v>ELEMENTAL_DECREASE</v>
      </c>
      <c r="B212" t="str">
        <f>Skills!B12</f>
        <v>Elemental Decrease</v>
      </c>
      <c r="C212" t="b">
        <f>TRUE</f>
        <v>1</v>
      </c>
      <c r="D212">
        <f>IF(Skills!C12=1,60+Inputs!$B$24+Inputs!$B$28,IF(Skills!C12=2,90+Inputs!$B$25+Inputs!$B$28,IF(Skills!C12=3,120+Inputs!$B$26+Inputs!$B$28,MAX(0,(Inputs!$B$3-100)*3)+Inputs!$B$27+Inputs!$B$28)))</f>
        <v>184</v>
      </c>
      <c r="E212">
        <f>INDEX(FactorTable!$B$2:$Y$301, MATCH(ROUND(MIN(300,MAX(1,D212)),0), FactorTable!$A$2:$A$301,0), Skills!M12+1)</f>
        <v>1552</v>
      </c>
      <c r="F212">
        <f>IF(Skills!N12=TRUE,(Skills!L12/10)*(E212/1000),Skills!L12/10)+Skills!O12</f>
        <v>18.624000000000002</v>
      </c>
      <c r="G212">
        <f>Calc!G12</f>
        <v>1</v>
      </c>
      <c r="H212">
        <f>Calc!H12</f>
        <v>0.5</v>
      </c>
      <c r="I212">
        <f>IF(Skills!X12&lt;&gt;"",1+(Skills!X12/10)*(R203/1000)/100,1)</f>
        <v>1</v>
      </c>
      <c r="O212">
        <v>0</v>
      </c>
      <c r="P212">
        <f>IF(B239=0,0,O212/B239)</f>
        <v>0</v>
      </c>
      <c r="S212">
        <v>0</v>
      </c>
      <c r="V212">
        <f>IFERROR(1/IF(Inputs!$B$4="pvp",15,MAX(0.1,Skills!E12-IF(Skills!F12=TRUE,Inputs!$B$31,0))),0)</f>
        <v>10</v>
      </c>
    </row>
    <row r="213" spans="1:22" x14ac:dyDescent="0.2">
      <c r="A213" t="str">
        <f>Skills!A13</f>
        <v>METEOR_SHOWER_BURST</v>
      </c>
      <c r="B213" t="str">
        <f>Skills!B13</f>
        <v>Meteor Shower (burst)</v>
      </c>
      <c r="C213" t="b">
        <f>Inputs!$B$3&gt;=105</f>
        <v>1</v>
      </c>
      <c r="D213">
        <f>IF(Skills!C13=1,60+Inputs!$B$24+Inputs!$B$28,IF(Skills!C13=2,90+Inputs!$B$25+Inputs!$B$28,IF(Skills!C13=3,120+Inputs!$B$26+Inputs!$B$28,MAX(0,(Inputs!$B$3-100)*3)+Inputs!$B$27+Inputs!$B$28)))</f>
        <v>172</v>
      </c>
      <c r="E213">
        <f>INDEX(FactorTable!$B$2:$Y$301, MATCH(ROUND(MIN(300,MAX(1,D213)),0), FactorTable!$A$2:$A$301,0), Skills!M13+1)</f>
        <v>1860</v>
      </c>
      <c r="F213">
        <f>IF(Skills!N13=TRUE,(Skills!L13/10)*(E213/1000),Skills!L13/10)+Skills!O13</f>
        <v>1116</v>
      </c>
      <c r="G213">
        <f>Calc!G13</f>
        <v>9</v>
      </c>
      <c r="H213">
        <f>Calc!H13</f>
        <v>1</v>
      </c>
      <c r="I213">
        <f>IF(Skills!X13&lt;&gt;"",1+(Skills!X13/10)*(R203/1000)/100,1)</f>
        <v>1</v>
      </c>
      <c r="J213">
        <f>((Inputs!$B$5*(1+Inputs!$B$6/100))+((Inputs!$B$11*(1+Inputs!$B$12/100))-(Inputs!$B$11*(1+Inputs!$B$12/100)))*(1+Inputs!$B$6/100))*(F213/100)</f>
        <v>2788114206.9484801</v>
      </c>
      <c r="K213">
        <f>J213*(1+((Inputs!$B$11*(1+Inputs!$B$12/100))*0.01+Inputs!$B$13*0.0025)/100)*(1+Inputs!$B$14/100)*(1+IF(Inputs!$B$4="pvp",0,(1-Summary!$B$56)*((Inputs!$B$19+1)+Skills!P13)+Summary!$B$56*(Inputs!$B$20+Skills!Q13))/100)*(1+Inputs!$B$15/100)*(5000/(6000+Inputs!$B$7*(1-Inputs!$B$18/100)))*(1+Inputs!$B$23/100)*(1+F223/100)*(1+IF(Inputs!$B$3&gt;=120,F226,0)/100)^5*(1+(IF(Skills!A13="BASIC_ATTACK",Inputs!$B$16,Inputs!$B$17+IF(Inputs!$B$3&gt;=125,F227*5,0)))/100)*(B230*B231*B232*I213)</f>
        <v>21237219158215.52</v>
      </c>
      <c r="L213">
        <f>K213*(MIN(Inputs!$B$21+(F222-Calc!F22),Inputs!$B$22)/100+Inputs!$B$22/100)/2</f>
        <v>57329873117602.789</v>
      </c>
      <c r="M213">
        <f>L213*(1+(Inputs!$B$9+(F221-Calc!F21))/100)</f>
        <v>240269498235873.34</v>
      </c>
      <c r="N213">
        <f>L213*(1-MIN(Inputs!$B$8+(F220-Calc!F20),100)/100)+M213*(MIN(Inputs!$B$8+(F220-Calc!F20),100)/100)</f>
        <v>240269498235873.34</v>
      </c>
      <c r="O213">
        <f>IF(C213,H213*N213*IF(AND(Inputs!$B$4&lt;&gt;"pvp",Inputs!$B$35&gt;0),((Skills!G13*((S213-1)*IF(Skills!H13&gt;0,Skills!I13/Skills!H13,1)+IF(Skills!H13&gt;0,MIN(Skills!I13,MAX(0,Inputs!$B$35-((S213-1)*IF(Inputs!$B$4="pvp",15,MAX(0.1,Skills!E13-IF(Skills!F13=TRUE,Inputs!$B$31,0))))))/Skills!H13,1)))/Inputs!$B$35),G213*V213)*IF(Inputs!$B$4="pvp",1,(1-Summary!$B$56)*(1)+Summary!$B$56*(MIN(Skills!R13,Inputs!$B$37))),0)</f>
        <v>301429006877732.06</v>
      </c>
      <c r="P213">
        <f>IF(B239=0,0,O213/B239)</f>
        <v>3.6101326270368904E-2</v>
      </c>
      <c r="S213">
        <f>IF(AND(Inputs!$B$4&lt;&gt;"pvp",Inputs!$B$35&gt;0),(INT(Inputs!$B$35/IF(Inputs!$B$4="pvp",15,MAX(0.1,Skills!E13-IF(Skills!F13=TRUE,Inputs!$B$31,0))))+1),0)</f>
        <v>0</v>
      </c>
      <c r="V213">
        <f>IFERROR(1/IF(Inputs!$B$4="pvp",15,MAX(0.1,Skills!E13-IF(Skills!F13=TRUE,Inputs!$B$31,0))),0)</f>
        <v>3.0303030303030304E-2</v>
      </c>
    </row>
    <row r="214" spans="1:22" x14ac:dyDescent="0.2">
      <c r="A214" t="str">
        <f>Skills!A14</f>
        <v>METEOR_PROC</v>
      </c>
      <c r="B214" t="str">
        <f>Skills!B14</f>
        <v>Meteor Proc (30% on-hit, 1s ICD)</v>
      </c>
      <c r="C214" t="b">
        <f>Inputs!$B$3&gt;=113</f>
        <v>1</v>
      </c>
      <c r="D214">
        <f>IF(Skills!C14=1,60+Inputs!$B$24+Inputs!$B$28,IF(Skills!C14=2,90+Inputs!$B$25+Inputs!$B$28,IF(Skills!C14=3,120+Inputs!$B$26+Inputs!$B$28,MAX(0,(Inputs!$B$3-100)*3)+Inputs!$B$27+Inputs!$B$28)))</f>
        <v>172</v>
      </c>
      <c r="E214">
        <f>INDEX(FactorTable!$B$2:$Y$301, MATCH(ROUND(MIN(300,MAX(1,D214)),0), FactorTable!$A$2:$A$301,0), Skills!M14+1)</f>
        <v>1688</v>
      </c>
      <c r="F214">
        <f>IF(Skills!N14=TRUE,(Skills!L14/10)*(E214/1000),Skills!L14/10)+Skills!O14</f>
        <v>1603.6</v>
      </c>
      <c r="G214">
        <f>Calc!G14</f>
        <v>0</v>
      </c>
      <c r="H214">
        <f>Calc!H14</f>
        <v>0.30000000000000004</v>
      </c>
      <c r="I214">
        <f>IF(Skills!X14&lt;&gt;"",1+(Skills!X14/10)*(R203/1000)/100,1)</f>
        <v>1</v>
      </c>
      <c r="J214">
        <f>((Inputs!$B$5*(1+Inputs!$B$6/100))+((Inputs!$B$11*(1+Inputs!$B$12/100))-(Inputs!$B$11*(1+Inputs!$B$12/100)))*(1+Inputs!$B$6/100))*(F214/100)</f>
        <v>4006290270.8446074</v>
      </c>
      <c r="K214">
        <f>J214*(1+((Inputs!$B$11*(1+Inputs!$B$12/100))*0.01+Inputs!$B$13*0.0025)/100)*(1+Inputs!$B$14/100)*(1+IF(Inputs!$B$4="pvp",0,(1-Summary!$B$56)*((Inputs!$B$19+1)+Skills!P14)+Summary!$B$56*(Inputs!$B$20+Skills!Q14))/100)*(1+Inputs!$B$15/100)*(5000/(6000+Inputs!$B$7*(1-Inputs!$B$18/100)))*(1+Inputs!$B$23/100)*(1+F223/100)*(1+IF(Inputs!$B$3&gt;=120,F226,0)/100)^5*(1+(IF(Skills!A14="BASIC_ATTACK",Inputs!$B$16,Inputs!$B$17+IF(Inputs!$B$3&gt;=125,F227*5,0)))/100)*(B230*B231*B232*I214)</f>
        <v>30516133191858.781</v>
      </c>
      <c r="L214">
        <f>K214*(MIN(Inputs!$B$21+(F222-Calc!F22),Inputs!$B$22)/100+Inputs!$B$22/100)/2</f>
        <v>82378301551422.766</v>
      </c>
      <c r="M214">
        <f>L214*(1+(Inputs!$B$9+(F221-Calc!F21))/100)</f>
        <v>345247461802012.88</v>
      </c>
      <c r="N214">
        <f>L214*(1-MIN(Inputs!$B$8+(F220-Calc!F20),100)/100)+M214*(MIN(Inputs!$B$8+(F220-Calc!F20),100)/100)</f>
        <v>345247461802012.88</v>
      </c>
      <c r="O214">
        <f>IF(C214,(H214*B237)/(1+Skills!H14*H214*B237)*N214*IF(Inputs!$B$4="pvp",1,(1-Summary!$B$56)*(1)+Summary!$B$56*(MIN(Skills!R14,Inputs!$B$37))),0)</f>
        <v>108601948754258.83</v>
      </c>
      <c r="P214">
        <f>IF(B239=0,0,O214/B239)</f>
        <v>1.3006957844523954E-2</v>
      </c>
      <c r="S214">
        <v>0</v>
      </c>
      <c r="V214">
        <f>IFERROR(1/IF(Inputs!$B$4="pvp",15,MAX(0.1,Skills!E14-IF(Skills!F14=TRUE,Inputs!$B$31,0))),0)</f>
        <v>10</v>
      </c>
    </row>
    <row r="215" spans="1:22" x14ac:dyDescent="0.2">
      <c r="A215" t="str">
        <f>Skills!A15</f>
        <v>FLAME_HAZE_BURST</v>
      </c>
      <c r="B215" t="str">
        <f>Skills!B15</f>
        <v>Flame Haze (burst)</v>
      </c>
      <c r="C215" t="b">
        <f>Inputs!$B$3&gt;=107</f>
        <v>1</v>
      </c>
      <c r="D215">
        <f>IF(Skills!C15=1,60+Inputs!$B$24+Inputs!$B$28,IF(Skills!C15=2,90+Inputs!$B$25+Inputs!$B$28,IF(Skills!C15=3,120+Inputs!$B$26+Inputs!$B$28,MAX(0,(Inputs!$B$3-100)*3)+Inputs!$B$27+Inputs!$B$28)))</f>
        <v>172</v>
      </c>
      <c r="E215">
        <f>INDEX(FactorTable!$B$2:$Y$301, MATCH(ROUND(MIN(300,MAX(1,D215)),0), FactorTable!$A$2:$A$301,0), Skills!M15+1)</f>
        <v>1860</v>
      </c>
      <c r="F215">
        <f>IF(Skills!N15=TRUE,(Skills!L15/10)*(E215/1000),Skills!L15/10)+Skills!O15</f>
        <v>2232</v>
      </c>
      <c r="G215">
        <f>Calc!G15</f>
        <v>3</v>
      </c>
      <c r="H215">
        <f>Calc!H15</f>
        <v>1</v>
      </c>
      <c r="I215">
        <f>IF(Skills!X15&lt;&gt;"",1+(Skills!X15/10)*(R203/1000)/100,1)</f>
        <v>1</v>
      </c>
      <c r="J215">
        <f>((Inputs!$B$5*(1+Inputs!$B$6/100))+((Inputs!$B$11*(1+Inputs!$B$12/100))-(Inputs!$B$11*(1+Inputs!$B$12/100)))*(1+Inputs!$B$6/100))*(F215/100)</f>
        <v>5576228413.8969603</v>
      </c>
      <c r="K215">
        <f>J215*(1+((Inputs!$B$11*(1+Inputs!$B$12/100))*0.01+Inputs!$B$13*0.0025)/100)*(1+Inputs!$B$14/100)*(1+IF(Inputs!$B$4="pvp",0,(1-Summary!$B$56)*((Inputs!$B$19+1)+Skills!P15)+Summary!$B$56*(Inputs!$B$20+Skills!Q15))/100)*(1+Inputs!$B$15/100)*(5000/(6000+Inputs!$B$7*(1-Inputs!$B$18/100)))*(1+Inputs!$B$23/100)*(1+F223/100)*(1+IF(Inputs!$B$3&gt;=120,F226,0)/100)^5*(1+(IF(Skills!A15="BASIC_ATTACK",Inputs!$B$16,Inputs!$B$17+IF(Inputs!$B$3&gt;=125,F227*5,0)))/100)*(B230*B231*B232*I215)</f>
        <v>42474438316431.039</v>
      </c>
      <c r="L215">
        <f>K215*(MIN(Inputs!$B$21+(F222-Calc!F22),Inputs!$B$22)/100+Inputs!$B$22/100)/2</f>
        <v>114659746235205.58</v>
      </c>
      <c r="M215">
        <f>L215*(1+(Inputs!$B$9+(F221-Calc!F21))/100)</f>
        <v>480538996471746.69</v>
      </c>
      <c r="N215">
        <f>L215*(1-MIN(Inputs!$B$8+(F220-Calc!F20),100)/100)+M215*(MIN(Inputs!$B$8+(F220-Calc!F20),100)/100)</f>
        <v>480538996471746.69</v>
      </c>
      <c r="O215">
        <f>IF(C215,H215*N215*IF(AND(Inputs!$B$4&lt;&gt;"pvp",Inputs!$B$35&gt;0),((Skills!G15*((S215-1)*IF(Skills!H15&gt;0,Skills!I15/Skills!H15,1)+IF(Skills!H15&gt;0,MIN(Skills!I15,MAX(0,Inputs!$B$35-((S215-1)*IF(Inputs!$B$4="pvp",15,MAX(0.1,Skills!E15-IF(Skills!F15=TRUE,Inputs!$B$31,0))))))/Skills!H15,1)))/Inputs!$B$35),G215*V215)*IF(Inputs!$B$4="pvp",1,(1-Summary!$B$56)*(1)+Summary!$B$56*(MIN(Skills!R15,Inputs!$B$37))),0)</f>
        <v>369053949290301.5</v>
      </c>
      <c r="P215">
        <f>IF(B239=0,0,O215/B239)</f>
        <v>4.4200580337982097E-2</v>
      </c>
      <c r="S215">
        <f>IF(AND(Inputs!$B$4&lt;&gt;"pvp",Inputs!$B$35&gt;0),(INT(Inputs!$B$35/IF(Inputs!$B$4="pvp",15,MAX(0.1,Skills!E15-IF(Skills!F15=TRUE,Inputs!$B$31,0))))+1),0)</f>
        <v>0</v>
      </c>
      <c r="V215">
        <f>IFERROR(1/IF(Inputs!$B$4="pvp",15,MAX(0.1,Skills!E15-IF(Skills!F15=TRUE,Inputs!$B$31,0))),0)</f>
        <v>0.04</v>
      </c>
    </row>
    <row r="216" spans="1:22" x14ac:dyDescent="0.2">
      <c r="A216" t="str">
        <f>Skills!A16</f>
        <v>FLAME_HAZE_DOT</v>
      </c>
      <c r="B216" t="str">
        <f>Skills!B16</f>
        <v>Flame Haze (burn DoT)</v>
      </c>
      <c r="C216" t="b">
        <f>Inputs!$B$3&gt;=107</f>
        <v>1</v>
      </c>
      <c r="D216">
        <f>IF(Skills!C16=1,60+Inputs!$B$24+Inputs!$B$28,IF(Skills!C16=2,90+Inputs!$B$25+Inputs!$B$28,IF(Skills!C16=3,120+Inputs!$B$26+Inputs!$B$28,MAX(0,(Inputs!$B$3-100)*3)+Inputs!$B$27+Inputs!$B$28)))</f>
        <v>172</v>
      </c>
      <c r="E216">
        <f>INDEX(FactorTable!$B$2:$Y$301, MATCH(ROUND(MIN(300,MAX(1,D216)),0), FactorTable!$A$2:$A$301,0), Skills!M16+1)</f>
        <v>1860</v>
      </c>
      <c r="F216">
        <f>IF(Skills!N16=TRUE,(Skills!L16/10)*(E216/1000),Skills!L16/10)+Skills!O16</f>
        <v>279</v>
      </c>
      <c r="G216">
        <f>Calc!G16</f>
        <v>28</v>
      </c>
      <c r="H216">
        <f>Calc!H16</f>
        <v>1</v>
      </c>
      <c r="I216">
        <f>IF(Skills!X16&lt;&gt;"",1+(Skills!X16/10)*(R203/1000)/100,1)</f>
        <v>1</v>
      </c>
      <c r="J216">
        <f>((Inputs!$B$5*(1+Inputs!$B$6/100))+((Inputs!$B$11*(1+Inputs!$B$12/100))-(Inputs!$B$11*(1+Inputs!$B$12/100)))*(1+Inputs!$B$6/100))*(F216/100)</f>
        <v>697028551.73712003</v>
      </c>
      <c r="K216">
        <f>J216*(1+((Inputs!$B$11*(1+Inputs!$B$12/100))*0.01+Inputs!$B$13*0.0025)/100)*(1+Inputs!$B$14/100)*(1+IF(Inputs!$B$4="pvp",0,(1-Summary!$B$56)*((Inputs!$B$19+1)+Skills!P16)+Summary!$B$56*(Inputs!$B$20+Skills!Q16))/100)*(1+Inputs!$B$15/100)*(5000/(6000+Inputs!$B$7*(1-Inputs!$B$18/100)))*(1+Inputs!$B$23/100)*(1+F223/100)*(1+IF(Inputs!$B$3&gt;=120,F226,0)/100)^5*(1+(IF(Skills!A16="BASIC_ATTACK",Inputs!$B$16,Inputs!$B$17+IF(Inputs!$B$3&gt;=125,F227*5,0)))/100)*(B230*B231*B232*I216)</f>
        <v>5309304789553.8799</v>
      </c>
      <c r="L216">
        <f>K216*(MIN(Inputs!$B$21+(F222-Calc!F22),Inputs!$B$22)/100+Inputs!$B$22/100)/2</f>
        <v>14332468279400.697</v>
      </c>
      <c r="M216">
        <f>L216*(1+(Inputs!$B$9+(F221-Calc!F21))/100)</f>
        <v>60067374558968.336</v>
      </c>
      <c r="N216">
        <f>L216*(1-MIN(Inputs!$B$8+(F220-Calc!F20),100)/100)+M216*(MIN(Inputs!$B$8+(F220-Calc!F20),100)/100)</f>
        <v>60067374558968.336</v>
      </c>
      <c r="O216">
        <f>IF(C216,H216*N216*IF(AND(Inputs!$B$4&lt;&gt;"pvp",Inputs!$B$35&gt;0),((Skills!G16*((S216-1)*IF(Skills!H16&gt;0,Skills!I16/Skills!H16,1)+IF(Skills!H16&gt;0,MIN(Skills!I16,MAX(0,Inputs!$B$35-((S216-1)*IF(Inputs!$B$4="pvp",15,MAX(0.1,Skills!E16-IF(Skills!F16=TRUE,Inputs!$B$31,0))))))/Skills!H16,1)))/Inputs!$B$35),G216*V216)*(1+IF(Inputs!$B$3&gt;=126,0.05*(B236+V213+(H214*B237)/(1+Skills!H14*H214*B237)+V224),0)*Skills!E15)*IF(Inputs!$B$4="pvp",1,(1-Summary!$B$56)*(1)+Summary!$B$56*(MIN(Skills!R16,Inputs!$B$37))),0)</f>
        <v>430562940838685.06</v>
      </c>
      <c r="P216">
        <f>IF(B239=0,0,O216/B239)</f>
        <v>5.1567343727645779E-2</v>
      </c>
      <c r="S216">
        <f>IF(AND(Inputs!$B$4&lt;&gt;"pvp",Inputs!$B$35&gt;0),(INT(Inputs!$B$35/IF(Inputs!$B$4="pvp",15,MAX(0.1,Skills!E16-IF(Skills!F16=TRUE,Inputs!$B$31,0))))+1),0)</f>
        <v>0</v>
      </c>
      <c r="V216">
        <f>IFERROR(1/IF(Inputs!$B$4="pvp",15,MAX(0.1,Skills!E16-IF(Skills!F16=TRUE,Inputs!$B$31,0))),0)</f>
        <v>0.04</v>
      </c>
    </row>
    <row r="217" spans="1:22" x14ac:dyDescent="0.2">
      <c r="A217" t="str">
        <f>Skills!A17</f>
        <v>MAGIC_GUARD</v>
      </c>
      <c r="B217" t="str">
        <f>Skills!B17</f>
        <v>Magic Guard</v>
      </c>
      <c r="C217" t="b">
        <f>TRUE</f>
        <v>1</v>
      </c>
      <c r="D217">
        <f>IF(Skills!C17=1,60+Inputs!$B$24+Inputs!$B$28,IF(Skills!C17=2,90+Inputs!$B$25+Inputs!$B$28,IF(Skills!C17=3,120+Inputs!$B$26+Inputs!$B$28,MAX(0,(Inputs!$B$3-100)*3)+Inputs!$B$27+Inputs!$B$28)))</f>
        <v>115</v>
      </c>
      <c r="E217">
        <f>INDEX(FactorTable!$B$2:$Y$301, MATCH(ROUND(MIN(300,MAX(1,D217)),0), FactorTable!$A$2:$A$301,0), Skills!M17+1)</f>
        <v>1460</v>
      </c>
      <c r="F217">
        <f>IF(Skills!N17=TRUE,(Skills!L17/10)*(E217/1000),Skills!L17/10)+Skills!O17</f>
        <v>17.52</v>
      </c>
      <c r="G217">
        <f>Calc!G17</f>
        <v>1</v>
      </c>
      <c r="H217">
        <f>Calc!H17</f>
        <v>1</v>
      </c>
      <c r="I217">
        <f>IF(Skills!X17&lt;&gt;"",1+(Skills!X17/10)*(R203/1000)/100,1)</f>
        <v>1</v>
      </c>
      <c r="O217">
        <v>0</v>
      </c>
      <c r="P217">
        <f>IF(B239=0,0,O217/B239)</f>
        <v>0</v>
      </c>
      <c r="S217">
        <f>IF(AND(Inputs!$B$4&lt;&gt;"pvp",Inputs!$B$35&gt;0),(INT(Inputs!$B$35/IF(Inputs!$B$4="pvp",15,MAX(0.1,Skills!E17-IF(Skills!F17=TRUE,Inputs!$B$31,0))))+1),0)</f>
        <v>0</v>
      </c>
      <c r="V217">
        <f>IFERROR(1/IF(Inputs!$B$4="pvp",15,MAX(0.1,Skills!E17-IF(Skills!F17=TRUE,Inputs!$B$31,0))),0)</f>
        <v>4.7619047619047616E-2</v>
      </c>
    </row>
    <row r="218" spans="1:22" x14ac:dyDescent="0.2">
      <c r="A218" t="str">
        <f>Skills!A18</f>
        <v>NIMBLE_FEET</v>
      </c>
      <c r="B218" t="str">
        <f>Skills!B18</f>
        <v>Nimble Feet</v>
      </c>
      <c r="C218" t="b">
        <f>TRUE</f>
        <v>1</v>
      </c>
      <c r="D218">
        <f>IF(Skills!C18=1,60+Inputs!$B$24+Inputs!$B$28,IF(Skills!C18=2,90+Inputs!$B$25+Inputs!$B$28,IF(Skills!C18=3,120+Inputs!$B$26+Inputs!$B$28,MAX(0,(Inputs!$B$3-100)*3)+Inputs!$B$27+Inputs!$B$28)))</f>
        <v>115</v>
      </c>
      <c r="E218">
        <f>INDEX(FactorTable!$B$2:$Y$301, MATCH(ROUND(MIN(300,MAX(1,D218)),0), FactorTable!$A$2:$A$301,0), Skills!M18+1)</f>
        <v>0</v>
      </c>
      <c r="F218">
        <f>IF(Skills!N18=TRUE,(Skills!L18/10)*(E218/1000),Skills!L18/10)+Skills!O18</f>
        <v>15</v>
      </c>
      <c r="G218">
        <f>Calc!G18</f>
        <v>1</v>
      </c>
      <c r="H218">
        <f>Calc!H18</f>
        <v>1</v>
      </c>
      <c r="I218">
        <f>IF(Skills!X18&lt;&gt;"",1+(Skills!X18/10)*(R203/1000)/100,1)</f>
        <v>1</v>
      </c>
      <c r="O218">
        <v>0</v>
      </c>
      <c r="P218">
        <f>IF(B239=0,0,O218/B239)</f>
        <v>0</v>
      </c>
      <c r="S218">
        <f>IF(AND(Inputs!$B$4&lt;&gt;"pvp",Inputs!$B$35&gt;0),(INT(Inputs!$B$35/IF(Inputs!$B$4="pvp",15,MAX(0.1,Skills!E18-IF(Skills!F18=TRUE,Inputs!$B$31,0))))+1),0)</f>
        <v>0</v>
      </c>
      <c r="V218">
        <f>IFERROR(1/IF(Inputs!$B$4="pvp",15,MAX(0.1,Skills!E18-IF(Skills!F18=TRUE,Inputs!$B$31,0))),0)</f>
        <v>1.6666666666666666E-2</v>
      </c>
    </row>
    <row r="219" spans="1:22" x14ac:dyDescent="0.2">
      <c r="A219" t="str">
        <f>Skills!A19</f>
        <v>INFINITY</v>
      </c>
      <c r="B219" t="str">
        <f>Skills!B19</f>
        <v>Infinity</v>
      </c>
      <c r="C219" t="b">
        <f>Inputs!$B$3&gt;=110</f>
        <v>1</v>
      </c>
      <c r="D219">
        <f>IF(Skills!C19=1,60+Inputs!$B$24+Inputs!$B$28,IF(Skills!C19=2,90+Inputs!$B$25+Inputs!$B$28,IF(Skills!C19=3,120+Inputs!$B$26+Inputs!$B$28,MAX(0,(Inputs!$B$3-100)*3)+Inputs!$B$27+Inputs!$B$28)))</f>
        <v>172</v>
      </c>
      <c r="E219">
        <f>INDEX(FactorTable!$B$2:$Y$301, MATCH(ROUND(MIN(300,MAX(1,D219)),0), FactorTable!$A$2:$A$301,0), Skills!M19+1)</f>
        <v>1688</v>
      </c>
      <c r="F219">
        <f>IF(Skills!N19=TRUE,(Skills!L19/10)*(E219/1000),Skills!L19/10)+Skills!O19</f>
        <v>36.573895999999998</v>
      </c>
      <c r="G219">
        <f>Calc!G19</f>
        <v>1</v>
      </c>
      <c r="H219">
        <f>Calc!H19</f>
        <v>1</v>
      </c>
      <c r="I219">
        <f>IF(Skills!X19&lt;&gt;"",1+(Skills!X19/10)*(R203/1000)/100,1)</f>
        <v>1</v>
      </c>
      <c r="O219">
        <v>0</v>
      </c>
      <c r="P219">
        <f>IF(B239=0,0,O219/B239)</f>
        <v>0</v>
      </c>
      <c r="S219">
        <f>IF(AND(Inputs!$B$4&lt;&gt;"pvp",Inputs!$B$35&gt;0),(INT(Inputs!$B$35/IF(Inputs!$B$4="pvp",15,MAX(0.1,Skills!E19-IF(Skills!F19=TRUE,Inputs!$B$31,0))))+1),0)</f>
        <v>0</v>
      </c>
      <c r="V219">
        <f>IFERROR(1/IF(Inputs!$B$4="pvp",15,MAX(0.1,Skills!E19-IF(Skills!F19=TRUE,Inputs!$B$31,0))),0)</f>
        <v>3.3333333333333333E-2</v>
      </c>
    </row>
    <row r="220" spans="1:22" x14ac:dyDescent="0.2">
      <c r="A220" t="str">
        <f>Skills!A20</f>
        <v>MAGIC_CRITICAL_RATE</v>
      </c>
      <c r="B220" t="str">
        <f>Skills!B20</f>
        <v>Magic Critical (Crit Rate)</v>
      </c>
      <c r="C220" t="b">
        <f>TRUE</f>
        <v>1</v>
      </c>
      <c r="D220">
        <f>IF(Skills!C20=1,60+Inputs!$B$24+Inputs!$B$28,IF(Skills!C20=2,90+Inputs!$B$25+Inputs!$B$28,IF(Skills!C20=3,120+Inputs!$B$26+Inputs!$B$28,MAX(0,(Inputs!$B$3-100)*3)+Inputs!$B$27+Inputs!$B$28)))</f>
        <v>184</v>
      </c>
      <c r="E220">
        <f>INDEX(FactorTable!$B$2:$Y$301, MATCH(ROUND(MIN(300,MAX(1,D220)),0), FactorTable!$A$2:$A$301,0), Skills!M20+1)</f>
        <v>1552</v>
      </c>
      <c r="F220">
        <f>IF(Skills!N20=TRUE,(Skills!L20/10)*(E220/1000),Skills!L20/10)+Skills!O20</f>
        <v>12.416</v>
      </c>
      <c r="G220">
        <f>Calc!G20</f>
        <v>1</v>
      </c>
      <c r="H220">
        <f>Calc!H20</f>
        <v>1</v>
      </c>
      <c r="I220">
        <f>IF(Skills!X20&lt;&gt;"",1+(Skills!X20/10)*(R203/1000)/100,1)</f>
        <v>1</v>
      </c>
      <c r="O220">
        <v>0</v>
      </c>
      <c r="P220">
        <f>IF(B239=0,0,O220/B239)</f>
        <v>0</v>
      </c>
      <c r="S220">
        <v>0</v>
      </c>
      <c r="V220">
        <f>IFERROR(1/IF(Inputs!$B$4="pvp",15,MAX(0.1,Skills!E20-IF(Skills!F20=TRUE,Inputs!$B$31,0))),0)</f>
        <v>10</v>
      </c>
    </row>
    <row r="221" spans="1:22" x14ac:dyDescent="0.2">
      <c r="A221" t="str">
        <f>Skills!A21</f>
        <v>MAGIC_CRITICAL_DAMAGE</v>
      </c>
      <c r="B221" t="str">
        <f>Skills!B21</f>
        <v>Magic Critical (Crit Damage)</v>
      </c>
      <c r="C221" t="b">
        <f>TRUE</f>
        <v>1</v>
      </c>
      <c r="D221">
        <f>IF(Skills!C21=1,60+Inputs!$B$24+Inputs!$B$28,IF(Skills!C21=2,90+Inputs!$B$25+Inputs!$B$28,IF(Skills!C21=3,120+Inputs!$B$26+Inputs!$B$28,MAX(0,(Inputs!$B$3-100)*3)+Inputs!$B$27+Inputs!$B$28)))</f>
        <v>184</v>
      </c>
      <c r="E221">
        <f>INDEX(FactorTable!$B$2:$Y$301, MATCH(ROUND(MIN(300,MAX(1,D221)),0), FactorTable!$A$2:$A$301,0), Skills!M21+1)</f>
        <v>1552</v>
      </c>
      <c r="F221">
        <f>IF(Skills!N21=TRUE,(Skills!L21/10)*(E221/1000),Skills!L21/10)+Skills!O21</f>
        <v>18.624000000000002</v>
      </c>
      <c r="G221">
        <f>Calc!G21</f>
        <v>1</v>
      </c>
      <c r="H221">
        <f>Calc!H21</f>
        <v>1</v>
      </c>
      <c r="I221">
        <f>IF(Skills!X21&lt;&gt;"",1+(Skills!X21/10)*(R203/1000)/100,1)</f>
        <v>1</v>
      </c>
      <c r="O221">
        <v>0</v>
      </c>
      <c r="P221">
        <f>IF(B239=0,0,O221/B239)</f>
        <v>0</v>
      </c>
      <c r="S221">
        <v>0</v>
      </c>
      <c r="V221">
        <f>IFERROR(1/IF(Inputs!$B$4="pvp",15,MAX(0.1,Skills!E21-IF(Skills!F21=TRUE,Inputs!$B$31,0))),0)</f>
        <v>10</v>
      </c>
    </row>
    <row r="222" spans="1:22" x14ac:dyDescent="0.2">
      <c r="A222" t="str">
        <f>Skills!A22</f>
        <v>SPELL_MASTERY</v>
      </c>
      <c r="B222" t="str">
        <f>Skills!B22</f>
        <v>Spell Mastery</v>
      </c>
      <c r="C222" t="b">
        <f>TRUE</f>
        <v>1</v>
      </c>
      <c r="D222">
        <f>IF(Skills!C22=1,60+Inputs!$B$24+Inputs!$B$28,IF(Skills!C22=2,90+Inputs!$B$25+Inputs!$B$28,IF(Skills!C22=3,120+Inputs!$B$26+Inputs!$B$28,MAX(0,(Inputs!$B$3-100)*3)+Inputs!$B$27+Inputs!$B$28)))</f>
        <v>164</v>
      </c>
      <c r="E222">
        <f>INDEX(FactorTable!$B$2:$Y$301, MATCH(ROUND(MIN(300,MAX(1,D222)),0), FactorTable!$A$2:$A$301,0), Skills!M22+1)</f>
        <v>1492</v>
      </c>
      <c r="F222">
        <f>IF(Skills!N22=TRUE,(Skills!L22/10)*(E222/1000),Skills!L22/10)+Skills!O22</f>
        <v>22.38</v>
      </c>
      <c r="G222">
        <f>Calc!G22</f>
        <v>1</v>
      </c>
      <c r="H222">
        <f>Calc!H22</f>
        <v>1</v>
      </c>
      <c r="I222">
        <f>IF(Skills!X22&lt;&gt;"",1+(Skills!X22/10)*(R203/1000)/100,1)</f>
        <v>1</v>
      </c>
      <c r="O222">
        <v>0</v>
      </c>
      <c r="P222">
        <f>IF(B239=0,0,O222/B239)</f>
        <v>0</v>
      </c>
      <c r="S222">
        <v>0</v>
      </c>
      <c r="V222">
        <f>IFERROR(1/IF(Inputs!$B$4="pvp",15,MAX(0.1,Skills!E22-IF(Skills!F22=TRUE,Inputs!$B$31,0))),0)</f>
        <v>10</v>
      </c>
    </row>
    <row r="223" spans="1:22" x14ac:dyDescent="0.2">
      <c r="A223" t="str">
        <f>Skills!A23</f>
        <v>ELEMENT_AMPLIFICATION</v>
      </c>
      <c r="B223" t="str">
        <f>Skills!B23</f>
        <v>Element Amplification</v>
      </c>
      <c r="C223" t="b">
        <f>TRUE</f>
        <v>1</v>
      </c>
      <c r="D223">
        <f>IF(Skills!C23=1,60+Inputs!$B$24+Inputs!$B$28,IF(Skills!C23=2,90+Inputs!$B$25+Inputs!$B$28,IF(Skills!C23=3,120+Inputs!$B$26+Inputs!$B$28,MAX(0,(Inputs!$B$3-100)*3)+Inputs!$B$27+Inputs!$B$28)))</f>
        <v>172</v>
      </c>
      <c r="E223">
        <f>INDEX(FactorTable!$B$2:$Y$301, MATCH(ROUND(MIN(300,MAX(1,D223)),0), FactorTable!$A$2:$A$301,0), Skills!M23+1)</f>
        <v>1516</v>
      </c>
      <c r="F223">
        <f>IF(Skills!N23=TRUE,(Skills!L23/10)*(E223/1000),Skills!L23/10)+Skills!O23</f>
        <v>22.740000000000002</v>
      </c>
      <c r="G223">
        <f>Calc!G23</f>
        <v>1</v>
      </c>
      <c r="H223">
        <f>Calc!H23</f>
        <v>1</v>
      </c>
      <c r="I223">
        <f>IF(Skills!X23&lt;&gt;"",1+(Skills!X23/10)*(R203/1000)/100,1)</f>
        <v>1</v>
      </c>
      <c r="O223">
        <v>0</v>
      </c>
      <c r="P223">
        <f>IF(B239=0,0,O223/B239)</f>
        <v>0</v>
      </c>
      <c r="S223">
        <v>0</v>
      </c>
      <c r="V223">
        <f>IFERROR(1/IF(Inputs!$B$4="pvp",15,MAX(0.1,Skills!E23-IF(Skills!F23=TRUE,Inputs!$B$31,0))),0)</f>
        <v>10</v>
      </c>
    </row>
    <row r="224" spans="1:22" x14ac:dyDescent="0.2">
      <c r="A224" t="str">
        <f>Skills!A24</f>
        <v>IFRIT</v>
      </c>
      <c r="B224" t="str">
        <f>Skills!B24</f>
        <v>Ifrit</v>
      </c>
      <c r="C224" t="b">
        <f>Inputs!$B$3&gt;=115</f>
        <v>0</v>
      </c>
      <c r="D224">
        <f>IF(Skills!C24=1,60+Inputs!$B$24+Inputs!$B$28,IF(Skills!C24=2,90+Inputs!$B$25+Inputs!$B$28,IF(Skills!C24=3,120+Inputs!$B$26+Inputs!$B$28,MAX(0,(Inputs!$B$3-100)*3)+Inputs!$B$27+Inputs!$B$28)))</f>
        <v>172</v>
      </c>
      <c r="E224">
        <f>INDEX(FactorTable!$B$2:$Y$301, MATCH(ROUND(MIN(300,MAX(1,D224)),0), FactorTable!$A$2:$A$301,0), Skills!M24+1)</f>
        <v>1860</v>
      </c>
      <c r="F224">
        <f>IF(Skills!N24=TRUE,(Skills!L24/10)*(E224/1000),Skills!L24/10)+Skills!O24</f>
        <v>6510</v>
      </c>
      <c r="G224">
        <f>Calc!G24</f>
        <v>7.5</v>
      </c>
      <c r="H224">
        <f>Calc!H24</f>
        <v>1</v>
      </c>
      <c r="I224">
        <f>IF(Skills!X24&lt;&gt;"",1+(Skills!X24/10)*(R203/1000)/100,1)</f>
        <v>1</v>
      </c>
      <c r="J224">
        <f>((Inputs!$B$5*(1+Inputs!$B$6/100))+((Inputs!$B$11*(1+Inputs!$B$12/100))-(Inputs!$B$11*(1+Inputs!$B$12/100)))*(1+Inputs!$B$6/100))*(F224/100)</f>
        <v>16263999540.532799</v>
      </c>
      <c r="K224">
        <f>J224*(1+((Inputs!$B$11*(1+Inputs!$B$12/100))*0.01+Inputs!$B$13*0.0025)/100)*(1+Inputs!$B$14/100)*(1+IF(Inputs!$B$4="pvp",0,(1-Summary!$B$56)*((Inputs!$B$19+1)+Skills!P24)+Summary!$B$56*(Inputs!$B$20+Skills!Q24))/100)*(1+Inputs!$B$15/100)*(5000/(6000+Inputs!$B$7*(1-Inputs!$B$18/100)))*(1+Inputs!$B$23/100)*(1+F223/100)*(1+IF(Inputs!$B$3&gt;=120,F226,0)/100)^5*(1+(IF(Skills!A24="BASIC_ATTACK",Inputs!$B$16,Inputs!$B$17+IF(Inputs!$B$3&gt;=125,F227*5,0)))/100)*(B230*B231*B232*I224)</f>
        <v>123883778422923.84</v>
      </c>
      <c r="L224">
        <f>K224*(MIN(Inputs!$B$21+(F222-Calc!F22),Inputs!$B$22)/100+Inputs!$B$22/100)/2</f>
        <v>334424259852682.88</v>
      </c>
      <c r="M224">
        <f>L224*(1+(Inputs!$B$9+(F221-Calc!F21))/100)</f>
        <v>1401572073042594.2</v>
      </c>
      <c r="N224">
        <f>L224*(1-MIN(Inputs!$B$8+(F220-Calc!F20),100)/100)+M224*(MIN(Inputs!$B$8+(F220-Calc!F20),100)/100)</f>
        <v>1401572073042594.2</v>
      </c>
      <c r="O224">
        <f>IF(C224,H224*N224*IF(AND(Inputs!$B$4&lt;&gt;"pvp",Inputs!$B$35&gt;0),((Skills!G24*((S224-1)*IF(Skills!H24&gt;0,Skills!I24/Skills!H24,1)+IF(Skills!H24&gt;0,MIN(Skills!I24,MAX(0,Inputs!$B$35-((S224-1)*IF(Inputs!$B$4="pvp",15,MAX(0.1,Skills!E24-IF(Skills!F24=TRUE,Inputs!$B$31,0))))))/Skills!H24,1)))/Inputs!$B$35),G224*V224)*(1+IF(Inputs!$B$3&gt;=130,0.2*(Skills!I16/Skills!E15+IF(Inputs!$B$3&gt;=126,0.05*(B236+V213+(H214*B237)/(1+Skills!H14*H214*B237)+V224),0)*Skills!I16),0))*IF(Inputs!$B$4="pvp",1,(1-Summary!$B$56)*(1)+Summary!$B$56*(MIN(Skills!R24,Inputs!$B$37))),0)</f>
        <v>0</v>
      </c>
      <c r="P224">
        <f>IF(B239=0,0,O224/B239)</f>
        <v>0</v>
      </c>
      <c r="S224">
        <f>IF(AND(Inputs!$B$4&lt;&gt;"pvp",Inputs!$B$35&gt;0),(INT(Inputs!$B$35/IF(Inputs!$B$4="pvp",15,MAX(0.1,Skills!E24-IF(Skills!F24=TRUE,Inputs!$B$31,0))))+1),0)</f>
        <v>0</v>
      </c>
      <c r="V224">
        <f>IFERROR(1/IF(Inputs!$B$4="pvp",15,MAX(0.1,Skills!E24-IF(Skills!F24=TRUE,Inputs!$B$31,0))),0)</f>
        <v>1.2500000000000001E-2</v>
      </c>
    </row>
    <row r="225" spans="1:22" x14ac:dyDescent="0.2">
      <c r="A225" t="str">
        <f>Skills!A25</f>
        <v>BUFF_MASTERY</v>
      </c>
      <c r="B225" t="str">
        <f>Skills!B25</f>
        <v>Buff Mastery</v>
      </c>
      <c r="C225" t="b">
        <f>Inputs!$B$3&gt;=117</f>
        <v>0</v>
      </c>
      <c r="D225">
        <f>IF(Skills!C25=1,60+Inputs!$B$24+Inputs!$B$28,IF(Skills!C25=2,90+Inputs!$B$25+Inputs!$B$28,IF(Skills!C25=3,120+Inputs!$B$26+Inputs!$B$28,MAX(0,(Inputs!$B$3-100)*3)+Inputs!$B$27+Inputs!$B$28)))</f>
        <v>172</v>
      </c>
      <c r="E225">
        <f>INDEX(FactorTable!$B$2:$Y$301, MATCH(ROUND(MIN(300,MAX(1,D225)),0), FactorTable!$A$2:$A$301,0), Skills!M25+1)</f>
        <v>1516</v>
      </c>
      <c r="F225">
        <f>IF(Skills!N25=TRUE,(Skills!L25/10)*(E225/1000),Skills!L25/10)+Skills!O25</f>
        <v>15.16</v>
      </c>
      <c r="G225">
        <f>Calc!G25</f>
        <v>1</v>
      </c>
      <c r="H225">
        <f>Calc!H25</f>
        <v>1</v>
      </c>
      <c r="I225">
        <f>IF(Skills!X25&lt;&gt;"",1+(Skills!X25/10)*(R203/1000)/100,1)</f>
        <v>1</v>
      </c>
      <c r="O225">
        <v>0</v>
      </c>
      <c r="P225">
        <f>IF(B239=0,0,O225/B239)</f>
        <v>0</v>
      </c>
      <c r="S225">
        <v>0</v>
      </c>
      <c r="V225">
        <f>IFERROR(1/IF(Inputs!$B$4="pvp",15,MAX(0.1,Skills!E25-IF(Skills!F25=TRUE,Inputs!$B$31,0))),0)</f>
        <v>10</v>
      </c>
    </row>
    <row r="226" spans="1:22" x14ac:dyDescent="0.2">
      <c r="A226" t="str">
        <f>Skills!A26</f>
        <v>ARCANE_AIM</v>
      </c>
      <c r="B226" t="str">
        <f>Skills!B26</f>
        <v>Arcane Aim</v>
      </c>
      <c r="C226" t="b">
        <f>Inputs!$B$3&gt;=120</f>
        <v>0</v>
      </c>
      <c r="D226">
        <f>IF(Skills!C26=1,60+Inputs!$B$24+Inputs!$B$28,IF(Skills!C26=2,90+Inputs!$B$25+Inputs!$B$28,IF(Skills!C26=3,120+Inputs!$B$26+Inputs!$B$28,MAX(0,(Inputs!$B$3-100)*3)+Inputs!$B$27+Inputs!$B$28)))</f>
        <v>172</v>
      </c>
      <c r="E226">
        <f>INDEX(FactorTable!$B$2:$Y$301, MATCH(ROUND(MIN(300,MAX(1,D226)),0), FactorTable!$A$2:$A$301,0), Skills!M26+1)</f>
        <v>1516</v>
      </c>
      <c r="F226">
        <f>IF(Skills!N26=TRUE,(Skills!L26/10)*(E226/1000),Skills!L26/10)+Skills!O26</f>
        <v>4.548</v>
      </c>
      <c r="G226">
        <f>Calc!G26</f>
        <v>1</v>
      </c>
      <c r="H226">
        <f>Calc!H26</f>
        <v>1</v>
      </c>
      <c r="I226">
        <f>IF(Skills!X26&lt;&gt;"",1+(Skills!X26/10)*(R203/1000)/100,1)</f>
        <v>1</v>
      </c>
      <c r="O226">
        <v>0</v>
      </c>
      <c r="P226">
        <f>IF(B239=0,0,O226/B239)</f>
        <v>0</v>
      </c>
      <c r="S226">
        <v>0</v>
      </c>
      <c r="V226">
        <f>IFERROR(1/IF(Inputs!$B$4="pvp",15,MAX(0.1,Skills!E26-IF(Skills!F26=TRUE,Inputs!$B$31,0))),0)</f>
        <v>10</v>
      </c>
    </row>
    <row r="227" spans="1:22" x14ac:dyDescent="0.2">
      <c r="A227" t="str">
        <f>Skills!A27</f>
        <v>FERVENT_DRAIN</v>
      </c>
      <c r="B227" t="str">
        <f>Skills!B27</f>
        <v>Fervent Drain</v>
      </c>
      <c r="C227" t="b">
        <f>Inputs!$B$3&gt;=125</f>
        <v>0</v>
      </c>
      <c r="D227">
        <f>IF(Skills!C27=1,60+Inputs!$B$24+Inputs!$B$28,IF(Skills!C27=2,90+Inputs!$B$25+Inputs!$B$28,IF(Skills!C27=3,120+Inputs!$B$26+Inputs!$B$28,MAX(0,(Inputs!$B$3-100)*3)+Inputs!$B$27+Inputs!$B$28)))</f>
        <v>172</v>
      </c>
      <c r="E227">
        <f>INDEX(FactorTable!$B$2:$Y$301, MATCH(ROUND(MIN(300,MAX(1,D227)),0), FactorTable!$A$2:$A$301,0), Skills!M27+1)</f>
        <v>1516</v>
      </c>
      <c r="F227">
        <f>IF(Skills!N27=TRUE,(Skills!L27/10)*(E227/1000),Skills!L27/10)+Skills!O27</f>
        <v>6.0640000000000001</v>
      </c>
      <c r="G227">
        <f>Calc!G27</f>
        <v>1</v>
      </c>
      <c r="H227">
        <f>Calc!H27</f>
        <v>1</v>
      </c>
      <c r="I227">
        <f>IF(Skills!X27&lt;&gt;"",1+(Skills!X27/10)*(R203/1000)/100,1)</f>
        <v>1</v>
      </c>
      <c r="O227">
        <v>0</v>
      </c>
      <c r="P227">
        <f>IF(B239=0,0,O227/B239)</f>
        <v>0</v>
      </c>
      <c r="S227">
        <v>0</v>
      </c>
      <c r="V227">
        <f>IFERROR(1/IF(Inputs!$B$4="pvp",15,MAX(0.1,Skills!E27-IF(Skills!F27=TRUE,Inputs!$B$31,0))),0)</f>
        <v>10</v>
      </c>
    </row>
    <row r="228" spans="1:22" x14ac:dyDescent="0.2">
      <c r="A228" t="str">
        <f>Skills!A28</f>
        <v>FLAME_HAZE_FOG</v>
      </c>
      <c r="B228" t="str">
        <f>Skills!B28</f>
        <v>Flame Haze (poison fog DoT)</v>
      </c>
      <c r="C228" t="b">
        <f>Inputs!$B$3&gt;=118</f>
        <v>0</v>
      </c>
      <c r="D228">
        <f>IF(Skills!C28=1,60+Inputs!$B$24+Inputs!$B$28,IF(Skills!C28=2,90+Inputs!$B$25+Inputs!$B$28,IF(Skills!C28=3,120+Inputs!$B$26+Inputs!$B$28,MAX(0,(Inputs!$B$3-100)*3)+Inputs!$B$27+Inputs!$B$28)))</f>
        <v>172</v>
      </c>
      <c r="E228">
        <f>INDEX(FactorTable!$B$2:$Y$301, MATCH(ROUND(MIN(300,MAX(1,D228)),0), FactorTable!$A$2:$A$301,0), Skills!M28+1)</f>
        <v>1860</v>
      </c>
      <c r="F228">
        <f>IF(Skills!N28=TRUE,(Skills!L28/10)*(E228/1000),Skills!L28/10)+Skills!O28</f>
        <v>130.20000000000002</v>
      </c>
      <c r="G228">
        <f>Calc!G28</f>
        <v>50</v>
      </c>
      <c r="H228">
        <f>Calc!H28</f>
        <v>1</v>
      </c>
      <c r="I228">
        <f>IF(Skills!X28&lt;&gt;"",1+(Skills!X28/10)*(R203/1000)/100,1)</f>
        <v>1</v>
      </c>
      <c r="J228">
        <f>((Inputs!$B$5*(1+Inputs!$B$6/100))+((Inputs!$B$11*(1+Inputs!$B$12/100))-(Inputs!$B$11*(1+Inputs!$B$12/100)))*(1+Inputs!$B$6/100))*(F228/100)</f>
        <v>325279990.81065607</v>
      </c>
      <c r="K228">
        <f>J228*(1+((Inputs!$B$11*(1+Inputs!$B$12/100))*0.01+Inputs!$B$13*0.0025)/100)*(1+Inputs!$B$14/100)*(1+IF(Inputs!$B$4="pvp",0,(1-Summary!$B$56)*((Inputs!$B$19+1)+Skills!P28)+Summary!$B$56*(Inputs!$B$20+Skills!Q28))/100)*(1+Inputs!$B$15/100)*(5000/(6000+Inputs!$B$7*(1-Inputs!$B$18/100)))*(1+Inputs!$B$23/100)*(1+F223/100)*(1+IF(Inputs!$B$3&gt;=120,F226,0)/100)^5*(1+(IF(Skills!A28="BASIC_ATTACK",Inputs!$B$16,Inputs!$B$17+IF(Inputs!$B$3&gt;=125,F227*5,0)))/100)*(B230*B231*B232*I228)</f>
        <v>2477675568458.478</v>
      </c>
      <c r="L228">
        <f>K228*(MIN(Inputs!$B$21+(F222-Calc!F22),Inputs!$B$22)/100+Inputs!$B$22/100)/2</f>
        <v>6688485197053.6602</v>
      </c>
      <c r="M228">
        <f>L228*(1+(Inputs!$B$9+(F221-Calc!F21))/100)</f>
        <v>28031441460851.895</v>
      </c>
      <c r="N228">
        <f>L228*(1-MIN(Inputs!$B$8+(F220-Calc!F20),100)/100)+M228*(MIN(Inputs!$B$8+(F220-Calc!F20),100)/100)</f>
        <v>28031441460851.895</v>
      </c>
      <c r="O228">
        <f>IF(C228,H228*N228*IF(AND(Inputs!$B$4&lt;&gt;"pvp",Inputs!$B$35&gt;0),((Skills!G28*((S228-1)*IF(Skills!H28&gt;0,Skills!I28/Skills!H28,1)+IF(Skills!H28&gt;0,MIN(Skills!I28,MAX(0,Inputs!$B$35-((S228-1)*IF(Inputs!$B$4="pvp",15,MAX(0.1,Skills!E28-IF(Skills!F28=TRUE,Inputs!$B$31,0))))))/Skills!H28,1)))/Inputs!$B$35),G228*V228)*IF(Inputs!$B$4="pvp",1,(1-Summary!$B$56)*(1)+Summary!$B$56*(MIN(Skills!R28,Inputs!$B$37))),0)</f>
        <v>0</v>
      </c>
      <c r="P228">
        <f>IF(B239=0,0,O228/B239)</f>
        <v>0</v>
      </c>
      <c r="S228">
        <f>IF(AND(Inputs!$B$4&lt;&gt;"pvp",Inputs!$B$35&gt;0),(INT(Inputs!$B$35/IF(Inputs!$B$4="pvp",15,MAX(0.1,Skills!E28-IF(Skills!F28=TRUE,Inputs!$B$31,0))))+1),0)</f>
        <v>0</v>
      </c>
      <c r="V228">
        <f>IFERROR(1/IF(Inputs!$B$4="pvp",15,MAX(0.1,Skills!E28-IF(Skills!F28=TRUE,Inputs!$B$31,0))),0)</f>
        <v>0.04</v>
      </c>
    </row>
    <row r="230" spans="1:22" x14ac:dyDescent="0.2">
      <c r="A230" t="s">
        <v>222</v>
      </c>
      <c r="B230">
        <f>1+(F211*Skills!Z11)/100</f>
        <v>1.25</v>
      </c>
    </row>
    <row r="231" spans="1:22" x14ac:dyDescent="0.2">
      <c r="A231" t="s">
        <v>223</v>
      </c>
      <c r="B231">
        <f>1+F212/100</f>
        <v>1.18624</v>
      </c>
    </row>
    <row r="232" spans="1:22" x14ac:dyDescent="0.2">
      <c r="A232" t="s">
        <v>224</v>
      </c>
      <c r="B232">
        <f>(1+(F206*IF(AND(Inputs!$B$4&lt;&gt;"pvp",Inputs!$B$35&gt;0),(((S206-1)*(Skills!T6*(1+(Inputs!$B$33+IF(Inputs!$B$3&gt;=117,F225,0))/100))+MIN((Skills!T6*(1+(Inputs!$B$33+IF(Inputs!$B$3&gt;=117,F225,0))/100)),MAX(0,Inputs!$B$35-((S206-1)*Skills!E6))))/Inputs!$B$35),IF(Inputs!$B$4="pvp",MIN((Skills!T6*(1+(Inputs!$B$33+IF(Inputs!$B$3&gt;=117,F225,0))/100)),15)/15,(Skills!T6*(1+(Inputs!$B$33+IF(Inputs!$B$3&gt;=117,F225,0))/100))/Skills!E6))+F217*IF(AND(Inputs!$B$4&lt;&gt;"pvp",Inputs!$B$35&gt;0),(((S217-1)*(Skills!T17*(1+(Inputs!$B$33+IF(Inputs!$B$3&gt;=117,F225,0))/100))+MIN((Skills!T17*(1+(Inputs!$B$33+IF(Inputs!$B$3&gt;=117,F225,0))/100)),MAX(0,Inputs!$B$35-((S217-1)*Skills!E17))))/Inputs!$B$35),IF(Inputs!$B$4="pvp",MIN((Skills!T17*(1+(Inputs!$B$33+IF(Inputs!$B$3&gt;=117,F225,0))/100)),15)/15,(Skills!T17*(1+(Inputs!$B$33+IF(Inputs!$B$3&gt;=117,F225,0))/100))/Skills!E17)))/100)*IF(C219=TRUE,(1+F219*IF(AND(Inputs!$B$4&lt;&gt;"pvp",Inputs!$B$35&gt;0),(((S219-1)*(Skills!T19*(1+(Inputs!$B$33+IF(Inputs!$B$3&gt;=117,F225,0))/100))+MIN((Skills!T19*(1+(Inputs!$B$33+IF(Inputs!$B$3&gt;=117,F225,0))/100)),MAX(0,Inputs!$B$35-((S219-1)*Skills!E19))))/Inputs!$B$35),IF(Inputs!$B$4="pvp",MIN((Skills!T19*(1+(Inputs!$B$33+IF(Inputs!$B$3&gt;=117,F225,0))/100)),15)/15,(Skills!T19*(1+(Inputs!$B$33+IF(Inputs!$B$3&gt;=117,F225,0))/100))/Skills!E19))/100),1)</f>
        <v>1.5603265106950857</v>
      </c>
    </row>
    <row r="233" spans="1:22" x14ac:dyDescent="0.2">
      <c r="A233" t="s">
        <v>225</v>
      </c>
      <c r="B233">
        <f>F218*IF(AND(Inputs!$B$4&lt;&gt;"pvp",Inputs!$B$35&gt;0),(((S218-1)*(Skills!T18*(1+(Inputs!$B$33+IF(Inputs!$B$3&gt;=117,F225,0))/100))+MIN((Skills!T18*(1+(Inputs!$B$33+IF(Inputs!$B$3&gt;=117,F225,0))/100)),MAX(0,Inputs!$B$35-((S218-1)*Skills!E18))))/Inputs!$B$35),IF(Inputs!$B$4="pvp",MIN((Skills!T18*(1+(Inputs!$B$33+IF(Inputs!$B$3&gt;=117,F225,0))/100)),15)/15,(Skills!T18*(1+(Inputs!$B$33+IF(Inputs!$B$3&gt;=117,F225,0))/100))/Skills!E18))</f>
        <v>3.75</v>
      </c>
    </row>
    <row r="234" spans="1:22" x14ac:dyDescent="0.2">
      <c r="A234" t="s">
        <v>253</v>
      </c>
      <c r="B234">
        <f>1+MIN(150,150*(1-(1-Inputs!$B$10/150)*(1-B233/150)))/100</f>
        <v>1.6371249999999999</v>
      </c>
    </row>
    <row r="235" spans="1:22" x14ac:dyDescent="0.2">
      <c r="A235" t="s">
        <v>254</v>
      </c>
      <c r="B235">
        <f>IF(AND(Inputs!$B$4&lt;&gt;"pvp",Inputs!$B$35&gt;0),SUMPRODUCT((Skills!F2:F28=TRUE)*(C202:C228=TRUE)*S202:S228)/Inputs!$B$35,SUMPRODUCT((Skills!F2:F28=TRUE)*(C202:C228=TRUE)*V202:V228))</f>
        <v>0.33466433037861604</v>
      </c>
    </row>
    <row r="236" spans="1:22" x14ac:dyDescent="0.2">
      <c r="A236" t="s">
        <v>228</v>
      </c>
      <c r="B236">
        <f>MAX(0,B234-B235)</f>
        <v>1.3024606696213838</v>
      </c>
    </row>
    <row r="237" spans="1:22" x14ac:dyDescent="0.2">
      <c r="A237" t="s">
        <v>255</v>
      </c>
      <c r="B237">
        <f>IF(AND(Inputs!$B$4&lt;&gt;"pvp",Inputs!$B$35&gt;0),SUMPRODUCT((Skills!V2:V28=TRUE)*(C202:C228=TRUE)*S202:S228*Skills!W2:W28)/Inputs!$B$35,SUMPRODUCT((Skills!V2:V28=TRUE)*(C202:C228=TRUE)*V202:V228*Skills!W2:W28))+B236</f>
        <v>1.5297416426166426</v>
      </c>
    </row>
    <row r="239" spans="1:22" x14ac:dyDescent="0.2">
      <c r="A239" s="5" t="s">
        <v>208</v>
      </c>
      <c r="B239" s="5">
        <f>SUM(O202:O228)</f>
        <v>8349527233993553</v>
      </c>
    </row>
    <row r="242" spans="1:22" x14ac:dyDescent="0.2">
      <c r="A242" s="5" t="s">
        <v>260</v>
      </c>
    </row>
    <row r="243" spans="1:22" x14ac:dyDescent="0.2">
      <c r="A243" s="8" t="s">
        <v>74</v>
      </c>
      <c r="B243" s="8" t="s">
        <v>75</v>
      </c>
      <c r="C243" s="8" t="s">
        <v>190</v>
      </c>
      <c r="D243" s="8" t="s">
        <v>191</v>
      </c>
      <c r="E243" s="8" t="s">
        <v>192</v>
      </c>
      <c r="F243" s="8" t="s">
        <v>193</v>
      </c>
      <c r="G243" s="8" t="s">
        <v>194</v>
      </c>
      <c r="H243" s="8" t="s">
        <v>195</v>
      </c>
      <c r="I243" s="8" t="s">
        <v>196</v>
      </c>
      <c r="J243" s="8" t="s">
        <v>197</v>
      </c>
      <c r="K243" s="8" t="s">
        <v>198</v>
      </c>
      <c r="L243" s="8" t="s">
        <v>199</v>
      </c>
      <c r="M243" s="8" t="s">
        <v>200</v>
      </c>
      <c r="N243" s="8" t="s">
        <v>201</v>
      </c>
      <c r="O243" s="8" t="s">
        <v>202</v>
      </c>
      <c r="P243" s="8" t="s">
        <v>203</v>
      </c>
      <c r="R243" t="s">
        <v>252</v>
      </c>
    </row>
    <row r="244" spans="1:22" x14ac:dyDescent="0.2">
      <c r="A244" t="str">
        <f>Skills!A2</f>
        <v>BASIC_ATTACK</v>
      </c>
      <c r="B244" t="str">
        <f>Skills!B2</f>
        <v>Basic Attack</v>
      </c>
      <c r="C244" t="b">
        <f>TRUE</f>
        <v>1</v>
      </c>
      <c r="F244">
        <f>T246+Skills!O2</f>
        <v>510.52</v>
      </c>
      <c r="G244">
        <f>Calc!G2</f>
        <v>5</v>
      </c>
      <c r="H244">
        <f>Calc!H2</f>
        <v>1</v>
      </c>
      <c r="I244">
        <f>IF(Skills!X2&lt;&gt;"",1+(Skills!X2/10)*(R245/1000)/100,1)</f>
        <v>1</v>
      </c>
      <c r="J244">
        <f>((Inputs!$B$5*(1+Inputs!$B$6/100))+((Inputs!$B$11*(1+Inputs!$B$12/100))-(Inputs!$B$11*(1+Inputs!$B$12/100)))*(1+Inputs!$B$6/100))*(F244/100)</f>
        <v>1275437334.1678655</v>
      </c>
      <c r="K244">
        <f>J244*(1+((Inputs!$B$11*(1+Inputs!$B$12/100))*0.01+Inputs!$B$13*0.0025)/100)*(1+Inputs!$B$14/100)*(1+IF(Inputs!$B$4="pvp",0,(1-Summary!$B$56)*(Inputs!$B$19+Skills!P2)+Summary!$B$56*((Inputs!$B$20+1)+Skills!Q2))/100)*(1+Inputs!$B$15/100)*(5000/(6000+Inputs!$B$7*(1-Inputs!$B$18/100)))*(1+Inputs!$B$23/100)*(1+F265/100)*(1+IF(Inputs!$B$3&gt;=120,F268,0)/100)^5*(1+(IF(Skills!A2="BASIC_ATTACK",Inputs!$B$16,Inputs!$B$17+IF(Inputs!$B$3&gt;=125,F269*5,0)))/100)*(B272*B273*B274*I244)</f>
        <v>6973338604127.6016</v>
      </c>
      <c r="L244">
        <f>K244*(MIN(Inputs!$B$21+(F264-Calc!F22),Inputs!$B$22)/100+Inputs!$B$22/100)/2</f>
        <v>18824527561842.457</v>
      </c>
      <c r="M244">
        <f>L244*(1+(Inputs!$B$9+(F263-Calc!F21))/100)</f>
        <v>78893595011681.75</v>
      </c>
      <c r="N244">
        <f>L244*(1-MIN(Inputs!$B$8+(F262-Calc!F20),100)/100)+M244*(MIN(Inputs!$B$8+(F262-Calc!F20),100)/100)</f>
        <v>78893595011681.75</v>
      </c>
      <c r="O244">
        <f>Skills!G2*N244*B278*IF(Inputs!$B$4="pvp",1,(1-Summary!$B$56)*(1)+Summary!$B$56*(MIN((6+Inputs!$B$32+IF(Inputs!$B$3&gt;=136,1,0)),Inputs!$B$37)))</f>
        <v>3904720574334624.5</v>
      </c>
      <c r="P244">
        <f>IF(B281=0,0,O244/B281)</f>
        <v>0.46737938753787234</v>
      </c>
      <c r="R244">
        <f>MAX(0,(Inputs!$B$3-100)*3)+Inputs!$B$27+Inputs!$B$28</f>
        <v>172</v>
      </c>
      <c r="S244">
        <v>0</v>
      </c>
      <c r="T244">
        <f>MAX(0,(Inputs!$B$3-100)*3)+Inputs!$B$27+Inputs!$B$28</f>
        <v>172</v>
      </c>
      <c r="V244">
        <f>IFERROR(1/IF(Inputs!$B$4="pvp",15,MAX(0.1,Skills!E2-IF(Skills!F2=TRUE,Inputs!$B$31,0))),0)</f>
        <v>10</v>
      </c>
    </row>
    <row r="245" spans="1:22" x14ac:dyDescent="0.2">
      <c r="A245" t="str">
        <f>Skills!A3</f>
        <v>IGNITE</v>
      </c>
      <c r="B245" t="str">
        <f>Skills!B3</f>
        <v>Ignite</v>
      </c>
      <c r="C245" t="b">
        <f>TRUE</f>
        <v>1</v>
      </c>
      <c r="D245">
        <f>IF(Skills!C3=1,60+Inputs!$B$24+Inputs!$B$28,IF(Skills!C3=2,90+Inputs!$B$25+Inputs!$B$28,IF(Skills!C3=3,120+Inputs!$B$26+Inputs!$B$28,MAX(0,(Inputs!$B$3-100)*3)+Inputs!$B$27+Inputs!$B$28)))</f>
        <v>164</v>
      </c>
      <c r="E245">
        <f>INDEX(FactorTable!$B$2:$Y$301, MATCH(ROUND(MIN(300,MAX(1,D245)),0), FactorTable!$A$2:$A$301,0), Skills!M3+1)</f>
        <v>1656</v>
      </c>
      <c r="F245">
        <f>IF(Skills!N3=TRUE,(Skills!L3/10)*(E245/1000),Skills!L3/10)+Skills!O3</f>
        <v>121.52799999999999</v>
      </c>
      <c r="G245">
        <f>Calc!G3</f>
        <v>3</v>
      </c>
      <c r="H245">
        <f>Calc!H3</f>
        <v>1</v>
      </c>
      <c r="I245">
        <f>IF(Skills!X3&lt;&gt;"",1+(Skills!X3/10)*(R245/1000)/100,1)</f>
        <v>4.76</v>
      </c>
      <c r="J245">
        <f>((Inputs!$B$5*(1+Inputs!$B$6/100))+((Inputs!$B$11*(1+Inputs!$B$12/100))-(Inputs!$B$11*(1+Inputs!$B$12/100)))*(1+Inputs!$B$6/100))*(F245/100)</f>
        <v>303614644.57171583</v>
      </c>
      <c r="K245">
        <f>J245*(1+((Inputs!$B$11*(1+Inputs!$B$12/100))*0.01+Inputs!$B$13*0.0025)/100)*(1+Inputs!$B$14/100)*(1+IF(Inputs!$B$4="pvp",0,(1-Summary!$B$56)*(Inputs!$B$19+Skills!P3)+Summary!$B$56*((Inputs!$B$20+1)+Skills!Q3))/100)*(1+Inputs!$B$15/100)*(5000/(6000+Inputs!$B$7*(1-Inputs!$B$18/100)))*(1+Inputs!$B$23/100)*(1+F265/100)*(1+IF(Inputs!$B$3&gt;=120,F268,0)/100)^5*(1+(IF(Skills!A3="BASIC_ATTACK",Inputs!$B$16,Inputs!$B$17+IF(Inputs!$B$3&gt;=125,F269*5,0)))/100)*(B272*B273*B274*I245)</f>
        <v>11014810959374.18</v>
      </c>
      <c r="L245">
        <f>K245*(MIN(Inputs!$B$21+(F264-Calc!F22),Inputs!$B$22)/100+Inputs!$B$22/100)/2</f>
        <v>29734482184830.594</v>
      </c>
      <c r="M245">
        <f>L245*(1+(Inputs!$B$9+(F263-Calc!F21))/100)</f>
        <v>124617214836625.05</v>
      </c>
      <c r="N245">
        <f>L245*(1-MIN(Inputs!$B$8+(F262-Calc!F20),100)/100)+M245*(MIN(Inputs!$B$8+(F262-Calc!F20),100)/100)</f>
        <v>124617214836625.05</v>
      </c>
      <c r="O245">
        <f>IF(C245,H245*N245*IF(AND(Inputs!$B$4&lt;&gt;"pvp",Inputs!$B$35&gt;0),((Skills!G3*((S245-1)*IF(Skills!H3&gt;0,Skills!I3/Skills!H3,1)+IF(Skills!H3&gt;0,MIN(Skills!I3,MAX(0,Inputs!$B$35-((S245-1)*IF(Inputs!$B$4="pvp",15,MAX(0.1,Skills!E3-IF(Skills!F3=TRUE,Inputs!$B$31,0))))))/Skills!H3,1)))/Inputs!$B$35),G245*V245)*IF(Inputs!$B$4="pvp",1,(1-Summary!$B$56)*(1)+Summary!$B$56*(MIN(Skills!R3,Inputs!$B$37))),0)</f>
        <v>822473617921725.12</v>
      </c>
      <c r="P245">
        <f>IF(B281=0,0,O245/B281)</f>
        <v>9.8446792412493697E-2</v>
      </c>
      <c r="R245">
        <f>INDEX(FactorTable!$B$2:$Y$301, MATCH(ROUND(MIN(300,MAX(1,R244)),0), FactorTable!$A$2:$A$301,0), 24)</f>
        <v>7520</v>
      </c>
      <c r="S245">
        <f>IF(AND(Inputs!$B$4&lt;&gt;"pvp",Inputs!$B$35&gt;0),(INT(Inputs!$B$35/IF(Inputs!$B$4="pvp",15,MAX(0.1,Skills!E3-IF(Skills!F3=TRUE,Inputs!$B$31,0))))+1),0)</f>
        <v>0</v>
      </c>
      <c r="T245">
        <f>INDEX(FactorTable!$B$2:$Y$301, MATCH(ROUND(MIN(300,MAX(1,T244)),0), FactorTable!$A$2:$A$301,0), 22)</f>
        <v>1688</v>
      </c>
      <c r="V245">
        <f>IFERROR(1/IF(Inputs!$B$4="pvp",15,MAX(0.1,Skills!E3-IF(Skills!F3=TRUE,Inputs!$B$31,0))),0)</f>
        <v>1</v>
      </c>
    </row>
    <row r="246" spans="1:22" x14ac:dyDescent="0.2">
      <c r="A246" t="str">
        <f>Skills!A4</f>
        <v>POISON_BREATH</v>
      </c>
      <c r="B246" t="str">
        <f>Skills!B4</f>
        <v>Poison Breath</v>
      </c>
      <c r="C246" t="b">
        <f>TRUE</f>
        <v>1</v>
      </c>
      <c r="D246">
        <f>IF(Skills!C4=1,60+Inputs!$B$24+Inputs!$B$28,IF(Skills!C4=2,90+Inputs!$B$25+Inputs!$B$28,IF(Skills!C4=3,120+Inputs!$B$26+Inputs!$B$28,MAX(0,(Inputs!$B$3-100)*3)+Inputs!$B$27+Inputs!$B$28)))</f>
        <v>164</v>
      </c>
      <c r="E246">
        <f>INDEX(FactorTable!$B$2:$Y$301, MATCH(ROUND(MIN(300,MAX(1,D246)),0), FactorTable!$A$2:$A$301,0), Skills!M4+1)</f>
        <v>1820</v>
      </c>
      <c r="F246">
        <f>IF(Skills!N4=TRUE,(Skills!L4/10)*(E246/1000),Skills!L4/10)+Skills!O4</f>
        <v>434</v>
      </c>
      <c r="G246">
        <f>Calc!G4</f>
        <v>3</v>
      </c>
      <c r="H246">
        <f>Calc!H4</f>
        <v>1</v>
      </c>
      <c r="I246">
        <f>IF(Skills!X4&lt;&gt;"",1+(Skills!X4/10)*(R245/1000)/100,1)</f>
        <v>7.0159999999999991</v>
      </c>
      <c r="J246">
        <f>((Inputs!$B$5*(1+Inputs!$B$6/100))+((Inputs!$B$11*(1+Inputs!$B$12/100))-(Inputs!$B$11*(1+Inputs!$B$12/100)))*(1+Inputs!$B$6/100))*(F246/100)</f>
        <v>1084266636.0355198</v>
      </c>
      <c r="K246">
        <f>J246*(1+((Inputs!$B$11*(1+Inputs!$B$12/100))*0.01+Inputs!$B$13*0.0025)/100)*(1+Inputs!$B$14/100)*(1+IF(Inputs!$B$4="pvp",0,(1-Summary!$B$56)*(Inputs!$B$19+Skills!P4)+Summary!$B$56*((Inputs!$B$20+1)+Skills!Q4))/100)*(1+Inputs!$B$15/100)*(5000/(6000+Inputs!$B$7*(1-Inputs!$B$18/100)))*(1+Inputs!$B$23/100)*(1+F265/100)*(1+IF(Inputs!$B$3&gt;=120,F268,0)/100)^5*(1+(IF(Skills!A4="BASIC_ATTACK",Inputs!$B$16,Inputs!$B$17+IF(Inputs!$B$3&gt;=125,F269*5,0)))/100)*(B272*B273*B274*I246)</f>
        <v>57979311580096.898</v>
      </c>
      <c r="L246">
        <f>K246*(MIN(Inputs!$B$21+(F264-Calc!F22),Inputs!$B$22)/100+Inputs!$B$22/100)/2</f>
        <v>156515151610471.56</v>
      </c>
      <c r="M246">
        <f>L246*(1+(Inputs!$B$9+(F263-Calc!F21))/100)</f>
        <v>655955000399486.38</v>
      </c>
      <c r="N246">
        <f>L246*(1-MIN(Inputs!$B$8+(F262-Calc!F20),100)/100)+M246*(MIN(Inputs!$B$8+(F262-Calc!F20),100)/100)</f>
        <v>655955000399486.38</v>
      </c>
      <c r="O246">
        <f>IF(C246,H246*N246*IF(AND(Inputs!$B$4&lt;&gt;"pvp",Inputs!$B$35&gt;0),((Skills!G4*((S246-1)*IF(Skills!H4&gt;0,Skills!I4/Skills!H4,1)+IF(Skills!H4&gt;0,MIN(Skills!I4,MAX(0,Inputs!$B$35-((S246-1)*IF(Inputs!$B$4="pvp",15,MAX(0.1,Skills!E4-IF(Skills!F4=TRUE,Inputs!$B$31,0))))))/Skills!H4,1)))/Inputs!$B$35),G246*V246)*IF(Inputs!$B$4="pvp",1,(1-Summary!$B$56)*(1)+Summary!$B$56*(MIN(Skills!R4,Inputs!$B$37))),0)</f>
        <v>437303333599657.5</v>
      </c>
      <c r="P246">
        <f>IF(B281=0,0,O246/B281)</f>
        <v>5.2343454630144913E-2</v>
      </c>
      <c r="S246">
        <f>IF(AND(Inputs!$B$4&lt;&gt;"pvp",Inputs!$B$35&gt;0),(INT(Inputs!$B$35/IF(Inputs!$B$4="pvp",15,MAX(0.1,Skills!E4-IF(Skills!F4=TRUE,Inputs!$B$31,0))))+1),0)</f>
        <v>0</v>
      </c>
      <c r="T246">
        <f>290*T245/1000</f>
        <v>489.52</v>
      </c>
      <c r="V246">
        <f>IFERROR(1/IF(Inputs!$B$4="pvp",15,MAX(0.1,Skills!E4-IF(Skills!F4=TRUE,Inputs!$B$31,0))),0)</f>
        <v>5.5555555555555552E-2</v>
      </c>
    </row>
    <row r="247" spans="1:22" x14ac:dyDescent="0.2">
      <c r="A247" t="str">
        <f>Skills!A5</f>
        <v>ELEMENTAL_DRAIN</v>
      </c>
      <c r="B247" t="str">
        <f>Skills!B5</f>
        <v>Elemental Drain</v>
      </c>
      <c r="C247" t="b">
        <f>TRUE</f>
        <v>1</v>
      </c>
      <c r="D247">
        <f>IF(Skills!C5=1,60+Inputs!$B$24+Inputs!$B$28,IF(Skills!C5=2,90+Inputs!$B$25+Inputs!$B$28,IF(Skills!C5=3,120+Inputs!$B$26+Inputs!$B$28,MAX(0,(Inputs!$B$3-100)*3)+Inputs!$B$27+Inputs!$B$28)))</f>
        <v>164</v>
      </c>
      <c r="E247">
        <f>INDEX(FactorTable!$B$2:$Y$301, MATCH(ROUND(MIN(300,MAX(1,D247)),0), FactorTable!$A$2:$A$301,0), Skills!M5+1)</f>
        <v>1656</v>
      </c>
      <c r="F247">
        <f>IF(Skills!N5=TRUE,(Skills!L5/10)*(E247/1000),Skills!L5/10)+Skills!O5</f>
        <v>19.872</v>
      </c>
      <c r="G247">
        <f>Calc!G5</f>
        <v>5</v>
      </c>
      <c r="H247">
        <f>Calc!H5</f>
        <v>1</v>
      </c>
      <c r="I247">
        <f>IF(Skills!X5&lt;&gt;"",1+(Skills!X5/10)*(R245/1000)/100,1)</f>
        <v>12.28</v>
      </c>
      <c r="J247">
        <f>((Inputs!$B$5*(1+Inputs!$B$6/100))+((Inputs!$B$11*(1+Inputs!$B$12/100))-(Inputs!$B$11*(1+Inputs!$B$12/100)))*(1+Inputs!$B$6/100))*(F247/100)</f>
        <v>49646420.717276163</v>
      </c>
      <c r="K247">
        <f>J247*(1+((Inputs!$B$11*(1+Inputs!$B$12/100))*0.01+Inputs!$B$13*0.0025)/100)*(1+Inputs!$B$14/100)*(1+IF(Inputs!$B$4="pvp",0,(1-Summary!$B$56)*(Inputs!$B$19+Skills!P5)+Summary!$B$56*((Inputs!$B$20+1)+Skills!Q5))/100)*(1+Inputs!$B$15/100)*(5000/(6000+Inputs!$B$7*(1-Inputs!$B$18/100)))*(1+Inputs!$B$23/100)*(1+F265/100)*(1+IF(Inputs!$B$3&gt;=120,F268,0)/100)^5*(1+(IF(Skills!A5="BASIC_ATTACK",Inputs!$B$16,Inputs!$B$17+IF(Inputs!$B$3&gt;=125,F269*5,0)))/100)*(B272*B273*B274*I247)</f>
        <v>4646582900361.3018</v>
      </c>
      <c r="L247">
        <f>K247*(MIN(Inputs!$B$21+(F264-Calc!F22),Inputs!$B$22)/100+Inputs!$B$22/100)/2</f>
        <v>12543450539525.332</v>
      </c>
      <c r="M247">
        <f>L247*(1+(Inputs!$B$9+(F263-Calc!F21))/100)</f>
        <v>52569601211150.672</v>
      </c>
      <c r="N247">
        <f>L247*(1-MIN(Inputs!$B$8+(F262-Calc!F20),100)/100)+M247*(MIN(Inputs!$B$8+(F262-Calc!F20),100)/100)</f>
        <v>52569601211150.672</v>
      </c>
      <c r="O247">
        <f>IF(C247,H247*N247*IF(AND(Inputs!$B$4&lt;&gt;"pvp",Inputs!$B$35&gt;0),((Skills!G5*((S247-1)*IF(Skills!H5&gt;0,Skills!I5/Skills!H5,1)+IF(Skills!H5&gt;0,MIN(Skills!I5,MAX(0,Inputs!$B$35-((S247-1)*IF(Inputs!$B$4="pvp",15,MAX(0.1,Skills!E5-IF(Skills!F5=TRUE,Inputs!$B$31,0))))))/Skills!H5,1)))/Inputs!$B$35),G247*V247)*IF(Inputs!$B$4="pvp",1,(1-Summary!$B$56)*(1)+Summary!$B$56*(MIN(Skills!R5,Inputs!$B$37))),0)</f>
        <v>262848006055753.38</v>
      </c>
      <c r="P247">
        <f>IF(B281=0,0,O247/B281)</f>
        <v>3.1461851814280697E-2</v>
      </c>
      <c r="S247">
        <f>IF(AND(Inputs!$B$4&lt;&gt;"pvp",Inputs!$B$35&gt;0),(INT(Inputs!$B$35/IF(Inputs!$B$4="pvp",15,MAX(0.1,Skills!E5-IF(Skills!F5=TRUE,Inputs!$B$31,0))))+1),0)</f>
        <v>0</v>
      </c>
      <c r="V247">
        <f>IFERROR(1/IF(Inputs!$B$4="pvp",15,MAX(0.1,Skills!E5-IF(Skills!F5=TRUE,Inputs!$B$31,0))),0)</f>
        <v>1</v>
      </c>
    </row>
    <row r="248" spans="1:22" x14ac:dyDescent="0.2">
      <c r="A248" t="str">
        <f>Skills!A6</f>
        <v>MEDITATION</v>
      </c>
      <c r="B248" t="str">
        <f>Skills!B6</f>
        <v>Meditation</v>
      </c>
      <c r="C248" t="b">
        <f>TRUE</f>
        <v>1</v>
      </c>
      <c r="D248">
        <f>IF(Skills!C6=1,60+Inputs!$B$24+Inputs!$B$28,IF(Skills!C6=2,90+Inputs!$B$25+Inputs!$B$28,IF(Skills!C6=3,120+Inputs!$B$26+Inputs!$B$28,MAX(0,(Inputs!$B$3-100)*3)+Inputs!$B$27+Inputs!$B$28)))</f>
        <v>164</v>
      </c>
      <c r="E248">
        <f>INDEX(FactorTable!$B$2:$Y$301, MATCH(ROUND(MIN(300,MAX(1,D248)),0), FactorTable!$A$2:$A$301,0), Skills!M6+1)</f>
        <v>1492</v>
      </c>
      <c r="F248">
        <f>IF(Skills!N6=TRUE,(Skills!L6/10)*(E248/1000),Skills!L6/10)+Skills!O6</f>
        <v>29.84</v>
      </c>
      <c r="G248">
        <f>Calc!G6</f>
        <v>1</v>
      </c>
      <c r="H248">
        <f>Calc!H6</f>
        <v>1</v>
      </c>
      <c r="I248">
        <f>IF(Skills!X6&lt;&gt;"",1+(Skills!X6/10)*(R245/1000)/100,1)</f>
        <v>1</v>
      </c>
      <c r="O248">
        <v>0</v>
      </c>
      <c r="P248">
        <f>IF(B281=0,0,O248/B281)</f>
        <v>0</v>
      </c>
      <c r="S248">
        <f>IF(AND(Inputs!$B$4&lt;&gt;"pvp",Inputs!$B$35&gt;0),(INT(Inputs!$B$35/IF(Inputs!$B$4="pvp",15,MAX(0.1,Skills!E6-IF(Skills!F6=TRUE,Inputs!$B$31,0))))+1),0)</f>
        <v>0</v>
      </c>
      <c r="V248">
        <f>IFERROR(1/IF(Inputs!$B$4="pvp",15,MAX(0.1,Skills!E6-IF(Skills!F6=TRUE,Inputs!$B$31,0))),0)</f>
        <v>3.3333333333333333E-2</v>
      </c>
    </row>
    <row r="249" spans="1:22" x14ac:dyDescent="0.2">
      <c r="A249" t="str">
        <f>Skills!A7</f>
        <v>POISON_MIST_BURST</v>
      </c>
      <c r="B249" t="str">
        <f>Skills!B7</f>
        <v>Poison Mist (burst)</v>
      </c>
      <c r="C249" t="b">
        <f>TRUE</f>
        <v>1</v>
      </c>
      <c r="D249">
        <f>IF(Skills!C7=1,60+Inputs!$B$24+Inputs!$B$28,IF(Skills!C7=2,90+Inputs!$B$25+Inputs!$B$28,IF(Skills!C7=3,120+Inputs!$B$26+Inputs!$B$28,MAX(0,(Inputs!$B$3-100)*3)+Inputs!$B$27+Inputs!$B$28)))</f>
        <v>184</v>
      </c>
      <c r="E249">
        <f>INDEX(FactorTable!$B$2:$Y$301, MATCH(ROUND(MIN(300,MAX(1,D249)),0), FactorTable!$A$2:$A$301,0), Skills!M7+1)</f>
        <v>1920</v>
      </c>
      <c r="F249">
        <f>IF(Skills!N7=TRUE,(Skills!L7/10)*(E249/1000),Skills!L7/10)+Skills!O7</f>
        <v>357.2</v>
      </c>
      <c r="G249">
        <f>Calc!G7</f>
        <v>3</v>
      </c>
      <c r="H249">
        <f>Calc!H7</f>
        <v>1</v>
      </c>
      <c r="I249">
        <f>IF(Skills!X7&lt;&gt;"",1+(Skills!X7/10)*(R245/1000)/100,1)</f>
        <v>1.7519999999999998</v>
      </c>
      <c r="J249">
        <f>((Inputs!$B$5*(1+Inputs!$B$6/100))+((Inputs!$B$11*(1+Inputs!$B$12/100))-(Inputs!$B$11*(1+Inputs!$B$12/100)))*(1+Inputs!$B$6/100))*(F249/100)</f>
        <v>892396411.04121602</v>
      </c>
      <c r="K249">
        <f>J249*(1+((Inputs!$B$11*(1+Inputs!$B$12/100))*0.01+Inputs!$B$13*0.0025)/100)*(1+Inputs!$B$14/100)*(1+IF(Inputs!$B$4="pvp",0,(1-Summary!$B$56)*(Inputs!$B$19+Skills!P7)+Summary!$B$56*((Inputs!$B$20+1)+Skills!Q7))/100)*(1+Inputs!$B$15/100)*(5000/(6000+Inputs!$B$7*(1-Inputs!$B$18/100)))*(1+Inputs!$B$23/100)*(1+F265/100)*(1+IF(Inputs!$B$3&gt;=120,F268,0)/100)^5*(1+(IF(Skills!A7="BASIC_ATTACK",Inputs!$B$16,Inputs!$B$17+IF(Inputs!$B$3&gt;=125,F269*5,0)))/100)*(B272*B273*B274*I249)</f>
        <v>11916241510159.6</v>
      </c>
      <c r="L249">
        <f>K249*(MIN(Inputs!$B$21+(F264-Calc!F22),Inputs!$B$22)/100+Inputs!$B$22/100)/2</f>
        <v>32167893956675.832</v>
      </c>
      <c r="M249">
        <f>L249*(1+(Inputs!$B$9+(F263-Calc!F21))/100)</f>
        <v>134815643572428.44</v>
      </c>
      <c r="N249">
        <f>L249*(1-MIN(Inputs!$B$8+(F262-Calc!F20),100)/100)+M249*(MIN(Inputs!$B$8+(F262-Calc!F20),100)/100)</f>
        <v>134815643572428.44</v>
      </c>
      <c r="O249">
        <f>IF(C249,H249*N249*IF(AND(Inputs!$B$4&lt;&gt;"pvp",Inputs!$B$35&gt;0),((Skills!G7*((S249-1)*IF(Skills!H7&gt;0,Skills!I7/Skills!H7,1)+IF(Skills!H7&gt;0,MIN(Skills!I7,MAX(0,Inputs!$B$35-((S249-1)*IF(Inputs!$B$4="pvp",15,MAX(0.1,Skills!E7-IF(Skills!F7=TRUE,Inputs!$B$31,0))))))/Skills!H7,1)))/Inputs!$B$35),G249*V249)*IF(Inputs!$B$4="pvp",1,(1-Summary!$B$56)*(1)+Summary!$B$56*(MIN(Skills!R7,Inputs!$B$37))),0)</f>
        <v>105651443126148</v>
      </c>
      <c r="P249">
        <f>IF(B281=0,0,O249/B281)</f>
        <v>1.2646053882922411E-2</v>
      </c>
      <c r="S249">
        <f>IF(AND(Inputs!$B$4&lt;&gt;"pvp",Inputs!$B$35&gt;0),(INT(Inputs!$B$35/IF(Inputs!$B$4="pvp",15,MAX(0.1,Skills!E7-IF(Skills!F7=TRUE,Inputs!$B$31,0))))+1),0)</f>
        <v>0</v>
      </c>
      <c r="V249">
        <f>IFERROR(1/IF(Inputs!$B$4="pvp",15,MAX(0.1,Skills!E7-IF(Skills!F7=TRUE,Inputs!$B$31,0))),0)</f>
        <v>4.0816326530612242E-2</v>
      </c>
    </row>
    <row r="250" spans="1:22" x14ac:dyDescent="0.2">
      <c r="A250" t="str">
        <f>Skills!A8</f>
        <v>POISON_MIST_DOT</v>
      </c>
      <c r="B250" t="str">
        <f>Skills!B8</f>
        <v>Poison Mist (fog DoT)</v>
      </c>
      <c r="C250" t="b">
        <f>TRUE</f>
        <v>1</v>
      </c>
      <c r="D250">
        <f>IF(Skills!C8=1,60+Inputs!$B$24+Inputs!$B$28,IF(Skills!C8=2,90+Inputs!$B$25+Inputs!$B$28,IF(Skills!C8=3,120+Inputs!$B$26+Inputs!$B$28,MAX(0,(Inputs!$B$3-100)*3)+Inputs!$B$27+Inputs!$B$28)))</f>
        <v>184</v>
      </c>
      <c r="E250">
        <f>INDEX(FactorTable!$B$2:$Y$301, MATCH(ROUND(MIN(300,MAX(1,D250)),0), FactorTable!$A$2:$A$301,0), Skills!M8+1)</f>
        <v>1920</v>
      </c>
      <c r="F250">
        <f>IF(Skills!N8=TRUE,(Skills!L8/10)*(E250/1000),Skills!L8/10)+Skills!O8</f>
        <v>134.4</v>
      </c>
      <c r="G250">
        <f>Calc!G8</f>
        <v>50</v>
      </c>
      <c r="H250">
        <f>Calc!H8</f>
        <v>1</v>
      </c>
      <c r="I250">
        <f>IF(Skills!X8&lt;&gt;"",1+(Skills!X8/10)*(R245/1000)/100,1)</f>
        <v>1.7519999999999998</v>
      </c>
      <c r="J250">
        <f>((Inputs!$B$5*(1+Inputs!$B$6/100))+((Inputs!$B$11*(1+Inputs!$B$12/100))-(Inputs!$B$11*(1+Inputs!$B$12/100)))*(1+Inputs!$B$6/100))*(F250/100)</f>
        <v>335772893.74003202</v>
      </c>
      <c r="K250">
        <f>J250*(1+((Inputs!$B$11*(1+Inputs!$B$12/100))*0.01+Inputs!$B$13*0.0025)/100)*(1+Inputs!$B$14/100)*(1+IF(Inputs!$B$4="pvp",0,(1-Summary!$B$56)*(Inputs!$B$19+Skills!P8)+Summary!$B$56*((Inputs!$B$20+1)+Skills!Q8))/100)*(1+Inputs!$B$15/100)*(5000/(6000+Inputs!$B$7*(1-Inputs!$B$18/100)))*(1+Inputs!$B$23/100)*(1+F265/100)*(1+IF(Inputs!$B$3&gt;=120,F268,0)/100)^5*(1+(IF(Skills!A8="BASIC_ATTACK",Inputs!$B$16,Inputs!$B$17+IF(Inputs!$B$3&gt;=125,F269*5,0)))/100)*(B272*B273*B274*I250)</f>
        <v>4483602628682.6719</v>
      </c>
      <c r="L250">
        <f>K250*(MIN(Inputs!$B$21+(F264-Calc!F22),Inputs!$B$22)/100+Inputs!$B$22/100)/2</f>
        <v>12103485296128.871</v>
      </c>
      <c r="M250">
        <f>L250*(1+(Inputs!$B$9+(F263-Calc!F21))/100)</f>
        <v>50725706876076.109</v>
      </c>
      <c r="N250">
        <f>L250*(1-MIN(Inputs!$B$8+(F262-Calc!F20),100)/100)+M250*(MIN(Inputs!$B$8+(F262-Calc!F20),100)/100)</f>
        <v>50725706876076.109</v>
      </c>
      <c r="O250">
        <f>IF(C250,H250*N250*IF(AND(Inputs!$B$4&lt;&gt;"pvp",Inputs!$B$35&gt;0),((Skills!G8*((S250-1)*IF(Skills!H8&gt;0,Skills!I8/Skills!H8,1)+IF(Skills!H8&gt;0,MIN(Skills!I8,MAX(0,Inputs!$B$35-((S250-1)*IF(Inputs!$B$4="pvp",15,MAX(0.1,Skills!E8-IF(Skills!F8=TRUE,Inputs!$B$31,0))))))/Skills!H8,1)))/Inputs!$B$35),G250*V250)*IF(Inputs!$B$4="pvp",1,(1-Summary!$B$56)*(1)+Summary!$B$56*(MIN(Skills!R8,Inputs!$B$37))),0)</f>
        <v>662539844912014.5</v>
      </c>
      <c r="P250">
        <f>IF(B281=0,0,O250/B281)</f>
        <v>7.9303361415862847E-2</v>
      </c>
      <c r="S250">
        <f>IF(AND(Inputs!$B$4&lt;&gt;"pvp",Inputs!$B$35&gt;0),(INT(Inputs!$B$35/IF(Inputs!$B$4="pvp",15,MAX(0.1,Skills!E8-IF(Skills!F8=TRUE,Inputs!$B$31,0))))+1),0)</f>
        <v>0</v>
      </c>
      <c r="V250">
        <f>IFERROR(1/IF(Inputs!$B$4="pvp",15,MAX(0.1,Skills!E8-IF(Skills!F8=TRUE,Inputs!$B$31,0))),0)</f>
        <v>4.0816326530612242E-2</v>
      </c>
    </row>
    <row r="251" spans="1:22" x14ac:dyDescent="0.2">
      <c r="A251" t="str">
        <f>Skills!A9</f>
        <v>MIST_ERUPTION</v>
      </c>
      <c r="B251" t="str">
        <f>Skills!B9</f>
        <v>Mist Eruption</v>
      </c>
      <c r="C251" t="b">
        <f>Inputs!$B$3&gt;=103</f>
        <v>1</v>
      </c>
      <c r="D251">
        <f>IF(Skills!C9=1,60+Inputs!$B$24+Inputs!$B$28,IF(Skills!C9=2,90+Inputs!$B$25+Inputs!$B$28,IF(Skills!C9=3,120+Inputs!$B$26+Inputs!$B$28,MAX(0,(Inputs!$B$3-100)*3)+Inputs!$B$27+Inputs!$B$28)))</f>
        <v>172</v>
      </c>
      <c r="E251">
        <f>INDEX(FactorTable!$B$2:$Y$301, MATCH(ROUND(MIN(300,MAX(1,D251)),0), FactorTable!$A$2:$A$301,0), Skills!M9+1)</f>
        <v>1860</v>
      </c>
      <c r="F251">
        <f>IF(Skills!N9=TRUE,(Skills!L9/10)*(E251/1000),Skills!L9/10)+Skills!O9</f>
        <v>5580</v>
      </c>
      <c r="G251">
        <f>Calc!G9</f>
        <v>2.8</v>
      </c>
      <c r="H251">
        <f>Calc!H9</f>
        <v>1</v>
      </c>
      <c r="I251">
        <f>IF(Skills!X9&lt;&gt;"",1+(Skills!X9/10)*(R245/1000)/100,1)</f>
        <v>1</v>
      </c>
      <c r="J251">
        <f>((Inputs!$B$5*(1+Inputs!$B$6/100))+((Inputs!$B$11*(1+Inputs!$B$12/100))-(Inputs!$B$11*(1+Inputs!$B$12/100)))*(1+Inputs!$B$6/100))*(F251/100)</f>
        <v>13940571034.742399</v>
      </c>
      <c r="K251">
        <f>J251*(1+((Inputs!$B$11*(1+Inputs!$B$12/100))*0.01+Inputs!$B$13*0.0025)/100)*(1+Inputs!$B$14/100)*(1+IF(Inputs!$B$4="pvp",0,(1-Summary!$B$56)*(Inputs!$B$19+Skills!P9)+Summary!$B$56*((Inputs!$B$20+1)+Skills!Q9))/100)*(1+Inputs!$B$15/100)*(5000/(6000+Inputs!$B$7*(1-Inputs!$B$18/100)))*(1+Inputs!$B$23/100)*(1+F265/100)*(1+IF(Inputs!$B$3&gt;=120,F268,0)/100)^5*(1+(IF(Skills!A9="BASIC_ATTACK",Inputs!$B$16,Inputs!$B$17+IF(Inputs!$B$3&gt;=125,F269*5,0)))/100)*(B272*B273*B274*I251)</f>
        <v>106249756519969.12</v>
      </c>
      <c r="L251">
        <f>K251*(MIN(Inputs!$B$21+(F264-Calc!F22),Inputs!$B$22)/100+Inputs!$B$22/100)/2</f>
        <v>286821217725656.62</v>
      </c>
      <c r="M251">
        <f>L251*(1+(Inputs!$B$9+(F263-Calc!F21))/100)</f>
        <v>1202067723488227</v>
      </c>
      <c r="N251">
        <f>L251*(1-MIN(Inputs!$B$8+(F262-Calc!F20),100)/100)+M251*(MIN(Inputs!$B$8+(F262-Calc!F20),100)/100)</f>
        <v>1202067723488227</v>
      </c>
      <c r="O251">
        <f>IF(C251,H251*N251*IF(AND(Inputs!$B$4&lt;&gt;"pvp",Inputs!$B$35&gt;0),((Skills!G9*((S251-1)*IF(Skills!H9&gt;0,Skills!I9/Skills!H9,1)+IF(Skills!H9&gt;0,MIN(Skills!I9,MAX(0,Inputs!$B$35-((S251-1)*IF(Inputs!$B$4="pvp",15,MAX(0.1,Skills!E9-IF(Skills!F7=TRUE,Inputs!$B$31,0))))))/Skills!H9,1)))/Inputs!$B$35),G251*V251)*IF(Inputs!$B$4="pvp",1,(1-Summary!$B$56)*(1)+Summary!$B$56*(MIN(Skills!R9,Inputs!$B$37))),0)</f>
        <v>879226677751388.88</v>
      </c>
      <c r="P251">
        <f>IF(B281=0,0,O251/B281)</f>
        <v>0.1052399059885166</v>
      </c>
      <c r="S251">
        <f>IF(AND(Inputs!$B$4&lt;&gt;"pvp",Inputs!$B$35&gt;0),(INT(Inputs!$B$35/IF(Inputs!$B$4="pvp",15,MAX(0.1,Skills!E9-IF(Skills!F7=TRUE,Inputs!$B$31,0))))+1),0)</f>
        <v>0</v>
      </c>
      <c r="V251">
        <f>IFERROR(1/IF(Inputs!$B$4="pvp",15,MAX(0.1,Skills!E9-IF(Skills!F7=TRUE,Inputs!$B$31,0))),0)</f>
        <v>4.0816326530612242E-2</v>
      </c>
    </row>
    <row r="252" spans="1:22" x14ac:dyDescent="0.2">
      <c r="A252" t="str">
        <f>Skills!A10</f>
        <v>CREEPING_TOXIN</v>
      </c>
      <c r="B252" t="str">
        <f>Skills!B10</f>
        <v>Creeping Toxin</v>
      </c>
      <c r="C252" t="b">
        <f>TRUE</f>
        <v>1</v>
      </c>
      <c r="D252">
        <f>IF(Skills!C10=1,60+Inputs!$B$24+Inputs!$B$28,IF(Skills!C10=2,90+Inputs!$B$25+Inputs!$B$28,IF(Skills!C10=3,120+Inputs!$B$26+Inputs!$B$28,MAX(0,(Inputs!$B$3-100)*3)+Inputs!$B$27+Inputs!$B$28)))</f>
        <v>184</v>
      </c>
      <c r="E252">
        <f>INDEX(FactorTable!$B$2:$Y$301, MATCH(ROUND(MIN(300,MAX(1,D252)),0), FactorTable!$A$2:$A$301,0), Skills!M10+1)</f>
        <v>1920</v>
      </c>
      <c r="F252">
        <f>IF(Skills!N10=TRUE,(Skills!L10/10)*(E252/1000),Skills!L10/10)+Skills!O10</f>
        <v>280.39999999999998</v>
      </c>
      <c r="G252">
        <f>Calc!G10</f>
        <v>15</v>
      </c>
      <c r="H252">
        <f>Calc!H10</f>
        <v>1</v>
      </c>
      <c r="I252">
        <f>IF(Skills!X10&lt;&gt;"",1+(Skills!X10/10)*(R245/1000)/100,1)</f>
        <v>1.7519999999999998</v>
      </c>
      <c r="J252">
        <f>((Inputs!$B$5*(1+Inputs!$B$6/100))+((Inputs!$B$11*(1+Inputs!$B$12/100))-(Inputs!$B$11*(1+Inputs!$B$12/100)))*(1+Inputs!$B$6/100))*(F252/100)</f>
        <v>700526186.04691195</v>
      </c>
      <c r="K252">
        <f>J252*(1+((Inputs!$B$11*(1+Inputs!$B$12/100))*0.01+Inputs!$B$13*0.0025)/100)*(1+Inputs!$B$14/100)*(1+IF(Inputs!$B$4="pvp",0,(1-Summary!$B$56)*(Inputs!$B$19+Skills!P10)+Summary!$B$56*((Inputs!$B$20+1)+Skills!Q10))/100)*(1+Inputs!$B$15/100)*(5000/(6000+Inputs!$B$7*(1-Inputs!$B$18/100)))*(1+Inputs!$B$23/100)*(1+F265/100)*(1+IF(Inputs!$B$3&gt;=120,F268,0)/100)^5*(1+(IF(Skills!A10="BASIC_ATTACK",Inputs!$B$16,Inputs!$B$17+IF(Inputs!$B$3&gt;=125,F269*5,0)))/100)*(B272*B273*B274*I252)</f>
        <v>11035581822393.65</v>
      </c>
      <c r="L252">
        <f>K252*(MIN(Inputs!$B$21+(F264-Calc!F22),Inputs!$B$22)/100+Inputs!$B$22/100)/2</f>
        <v>29790553129551.656</v>
      </c>
      <c r="M252">
        <f>L252*(1+(Inputs!$B$9+(F263-Calc!F21))/100)</f>
        <v>124852208165951.02</v>
      </c>
      <c r="N252">
        <f>L252*(1-MIN(Inputs!$B$8+(F262-Calc!F20),100)/100)+M252*(MIN(Inputs!$B$8+(F262-Calc!F20),100)/100)</f>
        <v>124852208165951.02</v>
      </c>
      <c r="O252">
        <f>IF(C252,H252*N252*IF(AND(Inputs!$B$4&lt;&gt;"pvp",Inputs!$B$35&gt;0),((Skills!G10*((S252-1)*IF(Skills!H10&gt;0,Skills!I10/Skills!H10,1)+IF(Skills!H10&gt;0,MIN(Skills!I10,MAX(0,Inputs!$B$35-((S252-1)*IF(Inputs!$B$4="pvp",15,MAX(0.1,Skills!E10-IF(Skills!F10=TRUE,Inputs!$B$31,0))))))/Skills!H10,1)))/Inputs!$B$35),G252*V252)*IF(Inputs!$B$4="pvp",1,(1-Summary!$B$56)*(1)+Summary!$B$56*(MIN(Skills!R10,Inputs!$B$37))),0)</f>
        <v>69362337869972.789</v>
      </c>
      <c r="P252">
        <f>IF(B281=0,0,O252/B281)</f>
        <v>8.3023935707325393E-3</v>
      </c>
      <c r="S252">
        <f>IF(AND(Inputs!$B$4&lt;&gt;"pvp",Inputs!$B$35&gt;0),(INT(Inputs!$B$35/IF(Inputs!$B$4="pvp",15,MAX(0.1,Skills!E10-IF(Skills!F10=TRUE,Inputs!$B$31,0))))+1),0)</f>
        <v>0</v>
      </c>
      <c r="V252">
        <f>IFERROR(1/IF(Inputs!$B$4="pvp",15,MAX(0.1,Skills!E10-IF(Skills!F10=TRUE,Inputs!$B$31,0))),0)</f>
        <v>3.7037037037037035E-2</v>
      </c>
    </row>
    <row r="253" spans="1:22" x14ac:dyDescent="0.2">
      <c r="A253" t="str">
        <f>Skills!A11</f>
        <v>BURNING_MAGIC</v>
      </c>
      <c r="B253" t="str">
        <f>Skills!B11</f>
        <v>Burning Magic</v>
      </c>
      <c r="C253" t="b">
        <f>TRUE</f>
        <v>1</v>
      </c>
      <c r="D253">
        <f>IF(Skills!C11=1,60+Inputs!$B$24+Inputs!$B$28,IF(Skills!C11=2,90+Inputs!$B$25+Inputs!$B$28,IF(Skills!C11=3,120+Inputs!$B$26+Inputs!$B$28,MAX(0,(Inputs!$B$3-100)*3)+Inputs!$B$27+Inputs!$B$28)))</f>
        <v>184</v>
      </c>
      <c r="E253">
        <f>INDEX(FactorTable!$B$2:$Y$301, MATCH(ROUND(MIN(300,MAX(1,D253)),0), FactorTable!$A$2:$A$301,0), Skills!M11+1)</f>
        <v>0</v>
      </c>
      <c r="F253">
        <f>IF(Skills!N11=TRUE,(Skills!L11/10)*(E253/1000),Skills!L11/10)+Skills!O11</f>
        <v>5</v>
      </c>
      <c r="G253">
        <f>Calc!G11</f>
        <v>1</v>
      </c>
      <c r="H253">
        <f>Calc!H11</f>
        <v>1</v>
      </c>
      <c r="I253">
        <f>IF(Skills!X11&lt;&gt;"",1+(Skills!X11/10)*(R245/1000)/100,1)</f>
        <v>1</v>
      </c>
      <c r="O253">
        <v>0</v>
      </c>
      <c r="P253">
        <f>IF(B281=0,0,O253/B281)</f>
        <v>0</v>
      </c>
      <c r="S253">
        <v>0</v>
      </c>
      <c r="V253">
        <f>IFERROR(1/IF(Inputs!$B$4="pvp",15,MAX(0.1,Skills!E11-IF(Skills!F11=TRUE,Inputs!$B$31,0))),0)</f>
        <v>10</v>
      </c>
    </row>
    <row r="254" spans="1:22" x14ac:dyDescent="0.2">
      <c r="A254" t="str">
        <f>Skills!A12</f>
        <v>ELEMENTAL_DECREASE</v>
      </c>
      <c r="B254" t="str">
        <f>Skills!B12</f>
        <v>Elemental Decrease</v>
      </c>
      <c r="C254" t="b">
        <f>TRUE</f>
        <v>1</v>
      </c>
      <c r="D254">
        <f>IF(Skills!C12=1,60+Inputs!$B$24+Inputs!$B$28,IF(Skills!C12=2,90+Inputs!$B$25+Inputs!$B$28,IF(Skills!C12=3,120+Inputs!$B$26+Inputs!$B$28,MAX(0,(Inputs!$B$3-100)*3)+Inputs!$B$27+Inputs!$B$28)))</f>
        <v>184</v>
      </c>
      <c r="E254">
        <f>INDEX(FactorTable!$B$2:$Y$301, MATCH(ROUND(MIN(300,MAX(1,D254)),0), FactorTable!$A$2:$A$301,0), Skills!M12+1)</f>
        <v>1552</v>
      </c>
      <c r="F254">
        <f>IF(Skills!N12=TRUE,(Skills!L12/10)*(E254/1000),Skills!L12/10)+Skills!O12</f>
        <v>18.624000000000002</v>
      </c>
      <c r="G254">
        <f>Calc!G12</f>
        <v>1</v>
      </c>
      <c r="H254">
        <f>Calc!H12</f>
        <v>0.5</v>
      </c>
      <c r="I254">
        <f>IF(Skills!X12&lt;&gt;"",1+(Skills!X12/10)*(R245/1000)/100,1)</f>
        <v>1</v>
      </c>
      <c r="O254">
        <v>0</v>
      </c>
      <c r="P254">
        <f>IF(B281=0,0,O254/B281)</f>
        <v>0</v>
      </c>
      <c r="S254">
        <v>0</v>
      </c>
      <c r="V254">
        <f>IFERROR(1/IF(Inputs!$B$4="pvp",15,MAX(0.1,Skills!E12-IF(Skills!F12=TRUE,Inputs!$B$31,0))),0)</f>
        <v>10</v>
      </c>
    </row>
    <row r="255" spans="1:22" x14ac:dyDescent="0.2">
      <c r="A255" t="str">
        <f>Skills!A13</f>
        <v>METEOR_SHOWER_BURST</v>
      </c>
      <c r="B255" t="str">
        <f>Skills!B13</f>
        <v>Meteor Shower (burst)</v>
      </c>
      <c r="C255" t="b">
        <f>Inputs!$B$3&gt;=105</f>
        <v>1</v>
      </c>
      <c r="D255">
        <f>IF(Skills!C13=1,60+Inputs!$B$24+Inputs!$B$28,IF(Skills!C13=2,90+Inputs!$B$25+Inputs!$B$28,IF(Skills!C13=3,120+Inputs!$B$26+Inputs!$B$28,MAX(0,(Inputs!$B$3-100)*3)+Inputs!$B$27+Inputs!$B$28)))</f>
        <v>172</v>
      </c>
      <c r="E255">
        <f>INDEX(FactorTable!$B$2:$Y$301, MATCH(ROUND(MIN(300,MAX(1,D255)),0), FactorTable!$A$2:$A$301,0), Skills!M13+1)</f>
        <v>1860</v>
      </c>
      <c r="F255">
        <f>IF(Skills!N13=TRUE,(Skills!L13/10)*(E255/1000),Skills!L13/10)+Skills!O13</f>
        <v>1116</v>
      </c>
      <c r="G255">
        <f>Calc!G13</f>
        <v>9</v>
      </c>
      <c r="H255">
        <f>Calc!H13</f>
        <v>1</v>
      </c>
      <c r="I255">
        <f>IF(Skills!X13&lt;&gt;"",1+(Skills!X13/10)*(R245/1000)/100,1)</f>
        <v>1</v>
      </c>
      <c r="J255">
        <f>((Inputs!$B$5*(1+Inputs!$B$6/100))+((Inputs!$B$11*(1+Inputs!$B$12/100))-(Inputs!$B$11*(1+Inputs!$B$12/100)))*(1+Inputs!$B$6/100))*(F255/100)</f>
        <v>2788114206.9484801</v>
      </c>
      <c r="K255">
        <f>J255*(1+((Inputs!$B$11*(1+Inputs!$B$12/100))*0.01+Inputs!$B$13*0.0025)/100)*(1+Inputs!$B$14/100)*(1+IF(Inputs!$B$4="pvp",0,(1-Summary!$B$56)*(Inputs!$B$19+Skills!P13)+Summary!$B$56*((Inputs!$B$20+1)+Skills!Q13))/100)*(1+Inputs!$B$15/100)*(5000/(6000+Inputs!$B$7*(1-Inputs!$B$18/100)))*(1+Inputs!$B$23/100)*(1+F265/100)*(1+IF(Inputs!$B$3&gt;=120,F268,0)/100)^5*(1+(IF(Skills!A13="BASIC_ATTACK",Inputs!$B$16,Inputs!$B$17+IF(Inputs!$B$3&gt;=125,F269*5,0)))/100)*(B272*B273*B274*I255)</f>
        <v>21249951303993.82</v>
      </c>
      <c r="L255">
        <f>K255*(MIN(Inputs!$B$21+(F264-Calc!F22),Inputs!$B$22)/100+Inputs!$B$22/100)/2</f>
        <v>57364243545131.312</v>
      </c>
      <c r="M255">
        <f>L255*(1+(Inputs!$B$9+(F263-Calc!F21))/100)</f>
        <v>240413544697645.38</v>
      </c>
      <c r="N255">
        <f>L255*(1-MIN(Inputs!$B$8+(F262-Calc!F20),100)/100)+M255*(MIN(Inputs!$B$8+(F262-Calc!F20),100)/100)</f>
        <v>240413544697645.38</v>
      </c>
      <c r="O255">
        <f>IF(C255,H255*N255*IF(AND(Inputs!$B$4&lt;&gt;"pvp",Inputs!$B$35&gt;0),((Skills!G13*((S255-1)*IF(Skills!H13&gt;0,Skills!I13/Skills!H13,1)+IF(Skills!H13&gt;0,MIN(Skills!I13,MAX(0,Inputs!$B$35-((S255-1)*IF(Inputs!$B$4="pvp",15,MAX(0.1,Skills!E13-IF(Skills!F13=TRUE,Inputs!$B$31,0))))))/Skills!H13,1)))/Inputs!$B$35),G255*V255)*IF(Inputs!$B$4="pvp",1,(1-Summary!$B$56)*(1)+Summary!$B$56*(MIN(Skills!R13,Inputs!$B$37))),0)</f>
        <v>301609719711591.44</v>
      </c>
      <c r="P255">
        <f>IF(B281=0,0,O255/B281)</f>
        <v>3.610147343214027E-2</v>
      </c>
      <c r="S255">
        <f>IF(AND(Inputs!$B$4&lt;&gt;"pvp",Inputs!$B$35&gt;0),(INT(Inputs!$B$35/IF(Inputs!$B$4="pvp",15,MAX(0.1,Skills!E13-IF(Skills!F13=TRUE,Inputs!$B$31,0))))+1),0)</f>
        <v>0</v>
      </c>
      <c r="V255">
        <f>IFERROR(1/IF(Inputs!$B$4="pvp",15,MAX(0.1,Skills!E13-IF(Skills!F13=TRUE,Inputs!$B$31,0))),0)</f>
        <v>3.0303030303030304E-2</v>
      </c>
    </row>
    <row r="256" spans="1:22" x14ac:dyDescent="0.2">
      <c r="A256" t="str">
        <f>Skills!A14</f>
        <v>METEOR_PROC</v>
      </c>
      <c r="B256" t="str">
        <f>Skills!B14</f>
        <v>Meteor Proc (30% on-hit, 1s ICD)</v>
      </c>
      <c r="C256" t="b">
        <f>Inputs!$B$3&gt;=113</f>
        <v>1</v>
      </c>
      <c r="D256">
        <f>IF(Skills!C14=1,60+Inputs!$B$24+Inputs!$B$28,IF(Skills!C14=2,90+Inputs!$B$25+Inputs!$B$28,IF(Skills!C14=3,120+Inputs!$B$26+Inputs!$B$28,MAX(0,(Inputs!$B$3-100)*3)+Inputs!$B$27+Inputs!$B$28)))</f>
        <v>172</v>
      </c>
      <c r="E256">
        <f>INDEX(FactorTable!$B$2:$Y$301, MATCH(ROUND(MIN(300,MAX(1,D256)),0), FactorTable!$A$2:$A$301,0), Skills!M14+1)</f>
        <v>1688</v>
      </c>
      <c r="F256">
        <f>IF(Skills!N14=TRUE,(Skills!L14/10)*(E256/1000),Skills!L14/10)+Skills!O14</f>
        <v>1603.6</v>
      </c>
      <c r="G256">
        <f>Calc!G14</f>
        <v>0</v>
      </c>
      <c r="H256">
        <f>Calc!H14</f>
        <v>0.30000000000000004</v>
      </c>
      <c r="I256">
        <f>IF(Skills!X14&lt;&gt;"",1+(Skills!X14/10)*(R245/1000)/100,1)</f>
        <v>1</v>
      </c>
      <c r="J256">
        <f>((Inputs!$B$5*(1+Inputs!$B$6/100))+((Inputs!$B$11*(1+Inputs!$B$12/100))-(Inputs!$B$11*(1+Inputs!$B$12/100)))*(1+Inputs!$B$6/100))*(F256/100)</f>
        <v>4006290270.8446074</v>
      </c>
      <c r="K256">
        <f>J256*(1+((Inputs!$B$11*(1+Inputs!$B$12/100))*0.01+Inputs!$B$13*0.0025)/100)*(1+Inputs!$B$14/100)*(1+IF(Inputs!$B$4="pvp",0,(1-Summary!$B$56)*(Inputs!$B$19+Skills!P14)+Summary!$B$56*((Inputs!$B$20+1)+Skills!Q14))/100)*(1+Inputs!$B$15/100)*(5000/(6000+Inputs!$B$7*(1-Inputs!$B$18/100)))*(1+Inputs!$B$23/100)*(1+F265/100)*(1+IF(Inputs!$B$3&gt;=120,F268,0)/100)^5*(1+(IF(Skills!A14="BASIC_ATTACK",Inputs!$B$16,Inputs!$B$17+IF(Inputs!$B$3&gt;=125,F269*5,0)))/100)*(B272*B273*B274*I256)</f>
        <v>30534428235738.785</v>
      </c>
      <c r="L256">
        <f>K256*(MIN(Inputs!$B$21+(F264-Calc!F22),Inputs!$B$22)/100+Inputs!$B$22/100)/2</f>
        <v>82427689022376.844</v>
      </c>
      <c r="M256">
        <f>L256*(1+(Inputs!$B$9+(F263-Calc!F21))/100)</f>
        <v>345454444692781.44</v>
      </c>
      <c r="N256">
        <f>L256*(1-MIN(Inputs!$B$8+(F262-Calc!F20),100)/100)+M256*(MIN(Inputs!$B$8+(F262-Calc!F20),100)/100)</f>
        <v>345454444692781.44</v>
      </c>
      <c r="O256">
        <f>IF(C256,(H256*B279)/(1+Skills!H14*H256*B279)*N256*IF(Inputs!$B$4="pvp",1,(1-Summary!$B$56)*(1)+Summary!$B$56*(MIN(Skills!R14,Inputs!$B$37))),0)</f>
        <v>108667057836245.78</v>
      </c>
      <c r="P256">
        <f>IF(B281=0,0,O256/B281)</f>
        <v>1.3007010865483417E-2</v>
      </c>
      <c r="S256">
        <v>0</v>
      </c>
      <c r="V256">
        <f>IFERROR(1/IF(Inputs!$B$4="pvp",15,MAX(0.1,Skills!E14-IF(Skills!F14=TRUE,Inputs!$B$31,0))),0)</f>
        <v>10</v>
      </c>
    </row>
    <row r="257" spans="1:22" x14ac:dyDescent="0.2">
      <c r="A257" t="str">
        <f>Skills!A15</f>
        <v>FLAME_HAZE_BURST</v>
      </c>
      <c r="B257" t="str">
        <f>Skills!B15</f>
        <v>Flame Haze (burst)</v>
      </c>
      <c r="C257" t="b">
        <f>Inputs!$B$3&gt;=107</f>
        <v>1</v>
      </c>
      <c r="D257">
        <f>IF(Skills!C15=1,60+Inputs!$B$24+Inputs!$B$28,IF(Skills!C15=2,90+Inputs!$B$25+Inputs!$B$28,IF(Skills!C15=3,120+Inputs!$B$26+Inputs!$B$28,MAX(0,(Inputs!$B$3-100)*3)+Inputs!$B$27+Inputs!$B$28)))</f>
        <v>172</v>
      </c>
      <c r="E257">
        <f>INDEX(FactorTable!$B$2:$Y$301, MATCH(ROUND(MIN(300,MAX(1,D257)),0), FactorTable!$A$2:$A$301,0), Skills!M15+1)</f>
        <v>1860</v>
      </c>
      <c r="F257">
        <f>IF(Skills!N15=TRUE,(Skills!L15/10)*(E257/1000),Skills!L15/10)+Skills!O15</f>
        <v>2232</v>
      </c>
      <c r="G257">
        <f>Calc!G15</f>
        <v>3</v>
      </c>
      <c r="H257">
        <f>Calc!H15</f>
        <v>1</v>
      </c>
      <c r="I257">
        <f>IF(Skills!X15&lt;&gt;"",1+(Skills!X15/10)*(R245/1000)/100,1)</f>
        <v>1</v>
      </c>
      <c r="J257">
        <f>((Inputs!$B$5*(1+Inputs!$B$6/100))+((Inputs!$B$11*(1+Inputs!$B$12/100))-(Inputs!$B$11*(1+Inputs!$B$12/100)))*(1+Inputs!$B$6/100))*(F257/100)</f>
        <v>5576228413.8969603</v>
      </c>
      <c r="K257">
        <f>J257*(1+((Inputs!$B$11*(1+Inputs!$B$12/100))*0.01+Inputs!$B$13*0.0025)/100)*(1+Inputs!$B$14/100)*(1+IF(Inputs!$B$4="pvp",0,(1-Summary!$B$56)*(Inputs!$B$19+Skills!P15)+Summary!$B$56*((Inputs!$B$20+1)+Skills!Q15))/100)*(1+Inputs!$B$15/100)*(5000/(6000+Inputs!$B$7*(1-Inputs!$B$18/100)))*(1+Inputs!$B$23/100)*(1+F265/100)*(1+IF(Inputs!$B$3&gt;=120,F268,0)/100)^5*(1+(IF(Skills!A15="BASIC_ATTACK",Inputs!$B$16,Inputs!$B$17+IF(Inputs!$B$3&gt;=125,F269*5,0)))/100)*(B272*B273*B274*I257)</f>
        <v>42499902607987.641</v>
      </c>
      <c r="L257">
        <f>K257*(MIN(Inputs!$B$21+(F264-Calc!F22),Inputs!$B$22)/100+Inputs!$B$22/100)/2</f>
        <v>114728487090262.62</v>
      </c>
      <c r="M257">
        <f>L257*(1+(Inputs!$B$9+(F263-Calc!F21))/100)</f>
        <v>480827089395290.75</v>
      </c>
      <c r="N257">
        <f>L257*(1-MIN(Inputs!$B$8+(F262-Calc!F20),100)/100)+M257*(MIN(Inputs!$B$8+(F262-Calc!F20),100)/100)</f>
        <v>480827089395290.75</v>
      </c>
      <c r="O257">
        <f>IF(C257,H257*N257*IF(AND(Inputs!$B$4&lt;&gt;"pvp",Inputs!$B$35&gt;0),((Skills!G15*((S257-1)*IF(Skills!H15&gt;0,Skills!I15/Skills!H15,1)+IF(Skills!H15&gt;0,MIN(Skills!I15,MAX(0,Inputs!$B$35-((S257-1)*IF(Inputs!$B$4="pvp",15,MAX(0.1,Skills!E15-IF(Skills!F15=TRUE,Inputs!$B$31,0))))))/Skills!H15,1)))/Inputs!$B$35),G257*V257)*IF(Inputs!$B$4="pvp",1,(1-Summary!$B$56)*(1)+Summary!$B$56*(MIN(Skills!R15,Inputs!$B$37))),0)</f>
        <v>369275204655583.31</v>
      </c>
      <c r="P257">
        <f>IF(B281=0,0,O257/B281)</f>
        <v>4.4200760515176969E-2</v>
      </c>
      <c r="S257">
        <f>IF(AND(Inputs!$B$4&lt;&gt;"pvp",Inputs!$B$35&gt;0),(INT(Inputs!$B$35/IF(Inputs!$B$4="pvp",15,MAX(0.1,Skills!E15-IF(Skills!F15=TRUE,Inputs!$B$31,0))))+1),0)</f>
        <v>0</v>
      </c>
      <c r="V257">
        <f>IFERROR(1/IF(Inputs!$B$4="pvp",15,MAX(0.1,Skills!E15-IF(Skills!F15=TRUE,Inputs!$B$31,0))),0)</f>
        <v>0.04</v>
      </c>
    </row>
    <row r="258" spans="1:22" x14ac:dyDescent="0.2">
      <c r="A258" t="str">
        <f>Skills!A16</f>
        <v>FLAME_HAZE_DOT</v>
      </c>
      <c r="B258" t="str">
        <f>Skills!B16</f>
        <v>Flame Haze (burn DoT)</v>
      </c>
      <c r="C258" t="b">
        <f>Inputs!$B$3&gt;=107</f>
        <v>1</v>
      </c>
      <c r="D258">
        <f>IF(Skills!C16=1,60+Inputs!$B$24+Inputs!$B$28,IF(Skills!C16=2,90+Inputs!$B$25+Inputs!$B$28,IF(Skills!C16=3,120+Inputs!$B$26+Inputs!$B$28,MAX(0,(Inputs!$B$3-100)*3)+Inputs!$B$27+Inputs!$B$28)))</f>
        <v>172</v>
      </c>
      <c r="E258">
        <f>INDEX(FactorTable!$B$2:$Y$301, MATCH(ROUND(MIN(300,MAX(1,D258)),0), FactorTable!$A$2:$A$301,0), Skills!M16+1)</f>
        <v>1860</v>
      </c>
      <c r="F258">
        <f>IF(Skills!N16=TRUE,(Skills!L16/10)*(E258/1000),Skills!L16/10)+Skills!O16</f>
        <v>279</v>
      </c>
      <c r="G258">
        <f>Calc!G16</f>
        <v>28</v>
      </c>
      <c r="H258">
        <f>Calc!H16</f>
        <v>1</v>
      </c>
      <c r="I258">
        <f>IF(Skills!X16&lt;&gt;"",1+(Skills!X16/10)*(R245/1000)/100,1)</f>
        <v>1</v>
      </c>
      <c r="J258">
        <f>((Inputs!$B$5*(1+Inputs!$B$6/100))+((Inputs!$B$11*(1+Inputs!$B$12/100))-(Inputs!$B$11*(1+Inputs!$B$12/100)))*(1+Inputs!$B$6/100))*(F258/100)</f>
        <v>697028551.73712003</v>
      </c>
      <c r="K258">
        <f>J258*(1+((Inputs!$B$11*(1+Inputs!$B$12/100))*0.01+Inputs!$B$13*0.0025)/100)*(1+Inputs!$B$14/100)*(1+IF(Inputs!$B$4="pvp",0,(1-Summary!$B$56)*(Inputs!$B$19+Skills!P16)+Summary!$B$56*((Inputs!$B$20+1)+Skills!Q16))/100)*(1+Inputs!$B$15/100)*(5000/(6000+Inputs!$B$7*(1-Inputs!$B$18/100)))*(1+Inputs!$B$23/100)*(1+F265/100)*(1+IF(Inputs!$B$3&gt;=120,F268,0)/100)^5*(1+(IF(Skills!A16="BASIC_ATTACK",Inputs!$B$16,Inputs!$B$17+IF(Inputs!$B$3&gt;=125,F269*5,0)))/100)*(B272*B273*B274*I258)</f>
        <v>5312487825998.4551</v>
      </c>
      <c r="L258">
        <f>K258*(MIN(Inputs!$B$21+(F264-Calc!F22),Inputs!$B$22)/100+Inputs!$B$22/100)/2</f>
        <v>14341060886282.828</v>
      </c>
      <c r="M258">
        <f>L258*(1+(Inputs!$B$9+(F263-Calc!F21))/100)</f>
        <v>60103386174411.344</v>
      </c>
      <c r="N258">
        <f>L258*(1-MIN(Inputs!$B$8+(F262-Calc!F20),100)/100)+M258*(MIN(Inputs!$B$8+(F262-Calc!F20),100)/100)</f>
        <v>60103386174411.344</v>
      </c>
      <c r="O258">
        <f>IF(C258,H258*N258*IF(AND(Inputs!$B$4&lt;&gt;"pvp",Inputs!$B$35&gt;0),((Skills!G16*((S258-1)*IF(Skills!H16&gt;0,Skills!I16/Skills!H16,1)+IF(Skills!H16&gt;0,MIN(Skills!I16,MAX(0,Inputs!$B$35-((S258-1)*IF(Inputs!$B$4="pvp",15,MAX(0.1,Skills!E16-IF(Skills!F16=TRUE,Inputs!$B$31,0))))))/Skills!H16,1)))/Inputs!$B$35),G258*V258)*(1+IF(Inputs!$B$3&gt;=126,0.05*(B278+V255+(H256*B279)/(1+Skills!H14*H256*B279)+V266),0)*Skills!E15)*IF(Inputs!$B$4="pvp",1,(1-Summary!$B$56)*(1)+Summary!$B$56*(MIN(Skills!R16,Inputs!$B$37))),0)</f>
        <v>430821072098180.56</v>
      </c>
      <c r="P258">
        <f>IF(B281=0,0,O258/B281)</f>
        <v>5.156755393437313E-2</v>
      </c>
      <c r="S258">
        <f>IF(AND(Inputs!$B$4&lt;&gt;"pvp",Inputs!$B$35&gt;0),(INT(Inputs!$B$35/IF(Inputs!$B$4="pvp",15,MAX(0.1,Skills!E16-IF(Skills!F16=TRUE,Inputs!$B$31,0))))+1),0)</f>
        <v>0</v>
      </c>
      <c r="V258">
        <f>IFERROR(1/IF(Inputs!$B$4="pvp",15,MAX(0.1,Skills!E16-IF(Skills!F16=TRUE,Inputs!$B$31,0))),0)</f>
        <v>0.04</v>
      </c>
    </row>
    <row r="259" spans="1:22" x14ac:dyDescent="0.2">
      <c r="A259" t="str">
        <f>Skills!A17</f>
        <v>MAGIC_GUARD</v>
      </c>
      <c r="B259" t="str">
        <f>Skills!B17</f>
        <v>Magic Guard</v>
      </c>
      <c r="C259" t="b">
        <f>TRUE</f>
        <v>1</v>
      </c>
      <c r="D259">
        <f>IF(Skills!C17=1,60+Inputs!$B$24+Inputs!$B$28,IF(Skills!C17=2,90+Inputs!$B$25+Inputs!$B$28,IF(Skills!C17=3,120+Inputs!$B$26+Inputs!$B$28,MAX(0,(Inputs!$B$3-100)*3)+Inputs!$B$27+Inputs!$B$28)))</f>
        <v>115</v>
      </c>
      <c r="E259">
        <f>INDEX(FactorTable!$B$2:$Y$301, MATCH(ROUND(MIN(300,MAX(1,D259)),0), FactorTable!$A$2:$A$301,0), Skills!M17+1)</f>
        <v>1460</v>
      </c>
      <c r="F259">
        <f>IF(Skills!N17=TRUE,(Skills!L17/10)*(E259/1000),Skills!L17/10)+Skills!O17</f>
        <v>17.52</v>
      </c>
      <c r="G259">
        <f>Calc!G17</f>
        <v>1</v>
      </c>
      <c r="H259">
        <f>Calc!H17</f>
        <v>1</v>
      </c>
      <c r="I259">
        <f>IF(Skills!X17&lt;&gt;"",1+(Skills!X17/10)*(R245/1000)/100,1)</f>
        <v>1</v>
      </c>
      <c r="O259">
        <v>0</v>
      </c>
      <c r="P259">
        <f>IF(B281=0,0,O259/B281)</f>
        <v>0</v>
      </c>
      <c r="S259">
        <f>IF(AND(Inputs!$B$4&lt;&gt;"pvp",Inputs!$B$35&gt;0),(INT(Inputs!$B$35/IF(Inputs!$B$4="pvp",15,MAX(0.1,Skills!E17-IF(Skills!F17=TRUE,Inputs!$B$31,0))))+1),0)</f>
        <v>0</v>
      </c>
      <c r="V259">
        <f>IFERROR(1/IF(Inputs!$B$4="pvp",15,MAX(0.1,Skills!E17-IF(Skills!F17=TRUE,Inputs!$B$31,0))),0)</f>
        <v>4.7619047619047616E-2</v>
      </c>
    </row>
    <row r="260" spans="1:22" x14ac:dyDescent="0.2">
      <c r="A260" t="str">
        <f>Skills!A18</f>
        <v>NIMBLE_FEET</v>
      </c>
      <c r="B260" t="str">
        <f>Skills!B18</f>
        <v>Nimble Feet</v>
      </c>
      <c r="C260" t="b">
        <f>TRUE</f>
        <v>1</v>
      </c>
      <c r="D260">
        <f>IF(Skills!C18=1,60+Inputs!$B$24+Inputs!$B$28,IF(Skills!C18=2,90+Inputs!$B$25+Inputs!$B$28,IF(Skills!C18=3,120+Inputs!$B$26+Inputs!$B$28,MAX(0,(Inputs!$B$3-100)*3)+Inputs!$B$27+Inputs!$B$28)))</f>
        <v>115</v>
      </c>
      <c r="E260">
        <f>INDEX(FactorTable!$B$2:$Y$301, MATCH(ROUND(MIN(300,MAX(1,D260)),0), FactorTable!$A$2:$A$301,0), Skills!M18+1)</f>
        <v>0</v>
      </c>
      <c r="F260">
        <f>IF(Skills!N18=TRUE,(Skills!L18/10)*(E260/1000),Skills!L18/10)+Skills!O18</f>
        <v>15</v>
      </c>
      <c r="G260">
        <f>Calc!G18</f>
        <v>1</v>
      </c>
      <c r="H260">
        <f>Calc!H18</f>
        <v>1</v>
      </c>
      <c r="I260">
        <f>IF(Skills!X18&lt;&gt;"",1+(Skills!X18/10)*(R245/1000)/100,1)</f>
        <v>1</v>
      </c>
      <c r="O260">
        <v>0</v>
      </c>
      <c r="P260">
        <f>IF(B281=0,0,O260/B281)</f>
        <v>0</v>
      </c>
      <c r="S260">
        <f>IF(AND(Inputs!$B$4&lt;&gt;"pvp",Inputs!$B$35&gt;0),(INT(Inputs!$B$35/IF(Inputs!$B$4="pvp",15,MAX(0.1,Skills!E18-IF(Skills!F18=TRUE,Inputs!$B$31,0))))+1),0)</f>
        <v>0</v>
      </c>
      <c r="V260">
        <f>IFERROR(1/IF(Inputs!$B$4="pvp",15,MAX(0.1,Skills!E18-IF(Skills!F18=TRUE,Inputs!$B$31,0))),0)</f>
        <v>1.6666666666666666E-2</v>
      </c>
    </row>
    <row r="261" spans="1:22" x14ac:dyDescent="0.2">
      <c r="A261" t="str">
        <f>Skills!A19</f>
        <v>INFINITY</v>
      </c>
      <c r="B261" t="str">
        <f>Skills!B19</f>
        <v>Infinity</v>
      </c>
      <c r="C261" t="b">
        <f>Inputs!$B$3&gt;=110</f>
        <v>1</v>
      </c>
      <c r="D261">
        <f>IF(Skills!C19=1,60+Inputs!$B$24+Inputs!$B$28,IF(Skills!C19=2,90+Inputs!$B$25+Inputs!$B$28,IF(Skills!C19=3,120+Inputs!$B$26+Inputs!$B$28,MAX(0,(Inputs!$B$3-100)*3)+Inputs!$B$27+Inputs!$B$28)))</f>
        <v>172</v>
      </c>
      <c r="E261">
        <f>INDEX(FactorTable!$B$2:$Y$301, MATCH(ROUND(MIN(300,MAX(1,D261)),0), FactorTable!$A$2:$A$301,0), Skills!M19+1)</f>
        <v>1688</v>
      </c>
      <c r="F261">
        <f>IF(Skills!N19=TRUE,(Skills!L19/10)*(E261/1000),Skills!L19/10)+Skills!O19</f>
        <v>36.573895999999998</v>
      </c>
      <c r="G261">
        <f>Calc!G19</f>
        <v>1</v>
      </c>
      <c r="H261">
        <f>Calc!H19</f>
        <v>1</v>
      </c>
      <c r="I261">
        <f>IF(Skills!X19&lt;&gt;"",1+(Skills!X19/10)*(R245/1000)/100,1)</f>
        <v>1</v>
      </c>
      <c r="O261">
        <v>0</v>
      </c>
      <c r="P261">
        <f>IF(B281=0,0,O261/B281)</f>
        <v>0</v>
      </c>
      <c r="S261">
        <f>IF(AND(Inputs!$B$4&lt;&gt;"pvp",Inputs!$B$35&gt;0),(INT(Inputs!$B$35/IF(Inputs!$B$4="pvp",15,MAX(0.1,Skills!E19-IF(Skills!F19=TRUE,Inputs!$B$31,0))))+1),0)</f>
        <v>0</v>
      </c>
      <c r="V261">
        <f>IFERROR(1/IF(Inputs!$B$4="pvp",15,MAX(0.1,Skills!E19-IF(Skills!F19=TRUE,Inputs!$B$31,0))),0)</f>
        <v>3.3333333333333333E-2</v>
      </c>
    </row>
    <row r="262" spans="1:22" x14ac:dyDescent="0.2">
      <c r="A262" t="str">
        <f>Skills!A20</f>
        <v>MAGIC_CRITICAL_RATE</v>
      </c>
      <c r="B262" t="str">
        <f>Skills!B20</f>
        <v>Magic Critical (Crit Rate)</v>
      </c>
      <c r="C262" t="b">
        <f>TRUE</f>
        <v>1</v>
      </c>
      <c r="D262">
        <f>IF(Skills!C20=1,60+Inputs!$B$24+Inputs!$B$28,IF(Skills!C20=2,90+Inputs!$B$25+Inputs!$B$28,IF(Skills!C20=3,120+Inputs!$B$26+Inputs!$B$28,MAX(0,(Inputs!$B$3-100)*3)+Inputs!$B$27+Inputs!$B$28)))</f>
        <v>184</v>
      </c>
      <c r="E262">
        <f>INDEX(FactorTable!$B$2:$Y$301, MATCH(ROUND(MIN(300,MAX(1,D262)),0), FactorTable!$A$2:$A$301,0), Skills!M20+1)</f>
        <v>1552</v>
      </c>
      <c r="F262">
        <f>IF(Skills!N20=TRUE,(Skills!L20/10)*(E262/1000),Skills!L20/10)+Skills!O20</f>
        <v>12.416</v>
      </c>
      <c r="G262">
        <f>Calc!G20</f>
        <v>1</v>
      </c>
      <c r="H262">
        <f>Calc!H20</f>
        <v>1</v>
      </c>
      <c r="I262">
        <f>IF(Skills!X20&lt;&gt;"",1+(Skills!X20/10)*(R245/1000)/100,1)</f>
        <v>1</v>
      </c>
      <c r="O262">
        <v>0</v>
      </c>
      <c r="P262">
        <f>IF(B281=0,0,O262/B281)</f>
        <v>0</v>
      </c>
      <c r="S262">
        <v>0</v>
      </c>
      <c r="V262">
        <f>IFERROR(1/IF(Inputs!$B$4="pvp",15,MAX(0.1,Skills!E20-IF(Skills!F20=TRUE,Inputs!$B$31,0))),0)</f>
        <v>10</v>
      </c>
    </row>
    <row r="263" spans="1:22" x14ac:dyDescent="0.2">
      <c r="A263" t="str">
        <f>Skills!A21</f>
        <v>MAGIC_CRITICAL_DAMAGE</v>
      </c>
      <c r="B263" t="str">
        <f>Skills!B21</f>
        <v>Magic Critical (Crit Damage)</v>
      </c>
      <c r="C263" t="b">
        <f>TRUE</f>
        <v>1</v>
      </c>
      <c r="D263">
        <f>IF(Skills!C21=1,60+Inputs!$B$24+Inputs!$B$28,IF(Skills!C21=2,90+Inputs!$B$25+Inputs!$B$28,IF(Skills!C21=3,120+Inputs!$B$26+Inputs!$B$28,MAX(0,(Inputs!$B$3-100)*3)+Inputs!$B$27+Inputs!$B$28)))</f>
        <v>184</v>
      </c>
      <c r="E263">
        <f>INDEX(FactorTable!$B$2:$Y$301, MATCH(ROUND(MIN(300,MAX(1,D263)),0), FactorTable!$A$2:$A$301,0), Skills!M21+1)</f>
        <v>1552</v>
      </c>
      <c r="F263">
        <f>IF(Skills!N21=TRUE,(Skills!L21/10)*(E263/1000),Skills!L21/10)+Skills!O21</f>
        <v>18.624000000000002</v>
      </c>
      <c r="G263">
        <f>Calc!G21</f>
        <v>1</v>
      </c>
      <c r="H263">
        <f>Calc!H21</f>
        <v>1</v>
      </c>
      <c r="I263">
        <f>IF(Skills!X21&lt;&gt;"",1+(Skills!X21/10)*(R245/1000)/100,1)</f>
        <v>1</v>
      </c>
      <c r="O263">
        <v>0</v>
      </c>
      <c r="P263">
        <f>IF(B281=0,0,O263/B281)</f>
        <v>0</v>
      </c>
      <c r="S263">
        <v>0</v>
      </c>
      <c r="V263">
        <f>IFERROR(1/IF(Inputs!$B$4="pvp",15,MAX(0.1,Skills!E21-IF(Skills!F21=TRUE,Inputs!$B$31,0))),0)</f>
        <v>10</v>
      </c>
    </row>
    <row r="264" spans="1:22" x14ac:dyDescent="0.2">
      <c r="A264" t="str">
        <f>Skills!A22</f>
        <v>SPELL_MASTERY</v>
      </c>
      <c r="B264" t="str">
        <f>Skills!B22</f>
        <v>Spell Mastery</v>
      </c>
      <c r="C264" t="b">
        <f>TRUE</f>
        <v>1</v>
      </c>
      <c r="D264">
        <f>IF(Skills!C22=1,60+Inputs!$B$24+Inputs!$B$28,IF(Skills!C22=2,90+Inputs!$B$25+Inputs!$B$28,IF(Skills!C22=3,120+Inputs!$B$26+Inputs!$B$28,MAX(0,(Inputs!$B$3-100)*3)+Inputs!$B$27+Inputs!$B$28)))</f>
        <v>164</v>
      </c>
      <c r="E264">
        <f>INDEX(FactorTable!$B$2:$Y$301, MATCH(ROUND(MIN(300,MAX(1,D264)),0), FactorTable!$A$2:$A$301,0), Skills!M22+1)</f>
        <v>1492</v>
      </c>
      <c r="F264">
        <f>IF(Skills!N22=TRUE,(Skills!L22/10)*(E264/1000),Skills!L22/10)+Skills!O22</f>
        <v>22.38</v>
      </c>
      <c r="G264">
        <f>Calc!G22</f>
        <v>1</v>
      </c>
      <c r="H264">
        <f>Calc!H22</f>
        <v>1</v>
      </c>
      <c r="I264">
        <f>IF(Skills!X22&lt;&gt;"",1+(Skills!X22/10)*(R245/1000)/100,1)</f>
        <v>1</v>
      </c>
      <c r="O264">
        <v>0</v>
      </c>
      <c r="P264">
        <f>IF(B281=0,0,O264/B281)</f>
        <v>0</v>
      </c>
      <c r="S264">
        <v>0</v>
      </c>
      <c r="V264">
        <f>IFERROR(1/IF(Inputs!$B$4="pvp",15,MAX(0.1,Skills!E22-IF(Skills!F22=TRUE,Inputs!$B$31,0))),0)</f>
        <v>10</v>
      </c>
    </row>
    <row r="265" spans="1:22" x14ac:dyDescent="0.2">
      <c r="A265" t="str">
        <f>Skills!A23</f>
        <v>ELEMENT_AMPLIFICATION</v>
      </c>
      <c r="B265" t="str">
        <f>Skills!B23</f>
        <v>Element Amplification</v>
      </c>
      <c r="C265" t="b">
        <f>TRUE</f>
        <v>1</v>
      </c>
      <c r="D265">
        <f>IF(Skills!C23=1,60+Inputs!$B$24+Inputs!$B$28,IF(Skills!C23=2,90+Inputs!$B$25+Inputs!$B$28,IF(Skills!C23=3,120+Inputs!$B$26+Inputs!$B$28,MAX(0,(Inputs!$B$3-100)*3)+Inputs!$B$27+Inputs!$B$28)))</f>
        <v>172</v>
      </c>
      <c r="E265">
        <f>INDEX(FactorTable!$B$2:$Y$301, MATCH(ROUND(MIN(300,MAX(1,D265)),0), FactorTable!$A$2:$A$301,0), Skills!M23+1)</f>
        <v>1516</v>
      </c>
      <c r="F265">
        <f>IF(Skills!N23=TRUE,(Skills!L23/10)*(E265/1000),Skills!L23/10)+Skills!O23</f>
        <v>22.740000000000002</v>
      </c>
      <c r="G265">
        <f>Calc!G23</f>
        <v>1</v>
      </c>
      <c r="H265">
        <f>Calc!H23</f>
        <v>1</v>
      </c>
      <c r="I265">
        <f>IF(Skills!X23&lt;&gt;"",1+(Skills!X23/10)*(R245/1000)/100,1)</f>
        <v>1</v>
      </c>
      <c r="O265">
        <v>0</v>
      </c>
      <c r="P265">
        <f>IF(B281=0,0,O265/B281)</f>
        <v>0</v>
      </c>
      <c r="S265">
        <v>0</v>
      </c>
      <c r="V265">
        <f>IFERROR(1/IF(Inputs!$B$4="pvp",15,MAX(0.1,Skills!E23-IF(Skills!F23=TRUE,Inputs!$B$31,0))),0)</f>
        <v>10</v>
      </c>
    </row>
    <row r="266" spans="1:22" x14ac:dyDescent="0.2">
      <c r="A266" t="str">
        <f>Skills!A24</f>
        <v>IFRIT</v>
      </c>
      <c r="B266" t="str">
        <f>Skills!B24</f>
        <v>Ifrit</v>
      </c>
      <c r="C266" t="b">
        <f>Inputs!$B$3&gt;=115</f>
        <v>0</v>
      </c>
      <c r="D266">
        <f>IF(Skills!C24=1,60+Inputs!$B$24+Inputs!$B$28,IF(Skills!C24=2,90+Inputs!$B$25+Inputs!$B$28,IF(Skills!C24=3,120+Inputs!$B$26+Inputs!$B$28,MAX(0,(Inputs!$B$3-100)*3)+Inputs!$B$27+Inputs!$B$28)))</f>
        <v>172</v>
      </c>
      <c r="E266">
        <f>INDEX(FactorTable!$B$2:$Y$301, MATCH(ROUND(MIN(300,MAX(1,D266)),0), FactorTable!$A$2:$A$301,0), Skills!M24+1)</f>
        <v>1860</v>
      </c>
      <c r="F266">
        <f>IF(Skills!N24=TRUE,(Skills!L24/10)*(E266/1000),Skills!L24/10)+Skills!O24</f>
        <v>6510</v>
      </c>
      <c r="G266">
        <f>Calc!G24</f>
        <v>7.5</v>
      </c>
      <c r="H266">
        <f>Calc!H24</f>
        <v>1</v>
      </c>
      <c r="I266">
        <f>IF(Skills!X24&lt;&gt;"",1+(Skills!X24/10)*(R245/1000)/100,1)</f>
        <v>1</v>
      </c>
      <c r="J266">
        <f>((Inputs!$B$5*(1+Inputs!$B$6/100))+((Inputs!$B$11*(1+Inputs!$B$12/100))-(Inputs!$B$11*(1+Inputs!$B$12/100)))*(1+Inputs!$B$6/100))*(F266/100)</f>
        <v>16263999540.532799</v>
      </c>
      <c r="K266">
        <f>J266*(1+((Inputs!$B$11*(1+Inputs!$B$12/100))*0.01+Inputs!$B$13*0.0025)/100)*(1+Inputs!$B$14/100)*(1+IF(Inputs!$B$4="pvp",0,(1-Summary!$B$56)*(Inputs!$B$19+Skills!P24)+Summary!$B$56*((Inputs!$B$20+1)+Skills!Q24))/100)*(1+Inputs!$B$15/100)*(5000/(6000+Inputs!$B$7*(1-Inputs!$B$18/100)))*(1+Inputs!$B$23/100)*(1+F265/100)*(1+IF(Inputs!$B$3&gt;=120,F268,0)/100)^5*(1+(IF(Skills!A24="BASIC_ATTACK",Inputs!$B$16,Inputs!$B$17+IF(Inputs!$B$3&gt;=125,F269*5,0)))/100)*(B272*B273*B274*I266)</f>
        <v>123958049273297.3</v>
      </c>
      <c r="L266">
        <f>K266*(MIN(Inputs!$B$21+(F264-Calc!F22),Inputs!$B$22)/100+Inputs!$B$22/100)/2</f>
        <v>334624754013266</v>
      </c>
      <c r="M266">
        <f>L266*(1+(Inputs!$B$9+(F263-Calc!F21))/100)</f>
        <v>1402412344069598</v>
      </c>
      <c r="N266">
        <f>L266*(1-MIN(Inputs!$B$8+(F262-Calc!F20),100)/100)+M266*(MIN(Inputs!$B$8+(F262-Calc!F20),100)/100)</f>
        <v>1402412344069598</v>
      </c>
      <c r="O266">
        <f>IF(C266,H266*N266*IF(AND(Inputs!$B$4&lt;&gt;"pvp",Inputs!$B$35&gt;0),((Skills!G24*((S266-1)*IF(Skills!H24&gt;0,Skills!I24/Skills!H24,1)+IF(Skills!H24&gt;0,MIN(Skills!I24,MAX(0,Inputs!$B$35-((S266-1)*IF(Inputs!$B$4="pvp",15,MAX(0.1,Skills!E24-IF(Skills!F24=TRUE,Inputs!$B$31,0))))))/Skills!H24,1)))/Inputs!$B$35),G266*V266)*(1+IF(Inputs!$B$3&gt;=130,0.2*(Skills!I16/Skills!E15+IF(Inputs!$B$3&gt;=126,0.05*(B278+V255+(H256*B279)/(1+Skills!H14*H256*B279)+V266),0)*Skills!I16),0))*IF(Inputs!$B$4="pvp",1,(1-Summary!$B$56)*(1)+Summary!$B$56*(MIN(Skills!R24,Inputs!$B$37))),0)</f>
        <v>0</v>
      </c>
      <c r="P266">
        <f>IF(B281=0,0,O266/B281)</f>
        <v>0</v>
      </c>
      <c r="S266">
        <f>IF(AND(Inputs!$B$4&lt;&gt;"pvp",Inputs!$B$35&gt;0),(INT(Inputs!$B$35/IF(Inputs!$B$4="pvp",15,MAX(0.1,Skills!E24-IF(Skills!F24=TRUE,Inputs!$B$31,0))))+1),0)</f>
        <v>0</v>
      </c>
      <c r="V266">
        <f>IFERROR(1/IF(Inputs!$B$4="pvp",15,MAX(0.1,Skills!E24-IF(Skills!F24=TRUE,Inputs!$B$31,0))),0)</f>
        <v>1.2500000000000001E-2</v>
      </c>
    </row>
    <row r="267" spans="1:22" x14ac:dyDescent="0.2">
      <c r="A267" t="str">
        <f>Skills!A25</f>
        <v>BUFF_MASTERY</v>
      </c>
      <c r="B267" t="str">
        <f>Skills!B25</f>
        <v>Buff Mastery</v>
      </c>
      <c r="C267" t="b">
        <f>Inputs!$B$3&gt;=117</f>
        <v>0</v>
      </c>
      <c r="D267">
        <f>IF(Skills!C25=1,60+Inputs!$B$24+Inputs!$B$28,IF(Skills!C25=2,90+Inputs!$B$25+Inputs!$B$28,IF(Skills!C25=3,120+Inputs!$B$26+Inputs!$B$28,MAX(0,(Inputs!$B$3-100)*3)+Inputs!$B$27+Inputs!$B$28)))</f>
        <v>172</v>
      </c>
      <c r="E267">
        <f>INDEX(FactorTable!$B$2:$Y$301, MATCH(ROUND(MIN(300,MAX(1,D267)),0), FactorTable!$A$2:$A$301,0), Skills!M25+1)</f>
        <v>1516</v>
      </c>
      <c r="F267">
        <f>IF(Skills!N25=TRUE,(Skills!L25/10)*(E267/1000),Skills!L25/10)+Skills!O25</f>
        <v>15.16</v>
      </c>
      <c r="G267">
        <f>Calc!G25</f>
        <v>1</v>
      </c>
      <c r="H267">
        <f>Calc!H25</f>
        <v>1</v>
      </c>
      <c r="I267">
        <f>IF(Skills!X25&lt;&gt;"",1+(Skills!X25/10)*(R245/1000)/100,1)</f>
        <v>1</v>
      </c>
      <c r="O267">
        <v>0</v>
      </c>
      <c r="P267">
        <f>IF(B281=0,0,O267/B281)</f>
        <v>0</v>
      </c>
      <c r="S267">
        <v>0</v>
      </c>
      <c r="V267">
        <f>IFERROR(1/IF(Inputs!$B$4="pvp",15,MAX(0.1,Skills!E25-IF(Skills!F25=TRUE,Inputs!$B$31,0))),0)</f>
        <v>10</v>
      </c>
    </row>
    <row r="268" spans="1:22" x14ac:dyDescent="0.2">
      <c r="A268" t="str">
        <f>Skills!A26</f>
        <v>ARCANE_AIM</v>
      </c>
      <c r="B268" t="str">
        <f>Skills!B26</f>
        <v>Arcane Aim</v>
      </c>
      <c r="C268" t="b">
        <f>Inputs!$B$3&gt;=120</f>
        <v>0</v>
      </c>
      <c r="D268">
        <f>IF(Skills!C26=1,60+Inputs!$B$24+Inputs!$B$28,IF(Skills!C26=2,90+Inputs!$B$25+Inputs!$B$28,IF(Skills!C26=3,120+Inputs!$B$26+Inputs!$B$28,MAX(0,(Inputs!$B$3-100)*3)+Inputs!$B$27+Inputs!$B$28)))</f>
        <v>172</v>
      </c>
      <c r="E268">
        <f>INDEX(FactorTable!$B$2:$Y$301, MATCH(ROUND(MIN(300,MAX(1,D268)),0), FactorTable!$A$2:$A$301,0), Skills!M26+1)</f>
        <v>1516</v>
      </c>
      <c r="F268">
        <f>IF(Skills!N26=TRUE,(Skills!L26/10)*(E268/1000),Skills!L26/10)+Skills!O26</f>
        <v>4.548</v>
      </c>
      <c r="G268">
        <f>Calc!G26</f>
        <v>1</v>
      </c>
      <c r="H268">
        <f>Calc!H26</f>
        <v>1</v>
      </c>
      <c r="I268">
        <f>IF(Skills!X26&lt;&gt;"",1+(Skills!X26/10)*(R245/1000)/100,1)</f>
        <v>1</v>
      </c>
      <c r="O268">
        <v>0</v>
      </c>
      <c r="P268">
        <f>IF(B281=0,0,O268/B281)</f>
        <v>0</v>
      </c>
      <c r="S268">
        <v>0</v>
      </c>
      <c r="V268">
        <f>IFERROR(1/IF(Inputs!$B$4="pvp",15,MAX(0.1,Skills!E26-IF(Skills!F26=TRUE,Inputs!$B$31,0))),0)</f>
        <v>10</v>
      </c>
    </row>
    <row r="269" spans="1:22" x14ac:dyDescent="0.2">
      <c r="A269" t="str">
        <f>Skills!A27</f>
        <v>FERVENT_DRAIN</v>
      </c>
      <c r="B269" t="str">
        <f>Skills!B27</f>
        <v>Fervent Drain</v>
      </c>
      <c r="C269" t="b">
        <f>Inputs!$B$3&gt;=125</f>
        <v>0</v>
      </c>
      <c r="D269">
        <f>IF(Skills!C27=1,60+Inputs!$B$24+Inputs!$B$28,IF(Skills!C27=2,90+Inputs!$B$25+Inputs!$B$28,IF(Skills!C27=3,120+Inputs!$B$26+Inputs!$B$28,MAX(0,(Inputs!$B$3-100)*3)+Inputs!$B$27+Inputs!$B$28)))</f>
        <v>172</v>
      </c>
      <c r="E269">
        <f>INDEX(FactorTable!$B$2:$Y$301, MATCH(ROUND(MIN(300,MAX(1,D269)),0), FactorTable!$A$2:$A$301,0), Skills!M27+1)</f>
        <v>1516</v>
      </c>
      <c r="F269">
        <f>IF(Skills!N27=TRUE,(Skills!L27/10)*(E269/1000),Skills!L27/10)+Skills!O27</f>
        <v>6.0640000000000001</v>
      </c>
      <c r="G269">
        <f>Calc!G27</f>
        <v>1</v>
      </c>
      <c r="H269">
        <f>Calc!H27</f>
        <v>1</v>
      </c>
      <c r="I269">
        <f>IF(Skills!X27&lt;&gt;"",1+(Skills!X27/10)*(R245/1000)/100,1)</f>
        <v>1</v>
      </c>
      <c r="O269">
        <v>0</v>
      </c>
      <c r="P269">
        <f>IF(B281=0,0,O269/B281)</f>
        <v>0</v>
      </c>
      <c r="S269">
        <v>0</v>
      </c>
      <c r="V269">
        <f>IFERROR(1/IF(Inputs!$B$4="pvp",15,MAX(0.1,Skills!E27-IF(Skills!F27=TRUE,Inputs!$B$31,0))),0)</f>
        <v>10</v>
      </c>
    </row>
    <row r="270" spans="1:22" x14ac:dyDescent="0.2">
      <c r="A270" t="str">
        <f>Skills!A28</f>
        <v>FLAME_HAZE_FOG</v>
      </c>
      <c r="B270" t="str">
        <f>Skills!B28</f>
        <v>Flame Haze (poison fog DoT)</v>
      </c>
      <c r="C270" t="b">
        <f>Inputs!$B$3&gt;=118</f>
        <v>0</v>
      </c>
      <c r="D270">
        <f>IF(Skills!C28=1,60+Inputs!$B$24+Inputs!$B$28,IF(Skills!C28=2,90+Inputs!$B$25+Inputs!$B$28,IF(Skills!C28=3,120+Inputs!$B$26+Inputs!$B$28,MAX(0,(Inputs!$B$3-100)*3)+Inputs!$B$27+Inputs!$B$28)))</f>
        <v>172</v>
      </c>
      <c r="E270">
        <f>INDEX(FactorTable!$B$2:$Y$301, MATCH(ROUND(MIN(300,MAX(1,D270)),0), FactorTable!$A$2:$A$301,0), Skills!M28+1)</f>
        <v>1860</v>
      </c>
      <c r="F270">
        <f>IF(Skills!N28=TRUE,(Skills!L28/10)*(E270/1000),Skills!L28/10)+Skills!O28</f>
        <v>130.20000000000002</v>
      </c>
      <c r="G270">
        <f>Calc!G28</f>
        <v>50</v>
      </c>
      <c r="H270">
        <f>Calc!H28</f>
        <v>1</v>
      </c>
      <c r="I270">
        <f>IF(Skills!X28&lt;&gt;"",1+(Skills!X28/10)*(R245/1000)/100,1)</f>
        <v>1</v>
      </c>
      <c r="J270">
        <f>((Inputs!$B$5*(1+Inputs!$B$6/100))+((Inputs!$B$11*(1+Inputs!$B$12/100))-(Inputs!$B$11*(1+Inputs!$B$12/100)))*(1+Inputs!$B$6/100))*(F270/100)</f>
        <v>325279990.81065607</v>
      </c>
      <c r="K270">
        <f>J270*(1+((Inputs!$B$11*(1+Inputs!$B$12/100))*0.01+Inputs!$B$13*0.0025)/100)*(1+Inputs!$B$14/100)*(1+IF(Inputs!$B$4="pvp",0,(1-Summary!$B$56)*(Inputs!$B$19+Skills!P28)+Summary!$B$56*((Inputs!$B$20+1)+Skills!Q28))/100)*(1+Inputs!$B$15/100)*(5000/(6000+Inputs!$B$7*(1-Inputs!$B$18/100)))*(1+Inputs!$B$23/100)*(1+F265/100)*(1+IF(Inputs!$B$3&gt;=120,F268,0)/100)^5*(1+(IF(Skills!A28="BASIC_ATTACK",Inputs!$B$16,Inputs!$B$17+IF(Inputs!$B$3&gt;=125,F269*5,0)))/100)*(B272*B273*B274*I270)</f>
        <v>2479160985465.9473</v>
      </c>
      <c r="L270">
        <f>K270*(MIN(Inputs!$B$21+(F264-Calc!F22),Inputs!$B$22)/100+Inputs!$B$22/100)/2</f>
        <v>6692495080265.3232</v>
      </c>
      <c r="M270">
        <f>L270*(1+(Inputs!$B$9+(F263-Calc!F21))/100)</f>
        <v>28048246881391.973</v>
      </c>
      <c r="N270">
        <f>L270*(1-MIN(Inputs!$B$8+(F262-Calc!F20),100)/100)+M270*(MIN(Inputs!$B$8+(F262-Calc!F20),100)/100)</f>
        <v>28048246881391.973</v>
      </c>
      <c r="O270">
        <f>IF(C270,H270*N270*IF(AND(Inputs!$B$4&lt;&gt;"pvp",Inputs!$B$35&gt;0),((Skills!G28*((S270-1)*IF(Skills!H28&gt;0,Skills!I28/Skills!H28,1)+IF(Skills!H28&gt;0,MIN(Skills!I28,MAX(0,Inputs!$B$35-((S270-1)*IF(Inputs!$B$4="pvp",15,MAX(0.1,Skills!E28-IF(Skills!F28=TRUE,Inputs!$B$31,0))))))/Skills!H28,1)))/Inputs!$B$35),G270*V270)*IF(Inputs!$B$4="pvp",1,(1-Summary!$B$56)*(1)+Summary!$B$56*(MIN(Skills!R28,Inputs!$B$37))),0)</f>
        <v>0</v>
      </c>
      <c r="P270">
        <f>IF(B281=0,0,O270/B281)</f>
        <v>0</v>
      </c>
      <c r="S270">
        <f>IF(AND(Inputs!$B$4&lt;&gt;"pvp",Inputs!$B$35&gt;0),(INT(Inputs!$B$35/IF(Inputs!$B$4="pvp",15,MAX(0.1,Skills!E28-IF(Skills!F28=TRUE,Inputs!$B$31,0))))+1),0)</f>
        <v>0</v>
      </c>
      <c r="V270">
        <f>IFERROR(1/IF(Inputs!$B$4="pvp",15,MAX(0.1,Skills!E28-IF(Skills!F28=TRUE,Inputs!$B$31,0))),0)</f>
        <v>0.04</v>
      </c>
    </row>
    <row r="272" spans="1:22" x14ac:dyDescent="0.2">
      <c r="A272" t="s">
        <v>222</v>
      </c>
      <c r="B272">
        <f>1+(F253*Skills!Z11)/100</f>
        <v>1.25</v>
      </c>
    </row>
    <row r="273" spans="1:22" x14ac:dyDescent="0.2">
      <c r="A273" t="s">
        <v>223</v>
      </c>
      <c r="B273">
        <f>1+F254/100</f>
        <v>1.18624</v>
      </c>
    </row>
    <row r="274" spans="1:22" x14ac:dyDescent="0.2">
      <c r="A274" t="s">
        <v>224</v>
      </c>
      <c r="B274">
        <f>(1+(F248*IF(AND(Inputs!$B$4&lt;&gt;"pvp",Inputs!$B$35&gt;0),(((S248-1)*(Skills!T6*(1+(Inputs!$B$33+IF(Inputs!$B$3&gt;=117,F267,0))/100))+MIN((Skills!T6*(1+(Inputs!$B$33+IF(Inputs!$B$3&gt;=117,F267,0))/100)),MAX(0,Inputs!$B$35-((S248-1)*Skills!E6))))/Inputs!$B$35),IF(Inputs!$B$4="pvp",MIN((Skills!T6*(1+(Inputs!$B$33+IF(Inputs!$B$3&gt;=117,F267,0))/100)),15)/15,(Skills!T6*(1+(Inputs!$B$33+IF(Inputs!$B$3&gt;=117,F267,0))/100))/Skills!E6))+F259*IF(AND(Inputs!$B$4&lt;&gt;"pvp",Inputs!$B$35&gt;0),(((S259-1)*(Skills!T17*(1+(Inputs!$B$33+IF(Inputs!$B$3&gt;=117,F267,0))/100))+MIN((Skills!T17*(1+(Inputs!$B$33+IF(Inputs!$B$3&gt;=117,F267,0))/100)),MAX(0,Inputs!$B$35-((S259-1)*Skills!E17))))/Inputs!$B$35),IF(Inputs!$B$4="pvp",MIN((Skills!T17*(1+(Inputs!$B$33+IF(Inputs!$B$3&gt;=117,F267,0))/100)),15)/15,(Skills!T17*(1+(Inputs!$B$33+IF(Inputs!$B$3&gt;=117,F267,0))/100))/Skills!E17)))/100)*IF(C261=TRUE,(1+F261*IF(AND(Inputs!$B$4&lt;&gt;"pvp",Inputs!$B$35&gt;0),(((S261-1)*(Skills!T19*(1+(Inputs!$B$33+IF(Inputs!$B$3&gt;=117,F267,0))/100))+MIN((Skills!T19*(1+(Inputs!$B$33+IF(Inputs!$B$3&gt;=117,F267,0))/100)),MAX(0,Inputs!$B$35-((S261-1)*Skills!E19))))/Inputs!$B$35),IF(Inputs!$B$4="pvp",MIN((Skills!T19*(1+(Inputs!$B$33+IF(Inputs!$B$3&gt;=117,F267,0))/100)),15)/15,(Skills!T19*(1+(Inputs!$B$33+IF(Inputs!$B$3&gt;=117,F267,0))/100))/Skills!E19))/100),1)</f>
        <v>1.5603265106950857</v>
      </c>
    </row>
    <row r="275" spans="1:22" x14ac:dyDescent="0.2">
      <c r="A275" t="s">
        <v>225</v>
      </c>
      <c r="B275">
        <f>F260*IF(AND(Inputs!$B$4&lt;&gt;"pvp",Inputs!$B$35&gt;0),(((S260-1)*(Skills!T18*(1+(Inputs!$B$33+IF(Inputs!$B$3&gt;=117,F267,0))/100))+MIN((Skills!T18*(1+(Inputs!$B$33+IF(Inputs!$B$3&gt;=117,F267,0))/100)),MAX(0,Inputs!$B$35-((S260-1)*Skills!E18))))/Inputs!$B$35),IF(Inputs!$B$4="pvp",MIN((Skills!T18*(1+(Inputs!$B$33+IF(Inputs!$B$3&gt;=117,F267,0))/100)),15)/15,(Skills!T18*(1+(Inputs!$B$33+IF(Inputs!$B$3&gt;=117,F267,0))/100))/Skills!E18))</f>
        <v>3.75</v>
      </c>
    </row>
    <row r="276" spans="1:22" x14ac:dyDescent="0.2">
      <c r="A276" t="s">
        <v>253</v>
      </c>
      <c r="B276">
        <f>1+MIN(150,150*(1-(1-Inputs!$B$10/150)*(1-B275/150)))/100</f>
        <v>1.6371249999999999</v>
      </c>
    </row>
    <row r="277" spans="1:22" x14ac:dyDescent="0.2">
      <c r="A277" t="s">
        <v>254</v>
      </c>
      <c r="B277">
        <f>IF(AND(Inputs!$B$4&lt;&gt;"pvp",Inputs!$B$35&gt;0),SUMPRODUCT((Skills!F2:F28=TRUE)*(C244:C270=TRUE)*S244:S270)/Inputs!$B$35,SUMPRODUCT((Skills!F2:F28=TRUE)*(C244:C270=TRUE)*V244:V270))</f>
        <v>0.33466433037861604</v>
      </c>
    </row>
    <row r="278" spans="1:22" x14ac:dyDescent="0.2">
      <c r="A278" t="s">
        <v>228</v>
      </c>
      <c r="B278">
        <f>MAX(0,B276-B277)</f>
        <v>1.3024606696213838</v>
      </c>
    </row>
    <row r="279" spans="1:22" x14ac:dyDescent="0.2">
      <c r="A279" t="s">
        <v>255</v>
      </c>
      <c r="B279">
        <f>IF(AND(Inputs!$B$4&lt;&gt;"pvp",Inputs!$B$35&gt;0),SUMPRODUCT((Skills!V2:V28=TRUE)*(C244:C270=TRUE)*S244:S270*Skills!W2:W28)/Inputs!$B$35,SUMPRODUCT((Skills!V2:V28=TRUE)*(C244:C270=TRUE)*V244:V270*Skills!W2:W28))+B278</f>
        <v>1.5297416426166426</v>
      </c>
    </row>
    <row r="281" spans="1:22" x14ac:dyDescent="0.2">
      <c r="A281" s="5" t="s">
        <v>208</v>
      </c>
      <c r="B281" s="5">
        <f>SUM(O244:O270)</f>
        <v>8354498889872887</v>
      </c>
    </row>
    <row r="284" spans="1:22" x14ac:dyDescent="0.2">
      <c r="A284" s="5" t="s">
        <v>261</v>
      </c>
    </row>
    <row r="285" spans="1:22" x14ac:dyDescent="0.2">
      <c r="A285" s="8" t="s">
        <v>74</v>
      </c>
      <c r="B285" s="8" t="s">
        <v>75</v>
      </c>
      <c r="C285" s="8" t="s">
        <v>190</v>
      </c>
      <c r="D285" s="8" t="s">
        <v>191</v>
      </c>
      <c r="E285" s="8" t="s">
        <v>192</v>
      </c>
      <c r="F285" s="8" t="s">
        <v>193</v>
      </c>
      <c r="G285" s="8" t="s">
        <v>194</v>
      </c>
      <c r="H285" s="8" t="s">
        <v>195</v>
      </c>
      <c r="I285" s="8" t="s">
        <v>196</v>
      </c>
      <c r="J285" s="8" t="s">
        <v>197</v>
      </c>
      <c r="K285" s="8" t="s">
        <v>198</v>
      </c>
      <c r="L285" s="8" t="s">
        <v>199</v>
      </c>
      <c r="M285" s="8" t="s">
        <v>200</v>
      </c>
      <c r="N285" s="8" t="s">
        <v>201</v>
      </c>
      <c r="O285" s="8" t="s">
        <v>202</v>
      </c>
      <c r="P285" s="8" t="s">
        <v>203</v>
      </c>
      <c r="R285" t="s">
        <v>252</v>
      </c>
    </row>
    <row r="286" spans="1:22" x14ac:dyDescent="0.2">
      <c r="A286" t="str">
        <f>Skills!A2</f>
        <v>BASIC_ATTACK</v>
      </c>
      <c r="B286" t="str">
        <f>Skills!B2</f>
        <v>Basic Attack</v>
      </c>
      <c r="C286" t="b">
        <f>TRUE</f>
        <v>1</v>
      </c>
      <c r="F286">
        <f>T288+Skills!O2</f>
        <v>510.52</v>
      </c>
      <c r="G286">
        <f>Calc!G2</f>
        <v>5</v>
      </c>
      <c r="H286">
        <f>Calc!H2</f>
        <v>1</v>
      </c>
      <c r="I286">
        <f>IF(Skills!X2&lt;&gt;"",1+(Skills!X2/10)*(R287/1000)/100,1)</f>
        <v>1</v>
      </c>
      <c r="J286">
        <f>((Inputs!$B$5*(1+Inputs!$B$6/100))+((Inputs!$B$11*(1+Inputs!$B$12/100))-(Inputs!$B$11*(1+Inputs!$B$12/100)))*(1+Inputs!$B$6/100))*(F286/100)</f>
        <v>1275437334.1678655</v>
      </c>
      <c r="K286">
        <f>J286*(1+((Inputs!$B$11*(1+Inputs!$B$12/100))*0.01+Inputs!$B$13*0.0025)/100)*(1+Inputs!$B$14/100)*(1+IF(Inputs!$B$4="pvp",0,(1-Summary!$B$56)*(Inputs!$B$19+Skills!P2)+Summary!$B$56*(Inputs!$B$20+Skills!Q2))/100)*(1+Inputs!$B$15/100)*(5000/(6000+Inputs!$B$7*(1-Inputs!$B$18/100)))*(1+((((1+Inputs!$B$23/100)*(1.01))-1)*100)/100)*(1+F307/100)*(1+IF(Inputs!$B$3&gt;=120,F310,0)/100)^5*(1+(IF(Skills!A2="BASIC_ATTACK",Inputs!$B$16,Inputs!$B$17+IF(Inputs!$B$3&gt;=125,F311*5,0)))/100)*(B314*B315*B316*I286)</f>
        <v>7030562093205.877</v>
      </c>
      <c r="L286">
        <f>K286*(MIN(Inputs!$B$21+(F306-Calc!F22),Inputs!$B$22)/100+Inputs!$B$22/100)/2</f>
        <v>18979002370609.262</v>
      </c>
      <c r="M286">
        <f>L286*(1+(Inputs!$B$9+(F305-Calc!F21))/100)</f>
        <v>79540998935223.422</v>
      </c>
      <c r="N286">
        <f>L286*(1-MIN(Inputs!$B$8+(F304-Calc!F20),100)/100)+M286*(MIN(Inputs!$B$8+(F304-Calc!F20),100)/100)</f>
        <v>79540998935223.422</v>
      </c>
      <c r="O286">
        <f>Skills!G2*N286*B320*IF(Inputs!$B$4="pvp",1,(1-Summary!$B$56)*(1)+Summary!$B$56*(MIN((6+Inputs!$B$32+IF(Inputs!$B$3&gt;=136,1,0)),Inputs!$B$37)))</f>
        <v>3936762863949945.5</v>
      </c>
      <c r="P286">
        <f>IF(B323=0,0,O286/B323)</f>
        <v>0.46738363090508672</v>
      </c>
      <c r="R286">
        <f>MAX(0,(Inputs!$B$3-100)*3)+Inputs!$B$27+Inputs!$B$28</f>
        <v>172</v>
      </c>
      <c r="S286">
        <v>0</v>
      </c>
      <c r="T286">
        <f>MAX(0,(Inputs!$B$3-100)*3)+Inputs!$B$27+Inputs!$B$28</f>
        <v>172</v>
      </c>
      <c r="V286">
        <f>IFERROR(1/IF(Inputs!$B$4="pvp",15,MAX(0.1,Skills!E2-IF(Skills!F2=TRUE,Inputs!$B$31,0))),0)</f>
        <v>10</v>
      </c>
    </row>
    <row r="287" spans="1:22" x14ac:dyDescent="0.2">
      <c r="A287" t="str">
        <f>Skills!A3</f>
        <v>IGNITE</v>
      </c>
      <c r="B287" t="str">
        <f>Skills!B3</f>
        <v>Ignite</v>
      </c>
      <c r="C287" t="b">
        <f>TRUE</f>
        <v>1</v>
      </c>
      <c r="D287">
        <f>IF(Skills!C3=1,60+Inputs!$B$24+Inputs!$B$28,IF(Skills!C3=2,90+Inputs!$B$25+Inputs!$B$28,IF(Skills!C3=3,120+Inputs!$B$26+Inputs!$B$28,MAX(0,(Inputs!$B$3-100)*3)+Inputs!$B$27+Inputs!$B$28)))</f>
        <v>164</v>
      </c>
      <c r="E287">
        <f>INDEX(FactorTable!$B$2:$Y$301, MATCH(ROUND(MIN(300,MAX(1,D287)),0), FactorTable!$A$2:$A$301,0), Skills!M3+1)</f>
        <v>1656</v>
      </c>
      <c r="F287">
        <f>IF(Skills!N3=TRUE,(Skills!L3/10)*(E287/1000),Skills!L3/10)+Skills!O3</f>
        <v>121.52799999999999</v>
      </c>
      <c r="G287">
        <f>Calc!G3</f>
        <v>3</v>
      </c>
      <c r="H287">
        <f>Calc!H3</f>
        <v>1</v>
      </c>
      <c r="I287">
        <f>IF(Skills!X3&lt;&gt;"",1+(Skills!X3/10)*(R287/1000)/100,1)</f>
        <v>4.76</v>
      </c>
      <c r="J287">
        <f>((Inputs!$B$5*(1+Inputs!$B$6/100))+((Inputs!$B$11*(1+Inputs!$B$12/100))-(Inputs!$B$11*(1+Inputs!$B$12/100)))*(1+Inputs!$B$6/100))*(F287/100)</f>
        <v>303614644.57171583</v>
      </c>
      <c r="K287">
        <f>J287*(1+((Inputs!$B$11*(1+Inputs!$B$12/100))*0.01+Inputs!$B$13*0.0025)/100)*(1+Inputs!$B$14/100)*(1+IF(Inputs!$B$4="pvp",0,(1-Summary!$B$56)*(Inputs!$B$19+Skills!P3)+Summary!$B$56*(Inputs!$B$20+Skills!Q3))/100)*(1+Inputs!$B$15/100)*(5000/(6000+Inputs!$B$7*(1-Inputs!$B$18/100)))*(1+((((1+Inputs!$B$23/100)*(1.01))-1)*100)/100)*(1+F307/100)*(1+IF(Inputs!$B$3&gt;=120,F310,0)/100)^5*(1+(IF(Skills!A3="BASIC_ATTACK",Inputs!$B$16,Inputs!$B$17+IF(Inputs!$B$3&gt;=125,F311*5,0)))/100)*(B314*B315*B316*I287)</f>
        <v>11104962138346.648</v>
      </c>
      <c r="L287">
        <f>K287*(MIN(Inputs!$B$21+(F306-Calc!F22),Inputs!$B$22)/100+Inputs!$B$22/100)/2</f>
        <v>29977845292466.773</v>
      </c>
      <c r="M287">
        <f>L287*(1+(Inputs!$B$9+(F305-Calc!F21))/100)</f>
        <v>125637149620728.27</v>
      </c>
      <c r="N287">
        <f>L287*(1-MIN(Inputs!$B$8+(F304-Calc!F20),100)/100)+M287*(MIN(Inputs!$B$8+(F304-Calc!F20),100)/100)</f>
        <v>125637149620728.27</v>
      </c>
      <c r="O287">
        <f>IF(C287,H287*N287*IF(AND(Inputs!$B$4&lt;&gt;"pvp",Inputs!$B$35&gt;0),((Skills!G3*((S287-1)*IF(Skills!H3&gt;0,Skills!I3/Skills!H3,1)+IF(Skills!H3&gt;0,MIN(Skills!I3,MAX(0,Inputs!$B$35-((S287-1)*IF(Inputs!$B$4="pvp",15,MAX(0.1,Skills!E3-IF(Skills!F3=TRUE,Inputs!$B$31,0))))))/Skills!H3,1)))/Inputs!$B$35),G287*V287)*IF(Inputs!$B$4="pvp",1,(1-Summary!$B$56)*(1)+Summary!$B$56*(MIN(Skills!R3,Inputs!$B$37))),0)</f>
        <v>829205187496806.5</v>
      </c>
      <c r="P287">
        <f>IF(B323=0,0,O287/B323)</f>
        <v>9.8445587070168594E-2</v>
      </c>
      <c r="R287">
        <f>INDEX(FactorTable!$B$2:$Y$301, MATCH(ROUND(MIN(300,MAX(1,R286)),0), FactorTable!$A$2:$A$301,0), 24)</f>
        <v>7520</v>
      </c>
      <c r="S287">
        <f>IF(AND(Inputs!$B$4&lt;&gt;"pvp",Inputs!$B$35&gt;0),(INT(Inputs!$B$35/IF(Inputs!$B$4="pvp",15,MAX(0.1,Skills!E3-IF(Skills!F3=TRUE,Inputs!$B$31,0))))+1),0)</f>
        <v>0</v>
      </c>
      <c r="T287">
        <f>INDEX(FactorTable!$B$2:$Y$301, MATCH(ROUND(MIN(300,MAX(1,T286)),0), FactorTable!$A$2:$A$301,0), 22)</f>
        <v>1688</v>
      </c>
      <c r="V287">
        <f>IFERROR(1/IF(Inputs!$B$4="pvp",15,MAX(0.1,Skills!E3-IF(Skills!F3=TRUE,Inputs!$B$31,0))),0)</f>
        <v>1</v>
      </c>
    </row>
    <row r="288" spans="1:22" x14ac:dyDescent="0.2">
      <c r="A288" t="str">
        <f>Skills!A4</f>
        <v>POISON_BREATH</v>
      </c>
      <c r="B288" t="str">
        <f>Skills!B4</f>
        <v>Poison Breath</v>
      </c>
      <c r="C288" t="b">
        <f>TRUE</f>
        <v>1</v>
      </c>
      <c r="D288">
        <f>IF(Skills!C4=1,60+Inputs!$B$24+Inputs!$B$28,IF(Skills!C4=2,90+Inputs!$B$25+Inputs!$B$28,IF(Skills!C4=3,120+Inputs!$B$26+Inputs!$B$28,MAX(0,(Inputs!$B$3-100)*3)+Inputs!$B$27+Inputs!$B$28)))</f>
        <v>164</v>
      </c>
      <c r="E288">
        <f>INDEX(FactorTable!$B$2:$Y$301, MATCH(ROUND(MIN(300,MAX(1,D288)),0), FactorTable!$A$2:$A$301,0), Skills!M4+1)</f>
        <v>1820</v>
      </c>
      <c r="F288">
        <f>IF(Skills!N4=TRUE,(Skills!L4/10)*(E288/1000),Skills!L4/10)+Skills!O4</f>
        <v>434</v>
      </c>
      <c r="G288">
        <f>Calc!G4</f>
        <v>3</v>
      </c>
      <c r="H288">
        <f>Calc!H4</f>
        <v>1</v>
      </c>
      <c r="I288">
        <f>IF(Skills!X4&lt;&gt;"",1+(Skills!X4/10)*(R287/1000)/100,1)</f>
        <v>7.0159999999999991</v>
      </c>
      <c r="J288">
        <f>((Inputs!$B$5*(1+Inputs!$B$6/100))+((Inputs!$B$11*(1+Inputs!$B$12/100))-(Inputs!$B$11*(1+Inputs!$B$12/100)))*(1+Inputs!$B$6/100))*(F288/100)</f>
        <v>1084266636.0355198</v>
      </c>
      <c r="K288">
        <f>J288*(1+((Inputs!$B$11*(1+Inputs!$B$12/100))*0.01+Inputs!$B$13*0.0025)/100)*(1+Inputs!$B$14/100)*(1+IF(Inputs!$B$4="pvp",0,(1-Summary!$B$56)*(Inputs!$B$19+Skills!P4)+Summary!$B$56*(Inputs!$B$20+Skills!Q4))/100)*(1+Inputs!$B$15/100)*(5000/(6000+Inputs!$B$7*(1-Inputs!$B$18/100)))*(1+((((1+Inputs!$B$23/100)*(1.01))-1)*100)/100)*(1+F307/100)*(1+IF(Inputs!$B$3&gt;=120,F310,0)/100)^5*(1+(IF(Skills!A4="BASIC_ATTACK",Inputs!$B$16,Inputs!$B$17+IF(Inputs!$B$3&gt;=125,F311*5,0)))/100)*(B314*B315*B316*I288)</f>
        <v>58453845670081.406</v>
      </c>
      <c r="L288">
        <f>K288*(MIN(Inputs!$B$21+(F306-Calc!F22),Inputs!$B$22)/100+Inputs!$B$22/100)/2</f>
        <v>157796156386384.72</v>
      </c>
      <c r="M288">
        <f>L288*(1+(Inputs!$B$9+(F305-Calc!F21))/100)</f>
        <v>661323691415338.5</v>
      </c>
      <c r="N288">
        <f>L288*(1-MIN(Inputs!$B$8+(F304-Calc!F20),100)/100)+M288*(MIN(Inputs!$B$8+(F304-Calc!F20),100)/100)</f>
        <v>661323691415338.5</v>
      </c>
      <c r="O288">
        <f>IF(C288,H288*N288*IF(AND(Inputs!$B$4&lt;&gt;"pvp",Inputs!$B$35&gt;0),((Skills!G4*((S288-1)*IF(Skills!H4&gt;0,Skills!I4/Skills!H4,1)+IF(Skills!H4&gt;0,MIN(Skills!I4,MAX(0,Inputs!$B$35-((S288-1)*IF(Inputs!$B$4="pvp",15,MAX(0.1,Skills!E4-IF(Skills!F4=TRUE,Inputs!$B$31,0))))))/Skills!H4,1)))/Inputs!$B$35),G288*V288)*IF(Inputs!$B$4="pvp",1,(1-Summary!$B$56)*(1)+Summary!$B$56*(MIN(Skills!R4,Inputs!$B$37))),0)</f>
        <v>440882460943558.94</v>
      </c>
      <c r="P288">
        <f>IF(B323=0,0,O288/B323)</f>
        <v>5.2342813758261122E-2</v>
      </c>
      <c r="S288">
        <f>IF(AND(Inputs!$B$4&lt;&gt;"pvp",Inputs!$B$35&gt;0),(INT(Inputs!$B$35/IF(Inputs!$B$4="pvp",15,MAX(0.1,Skills!E4-IF(Skills!F4=TRUE,Inputs!$B$31,0))))+1),0)</f>
        <v>0</v>
      </c>
      <c r="T288">
        <f>290*T287/1000</f>
        <v>489.52</v>
      </c>
      <c r="V288">
        <f>IFERROR(1/IF(Inputs!$B$4="pvp",15,MAX(0.1,Skills!E4-IF(Skills!F4=TRUE,Inputs!$B$31,0))),0)</f>
        <v>5.5555555555555552E-2</v>
      </c>
    </row>
    <row r="289" spans="1:22" x14ac:dyDescent="0.2">
      <c r="A289" t="str">
        <f>Skills!A5</f>
        <v>ELEMENTAL_DRAIN</v>
      </c>
      <c r="B289" t="str">
        <f>Skills!B5</f>
        <v>Elemental Drain</v>
      </c>
      <c r="C289" t="b">
        <f>TRUE</f>
        <v>1</v>
      </c>
      <c r="D289">
        <f>IF(Skills!C5=1,60+Inputs!$B$24+Inputs!$B$28,IF(Skills!C5=2,90+Inputs!$B$25+Inputs!$B$28,IF(Skills!C5=3,120+Inputs!$B$26+Inputs!$B$28,MAX(0,(Inputs!$B$3-100)*3)+Inputs!$B$27+Inputs!$B$28)))</f>
        <v>164</v>
      </c>
      <c r="E289">
        <f>INDEX(FactorTable!$B$2:$Y$301, MATCH(ROUND(MIN(300,MAX(1,D289)),0), FactorTable!$A$2:$A$301,0), Skills!M5+1)</f>
        <v>1656</v>
      </c>
      <c r="F289">
        <f>IF(Skills!N5=TRUE,(Skills!L5/10)*(E289/1000),Skills!L5/10)+Skills!O5</f>
        <v>19.872</v>
      </c>
      <c r="G289">
        <f>Calc!G5</f>
        <v>5</v>
      </c>
      <c r="H289">
        <f>Calc!H5</f>
        <v>1</v>
      </c>
      <c r="I289">
        <f>IF(Skills!X5&lt;&gt;"",1+(Skills!X5/10)*(R287/1000)/100,1)</f>
        <v>12.28</v>
      </c>
      <c r="J289">
        <f>((Inputs!$B$5*(1+Inputs!$B$6/100))+((Inputs!$B$11*(1+Inputs!$B$12/100))-(Inputs!$B$11*(1+Inputs!$B$12/100)))*(1+Inputs!$B$6/100))*(F289/100)</f>
        <v>49646420.717276163</v>
      </c>
      <c r="K289">
        <f>J289*(1+((Inputs!$B$11*(1+Inputs!$B$12/100))*0.01+Inputs!$B$13*0.0025)/100)*(1+Inputs!$B$14/100)*(1+IF(Inputs!$B$4="pvp",0,(1-Summary!$B$56)*(Inputs!$B$19+Skills!P5)+Summary!$B$56*(Inputs!$B$20+Skills!Q5))/100)*(1+Inputs!$B$15/100)*(5000/(6000+Inputs!$B$7*(1-Inputs!$B$18/100)))*(1+((((1+Inputs!$B$23/100)*(1.01))-1)*100)/100)*(1+F307/100)*(1+IF(Inputs!$B$3&gt;=120,F310,0)/100)^5*(1+(IF(Skills!A5="BASIC_ATTACK",Inputs!$B$16,Inputs!$B$17+IF(Inputs!$B$3&gt;=125,F311*5,0)))/100)*(B314*B315*B316*I289)</f>
        <v>4684613051600.9287</v>
      </c>
      <c r="L289">
        <f>K289*(MIN(Inputs!$B$21+(F306-Calc!F22),Inputs!$B$22)/100+Inputs!$B$22/100)/2</f>
        <v>12646112932796.705</v>
      </c>
      <c r="M289">
        <f>L289*(1+(Inputs!$B$9+(F305-Calc!F21))/100)</f>
        <v>52999859301351</v>
      </c>
      <c r="N289">
        <f>L289*(1-MIN(Inputs!$B$8+(F304-Calc!F20),100)/100)+M289*(MIN(Inputs!$B$8+(F304-Calc!F20),100)/100)</f>
        <v>52999859301351</v>
      </c>
      <c r="O289">
        <f>IF(C289,H289*N289*IF(AND(Inputs!$B$4&lt;&gt;"pvp",Inputs!$B$35&gt;0),((Skills!G5*((S289-1)*IF(Skills!H5&gt;0,Skills!I5/Skills!H5,1)+IF(Skills!H5&gt;0,MIN(Skills!I5,MAX(0,Inputs!$B$35-((S289-1)*IF(Inputs!$B$4="pvp",15,MAX(0.1,Skills!E5-IF(Skills!F5=TRUE,Inputs!$B$31,0))))))/Skills!H5,1)))/Inputs!$B$35),G289*V289)*IF(Inputs!$B$4="pvp",1,(1-Summary!$B$56)*(1)+Summary!$B$56*(MIN(Skills!R5,Inputs!$B$37))),0)</f>
        <v>264999296506755</v>
      </c>
      <c r="P289">
        <f>IF(B323=0,0,O289/B323)</f>
        <v>3.146146660821468E-2</v>
      </c>
      <c r="S289">
        <f>IF(AND(Inputs!$B$4&lt;&gt;"pvp",Inputs!$B$35&gt;0),(INT(Inputs!$B$35/IF(Inputs!$B$4="pvp",15,MAX(0.1,Skills!E5-IF(Skills!F5=TRUE,Inputs!$B$31,0))))+1),0)</f>
        <v>0</v>
      </c>
      <c r="V289">
        <f>IFERROR(1/IF(Inputs!$B$4="pvp",15,MAX(0.1,Skills!E5-IF(Skills!F5=TRUE,Inputs!$B$31,0))),0)</f>
        <v>1</v>
      </c>
    </row>
    <row r="290" spans="1:22" x14ac:dyDescent="0.2">
      <c r="A290" t="str">
        <f>Skills!A6</f>
        <v>MEDITATION</v>
      </c>
      <c r="B290" t="str">
        <f>Skills!B6</f>
        <v>Meditation</v>
      </c>
      <c r="C290" t="b">
        <f>TRUE</f>
        <v>1</v>
      </c>
      <c r="D290">
        <f>IF(Skills!C6=1,60+Inputs!$B$24+Inputs!$B$28,IF(Skills!C6=2,90+Inputs!$B$25+Inputs!$B$28,IF(Skills!C6=3,120+Inputs!$B$26+Inputs!$B$28,MAX(0,(Inputs!$B$3-100)*3)+Inputs!$B$27+Inputs!$B$28)))</f>
        <v>164</v>
      </c>
      <c r="E290">
        <f>INDEX(FactorTable!$B$2:$Y$301, MATCH(ROUND(MIN(300,MAX(1,D290)),0), FactorTable!$A$2:$A$301,0), Skills!M6+1)</f>
        <v>1492</v>
      </c>
      <c r="F290">
        <f>IF(Skills!N6=TRUE,(Skills!L6/10)*(E290/1000),Skills!L6/10)+Skills!O6</f>
        <v>29.84</v>
      </c>
      <c r="G290">
        <f>Calc!G6</f>
        <v>1</v>
      </c>
      <c r="H290">
        <f>Calc!H6</f>
        <v>1</v>
      </c>
      <c r="I290">
        <f>IF(Skills!X6&lt;&gt;"",1+(Skills!X6/10)*(R287/1000)/100,1)</f>
        <v>1</v>
      </c>
      <c r="O290">
        <v>0</v>
      </c>
      <c r="P290">
        <f>IF(B323=0,0,O290/B323)</f>
        <v>0</v>
      </c>
      <c r="S290">
        <f>IF(AND(Inputs!$B$4&lt;&gt;"pvp",Inputs!$B$35&gt;0),(INT(Inputs!$B$35/IF(Inputs!$B$4="pvp",15,MAX(0.1,Skills!E6-IF(Skills!F6=TRUE,Inputs!$B$31,0))))+1),0)</f>
        <v>0</v>
      </c>
      <c r="V290">
        <f>IFERROR(1/IF(Inputs!$B$4="pvp",15,MAX(0.1,Skills!E6-IF(Skills!F6=TRUE,Inputs!$B$31,0))),0)</f>
        <v>3.3333333333333333E-2</v>
      </c>
    </row>
    <row r="291" spans="1:22" x14ac:dyDescent="0.2">
      <c r="A291" t="str">
        <f>Skills!A7</f>
        <v>POISON_MIST_BURST</v>
      </c>
      <c r="B291" t="str">
        <f>Skills!B7</f>
        <v>Poison Mist (burst)</v>
      </c>
      <c r="C291" t="b">
        <f>TRUE</f>
        <v>1</v>
      </c>
      <c r="D291">
        <f>IF(Skills!C7=1,60+Inputs!$B$24+Inputs!$B$28,IF(Skills!C7=2,90+Inputs!$B$25+Inputs!$B$28,IF(Skills!C7=3,120+Inputs!$B$26+Inputs!$B$28,MAX(0,(Inputs!$B$3-100)*3)+Inputs!$B$27+Inputs!$B$28)))</f>
        <v>184</v>
      </c>
      <c r="E291">
        <f>INDEX(FactorTable!$B$2:$Y$301, MATCH(ROUND(MIN(300,MAX(1,D291)),0), FactorTable!$A$2:$A$301,0), Skills!M7+1)</f>
        <v>1920</v>
      </c>
      <c r="F291">
        <f>IF(Skills!N7=TRUE,(Skills!L7/10)*(E291/1000),Skills!L7/10)+Skills!O7</f>
        <v>357.2</v>
      </c>
      <c r="G291">
        <f>Calc!G7</f>
        <v>3</v>
      </c>
      <c r="H291">
        <f>Calc!H7</f>
        <v>1</v>
      </c>
      <c r="I291">
        <f>IF(Skills!X7&lt;&gt;"",1+(Skills!X7/10)*(R287/1000)/100,1)</f>
        <v>1.7519999999999998</v>
      </c>
      <c r="J291">
        <f>((Inputs!$B$5*(1+Inputs!$B$6/100))+((Inputs!$B$11*(1+Inputs!$B$12/100))-(Inputs!$B$11*(1+Inputs!$B$12/100)))*(1+Inputs!$B$6/100))*(F291/100)</f>
        <v>892396411.04121602</v>
      </c>
      <c r="K291">
        <f>J291*(1+((Inputs!$B$11*(1+Inputs!$B$12/100))*0.01+Inputs!$B$13*0.0025)/100)*(1+Inputs!$B$14/100)*(1+IF(Inputs!$B$4="pvp",0,(1-Summary!$B$56)*(Inputs!$B$19+Skills!P7)+Summary!$B$56*(Inputs!$B$20+Skills!Q7))/100)*(1+Inputs!$B$15/100)*(5000/(6000+Inputs!$B$7*(1-Inputs!$B$18/100)))*(1+((((1+Inputs!$B$23/100)*(1.01))-1)*100)/100)*(1+F307/100)*(1+IF(Inputs!$B$3&gt;=120,F310,0)/100)^5*(1+(IF(Skills!A7="BASIC_ATTACK",Inputs!$B$16,Inputs!$B$17+IF(Inputs!$B$3&gt;=125,F311*5,0)))/100)*(B314*B315*B316*I291)</f>
        <v>12013770485012.07</v>
      </c>
      <c r="L291">
        <f>K291*(MIN(Inputs!$B$21+(F306-Calc!F22),Inputs!$B$22)/100+Inputs!$B$22/100)/2</f>
        <v>32431173424290.078</v>
      </c>
      <c r="M291">
        <f>L291*(1+(Inputs!$B$9+(F305-Calc!F21))/100)</f>
        <v>135919047821199.73</v>
      </c>
      <c r="N291">
        <f>L291*(1-MIN(Inputs!$B$8+(F304-Calc!F20),100)/100)+M291*(MIN(Inputs!$B$8+(F304-Calc!F20),100)/100)</f>
        <v>135919047821199.73</v>
      </c>
      <c r="O291">
        <f>IF(C291,H291*N291*IF(AND(Inputs!$B$4&lt;&gt;"pvp",Inputs!$B$35&gt;0),((Skills!G7*((S291-1)*IF(Skills!H7&gt;0,Skills!I7/Skills!H7,1)+IF(Skills!H7&gt;0,MIN(Skills!I7,MAX(0,Inputs!$B$35-((S291-1)*IF(Inputs!$B$4="pvp",15,MAX(0.1,Skills!E7-IF(Skills!F7=TRUE,Inputs!$B$31,0))))))/Skills!H7,1)))/Inputs!$B$35),G291*V291)*IF(Inputs!$B$4="pvp",1,(1-Summary!$B$56)*(1)+Summary!$B$56*(MIN(Skills!R7,Inputs!$B$37))),0)</f>
        <v>106516151761919.8</v>
      </c>
      <c r="P291">
        <f>IF(B323=0,0,O291/B323)</f>
        <v>1.2645899049802739E-2</v>
      </c>
      <c r="S291">
        <f>IF(AND(Inputs!$B$4&lt;&gt;"pvp",Inputs!$B$35&gt;0),(INT(Inputs!$B$35/IF(Inputs!$B$4="pvp",15,MAX(0.1,Skills!E7-IF(Skills!F7=TRUE,Inputs!$B$31,0))))+1),0)</f>
        <v>0</v>
      </c>
      <c r="V291">
        <f>IFERROR(1/IF(Inputs!$B$4="pvp",15,MAX(0.1,Skills!E7-IF(Skills!F7=TRUE,Inputs!$B$31,0))),0)</f>
        <v>4.0816326530612242E-2</v>
      </c>
    </row>
    <row r="292" spans="1:22" x14ac:dyDescent="0.2">
      <c r="A292" t="str">
        <f>Skills!A8</f>
        <v>POISON_MIST_DOT</v>
      </c>
      <c r="B292" t="str">
        <f>Skills!B8</f>
        <v>Poison Mist (fog DoT)</v>
      </c>
      <c r="C292" t="b">
        <f>TRUE</f>
        <v>1</v>
      </c>
      <c r="D292">
        <f>IF(Skills!C8=1,60+Inputs!$B$24+Inputs!$B$28,IF(Skills!C8=2,90+Inputs!$B$25+Inputs!$B$28,IF(Skills!C8=3,120+Inputs!$B$26+Inputs!$B$28,MAX(0,(Inputs!$B$3-100)*3)+Inputs!$B$27+Inputs!$B$28)))</f>
        <v>184</v>
      </c>
      <c r="E292">
        <f>INDEX(FactorTable!$B$2:$Y$301, MATCH(ROUND(MIN(300,MAX(1,D292)),0), FactorTable!$A$2:$A$301,0), Skills!M8+1)</f>
        <v>1920</v>
      </c>
      <c r="F292">
        <f>IF(Skills!N8=TRUE,(Skills!L8/10)*(E292/1000),Skills!L8/10)+Skills!O8</f>
        <v>134.4</v>
      </c>
      <c r="G292">
        <f>Calc!G8</f>
        <v>50</v>
      </c>
      <c r="H292">
        <f>Calc!H8</f>
        <v>1</v>
      </c>
      <c r="I292">
        <f>IF(Skills!X8&lt;&gt;"",1+(Skills!X8/10)*(R287/1000)/100,1)</f>
        <v>1.7519999999999998</v>
      </c>
      <c r="J292">
        <f>((Inputs!$B$5*(1+Inputs!$B$6/100))+((Inputs!$B$11*(1+Inputs!$B$12/100))-(Inputs!$B$11*(1+Inputs!$B$12/100)))*(1+Inputs!$B$6/100))*(F292/100)</f>
        <v>335772893.74003202</v>
      </c>
      <c r="K292">
        <f>J292*(1+((Inputs!$B$11*(1+Inputs!$B$12/100))*0.01+Inputs!$B$13*0.0025)/100)*(1+Inputs!$B$14/100)*(1+IF(Inputs!$B$4="pvp",0,(1-Summary!$B$56)*(Inputs!$B$19+Skills!P8)+Summary!$B$56*(Inputs!$B$20+Skills!Q8))/100)*(1+Inputs!$B$15/100)*(5000/(6000+Inputs!$B$7*(1-Inputs!$B$18/100)))*(1+((((1+Inputs!$B$23/100)*(1.01))-1)*100)/100)*(1+F307/100)*(1+IF(Inputs!$B$3&gt;=120,F310,0)/100)^5*(1+(IF(Skills!A8="BASIC_ATTACK",Inputs!$B$16,Inputs!$B$17+IF(Inputs!$B$3&gt;=125,F311*5,0)))/100)*(B314*B315*B316*I292)</f>
        <v>4520298861101.9668</v>
      </c>
      <c r="L292">
        <f>K292*(MIN(Inputs!$B$21+(F306-Calc!F22),Inputs!$B$22)/100+Inputs!$B$22/100)/2</f>
        <v>12202546775544.758</v>
      </c>
      <c r="M292">
        <f>L292*(1+(Inputs!$B$9+(F305-Calc!F21))/100)</f>
        <v>51140873536308.086</v>
      </c>
      <c r="N292">
        <f>L292*(1-MIN(Inputs!$B$8+(F304-Calc!F20),100)/100)+M292*(MIN(Inputs!$B$8+(F304-Calc!F20),100)/100)</f>
        <v>51140873536308.086</v>
      </c>
      <c r="O292">
        <f>IF(C292,H292*N292*IF(AND(Inputs!$B$4&lt;&gt;"pvp",Inputs!$B$35&gt;0),((Skills!G8*((S292-1)*IF(Skills!H8&gt;0,Skills!I8/Skills!H8,1)+IF(Skills!H8&gt;0,MIN(Skills!I8,MAX(0,Inputs!$B$35-((S292-1)*IF(Inputs!$B$4="pvp",15,MAX(0.1,Skills!E8-IF(Skills!F8=TRUE,Inputs!$B$31,0))))))/Skills!H8,1)))/Inputs!$B$35),G292*V292)*IF(Inputs!$B$4="pvp",1,(1-Summary!$B$56)*(1)+Summary!$B$56*(MIN(Skills!R8,Inputs!$B$37))),0)</f>
        <v>667962429861983.25</v>
      </c>
      <c r="P292">
        <f>IF(B323=0,0,O292/B323)</f>
        <v>7.9302390457889532E-2</v>
      </c>
      <c r="S292">
        <f>IF(AND(Inputs!$B$4&lt;&gt;"pvp",Inputs!$B$35&gt;0),(INT(Inputs!$B$35/IF(Inputs!$B$4="pvp",15,MAX(0.1,Skills!E8-IF(Skills!F8=TRUE,Inputs!$B$31,0))))+1),0)</f>
        <v>0</v>
      </c>
      <c r="V292">
        <f>IFERROR(1/IF(Inputs!$B$4="pvp",15,MAX(0.1,Skills!E8-IF(Skills!F8=TRUE,Inputs!$B$31,0))),0)</f>
        <v>4.0816326530612242E-2</v>
      </c>
    </row>
    <row r="293" spans="1:22" x14ac:dyDescent="0.2">
      <c r="A293" t="str">
        <f>Skills!A9</f>
        <v>MIST_ERUPTION</v>
      </c>
      <c r="B293" t="str">
        <f>Skills!B9</f>
        <v>Mist Eruption</v>
      </c>
      <c r="C293" t="b">
        <f>Inputs!$B$3&gt;=103</f>
        <v>1</v>
      </c>
      <c r="D293">
        <f>IF(Skills!C9=1,60+Inputs!$B$24+Inputs!$B$28,IF(Skills!C9=2,90+Inputs!$B$25+Inputs!$B$28,IF(Skills!C9=3,120+Inputs!$B$26+Inputs!$B$28,MAX(0,(Inputs!$B$3-100)*3)+Inputs!$B$27+Inputs!$B$28)))</f>
        <v>172</v>
      </c>
      <c r="E293">
        <f>INDEX(FactorTable!$B$2:$Y$301, MATCH(ROUND(MIN(300,MAX(1,D293)),0), FactorTable!$A$2:$A$301,0), Skills!M9+1)</f>
        <v>1860</v>
      </c>
      <c r="F293">
        <f>IF(Skills!N9=TRUE,(Skills!L9/10)*(E293/1000),Skills!L9/10)+Skills!O9</f>
        <v>5580</v>
      </c>
      <c r="G293">
        <f>Calc!G9</f>
        <v>2.8</v>
      </c>
      <c r="H293">
        <f>Calc!H9</f>
        <v>1</v>
      </c>
      <c r="I293">
        <f>IF(Skills!X9&lt;&gt;"",1+(Skills!X9/10)*(R287/1000)/100,1)</f>
        <v>1</v>
      </c>
      <c r="J293">
        <f>((Inputs!$B$5*(1+Inputs!$B$6/100))+((Inputs!$B$11*(1+Inputs!$B$12/100))-(Inputs!$B$11*(1+Inputs!$B$12/100)))*(1+Inputs!$B$6/100))*(F293/100)</f>
        <v>13940571034.742399</v>
      </c>
      <c r="K293">
        <f>J293*(1+((Inputs!$B$11*(1+Inputs!$B$12/100))*0.01+Inputs!$B$13*0.0025)/100)*(1+Inputs!$B$14/100)*(1+IF(Inputs!$B$4="pvp",0,(1-Summary!$B$56)*(Inputs!$B$19+Skills!P9)+Summary!$B$56*(Inputs!$B$20+Skills!Q9))/100)*(1+Inputs!$B$15/100)*(5000/(6000+Inputs!$B$7*(1-Inputs!$B$18/100)))*(1+((((1+Inputs!$B$23/100)*(1.01))-1)*100)/100)*(1+F307/100)*(1+IF(Inputs!$B$3&gt;=120,F310,0)/100)^5*(1+(IF(Skills!A9="BASIC_ATTACK",Inputs!$B$16,Inputs!$B$17+IF(Inputs!$B$3&gt;=125,F311*5,0)))/100)*(B314*B315*B316*I293)</f>
        <v>107119362076627.47</v>
      </c>
      <c r="L293">
        <f>K293*(MIN(Inputs!$B$21+(F306-Calc!F22),Inputs!$B$22)/100+Inputs!$B$22/100)/2</f>
        <v>289168717925855.81</v>
      </c>
      <c r="M293">
        <f>L293*(1+(Inputs!$B$9+(F305-Calc!F21))/100)</f>
        <v>1211906096827262</v>
      </c>
      <c r="N293">
        <f>L293*(1-MIN(Inputs!$B$8+(F304-Calc!F20),100)/100)+M293*(MIN(Inputs!$B$8+(F304-Calc!F20),100)/100)</f>
        <v>1211906096827262</v>
      </c>
      <c r="O293">
        <f>IF(C293,H293*N293*IF(AND(Inputs!$B$4&lt;&gt;"pvp",Inputs!$B$35&gt;0),((Skills!G9*((S293-1)*IF(Skills!H9&gt;0,Skills!I9/Skills!H9,1)+IF(Skills!H9&gt;0,MIN(Skills!I9,MAX(0,Inputs!$B$35-((S293-1)*IF(Inputs!$B$4="pvp",15,MAX(0.1,Skills!E9-IF(Skills!F7=TRUE,Inputs!$B$31,0))))))/Skills!H9,1)))/Inputs!$B$35),G293*V293)*IF(Inputs!$B$4="pvp",1,(1-Summary!$B$56)*(1)+Summary!$B$56*(MIN(Skills!R9,Inputs!$B$37))),0)</f>
        <v>886422745107940.12</v>
      </c>
      <c r="P293">
        <f>IF(B323=0,0,O293/B323)</f>
        <v>0.10523861747408286</v>
      </c>
      <c r="S293">
        <f>IF(AND(Inputs!$B$4&lt;&gt;"pvp",Inputs!$B$35&gt;0),(INT(Inputs!$B$35/IF(Inputs!$B$4="pvp",15,MAX(0.1,Skills!E9-IF(Skills!F7=TRUE,Inputs!$B$31,0))))+1),0)</f>
        <v>0</v>
      </c>
      <c r="V293">
        <f>IFERROR(1/IF(Inputs!$B$4="pvp",15,MAX(0.1,Skills!E9-IF(Skills!F7=TRUE,Inputs!$B$31,0))),0)</f>
        <v>4.0816326530612242E-2</v>
      </c>
    </row>
    <row r="294" spans="1:22" x14ac:dyDescent="0.2">
      <c r="A294" t="str">
        <f>Skills!A10</f>
        <v>CREEPING_TOXIN</v>
      </c>
      <c r="B294" t="str">
        <f>Skills!B10</f>
        <v>Creeping Toxin</v>
      </c>
      <c r="C294" t="b">
        <f>TRUE</f>
        <v>1</v>
      </c>
      <c r="D294">
        <f>IF(Skills!C10=1,60+Inputs!$B$24+Inputs!$B$28,IF(Skills!C10=2,90+Inputs!$B$25+Inputs!$B$28,IF(Skills!C10=3,120+Inputs!$B$26+Inputs!$B$28,MAX(0,(Inputs!$B$3-100)*3)+Inputs!$B$27+Inputs!$B$28)))</f>
        <v>184</v>
      </c>
      <c r="E294">
        <f>INDEX(FactorTable!$B$2:$Y$301, MATCH(ROUND(MIN(300,MAX(1,D294)),0), FactorTable!$A$2:$A$301,0), Skills!M10+1)</f>
        <v>1920</v>
      </c>
      <c r="F294">
        <f>IF(Skills!N10=TRUE,(Skills!L10/10)*(E294/1000),Skills!L10/10)+Skills!O10</f>
        <v>280.39999999999998</v>
      </c>
      <c r="G294">
        <f>Calc!G10</f>
        <v>15</v>
      </c>
      <c r="H294">
        <f>Calc!H10</f>
        <v>1</v>
      </c>
      <c r="I294">
        <f>IF(Skills!X10&lt;&gt;"",1+(Skills!X10/10)*(R287/1000)/100,1)</f>
        <v>1.7519999999999998</v>
      </c>
      <c r="J294">
        <f>((Inputs!$B$5*(1+Inputs!$B$6/100))+((Inputs!$B$11*(1+Inputs!$B$12/100))-(Inputs!$B$11*(1+Inputs!$B$12/100)))*(1+Inputs!$B$6/100))*(F294/100)</f>
        <v>700526186.04691195</v>
      </c>
      <c r="K294">
        <f>J294*(1+((Inputs!$B$11*(1+Inputs!$B$12/100))*0.01+Inputs!$B$13*0.0025)/100)*(1+Inputs!$B$14/100)*(1+IF(Inputs!$B$4="pvp",0,(1-Summary!$B$56)*(Inputs!$B$19+Skills!P10)+Summary!$B$56*(Inputs!$B$20+Skills!Q10))/100)*(1+Inputs!$B$15/100)*(5000/(6000+Inputs!$B$7*(1-Inputs!$B$18/100)))*(1+((((1+Inputs!$B$23/100)*(1.01))-1)*100)/100)*(1+F307/100)*(1+IF(Inputs!$B$3&gt;=120,F310,0)/100)^5*(1+(IF(Skills!A10="BASIC_ATTACK",Inputs!$B$16,Inputs!$B$17+IF(Inputs!$B$3&gt;=125,F311*5,0)))/100)*(B314*B315*B316*I294)</f>
        <v>11128955511149.914</v>
      </c>
      <c r="L294">
        <f>K294*(MIN(Inputs!$B$21+(F306-Calc!F22),Inputs!$B$22)/100+Inputs!$B$22/100)/2</f>
        <v>30042615402349.188</v>
      </c>
      <c r="M294">
        <f>L294*(1+(Inputs!$B$9+(F305-Calc!F21))/100)</f>
        <v>125908601151245.47</v>
      </c>
      <c r="N294">
        <f>L294*(1-MIN(Inputs!$B$8+(F304-Calc!F20),100)/100)+M294*(MIN(Inputs!$B$8+(F304-Calc!F20),100)/100)</f>
        <v>125908601151245.47</v>
      </c>
      <c r="O294">
        <f>IF(C294,H294*N294*IF(AND(Inputs!$B$4&lt;&gt;"pvp",Inputs!$B$35&gt;0),((Skills!G10*((S294-1)*IF(Skills!H10&gt;0,Skills!I10/Skills!H10,1)+IF(Skills!H10&gt;0,MIN(Skills!I10,MAX(0,Inputs!$B$35-((S294-1)*IF(Inputs!$B$4="pvp",15,MAX(0.1,Skills!E10-IF(Skills!F10=TRUE,Inputs!$B$31,0))))))/Skills!H10,1)))/Inputs!$B$35),G294*V294)*IF(Inputs!$B$4="pvp",1,(1-Summary!$B$56)*(1)+Summary!$B$56*(MIN(Skills!R10,Inputs!$B$37))),0)</f>
        <v>69949222861803.039</v>
      </c>
      <c r="P294">
        <f>IF(B323=0,0,O294/B323)</f>
        <v>8.3045697416826384E-3</v>
      </c>
      <c r="S294">
        <f>IF(AND(Inputs!$B$4&lt;&gt;"pvp",Inputs!$B$35&gt;0),(INT(Inputs!$B$35/IF(Inputs!$B$4="pvp",15,MAX(0.1,Skills!E10-IF(Skills!F10=TRUE,Inputs!$B$31,0))))+1),0)</f>
        <v>0</v>
      </c>
      <c r="V294">
        <f>IFERROR(1/IF(Inputs!$B$4="pvp",15,MAX(0.1,Skills!E10-IF(Skills!F10=TRUE,Inputs!$B$31,0))),0)</f>
        <v>3.7037037037037035E-2</v>
      </c>
    </row>
    <row r="295" spans="1:22" x14ac:dyDescent="0.2">
      <c r="A295" t="str">
        <f>Skills!A11</f>
        <v>BURNING_MAGIC</v>
      </c>
      <c r="B295" t="str">
        <f>Skills!B11</f>
        <v>Burning Magic</v>
      </c>
      <c r="C295" t="b">
        <f>TRUE</f>
        <v>1</v>
      </c>
      <c r="D295">
        <f>IF(Skills!C11=1,60+Inputs!$B$24+Inputs!$B$28,IF(Skills!C11=2,90+Inputs!$B$25+Inputs!$B$28,IF(Skills!C11=3,120+Inputs!$B$26+Inputs!$B$28,MAX(0,(Inputs!$B$3-100)*3)+Inputs!$B$27+Inputs!$B$28)))</f>
        <v>184</v>
      </c>
      <c r="E295">
        <f>INDEX(FactorTable!$B$2:$Y$301, MATCH(ROUND(MIN(300,MAX(1,D295)),0), FactorTable!$A$2:$A$301,0), Skills!M11+1)</f>
        <v>0</v>
      </c>
      <c r="F295">
        <f>IF(Skills!N11=TRUE,(Skills!L11/10)*(E295/1000),Skills!L11/10)+Skills!O11</f>
        <v>5</v>
      </c>
      <c r="G295">
        <f>Calc!G11</f>
        <v>1</v>
      </c>
      <c r="H295">
        <f>Calc!H11</f>
        <v>1</v>
      </c>
      <c r="I295">
        <f>IF(Skills!X11&lt;&gt;"",1+(Skills!X11/10)*(R287/1000)/100,1)</f>
        <v>1</v>
      </c>
      <c r="O295">
        <v>0</v>
      </c>
      <c r="P295">
        <f>IF(B323=0,0,O295/B323)</f>
        <v>0</v>
      </c>
      <c r="S295">
        <v>0</v>
      </c>
      <c r="V295">
        <f>IFERROR(1/IF(Inputs!$B$4="pvp",15,MAX(0.1,Skills!E11-IF(Skills!F11=TRUE,Inputs!$B$31,0))),0)</f>
        <v>10</v>
      </c>
    </row>
    <row r="296" spans="1:22" x14ac:dyDescent="0.2">
      <c r="A296" t="str">
        <f>Skills!A12</f>
        <v>ELEMENTAL_DECREASE</v>
      </c>
      <c r="B296" t="str">
        <f>Skills!B12</f>
        <v>Elemental Decrease</v>
      </c>
      <c r="C296" t="b">
        <f>TRUE</f>
        <v>1</v>
      </c>
      <c r="D296">
        <f>IF(Skills!C12=1,60+Inputs!$B$24+Inputs!$B$28,IF(Skills!C12=2,90+Inputs!$B$25+Inputs!$B$28,IF(Skills!C12=3,120+Inputs!$B$26+Inputs!$B$28,MAX(0,(Inputs!$B$3-100)*3)+Inputs!$B$27+Inputs!$B$28)))</f>
        <v>184</v>
      </c>
      <c r="E296">
        <f>INDEX(FactorTable!$B$2:$Y$301, MATCH(ROUND(MIN(300,MAX(1,D296)),0), FactorTable!$A$2:$A$301,0), Skills!M12+1)</f>
        <v>1552</v>
      </c>
      <c r="F296">
        <f>IF(Skills!N12=TRUE,(Skills!L12/10)*(E296/1000),Skills!L12/10)+Skills!O12</f>
        <v>18.624000000000002</v>
      </c>
      <c r="G296">
        <f>Calc!G12</f>
        <v>1</v>
      </c>
      <c r="H296">
        <f>Calc!H12</f>
        <v>0.5</v>
      </c>
      <c r="I296">
        <f>IF(Skills!X12&lt;&gt;"",1+(Skills!X12/10)*(R287/1000)/100,1)</f>
        <v>1</v>
      </c>
      <c r="O296">
        <v>0</v>
      </c>
      <c r="P296">
        <f>IF(B323=0,0,O296/B323)</f>
        <v>0</v>
      </c>
      <c r="S296">
        <v>0</v>
      </c>
      <c r="V296">
        <f>IFERROR(1/IF(Inputs!$B$4="pvp",15,MAX(0.1,Skills!E12-IF(Skills!F12=TRUE,Inputs!$B$31,0))),0)</f>
        <v>10</v>
      </c>
    </row>
    <row r="297" spans="1:22" x14ac:dyDescent="0.2">
      <c r="A297" t="str">
        <f>Skills!A13</f>
        <v>METEOR_SHOWER_BURST</v>
      </c>
      <c r="B297" t="str">
        <f>Skills!B13</f>
        <v>Meteor Shower (burst)</v>
      </c>
      <c r="C297" t="b">
        <f>Inputs!$B$3&gt;=105</f>
        <v>1</v>
      </c>
      <c r="D297">
        <f>IF(Skills!C13=1,60+Inputs!$B$24+Inputs!$B$28,IF(Skills!C13=2,90+Inputs!$B$25+Inputs!$B$28,IF(Skills!C13=3,120+Inputs!$B$26+Inputs!$B$28,MAX(0,(Inputs!$B$3-100)*3)+Inputs!$B$27+Inputs!$B$28)))</f>
        <v>172</v>
      </c>
      <c r="E297">
        <f>INDEX(FactorTable!$B$2:$Y$301, MATCH(ROUND(MIN(300,MAX(1,D297)),0), FactorTable!$A$2:$A$301,0), Skills!M13+1)</f>
        <v>1860</v>
      </c>
      <c r="F297">
        <f>IF(Skills!N13=TRUE,(Skills!L13/10)*(E297/1000),Skills!L13/10)+Skills!O13</f>
        <v>1116</v>
      </c>
      <c r="G297">
        <f>Calc!G13</f>
        <v>9</v>
      </c>
      <c r="H297">
        <f>Calc!H13</f>
        <v>1</v>
      </c>
      <c r="I297">
        <f>IF(Skills!X13&lt;&gt;"",1+(Skills!X13/10)*(R287/1000)/100,1)</f>
        <v>1</v>
      </c>
      <c r="J297">
        <f>((Inputs!$B$5*(1+Inputs!$B$6/100))+((Inputs!$B$11*(1+Inputs!$B$12/100))-(Inputs!$B$11*(1+Inputs!$B$12/100)))*(1+Inputs!$B$6/100))*(F297/100)</f>
        <v>2788114206.9484801</v>
      </c>
      <c r="K297">
        <f>J297*(1+((Inputs!$B$11*(1+Inputs!$B$12/100))*0.01+Inputs!$B$13*0.0025)/100)*(1+Inputs!$B$14/100)*(1+IF(Inputs!$B$4="pvp",0,(1-Summary!$B$56)*(Inputs!$B$19+Skills!P13)+Summary!$B$56*(Inputs!$B$20+Skills!Q13))/100)*(1+Inputs!$B$15/100)*(5000/(6000+Inputs!$B$7*(1-Inputs!$B$18/100)))*(1+((((1+Inputs!$B$23/100)*(1.01))-1)*100)/100)*(1+F307/100)*(1+IF(Inputs!$B$3&gt;=120,F310,0)/100)^5*(1+(IF(Skills!A13="BASIC_ATTACK",Inputs!$B$16,Inputs!$B$17+IF(Inputs!$B$3&gt;=125,F311*5,0)))/100)*(B314*B315*B316*I297)</f>
        <v>21423872415325.492</v>
      </c>
      <c r="L297">
        <f>K297*(MIN(Inputs!$B$21+(F306-Calc!F22),Inputs!$B$22)/100+Inputs!$B$22/100)/2</f>
        <v>57833743585171.156</v>
      </c>
      <c r="M297">
        <f>L297*(1+(Inputs!$B$9+(F305-Calc!F21))/100)</f>
        <v>242381219365452.34</v>
      </c>
      <c r="N297">
        <f>L297*(1-MIN(Inputs!$B$8+(F304-Calc!F20),100)/100)+M297*(MIN(Inputs!$B$8+(F304-Calc!F20),100)/100)</f>
        <v>242381219365452.34</v>
      </c>
      <c r="O297">
        <f>IF(C297,H297*N297*IF(AND(Inputs!$B$4&lt;&gt;"pvp",Inputs!$B$35&gt;0),((Skills!G13*((S297-1)*IF(Skills!H13&gt;0,Skills!I13/Skills!H13,1)+IF(Skills!H13&gt;0,MIN(Skills!I13,MAX(0,Inputs!$B$35-((S297-1)*IF(Inputs!$B$4="pvp",15,MAX(0.1,Skills!E13-IF(Skills!F13=TRUE,Inputs!$B$31,0))))))/Skills!H13,1)))/Inputs!$B$35),G297*V297)*IF(Inputs!$B$4="pvp",1,(1-Summary!$B$56)*(1)+Summary!$B$56*(MIN(Skills!R13,Inputs!$B$37))),0)</f>
        <v>304078257022112.94</v>
      </c>
      <c r="P297">
        <f>IF(B323=0,0,O297/B323)</f>
        <v>3.610103142044177E-2</v>
      </c>
      <c r="S297">
        <f>IF(AND(Inputs!$B$4&lt;&gt;"pvp",Inputs!$B$35&gt;0),(INT(Inputs!$B$35/IF(Inputs!$B$4="pvp",15,MAX(0.1,Skills!E13-IF(Skills!F13=TRUE,Inputs!$B$31,0))))+1),0)</f>
        <v>0</v>
      </c>
      <c r="V297">
        <f>IFERROR(1/IF(Inputs!$B$4="pvp",15,MAX(0.1,Skills!E13-IF(Skills!F13=TRUE,Inputs!$B$31,0))),0)</f>
        <v>3.0303030303030304E-2</v>
      </c>
    </row>
    <row r="298" spans="1:22" x14ac:dyDescent="0.2">
      <c r="A298" t="str">
        <f>Skills!A14</f>
        <v>METEOR_PROC</v>
      </c>
      <c r="B298" t="str">
        <f>Skills!B14</f>
        <v>Meteor Proc (30% on-hit, 1s ICD)</v>
      </c>
      <c r="C298" t="b">
        <f>Inputs!$B$3&gt;=113</f>
        <v>1</v>
      </c>
      <c r="D298">
        <f>IF(Skills!C14=1,60+Inputs!$B$24+Inputs!$B$28,IF(Skills!C14=2,90+Inputs!$B$25+Inputs!$B$28,IF(Skills!C14=3,120+Inputs!$B$26+Inputs!$B$28,MAX(0,(Inputs!$B$3-100)*3)+Inputs!$B$27+Inputs!$B$28)))</f>
        <v>172</v>
      </c>
      <c r="E298">
        <f>INDEX(FactorTable!$B$2:$Y$301, MATCH(ROUND(MIN(300,MAX(1,D298)),0), FactorTable!$A$2:$A$301,0), Skills!M14+1)</f>
        <v>1688</v>
      </c>
      <c r="F298">
        <f>IF(Skills!N14=TRUE,(Skills!L14/10)*(E298/1000),Skills!L14/10)+Skills!O14</f>
        <v>1603.6</v>
      </c>
      <c r="G298">
        <f>Calc!G14</f>
        <v>0</v>
      </c>
      <c r="H298">
        <f>Calc!H14</f>
        <v>0.30000000000000004</v>
      </c>
      <c r="I298">
        <f>IF(Skills!X14&lt;&gt;"",1+(Skills!X14/10)*(R287/1000)/100,1)</f>
        <v>1</v>
      </c>
      <c r="J298">
        <f>((Inputs!$B$5*(1+Inputs!$B$6/100))+((Inputs!$B$11*(1+Inputs!$B$12/100))-(Inputs!$B$11*(1+Inputs!$B$12/100)))*(1+Inputs!$B$6/100))*(F298/100)</f>
        <v>4006290270.8446074</v>
      </c>
      <c r="K298">
        <f>J298*(1+((Inputs!$B$11*(1+Inputs!$B$12/100))*0.01+Inputs!$B$13*0.0025)/100)*(1+Inputs!$B$14/100)*(1+IF(Inputs!$B$4="pvp",0,(1-Summary!$B$56)*(Inputs!$B$19+Skills!P14)+Summary!$B$56*(Inputs!$B$20+Skills!Q14))/100)*(1+Inputs!$B$15/100)*(5000/(6000+Inputs!$B$7*(1-Inputs!$B$18/100)))*(1+((((1+Inputs!$B$23/100)*(1.01))-1)*100)/100)*(1+F307/100)*(1+IF(Inputs!$B$3&gt;=120,F310,0)/100)^5*(1+(IF(Skills!A14="BASIC_ATTACK",Inputs!$B$16,Inputs!$B$17+IF(Inputs!$B$3&gt;=125,F311*5,0)))/100)*(B314*B315*B316*I298)</f>
        <v>30784338535139.75</v>
      </c>
      <c r="L298">
        <f>K298*(MIN(Inputs!$B$21+(F306-Calc!F22),Inputs!$B$22)/100+Inputs!$B$22/100)/2</f>
        <v>83102321875609.734</v>
      </c>
      <c r="M298">
        <f>L298*(1+(Inputs!$B$9+(F305-Calc!F21))/100)</f>
        <v>348281830980680.44</v>
      </c>
      <c r="N298">
        <f>L298*(1-MIN(Inputs!$B$8+(F304-Calc!F20),100)/100)+M298*(MIN(Inputs!$B$8+(F304-Calc!F20),100)/100)</f>
        <v>348281830980680.44</v>
      </c>
      <c r="O298">
        <f>IF(C298,(H298*B321)/(1+Skills!H14*H298*B321)*N298*IF(Inputs!$B$4="pvp",1,(1-Summary!$B$56)*(1)+Summary!$B$56*(MIN(Skills!R14,Inputs!$B$37))),0)</f>
        <v>109556447896187.75</v>
      </c>
      <c r="P298">
        <f>IF(B323=0,0,O298/B323)</f>
        <v>1.3006851612953852E-2</v>
      </c>
      <c r="S298">
        <v>0</v>
      </c>
      <c r="V298">
        <f>IFERROR(1/IF(Inputs!$B$4="pvp",15,MAX(0.1,Skills!E14-IF(Skills!F14=TRUE,Inputs!$B$31,0))),0)</f>
        <v>10</v>
      </c>
    </row>
    <row r="299" spans="1:22" x14ac:dyDescent="0.2">
      <c r="A299" t="str">
        <f>Skills!A15</f>
        <v>FLAME_HAZE_BURST</v>
      </c>
      <c r="B299" t="str">
        <f>Skills!B15</f>
        <v>Flame Haze (burst)</v>
      </c>
      <c r="C299" t="b">
        <f>Inputs!$B$3&gt;=107</f>
        <v>1</v>
      </c>
      <c r="D299">
        <f>IF(Skills!C15=1,60+Inputs!$B$24+Inputs!$B$28,IF(Skills!C15=2,90+Inputs!$B$25+Inputs!$B$28,IF(Skills!C15=3,120+Inputs!$B$26+Inputs!$B$28,MAX(0,(Inputs!$B$3-100)*3)+Inputs!$B$27+Inputs!$B$28)))</f>
        <v>172</v>
      </c>
      <c r="E299">
        <f>INDEX(FactorTable!$B$2:$Y$301, MATCH(ROUND(MIN(300,MAX(1,D299)),0), FactorTable!$A$2:$A$301,0), Skills!M15+1)</f>
        <v>1860</v>
      </c>
      <c r="F299">
        <f>IF(Skills!N15=TRUE,(Skills!L15/10)*(E299/1000),Skills!L15/10)+Skills!O15</f>
        <v>2232</v>
      </c>
      <c r="G299">
        <f>Calc!G15</f>
        <v>3</v>
      </c>
      <c r="H299">
        <f>Calc!H15</f>
        <v>1</v>
      </c>
      <c r="I299">
        <f>IF(Skills!X15&lt;&gt;"",1+(Skills!X15/10)*(R287/1000)/100,1)</f>
        <v>1</v>
      </c>
      <c r="J299">
        <f>((Inputs!$B$5*(1+Inputs!$B$6/100))+((Inputs!$B$11*(1+Inputs!$B$12/100))-(Inputs!$B$11*(1+Inputs!$B$12/100)))*(1+Inputs!$B$6/100))*(F299/100)</f>
        <v>5576228413.8969603</v>
      </c>
      <c r="K299">
        <f>J299*(1+((Inputs!$B$11*(1+Inputs!$B$12/100))*0.01+Inputs!$B$13*0.0025)/100)*(1+Inputs!$B$14/100)*(1+IF(Inputs!$B$4="pvp",0,(1-Summary!$B$56)*(Inputs!$B$19+Skills!P15)+Summary!$B$56*(Inputs!$B$20+Skills!Q15))/100)*(1+Inputs!$B$15/100)*(5000/(6000+Inputs!$B$7*(1-Inputs!$B$18/100)))*(1+((((1+Inputs!$B$23/100)*(1.01))-1)*100)/100)*(1+F307/100)*(1+IF(Inputs!$B$3&gt;=120,F310,0)/100)^5*(1+(IF(Skills!A15="BASIC_ATTACK",Inputs!$B$16,Inputs!$B$17+IF(Inputs!$B$3&gt;=125,F311*5,0)))/100)*(B314*B315*B316*I299)</f>
        <v>42847744830650.984</v>
      </c>
      <c r="L299">
        <f>K299*(MIN(Inputs!$B$21+(F306-Calc!F22),Inputs!$B$22)/100+Inputs!$B$22/100)/2</f>
        <v>115667487170342.31</v>
      </c>
      <c r="M299">
        <f>L299*(1+(Inputs!$B$9+(F305-Calc!F21))/100)</f>
        <v>484762438730904.69</v>
      </c>
      <c r="N299">
        <f>L299*(1-MIN(Inputs!$B$8+(F304-Calc!F20),100)/100)+M299*(MIN(Inputs!$B$8+(F304-Calc!F20),100)/100)</f>
        <v>484762438730904.69</v>
      </c>
      <c r="O299">
        <f>IF(C299,H299*N299*IF(AND(Inputs!$B$4&lt;&gt;"pvp",Inputs!$B$35&gt;0),((Skills!G15*((S299-1)*IF(Skills!H15&gt;0,Skills!I15/Skills!H15,1)+IF(Skills!H15&gt;0,MIN(Skills!I15,MAX(0,Inputs!$B$35-((S299-1)*IF(Inputs!$B$4="pvp",15,MAX(0.1,Skills!E15-IF(Skills!F15=TRUE,Inputs!$B$31,0))))))/Skills!H15,1)))/Inputs!$B$35),G299*V299)*IF(Inputs!$B$4="pvp",1,(1-Summary!$B$56)*(1)+Summary!$B$56*(MIN(Skills!R15,Inputs!$B$37))),0)</f>
        <v>372297552945334.81</v>
      </c>
      <c r="P299">
        <f>IF(B323=0,0,O299/B323)</f>
        <v>4.4200219339114798E-2</v>
      </c>
      <c r="S299">
        <f>IF(AND(Inputs!$B$4&lt;&gt;"pvp",Inputs!$B$35&gt;0),(INT(Inputs!$B$35/IF(Inputs!$B$4="pvp",15,MAX(0.1,Skills!E15-IF(Skills!F15=TRUE,Inputs!$B$31,0))))+1),0)</f>
        <v>0</v>
      </c>
      <c r="V299">
        <f>IFERROR(1/IF(Inputs!$B$4="pvp",15,MAX(0.1,Skills!E15-IF(Skills!F15=TRUE,Inputs!$B$31,0))),0)</f>
        <v>0.04</v>
      </c>
    </row>
    <row r="300" spans="1:22" x14ac:dyDescent="0.2">
      <c r="A300" t="str">
        <f>Skills!A16</f>
        <v>FLAME_HAZE_DOT</v>
      </c>
      <c r="B300" t="str">
        <f>Skills!B16</f>
        <v>Flame Haze (burn DoT)</v>
      </c>
      <c r="C300" t="b">
        <f>Inputs!$B$3&gt;=107</f>
        <v>1</v>
      </c>
      <c r="D300">
        <f>IF(Skills!C16=1,60+Inputs!$B$24+Inputs!$B$28,IF(Skills!C16=2,90+Inputs!$B$25+Inputs!$B$28,IF(Skills!C16=3,120+Inputs!$B$26+Inputs!$B$28,MAX(0,(Inputs!$B$3-100)*3)+Inputs!$B$27+Inputs!$B$28)))</f>
        <v>172</v>
      </c>
      <c r="E300">
        <f>INDEX(FactorTable!$B$2:$Y$301, MATCH(ROUND(MIN(300,MAX(1,D300)),0), FactorTable!$A$2:$A$301,0), Skills!M16+1)</f>
        <v>1860</v>
      </c>
      <c r="F300">
        <f>IF(Skills!N16=TRUE,(Skills!L16/10)*(E300/1000),Skills!L16/10)+Skills!O16</f>
        <v>279</v>
      </c>
      <c r="G300">
        <f>Calc!G16</f>
        <v>28</v>
      </c>
      <c r="H300">
        <f>Calc!H16</f>
        <v>1</v>
      </c>
      <c r="I300">
        <f>IF(Skills!X16&lt;&gt;"",1+(Skills!X16/10)*(R287/1000)/100,1)</f>
        <v>1</v>
      </c>
      <c r="J300">
        <f>((Inputs!$B$5*(1+Inputs!$B$6/100))+((Inputs!$B$11*(1+Inputs!$B$12/100))-(Inputs!$B$11*(1+Inputs!$B$12/100)))*(1+Inputs!$B$6/100))*(F300/100)</f>
        <v>697028551.73712003</v>
      </c>
      <c r="K300">
        <f>J300*(1+((Inputs!$B$11*(1+Inputs!$B$12/100))*0.01+Inputs!$B$13*0.0025)/100)*(1+Inputs!$B$14/100)*(1+IF(Inputs!$B$4="pvp",0,(1-Summary!$B$56)*(Inputs!$B$19+Skills!P16)+Summary!$B$56*(Inputs!$B$20+Skills!Q16))/100)*(1+Inputs!$B$15/100)*(5000/(6000+Inputs!$B$7*(1-Inputs!$B$18/100)))*(1+((((1+Inputs!$B$23/100)*(1.01))-1)*100)/100)*(1+F307/100)*(1+IF(Inputs!$B$3&gt;=120,F310,0)/100)^5*(1+(IF(Skills!A16="BASIC_ATTACK",Inputs!$B$16,Inputs!$B$17+IF(Inputs!$B$3&gt;=125,F311*5,0)))/100)*(B314*B315*B316*I300)</f>
        <v>5355968103831.373</v>
      </c>
      <c r="L300">
        <f>K300*(MIN(Inputs!$B$21+(F306-Calc!F22),Inputs!$B$22)/100+Inputs!$B$22/100)/2</f>
        <v>14458435896292.789</v>
      </c>
      <c r="M300">
        <f>L300*(1+(Inputs!$B$9+(F305-Calc!F21))/100)</f>
        <v>60595304841363.086</v>
      </c>
      <c r="N300">
        <f>L300*(1-MIN(Inputs!$B$8+(F304-Calc!F20),100)/100)+M300*(MIN(Inputs!$B$8+(F304-Calc!F20),100)/100)</f>
        <v>60595304841363.086</v>
      </c>
      <c r="O300">
        <f>IF(C300,H300*N300*IF(AND(Inputs!$B$4&lt;&gt;"pvp",Inputs!$B$35&gt;0),((Skills!G16*((S300-1)*IF(Skills!H16&gt;0,Skills!I16/Skills!H16,1)+IF(Skills!H16&gt;0,MIN(Skills!I16,MAX(0,Inputs!$B$35-((S300-1)*IF(Inputs!$B$4="pvp",15,MAX(0.1,Skills!E16-IF(Skills!F16=TRUE,Inputs!$B$31,0))))))/Skills!H16,1)))/Inputs!$B$35),G300*V300)*(1+IF(Inputs!$B$3&gt;=126,0.05*(B320+V297+(H298*B321)/(1+Skills!H14*H298*B321)+V308),0)*Skills!E15)*IF(Inputs!$B$4="pvp",1,(1-Summary!$B$56)*(1)+Summary!$B$56*(MIN(Skills!R16,Inputs!$B$37))),0)</f>
        <v>434347145102890.69</v>
      </c>
      <c r="P300">
        <f>IF(B323=0,0,O300/B323)</f>
        <v>5.156692256230061E-2</v>
      </c>
      <c r="S300">
        <f>IF(AND(Inputs!$B$4&lt;&gt;"pvp",Inputs!$B$35&gt;0),(INT(Inputs!$B$35/IF(Inputs!$B$4="pvp",15,MAX(0.1,Skills!E16-IF(Skills!F16=TRUE,Inputs!$B$31,0))))+1),0)</f>
        <v>0</v>
      </c>
      <c r="V300">
        <f>IFERROR(1/IF(Inputs!$B$4="pvp",15,MAX(0.1,Skills!E16-IF(Skills!F16=TRUE,Inputs!$B$31,0))),0)</f>
        <v>0.04</v>
      </c>
    </row>
    <row r="301" spans="1:22" x14ac:dyDescent="0.2">
      <c r="A301" t="str">
        <f>Skills!A17</f>
        <v>MAGIC_GUARD</v>
      </c>
      <c r="B301" t="str">
        <f>Skills!B17</f>
        <v>Magic Guard</v>
      </c>
      <c r="C301" t="b">
        <f>TRUE</f>
        <v>1</v>
      </c>
      <c r="D301">
        <f>IF(Skills!C17=1,60+Inputs!$B$24+Inputs!$B$28,IF(Skills!C17=2,90+Inputs!$B$25+Inputs!$B$28,IF(Skills!C17=3,120+Inputs!$B$26+Inputs!$B$28,MAX(0,(Inputs!$B$3-100)*3)+Inputs!$B$27+Inputs!$B$28)))</f>
        <v>115</v>
      </c>
      <c r="E301">
        <f>INDEX(FactorTable!$B$2:$Y$301, MATCH(ROUND(MIN(300,MAX(1,D301)),0), FactorTable!$A$2:$A$301,0), Skills!M17+1)</f>
        <v>1460</v>
      </c>
      <c r="F301">
        <f>IF(Skills!N17=TRUE,(Skills!L17/10)*(E301/1000),Skills!L17/10)+Skills!O17</f>
        <v>17.52</v>
      </c>
      <c r="G301">
        <f>Calc!G17</f>
        <v>1</v>
      </c>
      <c r="H301">
        <f>Calc!H17</f>
        <v>1</v>
      </c>
      <c r="I301">
        <f>IF(Skills!X17&lt;&gt;"",1+(Skills!X17/10)*(R287/1000)/100,1)</f>
        <v>1</v>
      </c>
      <c r="O301">
        <v>0</v>
      </c>
      <c r="P301">
        <f>IF(B323=0,0,O301/B323)</f>
        <v>0</v>
      </c>
      <c r="S301">
        <f>IF(AND(Inputs!$B$4&lt;&gt;"pvp",Inputs!$B$35&gt;0),(INT(Inputs!$B$35/IF(Inputs!$B$4="pvp",15,MAX(0.1,Skills!E17-IF(Skills!F17=TRUE,Inputs!$B$31,0))))+1),0)</f>
        <v>0</v>
      </c>
      <c r="V301">
        <f>IFERROR(1/IF(Inputs!$B$4="pvp",15,MAX(0.1,Skills!E17-IF(Skills!F17=TRUE,Inputs!$B$31,0))),0)</f>
        <v>4.7619047619047616E-2</v>
      </c>
    </row>
    <row r="302" spans="1:22" x14ac:dyDescent="0.2">
      <c r="A302" t="str">
        <f>Skills!A18</f>
        <v>NIMBLE_FEET</v>
      </c>
      <c r="B302" t="str">
        <f>Skills!B18</f>
        <v>Nimble Feet</v>
      </c>
      <c r="C302" t="b">
        <f>TRUE</f>
        <v>1</v>
      </c>
      <c r="D302">
        <f>IF(Skills!C18=1,60+Inputs!$B$24+Inputs!$B$28,IF(Skills!C18=2,90+Inputs!$B$25+Inputs!$B$28,IF(Skills!C18=3,120+Inputs!$B$26+Inputs!$B$28,MAX(0,(Inputs!$B$3-100)*3)+Inputs!$B$27+Inputs!$B$28)))</f>
        <v>115</v>
      </c>
      <c r="E302">
        <f>INDEX(FactorTable!$B$2:$Y$301, MATCH(ROUND(MIN(300,MAX(1,D302)),0), FactorTable!$A$2:$A$301,0), Skills!M18+1)</f>
        <v>0</v>
      </c>
      <c r="F302">
        <f>IF(Skills!N18=TRUE,(Skills!L18/10)*(E302/1000),Skills!L18/10)+Skills!O18</f>
        <v>15</v>
      </c>
      <c r="G302">
        <f>Calc!G18</f>
        <v>1</v>
      </c>
      <c r="H302">
        <f>Calc!H18</f>
        <v>1</v>
      </c>
      <c r="I302">
        <f>IF(Skills!X18&lt;&gt;"",1+(Skills!X18/10)*(R287/1000)/100,1)</f>
        <v>1</v>
      </c>
      <c r="O302">
        <v>0</v>
      </c>
      <c r="P302">
        <f>IF(B323=0,0,O302/B323)</f>
        <v>0</v>
      </c>
      <c r="S302">
        <f>IF(AND(Inputs!$B$4&lt;&gt;"pvp",Inputs!$B$35&gt;0),(INT(Inputs!$B$35/IF(Inputs!$B$4="pvp",15,MAX(0.1,Skills!E18-IF(Skills!F18=TRUE,Inputs!$B$31,0))))+1),0)</f>
        <v>0</v>
      </c>
      <c r="V302">
        <f>IFERROR(1/IF(Inputs!$B$4="pvp",15,MAX(0.1,Skills!E18-IF(Skills!F18=TRUE,Inputs!$B$31,0))),0)</f>
        <v>1.6666666666666666E-2</v>
      </c>
    </row>
    <row r="303" spans="1:22" x14ac:dyDescent="0.2">
      <c r="A303" t="str">
        <f>Skills!A19</f>
        <v>INFINITY</v>
      </c>
      <c r="B303" t="str">
        <f>Skills!B19</f>
        <v>Infinity</v>
      </c>
      <c r="C303" t="b">
        <f>Inputs!$B$3&gt;=110</f>
        <v>1</v>
      </c>
      <c r="D303">
        <f>IF(Skills!C19=1,60+Inputs!$B$24+Inputs!$B$28,IF(Skills!C19=2,90+Inputs!$B$25+Inputs!$B$28,IF(Skills!C19=3,120+Inputs!$B$26+Inputs!$B$28,MAX(0,(Inputs!$B$3-100)*3)+Inputs!$B$27+Inputs!$B$28)))</f>
        <v>172</v>
      </c>
      <c r="E303">
        <f>INDEX(FactorTable!$B$2:$Y$301, MATCH(ROUND(MIN(300,MAX(1,D303)),0), FactorTable!$A$2:$A$301,0), Skills!M19+1)</f>
        <v>1688</v>
      </c>
      <c r="F303">
        <f>IF(Skills!N19=TRUE,(Skills!L19/10)*(E303/1000),Skills!L19/10)+Skills!O19</f>
        <v>36.573895999999998</v>
      </c>
      <c r="G303">
        <f>Calc!G19</f>
        <v>1</v>
      </c>
      <c r="H303">
        <f>Calc!H19</f>
        <v>1</v>
      </c>
      <c r="I303">
        <f>IF(Skills!X19&lt;&gt;"",1+(Skills!X19/10)*(R287/1000)/100,1)</f>
        <v>1</v>
      </c>
      <c r="O303">
        <v>0</v>
      </c>
      <c r="P303">
        <f>IF(B323=0,0,O303/B323)</f>
        <v>0</v>
      </c>
      <c r="S303">
        <f>IF(AND(Inputs!$B$4&lt;&gt;"pvp",Inputs!$B$35&gt;0),(INT(Inputs!$B$35/IF(Inputs!$B$4="pvp",15,MAX(0.1,Skills!E19-IF(Skills!F19=TRUE,Inputs!$B$31,0))))+1),0)</f>
        <v>0</v>
      </c>
      <c r="V303">
        <f>IFERROR(1/IF(Inputs!$B$4="pvp",15,MAX(0.1,Skills!E19-IF(Skills!F19=TRUE,Inputs!$B$31,0))),0)</f>
        <v>3.3333333333333333E-2</v>
      </c>
    </row>
    <row r="304" spans="1:22" x14ac:dyDescent="0.2">
      <c r="A304" t="str">
        <f>Skills!A20</f>
        <v>MAGIC_CRITICAL_RATE</v>
      </c>
      <c r="B304" t="str">
        <f>Skills!B20</f>
        <v>Magic Critical (Crit Rate)</v>
      </c>
      <c r="C304" t="b">
        <f>TRUE</f>
        <v>1</v>
      </c>
      <c r="D304">
        <f>IF(Skills!C20=1,60+Inputs!$B$24+Inputs!$B$28,IF(Skills!C20=2,90+Inputs!$B$25+Inputs!$B$28,IF(Skills!C20=3,120+Inputs!$B$26+Inputs!$B$28,MAX(0,(Inputs!$B$3-100)*3)+Inputs!$B$27+Inputs!$B$28)))</f>
        <v>184</v>
      </c>
      <c r="E304">
        <f>INDEX(FactorTable!$B$2:$Y$301, MATCH(ROUND(MIN(300,MAX(1,D304)),0), FactorTable!$A$2:$A$301,0), Skills!M20+1)</f>
        <v>1552</v>
      </c>
      <c r="F304">
        <f>IF(Skills!N20=TRUE,(Skills!L20/10)*(E304/1000),Skills!L20/10)+Skills!O20</f>
        <v>12.416</v>
      </c>
      <c r="G304">
        <f>Calc!G20</f>
        <v>1</v>
      </c>
      <c r="H304">
        <f>Calc!H20</f>
        <v>1</v>
      </c>
      <c r="I304">
        <f>IF(Skills!X20&lt;&gt;"",1+(Skills!X20/10)*(R287/1000)/100,1)</f>
        <v>1</v>
      </c>
      <c r="O304">
        <v>0</v>
      </c>
      <c r="P304">
        <f>IF(B323=0,0,O304/B323)</f>
        <v>0</v>
      </c>
      <c r="S304">
        <v>0</v>
      </c>
      <c r="V304">
        <f>IFERROR(1/IF(Inputs!$B$4="pvp",15,MAX(0.1,Skills!E20-IF(Skills!F20=TRUE,Inputs!$B$31,0))),0)</f>
        <v>10</v>
      </c>
    </row>
    <row r="305" spans="1:22" x14ac:dyDescent="0.2">
      <c r="A305" t="str">
        <f>Skills!A21</f>
        <v>MAGIC_CRITICAL_DAMAGE</v>
      </c>
      <c r="B305" t="str">
        <f>Skills!B21</f>
        <v>Magic Critical (Crit Damage)</v>
      </c>
      <c r="C305" t="b">
        <f>TRUE</f>
        <v>1</v>
      </c>
      <c r="D305">
        <f>IF(Skills!C21=1,60+Inputs!$B$24+Inputs!$B$28,IF(Skills!C21=2,90+Inputs!$B$25+Inputs!$B$28,IF(Skills!C21=3,120+Inputs!$B$26+Inputs!$B$28,MAX(0,(Inputs!$B$3-100)*3)+Inputs!$B$27+Inputs!$B$28)))</f>
        <v>184</v>
      </c>
      <c r="E305">
        <f>INDEX(FactorTable!$B$2:$Y$301, MATCH(ROUND(MIN(300,MAX(1,D305)),0), FactorTable!$A$2:$A$301,0), Skills!M21+1)</f>
        <v>1552</v>
      </c>
      <c r="F305">
        <f>IF(Skills!N21=TRUE,(Skills!L21/10)*(E305/1000),Skills!L21/10)+Skills!O21</f>
        <v>18.624000000000002</v>
      </c>
      <c r="G305">
        <f>Calc!G21</f>
        <v>1</v>
      </c>
      <c r="H305">
        <f>Calc!H21</f>
        <v>1</v>
      </c>
      <c r="I305">
        <f>IF(Skills!X21&lt;&gt;"",1+(Skills!X21/10)*(R287/1000)/100,1)</f>
        <v>1</v>
      </c>
      <c r="O305">
        <v>0</v>
      </c>
      <c r="P305">
        <f>IF(B323=0,0,O305/B323)</f>
        <v>0</v>
      </c>
      <c r="S305">
        <v>0</v>
      </c>
      <c r="V305">
        <f>IFERROR(1/IF(Inputs!$B$4="pvp",15,MAX(0.1,Skills!E21-IF(Skills!F21=TRUE,Inputs!$B$31,0))),0)</f>
        <v>10</v>
      </c>
    </row>
    <row r="306" spans="1:22" x14ac:dyDescent="0.2">
      <c r="A306" t="str">
        <f>Skills!A22</f>
        <v>SPELL_MASTERY</v>
      </c>
      <c r="B306" t="str">
        <f>Skills!B22</f>
        <v>Spell Mastery</v>
      </c>
      <c r="C306" t="b">
        <f>TRUE</f>
        <v>1</v>
      </c>
      <c r="D306">
        <f>IF(Skills!C22=1,60+Inputs!$B$24+Inputs!$B$28,IF(Skills!C22=2,90+Inputs!$B$25+Inputs!$B$28,IF(Skills!C22=3,120+Inputs!$B$26+Inputs!$B$28,MAX(0,(Inputs!$B$3-100)*3)+Inputs!$B$27+Inputs!$B$28)))</f>
        <v>164</v>
      </c>
      <c r="E306">
        <f>INDEX(FactorTable!$B$2:$Y$301, MATCH(ROUND(MIN(300,MAX(1,D306)),0), FactorTable!$A$2:$A$301,0), Skills!M22+1)</f>
        <v>1492</v>
      </c>
      <c r="F306">
        <f>IF(Skills!N22=TRUE,(Skills!L22/10)*(E306/1000),Skills!L22/10)+Skills!O22</f>
        <v>22.38</v>
      </c>
      <c r="G306">
        <f>Calc!G22</f>
        <v>1</v>
      </c>
      <c r="H306">
        <f>Calc!H22</f>
        <v>1</v>
      </c>
      <c r="I306">
        <f>IF(Skills!X22&lt;&gt;"",1+(Skills!X22/10)*(R287/1000)/100,1)</f>
        <v>1</v>
      </c>
      <c r="O306">
        <v>0</v>
      </c>
      <c r="P306">
        <f>IF(B323=0,0,O306/B323)</f>
        <v>0</v>
      </c>
      <c r="S306">
        <v>0</v>
      </c>
      <c r="V306">
        <f>IFERROR(1/IF(Inputs!$B$4="pvp",15,MAX(0.1,Skills!E22-IF(Skills!F22=TRUE,Inputs!$B$31,0))),0)</f>
        <v>10</v>
      </c>
    </row>
    <row r="307" spans="1:22" x14ac:dyDescent="0.2">
      <c r="A307" t="str">
        <f>Skills!A23</f>
        <v>ELEMENT_AMPLIFICATION</v>
      </c>
      <c r="B307" t="str">
        <f>Skills!B23</f>
        <v>Element Amplification</v>
      </c>
      <c r="C307" t="b">
        <f>TRUE</f>
        <v>1</v>
      </c>
      <c r="D307">
        <f>IF(Skills!C23=1,60+Inputs!$B$24+Inputs!$B$28,IF(Skills!C23=2,90+Inputs!$B$25+Inputs!$B$28,IF(Skills!C23=3,120+Inputs!$B$26+Inputs!$B$28,MAX(0,(Inputs!$B$3-100)*3)+Inputs!$B$27+Inputs!$B$28)))</f>
        <v>172</v>
      </c>
      <c r="E307">
        <f>INDEX(FactorTable!$B$2:$Y$301, MATCH(ROUND(MIN(300,MAX(1,D307)),0), FactorTable!$A$2:$A$301,0), Skills!M23+1)</f>
        <v>1516</v>
      </c>
      <c r="F307">
        <f>IF(Skills!N23=TRUE,(Skills!L23/10)*(E307/1000),Skills!L23/10)+Skills!O23</f>
        <v>22.740000000000002</v>
      </c>
      <c r="G307">
        <f>Calc!G23</f>
        <v>1</v>
      </c>
      <c r="H307">
        <f>Calc!H23</f>
        <v>1</v>
      </c>
      <c r="I307">
        <f>IF(Skills!X23&lt;&gt;"",1+(Skills!X23/10)*(R287/1000)/100,1)</f>
        <v>1</v>
      </c>
      <c r="O307">
        <v>0</v>
      </c>
      <c r="P307">
        <f>IF(B323=0,0,O307/B323)</f>
        <v>0</v>
      </c>
      <c r="S307">
        <v>0</v>
      </c>
      <c r="V307">
        <f>IFERROR(1/IF(Inputs!$B$4="pvp",15,MAX(0.1,Skills!E23-IF(Skills!F23=TRUE,Inputs!$B$31,0))),0)</f>
        <v>10</v>
      </c>
    </row>
    <row r="308" spans="1:22" x14ac:dyDescent="0.2">
      <c r="A308" t="str">
        <f>Skills!A24</f>
        <v>IFRIT</v>
      </c>
      <c r="B308" t="str">
        <f>Skills!B24</f>
        <v>Ifrit</v>
      </c>
      <c r="C308" t="b">
        <f>Inputs!$B$3&gt;=115</f>
        <v>0</v>
      </c>
      <c r="D308">
        <f>IF(Skills!C24=1,60+Inputs!$B$24+Inputs!$B$28,IF(Skills!C24=2,90+Inputs!$B$25+Inputs!$B$28,IF(Skills!C24=3,120+Inputs!$B$26+Inputs!$B$28,MAX(0,(Inputs!$B$3-100)*3)+Inputs!$B$27+Inputs!$B$28)))</f>
        <v>172</v>
      </c>
      <c r="E308">
        <f>INDEX(FactorTable!$B$2:$Y$301, MATCH(ROUND(MIN(300,MAX(1,D308)),0), FactorTable!$A$2:$A$301,0), Skills!M24+1)</f>
        <v>1860</v>
      </c>
      <c r="F308">
        <f>IF(Skills!N24=TRUE,(Skills!L24/10)*(E308/1000),Skills!L24/10)+Skills!O24</f>
        <v>6510</v>
      </c>
      <c r="G308">
        <f>Calc!G24</f>
        <v>7.5</v>
      </c>
      <c r="H308">
        <f>Calc!H24</f>
        <v>1</v>
      </c>
      <c r="I308">
        <f>IF(Skills!X24&lt;&gt;"",1+(Skills!X24/10)*(R287/1000)/100,1)</f>
        <v>1</v>
      </c>
      <c r="J308">
        <f>((Inputs!$B$5*(1+Inputs!$B$6/100))+((Inputs!$B$11*(1+Inputs!$B$12/100))-(Inputs!$B$11*(1+Inputs!$B$12/100)))*(1+Inputs!$B$6/100))*(F308/100)</f>
        <v>16263999540.532799</v>
      </c>
      <c r="K308">
        <f>J308*(1+((Inputs!$B$11*(1+Inputs!$B$12/100))*0.01+Inputs!$B$13*0.0025)/100)*(1+Inputs!$B$14/100)*(1+IF(Inputs!$B$4="pvp",0,(1-Summary!$B$56)*(Inputs!$B$19+Skills!P24)+Summary!$B$56*(Inputs!$B$20+Skills!Q24))/100)*(1+Inputs!$B$15/100)*(5000/(6000+Inputs!$B$7*(1-Inputs!$B$18/100)))*(1+((((1+Inputs!$B$23/100)*(1.01))-1)*100)/100)*(1+F307/100)*(1+IF(Inputs!$B$3&gt;=120,F310,0)/100)^5*(1+(IF(Skills!A24="BASIC_ATTACK",Inputs!$B$16,Inputs!$B$17+IF(Inputs!$B$3&gt;=125,F311*5,0)))/100)*(B314*B315*B316*I308)</f>
        <v>124972589089398.7</v>
      </c>
      <c r="L308">
        <f>K308*(MIN(Inputs!$B$21+(F306-Calc!F22),Inputs!$B$22)/100+Inputs!$B$22/100)/2</f>
        <v>337363504246831.75</v>
      </c>
      <c r="M308">
        <f>L308*(1+(Inputs!$B$9+(F305-Calc!F21))/100)</f>
        <v>1413890446298472</v>
      </c>
      <c r="N308">
        <f>L308*(1-MIN(Inputs!$B$8+(F304-Calc!F20),100)/100)+M308*(MIN(Inputs!$B$8+(F304-Calc!F20),100)/100)</f>
        <v>1413890446298472</v>
      </c>
      <c r="O308">
        <f>IF(C308,H308*N308*IF(AND(Inputs!$B$4&lt;&gt;"pvp",Inputs!$B$35&gt;0),((Skills!G24*((S308-1)*IF(Skills!H24&gt;0,Skills!I24/Skills!H24,1)+IF(Skills!H24&gt;0,MIN(Skills!I24,MAX(0,Inputs!$B$35-((S308-1)*IF(Inputs!$B$4="pvp",15,MAX(0.1,Skills!E24-IF(Skills!F24=TRUE,Inputs!$B$31,0))))))/Skills!H24,1)))/Inputs!$B$35),G308*V308)*(1+IF(Inputs!$B$3&gt;=130,0.2*(Skills!I16/Skills!E15+IF(Inputs!$B$3&gt;=126,0.05*(B320+V297+(H298*B321)/(1+Skills!H14*H298*B321)+V308),0)*Skills!I16),0))*IF(Inputs!$B$4="pvp",1,(1-Summary!$B$56)*(1)+Summary!$B$56*(MIN(Skills!R24,Inputs!$B$37))),0)</f>
        <v>0</v>
      </c>
      <c r="P308">
        <f>IF(B323=0,0,O308/B323)</f>
        <v>0</v>
      </c>
      <c r="S308">
        <f>IF(AND(Inputs!$B$4&lt;&gt;"pvp",Inputs!$B$35&gt;0),(INT(Inputs!$B$35/IF(Inputs!$B$4="pvp",15,MAX(0.1,Skills!E24-IF(Skills!F24=TRUE,Inputs!$B$31,0))))+1),0)</f>
        <v>0</v>
      </c>
      <c r="V308">
        <f>IFERROR(1/IF(Inputs!$B$4="pvp",15,MAX(0.1,Skills!E24-IF(Skills!F24=TRUE,Inputs!$B$31,0))),0)</f>
        <v>1.2500000000000001E-2</v>
      </c>
    </row>
    <row r="309" spans="1:22" x14ac:dyDescent="0.2">
      <c r="A309" t="str">
        <f>Skills!A25</f>
        <v>BUFF_MASTERY</v>
      </c>
      <c r="B309" t="str">
        <f>Skills!B25</f>
        <v>Buff Mastery</v>
      </c>
      <c r="C309" t="b">
        <f>Inputs!$B$3&gt;=117</f>
        <v>0</v>
      </c>
      <c r="D309">
        <f>IF(Skills!C25=1,60+Inputs!$B$24+Inputs!$B$28,IF(Skills!C25=2,90+Inputs!$B$25+Inputs!$B$28,IF(Skills!C25=3,120+Inputs!$B$26+Inputs!$B$28,MAX(0,(Inputs!$B$3-100)*3)+Inputs!$B$27+Inputs!$B$28)))</f>
        <v>172</v>
      </c>
      <c r="E309">
        <f>INDEX(FactorTable!$B$2:$Y$301, MATCH(ROUND(MIN(300,MAX(1,D309)),0), FactorTable!$A$2:$A$301,0), Skills!M25+1)</f>
        <v>1516</v>
      </c>
      <c r="F309">
        <f>IF(Skills!N25=TRUE,(Skills!L25/10)*(E309/1000),Skills!L25/10)+Skills!O25</f>
        <v>15.16</v>
      </c>
      <c r="G309">
        <f>Calc!G25</f>
        <v>1</v>
      </c>
      <c r="H309">
        <f>Calc!H25</f>
        <v>1</v>
      </c>
      <c r="I309">
        <f>IF(Skills!X25&lt;&gt;"",1+(Skills!X25/10)*(R287/1000)/100,1)</f>
        <v>1</v>
      </c>
      <c r="O309">
        <v>0</v>
      </c>
      <c r="P309">
        <f>IF(B323=0,0,O309/B323)</f>
        <v>0</v>
      </c>
      <c r="S309">
        <v>0</v>
      </c>
      <c r="V309">
        <f>IFERROR(1/IF(Inputs!$B$4="pvp",15,MAX(0.1,Skills!E25-IF(Skills!F25=TRUE,Inputs!$B$31,0))),0)</f>
        <v>10</v>
      </c>
    </row>
    <row r="310" spans="1:22" x14ac:dyDescent="0.2">
      <c r="A310" t="str">
        <f>Skills!A26</f>
        <v>ARCANE_AIM</v>
      </c>
      <c r="B310" t="str">
        <f>Skills!B26</f>
        <v>Arcane Aim</v>
      </c>
      <c r="C310" t="b">
        <f>Inputs!$B$3&gt;=120</f>
        <v>0</v>
      </c>
      <c r="D310">
        <f>IF(Skills!C26=1,60+Inputs!$B$24+Inputs!$B$28,IF(Skills!C26=2,90+Inputs!$B$25+Inputs!$B$28,IF(Skills!C26=3,120+Inputs!$B$26+Inputs!$B$28,MAX(0,(Inputs!$B$3-100)*3)+Inputs!$B$27+Inputs!$B$28)))</f>
        <v>172</v>
      </c>
      <c r="E310">
        <f>INDEX(FactorTable!$B$2:$Y$301, MATCH(ROUND(MIN(300,MAX(1,D310)),0), FactorTable!$A$2:$A$301,0), Skills!M26+1)</f>
        <v>1516</v>
      </c>
      <c r="F310">
        <f>IF(Skills!N26=TRUE,(Skills!L26/10)*(E310/1000),Skills!L26/10)+Skills!O26</f>
        <v>4.548</v>
      </c>
      <c r="G310">
        <f>Calc!G26</f>
        <v>1</v>
      </c>
      <c r="H310">
        <f>Calc!H26</f>
        <v>1</v>
      </c>
      <c r="I310">
        <f>IF(Skills!X26&lt;&gt;"",1+(Skills!X26/10)*(R287/1000)/100,1)</f>
        <v>1</v>
      </c>
      <c r="O310">
        <v>0</v>
      </c>
      <c r="P310">
        <f>IF(B323=0,0,O310/B323)</f>
        <v>0</v>
      </c>
      <c r="S310">
        <v>0</v>
      </c>
      <c r="V310">
        <f>IFERROR(1/IF(Inputs!$B$4="pvp",15,MAX(0.1,Skills!E26-IF(Skills!F26=TRUE,Inputs!$B$31,0))),0)</f>
        <v>10</v>
      </c>
    </row>
    <row r="311" spans="1:22" x14ac:dyDescent="0.2">
      <c r="A311" t="str">
        <f>Skills!A27</f>
        <v>FERVENT_DRAIN</v>
      </c>
      <c r="B311" t="str">
        <f>Skills!B27</f>
        <v>Fervent Drain</v>
      </c>
      <c r="C311" t="b">
        <f>Inputs!$B$3&gt;=125</f>
        <v>0</v>
      </c>
      <c r="D311">
        <f>IF(Skills!C27=1,60+Inputs!$B$24+Inputs!$B$28,IF(Skills!C27=2,90+Inputs!$B$25+Inputs!$B$28,IF(Skills!C27=3,120+Inputs!$B$26+Inputs!$B$28,MAX(0,(Inputs!$B$3-100)*3)+Inputs!$B$27+Inputs!$B$28)))</f>
        <v>172</v>
      </c>
      <c r="E311">
        <f>INDEX(FactorTable!$B$2:$Y$301, MATCH(ROUND(MIN(300,MAX(1,D311)),0), FactorTable!$A$2:$A$301,0), Skills!M27+1)</f>
        <v>1516</v>
      </c>
      <c r="F311">
        <f>IF(Skills!N27=TRUE,(Skills!L27/10)*(E311/1000),Skills!L27/10)+Skills!O27</f>
        <v>6.0640000000000001</v>
      </c>
      <c r="G311">
        <f>Calc!G27</f>
        <v>1</v>
      </c>
      <c r="H311">
        <f>Calc!H27</f>
        <v>1</v>
      </c>
      <c r="I311">
        <f>IF(Skills!X27&lt;&gt;"",1+(Skills!X27/10)*(R287/1000)/100,1)</f>
        <v>1</v>
      </c>
      <c r="O311">
        <v>0</v>
      </c>
      <c r="P311">
        <f>IF(B323=0,0,O311/B323)</f>
        <v>0</v>
      </c>
      <c r="S311">
        <v>0</v>
      </c>
      <c r="V311">
        <f>IFERROR(1/IF(Inputs!$B$4="pvp",15,MAX(0.1,Skills!E27-IF(Skills!F27=TRUE,Inputs!$B$31,0))),0)</f>
        <v>10</v>
      </c>
    </row>
    <row r="312" spans="1:22" x14ac:dyDescent="0.2">
      <c r="A312" t="str">
        <f>Skills!A28</f>
        <v>FLAME_HAZE_FOG</v>
      </c>
      <c r="B312" t="str">
        <f>Skills!B28</f>
        <v>Flame Haze (poison fog DoT)</v>
      </c>
      <c r="C312" t="b">
        <f>Inputs!$B$3&gt;=118</f>
        <v>0</v>
      </c>
      <c r="D312">
        <f>IF(Skills!C28=1,60+Inputs!$B$24+Inputs!$B$28,IF(Skills!C28=2,90+Inputs!$B$25+Inputs!$B$28,IF(Skills!C28=3,120+Inputs!$B$26+Inputs!$B$28,MAX(0,(Inputs!$B$3-100)*3)+Inputs!$B$27+Inputs!$B$28)))</f>
        <v>172</v>
      </c>
      <c r="E312">
        <f>INDEX(FactorTable!$B$2:$Y$301, MATCH(ROUND(MIN(300,MAX(1,D312)),0), FactorTable!$A$2:$A$301,0), Skills!M28+1)</f>
        <v>1860</v>
      </c>
      <c r="F312">
        <f>IF(Skills!N28=TRUE,(Skills!L28/10)*(E312/1000),Skills!L28/10)+Skills!O28</f>
        <v>130.20000000000002</v>
      </c>
      <c r="G312">
        <f>Calc!G28</f>
        <v>50</v>
      </c>
      <c r="H312">
        <f>Calc!H28</f>
        <v>1</v>
      </c>
      <c r="I312">
        <f>IF(Skills!X28&lt;&gt;"",1+(Skills!X28/10)*(R287/1000)/100,1)</f>
        <v>1</v>
      </c>
      <c r="J312">
        <f>((Inputs!$B$5*(1+Inputs!$B$6/100))+((Inputs!$B$11*(1+Inputs!$B$12/100))-(Inputs!$B$11*(1+Inputs!$B$12/100)))*(1+Inputs!$B$6/100))*(F312/100)</f>
        <v>325279990.81065607</v>
      </c>
      <c r="K312">
        <f>J312*(1+((Inputs!$B$11*(1+Inputs!$B$12/100))*0.01+Inputs!$B$13*0.0025)/100)*(1+Inputs!$B$14/100)*(1+IF(Inputs!$B$4="pvp",0,(1-Summary!$B$56)*(Inputs!$B$19+Skills!P28)+Summary!$B$56*(Inputs!$B$20+Skills!Q28))/100)*(1+Inputs!$B$15/100)*(5000/(6000+Inputs!$B$7*(1-Inputs!$B$18/100)))*(1+((((1+Inputs!$B$23/100)*(1.01))-1)*100)/100)*(1+F307/100)*(1+IF(Inputs!$B$3&gt;=120,F310,0)/100)^5*(1+(IF(Skills!A28="BASIC_ATTACK",Inputs!$B$16,Inputs!$B$17+IF(Inputs!$B$3&gt;=125,F311*5,0)))/100)*(B314*B315*B316*I312)</f>
        <v>2499451781787.9756</v>
      </c>
      <c r="L312">
        <f>K312*(MIN(Inputs!$B$21+(F306-Calc!F22),Inputs!$B$22)/100+Inputs!$B$22/100)/2</f>
        <v>6747270084936.6387</v>
      </c>
      <c r="M312">
        <f>L312*(1+(Inputs!$B$9+(F305-Calc!F21))/100)</f>
        <v>28277808925969.457</v>
      </c>
      <c r="N312">
        <f>L312*(1-MIN(Inputs!$B$8+(F304-Calc!F20),100)/100)+M312*(MIN(Inputs!$B$8+(F304-Calc!F20),100)/100)</f>
        <v>28277808925969.457</v>
      </c>
      <c r="O312">
        <f>IF(C312,H312*N312*IF(AND(Inputs!$B$4&lt;&gt;"pvp",Inputs!$B$35&gt;0),((Skills!G28*((S312-1)*IF(Skills!H28&gt;0,Skills!I28/Skills!H28,1)+IF(Skills!H28&gt;0,MIN(Skills!I28,MAX(0,Inputs!$B$35-((S312-1)*IF(Inputs!$B$4="pvp",15,MAX(0.1,Skills!E28-IF(Skills!F28=TRUE,Inputs!$B$31,0))))))/Skills!H28,1)))/Inputs!$B$35),G312*V312)*IF(Inputs!$B$4="pvp",1,(1-Summary!$B$56)*(1)+Summary!$B$56*(MIN(Skills!R28,Inputs!$B$37))),0)</f>
        <v>0</v>
      </c>
      <c r="P312">
        <f>IF(B323=0,0,O312/B323)</f>
        <v>0</v>
      </c>
      <c r="S312">
        <f>IF(AND(Inputs!$B$4&lt;&gt;"pvp",Inputs!$B$35&gt;0),(INT(Inputs!$B$35/IF(Inputs!$B$4="pvp",15,MAX(0.1,Skills!E28-IF(Skills!F28=TRUE,Inputs!$B$31,0))))+1),0)</f>
        <v>0</v>
      </c>
      <c r="V312">
        <f>IFERROR(1/IF(Inputs!$B$4="pvp",15,MAX(0.1,Skills!E28-IF(Skills!F28=TRUE,Inputs!$B$31,0))),0)</f>
        <v>0.04</v>
      </c>
    </row>
    <row r="314" spans="1:22" x14ac:dyDescent="0.2">
      <c r="A314" t="s">
        <v>222</v>
      </c>
      <c r="B314">
        <f>1+(F295*Skills!Z11)/100</f>
        <v>1.25</v>
      </c>
    </row>
    <row r="315" spans="1:22" x14ac:dyDescent="0.2">
      <c r="A315" t="s">
        <v>223</v>
      </c>
      <c r="B315">
        <f>1+F296/100</f>
        <v>1.18624</v>
      </c>
    </row>
    <row r="316" spans="1:22" x14ac:dyDescent="0.2">
      <c r="A316" t="s">
        <v>224</v>
      </c>
      <c r="B316">
        <f>(1+(F290*IF(AND(Inputs!$B$4&lt;&gt;"pvp",Inputs!$B$35&gt;0),(((S290-1)*(Skills!T6*(1+(Inputs!$B$33+IF(Inputs!$B$3&gt;=117,F309,0))/100))+MIN((Skills!T6*(1+(Inputs!$B$33+IF(Inputs!$B$3&gt;=117,F309,0))/100)),MAX(0,Inputs!$B$35-((S290-1)*Skills!E6))))/Inputs!$B$35),IF(Inputs!$B$4="pvp",MIN((Skills!T6*(1+(Inputs!$B$33+IF(Inputs!$B$3&gt;=117,F309,0))/100)),15)/15,(Skills!T6*(1+(Inputs!$B$33+IF(Inputs!$B$3&gt;=117,F309,0))/100))/Skills!E6))+F301*IF(AND(Inputs!$B$4&lt;&gt;"pvp",Inputs!$B$35&gt;0),(((S301-1)*(Skills!T17*(1+(Inputs!$B$33+IF(Inputs!$B$3&gt;=117,F309,0))/100))+MIN((Skills!T17*(1+(Inputs!$B$33+IF(Inputs!$B$3&gt;=117,F309,0))/100)),MAX(0,Inputs!$B$35-((S301-1)*Skills!E17))))/Inputs!$B$35),IF(Inputs!$B$4="pvp",MIN((Skills!T17*(1+(Inputs!$B$33+IF(Inputs!$B$3&gt;=117,F309,0))/100)),15)/15,(Skills!T17*(1+(Inputs!$B$33+IF(Inputs!$B$3&gt;=117,F309,0))/100))/Skills!E17)))/100)*IF(C303=TRUE,(1+F303*IF(AND(Inputs!$B$4&lt;&gt;"pvp",Inputs!$B$35&gt;0),(((S303-1)*(Skills!T19*(1+(Inputs!$B$33+IF(Inputs!$B$3&gt;=117,F309,0))/100))+MIN((Skills!T19*(1+(Inputs!$B$33+IF(Inputs!$B$3&gt;=117,F309,0))/100)),MAX(0,Inputs!$B$35-((S303-1)*Skills!E19))))/Inputs!$B$35),IF(Inputs!$B$4="pvp",MIN((Skills!T19*(1+(Inputs!$B$33+IF(Inputs!$B$3&gt;=117,F309,0))/100)),15)/15,(Skills!T19*(1+(Inputs!$B$33+IF(Inputs!$B$3&gt;=117,F309,0))/100))/Skills!E19))/100),1)</f>
        <v>1.5603265106950857</v>
      </c>
    </row>
    <row r="317" spans="1:22" x14ac:dyDescent="0.2">
      <c r="A317" t="s">
        <v>225</v>
      </c>
      <c r="B317">
        <f>F302*IF(AND(Inputs!$B$4&lt;&gt;"pvp",Inputs!$B$35&gt;0),(((S302-1)*(Skills!T18*(1+(Inputs!$B$33+IF(Inputs!$B$3&gt;=117,F309,0))/100))+MIN((Skills!T18*(1+(Inputs!$B$33+IF(Inputs!$B$3&gt;=117,F309,0))/100)),MAX(0,Inputs!$B$35-((S302-1)*Skills!E18))))/Inputs!$B$35),IF(Inputs!$B$4="pvp",MIN((Skills!T18*(1+(Inputs!$B$33+IF(Inputs!$B$3&gt;=117,F309,0))/100)),15)/15,(Skills!T18*(1+(Inputs!$B$33+IF(Inputs!$B$3&gt;=117,F309,0))/100))/Skills!E18))</f>
        <v>3.75</v>
      </c>
    </row>
    <row r="318" spans="1:22" x14ac:dyDescent="0.2">
      <c r="A318" t="s">
        <v>253</v>
      </c>
      <c r="B318">
        <f>1+MIN(150,150*(1-(1-Inputs!$B$10/150)*(1-B317/150)))/100</f>
        <v>1.6371249999999999</v>
      </c>
    </row>
    <row r="319" spans="1:22" x14ac:dyDescent="0.2">
      <c r="A319" t="s">
        <v>254</v>
      </c>
      <c r="B319">
        <f>IF(AND(Inputs!$B$4&lt;&gt;"pvp",Inputs!$B$35&gt;0),SUMPRODUCT((Skills!F2:F28=TRUE)*(C286:C312=TRUE)*S286:S312)/Inputs!$B$35,SUMPRODUCT((Skills!F2:F28=TRUE)*(C286:C312=TRUE)*V286:V312))</f>
        <v>0.33466433037861604</v>
      </c>
    </row>
    <row r="320" spans="1:22" x14ac:dyDescent="0.2">
      <c r="A320" t="s">
        <v>228</v>
      </c>
      <c r="B320">
        <f>MAX(0,B318-B319)</f>
        <v>1.3024606696213838</v>
      </c>
    </row>
    <row r="321" spans="1:22" x14ac:dyDescent="0.2">
      <c r="A321" t="s">
        <v>255</v>
      </c>
      <c r="B321">
        <f>IF(AND(Inputs!$B$4&lt;&gt;"pvp",Inputs!$B$35&gt;0),SUMPRODUCT((Skills!V2:V28=TRUE)*(C286:C312=TRUE)*S286:S312*Skills!W2:W28)/Inputs!$B$35,SUMPRODUCT((Skills!V2:V28=TRUE)*(C286:C312=TRUE)*V286:V312*Skills!W2:W28))+B320</f>
        <v>1.5297416426166426</v>
      </c>
    </row>
    <row r="323" spans="1:22" x14ac:dyDescent="0.2">
      <c r="A323" s="5" t="s">
        <v>208</v>
      </c>
      <c r="B323" s="5">
        <f>SUM(O286:O312)</f>
        <v>8422979761457239</v>
      </c>
    </row>
    <row r="326" spans="1:22" x14ac:dyDescent="0.2">
      <c r="A326" s="5" t="s">
        <v>262</v>
      </c>
    </row>
    <row r="327" spans="1:22" x14ac:dyDescent="0.2">
      <c r="A327" s="8" t="s">
        <v>74</v>
      </c>
      <c r="B327" s="8" t="s">
        <v>75</v>
      </c>
      <c r="C327" s="8" t="s">
        <v>190</v>
      </c>
      <c r="D327" s="8" t="s">
        <v>191</v>
      </c>
      <c r="E327" s="8" t="s">
        <v>192</v>
      </c>
      <c r="F327" s="8" t="s">
        <v>193</v>
      </c>
      <c r="G327" s="8" t="s">
        <v>194</v>
      </c>
      <c r="H327" s="8" t="s">
        <v>195</v>
      </c>
      <c r="I327" s="8" t="s">
        <v>196</v>
      </c>
      <c r="J327" s="8" t="s">
        <v>197</v>
      </c>
      <c r="K327" s="8" t="s">
        <v>198</v>
      </c>
      <c r="L327" s="8" t="s">
        <v>199</v>
      </c>
      <c r="M327" s="8" t="s">
        <v>200</v>
      </c>
      <c r="N327" s="8" t="s">
        <v>201</v>
      </c>
      <c r="O327" s="8" t="s">
        <v>202</v>
      </c>
      <c r="P327" s="8" t="s">
        <v>203</v>
      </c>
      <c r="R327" t="s">
        <v>252</v>
      </c>
    </row>
    <row r="328" spans="1:22" x14ac:dyDescent="0.2">
      <c r="A328" t="str">
        <f>Skills!A2</f>
        <v>BASIC_ATTACK</v>
      </c>
      <c r="B328" t="str">
        <f>Skills!B2</f>
        <v>Basic Attack</v>
      </c>
      <c r="C328" t="b">
        <f>TRUE</f>
        <v>1</v>
      </c>
      <c r="F328">
        <f>T330+Skills!O2</f>
        <v>510.52</v>
      </c>
      <c r="G328">
        <f>Calc!G2</f>
        <v>5</v>
      </c>
      <c r="H328">
        <f>Calc!H2</f>
        <v>1</v>
      </c>
      <c r="I328">
        <f>IF(Skills!X2&lt;&gt;"",1+(Skills!X2/10)*(R329/1000)/100,1)</f>
        <v>1</v>
      </c>
      <c r="J328">
        <f>((Inputs!$B$5*(1+Inputs!$B$6/100))+((Inputs!$B$11*(1+Inputs!$B$12/100))-(Inputs!$B$11*(1+Inputs!$B$12/100)))*(1+Inputs!$B$6/100))*(F328/100)</f>
        <v>1275437334.1678655</v>
      </c>
      <c r="K328">
        <f>J328*(1+((Inputs!$B$11*(1+Inputs!$B$12/100))*0.01+Inputs!$B$13*0.0025)/100)*(1+Inputs!$B$14/100)*(1+IF(Inputs!$B$4="pvp",0,(1-Summary!$B$56)*(Inputs!$B$19+Skills!P2)+Summary!$B$56*(Inputs!$B$20+Skills!Q2))/100)*(1+Inputs!$B$15/100)*(5000/(6000+Inputs!$B$7*(1-Inputs!$B$18/100)))*(1+Inputs!$B$23/100)*(1+F349/100)*(1+IF(Inputs!$B$3&gt;=120,F352,0)/100)^5*(1+(IF(Skills!A2="BASIC_ATTACK",Inputs!$B$16,Inputs!$B$17+IF(Inputs!$B$3&gt;=125,F353*5,0)))/100)*(B356*B357*B358*I328)</f>
        <v>6960952567530.5723</v>
      </c>
      <c r="L328">
        <f>K328*(MIN((Inputs!$B$21+1)+(F348-Calc!F22),Inputs!$B$22)/100+Inputs!$B$22/100)/2</f>
        <v>18825896218886.434</v>
      </c>
      <c r="M328">
        <f>L328*(1+(Inputs!$B$9+(F347-Calc!F21))/100)</f>
        <v>78899331053353.062</v>
      </c>
      <c r="N328">
        <f>L328*(1-MIN(Inputs!$B$8+(F346-Calc!F20),100)/100)+M328*(MIN(Inputs!$B$8+(F346-Calc!F20),100)/100)</f>
        <v>78899331053353.062</v>
      </c>
      <c r="O328">
        <f>Skills!G2*N328*B362*IF(Inputs!$B$4="pvp",1,(1-Summary!$B$56)*(1)+Summary!$B$56*(MIN((6+Inputs!$B$32+IF(Inputs!$B$3&gt;=136,1,0)),Inputs!$B$37)))</f>
        <v>3905004471144320</v>
      </c>
      <c r="P328">
        <f>IF(B365=0,0,O328/B365)</f>
        <v>0.46738363090508683</v>
      </c>
      <c r="R328">
        <f>MAX(0,(Inputs!$B$3-100)*3)+Inputs!$B$27+Inputs!$B$28</f>
        <v>172</v>
      </c>
      <c r="S328">
        <v>0</v>
      </c>
      <c r="T328">
        <f>MAX(0,(Inputs!$B$3-100)*3)+Inputs!$B$27+Inputs!$B$28</f>
        <v>172</v>
      </c>
      <c r="V328">
        <f>IFERROR(1/IF(Inputs!$B$4="pvp",15,MAX(0.1,Skills!E2-IF(Skills!F2=TRUE,Inputs!$B$31,0))),0)</f>
        <v>10</v>
      </c>
    </row>
    <row r="329" spans="1:22" x14ac:dyDescent="0.2">
      <c r="A329" t="str">
        <f>Skills!A3</f>
        <v>IGNITE</v>
      </c>
      <c r="B329" t="str">
        <f>Skills!B3</f>
        <v>Ignite</v>
      </c>
      <c r="C329" t="b">
        <f>TRUE</f>
        <v>1</v>
      </c>
      <c r="D329">
        <f>IF(Skills!C3=1,60+Inputs!$B$24+Inputs!$B$28,IF(Skills!C3=2,90+Inputs!$B$25+Inputs!$B$28,IF(Skills!C3=3,120+Inputs!$B$26+Inputs!$B$28,MAX(0,(Inputs!$B$3-100)*3)+Inputs!$B$27+Inputs!$B$28)))</f>
        <v>164</v>
      </c>
      <c r="E329">
        <f>INDEX(FactorTable!$B$2:$Y$301, MATCH(ROUND(MIN(300,MAX(1,D329)),0), FactorTable!$A$2:$A$301,0), Skills!M3+1)</f>
        <v>1656</v>
      </c>
      <c r="F329">
        <f>IF(Skills!N3=TRUE,(Skills!L3/10)*(E329/1000),Skills!L3/10)+Skills!O3</f>
        <v>121.52799999999999</v>
      </c>
      <c r="G329">
        <f>Calc!G3</f>
        <v>3</v>
      </c>
      <c r="H329">
        <f>Calc!H3</f>
        <v>1</v>
      </c>
      <c r="I329">
        <f>IF(Skills!X3&lt;&gt;"",1+(Skills!X3/10)*(R329/1000)/100,1)</f>
        <v>4.76</v>
      </c>
      <c r="J329">
        <f>((Inputs!$B$5*(1+Inputs!$B$6/100))+((Inputs!$B$11*(1+Inputs!$B$12/100))-(Inputs!$B$11*(1+Inputs!$B$12/100)))*(1+Inputs!$B$6/100))*(F329/100)</f>
        <v>303614644.57171583</v>
      </c>
      <c r="K329">
        <f>J329*(1+((Inputs!$B$11*(1+Inputs!$B$12/100))*0.01+Inputs!$B$13*0.0025)/100)*(1+Inputs!$B$14/100)*(1+IF(Inputs!$B$4="pvp",0,(1-Summary!$B$56)*(Inputs!$B$19+Skills!P3)+Summary!$B$56*(Inputs!$B$20+Skills!Q3))/100)*(1+Inputs!$B$15/100)*(5000/(6000+Inputs!$B$7*(1-Inputs!$B$18/100)))*(1+Inputs!$B$23/100)*(1+F349/100)*(1+IF(Inputs!$B$3&gt;=120,F352,0)/100)^5*(1+(IF(Skills!A3="BASIC_ATTACK",Inputs!$B$16,Inputs!$B$17+IF(Inputs!$B$3&gt;=125,F353*5,0)))/100)*(B356*B357*B358*I329)</f>
        <v>10995012018164.998</v>
      </c>
      <c r="L329">
        <f>K329*(MIN((Inputs!$B$21+1)+(F348-Calc!F22),Inputs!$B$22)/100+Inputs!$B$22/100)/2</f>
        <v>29736010003127.234</v>
      </c>
      <c r="M329">
        <f>L329*(1+(Inputs!$B$9+(F347-Calc!F21))/100)</f>
        <v>124623617923106.27</v>
      </c>
      <c r="N329">
        <f>L329*(1-MIN(Inputs!$B$8+(F346-Calc!F20),100)/100)+M329*(MIN(Inputs!$B$8+(F346-Calc!F20),100)/100)</f>
        <v>124623617923106.27</v>
      </c>
      <c r="O329">
        <f>IF(C329,H329*N329*IF(AND(Inputs!$B$4&lt;&gt;"pvp",Inputs!$B$35&gt;0),((Skills!G3*((S329-1)*IF(Skills!H3&gt;0,Skills!I3/Skills!H3,1)+IF(Skills!H3&gt;0,MIN(Skills!I3,MAX(0,Inputs!$B$35-((S329-1)*IF(Inputs!$B$4="pvp",15,MAX(0.1,Skills!E3-IF(Skills!F3=TRUE,Inputs!$B$31,0))))))/Skills!H3,1)))/Inputs!$B$35),G329*V329)*IF(Inputs!$B$4="pvp",1,(1-Summary!$B$56)*(1)+Summary!$B$56*(MIN(Skills!R3,Inputs!$B$37))),0)</f>
        <v>822515878292501.25</v>
      </c>
      <c r="P329">
        <f>IF(B365=0,0,O329/B365)</f>
        <v>9.8445587070168566E-2</v>
      </c>
      <c r="R329">
        <f>INDEX(FactorTable!$B$2:$Y$301, MATCH(ROUND(MIN(300,MAX(1,R328)),0), FactorTable!$A$2:$A$301,0), 24)</f>
        <v>7520</v>
      </c>
      <c r="S329">
        <f>IF(AND(Inputs!$B$4&lt;&gt;"pvp",Inputs!$B$35&gt;0),(INT(Inputs!$B$35/IF(Inputs!$B$4="pvp",15,MAX(0.1,Skills!E3-IF(Skills!F3=TRUE,Inputs!$B$31,0))))+1),0)</f>
        <v>0</v>
      </c>
      <c r="T329">
        <f>INDEX(FactorTable!$B$2:$Y$301, MATCH(ROUND(MIN(300,MAX(1,T328)),0), FactorTable!$A$2:$A$301,0), 22)</f>
        <v>1688</v>
      </c>
      <c r="V329">
        <f>IFERROR(1/IF(Inputs!$B$4="pvp",15,MAX(0.1,Skills!E3-IF(Skills!F3=TRUE,Inputs!$B$31,0))),0)</f>
        <v>1</v>
      </c>
    </row>
    <row r="330" spans="1:22" x14ac:dyDescent="0.2">
      <c r="A330" t="str">
        <f>Skills!A4</f>
        <v>POISON_BREATH</v>
      </c>
      <c r="B330" t="str">
        <f>Skills!B4</f>
        <v>Poison Breath</v>
      </c>
      <c r="C330" t="b">
        <f>TRUE</f>
        <v>1</v>
      </c>
      <c r="D330">
        <f>IF(Skills!C4=1,60+Inputs!$B$24+Inputs!$B$28,IF(Skills!C4=2,90+Inputs!$B$25+Inputs!$B$28,IF(Skills!C4=3,120+Inputs!$B$26+Inputs!$B$28,MAX(0,(Inputs!$B$3-100)*3)+Inputs!$B$27+Inputs!$B$28)))</f>
        <v>164</v>
      </c>
      <c r="E330">
        <f>INDEX(FactorTable!$B$2:$Y$301, MATCH(ROUND(MIN(300,MAX(1,D330)),0), FactorTable!$A$2:$A$301,0), Skills!M4+1)</f>
        <v>1820</v>
      </c>
      <c r="F330">
        <f>IF(Skills!N4=TRUE,(Skills!L4/10)*(E330/1000),Skills!L4/10)+Skills!O4</f>
        <v>434</v>
      </c>
      <c r="G330">
        <f>Calc!G4</f>
        <v>3</v>
      </c>
      <c r="H330">
        <f>Calc!H4</f>
        <v>1</v>
      </c>
      <c r="I330">
        <f>IF(Skills!X4&lt;&gt;"",1+(Skills!X4/10)*(R329/1000)/100,1)</f>
        <v>7.0159999999999991</v>
      </c>
      <c r="J330">
        <f>((Inputs!$B$5*(1+Inputs!$B$6/100))+((Inputs!$B$11*(1+Inputs!$B$12/100))-(Inputs!$B$11*(1+Inputs!$B$12/100)))*(1+Inputs!$B$6/100))*(F330/100)</f>
        <v>1084266636.0355198</v>
      </c>
      <c r="K330">
        <f>J330*(1+((Inputs!$B$11*(1+Inputs!$B$12/100))*0.01+Inputs!$B$13*0.0025)/100)*(1+Inputs!$B$14/100)*(1+IF(Inputs!$B$4="pvp",0,(1-Summary!$B$56)*(Inputs!$B$19+Skills!P4)+Summary!$B$56*(Inputs!$B$20+Skills!Q4))/100)*(1+Inputs!$B$15/100)*(5000/(6000+Inputs!$B$7*(1-Inputs!$B$18/100)))*(1+Inputs!$B$23/100)*(1+F349/100)*(1+IF(Inputs!$B$3&gt;=120,F352,0)/100)^5*(1+(IF(Skills!A4="BASIC_ATTACK",Inputs!$B$16,Inputs!$B$17+IF(Inputs!$B$3&gt;=125,F353*5,0)))/100)*(B356*B357*B358*I330)</f>
        <v>57875094722852.875</v>
      </c>
      <c r="L330">
        <f>K330*(MIN((Inputs!$B$21+1)+(F348-Calc!F22),Inputs!$B$22)/100+Inputs!$B$22/100)/2</f>
        <v>156523193677955.59</v>
      </c>
      <c r="M330">
        <f>L330*(1+(Inputs!$B$9+(F347-Calc!F21))/100)</f>
        <v>655988704704312</v>
      </c>
      <c r="N330">
        <f>L330*(1-MIN(Inputs!$B$8+(F346-Calc!F20),100)/100)+M330*(MIN(Inputs!$B$8+(F346-Calc!F20),100)/100)</f>
        <v>655988704704312</v>
      </c>
      <c r="O330">
        <f>IF(C330,H330*N330*IF(AND(Inputs!$B$4&lt;&gt;"pvp",Inputs!$B$35&gt;0),((Skills!G4*((S330-1)*IF(Skills!H4&gt;0,Skills!I4/Skills!H4,1)+IF(Skills!H4&gt;0,MIN(Skills!I4,MAX(0,Inputs!$B$35-((S330-1)*IF(Inputs!$B$4="pvp",15,MAX(0.1,Skills!E4-IF(Skills!F4=TRUE,Inputs!$B$31,0))))))/Skills!H4,1)))/Inputs!$B$35),G330*V330)*IF(Inputs!$B$4="pvp",1,(1-Summary!$B$56)*(1)+Summary!$B$56*(MIN(Skills!R4,Inputs!$B$37))),0)</f>
        <v>437325803136207.94</v>
      </c>
      <c r="P330">
        <f>IF(B365=0,0,O330/B365)</f>
        <v>5.2342813758261116E-2</v>
      </c>
      <c r="S330">
        <f>IF(AND(Inputs!$B$4&lt;&gt;"pvp",Inputs!$B$35&gt;0),(INT(Inputs!$B$35/IF(Inputs!$B$4="pvp",15,MAX(0.1,Skills!E4-IF(Skills!F4=TRUE,Inputs!$B$31,0))))+1),0)</f>
        <v>0</v>
      </c>
      <c r="T330">
        <f>290*T329/1000</f>
        <v>489.52</v>
      </c>
      <c r="V330">
        <f>IFERROR(1/IF(Inputs!$B$4="pvp",15,MAX(0.1,Skills!E4-IF(Skills!F4=TRUE,Inputs!$B$31,0))),0)</f>
        <v>5.5555555555555552E-2</v>
      </c>
    </row>
    <row r="331" spans="1:22" x14ac:dyDescent="0.2">
      <c r="A331" t="str">
        <f>Skills!A5</f>
        <v>ELEMENTAL_DRAIN</v>
      </c>
      <c r="B331" t="str">
        <f>Skills!B5</f>
        <v>Elemental Drain</v>
      </c>
      <c r="C331" t="b">
        <f>TRUE</f>
        <v>1</v>
      </c>
      <c r="D331">
        <f>IF(Skills!C5=1,60+Inputs!$B$24+Inputs!$B$28,IF(Skills!C5=2,90+Inputs!$B$25+Inputs!$B$28,IF(Skills!C5=3,120+Inputs!$B$26+Inputs!$B$28,MAX(0,(Inputs!$B$3-100)*3)+Inputs!$B$27+Inputs!$B$28)))</f>
        <v>164</v>
      </c>
      <c r="E331">
        <f>INDEX(FactorTable!$B$2:$Y$301, MATCH(ROUND(MIN(300,MAX(1,D331)),0), FactorTable!$A$2:$A$301,0), Skills!M5+1)</f>
        <v>1656</v>
      </c>
      <c r="F331">
        <f>IF(Skills!N5=TRUE,(Skills!L5/10)*(E331/1000),Skills!L5/10)+Skills!O5</f>
        <v>19.872</v>
      </c>
      <c r="G331">
        <f>Calc!G5</f>
        <v>5</v>
      </c>
      <c r="H331">
        <f>Calc!H5</f>
        <v>1</v>
      </c>
      <c r="I331">
        <f>IF(Skills!X5&lt;&gt;"",1+(Skills!X5/10)*(R329/1000)/100,1)</f>
        <v>12.28</v>
      </c>
      <c r="J331">
        <f>((Inputs!$B$5*(1+Inputs!$B$6/100))+((Inputs!$B$11*(1+Inputs!$B$12/100))-(Inputs!$B$11*(1+Inputs!$B$12/100)))*(1+Inputs!$B$6/100))*(F331/100)</f>
        <v>49646420.717276163</v>
      </c>
      <c r="K331">
        <f>J331*(1+((Inputs!$B$11*(1+Inputs!$B$12/100))*0.01+Inputs!$B$13*0.0025)/100)*(1+Inputs!$B$14/100)*(1+IF(Inputs!$B$4="pvp",0,(1-Summary!$B$56)*(Inputs!$B$19+Skills!P5)+Summary!$B$56*(Inputs!$B$20+Skills!Q5))/100)*(1+Inputs!$B$15/100)*(5000/(6000+Inputs!$B$7*(1-Inputs!$B$18/100)))*(1+Inputs!$B$23/100)*(1+F349/100)*(1+IF(Inputs!$B$3&gt;=120,F352,0)/100)^5*(1+(IF(Skills!A5="BASIC_ATTACK",Inputs!$B$16,Inputs!$B$17+IF(Inputs!$B$3&gt;=125,F353*5,0)))/100)*(B356*B357*B358*I331)</f>
        <v>4638230744159.3359</v>
      </c>
      <c r="L331">
        <f>K331*(MIN((Inputs!$B$21+1)+(F348-Calc!F22),Inputs!$B$22)/100+Inputs!$B$22/100)/2</f>
        <v>12544095047578.924</v>
      </c>
      <c r="M331">
        <f>L331*(1+(Inputs!$B$9+(F347-Calc!F21))/100)</f>
        <v>52572302344403.281</v>
      </c>
      <c r="N331">
        <f>L331*(1-MIN(Inputs!$B$8+(F346-Calc!F20),100)/100)+M331*(MIN(Inputs!$B$8+(F346-Calc!F20),100)/100)</f>
        <v>52572302344403.281</v>
      </c>
      <c r="O331">
        <f>IF(C331,H331*N331*IF(AND(Inputs!$B$4&lt;&gt;"pvp",Inputs!$B$35&gt;0),((Skills!G5*((S331-1)*IF(Skills!H5&gt;0,Skills!I5/Skills!H5,1)+IF(Skills!H5&gt;0,MIN(Skills!I5,MAX(0,Inputs!$B$35-((S331-1)*IF(Inputs!$B$4="pvp",15,MAX(0.1,Skills!E5-IF(Skills!F5=TRUE,Inputs!$B$31,0))))))/Skills!H5,1)))/Inputs!$B$35),G331*V331)*IF(Inputs!$B$4="pvp",1,(1-Summary!$B$56)*(1)+Summary!$B$56*(MIN(Skills!R5,Inputs!$B$37))),0)</f>
        <v>262861511722016.41</v>
      </c>
      <c r="P331">
        <f>IF(B365=0,0,O331/B365)</f>
        <v>3.1461466608214687E-2</v>
      </c>
      <c r="S331">
        <f>IF(AND(Inputs!$B$4&lt;&gt;"pvp",Inputs!$B$35&gt;0),(INT(Inputs!$B$35/IF(Inputs!$B$4="pvp",15,MAX(0.1,Skills!E5-IF(Skills!F5=TRUE,Inputs!$B$31,0))))+1),0)</f>
        <v>0</v>
      </c>
      <c r="V331">
        <f>IFERROR(1/IF(Inputs!$B$4="pvp",15,MAX(0.1,Skills!E5-IF(Skills!F5=TRUE,Inputs!$B$31,0))),0)</f>
        <v>1</v>
      </c>
    </row>
    <row r="332" spans="1:22" x14ac:dyDescent="0.2">
      <c r="A332" t="str">
        <f>Skills!A6</f>
        <v>MEDITATION</v>
      </c>
      <c r="B332" t="str">
        <f>Skills!B6</f>
        <v>Meditation</v>
      </c>
      <c r="C332" t="b">
        <f>TRUE</f>
        <v>1</v>
      </c>
      <c r="D332">
        <f>IF(Skills!C6=1,60+Inputs!$B$24+Inputs!$B$28,IF(Skills!C6=2,90+Inputs!$B$25+Inputs!$B$28,IF(Skills!C6=3,120+Inputs!$B$26+Inputs!$B$28,MAX(0,(Inputs!$B$3-100)*3)+Inputs!$B$27+Inputs!$B$28)))</f>
        <v>164</v>
      </c>
      <c r="E332">
        <f>INDEX(FactorTable!$B$2:$Y$301, MATCH(ROUND(MIN(300,MAX(1,D332)),0), FactorTable!$A$2:$A$301,0), Skills!M6+1)</f>
        <v>1492</v>
      </c>
      <c r="F332">
        <f>IF(Skills!N6=TRUE,(Skills!L6/10)*(E332/1000),Skills!L6/10)+Skills!O6</f>
        <v>29.84</v>
      </c>
      <c r="G332">
        <f>Calc!G6</f>
        <v>1</v>
      </c>
      <c r="H332">
        <f>Calc!H6</f>
        <v>1</v>
      </c>
      <c r="I332">
        <f>IF(Skills!X6&lt;&gt;"",1+(Skills!X6/10)*(R329/1000)/100,1)</f>
        <v>1</v>
      </c>
      <c r="O332">
        <v>0</v>
      </c>
      <c r="P332">
        <f>IF(B365=0,0,O332/B365)</f>
        <v>0</v>
      </c>
      <c r="S332">
        <f>IF(AND(Inputs!$B$4&lt;&gt;"pvp",Inputs!$B$35&gt;0),(INT(Inputs!$B$35/IF(Inputs!$B$4="pvp",15,MAX(0.1,Skills!E6-IF(Skills!F6=TRUE,Inputs!$B$31,0))))+1),0)</f>
        <v>0</v>
      </c>
      <c r="V332">
        <f>IFERROR(1/IF(Inputs!$B$4="pvp",15,MAX(0.1,Skills!E6-IF(Skills!F6=TRUE,Inputs!$B$31,0))),0)</f>
        <v>3.3333333333333333E-2</v>
      </c>
    </row>
    <row r="333" spans="1:22" x14ac:dyDescent="0.2">
      <c r="A333" t="str">
        <f>Skills!A7</f>
        <v>POISON_MIST_BURST</v>
      </c>
      <c r="B333" t="str">
        <f>Skills!B7</f>
        <v>Poison Mist (burst)</v>
      </c>
      <c r="C333" t="b">
        <f>TRUE</f>
        <v>1</v>
      </c>
      <c r="D333">
        <f>IF(Skills!C7=1,60+Inputs!$B$24+Inputs!$B$28,IF(Skills!C7=2,90+Inputs!$B$25+Inputs!$B$28,IF(Skills!C7=3,120+Inputs!$B$26+Inputs!$B$28,MAX(0,(Inputs!$B$3-100)*3)+Inputs!$B$27+Inputs!$B$28)))</f>
        <v>184</v>
      </c>
      <c r="E333">
        <f>INDEX(FactorTable!$B$2:$Y$301, MATCH(ROUND(MIN(300,MAX(1,D333)),0), FactorTable!$A$2:$A$301,0), Skills!M7+1)</f>
        <v>1920</v>
      </c>
      <c r="F333">
        <f>IF(Skills!N7=TRUE,(Skills!L7/10)*(E333/1000),Skills!L7/10)+Skills!O7</f>
        <v>357.2</v>
      </c>
      <c r="G333">
        <f>Calc!G7</f>
        <v>3</v>
      </c>
      <c r="H333">
        <f>Calc!H7</f>
        <v>1</v>
      </c>
      <c r="I333">
        <f>IF(Skills!X7&lt;&gt;"",1+(Skills!X7/10)*(R329/1000)/100,1)</f>
        <v>1.7519999999999998</v>
      </c>
      <c r="J333">
        <f>((Inputs!$B$5*(1+Inputs!$B$6/100))+((Inputs!$B$11*(1+Inputs!$B$12/100))-(Inputs!$B$11*(1+Inputs!$B$12/100)))*(1+Inputs!$B$6/100))*(F333/100)</f>
        <v>892396411.04121602</v>
      </c>
      <c r="K333">
        <f>J333*(1+((Inputs!$B$11*(1+Inputs!$B$12/100))*0.01+Inputs!$B$13*0.0025)/100)*(1+Inputs!$B$14/100)*(1+IF(Inputs!$B$4="pvp",0,(1-Summary!$B$56)*(Inputs!$B$19+Skills!P7)+Summary!$B$56*(Inputs!$B$20+Skills!Q7))/100)*(1+Inputs!$B$15/100)*(5000/(6000+Inputs!$B$7*(1-Inputs!$B$18/100)))*(1+Inputs!$B$23/100)*(1+F349/100)*(1+IF(Inputs!$B$3&gt;=120,F352,0)/100)^5*(1+(IF(Skills!A7="BASIC_ATTACK",Inputs!$B$16,Inputs!$B$17+IF(Inputs!$B$3&gt;=125,F353*5,0)))/100)*(B356*B357*B358*I333)</f>
        <v>11894822262388.189</v>
      </c>
      <c r="L333">
        <f>K333*(MIN((Inputs!$B$21+1)+(F348-Calc!F22),Inputs!$B$22)/100+Inputs!$B$22/100)/2</f>
        <v>32169546808628.855</v>
      </c>
      <c r="M333">
        <f>L333*(1+(Inputs!$B$9+(F347-Calc!F21))/100)</f>
        <v>134822570674963.56</v>
      </c>
      <c r="N333">
        <f>L333*(1-MIN(Inputs!$B$8+(F346-Calc!F20),100)/100)+M333*(MIN(Inputs!$B$8+(F346-Calc!F20),100)/100)</f>
        <v>134822570674963.56</v>
      </c>
      <c r="O333">
        <f>IF(C333,H333*N333*IF(AND(Inputs!$B$4&lt;&gt;"pvp",Inputs!$B$35&gt;0),((Skills!G7*((S333-1)*IF(Skills!H7&gt;0,Skills!I7/Skills!H7,1)+IF(Skills!H7&gt;0,MIN(Skills!I7,MAX(0,Inputs!$B$35-((S333-1)*IF(Inputs!$B$4="pvp",15,MAX(0.1,Skills!E7-IF(Skills!F7=TRUE,Inputs!$B$31,0))))))/Skills!H7,1)))/Inputs!$B$35),G333*V333)*IF(Inputs!$B$4="pvp",1,(1-Summary!$B$56)*(1)+Summary!$B$56*(MIN(Skills!R7,Inputs!$B$37))),0)</f>
        <v>105656871712624.5</v>
      </c>
      <c r="P333">
        <f>IF(B365=0,0,O333/B365)</f>
        <v>1.2645899049802737E-2</v>
      </c>
      <c r="S333">
        <f>IF(AND(Inputs!$B$4&lt;&gt;"pvp",Inputs!$B$35&gt;0),(INT(Inputs!$B$35/IF(Inputs!$B$4="pvp",15,MAX(0.1,Skills!E7-IF(Skills!F7=TRUE,Inputs!$B$31,0))))+1),0)</f>
        <v>0</v>
      </c>
      <c r="V333">
        <f>IFERROR(1/IF(Inputs!$B$4="pvp",15,MAX(0.1,Skills!E7-IF(Skills!F7=TRUE,Inputs!$B$31,0))),0)</f>
        <v>4.0816326530612242E-2</v>
      </c>
    </row>
    <row r="334" spans="1:22" x14ac:dyDescent="0.2">
      <c r="A334" t="str">
        <f>Skills!A8</f>
        <v>POISON_MIST_DOT</v>
      </c>
      <c r="B334" t="str">
        <f>Skills!B8</f>
        <v>Poison Mist (fog DoT)</v>
      </c>
      <c r="C334" t="b">
        <f>TRUE</f>
        <v>1</v>
      </c>
      <c r="D334">
        <f>IF(Skills!C8=1,60+Inputs!$B$24+Inputs!$B$28,IF(Skills!C8=2,90+Inputs!$B$25+Inputs!$B$28,IF(Skills!C8=3,120+Inputs!$B$26+Inputs!$B$28,MAX(0,(Inputs!$B$3-100)*3)+Inputs!$B$27+Inputs!$B$28)))</f>
        <v>184</v>
      </c>
      <c r="E334">
        <f>INDEX(FactorTable!$B$2:$Y$301, MATCH(ROUND(MIN(300,MAX(1,D334)),0), FactorTable!$A$2:$A$301,0), Skills!M8+1)</f>
        <v>1920</v>
      </c>
      <c r="F334">
        <f>IF(Skills!N8=TRUE,(Skills!L8/10)*(E334/1000),Skills!L8/10)+Skills!O8</f>
        <v>134.4</v>
      </c>
      <c r="G334">
        <f>Calc!G8</f>
        <v>50</v>
      </c>
      <c r="H334">
        <f>Calc!H8</f>
        <v>1</v>
      </c>
      <c r="I334">
        <f>IF(Skills!X8&lt;&gt;"",1+(Skills!X8/10)*(R329/1000)/100,1)</f>
        <v>1.7519999999999998</v>
      </c>
      <c r="J334">
        <f>((Inputs!$B$5*(1+Inputs!$B$6/100))+((Inputs!$B$11*(1+Inputs!$B$12/100))-(Inputs!$B$11*(1+Inputs!$B$12/100)))*(1+Inputs!$B$6/100))*(F334/100)</f>
        <v>335772893.74003202</v>
      </c>
      <c r="K334">
        <f>J334*(1+((Inputs!$B$11*(1+Inputs!$B$12/100))*0.01+Inputs!$B$13*0.0025)/100)*(1+Inputs!$B$14/100)*(1+IF(Inputs!$B$4="pvp",0,(1-Summary!$B$56)*(Inputs!$B$19+Skills!P8)+Summary!$B$56*(Inputs!$B$20+Skills!Q8))/100)*(1+Inputs!$B$15/100)*(5000/(6000+Inputs!$B$7*(1-Inputs!$B$18/100)))*(1+Inputs!$B$23/100)*(1+F349/100)*(1+IF(Inputs!$B$3&gt;=120,F352,0)/100)^5*(1+(IF(Skills!A8="BASIC_ATTACK",Inputs!$B$16,Inputs!$B$17+IF(Inputs!$B$3&gt;=125,F353*5,0)))/100)*(B356*B357*B358*I334)</f>
        <v>4475543426833.6309</v>
      </c>
      <c r="L334">
        <f>K334*(MIN((Inputs!$B$21+1)+(F348-Calc!F22),Inputs!$B$22)/100+Inputs!$B$22/100)/2</f>
        <v>12104107197871.555</v>
      </c>
      <c r="M334">
        <f>L334*(1+(Inputs!$B$9+(F347-Calc!F21))/100)</f>
        <v>50728313266279.695</v>
      </c>
      <c r="N334">
        <f>L334*(1-MIN(Inputs!$B$8+(F346-Calc!F20),100)/100)+M334*(MIN(Inputs!$B$8+(F346-Calc!F20),100)/100)</f>
        <v>50728313266279.695</v>
      </c>
      <c r="O334">
        <f>IF(C334,H334*N334*IF(AND(Inputs!$B$4&lt;&gt;"pvp",Inputs!$B$35&gt;0),((Skills!G8*((S334-1)*IF(Skills!H8&gt;0,Skills!I8/Skills!H8,1)+IF(Skills!H8&gt;0,MIN(Skills!I8,MAX(0,Inputs!$B$35-((S334-1)*IF(Inputs!$B$4="pvp",15,MAX(0.1,Skills!E8-IF(Skills!F8=TRUE,Inputs!$B$31,0))))))/Skills!H8,1)))/Inputs!$B$35),G334*V334)*IF(Inputs!$B$4="pvp",1,(1-Summary!$B$56)*(1)+Summary!$B$56*(MIN(Skills!R8,Inputs!$B$37))),0)</f>
        <v>662573887559571.5</v>
      </c>
      <c r="P334">
        <f>IF(B365=0,0,O334/B365)</f>
        <v>7.9302390457889532E-2</v>
      </c>
      <c r="S334">
        <f>IF(AND(Inputs!$B$4&lt;&gt;"pvp",Inputs!$B$35&gt;0),(INT(Inputs!$B$35/IF(Inputs!$B$4="pvp",15,MAX(0.1,Skills!E8-IF(Skills!F8=TRUE,Inputs!$B$31,0))))+1),0)</f>
        <v>0</v>
      </c>
      <c r="V334">
        <f>IFERROR(1/IF(Inputs!$B$4="pvp",15,MAX(0.1,Skills!E8-IF(Skills!F8=TRUE,Inputs!$B$31,0))),0)</f>
        <v>4.0816326530612242E-2</v>
      </c>
    </row>
    <row r="335" spans="1:22" x14ac:dyDescent="0.2">
      <c r="A335" t="str">
        <f>Skills!A9</f>
        <v>MIST_ERUPTION</v>
      </c>
      <c r="B335" t="str">
        <f>Skills!B9</f>
        <v>Mist Eruption</v>
      </c>
      <c r="C335" t="b">
        <f>Inputs!$B$3&gt;=103</f>
        <v>1</v>
      </c>
      <c r="D335">
        <f>IF(Skills!C9=1,60+Inputs!$B$24+Inputs!$B$28,IF(Skills!C9=2,90+Inputs!$B$25+Inputs!$B$28,IF(Skills!C9=3,120+Inputs!$B$26+Inputs!$B$28,MAX(0,(Inputs!$B$3-100)*3)+Inputs!$B$27+Inputs!$B$28)))</f>
        <v>172</v>
      </c>
      <c r="E335">
        <f>INDEX(FactorTable!$B$2:$Y$301, MATCH(ROUND(MIN(300,MAX(1,D335)),0), FactorTable!$A$2:$A$301,0), Skills!M9+1)</f>
        <v>1860</v>
      </c>
      <c r="F335">
        <f>IF(Skills!N9=TRUE,(Skills!L9/10)*(E335/1000),Skills!L9/10)+Skills!O9</f>
        <v>5580</v>
      </c>
      <c r="G335">
        <f>Calc!G9</f>
        <v>2.8</v>
      </c>
      <c r="H335">
        <f>Calc!H9</f>
        <v>1</v>
      </c>
      <c r="I335">
        <f>IF(Skills!X9&lt;&gt;"",1+(Skills!X9/10)*(R329/1000)/100,1)</f>
        <v>1</v>
      </c>
      <c r="J335">
        <f>((Inputs!$B$5*(1+Inputs!$B$6/100))+((Inputs!$B$11*(1+Inputs!$B$12/100))-(Inputs!$B$11*(1+Inputs!$B$12/100)))*(1+Inputs!$B$6/100))*(F335/100)</f>
        <v>13940571034.742399</v>
      </c>
      <c r="K335">
        <f>J335*(1+((Inputs!$B$11*(1+Inputs!$B$12/100))*0.01+Inputs!$B$13*0.0025)/100)*(1+Inputs!$B$14/100)*(1+IF(Inputs!$B$4="pvp",0,(1-Summary!$B$56)*(Inputs!$B$19+Skills!P9)+Summary!$B$56*(Inputs!$B$20+Skills!Q9))/100)*(1+Inputs!$B$15/100)*(5000/(6000+Inputs!$B$7*(1-Inputs!$B$18/100)))*(1+Inputs!$B$23/100)*(1+F349/100)*(1+IF(Inputs!$B$3&gt;=120,F352,0)/100)^5*(1+(IF(Skills!A9="BASIC_ATTACK",Inputs!$B$16,Inputs!$B$17+IF(Inputs!$B$3&gt;=125,F353*5,0)))/100)*(B356*B357*B358*I335)</f>
        <v>106058774333294.53</v>
      </c>
      <c r="L335">
        <f>K335*(MIN((Inputs!$B$21+1)+(F348-Calc!F22),Inputs!$B$22)/100+Inputs!$B$22/100)/2</f>
        <v>286835955184395.06</v>
      </c>
      <c r="M335">
        <f>L335*(1+(Inputs!$B$9+(F347-Calc!F21))/100)</f>
        <v>1202129488177800</v>
      </c>
      <c r="N335">
        <f>L335*(1-MIN(Inputs!$B$8+(F346-Calc!F20),100)/100)+M335*(MIN(Inputs!$B$8+(F346-Calc!F20),100)/100)</f>
        <v>1202129488177800</v>
      </c>
      <c r="O335">
        <f>IF(C335,H335*N335*IF(AND(Inputs!$B$4&lt;&gt;"pvp",Inputs!$B$35&gt;0),((Skills!G9*((S335-1)*IF(Skills!H9&gt;0,Skills!I9/Skills!H9,1)+IF(Skills!H9&gt;0,MIN(Skills!I9,MAX(0,Inputs!$B$35-((S335-1)*IF(Inputs!$B$4="pvp",15,MAX(0.1,Skills!E9-IF(Skills!F7=TRUE,Inputs!$B$31,0))))))/Skills!H9,1)))/Inputs!$B$35),G335*V335)*IF(Inputs!$B$4="pvp",1,(1-Summary!$B$56)*(1)+Summary!$B$56*(MIN(Skills!R9,Inputs!$B$37))),0)</f>
        <v>879271854210048</v>
      </c>
      <c r="P335">
        <f>IF(B365=0,0,O335/B365)</f>
        <v>0.10523861747408288</v>
      </c>
      <c r="S335">
        <f>IF(AND(Inputs!$B$4&lt;&gt;"pvp",Inputs!$B$35&gt;0),(INT(Inputs!$B$35/IF(Inputs!$B$4="pvp",15,MAX(0.1,Skills!E9-IF(Skills!F7=TRUE,Inputs!$B$31,0))))+1),0)</f>
        <v>0</v>
      </c>
      <c r="V335">
        <f>IFERROR(1/IF(Inputs!$B$4="pvp",15,MAX(0.1,Skills!E9-IF(Skills!F7=TRUE,Inputs!$B$31,0))),0)</f>
        <v>4.0816326530612242E-2</v>
      </c>
    </row>
    <row r="336" spans="1:22" x14ac:dyDescent="0.2">
      <c r="A336" t="str">
        <f>Skills!A10</f>
        <v>CREEPING_TOXIN</v>
      </c>
      <c r="B336" t="str">
        <f>Skills!B10</f>
        <v>Creeping Toxin</v>
      </c>
      <c r="C336" t="b">
        <f>TRUE</f>
        <v>1</v>
      </c>
      <c r="D336">
        <f>IF(Skills!C10=1,60+Inputs!$B$24+Inputs!$B$28,IF(Skills!C10=2,90+Inputs!$B$25+Inputs!$B$28,IF(Skills!C10=3,120+Inputs!$B$26+Inputs!$B$28,MAX(0,(Inputs!$B$3-100)*3)+Inputs!$B$27+Inputs!$B$28)))</f>
        <v>184</v>
      </c>
      <c r="E336">
        <f>INDEX(FactorTable!$B$2:$Y$301, MATCH(ROUND(MIN(300,MAX(1,D336)),0), FactorTable!$A$2:$A$301,0), Skills!M10+1)</f>
        <v>1920</v>
      </c>
      <c r="F336">
        <f>IF(Skills!N10=TRUE,(Skills!L10/10)*(E336/1000),Skills!L10/10)+Skills!O10</f>
        <v>280.39999999999998</v>
      </c>
      <c r="G336">
        <f>Calc!G10</f>
        <v>15</v>
      </c>
      <c r="H336">
        <f>Calc!H10</f>
        <v>1</v>
      </c>
      <c r="I336">
        <f>IF(Skills!X10&lt;&gt;"",1+(Skills!X10/10)*(R329/1000)/100,1)</f>
        <v>1.7519999999999998</v>
      </c>
      <c r="J336">
        <f>((Inputs!$B$5*(1+Inputs!$B$6/100))+((Inputs!$B$11*(1+Inputs!$B$12/100))-(Inputs!$B$11*(1+Inputs!$B$12/100)))*(1+Inputs!$B$6/100))*(F336/100)</f>
        <v>700526186.04691195</v>
      </c>
      <c r="K336">
        <f>J336*(1+((Inputs!$B$11*(1+Inputs!$B$12/100))*0.01+Inputs!$B$13*0.0025)/100)*(1+Inputs!$B$14/100)*(1+IF(Inputs!$B$4="pvp",0,(1-Summary!$B$56)*(Inputs!$B$19+Skills!P10)+Summary!$B$56*(Inputs!$B$20+Skills!Q10))/100)*(1+Inputs!$B$15/100)*(5000/(6000+Inputs!$B$7*(1-Inputs!$B$18/100)))*(1+Inputs!$B$23/100)*(1+F349/100)*(1+IF(Inputs!$B$3&gt;=120,F352,0)/100)^5*(1+(IF(Skills!A10="BASIC_ATTACK",Inputs!$B$16,Inputs!$B$17+IF(Inputs!$B$3&gt;=125,F353*5,0)))/100)*(B356*B357*B358*I336)</f>
        <v>11018767832821.695</v>
      </c>
      <c r="L336">
        <f>K336*(MIN((Inputs!$B$21+1)+(F348-Calc!F22),Inputs!$B$22)/100+Inputs!$B$22/100)/2</f>
        <v>29800257603866.273</v>
      </c>
      <c r="M336">
        <f>L336*(1+(Inputs!$B$9+(F347-Calc!F21))/100)</f>
        <v>124892879617803.58</v>
      </c>
      <c r="N336">
        <f>L336*(1-MIN(Inputs!$B$8+(F346-Calc!F20),100)/100)+M336*(MIN(Inputs!$B$8+(F346-Calc!F20),100)/100)</f>
        <v>124892879617803.58</v>
      </c>
      <c r="O336">
        <f>IF(C336,H336*N336*IF(AND(Inputs!$B$4&lt;&gt;"pvp",Inputs!$B$35&gt;0),((Skills!G10*((S336-1)*IF(Skills!H10&gt;0,Skills!I10/Skills!H10,1)+IF(Skills!H10&gt;0,MIN(Skills!I10,MAX(0,Inputs!$B$35-((S336-1)*IF(Inputs!$B$4="pvp",15,MAX(0.1,Skills!E10-IF(Skills!F10=TRUE,Inputs!$B$31,0))))))/Skills!H10,1)))/Inputs!$B$35),G336*V336)*IF(Inputs!$B$4="pvp",1,(1-Summary!$B$56)*(1)+Summary!$B$56*(MIN(Skills!R10,Inputs!$B$37))),0)</f>
        <v>69384933121001.992</v>
      </c>
      <c r="P336">
        <f>IF(B365=0,0,O336/B365)</f>
        <v>8.3045697416826367E-3</v>
      </c>
      <c r="S336">
        <f>IF(AND(Inputs!$B$4&lt;&gt;"pvp",Inputs!$B$35&gt;0),(INT(Inputs!$B$35/IF(Inputs!$B$4="pvp",15,MAX(0.1,Skills!E10-IF(Skills!F10=TRUE,Inputs!$B$31,0))))+1),0)</f>
        <v>0</v>
      </c>
      <c r="V336">
        <f>IFERROR(1/IF(Inputs!$B$4="pvp",15,MAX(0.1,Skills!E10-IF(Skills!F10=TRUE,Inputs!$B$31,0))),0)</f>
        <v>3.7037037037037035E-2</v>
      </c>
    </row>
    <row r="337" spans="1:22" x14ac:dyDescent="0.2">
      <c r="A337" t="str">
        <f>Skills!A11</f>
        <v>BURNING_MAGIC</v>
      </c>
      <c r="B337" t="str">
        <f>Skills!B11</f>
        <v>Burning Magic</v>
      </c>
      <c r="C337" t="b">
        <f>TRUE</f>
        <v>1</v>
      </c>
      <c r="D337">
        <f>IF(Skills!C11=1,60+Inputs!$B$24+Inputs!$B$28,IF(Skills!C11=2,90+Inputs!$B$25+Inputs!$B$28,IF(Skills!C11=3,120+Inputs!$B$26+Inputs!$B$28,MAX(0,(Inputs!$B$3-100)*3)+Inputs!$B$27+Inputs!$B$28)))</f>
        <v>184</v>
      </c>
      <c r="E337">
        <f>INDEX(FactorTable!$B$2:$Y$301, MATCH(ROUND(MIN(300,MAX(1,D337)),0), FactorTable!$A$2:$A$301,0), Skills!M11+1)</f>
        <v>0</v>
      </c>
      <c r="F337">
        <f>IF(Skills!N11=TRUE,(Skills!L11/10)*(E337/1000),Skills!L11/10)+Skills!O11</f>
        <v>5</v>
      </c>
      <c r="G337">
        <f>Calc!G11</f>
        <v>1</v>
      </c>
      <c r="H337">
        <f>Calc!H11</f>
        <v>1</v>
      </c>
      <c r="I337">
        <f>IF(Skills!X11&lt;&gt;"",1+(Skills!X11/10)*(R329/1000)/100,1)</f>
        <v>1</v>
      </c>
      <c r="O337">
        <v>0</v>
      </c>
      <c r="P337">
        <f>IF(B365=0,0,O337/B365)</f>
        <v>0</v>
      </c>
      <c r="S337">
        <v>0</v>
      </c>
      <c r="V337">
        <f>IFERROR(1/IF(Inputs!$B$4="pvp",15,MAX(0.1,Skills!E11-IF(Skills!F11=TRUE,Inputs!$B$31,0))),0)</f>
        <v>10</v>
      </c>
    </row>
    <row r="338" spans="1:22" x14ac:dyDescent="0.2">
      <c r="A338" t="str">
        <f>Skills!A12</f>
        <v>ELEMENTAL_DECREASE</v>
      </c>
      <c r="B338" t="str">
        <f>Skills!B12</f>
        <v>Elemental Decrease</v>
      </c>
      <c r="C338" t="b">
        <f>TRUE</f>
        <v>1</v>
      </c>
      <c r="D338">
        <f>IF(Skills!C12=1,60+Inputs!$B$24+Inputs!$B$28,IF(Skills!C12=2,90+Inputs!$B$25+Inputs!$B$28,IF(Skills!C12=3,120+Inputs!$B$26+Inputs!$B$28,MAX(0,(Inputs!$B$3-100)*3)+Inputs!$B$27+Inputs!$B$28)))</f>
        <v>184</v>
      </c>
      <c r="E338">
        <f>INDEX(FactorTable!$B$2:$Y$301, MATCH(ROUND(MIN(300,MAX(1,D338)),0), FactorTable!$A$2:$A$301,0), Skills!M12+1)</f>
        <v>1552</v>
      </c>
      <c r="F338">
        <f>IF(Skills!N12=TRUE,(Skills!L12/10)*(E338/1000),Skills!L12/10)+Skills!O12</f>
        <v>18.624000000000002</v>
      </c>
      <c r="G338">
        <f>Calc!G12</f>
        <v>1</v>
      </c>
      <c r="H338">
        <f>Calc!H12</f>
        <v>0.5</v>
      </c>
      <c r="I338">
        <f>IF(Skills!X12&lt;&gt;"",1+(Skills!X12/10)*(R329/1000)/100,1)</f>
        <v>1</v>
      </c>
      <c r="O338">
        <v>0</v>
      </c>
      <c r="P338">
        <f>IF(B365=0,0,O338/B365)</f>
        <v>0</v>
      </c>
      <c r="S338">
        <v>0</v>
      </c>
      <c r="V338">
        <f>IFERROR(1/IF(Inputs!$B$4="pvp",15,MAX(0.1,Skills!E12-IF(Skills!F12=TRUE,Inputs!$B$31,0))),0)</f>
        <v>10</v>
      </c>
    </row>
    <row r="339" spans="1:22" x14ac:dyDescent="0.2">
      <c r="A339" t="str">
        <f>Skills!A13</f>
        <v>METEOR_SHOWER_BURST</v>
      </c>
      <c r="B339" t="str">
        <f>Skills!B13</f>
        <v>Meteor Shower (burst)</v>
      </c>
      <c r="C339" t="b">
        <f>Inputs!$B$3&gt;=105</f>
        <v>1</v>
      </c>
      <c r="D339">
        <f>IF(Skills!C13=1,60+Inputs!$B$24+Inputs!$B$28,IF(Skills!C13=2,90+Inputs!$B$25+Inputs!$B$28,IF(Skills!C13=3,120+Inputs!$B$26+Inputs!$B$28,MAX(0,(Inputs!$B$3-100)*3)+Inputs!$B$27+Inputs!$B$28)))</f>
        <v>172</v>
      </c>
      <c r="E339">
        <f>INDEX(FactorTable!$B$2:$Y$301, MATCH(ROUND(MIN(300,MAX(1,D339)),0), FactorTable!$A$2:$A$301,0), Skills!M13+1)</f>
        <v>1860</v>
      </c>
      <c r="F339">
        <f>IF(Skills!N13=TRUE,(Skills!L13/10)*(E339/1000),Skills!L13/10)+Skills!O13</f>
        <v>1116</v>
      </c>
      <c r="G339">
        <f>Calc!G13</f>
        <v>9</v>
      </c>
      <c r="H339">
        <f>Calc!H13</f>
        <v>1</v>
      </c>
      <c r="I339">
        <f>IF(Skills!X13&lt;&gt;"",1+(Skills!X13/10)*(R329/1000)/100,1)</f>
        <v>1</v>
      </c>
      <c r="J339">
        <f>((Inputs!$B$5*(1+Inputs!$B$6/100))+((Inputs!$B$11*(1+Inputs!$B$12/100))-(Inputs!$B$11*(1+Inputs!$B$12/100)))*(1+Inputs!$B$6/100))*(F339/100)</f>
        <v>2788114206.9484801</v>
      </c>
      <c r="K339">
        <f>J339*(1+((Inputs!$B$11*(1+Inputs!$B$12/100))*0.01+Inputs!$B$13*0.0025)/100)*(1+Inputs!$B$14/100)*(1+IF(Inputs!$B$4="pvp",0,(1-Summary!$B$56)*(Inputs!$B$19+Skills!P13)+Summary!$B$56*(Inputs!$B$20+Skills!Q13))/100)*(1+Inputs!$B$15/100)*(5000/(6000+Inputs!$B$7*(1-Inputs!$B$18/100)))*(1+Inputs!$B$23/100)*(1+F349/100)*(1+IF(Inputs!$B$3&gt;=120,F352,0)/100)^5*(1+(IF(Skills!A13="BASIC_ATTACK",Inputs!$B$16,Inputs!$B$17+IF(Inputs!$B$3&gt;=125,F353*5,0)))/100)*(B356*B357*B358*I339)</f>
        <v>21211754866658.902</v>
      </c>
      <c r="L339">
        <f>K339*(MIN((Inputs!$B$21+1)+(F348-Calc!F22),Inputs!$B$22)/100+Inputs!$B$22/100)/2</f>
        <v>57367191036879</v>
      </c>
      <c r="M339">
        <f>L339*(1+(Inputs!$B$9+(F347-Calc!F21))/100)</f>
        <v>240425897635559.94</v>
      </c>
      <c r="N339">
        <f>L339*(1-MIN(Inputs!$B$8+(F346-Calc!F20),100)/100)+M339*(MIN(Inputs!$B$8+(F346-Calc!F20),100)/100)</f>
        <v>240425897635559.94</v>
      </c>
      <c r="O339">
        <f>IF(C339,H339*N339*IF(AND(Inputs!$B$4&lt;&gt;"pvp",Inputs!$B$35&gt;0),((Skills!G13*((S339-1)*IF(Skills!H13&gt;0,Skills!I13/Skills!H13,1)+IF(Skills!H13&gt;0,MIN(Skills!I13,MAX(0,Inputs!$B$35-((S339-1)*IF(Inputs!$B$4="pvp",15,MAX(0.1,Skills!E13-IF(Skills!F13=TRUE,Inputs!$B$31,0))))))/Skills!H13,1)))/Inputs!$B$35),G339*V339)*IF(Inputs!$B$4="pvp",1,(1-Summary!$B$56)*(1)+Summary!$B$56*(MIN(Skills!R13,Inputs!$B$37))),0)</f>
        <v>301625217033702.5</v>
      </c>
      <c r="P339">
        <f>IF(B365=0,0,O339/B365)</f>
        <v>3.6101031420441777E-2</v>
      </c>
      <c r="S339">
        <f>IF(AND(Inputs!$B$4&lt;&gt;"pvp",Inputs!$B$35&gt;0),(INT(Inputs!$B$35/IF(Inputs!$B$4="pvp",15,MAX(0.1,Skills!E13-IF(Skills!F13=TRUE,Inputs!$B$31,0))))+1),0)</f>
        <v>0</v>
      </c>
      <c r="V339">
        <f>IFERROR(1/IF(Inputs!$B$4="pvp",15,MAX(0.1,Skills!E13-IF(Skills!F13=TRUE,Inputs!$B$31,0))),0)</f>
        <v>3.0303030303030304E-2</v>
      </c>
    </row>
    <row r="340" spans="1:22" x14ac:dyDescent="0.2">
      <c r="A340" t="str">
        <f>Skills!A14</f>
        <v>METEOR_PROC</v>
      </c>
      <c r="B340" t="str">
        <f>Skills!B14</f>
        <v>Meteor Proc (30% on-hit, 1s ICD)</v>
      </c>
      <c r="C340" t="b">
        <f>Inputs!$B$3&gt;=113</f>
        <v>1</v>
      </c>
      <c r="D340">
        <f>IF(Skills!C14=1,60+Inputs!$B$24+Inputs!$B$28,IF(Skills!C14=2,90+Inputs!$B$25+Inputs!$B$28,IF(Skills!C14=3,120+Inputs!$B$26+Inputs!$B$28,MAX(0,(Inputs!$B$3-100)*3)+Inputs!$B$27+Inputs!$B$28)))</f>
        <v>172</v>
      </c>
      <c r="E340">
        <f>INDEX(FactorTable!$B$2:$Y$301, MATCH(ROUND(MIN(300,MAX(1,D340)),0), FactorTable!$A$2:$A$301,0), Skills!M14+1)</f>
        <v>1688</v>
      </c>
      <c r="F340">
        <f>IF(Skills!N14=TRUE,(Skills!L14/10)*(E340/1000),Skills!L14/10)+Skills!O14</f>
        <v>1603.6</v>
      </c>
      <c r="G340">
        <f>Calc!G14</f>
        <v>0</v>
      </c>
      <c r="H340">
        <f>Calc!H14</f>
        <v>0.30000000000000004</v>
      </c>
      <c r="I340">
        <f>IF(Skills!X14&lt;&gt;"",1+(Skills!X14/10)*(R329/1000)/100,1)</f>
        <v>1</v>
      </c>
      <c r="J340">
        <f>((Inputs!$B$5*(1+Inputs!$B$6/100))+((Inputs!$B$11*(1+Inputs!$B$12/100))-(Inputs!$B$11*(1+Inputs!$B$12/100)))*(1+Inputs!$B$6/100))*(F340/100)</f>
        <v>4006290270.8446074</v>
      </c>
      <c r="K340">
        <f>J340*(1+((Inputs!$B$11*(1+Inputs!$B$12/100))*0.01+Inputs!$B$13*0.0025)/100)*(1+Inputs!$B$14/100)*(1+IF(Inputs!$B$4="pvp",0,(1-Summary!$B$56)*(Inputs!$B$19+Skills!P14)+Summary!$B$56*(Inputs!$B$20+Skills!Q14))/100)*(1+Inputs!$B$15/100)*(5000/(6000+Inputs!$B$7*(1-Inputs!$B$18/100)))*(1+Inputs!$B$23/100)*(1+F349/100)*(1+IF(Inputs!$B$3&gt;=120,F352,0)/100)^5*(1+(IF(Skills!A14="BASIC_ATTACK",Inputs!$B$16,Inputs!$B$17+IF(Inputs!$B$3&gt;=125,F353*5,0)))/100)*(B356*B357*B358*I340)</f>
        <v>30479543104098.766</v>
      </c>
      <c r="L340">
        <f>K340*(MIN((Inputs!$B$21+1)+(F348-Calc!F22),Inputs!$B$22)/100+Inputs!$B$22/100)/2</f>
        <v>82431924325035.109</v>
      </c>
      <c r="M340">
        <f>L340*(1+(Inputs!$B$9+(F347-Calc!F21))/100)</f>
        <v>345472194846222.19</v>
      </c>
      <c r="N340">
        <f>L340*(1-MIN(Inputs!$B$8+(F346-Calc!F20),100)/100)+M340*(MIN(Inputs!$B$8+(F346-Calc!F20),100)/100)</f>
        <v>345472194846222.19</v>
      </c>
      <c r="O340">
        <f>IF(C340,(H340*B363)/(1+Skills!H14*H340*B363)*N340*IF(Inputs!$B$4="pvp",1,(1-Summary!$B$56)*(1)+Summary!$B$56*(MIN(Skills!R14,Inputs!$B$37))),0)</f>
        <v>108672641371152.3</v>
      </c>
      <c r="P340">
        <f>IF(B365=0,0,O340/B365)</f>
        <v>1.3006851612953854E-2</v>
      </c>
      <c r="S340">
        <v>0</v>
      </c>
      <c r="V340">
        <f>IFERROR(1/IF(Inputs!$B$4="pvp",15,MAX(0.1,Skills!E14-IF(Skills!F14=TRUE,Inputs!$B$31,0))),0)</f>
        <v>10</v>
      </c>
    </row>
    <row r="341" spans="1:22" x14ac:dyDescent="0.2">
      <c r="A341" t="str">
        <f>Skills!A15</f>
        <v>FLAME_HAZE_BURST</v>
      </c>
      <c r="B341" t="str">
        <f>Skills!B15</f>
        <v>Flame Haze (burst)</v>
      </c>
      <c r="C341" t="b">
        <f>Inputs!$B$3&gt;=107</f>
        <v>1</v>
      </c>
      <c r="D341">
        <f>IF(Skills!C15=1,60+Inputs!$B$24+Inputs!$B$28,IF(Skills!C15=2,90+Inputs!$B$25+Inputs!$B$28,IF(Skills!C15=3,120+Inputs!$B$26+Inputs!$B$28,MAX(0,(Inputs!$B$3-100)*3)+Inputs!$B$27+Inputs!$B$28)))</f>
        <v>172</v>
      </c>
      <c r="E341">
        <f>INDEX(FactorTable!$B$2:$Y$301, MATCH(ROUND(MIN(300,MAX(1,D341)),0), FactorTable!$A$2:$A$301,0), Skills!M15+1)</f>
        <v>1860</v>
      </c>
      <c r="F341">
        <f>IF(Skills!N15=TRUE,(Skills!L15/10)*(E341/1000),Skills!L15/10)+Skills!O15</f>
        <v>2232</v>
      </c>
      <c r="G341">
        <f>Calc!G15</f>
        <v>3</v>
      </c>
      <c r="H341">
        <f>Calc!H15</f>
        <v>1</v>
      </c>
      <c r="I341">
        <f>IF(Skills!X15&lt;&gt;"",1+(Skills!X15/10)*(R329/1000)/100,1)</f>
        <v>1</v>
      </c>
      <c r="J341">
        <f>((Inputs!$B$5*(1+Inputs!$B$6/100))+((Inputs!$B$11*(1+Inputs!$B$12/100))-(Inputs!$B$11*(1+Inputs!$B$12/100)))*(1+Inputs!$B$6/100))*(F341/100)</f>
        <v>5576228413.8969603</v>
      </c>
      <c r="K341">
        <f>J341*(1+((Inputs!$B$11*(1+Inputs!$B$12/100))*0.01+Inputs!$B$13*0.0025)/100)*(1+Inputs!$B$14/100)*(1+IF(Inputs!$B$4="pvp",0,(1-Summary!$B$56)*(Inputs!$B$19+Skills!P15)+Summary!$B$56*(Inputs!$B$20+Skills!Q15))/100)*(1+Inputs!$B$15/100)*(5000/(6000+Inputs!$B$7*(1-Inputs!$B$18/100)))*(1+Inputs!$B$23/100)*(1+F349/100)*(1+IF(Inputs!$B$3&gt;=120,F352,0)/100)^5*(1+(IF(Skills!A15="BASIC_ATTACK",Inputs!$B$16,Inputs!$B$17+IF(Inputs!$B$3&gt;=125,F353*5,0)))/100)*(B356*B357*B358*I341)</f>
        <v>42423509733317.805</v>
      </c>
      <c r="L341">
        <f>K341*(MIN((Inputs!$B$21+1)+(F348-Calc!F22),Inputs!$B$22)/100+Inputs!$B$22/100)/2</f>
        <v>114734382073758</v>
      </c>
      <c r="M341">
        <f>L341*(1+(Inputs!$B$9+(F347-Calc!F21))/100)</f>
        <v>480851795271119.88</v>
      </c>
      <c r="N341">
        <f>L341*(1-MIN(Inputs!$B$8+(F346-Calc!F20),100)/100)+M341*(MIN(Inputs!$B$8+(F346-Calc!F20),100)/100)</f>
        <v>480851795271119.88</v>
      </c>
      <c r="O341">
        <f>IF(C341,H341*N341*IF(AND(Inputs!$B$4&lt;&gt;"pvp",Inputs!$B$35&gt;0),((Skills!G15*((S341-1)*IF(Skills!H15&gt;0,Skills!I15/Skills!H15,1)+IF(Skills!H15&gt;0,MIN(Skills!I15,MAX(0,Inputs!$B$35-((S341-1)*IF(Inputs!$B$4="pvp",15,MAX(0.1,Skills!E15-IF(Skills!F15=TRUE,Inputs!$B$31,0))))))/Skills!H15,1)))/Inputs!$B$35),G341*V341)*IF(Inputs!$B$4="pvp",1,(1-Summary!$B$56)*(1)+Summary!$B$56*(MIN(Skills!R15,Inputs!$B$37))),0)</f>
        <v>369294178768220.06</v>
      </c>
      <c r="P341">
        <f>IF(B365=0,0,O341/B365)</f>
        <v>4.4200219339114798E-2</v>
      </c>
      <c r="S341">
        <f>IF(AND(Inputs!$B$4&lt;&gt;"pvp",Inputs!$B$35&gt;0),(INT(Inputs!$B$35/IF(Inputs!$B$4="pvp",15,MAX(0.1,Skills!E15-IF(Skills!F15=TRUE,Inputs!$B$31,0))))+1),0)</f>
        <v>0</v>
      </c>
      <c r="V341">
        <f>IFERROR(1/IF(Inputs!$B$4="pvp",15,MAX(0.1,Skills!E15-IF(Skills!F15=TRUE,Inputs!$B$31,0))),0)</f>
        <v>0.04</v>
      </c>
    </row>
    <row r="342" spans="1:22" x14ac:dyDescent="0.2">
      <c r="A342" t="str">
        <f>Skills!A16</f>
        <v>FLAME_HAZE_DOT</v>
      </c>
      <c r="B342" t="str">
        <f>Skills!B16</f>
        <v>Flame Haze (burn DoT)</v>
      </c>
      <c r="C342" t="b">
        <f>Inputs!$B$3&gt;=107</f>
        <v>1</v>
      </c>
      <c r="D342">
        <f>IF(Skills!C16=1,60+Inputs!$B$24+Inputs!$B$28,IF(Skills!C16=2,90+Inputs!$B$25+Inputs!$B$28,IF(Skills!C16=3,120+Inputs!$B$26+Inputs!$B$28,MAX(0,(Inputs!$B$3-100)*3)+Inputs!$B$27+Inputs!$B$28)))</f>
        <v>172</v>
      </c>
      <c r="E342">
        <f>INDEX(FactorTable!$B$2:$Y$301, MATCH(ROUND(MIN(300,MAX(1,D342)),0), FactorTable!$A$2:$A$301,0), Skills!M16+1)</f>
        <v>1860</v>
      </c>
      <c r="F342">
        <f>IF(Skills!N16=TRUE,(Skills!L16/10)*(E342/1000),Skills!L16/10)+Skills!O16</f>
        <v>279</v>
      </c>
      <c r="G342">
        <f>Calc!G16</f>
        <v>28</v>
      </c>
      <c r="H342">
        <f>Calc!H16</f>
        <v>1</v>
      </c>
      <c r="I342">
        <f>IF(Skills!X16&lt;&gt;"",1+(Skills!X16/10)*(R329/1000)/100,1)</f>
        <v>1</v>
      </c>
      <c r="J342">
        <f>((Inputs!$B$5*(1+Inputs!$B$6/100))+((Inputs!$B$11*(1+Inputs!$B$12/100))-(Inputs!$B$11*(1+Inputs!$B$12/100)))*(1+Inputs!$B$6/100))*(F342/100)</f>
        <v>697028551.73712003</v>
      </c>
      <c r="K342">
        <f>J342*(1+((Inputs!$B$11*(1+Inputs!$B$12/100))*0.01+Inputs!$B$13*0.0025)/100)*(1+Inputs!$B$14/100)*(1+IF(Inputs!$B$4="pvp",0,(1-Summary!$B$56)*(Inputs!$B$19+Skills!P16)+Summary!$B$56*(Inputs!$B$20+Skills!Q16))/100)*(1+Inputs!$B$15/100)*(5000/(6000+Inputs!$B$7*(1-Inputs!$B$18/100)))*(1+Inputs!$B$23/100)*(1+F349/100)*(1+IF(Inputs!$B$3&gt;=120,F352,0)/100)^5*(1+(IF(Skills!A16="BASIC_ATTACK",Inputs!$B$16,Inputs!$B$17+IF(Inputs!$B$3&gt;=125,F353*5,0)))/100)*(B356*B357*B358*I342)</f>
        <v>5302938716664.7256</v>
      </c>
      <c r="L342">
        <f>K342*(MIN((Inputs!$B$21+1)+(F348-Calc!F22),Inputs!$B$22)/100+Inputs!$B$22/100)/2</f>
        <v>14341797759219.75</v>
      </c>
      <c r="M342">
        <f>L342*(1+(Inputs!$B$9+(F347-Calc!F21))/100)</f>
        <v>60106474408889.984</v>
      </c>
      <c r="N342">
        <f>L342*(1-MIN(Inputs!$B$8+(F346-Calc!F20),100)/100)+M342*(MIN(Inputs!$B$8+(F346-Calc!F20),100)/100)</f>
        <v>60106474408889.984</v>
      </c>
      <c r="O342">
        <f>IF(C342,H342*N342*IF(AND(Inputs!$B$4&lt;&gt;"pvp",Inputs!$B$35&gt;0),((Skills!G16*((S342-1)*IF(Skills!H16&gt;0,Skills!I16/Skills!H16,1)+IF(Skills!H16&gt;0,MIN(Skills!I16,MAX(0,Inputs!$B$35-((S342-1)*IF(Inputs!$B$4="pvp",15,MAX(0.1,Skills!E16-IF(Skills!F16=TRUE,Inputs!$B$31,0))))))/Skills!H16,1)))/Inputs!$B$35),G342*V342)*(1+IF(Inputs!$B$3&gt;=126,0.05*(B362+V339+(H340*B363)/(1+Skills!H14*H340*B363)+V350),0)*Skills!E15)*IF(Inputs!$B$4="pvp",1,(1-Summary!$B$56)*(1)+Summary!$B$56*(MIN(Skills!R16,Inputs!$B$37))),0)</f>
        <v>430843208562923.5</v>
      </c>
      <c r="P342">
        <f>IF(B365=0,0,O342/B365)</f>
        <v>5.1566922562300603E-2</v>
      </c>
      <c r="S342">
        <f>IF(AND(Inputs!$B$4&lt;&gt;"pvp",Inputs!$B$35&gt;0),(INT(Inputs!$B$35/IF(Inputs!$B$4="pvp",15,MAX(0.1,Skills!E16-IF(Skills!F16=TRUE,Inputs!$B$31,0))))+1),0)</f>
        <v>0</v>
      </c>
      <c r="V342">
        <f>IFERROR(1/IF(Inputs!$B$4="pvp",15,MAX(0.1,Skills!E16-IF(Skills!F16=TRUE,Inputs!$B$31,0))),0)</f>
        <v>0.04</v>
      </c>
    </row>
    <row r="343" spans="1:22" x14ac:dyDescent="0.2">
      <c r="A343" t="str">
        <f>Skills!A17</f>
        <v>MAGIC_GUARD</v>
      </c>
      <c r="B343" t="str">
        <f>Skills!B17</f>
        <v>Magic Guard</v>
      </c>
      <c r="C343" t="b">
        <f>TRUE</f>
        <v>1</v>
      </c>
      <c r="D343">
        <f>IF(Skills!C17=1,60+Inputs!$B$24+Inputs!$B$28,IF(Skills!C17=2,90+Inputs!$B$25+Inputs!$B$28,IF(Skills!C17=3,120+Inputs!$B$26+Inputs!$B$28,MAX(0,(Inputs!$B$3-100)*3)+Inputs!$B$27+Inputs!$B$28)))</f>
        <v>115</v>
      </c>
      <c r="E343">
        <f>INDEX(FactorTable!$B$2:$Y$301, MATCH(ROUND(MIN(300,MAX(1,D343)),0), FactorTable!$A$2:$A$301,0), Skills!M17+1)</f>
        <v>1460</v>
      </c>
      <c r="F343">
        <f>IF(Skills!N17=TRUE,(Skills!L17/10)*(E343/1000),Skills!L17/10)+Skills!O17</f>
        <v>17.52</v>
      </c>
      <c r="G343">
        <f>Calc!G17</f>
        <v>1</v>
      </c>
      <c r="H343">
        <f>Calc!H17</f>
        <v>1</v>
      </c>
      <c r="I343">
        <f>IF(Skills!X17&lt;&gt;"",1+(Skills!X17/10)*(R329/1000)/100,1)</f>
        <v>1</v>
      </c>
      <c r="O343">
        <v>0</v>
      </c>
      <c r="P343">
        <f>IF(B365=0,0,O343/B365)</f>
        <v>0</v>
      </c>
      <c r="S343">
        <f>IF(AND(Inputs!$B$4&lt;&gt;"pvp",Inputs!$B$35&gt;0),(INT(Inputs!$B$35/IF(Inputs!$B$4="pvp",15,MAX(0.1,Skills!E17-IF(Skills!F17=TRUE,Inputs!$B$31,0))))+1),0)</f>
        <v>0</v>
      </c>
      <c r="V343">
        <f>IFERROR(1/IF(Inputs!$B$4="pvp",15,MAX(0.1,Skills!E17-IF(Skills!F17=TRUE,Inputs!$B$31,0))),0)</f>
        <v>4.7619047619047616E-2</v>
      </c>
    </row>
    <row r="344" spans="1:22" x14ac:dyDescent="0.2">
      <c r="A344" t="str">
        <f>Skills!A18</f>
        <v>NIMBLE_FEET</v>
      </c>
      <c r="B344" t="str">
        <f>Skills!B18</f>
        <v>Nimble Feet</v>
      </c>
      <c r="C344" t="b">
        <f>TRUE</f>
        <v>1</v>
      </c>
      <c r="D344">
        <f>IF(Skills!C18=1,60+Inputs!$B$24+Inputs!$B$28,IF(Skills!C18=2,90+Inputs!$B$25+Inputs!$B$28,IF(Skills!C18=3,120+Inputs!$B$26+Inputs!$B$28,MAX(0,(Inputs!$B$3-100)*3)+Inputs!$B$27+Inputs!$B$28)))</f>
        <v>115</v>
      </c>
      <c r="E344">
        <f>INDEX(FactorTable!$B$2:$Y$301, MATCH(ROUND(MIN(300,MAX(1,D344)),0), FactorTable!$A$2:$A$301,0), Skills!M18+1)</f>
        <v>0</v>
      </c>
      <c r="F344">
        <f>IF(Skills!N18=TRUE,(Skills!L18/10)*(E344/1000),Skills!L18/10)+Skills!O18</f>
        <v>15</v>
      </c>
      <c r="G344">
        <f>Calc!G18</f>
        <v>1</v>
      </c>
      <c r="H344">
        <f>Calc!H18</f>
        <v>1</v>
      </c>
      <c r="I344">
        <f>IF(Skills!X18&lt;&gt;"",1+(Skills!X18/10)*(R329/1000)/100,1)</f>
        <v>1</v>
      </c>
      <c r="O344">
        <v>0</v>
      </c>
      <c r="P344">
        <f>IF(B365=0,0,O344/B365)</f>
        <v>0</v>
      </c>
      <c r="S344">
        <f>IF(AND(Inputs!$B$4&lt;&gt;"pvp",Inputs!$B$35&gt;0),(INT(Inputs!$B$35/IF(Inputs!$B$4="pvp",15,MAX(0.1,Skills!E18-IF(Skills!F18=TRUE,Inputs!$B$31,0))))+1),0)</f>
        <v>0</v>
      </c>
      <c r="V344">
        <f>IFERROR(1/IF(Inputs!$B$4="pvp",15,MAX(0.1,Skills!E18-IF(Skills!F18=TRUE,Inputs!$B$31,0))),0)</f>
        <v>1.6666666666666666E-2</v>
      </c>
    </row>
    <row r="345" spans="1:22" x14ac:dyDescent="0.2">
      <c r="A345" t="str">
        <f>Skills!A19</f>
        <v>INFINITY</v>
      </c>
      <c r="B345" t="str">
        <f>Skills!B19</f>
        <v>Infinity</v>
      </c>
      <c r="C345" t="b">
        <f>Inputs!$B$3&gt;=110</f>
        <v>1</v>
      </c>
      <c r="D345">
        <f>IF(Skills!C19=1,60+Inputs!$B$24+Inputs!$B$28,IF(Skills!C19=2,90+Inputs!$B$25+Inputs!$B$28,IF(Skills!C19=3,120+Inputs!$B$26+Inputs!$B$28,MAX(0,(Inputs!$B$3-100)*3)+Inputs!$B$27+Inputs!$B$28)))</f>
        <v>172</v>
      </c>
      <c r="E345">
        <f>INDEX(FactorTable!$B$2:$Y$301, MATCH(ROUND(MIN(300,MAX(1,D345)),0), FactorTable!$A$2:$A$301,0), Skills!M19+1)</f>
        <v>1688</v>
      </c>
      <c r="F345">
        <f>IF(Skills!N19=TRUE,(Skills!L19/10)*(E345/1000),Skills!L19/10)+Skills!O19</f>
        <v>36.573895999999998</v>
      </c>
      <c r="G345">
        <f>Calc!G19</f>
        <v>1</v>
      </c>
      <c r="H345">
        <f>Calc!H19</f>
        <v>1</v>
      </c>
      <c r="I345">
        <f>IF(Skills!X19&lt;&gt;"",1+(Skills!X19/10)*(R329/1000)/100,1)</f>
        <v>1</v>
      </c>
      <c r="O345">
        <v>0</v>
      </c>
      <c r="P345">
        <f>IF(B365=0,0,O345/B365)</f>
        <v>0</v>
      </c>
      <c r="S345">
        <f>IF(AND(Inputs!$B$4&lt;&gt;"pvp",Inputs!$B$35&gt;0),(INT(Inputs!$B$35/IF(Inputs!$B$4="pvp",15,MAX(0.1,Skills!E19-IF(Skills!F19=TRUE,Inputs!$B$31,0))))+1),0)</f>
        <v>0</v>
      </c>
      <c r="V345">
        <f>IFERROR(1/IF(Inputs!$B$4="pvp",15,MAX(0.1,Skills!E19-IF(Skills!F19=TRUE,Inputs!$B$31,0))),0)</f>
        <v>3.3333333333333333E-2</v>
      </c>
    </row>
    <row r="346" spans="1:22" x14ac:dyDescent="0.2">
      <c r="A346" t="str">
        <f>Skills!A20</f>
        <v>MAGIC_CRITICAL_RATE</v>
      </c>
      <c r="B346" t="str">
        <f>Skills!B20</f>
        <v>Magic Critical (Crit Rate)</v>
      </c>
      <c r="C346" t="b">
        <f>TRUE</f>
        <v>1</v>
      </c>
      <c r="D346">
        <f>IF(Skills!C20=1,60+Inputs!$B$24+Inputs!$B$28,IF(Skills!C20=2,90+Inputs!$B$25+Inputs!$B$28,IF(Skills!C20=3,120+Inputs!$B$26+Inputs!$B$28,MAX(0,(Inputs!$B$3-100)*3)+Inputs!$B$27+Inputs!$B$28)))</f>
        <v>184</v>
      </c>
      <c r="E346">
        <f>INDEX(FactorTable!$B$2:$Y$301, MATCH(ROUND(MIN(300,MAX(1,D346)),0), FactorTable!$A$2:$A$301,0), Skills!M20+1)</f>
        <v>1552</v>
      </c>
      <c r="F346">
        <f>IF(Skills!N20=TRUE,(Skills!L20/10)*(E346/1000),Skills!L20/10)+Skills!O20</f>
        <v>12.416</v>
      </c>
      <c r="G346">
        <f>Calc!G20</f>
        <v>1</v>
      </c>
      <c r="H346">
        <f>Calc!H20</f>
        <v>1</v>
      </c>
      <c r="I346">
        <f>IF(Skills!X20&lt;&gt;"",1+(Skills!X20/10)*(R329/1000)/100,1)</f>
        <v>1</v>
      </c>
      <c r="O346">
        <v>0</v>
      </c>
      <c r="P346">
        <f>IF(B365=0,0,O346/B365)</f>
        <v>0</v>
      </c>
      <c r="S346">
        <v>0</v>
      </c>
      <c r="V346">
        <f>IFERROR(1/IF(Inputs!$B$4="pvp",15,MAX(0.1,Skills!E20-IF(Skills!F20=TRUE,Inputs!$B$31,0))),0)</f>
        <v>10</v>
      </c>
    </row>
    <row r="347" spans="1:22" x14ac:dyDescent="0.2">
      <c r="A347" t="str">
        <f>Skills!A21</f>
        <v>MAGIC_CRITICAL_DAMAGE</v>
      </c>
      <c r="B347" t="str">
        <f>Skills!B21</f>
        <v>Magic Critical (Crit Damage)</v>
      </c>
      <c r="C347" t="b">
        <f>TRUE</f>
        <v>1</v>
      </c>
      <c r="D347">
        <f>IF(Skills!C21=1,60+Inputs!$B$24+Inputs!$B$28,IF(Skills!C21=2,90+Inputs!$B$25+Inputs!$B$28,IF(Skills!C21=3,120+Inputs!$B$26+Inputs!$B$28,MAX(0,(Inputs!$B$3-100)*3)+Inputs!$B$27+Inputs!$B$28)))</f>
        <v>184</v>
      </c>
      <c r="E347">
        <f>INDEX(FactorTable!$B$2:$Y$301, MATCH(ROUND(MIN(300,MAX(1,D347)),0), FactorTable!$A$2:$A$301,0), Skills!M21+1)</f>
        <v>1552</v>
      </c>
      <c r="F347">
        <f>IF(Skills!N21=TRUE,(Skills!L21/10)*(E347/1000),Skills!L21/10)+Skills!O21</f>
        <v>18.624000000000002</v>
      </c>
      <c r="G347">
        <f>Calc!G21</f>
        <v>1</v>
      </c>
      <c r="H347">
        <f>Calc!H21</f>
        <v>1</v>
      </c>
      <c r="I347">
        <f>IF(Skills!X21&lt;&gt;"",1+(Skills!X21/10)*(R329/1000)/100,1)</f>
        <v>1</v>
      </c>
      <c r="O347">
        <v>0</v>
      </c>
      <c r="P347">
        <f>IF(B365=0,0,O347/B365)</f>
        <v>0</v>
      </c>
      <c r="S347">
        <v>0</v>
      </c>
      <c r="V347">
        <f>IFERROR(1/IF(Inputs!$B$4="pvp",15,MAX(0.1,Skills!E21-IF(Skills!F21=TRUE,Inputs!$B$31,0))),0)</f>
        <v>10</v>
      </c>
    </row>
    <row r="348" spans="1:22" x14ac:dyDescent="0.2">
      <c r="A348" t="str">
        <f>Skills!A22</f>
        <v>SPELL_MASTERY</v>
      </c>
      <c r="B348" t="str">
        <f>Skills!B22</f>
        <v>Spell Mastery</v>
      </c>
      <c r="C348" t="b">
        <f>TRUE</f>
        <v>1</v>
      </c>
      <c r="D348">
        <f>IF(Skills!C22=1,60+Inputs!$B$24+Inputs!$B$28,IF(Skills!C22=2,90+Inputs!$B$25+Inputs!$B$28,IF(Skills!C22=3,120+Inputs!$B$26+Inputs!$B$28,MAX(0,(Inputs!$B$3-100)*3)+Inputs!$B$27+Inputs!$B$28)))</f>
        <v>164</v>
      </c>
      <c r="E348">
        <f>INDEX(FactorTable!$B$2:$Y$301, MATCH(ROUND(MIN(300,MAX(1,D348)),0), FactorTable!$A$2:$A$301,0), Skills!M22+1)</f>
        <v>1492</v>
      </c>
      <c r="F348">
        <f>IF(Skills!N22=TRUE,(Skills!L22/10)*(E348/1000),Skills!L22/10)+Skills!O22</f>
        <v>22.38</v>
      </c>
      <c r="G348">
        <f>Calc!G22</f>
        <v>1</v>
      </c>
      <c r="H348">
        <f>Calc!H22</f>
        <v>1</v>
      </c>
      <c r="I348">
        <f>IF(Skills!X22&lt;&gt;"",1+(Skills!X22/10)*(R329/1000)/100,1)</f>
        <v>1</v>
      </c>
      <c r="O348">
        <v>0</v>
      </c>
      <c r="P348">
        <f>IF(B365=0,0,O348/B365)</f>
        <v>0</v>
      </c>
      <c r="S348">
        <v>0</v>
      </c>
      <c r="V348">
        <f>IFERROR(1/IF(Inputs!$B$4="pvp",15,MAX(0.1,Skills!E22-IF(Skills!F22=TRUE,Inputs!$B$31,0))),0)</f>
        <v>10</v>
      </c>
    </row>
    <row r="349" spans="1:22" x14ac:dyDescent="0.2">
      <c r="A349" t="str">
        <f>Skills!A23</f>
        <v>ELEMENT_AMPLIFICATION</v>
      </c>
      <c r="B349" t="str">
        <f>Skills!B23</f>
        <v>Element Amplification</v>
      </c>
      <c r="C349" t="b">
        <f>TRUE</f>
        <v>1</v>
      </c>
      <c r="D349">
        <f>IF(Skills!C23=1,60+Inputs!$B$24+Inputs!$B$28,IF(Skills!C23=2,90+Inputs!$B$25+Inputs!$B$28,IF(Skills!C23=3,120+Inputs!$B$26+Inputs!$B$28,MAX(0,(Inputs!$B$3-100)*3)+Inputs!$B$27+Inputs!$B$28)))</f>
        <v>172</v>
      </c>
      <c r="E349">
        <f>INDEX(FactorTable!$B$2:$Y$301, MATCH(ROUND(MIN(300,MAX(1,D349)),0), FactorTable!$A$2:$A$301,0), Skills!M23+1)</f>
        <v>1516</v>
      </c>
      <c r="F349">
        <f>IF(Skills!N23=TRUE,(Skills!L23/10)*(E349/1000),Skills!L23/10)+Skills!O23</f>
        <v>22.740000000000002</v>
      </c>
      <c r="G349">
        <f>Calc!G23</f>
        <v>1</v>
      </c>
      <c r="H349">
        <f>Calc!H23</f>
        <v>1</v>
      </c>
      <c r="I349">
        <f>IF(Skills!X23&lt;&gt;"",1+(Skills!X23/10)*(R329/1000)/100,1)</f>
        <v>1</v>
      </c>
      <c r="O349">
        <v>0</v>
      </c>
      <c r="P349">
        <f>IF(B365=0,0,O349/B365)</f>
        <v>0</v>
      </c>
      <c r="S349">
        <v>0</v>
      </c>
      <c r="V349">
        <f>IFERROR(1/IF(Inputs!$B$4="pvp",15,MAX(0.1,Skills!E23-IF(Skills!F23=TRUE,Inputs!$B$31,0))),0)</f>
        <v>10</v>
      </c>
    </row>
    <row r="350" spans="1:22" x14ac:dyDescent="0.2">
      <c r="A350" t="str">
        <f>Skills!A24</f>
        <v>IFRIT</v>
      </c>
      <c r="B350" t="str">
        <f>Skills!B24</f>
        <v>Ifrit</v>
      </c>
      <c r="C350" t="b">
        <f>Inputs!$B$3&gt;=115</f>
        <v>0</v>
      </c>
      <c r="D350">
        <f>IF(Skills!C24=1,60+Inputs!$B$24+Inputs!$B$28,IF(Skills!C24=2,90+Inputs!$B$25+Inputs!$B$28,IF(Skills!C24=3,120+Inputs!$B$26+Inputs!$B$28,MAX(0,(Inputs!$B$3-100)*3)+Inputs!$B$27+Inputs!$B$28)))</f>
        <v>172</v>
      </c>
      <c r="E350">
        <f>INDEX(FactorTable!$B$2:$Y$301, MATCH(ROUND(MIN(300,MAX(1,D350)),0), FactorTable!$A$2:$A$301,0), Skills!M24+1)</f>
        <v>1860</v>
      </c>
      <c r="F350">
        <f>IF(Skills!N24=TRUE,(Skills!L24/10)*(E350/1000),Skills!L24/10)+Skills!O24</f>
        <v>6510</v>
      </c>
      <c r="G350">
        <f>Calc!G24</f>
        <v>7.5</v>
      </c>
      <c r="H350">
        <f>Calc!H24</f>
        <v>1</v>
      </c>
      <c r="I350">
        <f>IF(Skills!X24&lt;&gt;"",1+(Skills!X24/10)*(R329/1000)/100,1)</f>
        <v>1</v>
      </c>
      <c r="J350">
        <f>((Inputs!$B$5*(1+Inputs!$B$6/100))+((Inputs!$B$11*(1+Inputs!$B$12/100))-(Inputs!$B$11*(1+Inputs!$B$12/100)))*(1+Inputs!$B$6/100))*(F350/100)</f>
        <v>16263999540.532799</v>
      </c>
      <c r="K350">
        <f>J350*(1+((Inputs!$B$11*(1+Inputs!$B$12/100))*0.01+Inputs!$B$13*0.0025)/100)*(1+Inputs!$B$14/100)*(1+IF(Inputs!$B$4="pvp",0,(1-Summary!$B$56)*(Inputs!$B$19+Skills!P24)+Summary!$B$56*(Inputs!$B$20+Skills!Q24))/100)*(1+Inputs!$B$15/100)*(5000/(6000+Inputs!$B$7*(1-Inputs!$B$18/100)))*(1+Inputs!$B$23/100)*(1+F349/100)*(1+IF(Inputs!$B$3&gt;=120,F352,0)/100)^5*(1+(IF(Skills!A24="BASIC_ATTACK",Inputs!$B$16,Inputs!$B$17+IF(Inputs!$B$3&gt;=125,F353*5,0)))/100)*(B356*B357*B358*I350)</f>
        <v>123735236722176.92</v>
      </c>
      <c r="L350">
        <f>K350*(MIN((Inputs!$B$21+1)+(F348-Calc!F22),Inputs!$B$22)/100+Inputs!$B$22/100)/2</f>
        <v>334641947715127.5</v>
      </c>
      <c r="M350">
        <f>L350*(1+(Inputs!$B$9+(F347-Calc!F21))/100)</f>
        <v>1402484402874099.5</v>
      </c>
      <c r="N350">
        <f>L350*(1-MIN(Inputs!$B$8+(F346-Calc!F20),100)/100)+M350*(MIN(Inputs!$B$8+(F346-Calc!F20),100)/100)</f>
        <v>1402484402874099.5</v>
      </c>
      <c r="O350">
        <f>IF(C350,H350*N350*IF(AND(Inputs!$B$4&lt;&gt;"pvp",Inputs!$B$35&gt;0),((Skills!G24*((S350-1)*IF(Skills!H24&gt;0,Skills!I24/Skills!H24,1)+IF(Skills!H24&gt;0,MIN(Skills!I24,MAX(0,Inputs!$B$35-((S350-1)*IF(Inputs!$B$4="pvp",15,MAX(0.1,Skills!E24-IF(Skills!F24=TRUE,Inputs!$B$31,0))))))/Skills!H24,1)))/Inputs!$B$35),G350*V350)*(1+IF(Inputs!$B$3&gt;=130,0.2*(Skills!I16/Skills!E15+IF(Inputs!$B$3&gt;=126,0.05*(B362+V339+(H340*B363)/(1+Skills!H14*H340*B363)+V350),0)*Skills!I16),0))*IF(Inputs!$B$4="pvp",1,(1-Summary!$B$56)*(1)+Summary!$B$56*(MIN(Skills!R24,Inputs!$B$37))),0)</f>
        <v>0</v>
      </c>
      <c r="P350">
        <f>IF(B365=0,0,O350/B365)</f>
        <v>0</v>
      </c>
      <c r="S350">
        <f>IF(AND(Inputs!$B$4&lt;&gt;"pvp",Inputs!$B$35&gt;0),(INT(Inputs!$B$35/IF(Inputs!$B$4="pvp",15,MAX(0.1,Skills!E24-IF(Skills!F24=TRUE,Inputs!$B$31,0))))+1),0)</f>
        <v>0</v>
      </c>
      <c r="V350">
        <f>IFERROR(1/IF(Inputs!$B$4="pvp",15,MAX(0.1,Skills!E24-IF(Skills!F24=TRUE,Inputs!$B$31,0))),0)</f>
        <v>1.2500000000000001E-2</v>
      </c>
    </row>
    <row r="351" spans="1:22" x14ac:dyDescent="0.2">
      <c r="A351" t="str">
        <f>Skills!A25</f>
        <v>BUFF_MASTERY</v>
      </c>
      <c r="B351" t="str">
        <f>Skills!B25</f>
        <v>Buff Mastery</v>
      </c>
      <c r="C351" t="b">
        <f>Inputs!$B$3&gt;=117</f>
        <v>0</v>
      </c>
      <c r="D351">
        <f>IF(Skills!C25=1,60+Inputs!$B$24+Inputs!$B$28,IF(Skills!C25=2,90+Inputs!$B$25+Inputs!$B$28,IF(Skills!C25=3,120+Inputs!$B$26+Inputs!$B$28,MAX(0,(Inputs!$B$3-100)*3)+Inputs!$B$27+Inputs!$B$28)))</f>
        <v>172</v>
      </c>
      <c r="E351">
        <f>INDEX(FactorTable!$B$2:$Y$301, MATCH(ROUND(MIN(300,MAX(1,D351)),0), FactorTable!$A$2:$A$301,0), Skills!M25+1)</f>
        <v>1516</v>
      </c>
      <c r="F351">
        <f>IF(Skills!N25=TRUE,(Skills!L25/10)*(E351/1000),Skills!L25/10)+Skills!O25</f>
        <v>15.16</v>
      </c>
      <c r="G351">
        <f>Calc!G25</f>
        <v>1</v>
      </c>
      <c r="H351">
        <f>Calc!H25</f>
        <v>1</v>
      </c>
      <c r="I351">
        <f>IF(Skills!X25&lt;&gt;"",1+(Skills!X25/10)*(R329/1000)/100,1)</f>
        <v>1</v>
      </c>
      <c r="O351">
        <v>0</v>
      </c>
      <c r="P351">
        <f>IF(B365=0,0,O351/B365)</f>
        <v>0</v>
      </c>
      <c r="S351">
        <v>0</v>
      </c>
      <c r="V351">
        <f>IFERROR(1/IF(Inputs!$B$4="pvp",15,MAX(0.1,Skills!E25-IF(Skills!F25=TRUE,Inputs!$B$31,0))),0)</f>
        <v>10</v>
      </c>
    </row>
    <row r="352" spans="1:22" x14ac:dyDescent="0.2">
      <c r="A352" t="str">
        <f>Skills!A26</f>
        <v>ARCANE_AIM</v>
      </c>
      <c r="B352" t="str">
        <f>Skills!B26</f>
        <v>Arcane Aim</v>
      </c>
      <c r="C352" t="b">
        <f>Inputs!$B$3&gt;=120</f>
        <v>0</v>
      </c>
      <c r="D352">
        <f>IF(Skills!C26=1,60+Inputs!$B$24+Inputs!$B$28,IF(Skills!C26=2,90+Inputs!$B$25+Inputs!$B$28,IF(Skills!C26=3,120+Inputs!$B$26+Inputs!$B$28,MAX(0,(Inputs!$B$3-100)*3)+Inputs!$B$27+Inputs!$B$28)))</f>
        <v>172</v>
      </c>
      <c r="E352">
        <f>INDEX(FactorTable!$B$2:$Y$301, MATCH(ROUND(MIN(300,MAX(1,D352)),0), FactorTable!$A$2:$A$301,0), Skills!M26+1)</f>
        <v>1516</v>
      </c>
      <c r="F352">
        <f>IF(Skills!N26=TRUE,(Skills!L26/10)*(E352/1000),Skills!L26/10)+Skills!O26</f>
        <v>4.548</v>
      </c>
      <c r="G352">
        <f>Calc!G26</f>
        <v>1</v>
      </c>
      <c r="H352">
        <f>Calc!H26</f>
        <v>1</v>
      </c>
      <c r="I352">
        <f>IF(Skills!X26&lt;&gt;"",1+(Skills!X26/10)*(R329/1000)/100,1)</f>
        <v>1</v>
      </c>
      <c r="O352">
        <v>0</v>
      </c>
      <c r="P352">
        <f>IF(B365=0,0,O352/B365)</f>
        <v>0</v>
      </c>
      <c r="S352">
        <v>0</v>
      </c>
      <c r="V352">
        <f>IFERROR(1/IF(Inputs!$B$4="pvp",15,MAX(0.1,Skills!E26-IF(Skills!F26=TRUE,Inputs!$B$31,0))),0)</f>
        <v>10</v>
      </c>
    </row>
    <row r="353" spans="1:22" x14ac:dyDescent="0.2">
      <c r="A353" t="str">
        <f>Skills!A27</f>
        <v>FERVENT_DRAIN</v>
      </c>
      <c r="B353" t="str">
        <f>Skills!B27</f>
        <v>Fervent Drain</v>
      </c>
      <c r="C353" t="b">
        <f>Inputs!$B$3&gt;=125</f>
        <v>0</v>
      </c>
      <c r="D353">
        <f>IF(Skills!C27=1,60+Inputs!$B$24+Inputs!$B$28,IF(Skills!C27=2,90+Inputs!$B$25+Inputs!$B$28,IF(Skills!C27=3,120+Inputs!$B$26+Inputs!$B$28,MAX(0,(Inputs!$B$3-100)*3)+Inputs!$B$27+Inputs!$B$28)))</f>
        <v>172</v>
      </c>
      <c r="E353">
        <f>INDEX(FactorTable!$B$2:$Y$301, MATCH(ROUND(MIN(300,MAX(1,D353)),0), FactorTable!$A$2:$A$301,0), Skills!M27+1)</f>
        <v>1516</v>
      </c>
      <c r="F353">
        <f>IF(Skills!N27=TRUE,(Skills!L27/10)*(E353/1000),Skills!L27/10)+Skills!O27</f>
        <v>6.0640000000000001</v>
      </c>
      <c r="G353">
        <f>Calc!G27</f>
        <v>1</v>
      </c>
      <c r="H353">
        <f>Calc!H27</f>
        <v>1</v>
      </c>
      <c r="I353">
        <f>IF(Skills!X27&lt;&gt;"",1+(Skills!X27/10)*(R329/1000)/100,1)</f>
        <v>1</v>
      </c>
      <c r="O353">
        <v>0</v>
      </c>
      <c r="P353">
        <f>IF(B365=0,0,O353/B365)</f>
        <v>0</v>
      </c>
      <c r="S353">
        <v>0</v>
      </c>
      <c r="V353">
        <f>IFERROR(1/IF(Inputs!$B$4="pvp",15,MAX(0.1,Skills!E27-IF(Skills!F27=TRUE,Inputs!$B$31,0))),0)</f>
        <v>10</v>
      </c>
    </row>
    <row r="354" spans="1:22" x14ac:dyDescent="0.2">
      <c r="A354" t="str">
        <f>Skills!A28</f>
        <v>FLAME_HAZE_FOG</v>
      </c>
      <c r="B354" t="str">
        <f>Skills!B28</f>
        <v>Flame Haze (poison fog DoT)</v>
      </c>
      <c r="C354" t="b">
        <f>Inputs!$B$3&gt;=118</f>
        <v>0</v>
      </c>
      <c r="D354">
        <f>IF(Skills!C28=1,60+Inputs!$B$24+Inputs!$B$28,IF(Skills!C28=2,90+Inputs!$B$25+Inputs!$B$28,IF(Skills!C28=3,120+Inputs!$B$26+Inputs!$B$28,MAX(0,(Inputs!$B$3-100)*3)+Inputs!$B$27+Inputs!$B$28)))</f>
        <v>172</v>
      </c>
      <c r="E354">
        <f>INDEX(FactorTable!$B$2:$Y$301, MATCH(ROUND(MIN(300,MAX(1,D354)),0), FactorTable!$A$2:$A$301,0), Skills!M28+1)</f>
        <v>1860</v>
      </c>
      <c r="F354">
        <f>IF(Skills!N28=TRUE,(Skills!L28/10)*(E354/1000),Skills!L28/10)+Skills!O28</f>
        <v>130.20000000000002</v>
      </c>
      <c r="G354">
        <f>Calc!G28</f>
        <v>50</v>
      </c>
      <c r="H354">
        <f>Calc!H28</f>
        <v>1</v>
      </c>
      <c r="I354">
        <f>IF(Skills!X28&lt;&gt;"",1+(Skills!X28/10)*(R329/1000)/100,1)</f>
        <v>1</v>
      </c>
      <c r="J354">
        <f>((Inputs!$B$5*(1+Inputs!$B$6/100))+((Inputs!$B$11*(1+Inputs!$B$12/100))-(Inputs!$B$11*(1+Inputs!$B$12/100)))*(1+Inputs!$B$6/100))*(F354/100)</f>
        <v>325279990.81065607</v>
      </c>
      <c r="K354">
        <f>J354*(1+((Inputs!$B$11*(1+Inputs!$B$12/100))*0.01+Inputs!$B$13*0.0025)/100)*(1+Inputs!$B$14/100)*(1+IF(Inputs!$B$4="pvp",0,(1-Summary!$B$56)*(Inputs!$B$19+Skills!P28)+Summary!$B$56*(Inputs!$B$20+Skills!Q28))/100)*(1+Inputs!$B$15/100)*(5000/(6000+Inputs!$B$7*(1-Inputs!$B$18/100)))*(1+Inputs!$B$23/100)*(1+F349/100)*(1+IF(Inputs!$B$3&gt;=120,F352,0)/100)^5*(1+(IF(Skills!A28="BASIC_ATTACK",Inputs!$B$16,Inputs!$B$17+IF(Inputs!$B$3&gt;=125,F353*5,0)))/100)*(B356*B357*B358*I354)</f>
        <v>2474704734443.54</v>
      </c>
      <c r="L354">
        <f>K354*(MIN((Inputs!$B$21+1)+(F348-Calc!F22),Inputs!$B$22)/100+Inputs!$B$22/100)/2</f>
        <v>6692838954302.5537</v>
      </c>
      <c r="M354">
        <f>L354*(1+(Inputs!$B$9+(F347-Calc!F21))/100)</f>
        <v>28049688057482.008</v>
      </c>
      <c r="N354">
        <f>L354*(1-MIN(Inputs!$B$8+(F346-Calc!F20),100)/100)+M354*(MIN(Inputs!$B$8+(F346-Calc!F20),100)/100)</f>
        <v>28049688057482.008</v>
      </c>
      <c r="O354">
        <f>IF(C354,H354*N354*IF(AND(Inputs!$B$4&lt;&gt;"pvp",Inputs!$B$35&gt;0),((Skills!G28*((S354-1)*IF(Skills!H28&gt;0,Skills!I28/Skills!H28,1)+IF(Skills!H28&gt;0,MIN(Skills!I28,MAX(0,Inputs!$B$35-((S354-1)*IF(Inputs!$B$4="pvp",15,MAX(0.1,Skills!E28-IF(Skills!F28=TRUE,Inputs!$B$31,0))))))/Skills!H28,1)))/Inputs!$B$35),G354*V354)*IF(Inputs!$B$4="pvp",1,(1-Summary!$B$56)*(1)+Summary!$B$56*(MIN(Skills!R28,Inputs!$B$37))),0)</f>
        <v>0</v>
      </c>
      <c r="P354">
        <f>IF(B365=0,0,O354/B365)</f>
        <v>0</v>
      </c>
      <c r="S354">
        <f>IF(AND(Inputs!$B$4&lt;&gt;"pvp",Inputs!$B$35&gt;0),(INT(Inputs!$B$35/IF(Inputs!$B$4="pvp",15,MAX(0.1,Skills!E28-IF(Skills!F28=TRUE,Inputs!$B$31,0))))+1),0)</f>
        <v>0</v>
      </c>
      <c r="V354">
        <f>IFERROR(1/IF(Inputs!$B$4="pvp",15,MAX(0.1,Skills!E28-IF(Skills!F28=TRUE,Inputs!$B$31,0))),0)</f>
        <v>0.04</v>
      </c>
    </row>
    <row r="356" spans="1:22" x14ac:dyDescent="0.2">
      <c r="A356" t="s">
        <v>222</v>
      </c>
      <c r="B356">
        <f>1+(F337*Skills!Z11)/100</f>
        <v>1.25</v>
      </c>
    </row>
    <row r="357" spans="1:22" x14ac:dyDescent="0.2">
      <c r="A357" t="s">
        <v>223</v>
      </c>
      <c r="B357">
        <f>1+F338/100</f>
        <v>1.18624</v>
      </c>
    </row>
    <row r="358" spans="1:22" x14ac:dyDescent="0.2">
      <c r="A358" t="s">
        <v>224</v>
      </c>
      <c r="B358">
        <f>(1+(F332*IF(AND(Inputs!$B$4&lt;&gt;"pvp",Inputs!$B$35&gt;0),(((S332-1)*(Skills!T6*(1+(Inputs!$B$33+IF(Inputs!$B$3&gt;=117,F351,0))/100))+MIN((Skills!T6*(1+(Inputs!$B$33+IF(Inputs!$B$3&gt;=117,F351,0))/100)),MAX(0,Inputs!$B$35-((S332-1)*Skills!E6))))/Inputs!$B$35),IF(Inputs!$B$4="pvp",MIN((Skills!T6*(1+(Inputs!$B$33+IF(Inputs!$B$3&gt;=117,F351,0))/100)),15)/15,(Skills!T6*(1+(Inputs!$B$33+IF(Inputs!$B$3&gt;=117,F351,0))/100))/Skills!E6))+F343*IF(AND(Inputs!$B$4&lt;&gt;"pvp",Inputs!$B$35&gt;0),(((S343-1)*(Skills!T17*(1+(Inputs!$B$33+IF(Inputs!$B$3&gt;=117,F351,0))/100))+MIN((Skills!T17*(1+(Inputs!$B$33+IF(Inputs!$B$3&gt;=117,F351,0))/100)),MAX(0,Inputs!$B$35-((S343-1)*Skills!E17))))/Inputs!$B$35),IF(Inputs!$B$4="pvp",MIN((Skills!T17*(1+(Inputs!$B$33+IF(Inputs!$B$3&gt;=117,F351,0))/100)),15)/15,(Skills!T17*(1+(Inputs!$B$33+IF(Inputs!$B$3&gt;=117,F351,0))/100))/Skills!E17)))/100)*IF(C345=TRUE,(1+F345*IF(AND(Inputs!$B$4&lt;&gt;"pvp",Inputs!$B$35&gt;0),(((S345-1)*(Skills!T19*(1+(Inputs!$B$33+IF(Inputs!$B$3&gt;=117,F351,0))/100))+MIN((Skills!T19*(1+(Inputs!$B$33+IF(Inputs!$B$3&gt;=117,F351,0))/100)),MAX(0,Inputs!$B$35-((S345-1)*Skills!E19))))/Inputs!$B$35),IF(Inputs!$B$4="pvp",MIN((Skills!T19*(1+(Inputs!$B$33+IF(Inputs!$B$3&gt;=117,F351,0))/100)),15)/15,(Skills!T19*(1+(Inputs!$B$33+IF(Inputs!$B$3&gt;=117,F351,0))/100))/Skills!E19))/100),1)</f>
        <v>1.5603265106950857</v>
      </c>
    </row>
    <row r="359" spans="1:22" x14ac:dyDescent="0.2">
      <c r="A359" t="s">
        <v>225</v>
      </c>
      <c r="B359">
        <f>F344*IF(AND(Inputs!$B$4&lt;&gt;"pvp",Inputs!$B$35&gt;0),(((S344-1)*(Skills!T18*(1+(Inputs!$B$33+IF(Inputs!$B$3&gt;=117,F351,0))/100))+MIN((Skills!T18*(1+(Inputs!$B$33+IF(Inputs!$B$3&gt;=117,F351,0))/100)),MAX(0,Inputs!$B$35-((S344-1)*Skills!E18))))/Inputs!$B$35),IF(Inputs!$B$4="pvp",MIN((Skills!T18*(1+(Inputs!$B$33+IF(Inputs!$B$3&gt;=117,F351,0))/100)),15)/15,(Skills!T18*(1+(Inputs!$B$33+IF(Inputs!$B$3&gt;=117,F351,0))/100))/Skills!E18))</f>
        <v>3.75</v>
      </c>
    </row>
    <row r="360" spans="1:22" x14ac:dyDescent="0.2">
      <c r="A360" t="s">
        <v>253</v>
      </c>
      <c r="B360">
        <f>1+MIN(150,150*(1-(1-Inputs!$B$10/150)*(1-B359/150)))/100</f>
        <v>1.6371249999999999</v>
      </c>
    </row>
    <row r="361" spans="1:22" x14ac:dyDescent="0.2">
      <c r="A361" t="s">
        <v>254</v>
      </c>
      <c r="B361">
        <f>IF(AND(Inputs!$B$4&lt;&gt;"pvp",Inputs!$B$35&gt;0),SUMPRODUCT((Skills!F2:F28=TRUE)*(C328:C354=TRUE)*S328:S354)/Inputs!$B$35,SUMPRODUCT((Skills!F2:F28=TRUE)*(C328:C354=TRUE)*V328:V354))</f>
        <v>0.33466433037861604</v>
      </c>
    </row>
    <row r="362" spans="1:22" x14ac:dyDescent="0.2">
      <c r="A362" t="s">
        <v>228</v>
      </c>
      <c r="B362">
        <f>MAX(0,B360-B361)</f>
        <v>1.3024606696213838</v>
      </c>
    </row>
    <row r="363" spans="1:22" x14ac:dyDescent="0.2">
      <c r="A363" t="s">
        <v>255</v>
      </c>
      <c r="B363">
        <f>IF(AND(Inputs!$B$4&lt;&gt;"pvp",Inputs!$B$35&gt;0),SUMPRODUCT((Skills!V2:V28=TRUE)*(C328:C354=TRUE)*S328:S354*Skills!W2:W28)/Inputs!$B$35,SUMPRODUCT((Skills!V2:V28=TRUE)*(C328:C354=TRUE)*V328:V354*Skills!W2:W28))+B362</f>
        <v>1.5297416426166426</v>
      </c>
    </row>
    <row r="365" spans="1:22" x14ac:dyDescent="0.2">
      <c r="A365" s="5" t="s">
        <v>208</v>
      </c>
      <c r="B365" s="5">
        <f>SUM(O328:O354)</f>
        <v>8355030456634290</v>
      </c>
    </row>
    <row r="368" spans="1:22" x14ac:dyDescent="0.2">
      <c r="A368" s="5" t="s">
        <v>263</v>
      </c>
    </row>
    <row r="369" spans="1:22" x14ac:dyDescent="0.2">
      <c r="A369" s="8" t="s">
        <v>74</v>
      </c>
      <c r="B369" s="8" t="s">
        <v>75</v>
      </c>
      <c r="C369" s="8" t="s">
        <v>190</v>
      </c>
      <c r="D369" s="8" t="s">
        <v>191</v>
      </c>
      <c r="E369" s="8" t="s">
        <v>192</v>
      </c>
      <c r="F369" s="8" t="s">
        <v>193</v>
      </c>
      <c r="G369" s="8" t="s">
        <v>194</v>
      </c>
      <c r="H369" s="8" t="s">
        <v>195</v>
      </c>
      <c r="I369" s="8" t="s">
        <v>196</v>
      </c>
      <c r="J369" s="8" t="s">
        <v>197</v>
      </c>
      <c r="K369" s="8" t="s">
        <v>198</v>
      </c>
      <c r="L369" s="8" t="s">
        <v>199</v>
      </c>
      <c r="M369" s="8" t="s">
        <v>200</v>
      </c>
      <c r="N369" s="8" t="s">
        <v>201</v>
      </c>
      <c r="O369" s="8" t="s">
        <v>202</v>
      </c>
      <c r="P369" s="8" t="s">
        <v>203</v>
      </c>
      <c r="R369" t="s">
        <v>252</v>
      </c>
    </row>
    <row r="370" spans="1:22" x14ac:dyDescent="0.2">
      <c r="A370" t="str">
        <f>Skills!A2</f>
        <v>BASIC_ATTACK</v>
      </c>
      <c r="B370" t="str">
        <f>Skills!B2</f>
        <v>Basic Attack</v>
      </c>
      <c r="C370" t="b">
        <f>TRUE</f>
        <v>1</v>
      </c>
      <c r="F370">
        <f>T372+Skills!O2</f>
        <v>510.52</v>
      </c>
      <c r="G370">
        <f>Calc!G2</f>
        <v>5</v>
      </c>
      <c r="H370">
        <f>Calc!H2</f>
        <v>1</v>
      </c>
      <c r="I370">
        <f>IF(Skills!X2&lt;&gt;"",1+(Skills!X2/10)*(R371/1000)/100,1)</f>
        <v>1</v>
      </c>
      <c r="J370">
        <f>((Inputs!$B$5*(1+Inputs!$B$6/100))+((Inputs!$B$11*(1+Inputs!$B$12/100))-(Inputs!$B$11*(1+Inputs!$B$12/100)))*(1+Inputs!$B$6/100))*(F370/100)</f>
        <v>1275437334.1678655</v>
      </c>
      <c r="K370">
        <f>J370*(1+((Inputs!$B$11*(1+Inputs!$B$12/100))*0.01+Inputs!$B$13*0.0025)/100)*(1+Inputs!$B$14/100)*(1+IF(Inputs!$B$4="pvp",0,(1-Summary!$B$56)*(Inputs!$B$19+Skills!P2)+Summary!$B$56*(Inputs!$B$20+Skills!Q2))/100)*(1+Inputs!$B$15/100)*(5000/(6000+Inputs!$B$7*(1-Inputs!$B$18/100)))*(1+Inputs!$B$23/100)*(1+F391/100)*(1+IF(Inputs!$B$3&gt;=120,F394,0)/100)^5*(1+(IF(Skills!A2="BASIC_ATTACK",Inputs!$B$16,Inputs!$B$17+IF(Inputs!$B$3&gt;=125,F395*5,0)))/100)*(B398*B399*B400*I370)</f>
        <v>6960952567530.5723</v>
      </c>
      <c r="L370">
        <f>K370*(MIN(Inputs!$B$21+(F390-Calc!F22),(Inputs!$B$22+1))/100+(Inputs!$B$22+1)/100)/2</f>
        <v>18825896218886.434</v>
      </c>
      <c r="M370">
        <f>L370*(1+(Inputs!$B$9+(F389-Calc!F21))/100)</f>
        <v>78899331053353.062</v>
      </c>
      <c r="N370">
        <f>L370*(1-MIN(Inputs!$B$8+(F388-Calc!F20),100)/100)+M370*(MIN(Inputs!$B$8+(F388-Calc!F20),100)/100)</f>
        <v>78899331053353.062</v>
      </c>
      <c r="O370">
        <f>Skills!G2*N370*B404*IF(Inputs!$B$4="pvp",1,(1-Summary!$B$56)*(1)+Summary!$B$56*(MIN((6+Inputs!$B$32+IF(Inputs!$B$3&gt;=136,1,0)),Inputs!$B$37)))</f>
        <v>3905004471144320</v>
      </c>
      <c r="P370">
        <f>IF(B407=0,0,O370/B407)</f>
        <v>0.46738363090508683</v>
      </c>
      <c r="R370">
        <f>MAX(0,(Inputs!$B$3-100)*3)+Inputs!$B$27+Inputs!$B$28</f>
        <v>172</v>
      </c>
      <c r="S370">
        <v>0</v>
      </c>
      <c r="T370">
        <f>MAX(0,(Inputs!$B$3-100)*3)+Inputs!$B$27+Inputs!$B$28</f>
        <v>172</v>
      </c>
      <c r="V370">
        <f>IFERROR(1/IF(Inputs!$B$4="pvp",15,MAX(0.1,Skills!E2-IF(Skills!F2=TRUE,Inputs!$B$31,0))),0)</f>
        <v>10</v>
      </c>
    </row>
    <row r="371" spans="1:22" x14ac:dyDescent="0.2">
      <c r="A371" t="str">
        <f>Skills!A3</f>
        <v>IGNITE</v>
      </c>
      <c r="B371" t="str">
        <f>Skills!B3</f>
        <v>Ignite</v>
      </c>
      <c r="C371" t="b">
        <f>TRUE</f>
        <v>1</v>
      </c>
      <c r="D371">
        <f>IF(Skills!C3=1,60+Inputs!$B$24+Inputs!$B$28,IF(Skills!C3=2,90+Inputs!$B$25+Inputs!$B$28,IF(Skills!C3=3,120+Inputs!$B$26+Inputs!$B$28,MAX(0,(Inputs!$B$3-100)*3)+Inputs!$B$27+Inputs!$B$28)))</f>
        <v>164</v>
      </c>
      <c r="E371">
        <f>INDEX(FactorTable!$B$2:$Y$301, MATCH(ROUND(MIN(300,MAX(1,D371)),0), FactorTable!$A$2:$A$301,0), Skills!M3+1)</f>
        <v>1656</v>
      </c>
      <c r="F371">
        <f>IF(Skills!N3=TRUE,(Skills!L3/10)*(E371/1000),Skills!L3/10)+Skills!O3</f>
        <v>121.52799999999999</v>
      </c>
      <c r="G371">
        <f>Calc!G3</f>
        <v>3</v>
      </c>
      <c r="H371">
        <f>Calc!H3</f>
        <v>1</v>
      </c>
      <c r="I371">
        <f>IF(Skills!X3&lt;&gt;"",1+(Skills!X3/10)*(R371/1000)/100,1)</f>
        <v>4.76</v>
      </c>
      <c r="J371">
        <f>((Inputs!$B$5*(1+Inputs!$B$6/100))+((Inputs!$B$11*(1+Inputs!$B$12/100))-(Inputs!$B$11*(1+Inputs!$B$12/100)))*(1+Inputs!$B$6/100))*(F371/100)</f>
        <v>303614644.57171583</v>
      </c>
      <c r="K371">
        <f>J371*(1+((Inputs!$B$11*(1+Inputs!$B$12/100))*0.01+Inputs!$B$13*0.0025)/100)*(1+Inputs!$B$14/100)*(1+IF(Inputs!$B$4="pvp",0,(1-Summary!$B$56)*(Inputs!$B$19+Skills!P3)+Summary!$B$56*(Inputs!$B$20+Skills!Q3))/100)*(1+Inputs!$B$15/100)*(5000/(6000+Inputs!$B$7*(1-Inputs!$B$18/100)))*(1+Inputs!$B$23/100)*(1+F391/100)*(1+IF(Inputs!$B$3&gt;=120,F394,0)/100)^5*(1+(IF(Skills!A3="BASIC_ATTACK",Inputs!$B$16,Inputs!$B$17+IF(Inputs!$B$3&gt;=125,F395*5,0)))/100)*(B398*B399*B400*I371)</f>
        <v>10995012018164.998</v>
      </c>
      <c r="L371">
        <f>K371*(MIN(Inputs!$B$21+(F390-Calc!F22),(Inputs!$B$22+1))/100+(Inputs!$B$22+1)/100)/2</f>
        <v>29736010003127.234</v>
      </c>
      <c r="M371">
        <f>L371*(1+(Inputs!$B$9+(F389-Calc!F21))/100)</f>
        <v>124623617923106.27</v>
      </c>
      <c r="N371">
        <f>L371*(1-MIN(Inputs!$B$8+(F388-Calc!F20),100)/100)+M371*(MIN(Inputs!$B$8+(F388-Calc!F20),100)/100)</f>
        <v>124623617923106.27</v>
      </c>
      <c r="O371">
        <f>IF(C371,H371*N371*IF(AND(Inputs!$B$4&lt;&gt;"pvp",Inputs!$B$35&gt;0),((Skills!G3*((S371-1)*IF(Skills!H3&gt;0,Skills!I3/Skills!H3,1)+IF(Skills!H3&gt;0,MIN(Skills!I3,MAX(0,Inputs!$B$35-((S371-1)*IF(Inputs!$B$4="pvp",15,MAX(0.1,Skills!E3-IF(Skills!F3=TRUE,Inputs!$B$31,0))))))/Skills!H3,1)))/Inputs!$B$35),G371*V371)*IF(Inputs!$B$4="pvp",1,(1-Summary!$B$56)*(1)+Summary!$B$56*(MIN(Skills!R3,Inputs!$B$37))),0)</f>
        <v>822515878292501.25</v>
      </c>
      <c r="P371">
        <f>IF(B407=0,0,O371/B407)</f>
        <v>9.8445587070168566E-2</v>
      </c>
      <c r="R371">
        <f>INDEX(FactorTable!$B$2:$Y$301, MATCH(ROUND(MIN(300,MAX(1,R370)),0), FactorTable!$A$2:$A$301,0), 24)</f>
        <v>7520</v>
      </c>
      <c r="S371">
        <f>IF(AND(Inputs!$B$4&lt;&gt;"pvp",Inputs!$B$35&gt;0),(INT(Inputs!$B$35/IF(Inputs!$B$4="pvp",15,MAX(0.1,Skills!E3-IF(Skills!F3=TRUE,Inputs!$B$31,0))))+1),0)</f>
        <v>0</v>
      </c>
      <c r="T371">
        <f>INDEX(FactorTable!$B$2:$Y$301, MATCH(ROUND(MIN(300,MAX(1,T370)),0), FactorTable!$A$2:$A$301,0), 22)</f>
        <v>1688</v>
      </c>
      <c r="V371">
        <f>IFERROR(1/IF(Inputs!$B$4="pvp",15,MAX(0.1,Skills!E3-IF(Skills!F3=TRUE,Inputs!$B$31,0))),0)</f>
        <v>1</v>
      </c>
    </row>
    <row r="372" spans="1:22" x14ac:dyDescent="0.2">
      <c r="A372" t="str">
        <f>Skills!A4</f>
        <v>POISON_BREATH</v>
      </c>
      <c r="B372" t="str">
        <f>Skills!B4</f>
        <v>Poison Breath</v>
      </c>
      <c r="C372" t="b">
        <f>TRUE</f>
        <v>1</v>
      </c>
      <c r="D372">
        <f>IF(Skills!C4=1,60+Inputs!$B$24+Inputs!$B$28,IF(Skills!C4=2,90+Inputs!$B$25+Inputs!$B$28,IF(Skills!C4=3,120+Inputs!$B$26+Inputs!$B$28,MAX(0,(Inputs!$B$3-100)*3)+Inputs!$B$27+Inputs!$B$28)))</f>
        <v>164</v>
      </c>
      <c r="E372">
        <f>INDEX(FactorTable!$B$2:$Y$301, MATCH(ROUND(MIN(300,MAX(1,D372)),0), FactorTable!$A$2:$A$301,0), Skills!M4+1)</f>
        <v>1820</v>
      </c>
      <c r="F372">
        <f>IF(Skills!N4=TRUE,(Skills!L4/10)*(E372/1000),Skills!L4/10)+Skills!O4</f>
        <v>434</v>
      </c>
      <c r="G372">
        <f>Calc!G4</f>
        <v>3</v>
      </c>
      <c r="H372">
        <f>Calc!H4</f>
        <v>1</v>
      </c>
      <c r="I372">
        <f>IF(Skills!X4&lt;&gt;"",1+(Skills!X4/10)*(R371/1000)/100,1)</f>
        <v>7.0159999999999991</v>
      </c>
      <c r="J372">
        <f>((Inputs!$B$5*(1+Inputs!$B$6/100))+((Inputs!$B$11*(1+Inputs!$B$12/100))-(Inputs!$B$11*(1+Inputs!$B$12/100)))*(1+Inputs!$B$6/100))*(F372/100)</f>
        <v>1084266636.0355198</v>
      </c>
      <c r="K372">
        <f>J372*(1+((Inputs!$B$11*(1+Inputs!$B$12/100))*0.01+Inputs!$B$13*0.0025)/100)*(1+Inputs!$B$14/100)*(1+IF(Inputs!$B$4="pvp",0,(1-Summary!$B$56)*(Inputs!$B$19+Skills!P4)+Summary!$B$56*(Inputs!$B$20+Skills!Q4))/100)*(1+Inputs!$B$15/100)*(5000/(6000+Inputs!$B$7*(1-Inputs!$B$18/100)))*(1+Inputs!$B$23/100)*(1+F391/100)*(1+IF(Inputs!$B$3&gt;=120,F394,0)/100)^5*(1+(IF(Skills!A4="BASIC_ATTACK",Inputs!$B$16,Inputs!$B$17+IF(Inputs!$B$3&gt;=125,F395*5,0)))/100)*(B398*B399*B400*I372)</f>
        <v>57875094722852.875</v>
      </c>
      <c r="L372">
        <f>K372*(MIN(Inputs!$B$21+(F390-Calc!F22),(Inputs!$B$22+1))/100+(Inputs!$B$22+1)/100)/2</f>
        <v>156523193677955.59</v>
      </c>
      <c r="M372">
        <f>L372*(1+(Inputs!$B$9+(F389-Calc!F21))/100)</f>
        <v>655988704704312</v>
      </c>
      <c r="N372">
        <f>L372*(1-MIN(Inputs!$B$8+(F388-Calc!F20),100)/100)+M372*(MIN(Inputs!$B$8+(F388-Calc!F20),100)/100)</f>
        <v>655988704704312</v>
      </c>
      <c r="O372">
        <f>IF(C372,H372*N372*IF(AND(Inputs!$B$4&lt;&gt;"pvp",Inputs!$B$35&gt;0),((Skills!G4*((S372-1)*IF(Skills!H4&gt;0,Skills!I4/Skills!H4,1)+IF(Skills!H4&gt;0,MIN(Skills!I4,MAX(0,Inputs!$B$35-((S372-1)*IF(Inputs!$B$4="pvp",15,MAX(0.1,Skills!E4-IF(Skills!F4=TRUE,Inputs!$B$31,0))))))/Skills!H4,1)))/Inputs!$B$35),G372*V372)*IF(Inputs!$B$4="pvp",1,(1-Summary!$B$56)*(1)+Summary!$B$56*(MIN(Skills!R4,Inputs!$B$37))),0)</f>
        <v>437325803136207.94</v>
      </c>
      <c r="P372">
        <f>IF(B407=0,0,O372/B407)</f>
        <v>5.2342813758261116E-2</v>
      </c>
      <c r="S372">
        <f>IF(AND(Inputs!$B$4&lt;&gt;"pvp",Inputs!$B$35&gt;0),(INT(Inputs!$B$35/IF(Inputs!$B$4="pvp",15,MAX(0.1,Skills!E4-IF(Skills!F4=TRUE,Inputs!$B$31,0))))+1),0)</f>
        <v>0</v>
      </c>
      <c r="T372">
        <f>290*T371/1000</f>
        <v>489.52</v>
      </c>
      <c r="V372">
        <f>IFERROR(1/IF(Inputs!$B$4="pvp",15,MAX(0.1,Skills!E4-IF(Skills!F4=TRUE,Inputs!$B$31,0))),0)</f>
        <v>5.5555555555555552E-2</v>
      </c>
    </row>
    <row r="373" spans="1:22" x14ac:dyDescent="0.2">
      <c r="A373" t="str">
        <f>Skills!A5</f>
        <v>ELEMENTAL_DRAIN</v>
      </c>
      <c r="B373" t="str">
        <f>Skills!B5</f>
        <v>Elemental Drain</v>
      </c>
      <c r="C373" t="b">
        <f>TRUE</f>
        <v>1</v>
      </c>
      <c r="D373">
        <f>IF(Skills!C5=1,60+Inputs!$B$24+Inputs!$B$28,IF(Skills!C5=2,90+Inputs!$B$25+Inputs!$B$28,IF(Skills!C5=3,120+Inputs!$B$26+Inputs!$B$28,MAX(0,(Inputs!$B$3-100)*3)+Inputs!$B$27+Inputs!$B$28)))</f>
        <v>164</v>
      </c>
      <c r="E373">
        <f>INDEX(FactorTable!$B$2:$Y$301, MATCH(ROUND(MIN(300,MAX(1,D373)),0), FactorTable!$A$2:$A$301,0), Skills!M5+1)</f>
        <v>1656</v>
      </c>
      <c r="F373">
        <f>IF(Skills!N5=TRUE,(Skills!L5/10)*(E373/1000),Skills!L5/10)+Skills!O5</f>
        <v>19.872</v>
      </c>
      <c r="G373">
        <f>Calc!G5</f>
        <v>5</v>
      </c>
      <c r="H373">
        <f>Calc!H5</f>
        <v>1</v>
      </c>
      <c r="I373">
        <f>IF(Skills!X5&lt;&gt;"",1+(Skills!X5/10)*(R371/1000)/100,1)</f>
        <v>12.28</v>
      </c>
      <c r="J373">
        <f>((Inputs!$B$5*(1+Inputs!$B$6/100))+((Inputs!$B$11*(1+Inputs!$B$12/100))-(Inputs!$B$11*(1+Inputs!$B$12/100)))*(1+Inputs!$B$6/100))*(F373/100)</f>
        <v>49646420.717276163</v>
      </c>
      <c r="K373">
        <f>J373*(1+((Inputs!$B$11*(1+Inputs!$B$12/100))*0.01+Inputs!$B$13*0.0025)/100)*(1+Inputs!$B$14/100)*(1+IF(Inputs!$B$4="pvp",0,(1-Summary!$B$56)*(Inputs!$B$19+Skills!P5)+Summary!$B$56*(Inputs!$B$20+Skills!Q5))/100)*(1+Inputs!$B$15/100)*(5000/(6000+Inputs!$B$7*(1-Inputs!$B$18/100)))*(1+Inputs!$B$23/100)*(1+F391/100)*(1+IF(Inputs!$B$3&gt;=120,F394,0)/100)^5*(1+(IF(Skills!A5="BASIC_ATTACK",Inputs!$B$16,Inputs!$B$17+IF(Inputs!$B$3&gt;=125,F395*5,0)))/100)*(B398*B399*B400*I373)</f>
        <v>4638230744159.3359</v>
      </c>
      <c r="L373">
        <f>K373*(MIN(Inputs!$B$21+(F390-Calc!F22),(Inputs!$B$22+1))/100+(Inputs!$B$22+1)/100)/2</f>
        <v>12544095047578.924</v>
      </c>
      <c r="M373">
        <f>L373*(1+(Inputs!$B$9+(F389-Calc!F21))/100)</f>
        <v>52572302344403.281</v>
      </c>
      <c r="N373">
        <f>L373*(1-MIN(Inputs!$B$8+(F388-Calc!F20),100)/100)+M373*(MIN(Inputs!$B$8+(F388-Calc!F20),100)/100)</f>
        <v>52572302344403.281</v>
      </c>
      <c r="O373">
        <f>IF(C373,H373*N373*IF(AND(Inputs!$B$4&lt;&gt;"pvp",Inputs!$B$35&gt;0),((Skills!G5*((S373-1)*IF(Skills!H5&gt;0,Skills!I5/Skills!H5,1)+IF(Skills!H5&gt;0,MIN(Skills!I5,MAX(0,Inputs!$B$35-((S373-1)*IF(Inputs!$B$4="pvp",15,MAX(0.1,Skills!E5-IF(Skills!F5=TRUE,Inputs!$B$31,0))))))/Skills!H5,1)))/Inputs!$B$35),G373*V373)*IF(Inputs!$B$4="pvp",1,(1-Summary!$B$56)*(1)+Summary!$B$56*(MIN(Skills!R5,Inputs!$B$37))),0)</f>
        <v>262861511722016.41</v>
      </c>
      <c r="P373">
        <f>IF(B407=0,0,O373/B407)</f>
        <v>3.1461466608214687E-2</v>
      </c>
      <c r="S373">
        <f>IF(AND(Inputs!$B$4&lt;&gt;"pvp",Inputs!$B$35&gt;0),(INT(Inputs!$B$35/IF(Inputs!$B$4="pvp",15,MAX(0.1,Skills!E5-IF(Skills!F5=TRUE,Inputs!$B$31,0))))+1),0)</f>
        <v>0</v>
      </c>
      <c r="V373">
        <f>IFERROR(1/IF(Inputs!$B$4="pvp",15,MAX(0.1,Skills!E5-IF(Skills!F5=TRUE,Inputs!$B$31,0))),0)</f>
        <v>1</v>
      </c>
    </row>
    <row r="374" spans="1:22" x14ac:dyDescent="0.2">
      <c r="A374" t="str">
        <f>Skills!A6</f>
        <v>MEDITATION</v>
      </c>
      <c r="B374" t="str">
        <f>Skills!B6</f>
        <v>Meditation</v>
      </c>
      <c r="C374" t="b">
        <f>TRUE</f>
        <v>1</v>
      </c>
      <c r="D374">
        <f>IF(Skills!C6=1,60+Inputs!$B$24+Inputs!$B$28,IF(Skills!C6=2,90+Inputs!$B$25+Inputs!$B$28,IF(Skills!C6=3,120+Inputs!$B$26+Inputs!$B$28,MAX(0,(Inputs!$B$3-100)*3)+Inputs!$B$27+Inputs!$B$28)))</f>
        <v>164</v>
      </c>
      <c r="E374">
        <f>INDEX(FactorTable!$B$2:$Y$301, MATCH(ROUND(MIN(300,MAX(1,D374)),0), FactorTable!$A$2:$A$301,0), Skills!M6+1)</f>
        <v>1492</v>
      </c>
      <c r="F374">
        <f>IF(Skills!N6=TRUE,(Skills!L6/10)*(E374/1000),Skills!L6/10)+Skills!O6</f>
        <v>29.84</v>
      </c>
      <c r="G374">
        <f>Calc!G6</f>
        <v>1</v>
      </c>
      <c r="H374">
        <f>Calc!H6</f>
        <v>1</v>
      </c>
      <c r="I374">
        <f>IF(Skills!X6&lt;&gt;"",1+(Skills!X6/10)*(R371/1000)/100,1)</f>
        <v>1</v>
      </c>
      <c r="O374">
        <v>0</v>
      </c>
      <c r="P374">
        <f>IF(B407=0,0,O374/B407)</f>
        <v>0</v>
      </c>
      <c r="S374">
        <f>IF(AND(Inputs!$B$4&lt;&gt;"pvp",Inputs!$B$35&gt;0),(INT(Inputs!$B$35/IF(Inputs!$B$4="pvp",15,MAX(0.1,Skills!E6-IF(Skills!F6=TRUE,Inputs!$B$31,0))))+1),0)</f>
        <v>0</v>
      </c>
      <c r="V374">
        <f>IFERROR(1/IF(Inputs!$B$4="pvp",15,MAX(0.1,Skills!E6-IF(Skills!F6=TRUE,Inputs!$B$31,0))),0)</f>
        <v>3.3333333333333333E-2</v>
      </c>
    </row>
    <row r="375" spans="1:22" x14ac:dyDescent="0.2">
      <c r="A375" t="str">
        <f>Skills!A7</f>
        <v>POISON_MIST_BURST</v>
      </c>
      <c r="B375" t="str">
        <f>Skills!B7</f>
        <v>Poison Mist (burst)</v>
      </c>
      <c r="C375" t="b">
        <f>TRUE</f>
        <v>1</v>
      </c>
      <c r="D375">
        <f>IF(Skills!C7=1,60+Inputs!$B$24+Inputs!$B$28,IF(Skills!C7=2,90+Inputs!$B$25+Inputs!$B$28,IF(Skills!C7=3,120+Inputs!$B$26+Inputs!$B$28,MAX(0,(Inputs!$B$3-100)*3)+Inputs!$B$27+Inputs!$B$28)))</f>
        <v>184</v>
      </c>
      <c r="E375">
        <f>INDEX(FactorTable!$B$2:$Y$301, MATCH(ROUND(MIN(300,MAX(1,D375)),0), FactorTable!$A$2:$A$301,0), Skills!M7+1)</f>
        <v>1920</v>
      </c>
      <c r="F375">
        <f>IF(Skills!N7=TRUE,(Skills!L7/10)*(E375/1000),Skills!L7/10)+Skills!O7</f>
        <v>357.2</v>
      </c>
      <c r="G375">
        <f>Calc!G7</f>
        <v>3</v>
      </c>
      <c r="H375">
        <f>Calc!H7</f>
        <v>1</v>
      </c>
      <c r="I375">
        <f>IF(Skills!X7&lt;&gt;"",1+(Skills!X7/10)*(R371/1000)/100,1)</f>
        <v>1.7519999999999998</v>
      </c>
      <c r="J375">
        <f>((Inputs!$B$5*(1+Inputs!$B$6/100))+((Inputs!$B$11*(1+Inputs!$B$12/100))-(Inputs!$B$11*(1+Inputs!$B$12/100)))*(1+Inputs!$B$6/100))*(F375/100)</f>
        <v>892396411.04121602</v>
      </c>
      <c r="K375">
        <f>J375*(1+((Inputs!$B$11*(1+Inputs!$B$12/100))*0.01+Inputs!$B$13*0.0025)/100)*(1+Inputs!$B$14/100)*(1+IF(Inputs!$B$4="pvp",0,(1-Summary!$B$56)*(Inputs!$B$19+Skills!P7)+Summary!$B$56*(Inputs!$B$20+Skills!Q7))/100)*(1+Inputs!$B$15/100)*(5000/(6000+Inputs!$B$7*(1-Inputs!$B$18/100)))*(1+Inputs!$B$23/100)*(1+F391/100)*(1+IF(Inputs!$B$3&gt;=120,F394,0)/100)^5*(1+(IF(Skills!A7="BASIC_ATTACK",Inputs!$B$16,Inputs!$B$17+IF(Inputs!$B$3&gt;=125,F395*5,0)))/100)*(B398*B399*B400*I375)</f>
        <v>11894822262388.189</v>
      </c>
      <c r="L375">
        <f>K375*(MIN(Inputs!$B$21+(F390-Calc!F22),(Inputs!$B$22+1))/100+(Inputs!$B$22+1)/100)/2</f>
        <v>32169546808628.855</v>
      </c>
      <c r="M375">
        <f>L375*(1+(Inputs!$B$9+(F389-Calc!F21))/100)</f>
        <v>134822570674963.56</v>
      </c>
      <c r="N375">
        <f>L375*(1-MIN(Inputs!$B$8+(F388-Calc!F20),100)/100)+M375*(MIN(Inputs!$B$8+(F388-Calc!F20),100)/100)</f>
        <v>134822570674963.56</v>
      </c>
      <c r="O375">
        <f>IF(C375,H375*N375*IF(AND(Inputs!$B$4&lt;&gt;"pvp",Inputs!$B$35&gt;0),((Skills!G7*((S375-1)*IF(Skills!H7&gt;0,Skills!I7/Skills!H7,1)+IF(Skills!H7&gt;0,MIN(Skills!I7,MAX(0,Inputs!$B$35-((S375-1)*IF(Inputs!$B$4="pvp",15,MAX(0.1,Skills!E7-IF(Skills!F7=TRUE,Inputs!$B$31,0))))))/Skills!H7,1)))/Inputs!$B$35),G375*V375)*IF(Inputs!$B$4="pvp",1,(1-Summary!$B$56)*(1)+Summary!$B$56*(MIN(Skills!R7,Inputs!$B$37))),0)</f>
        <v>105656871712624.5</v>
      </c>
      <c r="P375">
        <f>IF(B407=0,0,O375/B407)</f>
        <v>1.2645899049802737E-2</v>
      </c>
      <c r="S375">
        <f>IF(AND(Inputs!$B$4&lt;&gt;"pvp",Inputs!$B$35&gt;0),(INT(Inputs!$B$35/IF(Inputs!$B$4="pvp",15,MAX(0.1,Skills!E7-IF(Skills!F7=TRUE,Inputs!$B$31,0))))+1),0)</f>
        <v>0</v>
      </c>
      <c r="V375">
        <f>IFERROR(1/IF(Inputs!$B$4="pvp",15,MAX(0.1,Skills!E7-IF(Skills!F7=TRUE,Inputs!$B$31,0))),0)</f>
        <v>4.0816326530612242E-2</v>
      </c>
    </row>
    <row r="376" spans="1:22" x14ac:dyDescent="0.2">
      <c r="A376" t="str">
        <f>Skills!A8</f>
        <v>POISON_MIST_DOT</v>
      </c>
      <c r="B376" t="str">
        <f>Skills!B8</f>
        <v>Poison Mist (fog DoT)</v>
      </c>
      <c r="C376" t="b">
        <f>TRUE</f>
        <v>1</v>
      </c>
      <c r="D376">
        <f>IF(Skills!C8=1,60+Inputs!$B$24+Inputs!$B$28,IF(Skills!C8=2,90+Inputs!$B$25+Inputs!$B$28,IF(Skills!C8=3,120+Inputs!$B$26+Inputs!$B$28,MAX(0,(Inputs!$B$3-100)*3)+Inputs!$B$27+Inputs!$B$28)))</f>
        <v>184</v>
      </c>
      <c r="E376">
        <f>INDEX(FactorTable!$B$2:$Y$301, MATCH(ROUND(MIN(300,MAX(1,D376)),0), FactorTable!$A$2:$A$301,0), Skills!M8+1)</f>
        <v>1920</v>
      </c>
      <c r="F376">
        <f>IF(Skills!N8=TRUE,(Skills!L8/10)*(E376/1000),Skills!L8/10)+Skills!O8</f>
        <v>134.4</v>
      </c>
      <c r="G376">
        <f>Calc!G8</f>
        <v>50</v>
      </c>
      <c r="H376">
        <f>Calc!H8</f>
        <v>1</v>
      </c>
      <c r="I376">
        <f>IF(Skills!X8&lt;&gt;"",1+(Skills!X8/10)*(R371/1000)/100,1)</f>
        <v>1.7519999999999998</v>
      </c>
      <c r="J376">
        <f>((Inputs!$B$5*(1+Inputs!$B$6/100))+((Inputs!$B$11*(1+Inputs!$B$12/100))-(Inputs!$B$11*(1+Inputs!$B$12/100)))*(1+Inputs!$B$6/100))*(F376/100)</f>
        <v>335772893.74003202</v>
      </c>
      <c r="K376">
        <f>J376*(1+((Inputs!$B$11*(1+Inputs!$B$12/100))*0.01+Inputs!$B$13*0.0025)/100)*(1+Inputs!$B$14/100)*(1+IF(Inputs!$B$4="pvp",0,(1-Summary!$B$56)*(Inputs!$B$19+Skills!P8)+Summary!$B$56*(Inputs!$B$20+Skills!Q8))/100)*(1+Inputs!$B$15/100)*(5000/(6000+Inputs!$B$7*(1-Inputs!$B$18/100)))*(1+Inputs!$B$23/100)*(1+F391/100)*(1+IF(Inputs!$B$3&gt;=120,F394,0)/100)^5*(1+(IF(Skills!A8="BASIC_ATTACK",Inputs!$B$16,Inputs!$B$17+IF(Inputs!$B$3&gt;=125,F395*5,0)))/100)*(B398*B399*B400*I376)</f>
        <v>4475543426833.6309</v>
      </c>
      <c r="L376">
        <f>K376*(MIN(Inputs!$B$21+(F390-Calc!F22),(Inputs!$B$22+1))/100+(Inputs!$B$22+1)/100)/2</f>
        <v>12104107197871.555</v>
      </c>
      <c r="M376">
        <f>L376*(1+(Inputs!$B$9+(F389-Calc!F21))/100)</f>
        <v>50728313266279.695</v>
      </c>
      <c r="N376">
        <f>L376*(1-MIN(Inputs!$B$8+(F388-Calc!F20),100)/100)+M376*(MIN(Inputs!$B$8+(F388-Calc!F20),100)/100)</f>
        <v>50728313266279.695</v>
      </c>
      <c r="O376">
        <f>IF(C376,H376*N376*IF(AND(Inputs!$B$4&lt;&gt;"pvp",Inputs!$B$35&gt;0),((Skills!G8*((S376-1)*IF(Skills!H8&gt;0,Skills!I8/Skills!H8,1)+IF(Skills!H8&gt;0,MIN(Skills!I8,MAX(0,Inputs!$B$35-((S376-1)*IF(Inputs!$B$4="pvp",15,MAX(0.1,Skills!E8-IF(Skills!F8=TRUE,Inputs!$B$31,0))))))/Skills!H8,1)))/Inputs!$B$35),G376*V376)*IF(Inputs!$B$4="pvp",1,(1-Summary!$B$56)*(1)+Summary!$B$56*(MIN(Skills!R8,Inputs!$B$37))),0)</f>
        <v>662573887559571.5</v>
      </c>
      <c r="P376">
        <f>IF(B407=0,0,O376/B407)</f>
        <v>7.9302390457889532E-2</v>
      </c>
      <c r="S376">
        <f>IF(AND(Inputs!$B$4&lt;&gt;"pvp",Inputs!$B$35&gt;0),(INT(Inputs!$B$35/IF(Inputs!$B$4="pvp",15,MAX(0.1,Skills!E8-IF(Skills!F8=TRUE,Inputs!$B$31,0))))+1),0)</f>
        <v>0</v>
      </c>
      <c r="V376">
        <f>IFERROR(1/IF(Inputs!$B$4="pvp",15,MAX(0.1,Skills!E8-IF(Skills!F8=TRUE,Inputs!$B$31,0))),0)</f>
        <v>4.0816326530612242E-2</v>
      </c>
    </row>
    <row r="377" spans="1:22" x14ac:dyDescent="0.2">
      <c r="A377" t="str">
        <f>Skills!A9</f>
        <v>MIST_ERUPTION</v>
      </c>
      <c r="B377" t="str">
        <f>Skills!B9</f>
        <v>Mist Eruption</v>
      </c>
      <c r="C377" t="b">
        <f>Inputs!$B$3&gt;=103</f>
        <v>1</v>
      </c>
      <c r="D377">
        <f>IF(Skills!C9=1,60+Inputs!$B$24+Inputs!$B$28,IF(Skills!C9=2,90+Inputs!$B$25+Inputs!$B$28,IF(Skills!C9=3,120+Inputs!$B$26+Inputs!$B$28,MAX(0,(Inputs!$B$3-100)*3)+Inputs!$B$27+Inputs!$B$28)))</f>
        <v>172</v>
      </c>
      <c r="E377">
        <f>INDEX(FactorTable!$B$2:$Y$301, MATCH(ROUND(MIN(300,MAX(1,D377)),0), FactorTable!$A$2:$A$301,0), Skills!M9+1)</f>
        <v>1860</v>
      </c>
      <c r="F377">
        <f>IF(Skills!N9=TRUE,(Skills!L9/10)*(E377/1000),Skills!L9/10)+Skills!O9</f>
        <v>5580</v>
      </c>
      <c r="G377">
        <f>Calc!G9</f>
        <v>2.8</v>
      </c>
      <c r="H377">
        <f>Calc!H9</f>
        <v>1</v>
      </c>
      <c r="I377">
        <f>IF(Skills!X9&lt;&gt;"",1+(Skills!X9/10)*(R371/1000)/100,1)</f>
        <v>1</v>
      </c>
      <c r="J377">
        <f>((Inputs!$B$5*(1+Inputs!$B$6/100))+((Inputs!$B$11*(1+Inputs!$B$12/100))-(Inputs!$B$11*(1+Inputs!$B$12/100)))*(1+Inputs!$B$6/100))*(F377/100)</f>
        <v>13940571034.742399</v>
      </c>
      <c r="K377">
        <f>J377*(1+((Inputs!$B$11*(1+Inputs!$B$12/100))*0.01+Inputs!$B$13*0.0025)/100)*(1+Inputs!$B$14/100)*(1+IF(Inputs!$B$4="pvp",0,(1-Summary!$B$56)*(Inputs!$B$19+Skills!P9)+Summary!$B$56*(Inputs!$B$20+Skills!Q9))/100)*(1+Inputs!$B$15/100)*(5000/(6000+Inputs!$B$7*(1-Inputs!$B$18/100)))*(1+Inputs!$B$23/100)*(1+F391/100)*(1+IF(Inputs!$B$3&gt;=120,F394,0)/100)^5*(1+(IF(Skills!A9="BASIC_ATTACK",Inputs!$B$16,Inputs!$B$17+IF(Inputs!$B$3&gt;=125,F395*5,0)))/100)*(B398*B399*B400*I377)</f>
        <v>106058774333294.53</v>
      </c>
      <c r="L377">
        <f>K377*(MIN(Inputs!$B$21+(F390-Calc!F22),(Inputs!$B$22+1))/100+(Inputs!$B$22+1)/100)/2</f>
        <v>286835955184395.06</v>
      </c>
      <c r="M377">
        <f>L377*(1+(Inputs!$B$9+(F389-Calc!F21))/100)</f>
        <v>1202129488177800</v>
      </c>
      <c r="N377">
        <f>L377*(1-MIN(Inputs!$B$8+(F388-Calc!F20),100)/100)+M377*(MIN(Inputs!$B$8+(F388-Calc!F20),100)/100)</f>
        <v>1202129488177800</v>
      </c>
      <c r="O377">
        <f>IF(C377,H377*N377*IF(AND(Inputs!$B$4&lt;&gt;"pvp",Inputs!$B$35&gt;0),((Skills!G9*((S377-1)*IF(Skills!H9&gt;0,Skills!I9/Skills!H9,1)+IF(Skills!H9&gt;0,MIN(Skills!I9,MAX(0,Inputs!$B$35-((S377-1)*IF(Inputs!$B$4="pvp",15,MAX(0.1,Skills!E9-IF(Skills!F7=TRUE,Inputs!$B$31,0))))))/Skills!H9,1)))/Inputs!$B$35),G377*V377)*IF(Inputs!$B$4="pvp",1,(1-Summary!$B$56)*(1)+Summary!$B$56*(MIN(Skills!R9,Inputs!$B$37))),0)</f>
        <v>879271854210048</v>
      </c>
      <c r="P377">
        <f>IF(B407=0,0,O377/B407)</f>
        <v>0.10523861747408288</v>
      </c>
      <c r="S377">
        <f>IF(AND(Inputs!$B$4&lt;&gt;"pvp",Inputs!$B$35&gt;0),(INT(Inputs!$B$35/IF(Inputs!$B$4="pvp",15,MAX(0.1,Skills!E9-IF(Skills!F7=TRUE,Inputs!$B$31,0))))+1),0)</f>
        <v>0</v>
      </c>
      <c r="V377">
        <f>IFERROR(1/IF(Inputs!$B$4="pvp",15,MAX(0.1,Skills!E9-IF(Skills!F7=TRUE,Inputs!$B$31,0))),0)</f>
        <v>4.0816326530612242E-2</v>
      </c>
    </row>
    <row r="378" spans="1:22" x14ac:dyDescent="0.2">
      <c r="A378" t="str">
        <f>Skills!A10</f>
        <v>CREEPING_TOXIN</v>
      </c>
      <c r="B378" t="str">
        <f>Skills!B10</f>
        <v>Creeping Toxin</v>
      </c>
      <c r="C378" t="b">
        <f>TRUE</f>
        <v>1</v>
      </c>
      <c r="D378">
        <f>IF(Skills!C10=1,60+Inputs!$B$24+Inputs!$B$28,IF(Skills!C10=2,90+Inputs!$B$25+Inputs!$B$28,IF(Skills!C10=3,120+Inputs!$B$26+Inputs!$B$28,MAX(0,(Inputs!$B$3-100)*3)+Inputs!$B$27+Inputs!$B$28)))</f>
        <v>184</v>
      </c>
      <c r="E378">
        <f>INDEX(FactorTable!$B$2:$Y$301, MATCH(ROUND(MIN(300,MAX(1,D378)),0), FactorTable!$A$2:$A$301,0), Skills!M10+1)</f>
        <v>1920</v>
      </c>
      <c r="F378">
        <f>IF(Skills!N10=TRUE,(Skills!L10/10)*(E378/1000),Skills!L10/10)+Skills!O10</f>
        <v>280.39999999999998</v>
      </c>
      <c r="G378">
        <f>Calc!G10</f>
        <v>15</v>
      </c>
      <c r="H378">
        <f>Calc!H10</f>
        <v>1</v>
      </c>
      <c r="I378">
        <f>IF(Skills!X10&lt;&gt;"",1+(Skills!X10/10)*(R371/1000)/100,1)</f>
        <v>1.7519999999999998</v>
      </c>
      <c r="J378">
        <f>((Inputs!$B$5*(1+Inputs!$B$6/100))+((Inputs!$B$11*(1+Inputs!$B$12/100))-(Inputs!$B$11*(1+Inputs!$B$12/100)))*(1+Inputs!$B$6/100))*(F378/100)</f>
        <v>700526186.04691195</v>
      </c>
      <c r="K378">
        <f>J378*(1+((Inputs!$B$11*(1+Inputs!$B$12/100))*0.01+Inputs!$B$13*0.0025)/100)*(1+Inputs!$B$14/100)*(1+IF(Inputs!$B$4="pvp",0,(1-Summary!$B$56)*(Inputs!$B$19+Skills!P10)+Summary!$B$56*(Inputs!$B$20+Skills!Q10))/100)*(1+Inputs!$B$15/100)*(5000/(6000+Inputs!$B$7*(1-Inputs!$B$18/100)))*(1+Inputs!$B$23/100)*(1+F391/100)*(1+IF(Inputs!$B$3&gt;=120,F394,0)/100)^5*(1+(IF(Skills!A10="BASIC_ATTACK",Inputs!$B$16,Inputs!$B$17+IF(Inputs!$B$3&gt;=125,F395*5,0)))/100)*(B398*B399*B400*I378)</f>
        <v>11018767832821.695</v>
      </c>
      <c r="L378">
        <f>K378*(MIN(Inputs!$B$21+(F390-Calc!F22),(Inputs!$B$22+1))/100+(Inputs!$B$22+1)/100)/2</f>
        <v>29800257603866.273</v>
      </c>
      <c r="M378">
        <f>L378*(1+(Inputs!$B$9+(F389-Calc!F21))/100)</f>
        <v>124892879617803.58</v>
      </c>
      <c r="N378">
        <f>L378*(1-MIN(Inputs!$B$8+(F388-Calc!F20),100)/100)+M378*(MIN(Inputs!$B$8+(F388-Calc!F20),100)/100)</f>
        <v>124892879617803.58</v>
      </c>
      <c r="O378">
        <f>IF(C378,H378*N378*IF(AND(Inputs!$B$4&lt;&gt;"pvp",Inputs!$B$35&gt;0),((Skills!G10*((S378-1)*IF(Skills!H10&gt;0,Skills!I10/Skills!H10,1)+IF(Skills!H10&gt;0,MIN(Skills!I10,MAX(0,Inputs!$B$35-((S378-1)*IF(Inputs!$B$4="pvp",15,MAX(0.1,Skills!E10-IF(Skills!F10=TRUE,Inputs!$B$31,0))))))/Skills!H10,1)))/Inputs!$B$35),G378*V378)*IF(Inputs!$B$4="pvp",1,(1-Summary!$B$56)*(1)+Summary!$B$56*(MIN(Skills!R10,Inputs!$B$37))),0)</f>
        <v>69384933121001.992</v>
      </c>
      <c r="P378">
        <f>IF(B407=0,0,O378/B407)</f>
        <v>8.3045697416826367E-3</v>
      </c>
      <c r="S378">
        <f>IF(AND(Inputs!$B$4&lt;&gt;"pvp",Inputs!$B$35&gt;0),(INT(Inputs!$B$35/IF(Inputs!$B$4="pvp",15,MAX(0.1,Skills!E10-IF(Skills!F10=TRUE,Inputs!$B$31,0))))+1),0)</f>
        <v>0</v>
      </c>
      <c r="V378">
        <f>IFERROR(1/IF(Inputs!$B$4="pvp",15,MAX(0.1,Skills!E10-IF(Skills!F10=TRUE,Inputs!$B$31,0))),0)</f>
        <v>3.7037037037037035E-2</v>
      </c>
    </row>
    <row r="379" spans="1:22" x14ac:dyDescent="0.2">
      <c r="A379" t="str">
        <f>Skills!A11</f>
        <v>BURNING_MAGIC</v>
      </c>
      <c r="B379" t="str">
        <f>Skills!B11</f>
        <v>Burning Magic</v>
      </c>
      <c r="C379" t="b">
        <f>TRUE</f>
        <v>1</v>
      </c>
      <c r="D379">
        <f>IF(Skills!C11=1,60+Inputs!$B$24+Inputs!$B$28,IF(Skills!C11=2,90+Inputs!$B$25+Inputs!$B$28,IF(Skills!C11=3,120+Inputs!$B$26+Inputs!$B$28,MAX(0,(Inputs!$B$3-100)*3)+Inputs!$B$27+Inputs!$B$28)))</f>
        <v>184</v>
      </c>
      <c r="E379">
        <f>INDEX(FactorTable!$B$2:$Y$301, MATCH(ROUND(MIN(300,MAX(1,D379)),0), FactorTable!$A$2:$A$301,0), Skills!M11+1)</f>
        <v>0</v>
      </c>
      <c r="F379">
        <f>IF(Skills!N11=TRUE,(Skills!L11/10)*(E379/1000),Skills!L11/10)+Skills!O11</f>
        <v>5</v>
      </c>
      <c r="G379">
        <f>Calc!G11</f>
        <v>1</v>
      </c>
      <c r="H379">
        <f>Calc!H11</f>
        <v>1</v>
      </c>
      <c r="I379">
        <f>IF(Skills!X11&lt;&gt;"",1+(Skills!X11/10)*(R371/1000)/100,1)</f>
        <v>1</v>
      </c>
      <c r="O379">
        <v>0</v>
      </c>
      <c r="P379">
        <f>IF(B407=0,0,O379/B407)</f>
        <v>0</v>
      </c>
      <c r="S379">
        <v>0</v>
      </c>
      <c r="V379">
        <f>IFERROR(1/IF(Inputs!$B$4="pvp",15,MAX(0.1,Skills!E11-IF(Skills!F11=TRUE,Inputs!$B$31,0))),0)</f>
        <v>10</v>
      </c>
    </row>
    <row r="380" spans="1:22" x14ac:dyDescent="0.2">
      <c r="A380" t="str">
        <f>Skills!A12</f>
        <v>ELEMENTAL_DECREASE</v>
      </c>
      <c r="B380" t="str">
        <f>Skills!B12</f>
        <v>Elemental Decrease</v>
      </c>
      <c r="C380" t="b">
        <f>TRUE</f>
        <v>1</v>
      </c>
      <c r="D380">
        <f>IF(Skills!C12=1,60+Inputs!$B$24+Inputs!$B$28,IF(Skills!C12=2,90+Inputs!$B$25+Inputs!$B$28,IF(Skills!C12=3,120+Inputs!$B$26+Inputs!$B$28,MAX(0,(Inputs!$B$3-100)*3)+Inputs!$B$27+Inputs!$B$28)))</f>
        <v>184</v>
      </c>
      <c r="E380">
        <f>INDEX(FactorTable!$B$2:$Y$301, MATCH(ROUND(MIN(300,MAX(1,D380)),0), FactorTable!$A$2:$A$301,0), Skills!M12+1)</f>
        <v>1552</v>
      </c>
      <c r="F380">
        <f>IF(Skills!N12=TRUE,(Skills!L12/10)*(E380/1000),Skills!L12/10)+Skills!O12</f>
        <v>18.624000000000002</v>
      </c>
      <c r="G380">
        <f>Calc!G12</f>
        <v>1</v>
      </c>
      <c r="H380">
        <f>Calc!H12</f>
        <v>0.5</v>
      </c>
      <c r="I380">
        <f>IF(Skills!X12&lt;&gt;"",1+(Skills!X12/10)*(R371/1000)/100,1)</f>
        <v>1</v>
      </c>
      <c r="O380">
        <v>0</v>
      </c>
      <c r="P380">
        <f>IF(B407=0,0,O380/B407)</f>
        <v>0</v>
      </c>
      <c r="S380">
        <v>0</v>
      </c>
      <c r="V380">
        <f>IFERROR(1/IF(Inputs!$B$4="pvp",15,MAX(0.1,Skills!E12-IF(Skills!F12=TRUE,Inputs!$B$31,0))),0)</f>
        <v>10</v>
      </c>
    </row>
    <row r="381" spans="1:22" x14ac:dyDescent="0.2">
      <c r="A381" t="str">
        <f>Skills!A13</f>
        <v>METEOR_SHOWER_BURST</v>
      </c>
      <c r="B381" t="str">
        <f>Skills!B13</f>
        <v>Meteor Shower (burst)</v>
      </c>
      <c r="C381" t="b">
        <f>Inputs!$B$3&gt;=105</f>
        <v>1</v>
      </c>
      <c r="D381">
        <f>IF(Skills!C13=1,60+Inputs!$B$24+Inputs!$B$28,IF(Skills!C13=2,90+Inputs!$B$25+Inputs!$B$28,IF(Skills!C13=3,120+Inputs!$B$26+Inputs!$B$28,MAX(0,(Inputs!$B$3-100)*3)+Inputs!$B$27+Inputs!$B$28)))</f>
        <v>172</v>
      </c>
      <c r="E381">
        <f>INDEX(FactorTable!$B$2:$Y$301, MATCH(ROUND(MIN(300,MAX(1,D381)),0), FactorTable!$A$2:$A$301,0), Skills!M13+1)</f>
        <v>1860</v>
      </c>
      <c r="F381">
        <f>IF(Skills!N13=TRUE,(Skills!L13/10)*(E381/1000),Skills!L13/10)+Skills!O13</f>
        <v>1116</v>
      </c>
      <c r="G381">
        <f>Calc!G13</f>
        <v>9</v>
      </c>
      <c r="H381">
        <f>Calc!H13</f>
        <v>1</v>
      </c>
      <c r="I381">
        <f>IF(Skills!X13&lt;&gt;"",1+(Skills!X13/10)*(R371/1000)/100,1)</f>
        <v>1</v>
      </c>
      <c r="J381">
        <f>((Inputs!$B$5*(1+Inputs!$B$6/100))+((Inputs!$B$11*(1+Inputs!$B$12/100))-(Inputs!$B$11*(1+Inputs!$B$12/100)))*(1+Inputs!$B$6/100))*(F381/100)</f>
        <v>2788114206.9484801</v>
      </c>
      <c r="K381">
        <f>J381*(1+((Inputs!$B$11*(1+Inputs!$B$12/100))*0.01+Inputs!$B$13*0.0025)/100)*(1+Inputs!$B$14/100)*(1+IF(Inputs!$B$4="pvp",0,(1-Summary!$B$56)*(Inputs!$B$19+Skills!P13)+Summary!$B$56*(Inputs!$B$20+Skills!Q13))/100)*(1+Inputs!$B$15/100)*(5000/(6000+Inputs!$B$7*(1-Inputs!$B$18/100)))*(1+Inputs!$B$23/100)*(1+F391/100)*(1+IF(Inputs!$B$3&gt;=120,F394,0)/100)^5*(1+(IF(Skills!A13="BASIC_ATTACK",Inputs!$B$16,Inputs!$B$17+IF(Inputs!$B$3&gt;=125,F395*5,0)))/100)*(B398*B399*B400*I381)</f>
        <v>21211754866658.902</v>
      </c>
      <c r="L381">
        <f>K381*(MIN(Inputs!$B$21+(F390-Calc!F22),(Inputs!$B$22+1))/100+(Inputs!$B$22+1)/100)/2</f>
        <v>57367191036879</v>
      </c>
      <c r="M381">
        <f>L381*(1+(Inputs!$B$9+(F389-Calc!F21))/100)</f>
        <v>240425897635559.94</v>
      </c>
      <c r="N381">
        <f>L381*(1-MIN(Inputs!$B$8+(F388-Calc!F20),100)/100)+M381*(MIN(Inputs!$B$8+(F388-Calc!F20),100)/100)</f>
        <v>240425897635559.94</v>
      </c>
      <c r="O381">
        <f>IF(C381,H381*N381*IF(AND(Inputs!$B$4&lt;&gt;"pvp",Inputs!$B$35&gt;0),((Skills!G13*((S381-1)*IF(Skills!H13&gt;0,Skills!I13/Skills!H13,1)+IF(Skills!H13&gt;0,MIN(Skills!I13,MAX(0,Inputs!$B$35-((S381-1)*IF(Inputs!$B$4="pvp",15,MAX(0.1,Skills!E13-IF(Skills!F13=TRUE,Inputs!$B$31,0))))))/Skills!H13,1)))/Inputs!$B$35),G381*V381)*IF(Inputs!$B$4="pvp",1,(1-Summary!$B$56)*(1)+Summary!$B$56*(MIN(Skills!R13,Inputs!$B$37))),0)</f>
        <v>301625217033702.5</v>
      </c>
      <c r="P381">
        <f>IF(B407=0,0,O381/B407)</f>
        <v>3.6101031420441777E-2</v>
      </c>
      <c r="S381">
        <f>IF(AND(Inputs!$B$4&lt;&gt;"pvp",Inputs!$B$35&gt;0),(INT(Inputs!$B$35/IF(Inputs!$B$4="pvp",15,MAX(0.1,Skills!E13-IF(Skills!F13=TRUE,Inputs!$B$31,0))))+1),0)</f>
        <v>0</v>
      </c>
      <c r="V381">
        <f>IFERROR(1/IF(Inputs!$B$4="pvp",15,MAX(0.1,Skills!E13-IF(Skills!F13=TRUE,Inputs!$B$31,0))),0)</f>
        <v>3.0303030303030304E-2</v>
      </c>
    </row>
    <row r="382" spans="1:22" x14ac:dyDescent="0.2">
      <c r="A382" t="str">
        <f>Skills!A14</f>
        <v>METEOR_PROC</v>
      </c>
      <c r="B382" t="str">
        <f>Skills!B14</f>
        <v>Meteor Proc (30% on-hit, 1s ICD)</v>
      </c>
      <c r="C382" t="b">
        <f>Inputs!$B$3&gt;=113</f>
        <v>1</v>
      </c>
      <c r="D382">
        <f>IF(Skills!C14=1,60+Inputs!$B$24+Inputs!$B$28,IF(Skills!C14=2,90+Inputs!$B$25+Inputs!$B$28,IF(Skills!C14=3,120+Inputs!$B$26+Inputs!$B$28,MAX(0,(Inputs!$B$3-100)*3)+Inputs!$B$27+Inputs!$B$28)))</f>
        <v>172</v>
      </c>
      <c r="E382">
        <f>INDEX(FactorTable!$B$2:$Y$301, MATCH(ROUND(MIN(300,MAX(1,D382)),0), FactorTable!$A$2:$A$301,0), Skills!M14+1)</f>
        <v>1688</v>
      </c>
      <c r="F382">
        <f>IF(Skills!N14=TRUE,(Skills!L14/10)*(E382/1000),Skills!L14/10)+Skills!O14</f>
        <v>1603.6</v>
      </c>
      <c r="G382">
        <f>Calc!G14</f>
        <v>0</v>
      </c>
      <c r="H382">
        <f>Calc!H14</f>
        <v>0.30000000000000004</v>
      </c>
      <c r="I382">
        <f>IF(Skills!X14&lt;&gt;"",1+(Skills!X14/10)*(R371/1000)/100,1)</f>
        <v>1</v>
      </c>
      <c r="J382">
        <f>((Inputs!$B$5*(1+Inputs!$B$6/100))+((Inputs!$B$11*(1+Inputs!$B$12/100))-(Inputs!$B$11*(1+Inputs!$B$12/100)))*(1+Inputs!$B$6/100))*(F382/100)</f>
        <v>4006290270.8446074</v>
      </c>
      <c r="K382">
        <f>J382*(1+((Inputs!$B$11*(1+Inputs!$B$12/100))*0.01+Inputs!$B$13*0.0025)/100)*(1+Inputs!$B$14/100)*(1+IF(Inputs!$B$4="pvp",0,(1-Summary!$B$56)*(Inputs!$B$19+Skills!P14)+Summary!$B$56*(Inputs!$B$20+Skills!Q14))/100)*(1+Inputs!$B$15/100)*(5000/(6000+Inputs!$B$7*(1-Inputs!$B$18/100)))*(1+Inputs!$B$23/100)*(1+F391/100)*(1+IF(Inputs!$B$3&gt;=120,F394,0)/100)^5*(1+(IF(Skills!A14="BASIC_ATTACK",Inputs!$B$16,Inputs!$B$17+IF(Inputs!$B$3&gt;=125,F395*5,0)))/100)*(B398*B399*B400*I382)</f>
        <v>30479543104098.766</v>
      </c>
      <c r="L382">
        <f>K382*(MIN(Inputs!$B$21+(F390-Calc!F22),(Inputs!$B$22+1))/100+(Inputs!$B$22+1)/100)/2</f>
        <v>82431924325035.109</v>
      </c>
      <c r="M382">
        <f>L382*(1+(Inputs!$B$9+(F389-Calc!F21))/100)</f>
        <v>345472194846222.19</v>
      </c>
      <c r="N382">
        <f>L382*(1-MIN(Inputs!$B$8+(F388-Calc!F20),100)/100)+M382*(MIN(Inputs!$B$8+(F388-Calc!F20),100)/100)</f>
        <v>345472194846222.19</v>
      </c>
      <c r="O382">
        <f>IF(C382,(H382*B405)/(1+Skills!H14*H382*B405)*N382*IF(Inputs!$B$4="pvp",1,(1-Summary!$B$56)*(1)+Summary!$B$56*(MIN(Skills!R14,Inputs!$B$37))),0)</f>
        <v>108672641371152.3</v>
      </c>
      <c r="P382">
        <f>IF(B407=0,0,O382/B407)</f>
        <v>1.3006851612953854E-2</v>
      </c>
      <c r="S382">
        <v>0</v>
      </c>
      <c r="V382">
        <f>IFERROR(1/IF(Inputs!$B$4="pvp",15,MAX(0.1,Skills!E14-IF(Skills!F14=TRUE,Inputs!$B$31,0))),0)</f>
        <v>10</v>
      </c>
    </row>
    <row r="383" spans="1:22" x14ac:dyDescent="0.2">
      <c r="A383" t="str">
        <f>Skills!A15</f>
        <v>FLAME_HAZE_BURST</v>
      </c>
      <c r="B383" t="str">
        <f>Skills!B15</f>
        <v>Flame Haze (burst)</v>
      </c>
      <c r="C383" t="b">
        <f>Inputs!$B$3&gt;=107</f>
        <v>1</v>
      </c>
      <c r="D383">
        <f>IF(Skills!C15=1,60+Inputs!$B$24+Inputs!$B$28,IF(Skills!C15=2,90+Inputs!$B$25+Inputs!$B$28,IF(Skills!C15=3,120+Inputs!$B$26+Inputs!$B$28,MAX(0,(Inputs!$B$3-100)*3)+Inputs!$B$27+Inputs!$B$28)))</f>
        <v>172</v>
      </c>
      <c r="E383">
        <f>INDEX(FactorTable!$B$2:$Y$301, MATCH(ROUND(MIN(300,MAX(1,D383)),0), FactorTable!$A$2:$A$301,0), Skills!M15+1)</f>
        <v>1860</v>
      </c>
      <c r="F383">
        <f>IF(Skills!N15=TRUE,(Skills!L15/10)*(E383/1000),Skills!L15/10)+Skills!O15</f>
        <v>2232</v>
      </c>
      <c r="G383">
        <f>Calc!G15</f>
        <v>3</v>
      </c>
      <c r="H383">
        <f>Calc!H15</f>
        <v>1</v>
      </c>
      <c r="I383">
        <f>IF(Skills!X15&lt;&gt;"",1+(Skills!X15/10)*(R371/1000)/100,1)</f>
        <v>1</v>
      </c>
      <c r="J383">
        <f>((Inputs!$B$5*(1+Inputs!$B$6/100))+((Inputs!$B$11*(1+Inputs!$B$12/100))-(Inputs!$B$11*(1+Inputs!$B$12/100)))*(1+Inputs!$B$6/100))*(F383/100)</f>
        <v>5576228413.8969603</v>
      </c>
      <c r="K383">
        <f>J383*(1+((Inputs!$B$11*(1+Inputs!$B$12/100))*0.01+Inputs!$B$13*0.0025)/100)*(1+Inputs!$B$14/100)*(1+IF(Inputs!$B$4="pvp",0,(1-Summary!$B$56)*(Inputs!$B$19+Skills!P15)+Summary!$B$56*(Inputs!$B$20+Skills!Q15))/100)*(1+Inputs!$B$15/100)*(5000/(6000+Inputs!$B$7*(1-Inputs!$B$18/100)))*(1+Inputs!$B$23/100)*(1+F391/100)*(1+IF(Inputs!$B$3&gt;=120,F394,0)/100)^5*(1+(IF(Skills!A15="BASIC_ATTACK",Inputs!$B$16,Inputs!$B$17+IF(Inputs!$B$3&gt;=125,F395*5,0)))/100)*(B398*B399*B400*I383)</f>
        <v>42423509733317.805</v>
      </c>
      <c r="L383">
        <f>K383*(MIN(Inputs!$B$21+(F390-Calc!F22),(Inputs!$B$22+1))/100+(Inputs!$B$22+1)/100)/2</f>
        <v>114734382073758</v>
      </c>
      <c r="M383">
        <f>L383*(1+(Inputs!$B$9+(F389-Calc!F21))/100)</f>
        <v>480851795271119.88</v>
      </c>
      <c r="N383">
        <f>L383*(1-MIN(Inputs!$B$8+(F388-Calc!F20),100)/100)+M383*(MIN(Inputs!$B$8+(F388-Calc!F20),100)/100)</f>
        <v>480851795271119.88</v>
      </c>
      <c r="O383">
        <f>IF(C383,H383*N383*IF(AND(Inputs!$B$4&lt;&gt;"pvp",Inputs!$B$35&gt;0),((Skills!G15*((S383-1)*IF(Skills!H15&gt;0,Skills!I15/Skills!H15,1)+IF(Skills!H15&gt;0,MIN(Skills!I15,MAX(0,Inputs!$B$35-((S383-1)*IF(Inputs!$B$4="pvp",15,MAX(0.1,Skills!E15-IF(Skills!F15=TRUE,Inputs!$B$31,0))))))/Skills!H15,1)))/Inputs!$B$35),G383*V383)*IF(Inputs!$B$4="pvp",1,(1-Summary!$B$56)*(1)+Summary!$B$56*(MIN(Skills!R15,Inputs!$B$37))),0)</f>
        <v>369294178768220.06</v>
      </c>
      <c r="P383">
        <f>IF(B407=0,0,O383/B407)</f>
        <v>4.4200219339114798E-2</v>
      </c>
      <c r="S383">
        <f>IF(AND(Inputs!$B$4&lt;&gt;"pvp",Inputs!$B$35&gt;0),(INT(Inputs!$B$35/IF(Inputs!$B$4="pvp",15,MAX(0.1,Skills!E15-IF(Skills!F15=TRUE,Inputs!$B$31,0))))+1),0)</f>
        <v>0</v>
      </c>
      <c r="V383">
        <f>IFERROR(1/IF(Inputs!$B$4="pvp",15,MAX(0.1,Skills!E15-IF(Skills!F15=TRUE,Inputs!$B$31,0))),0)</f>
        <v>0.04</v>
      </c>
    </row>
    <row r="384" spans="1:22" x14ac:dyDescent="0.2">
      <c r="A384" t="str">
        <f>Skills!A16</f>
        <v>FLAME_HAZE_DOT</v>
      </c>
      <c r="B384" t="str">
        <f>Skills!B16</f>
        <v>Flame Haze (burn DoT)</v>
      </c>
      <c r="C384" t="b">
        <f>Inputs!$B$3&gt;=107</f>
        <v>1</v>
      </c>
      <c r="D384">
        <f>IF(Skills!C16=1,60+Inputs!$B$24+Inputs!$B$28,IF(Skills!C16=2,90+Inputs!$B$25+Inputs!$B$28,IF(Skills!C16=3,120+Inputs!$B$26+Inputs!$B$28,MAX(0,(Inputs!$B$3-100)*3)+Inputs!$B$27+Inputs!$B$28)))</f>
        <v>172</v>
      </c>
      <c r="E384">
        <f>INDEX(FactorTable!$B$2:$Y$301, MATCH(ROUND(MIN(300,MAX(1,D384)),0), FactorTable!$A$2:$A$301,0), Skills!M16+1)</f>
        <v>1860</v>
      </c>
      <c r="F384">
        <f>IF(Skills!N16=TRUE,(Skills!L16/10)*(E384/1000),Skills!L16/10)+Skills!O16</f>
        <v>279</v>
      </c>
      <c r="G384">
        <f>Calc!G16</f>
        <v>28</v>
      </c>
      <c r="H384">
        <f>Calc!H16</f>
        <v>1</v>
      </c>
      <c r="I384">
        <f>IF(Skills!X16&lt;&gt;"",1+(Skills!X16/10)*(R371/1000)/100,1)</f>
        <v>1</v>
      </c>
      <c r="J384">
        <f>((Inputs!$B$5*(1+Inputs!$B$6/100))+((Inputs!$B$11*(1+Inputs!$B$12/100))-(Inputs!$B$11*(1+Inputs!$B$12/100)))*(1+Inputs!$B$6/100))*(F384/100)</f>
        <v>697028551.73712003</v>
      </c>
      <c r="K384">
        <f>J384*(1+((Inputs!$B$11*(1+Inputs!$B$12/100))*0.01+Inputs!$B$13*0.0025)/100)*(1+Inputs!$B$14/100)*(1+IF(Inputs!$B$4="pvp",0,(1-Summary!$B$56)*(Inputs!$B$19+Skills!P16)+Summary!$B$56*(Inputs!$B$20+Skills!Q16))/100)*(1+Inputs!$B$15/100)*(5000/(6000+Inputs!$B$7*(1-Inputs!$B$18/100)))*(1+Inputs!$B$23/100)*(1+F391/100)*(1+IF(Inputs!$B$3&gt;=120,F394,0)/100)^5*(1+(IF(Skills!A16="BASIC_ATTACK",Inputs!$B$16,Inputs!$B$17+IF(Inputs!$B$3&gt;=125,F395*5,0)))/100)*(B398*B399*B400*I384)</f>
        <v>5302938716664.7256</v>
      </c>
      <c r="L384">
        <f>K384*(MIN(Inputs!$B$21+(F390-Calc!F22),(Inputs!$B$22+1))/100+(Inputs!$B$22+1)/100)/2</f>
        <v>14341797759219.75</v>
      </c>
      <c r="M384">
        <f>L384*(1+(Inputs!$B$9+(F389-Calc!F21))/100)</f>
        <v>60106474408889.984</v>
      </c>
      <c r="N384">
        <f>L384*(1-MIN(Inputs!$B$8+(F388-Calc!F20),100)/100)+M384*(MIN(Inputs!$B$8+(F388-Calc!F20),100)/100)</f>
        <v>60106474408889.984</v>
      </c>
      <c r="O384">
        <f>IF(C384,H384*N384*IF(AND(Inputs!$B$4&lt;&gt;"pvp",Inputs!$B$35&gt;0),((Skills!G16*((S384-1)*IF(Skills!H16&gt;0,Skills!I16/Skills!H16,1)+IF(Skills!H16&gt;0,MIN(Skills!I16,MAX(0,Inputs!$B$35-((S384-1)*IF(Inputs!$B$4="pvp",15,MAX(0.1,Skills!E16-IF(Skills!F16=TRUE,Inputs!$B$31,0))))))/Skills!H16,1)))/Inputs!$B$35),G384*V384)*(1+IF(Inputs!$B$3&gt;=126,0.05*(B404+V381+(H382*B405)/(1+Skills!H14*H382*B405)+V392),0)*Skills!E15)*IF(Inputs!$B$4="pvp",1,(1-Summary!$B$56)*(1)+Summary!$B$56*(MIN(Skills!R16,Inputs!$B$37))),0)</f>
        <v>430843208562923.5</v>
      </c>
      <c r="P384">
        <f>IF(B407=0,0,O384/B407)</f>
        <v>5.1566922562300603E-2</v>
      </c>
      <c r="S384">
        <f>IF(AND(Inputs!$B$4&lt;&gt;"pvp",Inputs!$B$35&gt;0),(INT(Inputs!$B$35/IF(Inputs!$B$4="pvp",15,MAX(0.1,Skills!E16-IF(Skills!F16=TRUE,Inputs!$B$31,0))))+1),0)</f>
        <v>0</v>
      </c>
      <c r="V384">
        <f>IFERROR(1/IF(Inputs!$B$4="pvp",15,MAX(0.1,Skills!E16-IF(Skills!F16=TRUE,Inputs!$B$31,0))),0)</f>
        <v>0.04</v>
      </c>
    </row>
    <row r="385" spans="1:22" x14ac:dyDescent="0.2">
      <c r="A385" t="str">
        <f>Skills!A17</f>
        <v>MAGIC_GUARD</v>
      </c>
      <c r="B385" t="str">
        <f>Skills!B17</f>
        <v>Magic Guard</v>
      </c>
      <c r="C385" t="b">
        <f>TRUE</f>
        <v>1</v>
      </c>
      <c r="D385">
        <f>IF(Skills!C17=1,60+Inputs!$B$24+Inputs!$B$28,IF(Skills!C17=2,90+Inputs!$B$25+Inputs!$B$28,IF(Skills!C17=3,120+Inputs!$B$26+Inputs!$B$28,MAX(0,(Inputs!$B$3-100)*3)+Inputs!$B$27+Inputs!$B$28)))</f>
        <v>115</v>
      </c>
      <c r="E385">
        <f>INDEX(FactorTable!$B$2:$Y$301, MATCH(ROUND(MIN(300,MAX(1,D385)),0), FactorTable!$A$2:$A$301,0), Skills!M17+1)</f>
        <v>1460</v>
      </c>
      <c r="F385">
        <f>IF(Skills!N17=TRUE,(Skills!L17/10)*(E385/1000),Skills!L17/10)+Skills!O17</f>
        <v>17.52</v>
      </c>
      <c r="G385">
        <f>Calc!G17</f>
        <v>1</v>
      </c>
      <c r="H385">
        <f>Calc!H17</f>
        <v>1</v>
      </c>
      <c r="I385">
        <f>IF(Skills!X17&lt;&gt;"",1+(Skills!X17/10)*(R371/1000)/100,1)</f>
        <v>1</v>
      </c>
      <c r="O385">
        <v>0</v>
      </c>
      <c r="P385">
        <f>IF(B407=0,0,O385/B407)</f>
        <v>0</v>
      </c>
      <c r="S385">
        <f>IF(AND(Inputs!$B$4&lt;&gt;"pvp",Inputs!$B$35&gt;0),(INT(Inputs!$B$35/IF(Inputs!$B$4="pvp",15,MAX(0.1,Skills!E17-IF(Skills!F17=TRUE,Inputs!$B$31,0))))+1),0)</f>
        <v>0</v>
      </c>
      <c r="V385">
        <f>IFERROR(1/IF(Inputs!$B$4="pvp",15,MAX(0.1,Skills!E17-IF(Skills!F17=TRUE,Inputs!$B$31,0))),0)</f>
        <v>4.7619047619047616E-2</v>
      </c>
    </row>
    <row r="386" spans="1:22" x14ac:dyDescent="0.2">
      <c r="A386" t="str">
        <f>Skills!A18</f>
        <v>NIMBLE_FEET</v>
      </c>
      <c r="B386" t="str">
        <f>Skills!B18</f>
        <v>Nimble Feet</v>
      </c>
      <c r="C386" t="b">
        <f>TRUE</f>
        <v>1</v>
      </c>
      <c r="D386">
        <f>IF(Skills!C18=1,60+Inputs!$B$24+Inputs!$B$28,IF(Skills!C18=2,90+Inputs!$B$25+Inputs!$B$28,IF(Skills!C18=3,120+Inputs!$B$26+Inputs!$B$28,MAX(0,(Inputs!$B$3-100)*3)+Inputs!$B$27+Inputs!$B$28)))</f>
        <v>115</v>
      </c>
      <c r="E386">
        <f>INDEX(FactorTable!$B$2:$Y$301, MATCH(ROUND(MIN(300,MAX(1,D386)),0), FactorTable!$A$2:$A$301,0), Skills!M18+1)</f>
        <v>0</v>
      </c>
      <c r="F386">
        <f>IF(Skills!N18=TRUE,(Skills!L18/10)*(E386/1000),Skills!L18/10)+Skills!O18</f>
        <v>15</v>
      </c>
      <c r="G386">
        <f>Calc!G18</f>
        <v>1</v>
      </c>
      <c r="H386">
        <f>Calc!H18</f>
        <v>1</v>
      </c>
      <c r="I386">
        <f>IF(Skills!X18&lt;&gt;"",1+(Skills!X18/10)*(R371/1000)/100,1)</f>
        <v>1</v>
      </c>
      <c r="O386">
        <v>0</v>
      </c>
      <c r="P386">
        <f>IF(B407=0,0,O386/B407)</f>
        <v>0</v>
      </c>
      <c r="S386">
        <f>IF(AND(Inputs!$B$4&lt;&gt;"pvp",Inputs!$B$35&gt;0),(INT(Inputs!$B$35/IF(Inputs!$B$4="pvp",15,MAX(0.1,Skills!E18-IF(Skills!F18=TRUE,Inputs!$B$31,0))))+1),0)</f>
        <v>0</v>
      </c>
      <c r="V386">
        <f>IFERROR(1/IF(Inputs!$B$4="pvp",15,MAX(0.1,Skills!E18-IF(Skills!F18=TRUE,Inputs!$B$31,0))),0)</f>
        <v>1.6666666666666666E-2</v>
      </c>
    </row>
    <row r="387" spans="1:22" x14ac:dyDescent="0.2">
      <c r="A387" t="str">
        <f>Skills!A19</f>
        <v>INFINITY</v>
      </c>
      <c r="B387" t="str">
        <f>Skills!B19</f>
        <v>Infinity</v>
      </c>
      <c r="C387" t="b">
        <f>Inputs!$B$3&gt;=110</f>
        <v>1</v>
      </c>
      <c r="D387">
        <f>IF(Skills!C19=1,60+Inputs!$B$24+Inputs!$B$28,IF(Skills!C19=2,90+Inputs!$B$25+Inputs!$B$28,IF(Skills!C19=3,120+Inputs!$B$26+Inputs!$B$28,MAX(0,(Inputs!$B$3-100)*3)+Inputs!$B$27+Inputs!$B$28)))</f>
        <v>172</v>
      </c>
      <c r="E387">
        <f>INDEX(FactorTable!$B$2:$Y$301, MATCH(ROUND(MIN(300,MAX(1,D387)),0), FactorTable!$A$2:$A$301,0), Skills!M19+1)</f>
        <v>1688</v>
      </c>
      <c r="F387">
        <f>IF(Skills!N19=TRUE,(Skills!L19/10)*(E387/1000),Skills!L19/10)+Skills!O19</f>
        <v>36.573895999999998</v>
      </c>
      <c r="G387">
        <f>Calc!G19</f>
        <v>1</v>
      </c>
      <c r="H387">
        <f>Calc!H19</f>
        <v>1</v>
      </c>
      <c r="I387">
        <f>IF(Skills!X19&lt;&gt;"",1+(Skills!X19/10)*(R371/1000)/100,1)</f>
        <v>1</v>
      </c>
      <c r="O387">
        <v>0</v>
      </c>
      <c r="P387">
        <f>IF(B407=0,0,O387/B407)</f>
        <v>0</v>
      </c>
      <c r="S387">
        <f>IF(AND(Inputs!$B$4&lt;&gt;"pvp",Inputs!$B$35&gt;0),(INT(Inputs!$B$35/IF(Inputs!$B$4="pvp",15,MAX(0.1,Skills!E19-IF(Skills!F19=TRUE,Inputs!$B$31,0))))+1),0)</f>
        <v>0</v>
      </c>
      <c r="V387">
        <f>IFERROR(1/IF(Inputs!$B$4="pvp",15,MAX(0.1,Skills!E19-IF(Skills!F19=TRUE,Inputs!$B$31,0))),0)</f>
        <v>3.3333333333333333E-2</v>
      </c>
    </row>
    <row r="388" spans="1:22" x14ac:dyDescent="0.2">
      <c r="A388" t="str">
        <f>Skills!A20</f>
        <v>MAGIC_CRITICAL_RATE</v>
      </c>
      <c r="B388" t="str">
        <f>Skills!B20</f>
        <v>Magic Critical (Crit Rate)</v>
      </c>
      <c r="C388" t="b">
        <f>TRUE</f>
        <v>1</v>
      </c>
      <c r="D388">
        <f>IF(Skills!C20=1,60+Inputs!$B$24+Inputs!$B$28,IF(Skills!C20=2,90+Inputs!$B$25+Inputs!$B$28,IF(Skills!C20=3,120+Inputs!$B$26+Inputs!$B$28,MAX(0,(Inputs!$B$3-100)*3)+Inputs!$B$27+Inputs!$B$28)))</f>
        <v>184</v>
      </c>
      <c r="E388">
        <f>INDEX(FactorTable!$B$2:$Y$301, MATCH(ROUND(MIN(300,MAX(1,D388)),0), FactorTable!$A$2:$A$301,0), Skills!M20+1)</f>
        <v>1552</v>
      </c>
      <c r="F388">
        <f>IF(Skills!N20=TRUE,(Skills!L20/10)*(E388/1000),Skills!L20/10)+Skills!O20</f>
        <v>12.416</v>
      </c>
      <c r="G388">
        <f>Calc!G20</f>
        <v>1</v>
      </c>
      <c r="H388">
        <f>Calc!H20</f>
        <v>1</v>
      </c>
      <c r="I388">
        <f>IF(Skills!X20&lt;&gt;"",1+(Skills!X20/10)*(R371/1000)/100,1)</f>
        <v>1</v>
      </c>
      <c r="O388">
        <v>0</v>
      </c>
      <c r="P388">
        <f>IF(B407=0,0,O388/B407)</f>
        <v>0</v>
      </c>
      <c r="S388">
        <v>0</v>
      </c>
      <c r="V388">
        <f>IFERROR(1/IF(Inputs!$B$4="pvp",15,MAX(0.1,Skills!E20-IF(Skills!F20=TRUE,Inputs!$B$31,0))),0)</f>
        <v>10</v>
      </c>
    </row>
    <row r="389" spans="1:22" x14ac:dyDescent="0.2">
      <c r="A389" t="str">
        <f>Skills!A21</f>
        <v>MAGIC_CRITICAL_DAMAGE</v>
      </c>
      <c r="B389" t="str">
        <f>Skills!B21</f>
        <v>Magic Critical (Crit Damage)</v>
      </c>
      <c r="C389" t="b">
        <f>TRUE</f>
        <v>1</v>
      </c>
      <c r="D389">
        <f>IF(Skills!C21=1,60+Inputs!$B$24+Inputs!$B$28,IF(Skills!C21=2,90+Inputs!$B$25+Inputs!$B$28,IF(Skills!C21=3,120+Inputs!$B$26+Inputs!$B$28,MAX(0,(Inputs!$B$3-100)*3)+Inputs!$B$27+Inputs!$B$28)))</f>
        <v>184</v>
      </c>
      <c r="E389">
        <f>INDEX(FactorTable!$B$2:$Y$301, MATCH(ROUND(MIN(300,MAX(1,D389)),0), FactorTable!$A$2:$A$301,0), Skills!M21+1)</f>
        <v>1552</v>
      </c>
      <c r="F389">
        <f>IF(Skills!N21=TRUE,(Skills!L21/10)*(E389/1000),Skills!L21/10)+Skills!O21</f>
        <v>18.624000000000002</v>
      </c>
      <c r="G389">
        <f>Calc!G21</f>
        <v>1</v>
      </c>
      <c r="H389">
        <f>Calc!H21</f>
        <v>1</v>
      </c>
      <c r="I389">
        <f>IF(Skills!X21&lt;&gt;"",1+(Skills!X21/10)*(R371/1000)/100,1)</f>
        <v>1</v>
      </c>
      <c r="O389">
        <v>0</v>
      </c>
      <c r="P389">
        <f>IF(B407=0,0,O389/B407)</f>
        <v>0</v>
      </c>
      <c r="S389">
        <v>0</v>
      </c>
      <c r="V389">
        <f>IFERROR(1/IF(Inputs!$B$4="pvp",15,MAX(0.1,Skills!E21-IF(Skills!F21=TRUE,Inputs!$B$31,0))),0)</f>
        <v>10</v>
      </c>
    </row>
    <row r="390" spans="1:22" x14ac:dyDescent="0.2">
      <c r="A390" t="str">
        <f>Skills!A22</f>
        <v>SPELL_MASTERY</v>
      </c>
      <c r="B390" t="str">
        <f>Skills!B22</f>
        <v>Spell Mastery</v>
      </c>
      <c r="C390" t="b">
        <f>TRUE</f>
        <v>1</v>
      </c>
      <c r="D390">
        <f>IF(Skills!C22=1,60+Inputs!$B$24+Inputs!$B$28,IF(Skills!C22=2,90+Inputs!$B$25+Inputs!$B$28,IF(Skills!C22=3,120+Inputs!$B$26+Inputs!$B$28,MAX(0,(Inputs!$B$3-100)*3)+Inputs!$B$27+Inputs!$B$28)))</f>
        <v>164</v>
      </c>
      <c r="E390">
        <f>INDEX(FactorTable!$B$2:$Y$301, MATCH(ROUND(MIN(300,MAX(1,D390)),0), FactorTable!$A$2:$A$301,0), Skills!M22+1)</f>
        <v>1492</v>
      </c>
      <c r="F390">
        <f>IF(Skills!N22=TRUE,(Skills!L22/10)*(E390/1000),Skills!L22/10)+Skills!O22</f>
        <v>22.38</v>
      </c>
      <c r="G390">
        <f>Calc!G22</f>
        <v>1</v>
      </c>
      <c r="H390">
        <f>Calc!H22</f>
        <v>1</v>
      </c>
      <c r="I390">
        <f>IF(Skills!X22&lt;&gt;"",1+(Skills!X22/10)*(R371/1000)/100,1)</f>
        <v>1</v>
      </c>
      <c r="O390">
        <v>0</v>
      </c>
      <c r="P390">
        <f>IF(B407=0,0,O390/B407)</f>
        <v>0</v>
      </c>
      <c r="S390">
        <v>0</v>
      </c>
      <c r="V390">
        <f>IFERROR(1/IF(Inputs!$B$4="pvp",15,MAX(0.1,Skills!E22-IF(Skills!F22=TRUE,Inputs!$B$31,0))),0)</f>
        <v>10</v>
      </c>
    </row>
    <row r="391" spans="1:22" x14ac:dyDescent="0.2">
      <c r="A391" t="str">
        <f>Skills!A23</f>
        <v>ELEMENT_AMPLIFICATION</v>
      </c>
      <c r="B391" t="str">
        <f>Skills!B23</f>
        <v>Element Amplification</v>
      </c>
      <c r="C391" t="b">
        <f>TRUE</f>
        <v>1</v>
      </c>
      <c r="D391">
        <f>IF(Skills!C23=1,60+Inputs!$B$24+Inputs!$B$28,IF(Skills!C23=2,90+Inputs!$B$25+Inputs!$B$28,IF(Skills!C23=3,120+Inputs!$B$26+Inputs!$B$28,MAX(0,(Inputs!$B$3-100)*3)+Inputs!$B$27+Inputs!$B$28)))</f>
        <v>172</v>
      </c>
      <c r="E391">
        <f>INDEX(FactorTable!$B$2:$Y$301, MATCH(ROUND(MIN(300,MAX(1,D391)),0), FactorTable!$A$2:$A$301,0), Skills!M23+1)</f>
        <v>1516</v>
      </c>
      <c r="F391">
        <f>IF(Skills!N23=TRUE,(Skills!L23/10)*(E391/1000),Skills!L23/10)+Skills!O23</f>
        <v>22.740000000000002</v>
      </c>
      <c r="G391">
        <f>Calc!G23</f>
        <v>1</v>
      </c>
      <c r="H391">
        <f>Calc!H23</f>
        <v>1</v>
      </c>
      <c r="I391">
        <f>IF(Skills!X23&lt;&gt;"",1+(Skills!X23/10)*(R371/1000)/100,1)</f>
        <v>1</v>
      </c>
      <c r="O391">
        <v>0</v>
      </c>
      <c r="P391">
        <f>IF(B407=0,0,O391/B407)</f>
        <v>0</v>
      </c>
      <c r="S391">
        <v>0</v>
      </c>
      <c r="V391">
        <f>IFERROR(1/IF(Inputs!$B$4="pvp",15,MAX(0.1,Skills!E23-IF(Skills!F23=TRUE,Inputs!$B$31,0))),0)</f>
        <v>10</v>
      </c>
    </row>
    <row r="392" spans="1:22" x14ac:dyDescent="0.2">
      <c r="A392" t="str">
        <f>Skills!A24</f>
        <v>IFRIT</v>
      </c>
      <c r="B392" t="str">
        <f>Skills!B24</f>
        <v>Ifrit</v>
      </c>
      <c r="C392" t="b">
        <f>Inputs!$B$3&gt;=115</f>
        <v>0</v>
      </c>
      <c r="D392">
        <f>IF(Skills!C24=1,60+Inputs!$B$24+Inputs!$B$28,IF(Skills!C24=2,90+Inputs!$B$25+Inputs!$B$28,IF(Skills!C24=3,120+Inputs!$B$26+Inputs!$B$28,MAX(0,(Inputs!$B$3-100)*3)+Inputs!$B$27+Inputs!$B$28)))</f>
        <v>172</v>
      </c>
      <c r="E392">
        <f>INDEX(FactorTable!$B$2:$Y$301, MATCH(ROUND(MIN(300,MAX(1,D392)),0), FactorTable!$A$2:$A$301,0), Skills!M24+1)</f>
        <v>1860</v>
      </c>
      <c r="F392">
        <f>IF(Skills!N24=TRUE,(Skills!L24/10)*(E392/1000),Skills!L24/10)+Skills!O24</f>
        <v>6510</v>
      </c>
      <c r="G392">
        <f>Calc!G24</f>
        <v>7.5</v>
      </c>
      <c r="H392">
        <f>Calc!H24</f>
        <v>1</v>
      </c>
      <c r="I392">
        <f>IF(Skills!X24&lt;&gt;"",1+(Skills!X24/10)*(R371/1000)/100,1)</f>
        <v>1</v>
      </c>
      <c r="J392">
        <f>((Inputs!$B$5*(1+Inputs!$B$6/100))+((Inputs!$B$11*(1+Inputs!$B$12/100))-(Inputs!$B$11*(1+Inputs!$B$12/100)))*(1+Inputs!$B$6/100))*(F392/100)</f>
        <v>16263999540.532799</v>
      </c>
      <c r="K392">
        <f>J392*(1+((Inputs!$B$11*(1+Inputs!$B$12/100))*0.01+Inputs!$B$13*0.0025)/100)*(1+Inputs!$B$14/100)*(1+IF(Inputs!$B$4="pvp",0,(1-Summary!$B$56)*(Inputs!$B$19+Skills!P24)+Summary!$B$56*(Inputs!$B$20+Skills!Q24))/100)*(1+Inputs!$B$15/100)*(5000/(6000+Inputs!$B$7*(1-Inputs!$B$18/100)))*(1+Inputs!$B$23/100)*(1+F391/100)*(1+IF(Inputs!$B$3&gt;=120,F394,0)/100)^5*(1+(IF(Skills!A24="BASIC_ATTACK",Inputs!$B$16,Inputs!$B$17+IF(Inputs!$B$3&gt;=125,F395*5,0)))/100)*(B398*B399*B400*I392)</f>
        <v>123735236722176.92</v>
      </c>
      <c r="L392">
        <f>K392*(MIN(Inputs!$B$21+(F390-Calc!F22),(Inputs!$B$22+1))/100+(Inputs!$B$22+1)/100)/2</f>
        <v>334641947715127.5</v>
      </c>
      <c r="M392">
        <f>L392*(1+(Inputs!$B$9+(F389-Calc!F21))/100)</f>
        <v>1402484402874099.5</v>
      </c>
      <c r="N392">
        <f>L392*(1-MIN(Inputs!$B$8+(F388-Calc!F20),100)/100)+M392*(MIN(Inputs!$B$8+(F388-Calc!F20),100)/100)</f>
        <v>1402484402874099.5</v>
      </c>
      <c r="O392">
        <f>IF(C392,H392*N392*IF(AND(Inputs!$B$4&lt;&gt;"pvp",Inputs!$B$35&gt;0),((Skills!G24*((S392-1)*IF(Skills!H24&gt;0,Skills!I24/Skills!H24,1)+IF(Skills!H24&gt;0,MIN(Skills!I24,MAX(0,Inputs!$B$35-((S392-1)*IF(Inputs!$B$4="pvp",15,MAX(0.1,Skills!E24-IF(Skills!F24=TRUE,Inputs!$B$31,0))))))/Skills!H24,1)))/Inputs!$B$35),G392*V392)*(1+IF(Inputs!$B$3&gt;=130,0.2*(Skills!I16/Skills!E15+IF(Inputs!$B$3&gt;=126,0.05*(B404+V381+(H382*B405)/(1+Skills!H14*H382*B405)+V392),0)*Skills!I16),0))*IF(Inputs!$B$4="pvp",1,(1-Summary!$B$56)*(1)+Summary!$B$56*(MIN(Skills!R24,Inputs!$B$37))),0)</f>
        <v>0</v>
      </c>
      <c r="P392">
        <f>IF(B407=0,0,O392/B407)</f>
        <v>0</v>
      </c>
      <c r="S392">
        <f>IF(AND(Inputs!$B$4&lt;&gt;"pvp",Inputs!$B$35&gt;0),(INT(Inputs!$B$35/IF(Inputs!$B$4="pvp",15,MAX(0.1,Skills!E24-IF(Skills!F24=TRUE,Inputs!$B$31,0))))+1),0)</f>
        <v>0</v>
      </c>
      <c r="V392">
        <f>IFERROR(1/IF(Inputs!$B$4="pvp",15,MAX(0.1,Skills!E24-IF(Skills!F24=TRUE,Inputs!$B$31,0))),0)</f>
        <v>1.2500000000000001E-2</v>
      </c>
    </row>
    <row r="393" spans="1:22" x14ac:dyDescent="0.2">
      <c r="A393" t="str">
        <f>Skills!A25</f>
        <v>BUFF_MASTERY</v>
      </c>
      <c r="B393" t="str">
        <f>Skills!B25</f>
        <v>Buff Mastery</v>
      </c>
      <c r="C393" t="b">
        <f>Inputs!$B$3&gt;=117</f>
        <v>0</v>
      </c>
      <c r="D393">
        <f>IF(Skills!C25=1,60+Inputs!$B$24+Inputs!$B$28,IF(Skills!C25=2,90+Inputs!$B$25+Inputs!$B$28,IF(Skills!C25=3,120+Inputs!$B$26+Inputs!$B$28,MAX(0,(Inputs!$B$3-100)*3)+Inputs!$B$27+Inputs!$B$28)))</f>
        <v>172</v>
      </c>
      <c r="E393">
        <f>INDEX(FactorTable!$B$2:$Y$301, MATCH(ROUND(MIN(300,MAX(1,D393)),0), FactorTable!$A$2:$A$301,0), Skills!M25+1)</f>
        <v>1516</v>
      </c>
      <c r="F393">
        <f>IF(Skills!N25=TRUE,(Skills!L25/10)*(E393/1000),Skills!L25/10)+Skills!O25</f>
        <v>15.16</v>
      </c>
      <c r="G393">
        <f>Calc!G25</f>
        <v>1</v>
      </c>
      <c r="H393">
        <f>Calc!H25</f>
        <v>1</v>
      </c>
      <c r="I393">
        <f>IF(Skills!X25&lt;&gt;"",1+(Skills!X25/10)*(R371/1000)/100,1)</f>
        <v>1</v>
      </c>
      <c r="O393">
        <v>0</v>
      </c>
      <c r="P393">
        <f>IF(B407=0,0,O393/B407)</f>
        <v>0</v>
      </c>
      <c r="S393">
        <v>0</v>
      </c>
      <c r="V393">
        <f>IFERROR(1/IF(Inputs!$B$4="pvp",15,MAX(0.1,Skills!E25-IF(Skills!F25=TRUE,Inputs!$B$31,0))),0)</f>
        <v>10</v>
      </c>
    </row>
    <row r="394" spans="1:22" x14ac:dyDescent="0.2">
      <c r="A394" t="str">
        <f>Skills!A26</f>
        <v>ARCANE_AIM</v>
      </c>
      <c r="B394" t="str">
        <f>Skills!B26</f>
        <v>Arcane Aim</v>
      </c>
      <c r="C394" t="b">
        <f>Inputs!$B$3&gt;=120</f>
        <v>0</v>
      </c>
      <c r="D394">
        <f>IF(Skills!C26=1,60+Inputs!$B$24+Inputs!$B$28,IF(Skills!C26=2,90+Inputs!$B$25+Inputs!$B$28,IF(Skills!C26=3,120+Inputs!$B$26+Inputs!$B$28,MAX(0,(Inputs!$B$3-100)*3)+Inputs!$B$27+Inputs!$B$28)))</f>
        <v>172</v>
      </c>
      <c r="E394">
        <f>INDEX(FactorTable!$B$2:$Y$301, MATCH(ROUND(MIN(300,MAX(1,D394)),0), FactorTable!$A$2:$A$301,0), Skills!M26+1)</f>
        <v>1516</v>
      </c>
      <c r="F394">
        <f>IF(Skills!N26=TRUE,(Skills!L26/10)*(E394/1000),Skills!L26/10)+Skills!O26</f>
        <v>4.548</v>
      </c>
      <c r="G394">
        <f>Calc!G26</f>
        <v>1</v>
      </c>
      <c r="H394">
        <f>Calc!H26</f>
        <v>1</v>
      </c>
      <c r="I394">
        <f>IF(Skills!X26&lt;&gt;"",1+(Skills!X26/10)*(R371/1000)/100,1)</f>
        <v>1</v>
      </c>
      <c r="O394">
        <v>0</v>
      </c>
      <c r="P394">
        <f>IF(B407=0,0,O394/B407)</f>
        <v>0</v>
      </c>
      <c r="S394">
        <v>0</v>
      </c>
      <c r="V394">
        <f>IFERROR(1/IF(Inputs!$B$4="pvp",15,MAX(0.1,Skills!E26-IF(Skills!F26=TRUE,Inputs!$B$31,0))),0)</f>
        <v>10</v>
      </c>
    </row>
    <row r="395" spans="1:22" x14ac:dyDescent="0.2">
      <c r="A395" t="str">
        <f>Skills!A27</f>
        <v>FERVENT_DRAIN</v>
      </c>
      <c r="B395" t="str">
        <f>Skills!B27</f>
        <v>Fervent Drain</v>
      </c>
      <c r="C395" t="b">
        <f>Inputs!$B$3&gt;=125</f>
        <v>0</v>
      </c>
      <c r="D395">
        <f>IF(Skills!C27=1,60+Inputs!$B$24+Inputs!$B$28,IF(Skills!C27=2,90+Inputs!$B$25+Inputs!$B$28,IF(Skills!C27=3,120+Inputs!$B$26+Inputs!$B$28,MAX(0,(Inputs!$B$3-100)*3)+Inputs!$B$27+Inputs!$B$28)))</f>
        <v>172</v>
      </c>
      <c r="E395">
        <f>INDEX(FactorTable!$B$2:$Y$301, MATCH(ROUND(MIN(300,MAX(1,D395)),0), FactorTable!$A$2:$A$301,0), Skills!M27+1)</f>
        <v>1516</v>
      </c>
      <c r="F395">
        <f>IF(Skills!N27=TRUE,(Skills!L27/10)*(E395/1000),Skills!L27/10)+Skills!O27</f>
        <v>6.0640000000000001</v>
      </c>
      <c r="G395">
        <f>Calc!G27</f>
        <v>1</v>
      </c>
      <c r="H395">
        <f>Calc!H27</f>
        <v>1</v>
      </c>
      <c r="I395">
        <f>IF(Skills!X27&lt;&gt;"",1+(Skills!X27/10)*(R371/1000)/100,1)</f>
        <v>1</v>
      </c>
      <c r="O395">
        <v>0</v>
      </c>
      <c r="P395">
        <f>IF(B407=0,0,O395/B407)</f>
        <v>0</v>
      </c>
      <c r="S395">
        <v>0</v>
      </c>
      <c r="V395">
        <f>IFERROR(1/IF(Inputs!$B$4="pvp",15,MAX(0.1,Skills!E27-IF(Skills!F27=TRUE,Inputs!$B$31,0))),0)</f>
        <v>10</v>
      </c>
    </row>
    <row r="396" spans="1:22" x14ac:dyDescent="0.2">
      <c r="A396" t="str">
        <f>Skills!A28</f>
        <v>FLAME_HAZE_FOG</v>
      </c>
      <c r="B396" t="str">
        <f>Skills!B28</f>
        <v>Flame Haze (poison fog DoT)</v>
      </c>
      <c r="C396" t="b">
        <f>Inputs!$B$3&gt;=118</f>
        <v>0</v>
      </c>
      <c r="D396">
        <f>IF(Skills!C28=1,60+Inputs!$B$24+Inputs!$B$28,IF(Skills!C28=2,90+Inputs!$B$25+Inputs!$B$28,IF(Skills!C28=3,120+Inputs!$B$26+Inputs!$B$28,MAX(0,(Inputs!$B$3-100)*3)+Inputs!$B$27+Inputs!$B$28)))</f>
        <v>172</v>
      </c>
      <c r="E396">
        <f>INDEX(FactorTable!$B$2:$Y$301, MATCH(ROUND(MIN(300,MAX(1,D396)),0), FactorTable!$A$2:$A$301,0), Skills!M28+1)</f>
        <v>1860</v>
      </c>
      <c r="F396">
        <f>IF(Skills!N28=TRUE,(Skills!L28/10)*(E396/1000),Skills!L28/10)+Skills!O28</f>
        <v>130.20000000000002</v>
      </c>
      <c r="G396">
        <f>Calc!G28</f>
        <v>50</v>
      </c>
      <c r="H396">
        <f>Calc!H28</f>
        <v>1</v>
      </c>
      <c r="I396">
        <f>IF(Skills!X28&lt;&gt;"",1+(Skills!X28/10)*(R371/1000)/100,1)</f>
        <v>1</v>
      </c>
      <c r="J396">
        <f>((Inputs!$B$5*(1+Inputs!$B$6/100))+((Inputs!$B$11*(1+Inputs!$B$12/100))-(Inputs!$B$11*(1+Inputs!$B$12/100)))*(1+Inputs!$B$6/100))*(F396/100)</f>
        <v>325279990.81065607</v>
      </c>
      <c r="K396">
        <f>J396*(1+((Inputs!$B$11*(1+Inputs!$B$12/100))*0.01+Inputs!$B$13*0.0025)/100)*(1+Inputs!$B$14/100)*(1+IF(Inputs!$B$4="pvp",0,(1-Summary!$B$56)*(Inputs!$B$19+Skills!P28)+Summary!$B$56*(Inputs!$B$20+Skills!Q28))/100)*(1+Inputs!$B$15/100)*(5000/(6000+Inputs!$B$7*(1-Inputs!$B$18/100)))*(1+Inputs!$B$23/100)*(1+F391/100)*(1+IF(Inputs!$B$3&gt;=120,F394,0)/100)^5*(1+(IF(Skills!A28="BASIC_ATTACK",Inputs!$B$16,Inputs!$B$17+IF(Inputs!$B$3&gt;=125,F395*5,0)))/100)*(B398*B399*B400*I396)</f>
        <v>2474704734443.54</v>
      </c>
      <c r="L396">
        <f>K396*(MIN(Inputs!$B$21+(F390-Calc!F22),(Inputs!$B$22+1))/100+(Inputs!$B$22+1)/100)/2</f>
        <v>6692838954302.5537</v>
      </c>
      <c r="M396">
        <f>L396*(1+(Inputs!$B$9+(F389-Calc!F21))/100)</f>
        <v>28049688057482.008</v>
      </c>
      <c r="N396">
        <f>L396*(1-MIN(Inputs!$B$8+(F388-Calc!F20),100)/100)+M396*(MIN(Inputs!$B$8+(F388-Calc!F20),100)/100)</f>
        <v>28049688057482.008</v>
      </c>
      <c r="O396">
        <f>IF(C396,H396*N396*IF(AND(Inputs!$B$4&lt;&gt;"pvp",Inputs!$B$35&gt;0),((Skills!G28*((S396-1)*IF(Skills!H28&gt;0,Skills!I28/Skills!H28,1)+IF(Skills!H28&gt;0,MIN(Skills!I28,MAX(0,Inputs!$B$35-((S396-1)*IF(Inputs!$B$4="pvp",15,MAX(0.1,Skills!E28-IF(Skills!F28=TRUE,Inputs!$B$31,0))))))/Skills!H28,1)))/Inputs!$B$35),G396*V396)*IF(Inputs!$B$4="pvp",1,(1-Summary!$B$56)*(1)+Summary!$B$56*(MIN(Skills!R28,Inputs!$B$37))),0)</f>
        <v>0</v>
      </c>
      <c r="P396">
        <f>IF(B407=0,0,O396/B407)</f>
        <v>0</v>
      </c>
      <c r="S396">
        <f>IF(AND(Inputs!$B$4&lt;&gt;"pvp",Inputs!$B$35&gt;0),(INT(Inputs!$B$35/IF(Inputs!$B$4="pvp",15,MAX(0.1,Skills!E28-IF(Skills!F28=TRUE,Inputs!$B$31,0))))+1),0)</f>
        <v>0</v>
      </c>
      <c r="V396">
        <f>IFERROR(1/IF(Inputs!$B$4="pvp",15,MAX(0.1,Skills!E28-IF(Skills!F28=TRUE,Inputs!$B$31,0))),0)</f>
        <v>0.04</v>
      </c>
    </row>
    <row r="398" spans="1:22" x14ac:dyDescent="0.2">
      <c r="A398" t="s">
        <v>222</v>
      </c>
      <c r="B398">
        <f>1+(F379*Skills!Z11)/100</f>
        <v>1.25</v>
      </c>
    </row>
    <row r="399" spans="1:22" x14ac:dyDescent="0.2">
      <c r="A399" t="s">
        <v>223</v>
      </c>
      <c r="B399">
        <f>1+F380/100</f>
        <v>1.18624</v>
      </c>
    </row>
    <row r="400" spans="1:22" x14ac:dyDescent="0.2">
      <c r="A400" t="s">
        <v>224</v>
      </c>
      <c r="B400">
        <f>(1+(F374*IF(AND(Inputs!$B$4&lt;&gt;"pvp",Inputs!$B$35&gt;0),(((S374-1)*(Skills!T6*(1+(Inputs!$B$33+IF(Inputs!$B$3&gt;=117,F393,0))/100))+MIN((Skills!T6*(1+(Inputs!$B$33+IF(Inputs!$B$3&gt;=117,F393,0))/100)),MAX(0,Inputs!$B$35-((S374-1)*Skills!E6))))/Inputs!$B$35),IF(Inputs!$B$4="pvp",MIN((Skills!T6*(1+(Inputs!$B$33+IF(Inputs!$B$3&gt;=117,F393,0))/100)),15)/15,(Skills!T6*(1+(Inputs!$B$33+IF(Inputs!$B$3&gt;=117,F393,0))/100))/Skills!E6))+F385*IF(AND(Inputs!$B$4&lt;&gt;"pvp",Inputs!$B$35&gt;0),(((S385-1)*(Skills!T17*(1+(Inputs!$B$33+IF(Inputs!$B$3&gt;=117,F393,0))/100))+MIN((Skills!T17*(1+(Inputs!$B$33+IF(Inputs!$B$3&gt;=117,F393,0))/100)),MAX(0,Inputs!$B$35-((S385-1)*Skills!E17))))/Inputs!$B$35),IF(Inputs!$B$4="pvp",MIN((Skills!T17*(1+(Inputs!$B$33+IF(Inputs!$B$3&gt;=117,F393,0))/100)),15)/15,(Skills!T17*(1+(Inputs!$B$33+IF(Inputs!$B$3&gt;=117,F393,0))/100))/Skills!E17)))/100)*IF(C387=TRUE,(1+F387*IF(AND(Inputs!$B$4&lt;&gt;"pvp",Inputs!$B$35&gt;0),(((S387-1)*(Skills!T19*(1+(Inputs!$B$33+IF(Inputs!$B$3&gt;=117,F393,0))/100))+MIN((Skills!T19*(1+(Inputs!$B$33+IF(Inputs!$B$3&gt;=117,F393,0))/100)),MAX(0,Inputs!$B$35-((S387-1)*Skills!E19))))/Inputs!$B$35),IF(Inputs!$B$4="pvp",MIN((Skills!T19*(1+(Inputs!$B$33+IF(Inputs!$B$3&gt;=117,F393,0))/100)),15)/15,(Skills!T19*(1+(Inputs!$B$33+IF(Inputs!$B$3&gt;=117,F393,0))/100))/Skills!E19))/100),1)</f>
        <v>1.5603265106950857</v>
      </c>
    </row>
    <row r="401" spans="1:22" x14ac:dyDescent="0.2">
      <c r="A401" t="s">
        <v>225</v>
      </c>
      <c r="B401">
        <f>F386*IF(AND(Inputs!$B$4&lt;&gt;"pvp",Inputs!$B$35&gt;0),(((S386-1)*(Skills!T18*(1+(Inputs!$B$33+IF(Inputs!$B$3&gt;=117,F393,0))/100))+MIN((Skills!T18*(1+(Inputs!$B$33+IF(Inputs!$B$3&gt;=117,F393,0))/100)),MAX(0,Inputs!$B$35-((S386-1)*Skills!E18))))/Inputs!$B$35),IF(Inputs!$B$4="pvp",MIN((Skills!T18*(1+(Inputs!$B$33+IF(Inputs!$B$3&gt;=117,F393,0))/100)),15)/15,(Skills!T18*(1+(Inputs!$B$33+IF(Inputs!$B$3&gt;=117,F393,0))/100))/Skills!E18))</f>
        <v>3.75</v>
      </c>
    </row>
    <row r="402" spans="1:22" x14ac:dyDescent="0.2">
      <c r="A402" t="s">
        <v>253</v>
      </c>
      <c r="B402">
        <f>1+MIN(150,150*(1-(1-Inputs!$B$10/150)*(1-B401/150)))/100</f>
        <v>1.6371249999999999</v>
      </c>
    </row>
    <row r="403" spans="1:22" x14ac:dyDescent="0.2">
      <c r="A403" t="s">
        <v>254</v>
      </c>
      <c r="B403">
        <f>IF(AND(Inputs!$B$4&lt;&gt;"pvp",Inputs!$B$35&gt;0),SUMPRODUCT((Skills!F2:F28=TRUE)*(C370:C396=TRUE)*S370:S396)/Inputs!$B$35,SUMPRODUCT((Skills!F2:F28=TRUE)*(C370:C396=TRUE)*V370:V396))</f>
        <v>0.33466433037861604</v>
      </c>
    </row>
    <row r="404" spans="1:22" x14ac:dyDescent="0.2">
      <c r="A404" t="s">
        <v>228</v>
      </c>
      <c r="B404">
        <f>MAX(0,B402-B403)</f>
        <v>1.3024606696213838</v>
      </c>
    </row>
    <row r="405" spans="1:22" x14ac:dyDescent="0.2">
      <c r="A405" t="s">
        <v>255</v>
      </c>
      <c r="B405">
        <f>IF(AND(Inputs!$B$4&lt;&gt;"pvp",Inputs!$B$35&gt;0),SUMPRODUCT((Skills!V2:V28=TRUE)*(C370:C396=TRUE)*S370:S396*Skills!W2:W28)/Inputs!$B$35,SUMPRODUCT((Skills!V2:V28=TRUE)*(C370:C396=TRUE)*V370:V396*Skills!W2:W28))+B404</f>
        <v>1.5297416426166426</v>
      </c>
    </row>
    <row r="407" spans="1:22" x14ac:dyDescent="0.2">
      <c r="A407" s="5" t="s">
        <v>208</v>
      </c>
      <c r="B407" s="5">
        <f>SUM(O370:O396)</f>
        <v>8355030456634290</v>
      </c>
    </row>
    <row r="410" spans="1:22" x14ac:dyDescent="0.2">
      <c r="A410" s="5" t="s">
        <v>264</v>
      </c>
    </row>
    <row r="411" spans="1:22" x14ac:dyDescent="0.2">
      <c r="A411" s="8" t="s">
        <v>74</v>
      </c>
      <c r="B411" s="8" t="s">
        <v>75</v>
      </c>
      <c r="C411" s="8" t="s">
        <v>190</v>
      </c>
      <c r="D411" s="8" t="s">
        <v>191</v>
      </c>
      <c r="E411" s="8" t="s">
        <v>192</v>
      </c>
      <c r="F411" s="8" t="s">
        <v>193</v>
      </c>
      <c r="G411" s="8" t="s">
        <v>194</v>
      </c>
      <c r="H411" s="8" t="s">
        <v>195</v>
      </c>
      <c r="I411" s="8" t="s">
        <v>196</v>
      </c>
      <c r="J411" s="8" t="s">
        <v>197</v>
      </c>
      <c r="K411" s="8" t="s">
        <v>198</v>
      </c>
      <c r="L411" s="8" t="s">
        <v>199</v>
      </c>
      <c r="M411" s="8" t="s">
        <v>200</v>
      </c>
      <c r="N411" s="8" t="s">
        <v>201</v>
      </c>
      <c r="O411" s="8" t="s">
        <v>202</v>
      </c>
      <c r="P411" s="8" t="s">
        <v>203</v>
      </c>
      <c r="R411" t="s">
        <v>252</v>
      </c>
    </row>
    <row r="412" spans="1:22" x14ac:dyDescent="0.2">
      <c r="A412" t="str">
        <f>Skills!A2</f>
        <v>BASIC_ATTACK</v>
      </c>
      <c r="B412" t="str">
        <f>Skills!B2</f>
        <v>Basic Attack</v>
      </c>
      <c r="C412" t="b">
        <f>TRUE</f>
        <v>1</v>
      </c>
      <c r="F412">
        <f>T414+Skills!O2</f>
        <v>510.52</v>
      </c>
      <c r="G412">
        <f>Calc!G2</f>
        <v>5</v>
      </c>
      <c r="H412">
        <f>Calc!H2</f>
        <v>1</v>
      </c>
      <c r="I412">
        <f>IF(Skills!X2&lt;&gt;"",1+(Skills!X2/10)*(R413/1000)/100,1)</f>
        <v>1</v>
      </c>
      <c r="J412">
        <f>((Inputs!$B$5*(1+Inputs!$B$6/100))+((Inputs!$B$11*(1+Inputs!$B$12/100))-(Inputs!$B$11*(1+Inputs!$B$12/100)))*(1+Inputs!$B$6/100))*(F412/100)</f>
        <v>1275437334.1678655</v>
      </c>
      <c r="K412">
        <f>J412*(1+((Inputs!$B$11*(1+Inputs!$B$12/100))*0.01+Inputs!$B$13*0.0025)/100)*(1+Inputs!$B$14/100)*(1+IF(Inputs!$B$4="pvp",0,(1-Summary!$B$56)*(Inputs!$B$19+Skills!P2)+Summary!$B$56*(Inputs!$B$20+Skills!Q2))/100)*(1+Inputs!$B$15/100)*(5000/(6000+Inputs!$B$7*(1-Inputs!$B$18/100)))*(1+Inputs!$B$23/100)*(1+F433/100)*(1+IF(Inputs!$B$3&gt;=120,F436,0)/100)^5*(1+(IF(Skills!A2="BASIC_ATTACK",Inputs!$B$16,Inputs!$B$17+IF(Inputs!$B$3&gt;=125,F437*5,0)))/100)*(B440*B441*B442*I412)</f>
        <v>6960952567530.5723</v>
      </c>
      <c r="L412">
        <f>K412*(MIN(Inputs!$B$21+(F432-Calc!F22),Inputs!$B$22)/100+Inputs!$B$22/100)/2</f>
        <v>18791091456048.777</v>
      </c>
      <c r="M412">
        <f>L412*(1+(Inputs!$B$9+(F431-Calc!F21))/100)</f>
        <v>78753464292300.438</v>
      </c>
      <c r="N412">
        <f>L412*(1-MIN((Inputs!$B$8+1)+(F430-Calc!F20),100)/100)+M412*(MIN((Inputs!$B$8+1)+(F430-Calc!F20),100)/100)</f>
        <v>78753464292300.438</v>
      </c>
      <c r="O412">
        <f>Skills!G2*N412*B446*IF(Inputs!$B$4="pvp",1,(1-Summary!$B$56)*(1)+Summary!$B$56*(MIN((6+Inputs!$B$32+IF(Inputs!$B$3&gt;=136,1,0)),Inputs!$B$37)))</f>
        <v>3897785013811828</v>
      </c>
      <c r="P412">
        <f>IF(B449=0,0,O412/B449)</f>
        <v>0.46738363090508683</v>
      </c>
      <c r="R412">
        <f>MAX(0,(Inputs!$B$3-100)*3)+Inputs!$B$27+Inputs!$B$28</f>
        <v>172</v>
      </c>
      <c r="S412">
        <v>0</v>
      </c>
      <c r="T412">
        <f>MAX(0,(Inputs!$B$3-100)*3)+Inputs!$B$27+Inputs!$B$28</f>
        <v>172</v>
      </c>
      <c r="V412">
        <f>IFERROR(1/IF(Inputs!$B$4="pvp",15,MAX(0.1,Skills!E2-IF(Skills!F2=TRUE,Inputs!$B$31,0))),0)</f>
        <v>10</v>
      </c>
    </row>
    <row r="413" spans="1:22" x14ac:dyDescent="0.2">
      <c r="A413" t="str">
        <f>Skills!A3</f>
        <v>IGNITE</v>
      </c>
      <c r="B413" t="str">
        <f>Skills!B3</f>
        <v>Ignite</v>
      </c>
      <c r="C413" t="b">
        <f>TRUE</f>
        <v>1</v>
      </c>
      <c r="D413">
        <f>IF(Skills!C3=1,60+Inputs!$B$24+Inputs!$B$28,IF(Skills!C3=2,90+Inputs!$B$25+Inputs!$B$28,IF(Skills!C3=3,120+Inputs!$B$26+Inputs!$B$28,MAX(0,(Inputs!$B$3-100)*3)+Inputs!$B$27+Inputs!$B$28)))</f>
        <v>164</v>
      </c>
      <c r="E413">
        <f>INDEX(FactorTable!$B$2:$Y$301, MATCH(ROUND(MIN(300,MAX(1,D413)),0), FactorTable!$A$2:$A$301,0), Skills!M3+1)</f>
        <v>1656</v>
      </c>
      <c r="F413">
        <f>IF(Skills!N3=TRUE,(Skills!L3/10)*(E413/1000),Skills!L3/10)+Skills!O3</f>
        <v>121.52799999999999</v>
      </c>
      <c r="G413">
        <f>Calc!G3</f>
        <v>3</v>
      </c>
      <c r="H413">
        <f>Calc!H3</f>
        <v>1</v>
      </c>
      <c r="I413">
        <f>IF(Skills!X3&lt;&gt;"",1+(Skills!X3/10)*(R413/1000)/100,1)</f>
        <v>4.76</v>
      </c>
      <c r="J413">
        <f>((Inputs!$B$5*(1+Inputs!$B$6/100))+((Inputs!$B$11*(1+Inputs!$B$12/100))-(Inputs!$B$11*(1+Inputs!$B$12/100)))*(1+Inputs!$B$6/100))*(F413/100)</f>
        <v>303614644.57171583</v>
      </c>
      <c r="K413">
        <f>J413*(1+((Inputs!$B$11*(1+Inputs!$B$12/100))*0.01+Inputs!$B$13*0.0025)/100)*(1+Inputs!$B$14/100)*(1+IF(Inputs!$B$4="pvp",0,(1-Summary!$B$56)*(Inputs!$B$19+Skills!P3)+Summary!$B$56*(Inputs!$B$20+Skills!Q3))/100)*(1+Inputs!$B$15/100)*(5000/(6000+Inputs!$B$7*(1-Inputs!$B$18/100)))*(1+Inputs!$B$23/100)*(1+F433/100)*(1+IF(Inputs!$B$3&gt;=120,F436,0)/100)^5*(1+(IF(Skills!A3="BASIC_ATTACK",Inputs!$B$16,Inputs!$B$17+IF(Inputs!$B$3&gt;=125,F437*5,0)))/100)*(B440*B441*B442*I413)</f>
        <v>10995012018164.998</v>
      </c>
      <c r="L413">
        <f>K413*(MIN(Inputs!$B$21+(F432-Calc!F22),Inputs!$B$22)/100+Inputs!$B$22/100)/2</f>
        <v>29681034943036.406</v>
      </c>
      <c r="M413">
        <f>L413*(1+(Inputs!$B$9+(F431-Calc!F21))/100)</f>
        <v>124393217446265.59</v>
      </c>
      <c r="N413">
        <f>L413*(1-MIN((Inputs!$B$8+1)+(F430-Calc!F20),100)/100)+M413*(MIN((Inputs!$B$8+1)+(F430-Calc!F20),100)/100)</f>
        <v>124393217446265.59</v>
      </c>
      <c r="O413">
        <f>IF(C413,H413*N413*IF(AND(Inputs!$B$4&lt;&gt;"pvp",Inputs!$B$35&gt;0),((Skills!G3*((S413-1)*IF(Skills!H3&gt;0,Skills!I3/Skills!H3,1)+IF(Skills!H3&gt;0,MIN(Skills!I3,MAX(0,Inputs!$B$35-((S413-1)*IF(Inputs!$B$4="pvp",15,MAX(0.1,Skills!E3-IF(Skills!F3=TRUE,Inputs!$B$31,0))))))/Skills!H3,1)))/Inputs!$B$35),G413*V413)*IF(Inputs!$B$4="pvp",1,(1-Summary!$B$56)*(1)+Summary!$B$56*(MIN(Skills!R3,Inputs!$B$37))),0)</f>
        <v>820995235145352.75</v>
      </c>
      <c r="P413">
        <f>IF(B449=0,0,O413/B449)</f>
        <v>9.8445587070168566E-2</v>
      </c>
      <c r="R413">
        <f>INDEX(FactorTable!$B$2:$Y$301, MATCH(ROUND(MIN(300,MAX(1,R412)),0), FactorTable!$A$2:$A$301,0), 24)</f>
        <v>7520</v>
      </c>
      <c r="S413">
        <f>IF(AND(Inputs!$B$4&lt;&gt;"pvp",Inputs!$B$35&gt;0),(INT(Inputs!$B$35/IF(Inputs!$B$4="pvp",15,MAX(0.1,Skills!E3-IF(Skills!F3=TRUE,Inputs!$B$31,0))))+1),0)</f>
        <v>0</v>
      </c>
      <c r="T413">
        <f>INDEX(FactorTable!$B$2:$Y$301, MATCH(ROUND(MIN(300,MAX(1,T412)),0), FactorTable!$A$2:$A$301,0), 22)</f>
        <v>1688</v>
      </c>
      <c r="V413">
        <f>IFERROR(1/IF(Inputs!$B$4="pvp",15,MAX(0.1,Skills!E3-IF(Skills!F3=TRUE,Inputs!$B$31,0))),0)</f>
        <v>1</v>
      </c>
    </row>
    <row r="414" spans="1:22" x14ac:dyDescent="0.2">
      <c r="A414" t="str">
        <f>Skills!A4</f>
        <v>POISON_BREATH</v>
      </c>
      <c r="B414" t="str">
        <f>Skills!B4</f>
        <v>Poison Breath</v>
      </c>
      <c r="C414" t="b">
        <f>TRUE</f>
        <v>1</v>
      </c>
      <c r="D414">
        <f>IF(Skills!C4=1,60+Inputs!$B$24+Inputs!$B$28,IF(Skills!C4=2,90+Inputs!$B$25+Inputs!$B$28,IF(Skills!C4=3,120+Inputs!$B$26+Inputs!$B$28,MAX(0,(Inputs!$B$3-100)*3)+Inputs!$B$27+Inputs!$B$28)))</f>
        <v>164</v>
      </c>
      <c r="E414">
        <f>INDEX(FactorTable!$B$2:$Y$301, MATCH(ROUND(MIN(300,MAX(1,D414)),0), FactorTable!$A$2:$A$301,0), Skills!M4+1)</f>
        <v>1820</v>
      </c>
      <c r="F414">
        <f>IF(Skills!N4=TRUE,(Skills!L4/10)*(E414/1000),Skills!L4/10)+Skills!O4</f>
        <v>434</v>
      </c>
      <c r="G414">
        <f>Calc!G4</f>
        <v>3</v>
      </c>
      <c r="H414">
        <f>Calc!H4</f>
        <v>1</v>
      </c>
      <c r="I414">
        <f>IF(Skills!X4&lt;&gt;"",1+(Skills!X4/10)*(R413/1000)/100,1)</f>
        <v>7.0159999999999991</v>
      </c>
      <c r="J414">
        <f>((Inputs!$B$5*(1+Inputs!$B$6/100))+((Inputs!$B$11*(1+Inputs!$B$12/100))-(Inputs!$B$11*(1+Inputs!$B$12/100)))*(1+Inputs!$B$6/100))*(F414/100)</f>
        <v>1084266636.0355198</v>
      </c>
      <c r="K414">
        <f>J414*(1+((Inputs!$B$11*(1+Inputs!$B$12/100))*0.01+Inputs!$B$13*0.0025)/100)*(1+Inputs!$B$14/100)*(1+IF(Inputs!$B$4="pvp",0,(1-Summary!$B$56)*(Inputs!$B$19+Skills!P4)+Summary!$B$56*(Inputs!$B$20+Skills!Q4))/100)*(1+Inputs!$B$15/100)*(5000/(6000+Inputs!$B$7*(1-Inputs!$B$18/100)))*(1+Inputs!$B$23/100)*(1+F433/100)*(1+IF(Inputs!$B$3&gt;=120,F436,0)/100)^5*(1+(IF(Skills!A4="BASIC_ATTACK",Inputs!$B$16,Inputs!$B$17+IF(Inputs!$B$3&gt;=125,F437*5,0)))/100)*(B440*B441*B442*I414)</f>
        <v>57875094722852.875</v>
      </c>
      <c r="L414">
        <f>K414*(MIN(Inputs!$B$21+(F432-Calc!F22),Inputs!$B$22)/100+Inputs!$B$22/100)/2</f>
        <v>156233818204341.31</v>
      </c>
      <c r="M414">
        <f>L414*(1+(Inputs!$B$9+(F431-Calc!F21))/100)</f>
        <v>654775932094394.5</v>
      </c>
      <c r="N414">
        <f>L414*(1-MIN((Inputs!$B$8+1)+(F430-Calc!F20),100)/100)+M414*(MIN((Inputs!$B$8+1)+(F430-Calc!F20),100)/100)</f>
        <v>654775932094394.5</v>
      </c>
      <c r="O414">
        <f>IF(C414,H414*N414*IF(AND(Inputs!$B$4&lt;&gt;"pvp",Inputs!$B$35&gt;0),((Skills!G4*((S414-1)*IF(Skills!H4&gt;0,Skills!I4/Skills!H4,1)+IF(Skills!H4&gt;0,MIN(Skills!I4,MAX(0,Inputs!$B$35-((S414-1)*IF(Inputs!$B$4="pvp",15,MAX(0.1,Skills!E4-IF(Skills!F4=TRUE,Inputs!$B$31,0))))))/Skills!H4,1)))/Inputs!$B$35),G414*V414)*IF(Inputs!$B$4="pvp",1,(1-Summary!$B$56)*(1)+Summary!$B$56*(MIN(Skills!R4,Inputs!$B$37))),0)</f>
        <v>436517288062929.56</v>
      </c>
      <c r="P414">
        <f>IF(B449=0,0,O414/B449)</f>
        <v>5.2342813758261109E-2</v>
      </c>
      <c r="S414">
        <f>IF(AND(Inputs!$B$4&lt;&gt;"pvp",Inputs!$B$35&gt;0),(INT(Inputs!$B$35/IF(Inputs!$B$4="pvp",15,MAX(0.1,Skills!E4-IF(Skills!F4=TRUE,Inputs!$B$31,0))))+1),0)</f>
        <v>0</v>
      </c>
      <c r="T414">
        <f>290*T413/1000</f>
        <v>489.52</v>
      </c>
      <c r="V414">
        <f>IFERROR(1/IF(Inputs!$B$4="pvp",15,MAX(0.1,Skills!E4-IF(Skills!F4=TRUE,Inputs!$B$31,0))),0)</f>
        <v>5.5555555555555552E-2</v>
      </c>
    </row>
    <row r="415" spans="1:22" x14ac:dyDescent="0.2">
      <c r="A415" t="str">
        <f>Skills!A5</f>
        <v>ELEMENTAL_DRAIN</v>
      </c>
      <c r="B415" t="str">
        <f>Skills!B5</f>
        <v>Elemental Drain</v>
      </c>
      <c r="C415" t="b">
        <f>TRUE</f>
        <v>1</v>
      </c>
      <c r="D415">
        <f>IF(Skills!C5=1,60+Inputs!$B$24+Inputs!$B$28,IF(Skills!C5=2,90+Inputs!$B$25+Inputs!$B$28,IF(Skills!C5=3,120+Inputs!$B$26+Inputs!$B$28,MAX(0,(Inputs!$B$3-100)*3)+Inputs!$B$27+Inputs!$B$28)))</f>
        <v>164</v>
      </c>
      <c r="E415">
        <f>INDEX(FactorTable!$B$2:$Y$301, MATCH(ROUND(MIN(300,MAX(1,D415)),0), FactorTable!$A$2:$A$301,0), Skills!M5+1)</f>
        <v>1656</v>
      </c>
      <c r="F415">
        <f>IF(Skills!N5=TRUE,(Skills!L5/10)*(E415/1000),Skills!L5/10)+Skills!O5</f>
        <v>19.872</v>
      </c>
      <c r="G415">
        <f>Calc!G5</f>
        <v>5</v>
      </c>
      <c r="H415">
        <f>Calc!H5</f>
        <v>1</v>
      </c>
      <c r="I415">
        <f>IF(Skills!X5&lt;&gt;"",1+(Skills!X5/10)*(R413/1000)/100,1)</f>
        <v>12.28</v>
      </c>
      <c r="J415">
        <f>((Inputs!$B$5*(1+Inputs!$B$6/100))+((Inputs!$B$11*(1+Inputs!$B$12/100))-(Inputs!$B$11*(1+Inputs!$B$12/100)))*(1+Inputs!$B$6/100))*(F415/100)</f>
        <v>49646420.717276163</v>
      </c>
      <c r="K415">
        <f>J415*(1+((Inputs!$B$11*(1+Inputs!$B$12/100))*0.01+Inputs!$B$13*0.0025)/100)*(1+Inputs!$B$14/100)*(1+IF(Inputs!$B$4="pvp",0,(1-Summary!$B$56)*(Inputs!$B$19+Skills!P5)+Summary!$B$56*(Inputs!$B$20+Skills!Q5))/100)*(1+Inputs!$B$15/100)*(5000/(6000+Inputs!$B$7*(1-Inputs!$B$18/100)))*(1+Inputs!$B$23/100)*(1+F433/100)*(1+IF(Inputs!$B$3&gt;=120,F436,0)/100)^5*(1+(IF(Skills!A5="BASIC_ATTACK",Inputs!$B$16,Inputs!$B$17+IF(Inputs!$B$3&gt;=125,F437*5,0)))/100)*(B440*B441*B442*I415)</f>
        <v>4638230744159.3359</v>
      </c>
      <c r="L415">
        <f>K415*(MIN(Inputs!$B$21+(F432-Calc!F22),Inputs!$B$22)/100+Inputs!$B$22/100)/2</f>
        <v>12520903893858.125</v>
      </c>
      <c r="M415">
        <f>L415*(1+(Inputs!$B$9+(F431-Calc!F21))/100)</f>
        <v>52475108219159.414</v>
      </c>
      <c r="N415">
        <f>L415*(1-MIN((Inputs!$B$8+1)+(F430-Calc!F20),100)/100)+M415*(MIN((Inputs!$B$8+1)+(F430-Calc!F20),100)/100)</f>
        <v>52475108219159.414</v>
      </c>
      <c r="O415">
        <f>IF(C415,H415*N415*IF(AND(Inputs!$B$4&lt;&gt;"pvp",Inputs!$B$35&gt;0),((Skills!G5*((S415-1)*IF(Skills!H5&gt;0,Skills!I5/Skills!H5,1)+IF(Skills!H5&gt;0,MIN(Skills!I5,MAX(0,Inputs!$B$35-((S415-1)*IF(Inputs!$B$4="pvp",15,MAX(0.1,Skills!E5-IF(Skills!F5=TRUE,Inputs!$B$31,0))))))/Skills!H5,1)))/Inputs!$B$35),G415*V415)*IF(Inputs!$B$4="pvp",1,(1-Summary!$B$56)*(1)+Summary!$B$56*(MIN(Skills!R5,Inputs!$B$37))),0)</f>
        <v>262375541095797.06</v>
      </c>
      <c r="P415">
        <f>IF(B449=0,0,O415/B449)</f>
        <v>3.1461466608214687E-2</v>
      </c>
      <c r="S415">
        <f>IF(AND(Inputs!$B$4&lt;&gt;"pvp",Inputs!$B$35&gt;0),(INT(Inputs!$B$35/IF(Inputs!$B$4="pvp",15,MAX(0.1,Skills!E5-IF(Skills!F5=TRUE,Inputs!$B$31,0))))+1),0)</f>
        <v>0</v>
      </c>
      <c r="V415">
        <f>IFERROR(1/IF(Inputs!$B$4="pvp",15,MAX(0.1,Skills!E5-IF(Skills!F5=TRUE,Inputs!$B$31,0))),0)</f>
        <v>1</v>
      </c>
    </row>
    <row r="416" spans="1:22" x14ac:dyDescent="0.2">
      <c r="A416" t="str">
        <f>Skills!A6</f>
        <v>MEDITATION</v>
      </c>
      <c r="B416" t="str">
        <f>Skills!B6</f>
        <v>Meditation</v>
      </c>
      <c r="C416" t="b">
        <f>TRUE</f>
        <v>1</v>
      </c>
      <c r="D416">
        <f>IF(Skills!C6=1,60+Inputs!$B$24+Inputs!$B$28,IF(Skills!C6=2,90+Inputs!$B$25+Inputs!$B$28,IF(Skills!C6=3,120+Inputs!$B$26+Inputs!$B$28,MAX(0,(Inputs!$B$3-100)*3)+Inputs!$B$27+Inputs!$B$28)))</f>
        <v>164</v>
      </c>
      <c r="E416">
        <f>INDEX(FactorTable!$B$2:$Y$301, MATCH(ROUND(MIN(300,MAX(1,D416)),0), FactorTable!$A$2:$A$301,0), Skills!M6+1)</f>
        <v>1492</v>
      </c>
      <c r="F416">
        <f>IF(Skills!N6=TRUE,(Skills!L6/10)*(E416/1000),Skills!L6/10)+Skills!O6</f>
        <v>29.84</v>
      </c>
      <c r="G416">
        <f>Calc!G6</f>
        <v>1</v>
      </c>
      <c r="H416">
        <f>Calc!H6</f>
        <v>1</v>
      </c>
      <c r="I416">
        <f>IF(Skills!X6&lt;&gt;"",1+(Skills!X6/10)*(R413/1000)/100,1)</f>
        <v>1</v>
      </c>
      <c r="O416">
        <v>0</v>
      </c>
      <c r="P416">
        <f>IF(B449=0,0,O416/B449)</f>
        <v>0</v>
      </c>
      <c r="S416">
        <f>IF(AND(Inputs!$B$4&lt;&gt;"pvp",Inputs!$B$35&gt;0),(INT(Inputs!$B$35/IF(Inputs!$B$4="pvp",15,MAX(0.1,Skills!E6-IF(Skills!F6=TRUE,Inputs!$B$31,0))))+1),0)</f>
        <v>0</v>
      </c>
      <c r="V416">
        <f>IFERROR(1/IF(Inputs!$B$4="pvp",15,MAX(0.1,Skills!E6-IF(Skills!F6=TRUE,Inputs!$B$31,0))),0)</f>
        <v>3.3333333333333333E-2</v>
      </c>
    </row>
    <row r="417" spans="1:22" x14ac:dyDescent="0.2">
      <c r="A417" t="str">
        <f>Skills!A7</f>
        <v>POISON_MIST_BURST</v>
      </c>
      <c r="B417" t="str">
        <f>Skills!B7</f>
        <v>Poison Mist (burst)</v>
      </c>
      <c r="C417" t="b">
        <f>TRUE</f>
        <v>1</v>
      </c>
      <c r="D417">
        <f>IF(Skills!C7=1,60+Inputs!$B$24+Inputs!$B$28,IF(Skills!C7=2,90+Inputs!$B$25+Inputs!$B$28,IF(Skills!C7=3,120+Inputs!$B$26+Inputs!$B$28,MAX(0,(Inputs!$B$3-100)*3)+Inputs!$B$27+Inputs!$B$28)))</f>
        <v>184</v>
      </c>
      <c r="E417">
        <f>INDEX(FactorTable!$B$2:$Y$301, MATCH(ROUND(MIN(300,MAX(1,D417)),0), FactorTable!$A$2:$A$301,0), Skills!M7+1)</f>
        <v>1920</v>
      </c>
      <c r="F417">
        <f>IF(Skills!N7=TRUE,(Skills!L7/10)*(E417/1000),Skills!L7/10)+Skills!O7</f>
        <v>357.2</v>
      </c>
      <c r="G417">
        <f>Calc!G7</f>
        <v>3</v>
      </c>
      <c r="H417">
        <f>Calc!H7</f>
        <v>1</v>
      </c>
      <c r="I417">
        <f>IF(Skills!X7&lt;&gt;"",1+(Skills!X7/10)*(R413/1000)/100,1)</f>
        <v>1.7519999999999998</v>
      </c>
      <c r="J417">
        <f>((Inputs!$B$5*(1+Inputs!$B$6/100))+((Inputs!$B$11*(1+Inputs!$B$12/100))-(Inputs!$B$11*(1+Inputs!$B$12/100)))*(1+Inputs!$B$6/100))*(F417/100)</f>
        <v>892396411.04121602</v>
      </c>
      <c r="K417">
        <f>J417*(1+((Inputs!$B$11*(1+Inputs!$B$12/100))*0.01+Inputs!$B$13*0.0025)/100)*(1+Inputs!$B$14/100)*(1+IF(Inputs!$B$4="pvp",0,(1-Summary!$B$56)*(Inputs!$B$19+Skills!P7)+Summary!$B$56*(Inputs!$B$20+Skills!Q7))/100)*(1+Inputs!$B$15/100)*(5000/(6000+Inputs!$B$7*(1-Inputs!$B$18/100)))*(1+Inputs!$B$23/100)*(1+F433/100)*(1+IF(Inputs!$B$3&gt;=120,F436,0)/100)^5*(1+(IF(Skills!A7="BASIC_ATTACK",Inputs!$B$16,Inputs!$B$17+IF(Inputs!$B$3&gt;=125,F437*5,0)))/100)*(B440*B441*B442*I417)</f>
        <v>11894822262388.189</v>
      </c>
      <c r="L417">
        <f>K417*(MIN(Inputs!$B$21+(F432-Calc!F22),Inputs!$B$22)/100+Inputs!$B$22/100)/2</f>
        <v>32110072697316.914</v>
      </c>
      <c r="M417">
        <f>L417*(1+(Inputs!$B$9+(F431-Calc!F21))/100)</f>
        <v>134573314674455.2</v>
      </c>
      <c r="N417">
        <f>L417*(1-MIN((Inputs!$B$8+1)+(F430-Calc!F20),100)/100)+M417*(MIN((Inputs!$B$8+1)+(F430-Calc!F20),100)/100)</f>
        <v>134573314674455.2</v>
      </c>
      <c r="O417">
        <f>IF(C417,H417*N417*IF(AND(Inputs!$B$4&lt;&gt;"pvp",Inputs!$B$35&gt;0),((Skills!G7*((S417-1)*IF(Skills!H7&gt;0,Skills!I7/Skills!H7,1)+IF(Skills!H7&gt;0,MIN(Skills!I7,MAX(0,Inputs!$B$35-((S417-1)*IF(Inputs!$B$4="pvp",15,MAX(0.1,Skills!E7-IF(Skills!F7=TRUE,Inputs!$B$31,0))))))/Skills!H7,1)))/Inputs!$B$35),G417*V417)*IF(Inputs!$B$4="pvp",1,(1-Summary!$B$56)*(1)+Summary!$B$56*(MIN(Skills!R7,Inputs!$B$37))),0)</f>
        <v>105461536397940.41</v>
      </c>
      <c r="P417">
        <f>IF(B449=0,0,O417/B449)</f>
        <v>1.264589904980274E-2</v>
      </c>
      <c r="S417">
        <f>IF(AND(Inputs!$B$4&lt;&gt;"pvp",Inputs!$B$35&gt;0),(INT(Inputs!$B$35/IF(Inputs!$B$4="pvp",15,MAX(0.1,Skills!E7-IF(Skills!F7=TRUE,Inputs!$B$31,0))))+1),0)</f>
        <v>0</v>
      </c>
      <c r="V417">
        <f>IFERROR(1/IF(Inputs!$B$4="pvp",15,MAX(0.1,Skills!E7-IF(Skills!F7=TRUE,Inputs!$B$31,0))),0)</f>
        <v>4.0816326530612242E-2</v>
      </c>
    </row>
    <row r="418" spans="1:22" x14ac:dyDescent="0.2">
      <c r="A418" t="str">
        <f>Skills!A8</f>
        <v>POISON_MIST_DOT</v>
      </c>
      <c r="B418" t="str">
        <f>Skills!B8</f>
        <v>Poison Mist (fog DoT)</v>
      </c>
      <c r="C418" t="b">
        <f>TRUE</f>
        <v>1</v>
      </c>
      <c r="D418">
        <f>IF(Skills!C8=1,60+Inputs!$B$24+Inputs!$B$28,IF(Skills!C8=2,90+Inputs!$B$25+Inputs!$B$28,IF(Skills!C8=3,120+Inputs!$B$26+Inputs!$B$28,MAX(0,(Inputs!$B$3-100)*3)+Inputs!$B$27+Inputs!$B$28)))</f>
        <v>184</v>
      </c>
      <c r="E418">
        <f>INDEX(FactorTable!$B$2:$Y$301, MATCH(ROUND(MIN(300,MAX(1,D418)),0), FactorTable!$A$2:$A$301,0), Skills!M8+1)</f>
        <v>1920</v>
      </c>
      <c r="F418">
        <f>IF(Skills!N8=TRUE,(Skills!L8/10)*(E418/1000),Skills!L8/10)+Skills!O8</f>
        <v>134.4</v>
      </c>
      <c r="G418">
        <f>Calc!G8</f>
        <v>50</v>
      </c>
      <c r="H418">
        <f>Calc!H8</f>
        <v>1</v>
      </c>
      <c r="I418">
        <f>IF(Skills!X8&lt;&gt;"",1+(Skills!X8/10)*(R413/1000)/100,1)</f>
        <v>1.7519999999999998</v>
      </c>
      <c r="J418">
        <f>((Inputs!$B$5*(1+Inputs!$B$6/100))+((Inputs!$B$11*(1+Inputs!$B$12/100))-(Inputs!$B$11*(1+Inputs!$B$12/100)))*(1+Inputs!$B$6/100))*(F418/100)</f>
        <v>335772893.74003202</v>
      </c>
      <c r="K418">
        <f>J418*(1+((Inputs!$B$11*(1+Inputs!$B$12/100))*0.01+Inputs!$B$13*0.0025)/100)*(1+Inputs!$B$14/100)*(1+IF(Inputs!$B$4="pvp",0,(1-Summary!$B$56)*(Inputs!$B$19+Skills!P8)+Summary!$B$56*(Inputs!$B$20+Skills!Q8))/100)*(1+Inputs!$B$15/100)*(5000/(6000+Inputs!$B$7*(1-Inputs!$B$18/100)))*(1+Inputs!$B$23/100)*(1+F433/100)*(1+IF(Inputs!$B$3&gt;=120,F436,0)/100)^5*(1+(IF(Skills!A8="BASIC_ATTACK",Inputs!$B$16,Inputs!$B$17+IF(Inputs!$B$3&gt;=125,F437*5,0)))/100)*(B440*B441*B442*I418)</f>
        <v>4475543426833.6309</v>
      </c>
      <c r="L418">
        <f>K418*(MIN(Inputs!$B$21+(F432-Calc!F22),Inputs!$B$22)/100+Inputs!$B$22/100)/2</f>
        <v>12081729480737.385</v>
      </c>
      <c r="M418">
        <f>L418*(1+(Inputs!$B$9+(F431-Calc!F21))/100)</f>
        <v>50634528253770.391</v>
      </c>
      <c r="N418">
        <f>L418*(1-MIN((Inputs!$B$8+1)+(F430-Calc!F20),100)/100)+M418*(MIN((Inputs!$B$8+1)+(F430-Calc!F20),100)/100)</f>
        <v>50634528253770.391</v>
      </c>
      <c r="O418">
        <f>IF(C418,H418*N418*IF(AND(Inputs!$B$4&lt;&gt;"pvp",Inputs!$B$35&gt;0),((Skills!G8*((S418-1)*IF(Skills!H8&gt;0,Skills!I8/Skills!H8,1)+IF(Skills!H8&gt;0,MIN(Skills!I8,MAX(0,Inputs!$B$35-((S418-1)*IF(Inputs!$B$4="pvp",15,MAX(0.1,Skills!E8-IF(Skills!F8=TRUE,Inputs!$B$31,0))))))/Skills!H8,1)))/Inputs!$B$35),G418*V418)*IF(Inputs!$B$4="pvp",1,(1-Summary!$B$56)*(1)+Summary!$B$56*(MIN(Skills!R8,Inputs!$B$37))),0)</f>
        <v>661348940457409.25</v>
      </c>
      <c r="P418">
        <f>IF(B449=0,0,O418/B449)</f>
        <v>7.9302390457889546E-2</v>
      </c>
      <c r="S418">
        <f>IF(AND(Inputs!$B$4&lt;&gt;"pvp",Inputs!$B$35&gt;0),(INT(Inputs!$B$35/IF(Inputs!$B$4="pvp",15,MAX(0.1,Skills!E8-IF(Skills!F8=TRUE,Inputs!$B$31,0))))+1),0)</f>
        <v>0</v>
      </c>
      <c r="V418">
        <f>IFERROR(1/IF(Inputs!$B$4="pvp",15,MAX(0.1,Skills!E8-IF(Skills!F8=TRUE,Inputs!$B$31,0))),0)</f>
        <v>4.0816326530612242E-2</v>
      </c>
    </row>
    <row r="419" spans="1:22" x14ac:dyDescent="0.2">
      <c r="A419" t="str">
        <f>Skills!A9</f>
        <v>MIST_ERUPTION</v>
      </c>
      <c r="B419" t="str">
        <f>Skills!B9</f>
        <v>Mist Eruption</v>
      </c>
      <c r="C419" t="b">
        <f>Inputs!$B$3&gt;=103</f>
        <v>1</v>
      </c>
      <c r="D419">
        <f>IF(Skills!C9=1,60+Inputs!$B$24+Inputs!$B$28,IF(Skills!C9=2,90+Inputs!$B$25+Inputs!$B$28,IF(Skills!C9=3,120+Inputs!$B$26+Inputs!$B$28,MAX(0,(Inputs!$B$3-100)*3)+Inputs!$B$27+Inputs!$B$28)))</f>
        <v>172</v>
      </c>
      <c r="E419">
        <f>INDEX(FactorTable!$B$2:$Y$301, MATCH(ROUND(MIN(300,MAX(1,D419)),0), FactorTable!$A$2:$A$301,0), Skills!M9+1)</f>
        <v>1860</v>
      </c>
      <c r="F419">
        <f>IF(Skills!N9=TRUE,(Skills!L9/10)*(E419/1000),Skills!L9/10)+Skills!O9</f>
        <v>5580</v>
      </c>
      <c r="G419">
        <f>Calc!G9</f>
        <v>2.8</v>
      </c>
      <c r="H419">
        <f>Calc!H9</f>
        <v>1</v>
      </c>
      <c r="I419">
        <f>IF(Skills!X9&lt;&gt;"",1+(Skills!X9/10)*(R413/1000)/100,1)</f>
        <v>1</v>
      </c>
      <c r="J419">
        <f>((Inputs!$B$5*(1+Inputs!$B$6/100))+((Inputs!$B$11*(1+Inputs!$B$12/100))-(Inputs!$B$11*(1+Inputs!$B$12/100)))*(1+Inputs!$B$6/100))*(F419/100)</f>
        <v>13940571034.742399</v>
      </c>
      <c r="K419">
        <f>J419*(1+((Inputs!$B$11*(1+Inputs!$B$12/100))*0.01+Inputs!$B$13*0.0025)/100)*(1+Inputs!$B$14/100)*(1+IF(Inputs!$B$4="pvp",0,(1-Summary!$B$56)*(Inputs!$B$19+Skills!P9)+Summary!$B$56*(Inputs!$B$20+Skills!Q9))/100)*(1+Inputs!$B$15/100)*(5000/(6000+Inputs!$B$7*(1-Inputs!$B$18/100)))*(1+Inputs!$B$23/100)*(1+F433/100)*(1+IF(Inputs!$B$3&gt;=120,F436,0)/100)^5*(1+(IF(Skills!A9="BASIC_ATTACK",Inputs!$B$16,Inputs!$B$17+IF(Inputs!$B$3&gt;=125,F437*5,0)))/100)*(B440*B441*B442*I419)</f>
        <v>106058774333294.53</v>
      </c>
      <c r="L419">
        <f>K419*(MIN(Inputs!$B$21+(F432-Calc!F22),Inputs!$B$22)/100+Inputs!$B$22/100)/2</f>
        <v>286305661312728.56</v>
      </c>
      <c r="M419">
        <f>L419*(1+(Inputs!$B$9+(F431-Calc!F21))/100)</f>
        <v>1199907026561645.5</v>
      </c>
      <c r="N419">
        <f>L419*(1-MIN((Inputs!$B$8+1)+(F430-Calc!F20),100)/100)+M419*(MIN((Inputs!$B$8+1)+(F430-Calc!F20),100)/100)</f>
        <v>1199907026561645.5</v>
      </c>
      <c r="O419">
        <f>IF(C419,H419*N419*IF(AND(Inputs!$B$4&lt;&gt;"pvp",Inputs!$B$35&gt;0),((Skills!G9*((S419-1)*IF(Skills!H9&gt;0,Skills!I9/Skills!H9,1)+IF(Skills!H9&gt;0,MIN(Skills!I9,MAX(0,Inputs!$B$35-((S419-1)*IF(Inputs!$B$4="pvp",15,MAX(0.1,Skills!E9-IF(Skills!F7=TRUE,Inputs!$B$31,0))))))/Skills!H9,1)))/Inputs!$B$35),G419*V419)*IF(Inputs!$B$4="pvp",1,(1-Summary!$B$56)*(1)+Summary!$B$56*(MIN(Skills!R9,Inputs!$B$37))),0)</f>
        <v>877646282285089.12</v>
      </c>
      <c r="P419">
        <f>IF(B449=0,0,O419/B449)</f>
        <v>0.10523861747408285</v>
      </c>
      <c r="S419">
        <f>IF(AND(Inputs!$B$4&lt;&gt;"pvp",Inputs!$B$35&gt;0),(INT(Inputs!$B$35/IF(Inputs!$B$4="pvp",15,MAX(0.1,Skills!E9-IF(Skills!F7=TRUE,Inputs!$B$31,0))))+1),0)</f>
        <v>0</v>
      </c>
      <c r="V419">
        <f>IFERROR(1/IF(Inputs!$B$4="pvp",15,MAX(0.1,Skills!E9-IF(Skills!F7=TRUE,Inputs!$B$31,0))),0)</f>
        <v>4.0816326530612242E-2</v>
      </c>
    </row>
    <row r="420" spans="1:22" x14ac:dyDescent="0.2">
      <c r="A420" t="str">
        <f>Skills!A10</f>
        <v>CREEPING_TOXIN</v>
      </c>
      <c r="B420" t="str">
        <f>Skills!B10</f>
        <v>Creeping Toxin</v>
      </c>
      <c r="C420" t="b">
        <f>TRUE</f>
        <v>1</v>
      </c>
      <c r="D420">
        <f>IF(Skills!C10=1,60+Inputs!$B$24+Inputs!$B$28,IF(Skills!C10=2,90+Inputs!$B$25+Inputs!$B$28,IF(Skills!C10=3,120+Inputs!$B$26+Inputs!$B$28,MAX(0,(Inputs!$B$3-100)*3)+Inputs!$B$27+Inputs!$B$28)))</f>
        <v>184</v>
      </c>
      <c r="E420">
        <f>INDEX(FactorTable!$B$2:$Y$301, MATCH(ROUND(MIN(300,MAX(1,D420)),0), FactorTable!$A$2:$A$301,0), Skills!M10+1)</f>
        <v>1920</v>
      </c>
      <c r="F420">
        <f>IF(Skills!N10=TRUE,(Skills!L10/10)*(E420/1000),Skills!L10/10)+Skills!O10</f>
        <v>280.39999999999998</v>
      </c>
      <c r="G420">
        <f>Calc!G10</f>
        <v>15</v>
      </c>
      <c r="H420">
        <f>Calc!H10</f>
        <v>1</v>
      </c>
      <c r="I420">
        <f>IF(Skills!X10&lt;&gt;"",1+(Skills!X10/10)*(R413/1000)/100,1)</f>
        <v>1.7519999999999998</v>
      </c>
      <c r="J420">
        <f>((Inputs!$B$5*(1+Inputs!$B$6/100))+((Inputs!$B$11*(1+Inputs!$B$12/100))-(Inputs!$B$11*(1+Inputs!$B$12/100)))*(1+Inputs!$B$6/100))*(F420/100)</f>
        <v>700526186.04691195</v>
      </c>
      <c r="K420">
        <f>J420*(1+((Inputs!$B$11*(1+Inputs!$B$12/100))*0.01+Inputs!$B$13*0.0025)/100)*(1+Inputs!$B$14/100)*(1+IF(Inputs!$B$4="pvp",0,(1-Summary!$B$56)*(Inputs!$B$19+Skills!P10)+Summary!$B$56*(Inputs!$B$20+Skills!Q10))/100)*(1+Inputs!$B$15/100)*(5000/(6000+Inputs!$B$7*(1-Inputs!$B$18/100)))*(1+Inputs!$B$23/100)*(1+F433/100)*(1+IF(Inputs!$B$3&gt;=120,F436,0)/100)^5*(1+(IF(Skills!A10="BASIC_ATTACK",Inputs!$B$16,Inputs!$B$17+IF(Inputs!$B$3&gt;=125,F437*5,0)))/100)*(B440*B441*B442*I420)</f>
        <v>11018767832821.695</v>
      </c>
      <c r="L420">
        <f>K420*(MIN(Inputs!$B$21+(F432-Calc!F22),Inputs!$B$22)/100+Inputs!$B$22/100)/2</f>
        <v>29745163764702.16</v>
      </c>
      <c r="M420">
        <f>L420*(1+(Inputs!$B$9+(F431-Calc!F21))/100)</f>
        <v>124661981337866.78</v>
      </c>
      <c r="N420">
        <f>L420*(1-MIN((Inputs!$B$8+1)+(F430-Calc!F20),100)/100)+M420*(MIN((Inputs!$B$8+1)+(F430-Calc!F20),100)/100)</f>
        <v>124661981337866.78</v>
      </c>
      <c r="O420">
        <f>IF(C420,H420*N420*IF(AND(Inputs!$B$4&lt;&gt;"pvp",Inputs!$B$35&gt;0),((Skills!G10*((S420-1)*IF(Skills!H10&gt;0,Skills!I10/Skills!H10,1)+IF(Skills!H10&gt;0,MIN(Skills!I10,MAX(0,Inputs!$B$35-((S420-1)*IF(Inputs!$B$4="pvp",15,MAX(0.1,Skills!E10-IF(Skills!F10=TRUE,Inputs!$B$31,0))))))/Skills!H10,1)))/Inputs!$B$35),G420*V420)*IF(Inputs!$B$4="pvp",1,(1-Summary!$B$56)*(1)+Summary!$B$56*(MIN(Skills!R10,Inputs!$B$37))),0)</f>
        <v>69256656298814.883</v>
      </c>
      <c r="P420">
        <f>IF(B449=0,0,O420/B449)</f>
        <v>8.3045697416826384E-3</v>
      </c>
      <c r="S420">
        <f>IF(AND(Inputs!$B$4&lt;&gt;"pvp",Inputs!$B$35&gt;0),(INT(Inputs!$B$35/IF(Inputs!$B$4="pvp",15,MAX(0.1,Skills!E10-IF(Skills!F10=TRUE,Inputs!$B$31,0))))+1),0)</f>
        <v>0</v>
      </c>
      <c r="V420">
        <f>IFERROR(1/IF(Inputs!$B$4="pvp",15,MAX(0.1,Skills!E10-IF(Skills!F10=TRUE,Inputs!$B$31,0))),0)</f>
        <v>3.7037037037037035E-2</v>
      </c>
    </row>
    <row r="421" spans="1:22" x14ac:dyDescent="0.2">
      <c r="A421" t="str">
        <f>Skills!A11</f>
        <v>BURNING_MAGIC</v>
      </c>
      <c r="B421" t="str">
        <f>Skills!B11</f>
        <v>Burning Magic</v>
      </c>
      <c r="C421" t="b">
        <f>TRUE</f>
        <v>1</v>
      </c>
      <c r="D421">
        <f>IF(Skills!C11=1,60+Inputs!$B$24+Inputs!$B$28,IF(Skills!C11=2,90+Inputs!$B$25+Inputs!$B$28,IF(Skills!C11=3,120+Inputs!$B$26+Inputs!$B$28,MAX(0,(Inputs!$B$3-100)*3)+Inputs!$B$27+Inputs!$B$28)))</f>
        <v>184</v>
      </c>
      <c r="E421">
        <f>INDEX(FactorTable!$B$2:$Y$301, MATCH(ROUND(MIN(300,MAX(1,D421)),0), FactorTable!$A$2:$A$301,0), Skills!M11+1)</f>
        <v>0</v>
      </c>
      <c r="F421">
        <f>IF(Skills!N11=TRUE,(Skills!L11/10)*(E421/1000),Skills!L11/10)+Skills!O11</f>
        <v>5</v>
      </c>
      <c r="G421">
        <f>Calc!G11</f>
        <v>1</v>
      </c>
      <c r="H421">
        <f>Calc!H11</f>
        <v>1</v>
      </c>
      <c r="I421">
        <f>IF(Skills!X11&lt;&gt;"",1+(Skills!X11/10)*(R413/1000)/100,1)</f>
        <v>1</v>
      </c>
      <c r="O421">
        <v>0</v>
      </c>
      <c r="P421">
        <f>IF(B449=0,0,O421/B449)</f>
        <v>0</v>
      </c>
      <c r="S421">
        <v>0</v>
      </c>
      <c r="V421">
        <f>IFERROR(1/IF(Inputs!$B$4="pvp",15,MAX(0.1,Skills!E11-IF(Skills!F11=TRUE,Inputs!$B$31,0))),0)</f>
        <v>10</v>
      </c>
    </row>
    <row r="422" spans="1:22" x14ac:dyDescent="0.2">
      <c r="A422" t="str">
        <f>Skills!A12</f>
        <v>ELEMENTAL_DECREASE</v>
      </c>
      <c r="B422" t="str">
        <f>Skills!B12</f>
        <v>Elemental Decrease</v>
      </c>
      <c r="C422" t="b">
        <f>TRUE</f>
        <v>1</v>
      </c>
      <c r="D422">
        <f>IF(Skills!C12=1,60+Inputs!$B$24+Inputs!$B$28,IF(Skills!C12=2,90+Inputs!$B$25+Inputs!$B$28,IF(Skills!C12=3,120+Inputs!$B$26+Inputs!$B$28,MAX(0,(Inputs!$B$3-100)*3)+Inputs!$B$27+Inputs!$B$28)))</f>
        <v>184</v>
      </c>
      <c r="E422">
        <f>INDEX(FactorTable!$B$2:$Y$301, MATCH(ROUND(MIN(300,MAX(1,D422)),0), FactorTable!$A$2:$A$301,0), Skills!M12+1)</f>
        <v>1552</v>
      </c>
      <c r="F422">
        <f>IF(Skills!N12=TRUE,(Skills!L12/10)*(E422/1000),Skills!L12/10)+Skills!O12</f>
        <v>18.624000000000002</v>
      </c>
      <c r="G422">
        <f>Calc!G12</f>
        <v>1</v>
      </c>
      <c r="H422">
        <f>Calc!H12</f>
        <v>0.5</v>
      </c>
      <c r="I422">
        <f>IF(Skills!X12&lt;&gt;"",1+(Skills!X12/10)*(R413/1000)/100,1)</f>
        <v>1</v>
      </c>
      <c r="O422">
        <v>0</v>
      </c>
      <c r="P422">
        <f>IF(B449=0,0,O422/B449)</f>
        <v>0</v>
      </c>
      <c r="S422">
        <v>0</v>
      </c>
      <c r="V422">
        <f>IFERROR(1/IF(Inputs!$B$4="pvp",15,MAX(0.1,Skills!E12-IF(Skills!F12=TRUE,Inputs!$B$31,0))),0)</f>
        <v>10</v>
      </c>
    </row>
    <row r="423" spans="1:22" x14ac:dyDescent="0.2">
      <c r="A423" t="str">
        <f>Skills!A13</f>
        <v>METEOR_SHOWER_BURST</v>
      </c>
      <c r="B423" t="str">
        <f>Skills!B13</f>
        <v>Meteor Shower (burst)</v>
      </c>
      <c r="C423" t="b">
        <f>Inputs!$B$3&gt;=105</f>
        <v>1</v>
      </c>
      <c r="D423">
        <f>IF(Skills!C13=1,60+Inputs!$B$24+Inputs!$B$28,IF(Skills!C13=2,90+Inputs!$B$25+Inputs!$B$28,IF(Skills!C13=3,120+Inputs!$B$26+Inputs!$B$28,MAX(0,(Inputs!$B$3-100)*3)+Inputs!$B$27+Inputs!$B$28)))</f>
        <v>172</v>
      </c>
      <c r="E423">
        <f>INDEX(FactorTable!$B$2:$Y$301, MATCH(ROUND(MIN(300,MAX(1,D423)),0), FactorTable!$A$2:$A$301,0), Skills!M13+1)</f>
        <v>1860</v>
      </c>
      <c r="F423">
        <f>IF(Skills!N13=TRUE,(Skills!L13/10)*(E423/1000),Skills!L13/10)+Skills!O13</f>
        <v>1116</v>
      </c>
      <c r="G423">
        <f>Calc!G13</f>
        <v>9</v>
      </c>
      <c r="H423">
        <f>Calc!H13</f>
        <v>1</v>
      </c>
      <c r="I423">
        <f>IF(Skills!X13&lt;&gt;"",1+(Skills!X13/10)*(R413/1000)/100,1)</f>
        <v>1</v>
      </c>
      <c r="J423">
        <f>((Inputs!$B$5*(1+Inputs!$B$6/100))+((Inputs!$B$11*(1+Inputs!$B$12/100))-(Inputs!$B$11*(1+Inputs!$B$12/100)))*(1+Inputs!$B$6/100))*(F423/100)</f>
        <v>2788114206.9484801</v>
      </c>
      <c r="K423">
        <f>J423*(1+((Inputs!$B$11*(1+Inputs!$B$12/100))*0.01+Inputs!$B$13*0.0025)/100)*(1+Inputs!$B$14/100)*(1+IF(Inputs!$B$4="pvp",0,(1-Summary!$B$56)*(Inputs!$B$19+Skills!P13)+Summary!$B$56*(Inputs!$B$20+Skills!Q13))/100)*(1+Inputs!$B$15/100)*(5000/(6000+Inputs!$B$7*(1-Inputs!$B$18/100)))*(1+Inputs!$B$23/100)*(1+F433/100)*(1+IF(Inputs!$B$3&gt;=120,F436,0)/100)^5*(1+(IF(Skills!A13="BASIC_ATTACK",Inputs!$B$16,Inputs!$B$17+IF(Inputs!$B$3&gt;=125,F437*5,0)))/100)*(B440*B441*B442*I423)</f>
        <v>21211754866658.902</v>
      </c>
      <c r="L423">
        <f>K423*(MIN(Inputs!$B$21+(F432-Calc!F22),Inputs!$B$22)/100+Inputs!$B$22/100)/2</f>
        <v>57261132262545.695</v>
      </c>
      <c r="M423">
        <f>L423*(1+(Inputs!$B$9+(F431-Calc!F21))/100)</f>
        <v>239981405312329.06</v>
      </c>
      <c r="N423">
        <f>L423*(1-MIN((Inputs!$B$8+1)+(F430-Calc!F20),100)/100)+M423*(MIN((Inputs!$B$8+1)+(F430-Calc!F20),100)/100)</f>
        <v>239981405312329.06</v>
      </c>
      <c r="O423">
        <f>IF(C423,H423*N423*IF(AND(Inputs!$B$4&lt;&gt;"pvp",Inputs!$B$35&gt;0),((Skills!G13*((S423-1)*IF(Skills!H13&gt;0,Skills!I13/Skills!H13,1)+IF(Skills!H13&gt;0,MIN(Skills!I13,MAX(0,Inputs!$B$35-((S423-1)*IF(Inputs!$B$4="pvp",15,MAX(0.1,Skills!E13-IF(Skills!F13=TRUE,Inputs!$B$31,0))))))/Skills!H13,1)))/Inputs!$B$35),G423*V423)*IF(Inputs!$B$4="pvp",1,(1-Summary!$B$56)*(1)+Summary!$B$56*(MIN(Skills!R13,Inputs!$B$37))),0)</f>
        <v>301067581210012.88</v>
      </c>
      <c r="P423">
        <f>IF(B449=0,0,O423/B449)</f>
        <v>3.6101031420441784E-2</v>
      </c>
      <c r="S423">
        <f>IF(AND(Inputs!$B$4&lt;&gt;"pvp",Inputs!$B$35&gt;0),(INT(Inputs!$B$35/IF(Inputs!$B$4="pvp",15,MAX(0.1,Skills!E13-IF(Skills!F13=TRUE,Inputs!$B$31,0))))+1),0)</f>
        <v>0</v>
      </c>
      <c r="V423">
        <f>IFERROR(1/IF(Inputs!$B$4="pvp",15,MAX(0.1,Skills!E13-IF(Skills!F13=TRUE,Inputs!$B$31,0))),0)</f>
        <v>3.0303030303030304E-2</v>
      </c>
    </row>
    <row r="424" spans="1:22" x14ac:dyDescent="0.2">
      <c r="A424" t="str">
        <f>Skills!A14</f>
        <v>METEOR_PROC</v>
      </c>
      <c r="B424" t="str">
        <f>Skills!B14</f>
        <v>Meteor Proc (30% on-hit, 1s ICD)</v>
      </c>
      <c r="C424" t="b">
        <f>Inputs!$B$3&gt;=113</f>
        <v>1</v>
      </c>
      <c r="D424">
        <f>IF(Skills!C14=1,60+Inputs!$B$24+Inputs!$B$28,IF(Skills!C14=2,90+Inputs!$B$25+Inputs!$B$28,IF(Skills!C14=3,120+Inputs!$B$26+Inputs!$B$28,MAX(0,(Inputs!$B$3-100)*3)+Inputs!$B$27+Inputs!$B$28)))</f>
        <v>172</v>
      </c>
      <c r="E424">
        <f>INDEX(FactorTable!$B$2:$Y$301, MATCH(ROUND(MIN(300,MAX(1,D424)),0), FactorTable!$A$2:$A$301,0), Skills!M14+1)</f>
        <v>1688</v>
      </c>
      <c r="F424">
        <f>IF(Skills!N14=TRUE,(Skills!L14/10)*(E424/1000),Skills!L14/10)+Skills!O14</f>
        <v>1603.6</v>
      </c>
      <c r="G424">
        <f>Calc!G14</f>
        <v>0</v>
      </c>
      <c r="H424">
        <f>Calc!H14</f>
        <v>0.30000000000000004</v>
      </c>
      <c r="I424">
        <f>IF(Skills!X14&lt;&gt;"",1+(Skills!X14/10)*(R413/1000)/100,1)</f>
        <v>1</v>
      </c>
      <c r="J424">
        <f>((Inputs!$B$5*(1+Inputs!$B$6/100))+((Inputs!$B$11*(1+Inputs!$B$12/100))-(Inputs!$B$11*(1+Inputs!$B$12/100)))*(1+Inputs!$B$6/100))*(F424/100)</f>
        <v>4006290270.8446074</v>
      </c>
      <c r="K424">
        <f>J424*(1+((Inputs!$B$11*(1+Inputs!$B$12/100))*0.01+Inputs!$B$13*0.0025)/100)*(1+Inputs!$B$14/100)*(1+IF(Inputs!$B$4="pvp",0,(1-Summary!$B$56)*(Inputs!$B$19+Skills!P14)+Summary!$B$56*(Inputs!$B$20+Skills!Q14))/100)*(1+Inputs!$B$15/100)*(5000/(6000+Inputs!$B$7*(1-Inputs!$B$18/100)))*(1+Inputs!$B$23/100)*(1+F433/100)*(1+IF(Inputs!$B$3&gt;=120,F436,0)/100)^5*(1+(IF(Skills!A14="BASIC_ATTACK",Inputs!$B$16,Inputs!$B$17+IF(Inputs!$B$3&gt;=125,F437*5,0)))/100)*(B440*B441*B442*I424)</f>
        <v>30479543104098.766</v>
      </c>
      <c r="L424">
        <f>K424*(MIN(Inputs!$B$21+(F432-Calc!F22),Inputs!$B$22)/100+Inputs!$B$22/100)/2</f>
        <v>82279526609514.609</v>
      </c>
      <c r="M424">
        <f>L424*(1+(Inputs!$B$9+(F431-Calc!F21))/100)</f>
        <v>344833496020475.81</v>
      </c>
      <c r="N424">
        <f>L424*(1-MIN((Inputs!$B$8+1)+(F430-Calc!F20),100)/100)+M424*(MIN((Inputs!$B$8+1)+(F430-Calc!F20),100)/100)</f>
        <v>344833496020475.81</v>
      </c>
      <c r="O424">
        <f>IF(C424,(H424*B447)/(1+Skills!H14*H424*B447)*N424*IF(Inputs!$B$4="pvp",1,(1-Summary!$B$56)*(1)+Summary!$B$56*(MIN(Skills!R14,Inputs!$B$37))),0)</f>
        <v>108471730590284.94</v>
      </c>
      <c r="P424">
        <f>IF(B449=0,0,O424/B449)</f>
        <v>1.3006851612953858E-2</v>
      </c>
      <c r="S424">
        <v>0</v>
      </c>
      <c r="V424">
        <f>IFERROR(1/IF(Inputs!$B$4="pvp",15,MAX(0.1,Skills!E14-IF(Skills!F14=TRUE,Inputs!$B$31,0))),0)</f>
        <v>10</v>
      </c>
    </row>
    <row r="425" spans="1:22" x14ac:dyDescent="0.2">
      <c r="A425" t="str">
        <f>Skills!A15</f>
        <v>FLAME_HAZE_BURST</v>
      </c>
      <c r="B425" t="str">
        <f>Skills!B15</f>
        <v>Flame Haze (burst)</v>
      </c>
      <c r="C425" t="b">
        <f>Inputs!$B$3&gt;=107</f>
        <v>1</v>
      </c>
      <c r="D425">
        <f>IF(Skills!C15=1,60+Inputs!$B$24+Inputs!$B$28,IF(Skills!C15=2,90+Inputs!$B$25+Inputs!$B$28,IF(Skills!C15=3,120+Inputs!$B$26+Inputs!$B$28,MAX(0,(Inputs!$B$3-100)*3)+Inputs!$B$27+Inputs!$B$28)))</f>
        <v>172</v>
      </c>
      <c r="E425">
        <f>INDEX(FactorTable!$B$2:$Y$301, MATCH(ROUND(MIN(300,MAX(1,D425)),0), FactorTable!$A$2:$A$301,0), Skills!M15+1)</f>
        <v>1860</v>
      </c>
      <c r="F425">
        <f>IF(Skills!N15=TRUE,(Skills!L15/10)*(E425/1000),Skills!L15/10)+Skills!O15</f>
        <v>2232</v>
      </c>
      <c r="G425">
        <f>Calc!G15</f>
        <v>3</v>
      </c>
      <c r="H425">
        <f>Calc!H15</f>
        <v>1</v>
      </c>
      <c r="I425">
        <f>IF(Skills!X15&lt;&gt;"",1+(Skills!X15/10)*(R413/1000)/100,1)</f>
        <v>1</v>
      </c>
      <c r="J425">
        <f>((Inputs!$B$5*(1+Inputs!$B$6/100))+((Inputs!$B$11*(1+Inputs!$B$12/100))-(Inputs!$B$11*(1+Inputs!$B$12/100)))*(1+Inputs!$B$6/100))*(F425/100)</f>
        <v>5576228413.8969603</v>
      </c>
      <c r="K425">
        <f>J425*(1+((Inputs!$B$11*(1+Inputs!$B$12/100))*0.01+Inputs!$B$13*0.0025)/100)*(1+Inputs!$B$14/100)*(1+IF(Inputs!$B$4="pvp",0,(1-Summary!$B$56)*(Inputs!$B$19+Skills!P15)+Summary!$B$56*(Inputs!$B$20+Skills!Q15))/100)*(1+Inputs!$B$15/100)*(5000/(6000+Inputs!$B$7*(1-Inputs!$B$18/100)))*(1+Inputs!$B$23/100)*(1+F433/100)*(1+IF(Inputs!$B$3&gt;=120,F436,0)/100)^5*(1+(IF(Skills!A15="BASIC_ATTACK",Inputs!$B$16,Inputs!$B$17+IF(Inputs!$B$3&gt;=125,F437*5,0)))/100)*(B440*B441*B442*I425)</f>
        <v>42423509733317.805</v>
      </c>
      <c r="L425">
        <f>K425*(MIN(Inputs!$B$21+(F432-Calc!F22),Inputs!$B$22)/100+Inputs!$B$22/100)/2</f>
        <v>114522264525091.39</v>
      </c>
      <c r="M425">
        <f>L425*(1+(Inputs!$B$9+(F431-Calc!F21))/100)</f>
        <v>479962810624658.12</v>
      </c>
      <c r="N425">
        <f>L425*(1-MIN((Inputs!$B$8+1)+(F430-Calc!F20),100)/100)+M425*(MIN((Inputs!$B$8+1)+(F430-Calc!F20),100)/100)</f>
        <v>479962810624658.12</v>
      </c>
      <c r="O425">
        <f>IF(C425,H425*N425*IF(AND(Inputs!$B$4&lt;&gt;"pvp",Inputs!$B$35&gt;0),((Skills!G15*((S425-1)*IF(Skills!H15&gt;0,Skills!I15/Skills!H15,1)+IF(Skills!H15&gt;0,MIN(Skills!I15,MAX(0,Inputs!$B$35-((S425-1)*IF(Inputs!$B$4="pvp",15,MAX(0.1,Skills!E15-IF(Skills!F15=TRUE,Inputs!$B$31,0))))))/Skills!H15,1)))/Inputs!$B$35),G425*V425)*IF(Inputs!$B$4="pvp",1,(1-Summary!$B$56)*(1)+Summary!$B$56*(MIN(Skills!R15,Inputs!$B$37))),0)</f>
        <v>368611438559737.5</v>
      </c>
      <c r="P425">
        <f>IF(B449=0,0,O425/B449)</f>
        <v>4.4200219339114805E-2</v>
      </c>
      <c r="S425">
        <f>IF(AND(Inputs!$B$4&lt;&gt;"pvp",Inputs!$B$35&gt;0),(INT(Inputs!$B$35/IF(Inputs!$B$4="pvp",15,MAX(0.1,Skills!E15-IF(Skills!F15=TRUE,Inputs!$B$31,0))))+1),0)</f>
        <v>0</v>
      </c>
      <c r="V425">
        <f>IFERROR(1/IF(Inputs!$B$4="pvp",15,MAX(0.1,Skills!E15-IF(Skills!F15=TRUE,Inputs!$B$31,0))),0)</f>
        <v>0.04</v>
      </c>
    </row>
    <row r="426" spans="1:22" x14ac:dyDescent="0.2">
      <c r="A426" t="str">
        <f>Skills!A16</f>
        <v>FLAME_HAZE_DOT</v>
      </c>
      <c r="B426" t="str">
        <f>Skills!B16</f>
        <v>Flame Haze (burn DoT)</v>
      </c>
      <c r="C426" t="b">
        <f>Inputs!$B$3&gt;=107</f>
        <v>1</v>
      </c>
      <c r="D426">
        <f>IF(Skills!C16=1,60+Inputs!$B$24+Inputs!$B$28,IF(Skills!C16=2,90+Inputs!$B$25+Inputs!$B$28,IF(Skills!C16=3,120+Inputs!$B$26+Inputs!$B$28,MAX(0,(Inputs!$B$3-100)*3)+Inputs!$B$27+Inputs!$B$28)))</f>
        <v>172</v>
      </c>
      <c r="E426">
        <f>INDEX(FactorTable!$B$2:$Y$301, MATCH(ROUND(MIN(300,MAX(1,D426)),0), FactorTable!$A$2:$A$301,0), Skills!M16+1)</f>
        <v>1860</v>
      </c>
      <c r="F426">
        <f>IF(Skills!N16=TRUE,(Skills!L16/10)*(E426/1000),Skills!L16/10)+Skills!O16</f>
        <v>279</v>
      </c>
      <c r="G426">
        <f>Calc!G16</f>
        <v>28</v>
      </c>
      <c r="H426">
        <f>Calc!H16</f>
        <v>1</v>
      </c>
      <c r="I426">
        <f>IF(Skills!X16&lt;&gt;"",1+(Skills!X16/10)*(R413/1000)/100,1)</f>
        <v>1</v>
      </c>
      <c r="J426">
        <f>((Inputs!$B$5*(1+Inputs!$B$6/100))+((Inputs!$B$11*(1+Inputs!$B$12/100))-(Inputs!$B$11*(1+Inputs!$B$12/100)))*(1+Inputs!$B$6/100))*(F426/100)</f>
        <v>697028551.73712003</v>
      </c>
      <c r="K426">
        <f>J426*(1+((Inputs!$B$11*(1+Inputs!$B$12/100))*0.01+Inputs!$B$13*0.0025)/100)*(1+Inputs!$B$14/100)*(1+IF(Inputs!$B$4="pvp",0,(1-Summary!$B$56)*(Inputs!$B$19+Skills!P16)+Summary!$B$56*(Inputs!$B$20+Skills!Q16))/100)*(1+Inputs!$B$15/100)*(5000/(6000+Inputs!$B$7*(1-Inputs!$B$18/100)))*(1+Inputs!$B$23/100)*(1+F433/100)*(1+IF(Inputs!$B$3&gt;=120,F436,0)/100)^5*(1+(IF(Skills!A16="BASIC_ATTACK",Inputs!$B$16,Inputs!$B$17+IF(Inputs!$B$3&gt;=125,F437*5,0)))/100)*(B440*B441*B442*I426)</f>
        <v>5302938716664.7256</v>
      </c>
      <c r="L426">
        <f>K426*(MIN(Inputs!$B$21+(F432-Calc!F22),Inputs!$B$22)/100+Inputs!$B$22/100)/2</f>
        <v>14315283065636.424</v>
      </c>
      <c r="M426">
        <f>L426*(1+(Inputs!$B$9+(F431-Calc!F21))/100)</f>
        <v>59995351328082.266</v>
      </c>
      <c r="N426">
        <f>L426*(1-MIN((Inputs!$B$8+1)+(F430-Calc!F20),100)/100)+M426*(MIN((Inputs!$B$8+1)+(F430-Calc!F20),100)/100)</f>
        <v>59995351328082.266</v>
      </c>
      <c r="O426">
        <f>IF(C426,H426*N426*IF(AND(Inputs!$B$4&lt;&gt;"pvp",Inputs!$B$35&gt;0),((Skills!G16*((S426-1)*IF(Skills!H16&gt;0,Skills!I16/Skills!H16,1)+IF(Skills!H16&gt;0,MIN(Skills!I16,MAX(0,Inputs!$B$35-((S426-1)*IF(Inputs!$B$4="pvp",15,MAX(0.1,Skills!E16-IF(Skills!F16=TRUE,Inputs!$B$31,0))))))/Skills!H16,1)))/Inputs!$B$35),G426*V426)*(1+IF(Inputs!$B$3&gt;=126,0.05*(B446+V423+(H424*B447)/(1+Skills!H14*H424*B447)+V434),0)*Skills!E15)*IF(Inputs!$B$4="pvp",1,(1-Summary!$B$56)*(1)+Summary!$B$56*(MIN(Skills!R16,Inputs!$B$37))),0)</f>
        <v>430046678319693.75</v>
      </c>
      <c r="P426">
        <f>IF(B449=0,0,O426/B449)</f>
        <v>5.156692256230061E-2</v>
      </c>
      <c r="S426">
        <f>IF(AND(Inputs!$B$4&lt;&gt;"pvp",Inputs!$B$35&gt;0),(INT(Inputs!$B$35/IF(Inputs!$B$4="pvp",15,MAX(0.1,Skills!E16-IF(Skills!F16=TRUE,Inputs!$B$31,0))))+1),0)</f>
        <v>0</v>
      </c>
      <c r="V426">
        <f>IFERROR(1/IF(Inputs!$B$4="pvp",15,MAX(0.1,Skills!E16-IF(Skills!F16=TRUE,Inputs!$B$31,0))),0)</f>
        <v>0.04</v>
      </c>
    </row>
    <row r="427" spans="1:22" x14ac:dyDescent="0.2">
      <c r="A427" t="str">
        <f>Skills!A17</f>
        <v>MAGIC_GUARD</v>
      </c>
      <c r="B427" t="str">
        <f>Skills!B17</f>
        <v>Magic Guard</v>
      </c>
      <c r="C427" t="b">
        <f>TRUE</f>
        <v>1</v>
      </c>
      <c r="D427">
        <f>IF(Skills!C17=1,60+Inputs!$B$24+Inputs!$B$28,IF(Skills!C17=2,90+Inputs!$B$25+Inputs!$B$28,IF(Skills!C17=3,120+Inputs!$B$26+Inputs!$B$28,MAX(0,(Inputs!$B$3-100)*3)+Inputs!$B$27+Inputs!$B$28)))</f>
        <v>115</v>
      </c>
      <c r="E427">
        <f>INDEX(FactorTable!$B$2:$Y$301, MATCH(ROUND(MIN(300,MAX(1,D427)),0), FactorTable!$A$2:$A$301,0), Skills!M17+1)</f>
        <v>1460</v>
      </c>
      <c r="F427">
        <f>IF(Skills!N17=TRUE,(Skills!L17/10)*(E427/1000),Skills!L17/10)+Skills!O17</f>
        <v>17.52</v>
      </c>
      <c r="G427">
        <f>Calc!G17</f>
        <v>1</v>
      </c>
      <c r="H427">
        <f>Calc!H17</f>
        <v>1</v>
      </c>
      <c r="I427">
        <f>IF(Skills!X17&lt;&gt;"",1+(Skills!X17/10)*(R413/1000)/100,1)</f>
        <v>1</v>
      </c>
      <c r="O427">
        <v>0</v>
      </c>
      <c r="P427">
        <f>IF(B449=0,0,O427/B449)</f>
        <v>0</v>
      </c>
      <c r="S427">
        <f>IF(AND(Inputs!$B$4&lt;&gt;"pvp",Inputs!$B$35&gt;0),(INT(Inputs!$B$35/IF(Inputs!$B$4="pvp",15,MAX(0.1,Skills!E17-IF(Skills!F17=TRUE,Inputs!$B$31,0))))+1),0)</f>
        <v>0</v>
      </c>
      <c r="V427">
        <f>IFERROR(1/IF(Inputs!$B$4="pvp",15,MAX(0.1,Skills!E17-IF(Skills!F17=TRUE,Inputs!$B$31,0))),0)</f>
        <v>4.7619047619047616E-2</v>
      </c>
    </row>
    <row r="428" spans="1:22" x14ac:dyDescent="0.2">
      <c r="A428" t="str">
        <f>Skills!A18</f>
        <v>NIMBLE_FEET</v>
      </c>
      <c r="B428" t="str">
        <f>Skills!B18</f>
        <v>Nimble Feet</v>
      </c>
      <c r="C428" t="b">
        <f>TRUE</f>
        <v>1</v>
      </c>
      <c r="D428">
        <f>IF(Skills!C18=1,60+Inputs!$B$24+Inputs!$B$28,IF(Skills!C18=2,90+Inputs!$B$25+Inputs!$B$28,IF(Skills!C18=3,120+Inputs!$B$26+Inputs!$B$28,MAX(0,(Inputs!$B$3-100)*3)+Inputs!$B$27+Inputs!$B$28)))</f>
        <v>115</v>
      </c>
      <c r="E428">
        <f>INDEX(FactorTable!$B$2:$Y$301, MATCH(ROUND(MIN(300,MAX(1,D428)),0), FactorTable!$A$2:$A$301,0), Skills!M18+1)</f>
        <v>0</v>
      </c>
      <c r="F428">
        <f>IF(Skills!N18=TRUE,(Skills!L18/10)*(E428/1000),Skills!L18/10)+Skills!O18</f>
        <v>15</v>
      </c>
      <c r="G428">
        <f>Calc!G18</f>
        <v>1</v>
      </c>
      <c r="H428">
        <f>Calc!H18</f>
        <v>1</v>
      </c>
      <c r="I428">
        <f>IF(Skills!X18&lt;&gt;"",1+(Skills!X18/10)*(R413/1000)/100,1)</f>
        <v>1</v>
      </c>
      <c r="O428">
        <v>0</v>
      </c>
      <c r="P428">
        <f>IF(B449=0,0,O428/B449)</f>
        <v>0</v>
      </c>
      <c r="S428">
        <f>IF(AND(Inputs!$B$4&lt;&gt;"pvp",Inputs!$B$35&gt;0),(INT(Inputs!$B$35/IF(Inputs!$B$4="pvp",15,MAX(0.1,Skills!E18-IF(Skills!F18=TRUE,Inputs!$B$31,0))))+1),0)</f>
        <v>0</v>
      </c>
      <c r="V428">
        <f>IFERROR(1/IF(Inputs!$B$4="pvp",15,MAX(0.1,Skills!E18-IF(Skills!F18=TRUE,Inputs!$B$31,0))),0)</f>
        <v>1.6666666666666666E-2</v>
      </c>
    </row>
    <row r="429" spans="1:22" x14ac:dyDescent="0.2">
      <c r="A429" t="str">
        <f>Skills!A19</f>
        <v>INFINITY</v>
      </c>
      <c r="B429" t="str">
        <f>Skills!B19</f>
        <v>Infinity</v>
      </c>
      <c r="C429" t="b">
        <f>Inputs!$B$3&gt;=110</f>
        <v>1</v>
      </c>
      <c r="D429">
        <f>IF(Skills!C19=1,60+Inputs!$B$24+Inputs!$B$28,IF(Skills!C19=2,90+Inputs!$B$25+Inputs!$B$28,IF(Skills!C19=3,120+Inputs!$B$26+Inputs!$B$28,MAX(0,(Inputs!$B$3-100)*3)+Inputs!$B$27+Inputs!$B$28)))</f>
        <v>172</v>
      </c>
      <c r="E429">
        <f>INDEX(FactorTable!$B$2:$Y$301, MATCH(ROUND(MIN(300,MAX(1,D429)),0), FactorTable!$A$2:$A$301,0), Skills!M19+1)</f>
        <v>1688</v>
      </c>
      <c r="F429">
        <f>IF(Skills!N19=TRUE,(Skills!L19/10)*(E429/1000),Skills!L19/10)+Skills!O19</f>
        <v>36.573895999999998</v>
      </c>
      <c r="G429">
        <f>Calc!G19</f>
        <v>1</v>
      </c>
      <c r="H429">
        <f>Calc!H19</f>
        <v>1</v>
      </c>
      <c r="I429">
        <f>IF(Skills!X19&lt;&gt;"",1+(Skills!X19/10)*(R413/1000)/100,1)</f>
        <v>1</v>
      </c>
      <c r="O429">
        <v>0</v>
      </c>
      <c r="P429">
        <f>IF(B449=0,0,O429/B449)</f>
        <v>0</v>
      </c>
      <c r="S429">
        <f>IF(AND(Inputs!$B$4&lt;&gt;"pvp",Inputs!$B$35&gt;0),(INT(Inputs!$B$35/IF(Inputs!$B$4="pvp",15,MAX(0.1,Skills!E19-IF(Skills!F19=TRUE,Inputs!$B$31,0))))+1),0)</f>
        <v>0</v>
      </c>
      <c r="V429">
        <f>IFERROR(1/IF(Inputs!$B$4="pvp",15,MAX(0.1,Skills!E19-IF(Skills!F19=TRUE,Inputs!$B$31,0))),0)</f>
        <v>3.3333333333333333E-2</v>
      </c>
    </row>
    <row r="430" spans="1:22" x14ac:dyDescent="0.2">
      <c r="A430" t="str">
        <f>Skills!A20</f>
        <v>MAGIC_CRITICAL_RATE</v>
      </c>
      <c r="B430" t="str">
        <f>Skills!B20</f>
        <v>Magic Critical (Crit Rate)</v>
      </c>
      <c r="C430" t="b">
        <f>TRUE</f>
        <v>1</v>
      </c>
      <c r="D430">
        <f>IF(Skills!C20=1,60+Inputs!$B$24+Inputs!$B$28,IF(Skills!C20=2,90+Inputs!$B$25+Inputs!$B$28,IF(Skills!C20=3,120+Inputs!$B$26+Inputs!$B$28,MAX(0,(Inputs!$B$3-100)*3)+Inputs!$B$27+Inputs!$B$28)))</f>
        <v>184</v>
      </c>
      <c r="E430">
        <f>INDEX(FactorTable!$B$2:$Y$301, MATCH(ROUND(MIN(300,MAX(1,D430)),0), FactorTable!$A$2:$A$301,0), Skills!M20+1)</f>
        <v>1552</v>
      </c>
      <c r="F430">
        <f>IF(Skills!N20=TRUE,(Skills!L20/10)*(E430/1000),Skills!L20/10)+Skills!O20</f>
        <v>12.416</v>
      </c>
      <c r="G430">
        <f>Calc!G20</f>
        <v>1</v>
      </c>
      <c r="H430">
        <f>Calc!H20</f>
        <v>1</v>
      </c>
      <c r="I430">
        <f>IF(Skills!X20&lt;&gt;"",1+(Skills!X20/10)*(R413/1000)/100,1)</f>
        <v>1</v>
      </c>
      <c r="O430">
        <v>0</v>
      </c>
      <c r="P430">
        <f>IF(B449=0,0,O430/B449)</f>
        <v>0</v>
      </c>
      <c r="S430">
        <v>0</v>
      </c>
      <c r="V430">
        <f>IFERROR(1/IF(Inputs!$B$4="pvp",15,MAX(0.1,Skills!E20-IF(Skills!F20=TRUE,Inputs!$B$31,0))),0)</f>
        <v>10</v>
      </c>
    </row>
    <row r="431" spans="1:22" x14ac:dyDescent="0.2">
      <c r="A431" t="str">
        <f>Skills!A21</f>
        <v>MAGIC_CRITICAL_DAMAGE</v>
      </c>
      <c r="B431" t="str">
        <f>Skills!B21</f>
        <v>Magic Critical (Crit Damage)</v>
      </c>
      <c r="C431" t="b">
        <f>TRUE</f>
        <v>1</v>
      </c>
      <c r="D431">
        <f>IF(Skills!C21=1,60+Inputs!$B$24+Inputs!$B$28,IF(Skills!C21=2,90+Inputs!$B$25+Inputs!$B$28,IF(Skills!C21=3,120+Inputs!$B$26+Inputs!$B$28,MAX(0,(Inputs!$B$3-100)*3)+Inputs!$B$27+Inputs!$B$28)))</f>
        <v>184</v>
      </c>
      <c r="E431">
        <f>INDEX(FactorTable!$B$2:$Y$301, MATCH(ROUND(MIN(300,MAX(1,D431)),0), FactorTable!$A$2:$A$301,0), Skills!M21+1)</f>
        <v>1552</v>
      </c>
      <c r="F431">
        <f>IF(Skills!N21=TRUE,(Skills!L21/10)*(E431/1000),Skills!L21/10)+Skills!O21</f>
        <v>18.624000000000002</v>
      </c>
      <c r="G431">
        <f>Calc!G21</f>
        <v>1</v>
      </c>
      <c r="H431">
        <f>Calc!H21</f>
        <v>1</v>
      </c>
      <c r="I431">
        <f>IF(Skills!X21&lt;&gt;"",1+(Skills!X21/10)*(R413/1000)/100,1)</f>
        <v>1</v>
      </c>
      <c r="O431">
        <v>0</v>
      </c>
      <c r="P431">
        <f>IF(B449=0,0,O431/B449)</f>
        <v>0</v>
      </c>
      <c r="S431">
        <v>0</v>
      </c>
      <c r="V431">
        <f>IFERROR(1/IF(Inputs!$B$4="pvp",15,MAX(0.1,Skills!E21-IF(Skills!F21=TRUE,Inputs!$B$31,0))),0)</f>
        <v>10</v>
      </c>
    </row>
    <row r="432" spans="1:22" x14ac:dyDescent="0.2">
      <c r="A432" t="str">
        <f>Skills!A22</f>
        <v>SPELL_MASTERY</v>
      </c>
      <c r="B432" t="str">
        <f>Skills!B22</f>
        <v>Spell Mastery</v>
      </c>
      <c r="C432" t="b">
        <f>TRUE</f>
        <v>1</v>
      </c>
      <c r="D432">
        <f>IF(Skills!C22=1,60+Inputs!$B$24+Inputs!$B$28,IF(Skills!C22=2,90+Inputs!$B$25+Inputs!$B$28,IF(Skills!C22=3,120+Inputs!$B$26+Inputs!$B$28,MAX(0,(Inputs!$B$3-100)*3)+Inputs!$B$27+Inputs!$B$28)))</f>
        <v>164</v>
      </c>
      <c r="E432">
        <f>INDEX(FactorTable!$B$2:$Y$301, MATCH(ROUND(MIN(300,MAX(1,D432)),0), FactorTable!$A$2:$A$301,0), Skills!M22+1)</f>
        <v>1492</v>
      </c>
      <c r="F432">
        <f>IF(Skills!N22=TRUE,(Skills!L22/10)*(E432/1000),Skills!L22/10)+Skills!O22</f>
        <v>22.38</v>
      </c>
      <c r="G432">
        <f>Calc!G22</f>
        <v>1</v>
      </c>
      <c r="H432">
        <f>Calc!H22</f>
        <v>1</v>
      </c>
      <c r="I432">
        <f>IF(Skills!X22&lt;&gt;"",1+(Skills!X22/10)*(R413/1000)/100,1)</f>
        <v>1</v>
      </c>
      <c r="O432">
        <v>0</v>
      </c>
      <c r="P432">
        <f>IF(B449=0,0,O432/B449)</f>
        <v>0</v>
      </c>
      <c r="S432">
        <v>0</v>
      </c>
      <c r="V432">
        <f>IFERROR(1/IF(Inputs!$B$4="pvp",15,MAX(0.1,Skills!E22-IF(Skills!F22=TRUE,Inputs!$B$31,0))),0)</f>
        <v>10</v>
      </c>
    </row>
    <row r="433" spans="1:22" x14ac:dyDescent="0.2">
      <c r="A433" t="str">
        <f>Skills!A23</f>
        <v>ELEMENT_AMPLIFICATION</v>
      </c>
      <c r="B433" t="str">
        <f>Skills!B23</f>
        <v>Element Amplification</v>
      </c>
      <c r="C433" t="b">
        <f>TRUE</f>
        <v>1</v>
      </c>
      <c r="D433">
        <f>IF(Skills!C23=1,60+Inputs!$B$24+Inputs!$B$28,IF(Skills!C23=2,90+Inputs!$B$25+Inputs!$B$28,IF(Skills!C23=3,120+Inputs!$B$26+Inputs!$B$28,MAX(0,(Inputs!$B$3-100)*3)+Inputs!$B$27+Inputs!$B$28)))</f>
        <v>172</v>
      </c>
      <c r="E433">
        <f>INDEX(FactorTable!$B$2:$Y$301, MATCH(ROUND(MIN(300,MAX(1,D433)),0), FactorTable!$A$2:$A$301,0), Skills!M23+1)</f>
        <v>1516</v>
      </c>
      <c r="F433">
        <f>IF(Skills!N23=TRUE,(Skills!L23/10)*(E433/1000),Skills!L23/10)+Skills!O23</f>
        <v>22.740000000000002</v>
      </c>
      <c r="G433">
        <f>Calc!G23</f>
        <v>1</v>
      </c>
      <c r="H433">
        <f>Calc!H23</f>
        <v>1</v>
      </c>
      <c r="I433">
        <f>IF(Skills!X23&lt;&gt;"",1+(Skills!X23/10)*(R413/1000)/100,1)</f>
        <v>1</v>
      </c>
      <c r="O433">
        <v>0</v>
      </c>
      <c r="P433">
        <f>IF(B449=0,0,O433/B449)</f>
        <v>0</v>
      </c>
      <c r="S433">
        <v>0</v>
      </c>
      <c r="V433">
        <f>IFERROR(1/IF(Inputs!$B$4="pvp",15,MAX(0.1,Skills!E23-IF(Skills!F23=TRUE,Inputs!$B$31,0))),0)</f>
        <v>10</v>
      </c>
    </row>
    <row r="434" spans="1:22" x14ac:dyDescent="0.2">
      <c r="A434" t="str">
        <f>Skills!A24</f>
        <v>IFRIT</v>
      </c>
      <c r="B434" t="str">
        <f>Skills!B24</f>
        <v>Ifrit</v>
      </c>
      <c r="C434" t="b">
        <f>Inputs!$B$3&gt;=115</f>
        <v>0</v>
      </c>
      <c r="D434">
        <f>IF(Skills!C24=1,60+Inputs!$B$24+Inputs!$B$28,IF(Skills!C24=2,90+Inputs!$B$25+Inputs!$B$28,IF(Skills!C24=3,120+Inputs!$B$26+Inputs!$B$28,MAX(0,(Inputs!$B$3-100)*3)+Inputs!$B$27+Inputs!$B$28)))</f>
        <v>172</v>
      </c>
      <c r="E434">
        <f>INDEX(FactorTable!$B$2:$Y$301, MATCH(ROUND(MIN(300,MAX(1,D434)),0), FactorTable!$A$2:$A$301,0), Skills!M24+1)</f>
        <v>1860</v>
      </c>
      <c r="F434">
        <f>IF(Skills!N24=TRUE,(Skills!L24/10)*(E434/1000),Skills!L24/10)+Skills!O24</f>
        <v>6510</v>
      </c>
      <c r="G434">
        <f>Calc!G24</f>
        <v>7.5</v>
      </c>
      <c r="H434">
        <f>Calc!H24</f>
        <v>1</v>
      </c>
      <c r="I434">
        <f>IF(Skills!X24&lt;&gt;"",1+(Skills!X24/10)*(R413/1000)/100,1)</f>
        <v>1</v>
      </c>
      <c r="J434">
        <f>((Inputs!$B$5*(1+Inputs!$B$6/100))+((Inputs!$B$11*(1+Inputs!$B$12/100))-(Inputs!$B$11*(1+Inputs!$B$12/100)))*(1+Inputs!$B$6/100))*(F434/100)</f>
        <v>16263999540.532799</v>
      </c>
      <c r="K434">
        <f>J434*(1+((Inputs!$B$11*(1+Inputs!$B$12/100))*0.01+Inputs!$B$13*0.0025)/100)*(1+Inputs!$B$14/100)*(1+IF(Inputs!$B$4="pvp",0,(1-Summary!$B$56)*(Inputs!$B$19+Skills!P24)+Summary!$B$56*(Inputs!$B$20+Skills!Q24))/100)*(1+Inputs!$B$15/100)*(5000/(6000+Inputs!$B$7*(1-Inputs!$B$18/100)))*(1+Inputs!$B$23/100)*(1+F433/100)*(1+IF(Inputs!$B$3&gt;=120,F436,0)/100)^5*(1+(IF(Skills!A24="BASIC_ATTACK",Inputs!$B$16,Inputs!$B$17+IF(Inputs!$B$3&gt;=125,F437*5,0)))/100)*(B440*B441*B442*I434)</f>
        <v>123735236722176.92</v>
      </c>
      <c r="L434">
        <f>K434*(MIN(Inputs!$B$21+(F432-Calc!F22),Inputs!$B$22)/100+Inputs!$B$22/100)/2</f>
        <v>334023271531516.56</v>
      </c>
      <c r="M434">
        <f>L434*(1+(Inputs!$B$9+(F431-Calc!F21))/100)</f>
        <v>1399891530988586.2</v>
      </c>
      <c r="N434">
        <f>L434*(1-MIN((Inputs!$B$8+1)+(F430-Calc!F20),100)/100)+M434*(MIN((Inputs!$B$8+1)+(F430-Calc!F20),100)/100)</f>
        <v>1399891530988586.2</v>
      </c>
      <c r="O434">
        <f>IF(C434,H434*N434*IF(AND(Inputs!$B$4&lt;&gt;"pvp",Inputs!$B$35&gt;0),((Skills!G24*((S434-1)*IF(Skills!H24&gt;0,Skills!I24/Skills!H24,1)+IF(Skills!H24&gt;0,MIN(Skills!I24,MAX(0,Inputs!$B$35-((S434-1)*IF(Inputs!$B$4="pvp",15,MAX(0.1,Skills!E24-IF(Skills!F24=TRUE,Inputs!$B$31,0))))))/Skills!H24,1)))/Inputs!$B$35),G434*V434)*(1+IF(Inputs!$B$3&gt;=130,0.2*(Skills!I16/Skills!E15+IF(Inputs!$B$3&gt;=126,0.05*(B446+V423+(H424*B447)/(1+Skills!H14*H424*B447)+V434),0)*Skills!I16),0))*IF(Inputs!$B$4="pvp",1,(1-Summary!$B$56)*(1)+Summary!$B$56*(MIN(Skills!R24,Inputs!$B$37))),0)</f>
        <v>0</v>
      </c>
      <c r="P434">
        <f>IF(B449=0,0,O434/B449)</f>
        <v>0</v>
      </c>
      <c r="S434">
        <f>IF(AND(Inputs!$B$4&lt;&gt;"pvp",Inputs!$B$35&gt;0),(INT(Inputs!$B$35/IF(Inputs!$B$4="pvp",15,MAX(0.1,Skills!E24-IF(Skills!F24=TRUE,Inputs!$B$31,0))))+1),0)</f>
        <v>0</v>
      </c>
      <c r="V434">
        <f>IFERROR(1/IF(Inputs!$B$4="pvp",15,MAX(0.1,Skills!E24-IF(Skills!F24=TRUE,Inputs!$B$31,0))),0)</f>
        <v>1.2500000000000001E-2</v>
      </c>
    </row>
    <row r="435" spans="1:22" x14ac:dyDescent="0.2">
      <c r="A435" t="str">
        <f>Skills!A25</f>
        <v>BUFF_MASTERY</v>
      </c>
      <c r="B435" t="str">
        <f>Skills!B25</f>
        <v>Buff Mastery</v>
      </c>
      <c r="C435" t="b">
        <f>Inputs!$B$3&gt;=117</f>
        <v>0</v>
      </c>
      <c r="D435">
        <f>IF(Skills!C25=1,60+Inputs!$B$24+Inputs!$B$28,IF(Skills!C25=2,90+Inputs!$B$25+Inputs!$B$28,IF(Skills!C25=3,120+Inputs!$B$26+Inputs!$B$28,MAX(0,(Inputs!$B$3-100)*3)+Inputs!$B$27+Inputs!$B$28)))</f>
        <v>172</v>
      </c>
      <c r="E435">
        <f>INDEX(FactorTable!$B$2:$Y$301, MATCH(ROUND(MIN(300,MAX(1,D435)),0), FactorTable!$A$2:$A$301,0), Skills!M25+1)</f>
        <v>1516</v>
      </c>
      <c r="F435">
        <f>IF(Skills!N25=TRUE,(Skills!L25/10)*(E435/1000),Skills!L25/10)+Skills!O25</f>
        <v>15.16</v>
      </c>
      <c r="G435">
        <f>Calc!G25</f>
        <v>1</v>
      </c>
      <c r="H435">
        <f>Calc!H25</f>
        <v>1</v>
      </c>
      <c r="I435">
        <f>IF(Skills!X25&lt;&gt;"",1+(Skills!X25/10)*(R413/1000)/100,1)</f>
        <v>1</v>
      </c>
      <c r="O435">
        <v>0</v>
      </c>
      <c r="P435">
        <f>IF(B449=0,0,O435/B449)</f>
        <v>0</v>
      </c>
      <c r="S435">
        <v>0</v>
      </c>
      <c r="V435">
        <f>IFERROR(1/IF(Inputs!$B$4="pvp",15,MAX(0.1,Skills!E25-IF(Skills!F25=TRUE,Inputs!$B$31,0))),0)</f>
        <v>10</v>
      </c>
    </row>
    <row r="436" spans="1:22" x14ac:dyDescent="0.2">
      <c r="A436" t="str">
        <f>Skills!A26</f>
        <v>ARCANE_AIM</v>
      </c>
      <c r="B436" t="str">
        <f>Skills!B26</f>
        <v>Arcane Aim</v>
      </c>
      <c r="C436" t="b">
        <f>Inputs!$B$3&gt;=120</f>
        <v>0</v>
      </c>
      <c r="D436">
        <f>IF(Skills!C26=1,60+Inputs!$B$24+Inputs!$B$28,IF(Skills!C26=2,90+Inputs!$B$25+Inputs!$B$28,IF(Skills!C26=3,120+Inputs!$B$26+Inputs!$B$28,MAX(0,(Inputs!$B$3-100)*3)+Inputs!$B$27+Inputs!$B$28)))</f>
        <v>172</v>
      </c>
      <c r="E436">
        <f>INDEX(FactorTable!$B$2:$Y$301, MATCH(ROUND(MIN(300,MAX(1,D436)),0), FactorTable!$A$2:$A$301,0), Skills!M26+1)</f>
        <v>1516</v>
      </c>
      <c r="F436">
        <f>IF(Skills!N26=TRUE,(Skills!L26/10)*(E436/1000),Skills!L26/10)+Skills!O26</f>
        <v>4.548</v>
      </c>
      <c r="G436">
        <f>Calc!G26</f>
        <v>1</v>
      </c>
      <c r="H436">
        <f>Calc!H26</f>
        <v>1</v>
      </c>
      <c r="I436">
        <f>IF(Skills!X26&lt;&gt;"",1+(Skills!X26/10)*(R413/1000)/100,1)</f>
        <v>1</v>
      </c>
      <c r="O436">
        <v>0</v>
      </c>
      <c r="P436">
        <f>IF(B449=0,0,O436/B449)</f>
        <v>0</v>
      </c>
      <c r="S436">
        <v>0</v>
      </c>
      <c r="V436">
        <f>IFERROR(1/IF(Inputs!$B$4="pvp",15,MAX(0.1,Skills!E26-IF(Skills!F26=TRUE,Inputs!$B$31,0))),0)</f>
        <v>10</v>
      </c>
    </row>
    <row r="437" spans="1:22" x14ac:dyDescent="0.2">
      <c r="A437" t="str">
        <f>Skills!A27</f>
        <v>FERVENT_DRAIN</v>
      </c>
      <c r="B437" t="str">
        <f>Skills!B27</f>
        <v>Fervent Drain</v>
      </c>
      <c r="C437" t="b">
        <f>Inputs!$B$3&gt;=125</f>
        <v>0</v>
      </c>
      <c r="D437">
        <f>IF(Skills!C27=1,60+Inputs!$B$24+Inputs!$B$28,IF(Skills!C27=2,90+Inputs!$B$25+Inputs!$B$28,IF(Skills!C27=3,120+Inputs!$B$26+Inputs!$B$28,MAX(0,(Inputs!$B$3-100)*3)+Inputs!$B$27+Inputs!$B$28)))</f>
        <v>172</v>
      </c>
      <c r="E437">
        <f>INDEX(FactorTable!$B$2:$Y$301, MATCH(ROUND(MIN(300,MAX(1,D437)),0), FactorTable!$A$2:$A$301,0), Skills!M27+1)</f>
        <v>1516</v>
      </c>
      <c r="F437">
        <f>IF(Skills!N27=TRUE,(Skills!L27/10)*(E437/1000),Skills!L27/10)+Skills!O27</f>
        <v>6.0640000000000001</v>
      </c>
      <c r="G437">
        <f>Calc!G27</f>
        <v>1</v>
      </c>
      <c r="H437">
        <f>Calc!H27</f>
        <v>1</v>
      </c>
      <c r="I437">
        <f>IF(Skills!X27&lt;&gt;"",1+(Skills!X27/10)*(R413/1000)/100,1)</f>
        <v>1</v>
      </c>
      <c r="O437">
        <v>0</v>
      </c>
      <c r="P437">
        <f>IF(B449=0,0,O437/B449)</f>
        <v>0</v>
      </c>
      <c r="S437">
        <v>0</v>
      </c>
      <c r="V437">
        <f>IFERROR(1/IF(Inputs!$B$4="pvp",15,MAX(0.1,Skills!E27-IF(Skills!F27=TRUE,Inputs!$B$31,0))),0)</f>
        <v>10</v>
      </c>
    </row>
    <row r="438" spans="1:22" x14ac:dyDescent="0.2">
      <c r="A438" t="str">
        <f>Skills!A28</f>
        <v>FLAME_HAZE_FOG</v>
      </c>
      <c r="B438" t="str">
        <f>Skills!B28</f>
        <v>Flame Haze (poison fog DoT)</v>
      </c>
      <c r="C438" t="b">
        <f>Inputs!$B$3&gt;=118</f>
        <v>0</v>
      </c>
      <c r="D438">
        <f>IF(Skills!C28=1,60+Inputs!$B$24+Inputs!$B$28,IF(Skills!C28=2,90+Inputs!$B$25+Inputs!$B$28,IF(Skills!C28=3,120+Inputs!$B$26+Inputs!$B$28,MAX(0,(Inputs!$B$3-100)*3)+Inputs!$B$27+Inputs!$B$28)))</f>
        <v>172</v>
      </c>
      <c r="E438">
        <f>INDEX(FactorTable!$B$2:$Y$301, MATCH(ROUND(MIN(300,MAX(1,D438)),0), FactorTable!$A$2:$A$301,0), Skills!M28+1)</f>
        <v>1860</v>
      </c>
      <c r="F438">
        <f>IF(Skills!N28=TRUE,(Skills!L28/10)*(E438/1000),Skills!L28/10)+Skills!O28</f>
        <v>130.20000000000002</v>
      </c>
      <c r="G438">
        <f>Calc!G28</f>
        <v>50</v>
      </c>
      <c r="H438">
        <f>Calc!H28</f>
        <v>1</v>
      </c>
      <c r="I438">
        <f>IF(Skills!X28&lt;&gt;"",1+(Skills!X28/10)*(R413/1000)/100,1)</f>
        <v>1</v>
      </c>
      <c r="J438">
        <f>((Inputs!$B$5*(1+Inputs!$B$6/100))+((Inputs!$B$11*(1+Inputs!$B$12/100))-(Inputs!$B$11*(1+Inputs!$B$12/100)))*(1+Inputs!$B$6/100))*(F438/100)</f>
        <v>325279990.81065607</v>
      </c>
      <c r="K438">
        <f>J438*(1+((Inputs!$B$11*(1+Inputs!$B$12/100))*0.01+Inputs!$B$13*0.0025)/100)*(1+Inputs!$B$14/100)*(1+IF(Inputs!$B$4="pvp",0,(1-Summary!$B$56)*(Inputs!$B$19+Skills!P28)+Summary!$B$56*(Inputs!$B$20+Skills!Q28))/100)*(1+Inputs!$B$15/100)*(5000/(6000+Inputs!$B$7*(1-Inputs!$B$18/100)))*(1+Inputs!$B$23/100)*(1+F433/100)*(1+IF(Inputs!$B$3&gt;=120,F436,0)/100)^5*(1+(IF(Skills!A28="BASIC_ATTACK",Inputs!$B$16,Inputs!$B$17+IF(Inputs!$B$3&gt;=125,F437*5,0)))/100)*(B440*B441*B442*I438)</f>
        <v>2474704734443.54</v>
      </c>
      <c r="L438">
        <f>K438*(MIN(Inputs!$B$21+(F432-Calc!F22),Inputs!$B$22)/100+Inputs!$B$22/100)/2</f>
        <v>6680465430630.335</v>
      </c>
      <c r="M438">
        <f>L438*(1+(Inputs!$B$9+(F431-Calc!F21))/100)</f>
        <v>27997830619771.738</v>
      </c>
      <c r="N438">
        <f>L438*(1-MIN((Inputs!$B$8+1)+(F430-Calc!F20),100)/100)+M438*(MIN((Inputs!$B$8+1)+(F430-Calc!F20),100)/100)</f>
        <v>27997830619771.738</v>
      </c>
      <c r="O438">
        <f>IF(C438,H438*N438*IF(AND(Inputs!$B$4&lt;&gt;"pvp",Inputs!$B$35&gt;0),((Skills!G28*((S438-1)*IF(Skills!H28&gt;0,Skills!I28/Skills!H28,1)+IF(Skills!H28&gt;0,MIN(Skills!I28,MAX(0,Inputs!$B$35-((S438-1)*IF(Inputs!$B$4="pvp",15,MAX(0.1,Skills!E28-IF(Skills!F28=TRUE,Inputs!$B$31,0))))))/Skills!H28,1)))/Inputs!$B$35),G438*V438)*IF(Inputs!$B$4="pvp",1,(1-Summary!$B$56)*(1)+Summary!$B$56*(MIN(Skills!R28,Inputs!$B$37))),0)</f>
        <v>0</v>
      </c>
      <c r="P438">
        <f>IF(B449=0,0,O438/B449)</f>
        <v>0</v>
      </c>
      <c r="S438">
        <f>IF(AND(Inputs!$B$4&lt;&gt;"pvp",Inputs!$B$35&gt;0),(INT(Inputs!$B$35/IF(Inputs!$B$4="pvp",15,MAX(0.1,Skills!E28-IF(Skills!F28=TRUE,Inputs!$B$31,0))))+1),0)</f>
        <v>0</v>
      </c>
      <c r="V438">
        <f>IFERROR(1/IF(Inputs!$B$4="pvp",15,MAX(0.1,Skills!E28-IF(Skills!F28=TRUE,Inputs!$B$31,0))),0)</f>
        <v>0.04</v>
      </c>
    </row>
    <row r="440" spans="1:22" x14ac:dyDescent="0.2">
      <c r="A440" t="s">
        <v>222</v>
      </c>
      <c r="B440">
        <f>1+(F421*Skills!Z11)/100</f>
        <v>1.25</v>
      </c>
    </row>
    <row r="441" spans="1:22" x14ac:dyDescent="0.2">
      <c r="A441" t="s">
        <v>223</v>
      </c>
      <c r="B441">
        <f>1+F422/100</f>
        <v>1.18624</v>
      </c>
    </row>
    <row r="442" spans="1:22" x14ac:dyDescent="0.2">
      <c r="A442" t="s">
        <v>224</v>
      </c>
      <c r="B442">
        <f>(1+(F416*IF(AND(Inputs!$B$4&lt;&gt;"pvp",Inputs!$B$35&gt;0),(((S416-1)*(Skills!T6*(1+(Inputs!$B$33+IF(Inputs!$B$3&gt;=117,F435,0))/100))+MIN((Skills!T6*(1+(Inputs!$B$33+IF(Inputs!$B$3&gt;=117,F435,0))/100)),MAX(0,Inputs!$B$35-((S416-1)*Skills!E6))))/Inputs!$B$35),IF(Inputs!$B$4="pvp",MIN((Skills!T6*(1+(Inputs!$B$33+IF(Inputs!$B$3&gt;=117,F435,0))/100)),15)/15,(Skills!T6*(1+(Inputs!$B$33+IF(Inputs!$B$3&gt;=117,F435,0))/100))/Skills!E6))+F427*IF(AND(Inputs!$B$4&lt;&gt;"pvp",Inputs!$B$35&gt;0),(((S427-1)*(Skills!T17*(1+(Inputs!$B$33+IF(Inputs!$B$3&gt;=117,F435,0))/100))+MIN((Skills!T17*(1+(Inputs!$B$33+IF(Inputs!$B$3&gt;=117,F435,0))/100)),MAX(0,Inputs!$B$35-((S427-1)*Skills!E17))))/Inputs!$B$35),IF(Inputs!$B$4="pvp",MIN((Skills!T17*(1+(Inputs!$B$33+IF(Inputs!$B$3&gt;=117,F435,0))/100)),15)/15,(Skills!T17*(1+(Inputs!$B$33+IF(Inputs!$B$3&gt;=117,F435,0))/100))/Skills!E17)))/100)*IF(C429=TRUE,(1+F429*IF(AND(Inputs!$B$4&lt;&gt;"pvp",Inputs!$B$35&gt;0),(((S429-1)*(Skills!T19*(1+(Inputs!$B$33+IF(Inputs!$B$3&gt;=117,F435,0))/100))+MIN((Skills!T19*(1+(Inputs!$B$33+IF(Inputs!$B$3&gt;=117,F435,0))/100)),MAX(0,Inputs!$B$35-((S429-1)*Skills!E19))))/Inputs!$B$35),IF(Inputs!$B$4="pvp",MIN((Skills!T19*(1+(Inputs!$B$33+IF(Inputs!$B$3&gt;=117,F435,0))/100)),15)/15,(Skills!T19*(1+(Inputs!$B$33+IF(Inputs!$B$3&gt;=117,F435,0))/100))/Skills!E19))/100),1)</f>
        <v>1.5603265106950857</v>
      </c>
    </row>
    <row r="443" spans="1:22" x14ac:dyDescent="0.2">
      <c r="A443" t="s">
        <v>225</v>
      </c>
      <c r="B443">
        <f>F428*IF(AND(Inputs!$B$4&lt;&gt;"pvp",Inputs!$B$35&gt;0),(((S428-1)*(Skills!T18*(1+(Inputs!$B$33+IF(Inputs!$B$3&gt;=117,F435,0))/100))+MIN((Skills!T18*(1+(Inputs!$B$33+IF(Inputs!$B$3&gt;=117,F435,0))/100)),MAX(0,Inputs!$B$35-((S428-1)*Skills!E18))))/Inputs!$B$35),IF(Inputs!$B$4="pvp",MIN((Skills!T18*(1+(Inputs!$B$33+IF(Inputs!$B$3&gt;=117,F435,0))/100)),15)/15,(Skills!T18*(1+(Inputs!$B$33+IF(Inputs!$B$3&gt;=117,F435,0))/100))/Skills!E18))</f>
        <v>3.75</v>
      </c>
    </row>
    <row r="444" spans="1:22" x14ac:dyDescent="0.2">
      <c r="A444" t="s">
        <v>253</v>
      </c>
      <c r="B444">
        <f>1+MIN(150,150*(1-(1-Inputs!$B$10/150)*(1-B443/150)))/100</f>
        <v>1.6371249999999999</v>
      </c>
    </row>
    <row r="445" spans="1:22" x14ac:dyDescent="0.2">
      <c r="A445" t="s">
        <v>254</v>
      </c>
      <c r="B445">
        <f>IF(AND(Inputs!$B$4&lt;&gt;"pvp",Inputs!$B$35&gt;0),SUMPRODUCT((Skills!F2:F28=TRUE)*(C412:C438=TRUE)*S412:S438)/Inputs!$B$35,SUMPRODUCT((Skills!F2:F28=TRUE)*(C412:C438=TRUE)*V412:V438))</f>
        <v>0.33466433037861604</v>
      </c>
    </row>
    <row r="446" spans="1:22" x14ac:dyDescent="0.2">
      <c r="A446" t="s">
        <v>228</v>
      </c>
      <c r="B446">
        <f>MAX(0,B444-B445)</f>
        <v>1.3024606696213838</v>
      </c>
    </row>
    <row r="447" spans="1:22" x14ac:dyDescent="0.2">
      <c r="A447" t="s">
        <v>255</v>
      </c>
      <c r="B447">
        <f>IF(AND(Inputs!$B$4&lt;&gt;"pvp",Inputs!$B$35&gt;0),SUMPRODUCT((Skills!V2:V28=TRUE)*(C412:C438=TRUE)*S412:S438*Skills!W2:W28)/Inputs!$B$35,SUMPRODUCT((Skills!V2:V28=TRUE)*(C412:C438=TRUE)*V412:V438*Skills!W2:W28))+B446</f>
        <v>1.5297416426166426</v>
      </c>
    </row>
    <row r="449" spans="1:22" x14ac:dyDescent="0.2">
      <c r="A449" s="5" t="s">
        <v>208</v>
      </c>
      <c r="B449" s="5">
        <f>SUM(O412:O438)</f>
        <v>8339583922234890</v>
      </c>
    </row>
    <row r="452" spans="1:22" x14ac:dyDescent="0.2">
      <c r="A452" s="5" t="s">
        <v>265</v>
      </c>
    </row>
    <row r="453" spans="1:22" x14ac:dyDescent="0.2">
      <c r="A453" s="8" t="s">
        <v>74</v>
      </c>
      <c r="B453" s="8" t="s">
        <v>75</v>
      </c>
      <c r="C453" s="8" t="s">
        <v>190</v>
      </c>
      <c r="D453" s="8" t="s">
        <v>191</v>
      </c>
      <c r="E453" s="8" t="s">
        <v>192</v>
      </c>
      <c r="F453" s="8" t="s">
        <v>193</v>
      </c>
      <c r="G453" s="8" t="s">
        <v>194</v>
      </c>
      <c r="H453" s="8" t="s">
        <v>195</v>
      </c>
      <c r="I453" s="8" t="s">
        <v>196</v>
      </c>
      <c r="J453" s="8" t="s">
        <v>197</v>
      </c>
      <c r="K453" s="8" t="s">
        <v>198</v>
      </c>
      <c r="L453" s="8" t="s">
        <v>199</v>
      </c>
      <c r="M453" s="8" t="s">
        <v>200</v>
      </c>
      <c r="N453" s="8" t="s">
        <v>201</v>
      </c>
      <c r="O453" s="8" t="s">
        <v>202</v>
      </c>
      <c r="P453" s="8" t="s">
        <v>203</v>
      </c>
      <c r="R453" t="s">
        <v>252</v>
      </c>
    </row>
    <row r="454" spans="1:22" x14ac:dyDescent="0.2">
      <c r="A454" t="str">
        <f>Skills!A2</f>
        <v>BASIC_ATTACK</v>
      </c>
      <c r="B454" t="str">
        <f>Skills!B2</f>
        <v>Basic Attack</v>
      </c>
      <c r="C454" t="b">
        <f>TRUE</f>
        <v>1</v>
      </c>
      <c r="F454">
        <f>T456+Skills!O2</f>
        <v>510.52</v>
      </c>
      <c r="G454">
        <f>Calc!G2</f>
        <v>5</v>
      </c>
      <c r="H454">
        <f>Calc!H2</f>
        <v>1</v>
      </c>
      <c r="I454">
        <f>IF(Skills!X2&lt;&gt;"",1+(Skills!X2/10)*(R455/1000)/100,1)</f>
        <v>1</v>
      </c>
      <c r="J454">
        <f>((Inputs!$B$5*(1+Inputs!$B$6/100))+((Inputs!$B$11*(1+Inputs!$B$12/100))-(Inputs!$B$11*(1+Inputs!$B$12/100)))*(1+Inputs!$B$6/100))*(F454/100)</f>
        <v>1275437334.1678655</v>
      </c>
      <c r="K454">
        <f>J454*(1+((Inputs!$B$11*(1+Inputs!$B$12/100))*0.01+Inputs!$B$13*0.0025)/100)*(1+Inputs!$B$14/100)*(1+IF(Inputs!$B$4="pvp",0,(1-Summary!$B$56)*(Inputs!$B$19+Skills!P2)+Summary!$B$56*(Inputs!$B$20+Skills!Q2))/100)*(1+Inputs!$B$15/100)*(5000/(6000+Inputs!$B$7*(1-Inputs!$B$18/100)))*(1+Inputs!$B$23/100)*(1+F475/100)*(1+IF(Inputs!$B$3&gt;=120,F478,0)/100)^5*(1+(IF(Skills!A2="BASIC_ATTACK",Inputs!$B$16,Inputs!$B$17+IF(Inputs!$B$3&gt;=125,F479*5,0)))/100)*(B482*B483*B484*I454)</f>
        <v>6960952567530.5723</v>
      </c>
      <c r="L454">
        <f>K454*(MIN(Inputs!$B$21+(F474-Calc!F22),Inputs!$B$22)/100+Inputs!$B$22/100)/2</f>
        <v>18791091456048.777</v>
      </c>
      <c r="M454">
        <f>L454*(1+((Inputs!$B$9+1)+(F473-Calc!F21))/100)</f>
        <v>78941375206860.922</v>
      </c>
      <c r="N454">
        <f>L454*(1-MIN(Inputs!$B$8+(F472-Calc!F20),100)/100)+M454*(MIN(Inputs!$B$8+(F472-Calc!F20),100)/100)</f>
        <v>78941375206860.922</v>
      </c>
      <c r="O454">
        <f>Skills!G2*N454*B488*IF(Inputs!$B$4="pvp",1,(1-Summary!$B$56)*(1)+Summary!$B$56*(MIN((6+Inputs!$B$32+IF(Inputs!$B$3&gt;=136,1,0)),Inputs!$B$37)))</f>
        <v>3907085383684917.5</v>
      </c>
      <c r="P454">
        <f>IF(B491=0,0,O454/B491)</f>
        <v>0.46738363090508678</v>
      </c>
      <c r="R454">
        <f>MAX(0,(Inputs!$B$3-100)*3)+Inputs!$B$27+Inputs!$B$28</f>
        <v>172</v>
      </c>
      <c r="S454">
        <v>0</v>
      </c>
      <c r="T454">
        <f>MAX(0,(Inputs!$B$3-100)*3)+Inputs!$B$27+Inputs!$B$28</f>
        <v>172</v>
      </c>
      <c r="V454">
        <f>IFERROR(1/IF(Inputs!$B$4="pvp",15,MAX(0.1,Skills!E2-IF(Skills!F2=TRUE,Inputs!$B$31,0))),0)</f>
        <v>10</v>
      </c>
    </row>
    <row r="455" spans="1:22" x14ac:dyDescent="0.2">
      <c r="A455" t="str">
        <f>Skills!A3</f>
        <v>IGNITE</v>
      </c>
      <c r="B455" t="str">
        <f>Skills!B3</f>
        <v>Ignite</v>
      </c>
      <c r="C455" t="b">
        <f>TRUE</f>
        <v>1</v>
      </c>
      <c r="D455">
        <f>IF(Skills!C3=1,60+Inputs!$B$24+Inputs!$B$28,IF(Skills!C3=2,90+Inputs!$B$25+Inputs!$B$28,IF(Skills!C3=3,120+Inputs!$B$26+Inputs!$B$28,MAX(0,(Inputs!$B$3-100)*3)+Inputs!$B$27+Inputs!$B$28)))</f>
        <v>164</v>
      </c>
      <c r="E455">
        <f>INDEX(FactorTable!$B$2:$Y$301, MATCH(ROUND(MIN(300,MAX(1,D455)),0), FactorTable!$A$2:$A$301,0), Skills!M3+1)</f>
        <v>1656</v>
      </c>
      <c r="F455">
        <f>IF(Skills!N3=TRUE,(Skills!L3/10)*(E455/1000),Skills!L3/10)+Skills!O3</f>
        <v>121.52799999999999</v>
      </c>
      <c r="G455">
        <f>Calc!G3</f>
        <v>3</v>
      </c>
      <c r="H455">
        <f>Calc!H3</f>
        <v>1</v>
      </c>
      <c r="I455">
        <f>IF(Skills!X3&lt;&gt;"",1+(Skills!X3/10)*(R455/1000)/100,1)</f>
        <v>4.76</v>
      </c>
      <c r="J455">
        <f>((Inputs!$B$5*(1+Inputs!$B$6/100))+((Inputs!$B$11*(1+Inputs!$B$12/100))-(Inputs!$B$11*(1+Inputs!$B$12/100)))*(1+Inputs!$B$6/100))*(F455/100)</f>
        <v>303614644.57171583</v>
      </c>
      <c r="K455">
        <f>J455*(1+((Inputs!$B$11*(1+Inputs!$B$12/100))*0.01+Inputs!$B$13*0.0025)/100)*(1+Inputs!$B$14/100)*(1+IF(Inputs!$B$4="pvp",0,(1-Summary!$B$56)*(Inputs!$B$19+Skills!P3)+Summary!$B$56*(Inputs!$B$20+Skills!Q3))/100)*(1+Inputs!$B$15/100)*(5000/(6000+Inputs!$B$7*(1-Inputs!$B$18/100)))*(1+Inputs!$B$23/100)*(1+F475/100)*(1+IF(Inputs!$B$3&gt;=120,F478,0)/100)^5*(1+(IF(Skills!A3="BASIC_ATTACK",Inputs!$B$16,Inputs!$B$17+IF(Inputs!$B$3&gt;=125,F479*5,0)))/100)*(B482*B483*B484*I455)</f>
        <v>10995012018164.998</v>
      </c>
      <c r="L455">
        <f>K455*(MIN(Inputs!$B$21+(F474-Calc!F22),Inputs!$B$22)/100+Inputs!$B$22/100)/2</f>
        <v>29681034943036.406</v>
      </c>
      <c r="M455">
        <f>L455*(1+((Inputs!$B$9+1)+(F473-Calc!F21))/100)</f>
        <v>124690027795695.95</v>
      </c>
      <c r="N455">
        <f>L455*(1-MIN(Inputs!$B$8+(F472-Calc!F20),100)/100)+M455*(MIN(Inputs!$B$8+(F472-Calc!F20),100)/100)</f>
        <v>124690027795695.95</v>
      </c>
      <c r="O455">
        <f>IF(C455,H455*N455*IF(AND(Inputs!$B$4&lt;&gt;"pvp",Inputs!$B$35&gt;0),((Skills!G3*((S455-1)*IF(Skills!H3&gt;0,Skills!I3/Skills!H3,1)+IF(Skills!H3&gt;0,MIN(Skills!I3,MAX(0,Inputs!$B$35-((S455-1)*IF(Inputs!$B$4="pvp",15,MAX(0.1,Skills!E3-IF(Skills!F3=TRUE,Inputs!$B$31,0))))))/Skills!H3,1)))/Inputs!$B$35),G455*V455)*IF(Inputs!$B$4="pvp",1,(1-Summary!$B$56)*(1)+Summary!$B$56*(MIN(Skills!R3,Inputs!$B$37))),0)</f>
        <v>822954183451593.25</v>
      </c>
      <c r="P455">
        <f>IF(B491=0,0,O455/B491)</f>
        <v>9.844558707016858E-2</v>
      </c>
      <c r="R455">
        <f>INDEX(FactorTable!$B$2:$Y$301, MATCH(ROUND(MIN(300,MAX(1,R454)),0), FactorTable!$A$2:$A$301,0), 24)</f>
        <v>7520</v>
      </c>
      <c r="S455">
        <f>IF(AND(Inputs!$B$4&lt;&gt;"pvp",Inputs!$B$35&gt;0),(INT(Inputs!$B$35/IF(Inputs!$B$4="pvp",15,MAX(0.1,Skills!E3-IF(Skills!F3=TRUE,Inputs!$B$31,0))))+1),0)</f>
        <v>0</v>
      </c>
      <c r="T455">
        <f>INDEX(FactorTable!$B$2:$Y$301, MATCH(ROUND(MIN(300,MAX(1,T454)),0), FactorTable!$A$2:$A$301,0), 22)</f>
        <v>1688</v>
      </c>
      <c r="V455">
        <f>IFERROR(1/IF(Inputs!$B$4="pvp",15,MAX(0.1,Skills!E3-IF(Skills!F3=TRUE,Inputs!$B$31,0))),0)</f>
        <v>1</v>
      </c>
    </row>
    <row r="456" spans="1:22" x14ac:dyDescent="0.2">
      <c r="A456" t="str">
        <f>Skills!A4</f>
        <v>POISON_BREATH</v>
      </c>
      <c r="B456" t="str">
        <f>Skills!B4</f>
        <v>Poison Breath</v>
      </c>
      <c r="C456" t="b">
        <f>TRUE</f>
        <v>1</v>
      </c>
      <c r="D456">
        <f>IF(Skills!C4=1,60+Inputs!$B$24+Inputs!$B$28,IF(Skills!C4=2,90+Inputs!$B$25+Inputs!$B$28,IF(Skills!C4=3,120+Inputs!$B$26+Inputs!$B$28,MAX(0,(Inputs!$B$3-100)*3)+Inputs!$B$27+Inputs!$B$28)))</f>
        <v>164</v>
      </c>
      <c r="E456">
        <f>INDEX(FactorTable!$B$2:$Y$301, MATCH(ROUND(MIN(300,MAX(1,D456)),0), FactorTable!$A$2:$A$301,0), Skills!M4+1)</f>
        <v>1820</v>
      </c>
      <c r="F456">
        <f>IF(Skills!N4=TRUE,(Skills!L4/10)*(E456/1000),Skills!L4/10)+Skills!O4</f>
        <v>434</v>
      </c>
      <c r="G456">
        <f>Calc!G4</f>
        <v>3</v>
      </c>
      <c r="H456">
        <f>Calc!H4</f>
        <v>1</v>
      </c>
      <c r="I456">
        <f>IF(Skills!X4&lt;&gt;"",1+(Skills!X4/10)*(R455/1000)/100,1)</f>
        <v>7.0159999999999991</v>
      </c>
      <c r="J456">
        <f>((Inputs!$B$5*(1+Inputs!$B$6/100))+((Inputs!$B$11*(1+Inputs!$B$12/100))-(Inputs!$B$11*(1+Inputs!$B$12/100)))*(1+Inputs!$B$6/100))*(F456/100)</f>
        <v>1084266636.0355198</v>
      </c>
      <c r="K456">
        <f>J456*(1+((Inputs!$B$11*(1+Inputs!$B$12/100))*0.01+Inputs!$B$13*0.0025)/100)*(1+Inputs!$B$14/100)*(1+IF(Inputs!$B$4="pvp",0,(1-Summary!$B$56)*(Inputs!$B$19+Skills!P4)+Summary!$B$56*(Inputs!$B$20+Skills!Q4))/100)*(1+Inputs!$B$15/100)*(5000/(6000+Inputs!$B$7*(1-Inputs!$B$18/100)))*(1+Inputs!$B$23/100)*(1+F475/100)*(1+IF(Inputs!$B$3&gt;=120,F478,0)/100)^5*(1+(IF(Skills!A4="BASIC_ATTACK",Inputs!$B$16,Inputs!$B$17+IF(Inputs!$B$3&gt;=125,F479*5,0)))/100)*(B482*B483*B484*I456)</f>
        <v>57875094722852.875</v>
      </c>
      <c r="L456">
        <f>K456*(MIN(Inputs!$B$21+(F474-Calc!F22),Inputs!$B$22)/100+Inputs!$B$22/100)/2</f>
        <v>156233818204341.31</v>
      </c>
      <c r="M456">
        <f>L456*(1+((Inputs!$B$9+1)+(F473-Calc!F21))/100)</f>
        <v>656338270276437.88</v>
      </c>
      <c r="N456">
        <f>L456*(1-MIN(Inputs!$B$8+(F472-Calc!F20),100)/100)+M456*(MIN(Inputs!$B$8+(F472-Calc!F20),100)/100)</f>
        <v>656338270276437.88</v>
      </c>
      <c r="O456">
        <f>IF(C456,H456*N456*IF(AND(Inputs!$B$4&lt;&gt;"pvp",Inputs!$B$35&gt;0),((Skills!G4*((S456-1)*IF(Skills!H4&gt;0,Skills!I4/Skills!H4,1)+IF(Skills!H4&gt;0,MIN(Skills!I4,MAX(0,Inputs!$B$35-((S456-1)*IF(Inputs!$B$4="pvp",15,MAX(0.1,Skills!E4-IF(Skills!F4=TRUE,Inputs!$B$31,0))))))/Skills!H4,1)))/Inputs!$B$35),G456*V456)*IF(Inputs!$B$4="pvp",1,(1-Summary!$B$56)*(1)+Summary!$B$56*(MIN(Skills!R4,Inputs!$B$37))),0)</f>
        <v>437558846850958.5</v>
      </c>
      <c r="P456">
        <f>IF(B491=0,0,O456/B491)</f>
        <v>5.2342813758261109E-2</v>
      </c>
      <c r="S456">
        <f>IF(AND(Inputs!$B$4&lt;&gt;"pvp",Inputs!$B$35&gt;0),(INT(Inputs!$B$35/IF(Inputs!$B$4="pvp",15,MAX(0.1,Skills!E4-IF(Skills!F4=TRUE,Inputs!$B$31,0))))+1),0)</f>
        <v>0</v>
      </c>
      <c r="T456">
        <f>290*T455/1000</f>
        <v>489.52</v>
      </c>
      <c r="V456">
        <f>IFERROR(1/IF(Inputs!$B$4="pvp",15,MAX(0.1,Skills!E4-IF(Skills!F4=TRUE,Inputs!$B$31,0))),0)</f>
        <v>5.5555555555555552E-2</v>
      </c>
    </row>
    <row r="457" spans="1:22" x14ac:dyDescent="0.2">
      <c r="A457" t="str">
        <f>Skills!A5</f>
        <v>ELEMENTAL_DRAIN</v>
      </c>
      <c r="B457" t="str">
        <f>Skills!B5</f>
        <v>Elemental Drain</v>
      </c>
      <c r="C457" t="b">
        <f>TRUE</f>
        <v>1</v>
      </c>
      <c r="D457">
        <f>IF(Skills!C5=1,60+Inputs!$B$24+Inputs!$B$28,IF(Skills!C5=2,90+Inputs!$B$25+Inputs!$B$28,IF(Skills!C5=3,120+Inputs!$B$26+Inputs!$B$28,MAX(0,(Inputs!$B$3-100)*3)+Inputs!$B$27+Inputs!$B$28)))</f>
        <v>164</v>
      </c>
      <c r="E457">
        <f>INDEX(FactorTable!$B$2:$Y$301, MATCH(ROUND(MIN(300,MAX(1,D457)),0), FactorTable!$A$2:$A$301,0), Skills!M5+1)</f>
        <v>1656</v>
      </c>
      <c r="F457">
        <f>IF(Skills!N5=TRUE,(Skills!L5/10)*(E457/1000),Skills!L5/10)+Skills!O5</f>
        <v>19.872</v>
      </c>
      <c r="G457">
        <f>Calc!G5</f>
        <v>5</v>
      </c>
      <c r="H457">
        <f>Calc!H5</f>
        <v>1</v>
      </c>
      <c r="I457">
        <f>IF(Skills!X5&lt;&gt;"",1+(Skills!X5/10)*(R455/1000)/100,1)</f>
        <v>12.28</v>
      </c>
      <c r="J457">
        <f>((Inputs!$B$5*(1+Inputs!$B$6/100))+((Inputs!$B$11*(1+Inputs!$B$12/100))-(Inputs!$B$11*(1+Inputs!$B$12/100)))*(1+Inputs!$B$6/100))*(F457/100)</f>
        <v>49646420.717276163</v>
      </c>
      <c r="K457">
        <f>J457*(1+((Inputs!$B$11*(1+Inputs!$B$12/100))*0.01+Inputs!$B$13*0.0025)/100)*(1+Inputs!$B$14/100)*(1+IF(Inputs!$B$4="pvp",0,(1-Summary!$B$56)*(Inputs!$B$19+Skills!P5)+Summary!$B$56*(Inputs!$B$20+Skills!Q5))/100)*(1+Inputs!$B$15/100)*(5000/(6000+Inputs!$B$7*(1-Inputs!$B$18/100)))*(1+Inputs!$B$23/100)*(1+F475/100)*(1+IF(Inputs!$B$3&gt;=120,F478,0)/100)^5*(1+(IF(Skills!A5="BASIC_ATTACK",Inputs!$B$16,Inputs!$B$17+IF(Inputs!$B$3&gt;=125,F479*5,0)))/100)*(B482*B483*B484*I457)</f>
        <v>4638230744159.3359</v>
      </c>
      <c r="L457">
        <f>K457*(MIN(Inputs!$B$21+(F474-Calc!F22),Inputs!$B$22)/100+Inputs!$B$22/100)/2</f>
        <v>12520903893858.125</v>
      </c>
      <c r="M457">
        <f>L457*(1+((Inputs!$B$9+1)+(F473-Calc!F21))/100)</f>
        <v>52600317258097.992</v>
      </c>
      <c r="N457">
        <f>L457*(1-MIN(Inputs!$B$8+(F472-Calc!F20),100)/100)+M457*(MIN(Inputs!$B$8+(F472-Calc!F20),100)/100)</f>
        <v>52600317258097.992</v>
      </c>
      <c r="O457">
        <f>IF(C457,H457*N457*IF(AND(Inputs!$B$4&lt;&gt;"pvp",Inputs!$B$35&gt;0),((Skills!G5*((S457-1)*IF(Skills!H5&gt;0,Skills!I5/Skills!H5,1)+IF(Skills!H5&gt;0,MIN(Skills!I5,MAX(0,Inputs!$B$35-((S457-1)*IF(Inputs!$B$4="pvp",15,MAX(0.1,Skills!E5-IF(Skills!F5=TRUE,Inputs!$B$31,0))))))/Skills!H5,1)))/Inputs!$B$35),G457*V457)*IF(Inputs!$B$4="pvp",1,(1-Summary!$B$56)*(1)+Summary!$B$56*(MIN(Skills!R5,Inputs!$B$37))),0)</f>
        <v>263001586290489.97</v>
      </c>
      <c r="P457">
        <f>IF(B491=0,0,O457/B491)</f>
        <v>3.1461466608214687E-2</v>
      </c>
      <c r="S457">
        <f>IF(AND(Inputs!$B$4&lt;&gt;"pvp",Inputs!$B$35&gt;0),(INT(Inputs!$B$35/IF(Inputs!$B$4="pvp",15,MAX(0.1,Skills!E5-IF(Skills!F5=TRUE,Inputs!$B$31,0))))+1),0)</f>
        <v>0</v>
      </c>
      <c r="V457">
        <f>IFERROR(1/IF(Inputs!$B$4="pvp",15,MAX(0.1,Skills!E5-IF(Skills!F5=TRUE,Inputs!$B$31,0))),0)</f>
        <v>1</v>
      </c>
    </row>
    <row r="458" spans="1:22" x14ac:dyDescent="0.2">
      <c r="A458" t="str">
        <f>Skills!A6</f>
        <v>MEDITATION</v>
      </c>
      <c r="B458" t="str">
        <f>Skills!B6</f>
        <v>Meditation</v>
      </c>
      <c r="C458" t="b">
        <f>TRUE</f>
        <v>1</v>
      </c>
      <c r="D458">
        <f>IF(Skills!C6=1,60+Inputs!$B$24+Inputs!$B$28,IF(Skills!C6=2,90+Inputs!$B$25+Inputs!$B$28,IF(Skills!C6=3,120+Inputs!$B$26+Inputs!$B$28,MAX(0,(Inputs!$B$3-100)*3)+Inputs!$B$27+Inputs!$B$28)))</f>
        <v>164</v>
      </c>
      <c r="E458">
        <f>INDEX(FactorTable!$B$2:$Y$301, MATCH(ROUND(MIN(300,MAX(1,D458)),0), FactorTable!$A$2:$A$301,0), Skills!M6+1)</f>
        <v>1492</v>
      </c>
      <c r="F458">
        <f>IF(Skills!N6=TRUE,(Skills!L6/10)*(E458/1000),Skills!L6/10)+Skills!O6</f>
        <v>29.84</v>
      </c>
      <c r="G458">
        <f>Calc!G6</f>
        <v>1</v>
      </c>
      <c r="H458">
        <f>Calc!H6</f>
        <v>1</v>
      </c>
      <c r="I458">
        <f>IF(Skills!X6&lt;&gt;"",1+(Skills!X6/10)*(R455/1000)/100,1)</f>
        <v>1</v>
      </c>
      <c r="O458">
        <v>0</v>
      </c>
      <c r="P458">
        <f>IF(B491=0,0,O458/B491)</f>
        <v>0</v>
      </c>
      <c r="S458">
        <f>IF(AND(Inputs!$B$4&lt;&gt;"pvp",Inputs!$B$35&gt;0),(INT(Inputs!$B$35/IF(Inputs!$B$4="pvp",15,MAX(0.1,Skills!E6-IF(Skills!F6=TRUE,Inputs!$B$31,0))))+1),0)</f>
        <v>0</v>
      </c>
      <c r="V458">
        <f>IFERROR(1/IF(Inputs!$B$4="pvp",15,MAX(0.1,Skills!E6-IF(Skills!F6=TRUE,Inputs!$B$31,0))),0)</f>
        <v>3.3333333333333333E-2</v>
      </c>
    </row>
    <row r="459" spans="1:22" x14ac:dyDescent="0.2">
      <c r="A459" t="str">
        <f>Skills!A7</f>
        <v>POISON_MIST_BURST</v>
      </c>
      <c r="B459" t="str">
        <f>Skills!B7</f>
        <v>Poison Mist (burst)</v>
      </c>
      <c r="C459" t="b">
        <f>TRUE</f>
        <v>1</v>
      </c>
      <c r="D459">
        <f>IF(Skills!C7=1,60+Inputs!$B$24+Inputs!$B$28,IF(Skills!C7=2,90+Inputs!$B$25+Inputs!$B$28,IF(Skills!C7=3,120+Inputs!$B$26+Inputs!$B$28,MAX(0,(Inputs!$B$3-100)*3)+Inputs!$B$27+Inputs!$B$28)))</f>
        <v>184</v>
      </c>
      <c r="E459">
        <f>INDEX(FactorTable!$B$2:$Y$301, MATCH(ROUND(MIN(300,MAX(1,D459)),0), FactorTable!$A$2:$A$301,0), Skills!M7+1)</f>
        <v>1920</v>
      </c>
      <c r="F459">
        <f>IF(Skills!N7=TRUE,(Skills!L7/10)*(E459/1000),Skills!L7/10)+Skills!O7</f>
        <v>357.2</v>
      </c>
      <c r="G459">
        <f>Calc!G7</f>
        <v>3</v>
      </c>
      <c r="H459">
        <f>Calc!H7</f>
        <v>1</v>
      </c>
      <c r="I459">
        <f>IF(Skills!X7&lt;&gt;"",1+(Skills!X7/10)*(R455/1000)/100,1)</f>
        <v>1.7519999999999998</v>
      </c>
      <c r="J459">
        <f>((Inputs!$B$5*(1+Inputs!$B$6/100))+((Inputs!$B$11*(1+Inputs!$B$12/100))-(Inputs!$B$11*(1+Inputs!$B$12/100)))*(1+Inputs!$B$6/100))*(F459/100)</f>
        <v>892396411.04121602</v>
      </c>
      <c r="K459">
        <f>J459*(1+((Inputs!$B$11*(1+Inputs!$B$12/100))*0.01+Inputs!$B$13*0.0025)/100)*(1+Inputs!$B$14/100)*(1+IF(Inputs!$B$4="pvp",0,(1-Summary!$B$56)*(Inputs!$B$19+Skills!P7)+Summary!$B$56*(Inputs!$B$20+Skills!Q7))/100)*(1+Inputs!$B$15/100)*(5000/(6000+Inputs!$B$7*(1-Inputs!$B$18/100)))*(1+Inputs!$B$23/100)*(1+F475/100)*(1+IF(Inputs!$B$3&gt;=120,F478,0)/100)^5*(1+(IF(Skills!A7="BASIC_ATTACK",Inputs!$B$16,Inputs!$B$17+IF(Inputs!$B$3&gt;=125,F479*5,0)))/100)*(B482*B483*B484*I459)</f>
        <v>11894822262388.189</v>
      </c>
      <c r="L459">
        <f>K459*(MIN(Inputs!$B$21+(F474-Calc!F22),Inputs!$B$22)/100+Inputs!$B$22/100)/2</f>
        <v>32110072697316.914</v>
      </c>
      <c r="M459">
        <f>L459*(1+((Inputs!$B$9+1)+(F473-Calc!F21))/100)</f>
        <v>134894415401428.38</v>
      </c>
      <c r="N459">
        <f>L459*(1-MIN(Inputs!$B$8+(F472-Calc!F20),100)/100)+M459*(MIN(Inputs!$B$8+(F472-Calc!F20),100)/100)</f>
        <v>134894415401428.38</v>
      </c>
      <c r="O459">
        <f>IF(C459,H459*N459*IF(AND(Inputs!$B$4&lt;&gt;"pvp",Inputs!$B$35&gt;0),((Skills!G7*((S459-1)*IF(Skills!H7&gt;0,Skills!I7/Skills!H7,1)+IF(Skills!H7&gt;0,MIN(Skills!I7,MAX(0,Inputs!$B$35-((S459-1)*IF(Inputs!$B$4="pvp",15,MAX(0.1,Skills!E7-IF(Skills!F7=TRUE,Inputs!$B$31,0))))))/Skills!H7,1)))/Inputs!$B$35),G459*V459)*IF(Inputs!$B$4="pvp",1,(1-Summary!$B$56)*(1)+Summary!$B$56*(MIN(Skills!R7,Inputs!$B$37))),0)</f>
        <v>105713174518670.41</v>
      </c>
      <c r="P459">
        <f>IF(B491=0,0,O459/B491)</f>
        <v>1.264589904980274E-2</v>
      </c>
      <c r="S459">
        <f>IF(AND(Inputs!$B$4&lt;&gt;"pvp",Inputs!$B$35&gt;0),(INT(Inputs!$B$35/IF(Inputs!$B$4="pvp",15,MAX(0.1,Skills!E7-IF(Skills!F7=TRUE,Inputs!$B$31,0))))+1),0)</f>
        <v>0</v>
      </c>
      <c r="V459">
        <f>IFERROR(1/IF(Inputs!$B$4="pvp",15,MAX(0.1,Skills!E7-IF(Skills!F7=TRUE,Inputs!$B$31,0))),0)</f>
        <v>4.0816326530612242E-2</v>
      </c>
    </row>
    <row r="460" spans="1:22" x14ac:dyDescent="0.2">
      <c r="A460" t="str">
        <f>Skills!A8</f>
        <v>POISON_MIST_DOT</v>
      </c>
      <c r="B460" t="str">
        <f>Skills!B8</f>
        <v>Poison Mist (fog DoT)</v>
      </c>
      <c r="C460" t="b">
        <f>TRUE</f>
        <v>1</v>
      </c>
      <c r="D460">
        <f>IF(Skills!C8=1,60+Inputs!$B$24+Inputs!$B$28,IF(Skills!C8=2,90+Inputs!$B$25+Inputs!$B$28,IF(Skills!C8=3,120+Inputs!$B$26+Inputs!$B$28,MAX(0,(Inputs!$B$3-100)*3)+Inputs!$B$27+Inputs!$B$28)))</f>
        <v>184</v>
      </c>
      <c r="E460">
        <f>INDEX(FactorTable!$B$2:$Y$301, MATCH(ROUND(MIN(300,MAX(1,D460)),0), FactorTable!$A$2:$A$301,0), Skills!M8+1)</f>
        <v>1920</v>
      </c>
      <c r="F460">
        <f>IF(Skills!N8=TRUE,(Skills!L8/10)*(E460/1000),Skills!L8/10)+Skills!O8</f>
        <v>134.4</v>
      </c>
      <c r="G460">
        <f>Calc!G8</f>
        <v>50</v>
      </c>
      <c r="H460">
        <f>Calc!H8</f>
        <v>1</v>
      </c>
      <c r="I460">
        <f>IF(Skills!X8&lt;&gt;"",1+(Skills!X8/10)*(R455/1000)/100,1)</f>
        <v>1.7519999999999998</v>
      </c>
      <c r="J460">
        <f>((Inputs!$B$5*(1+Inputs!$B$6/100))+((Inputs!$B$11*(1+Inputs!$B$12/100))-(Inputs!$B$11*(1+Inputs!$B$12/100)))*(1+Inputs!$B$6/100))*(F460/100)</f>
        <v>335772893.74003202</v>
      </c>
      <c r="K460">
        <f>J460*(1+((Inputs!$B$11*(1+Inputs!$B$12/100))*0.01+Inputs!$B$13*0.0025)/100)*(1+Inputs!$B$14/100)*(1+IF(Inputs!$B$4="pvp",0,(1-Summary!$B$56)*(Inputs!$B$19+Skills!P8)+Summary!$B$56*(Inputs!$B$20+Skills!Q8))/100)*(1+Inputs!$B$15/100)*(5000/(6000+Inputs!$B$7*(1-Inputs!$B$18/100)))*(1+Inputs!$B$23/100)*(1+F475/100)*(1+IF(Inputs!$B$3&gt;=120,F478,0)/100)^5*(1+(IF(Skills!A8="BASIC_ATTACK",Inputs!$B$16,Inputs!$B$17+IF(Inputs!$B$3&gt;=125,F479*5,0)))/100)*(B482*B483*B484*I460)</f>
        <v>4475543426833.6309</v>
      </c>
      <c r="L460">
        <f>K460*(MIN(Inputs!$B$21+(F474-Calc!F22),Inputs!$B$22)/100+Inputs!$B$22/100)/2</f>
        <v>12081729480737.385</v>
      </c>
      <c r="M460">
        <f>L460*(1+((Inputs!$B$9+1)+(F473-Calc!F21))/100)</f>
        <v>50755345548577.758</v>
      </c>
      <c r="N460">
        <f>L460*(1-MIN(Inputs!$B$8+(F472-Calc!F20),100)/100)+M460*(MIN(Inputs!$B$8+(F472-Calc!F20),100)/100)</f>
        <v>50755345548577.758</v>
      </c>
      <c r="O460">
        <f>IF(C460,H460*N460*IF(AND(Inputs!$B$4&lt;&gt;"pvp",Inputs!$B$35&gt;0),((Skills!G8*((S460-1)*IF(Skills!H8&gt;0,Skills!I8/Skills!H8,1)+IF(Skills!H8&gt;0,MIN(Skills!I8,MAX(0,Inputs!$B$35-((S460-1)*IF(Inputs!$B$4="pvp",15,MAX(0.1,Skills!E8-IF(Skills!F8=TRUE,Inputs!$B$31,0))))))/Skills!H8,1)))/Inputs!$B$35),G460*V460)*IF(Inputs!$B$4="pvp",1,(1-Summary!$B$56)*(1)+Summary!$B$56*(MIN(Skills!R8,Inputs!$B$37))),0)</f>
        <v>662926962267138.12</v>
      </c>
      <c r="P460">
        <f>IF(B491=0,0,O460/B491)</f>
        <v>7.9302390457889546E-2</v>
      </c>
      <c r="S460">
        <f>IF(AND(Inputs!$B$4&lt;&gt;"pvp",Inputs!$B$35&gt;0),(INT(Inputs!$B$35/IF(Inputs!$B$4="pvp",15,MAX(0.1,Skills!E8-IF(Skills!F8=TRUE,Inputs!$B$31,0))))+1),0)</f>
        <v>0</v>
      </c>
      <c r="V460">
        <f>IFERROR(1/IF(Inputs!$B$4="pvp",15,MAX(0.1,Skills!E8-IF(Skills!F8=TRUE,Inputs!$B$31,0))),0)</f>
        <v>4.0816326530612242E-2</v>
      </c>
    </row>
    <row r="461" spans="1:22" x14ac:dyDescent="0.2">
      <c r="A461" t="str">
        <f>Skills!A9</f>
        <v>MIST_ERUPTION</v>
      </c>
      <c r="B461" t="str">
        <f>Skills!B9</f>
        <v>Mist Eruption</v>
      </c>
      <c r="C461" t="b">
        <f>Inputs!$B$3&gt;=103</f>
        <v>1</v>
      </c>
      <c r="D461">
        <f>IF(Skills!C9=1,60+Inputs!$B$24+Inputs!$B$28,IF(Skills!C9=2,90+Inputs!$B$25+Inputs!$B$28,IF(Skills!C9=3,120+Inputs!$B$26+Inputs!$B$28,MAX(0,(Inputs!$B$3-100)*3)+Inputs!$B$27+Inputs!$B$28)))</f>
        <v>172</v>
      </c>
      <c r="E461">
        <f>INDEX(FactorTable!$B$2:$Y$301, MATCH(ROUND(MIN(300,MAX(1,D461)),0), FactorTable!$A$2:$A$301,0), Skills!M9+1)</f>
        <v>1860</v>
      </c>
      <c r="F461">
        <f>IF(Skills!N9=TRUE,(Skills!L9/10)*(E461/1000),Skills!L9/10)+Skills!O9</f>
        <v>5580</v>
      </c>
      <c r="G461">
        <f>Calc!G9</f>
        <v>2.8</v>
      </c>
      <c r="H461">
        <f>Calc!H9</f>
        <v>1</v>
      </c>
      <c r="I461">
        <f>IF(Skills!X9&lt;&gt;"",1+(Skills!X9/10)*(R455/1000)/100,1)</f>
        <v>1</v>
      </c>
      <c r="J461">
        <f>((Inputs!$B$5*(1+Inputs!$B$6/100))+((Inputs!$B$11*(1+Inputs!$B$12/100))-(Inputs!$B$11*(1+Inputs!$B$12/100)))*(1+Inputs!$B$6/100))*(F461/100)</f>
        <v>13940571034.742399</v>
      </c>
      <c r="K461">
        <f>J461*(1+((Inputs!$B$11*(1+Inputs!$B$12/100))*0.01+Inputs!$B$13*0.0025)/100)*(1+Inputs!$B$14/100)*(1+IF(Inputs!$B$4="pvp",0,(1-Summary!$B$56)*(Inputs!$B$19+Skills!P9)+Summary!$B$56*(Inputs!$B$20+Skills!Q9))/100)*(1+Inputs!$B$15/100)*(5000/(6000+Inputs!$B$7*(1-Inputs!$B$18/100)))*(1+Inputs!$B$23/100)*(1+F475/100)*(1+IF(Inputs!$B$3&gt;=120,F478,0)/100)^5*(1+(IF(Skills!A9="BASIC_ATTACK",Inputs!$B$16,Inputs!$B$17+IF(Inputs!$B$3&gt;=125,F479*5,0)))/100)*(B482*B483*B484*I461)</f>
        <v>106058774333294.53</v>
      </c>
      <c r="L461">
        <f>K461*(MIN(Inputs!$B$21+(F474-Calc!F22),Inputs!$B$22)/100+Inputs!$B$22/100)/2</f>
        <v>286305661312728.56</v>
      </c>
      <c r="M461">
        <f>L461*(1+((Inputs!$B$9+1)+(F473-Calc!F21))/100)</f>
        <v>1202770083174772.8</v>
      </c>
      <c r="N461">
        <f>L461*(1-MIN(Inputs!$B$8+(F472-Calc!F20),100)/100)+M461*(MIN(Inputs!$B$8+(F472-Calc!F20),100)/100)</f>
        <v>1202770083174772.8</v>
      </c>
      <c r="O461">
        <f>IF(C461,H461*N461*IF(AND(Inputs!$B$4&lt;&gt;"pvp",Inputs!$B$35&gt;0),((Skills!G9*((S461-1)*IF(Skills!H9&gt;0,Skills!I9/Skills!H9,1)+IF(Skills!H9&gt;0,MIN(Skills!I9,MAX(0,Inputs!$B$35-((S461-1)*IF(Inputs!$B$4="pvp",15,MAX(0.1,Skills!E9-IF(Skills!F7=TRUE,Inputs!$B$31,0))))))/Skills!H9,1)))/Inputs!$B$35),G461*V461)*IF(Inputs!$B$4="pvp",1,(1-Summary!$B$56)*(1)+Summary!$B$56*(MIN(Skills!R9,Inputs!$B$37))),0)</f>
        <v>879740403693548</v>
      </c>
      <c r="P461">
        <f>IF(B491=0,0,O461/B491)</f>
        <v>0.10523861747408286</v>
      </c>
      <c r="S461">
        <f>IF(AND(Inputs!$B$4&lt;&gt;"pvp",Inputs!$B$35&gt;0),(INT(Inputs!$B$35/IF(Inputs!$B$4="pvp",15,MAX(0.1,Skills!E9-IF(Skills!F7=TRUE,Inputs!$B$31,0))))+1),0)</f>
        <v>0</v>
      </c>
      <c r="V461">
        <f>IFERROR(1/IF(Inputs!$B$4="pvp",15,MAX(0.1,Skills!E9-IF(Skills!F7=TRUE,Inputs!$B$31,0))),0)</f>
        <v>4.0816326530612242E-2</v>
      </c>
    </row>
    <row r="462" spans="1:22" x14ac:dyDescent="0.2">
      <c r="A462" t="str">
        <f>Skills!A10</f>
        <v>CREEPING_TOXIN</v>
      </c>
      <c r="B462" t="str">
        <f>Skills!B10</f>
        <v>Creeping Toxin</v>
      </c>
      <c r="C462" t="b">
        <f>TRUE</f>
        <v>1</v>
      </c>
      <c r="D462">
        <f>IF(Skills!C10=1,60+Inputs!$B$24+Inputs!$B$28,IF(Skills!C10=2,90+Inputs!$B$25+Inputs!$B$28,IF(Skills!C10=3,120+Inputs!$B$26+Inputs!$B$28,MAX(0,(Inputs!$B$3-100)*3)+Inputs!$B$27+Inputs!$B$28)))</f>
        <v>184</v>
      </c>
      <c r="E462">
        <f>INDEX(FactorTable!$B$2:$Y$301, MATCH(ROUND(MIN(300,MAX(1,D462)),0), FactorTable!$A$2:$A$301,0), Skills!M10+1)</f>
        <v>1920</v>
      </c>
      <c r="F462">
        <f>IF(Skills!N10=TRUE,(Skills!L10/10)*(E462/1000),Skills!L10/10)+Skills!O10</f>
        <v>280.39999999999998</v>
      </c>
      <c r="G462">
        <f>Calc!G10</f>
        <v>15</v>
      </c>
      <c r="H462">
        <f>Calc!H10</f>
        <v>1</v>
      </c>
      <c r="I462">
        <f>IF(Skills!X10&lt;&gt;"",1+(Skills!X10/10)*(R455/1000)/100,1)</f>
        <v>1.7519999999999998</v>
      </c>
      <c r="J462">
        <f>((Inputs!$B$5*(1+Inputs!$B$6/100))+((Inputs!$B$11*(1+Inputs!$B$12/100))-(Inputs!$B$11*(1+Inputs!$B$12/100)))*(1+Inputs!$B$6/100))*(F462/100)</f>
        <v>700526186.04691195</v>
      </c>
      <c r="K462">
        <f>J462*(1+((Inputs!$B$11*(1+Inputs!$B$12/100))*0.01+Inputs!$B$13*0.0025)/100)*(1+Inputs!$B$14/100)*(1+IF(Inputs!$B$4="pvp",0,(1-Summary!$B$56)*(Inputs!$B$19+Skills!P10)+Summary!$B$56*(Inputs!$B$20+Skills!Q10))/100)*(1+Inputs!$B$15/100)*(5000/(6000+Inputs!$B$7*(1-Inputs!$B$18/100)))*(1+Inputs!$B$23/100)*(1+F475/100)*(1+IF(Inputs!$B$3&gt;=120,F478,0)/100)^5*(1+(IF(Skills!A10="BASIC_ATTACK",Inputs!$B$16,Inputs!$B$17+IF(Inputs!$B$3&gt;=125,F479*5,0)))/100)*(B482*B483*B484*I462)</f>
        <v>11018767832821.695</v>
      </c>
      <c r="L462">
        <f>K462*(MIN(Inputs!$B$21+(F474-Calc!F22),Inputs!$B$22)/100+Inputs!$B$22/100)/2</f>
        <v>29745163764702.16</v>
      </c>
      <c r="M462">
        <f>L462*(1+((Inputs!$B$9+1)+(F473-Calc!F21))/100)</f>
        <v>124959432975513.8</v>
      </c>
      <c r="N462">
        <f>L462*(1-MIN(Inputs!$B$8+(F472-Calc!F20),100)/100)+M462*(MIN(Inputs!$B$8+(F472-Calc!F20),100)/100)</f>
        <v>124959432975513.8</v>
      </c>
      <c r="O462">
        <f>IF(C462,H462*N462*IF(AND(Inputs!$B$4&lt;&gt;"pvp",Inputs!$B$35&gt;0),((Skills!G10*((S462-1)*IF(Skills!H10&gt;0,Skills!I10/Skills!H10,1)+IF(Skills!H10&gt;0,MIN(Skills!I10,MAX(0,Inputs!$B$35-((S462-1)*IF(Inputs!$B$4="pvp",15,MAX(0.1,Skills!E10-IF(Skills!F10=TRUE,Inputs!$B$31,0))))))/Skills!H10,1)))/Inputs!$B$35),G462*V462)*IF(Inputs!$B$4="pvp",1,(1-Summary!$B$56)*(1)+Summary!$B$56*(MIN(Skills!R10,Inputs!$B$37))),0)</f>
        <v>69421907208618.781</v>
      </c>
      <c r="P462">
        <f>IF(B491=0,0,O462/B491)</f>
        <v>8.3045697416826384E-3</v>
      </c>
      <c r="S462">
        <f>IF(AND(Inputs!$B$4&lt;&gt;"pvp",Inputs!$B$35&gt;0),(INT(Inputs!$B$35/IF(Inputs!$B$4="pvp",15,MAX(0.1,Skills!E10-IF(Skills!F10=TRUE,Inputs!$B$31,0))))+1),0)</f>
        <v>0</v>
      </c>
      <c r="V462">
        <f>IFERROR(1/IF(Inputs!$B$4="pvp",15,MAX(0.1,Skills!E10-IF(Skills!F10=TRUE,Inputs!$B$31,0))),0)</f>
        <v>3.7037037037037035E-2</v>
      </c>
    </row>
    <row r="463" spans="1:22" x14ac:dyDescent="0.2">
      <c r="A463" t="str">
        <f>Skills!A11</f>
        <v>BURNING_MAGIC</v>
      </c>
      <c r="B463" t="str">
        <f>Skills!B11</f>
        <v>Burning Magic</v>
      </c>
      <c r="C463" t="b">
        <f>TRUE</f>
        <v>1</v>
      </c>
      <c r="D463">
        <f>IF(Skills!C11=1,60+Inputs!$B$24+Inputs!$B$28,IF(Skills!C11=2,90+Inputs!$B$25+Inputs!$B$28,IF(Skills!C11=3,120+Inputs!$B$26+Inputs!$B$28,MAX(0,(Inputs!$B$3-100)*3)+Inputs!$B$27+Inputs!$B$28)))</f>
        <v>184</v>
      </c>
      <c r="E463">
        <f>INDEX(FactorTable!$B$2:$Y$301, MATCH(ROUND(MIN(300,MAX(1,D463)),0), FactorTable!$A$2:$A$301,0), Skills!M11+1)</f>
        <v>0</v>
      </c>
      <c r="F463">
        <f>IF(Skills!N11=TRUE,(Skills!L11/10)*(E463/1000),Skills!L11/10)+Skills!O11</f>
        <v>5</v>
      </c>
      <c r="G463">
        <f>Calc!G11</f>
        <v>1</v>
      </c>
      <c r="H463">
        <f>Calc!H11</f>
        <v>1</v>
      </c>
      <c r="I463">
        <f>IF(Skills!X11&lt;&gt;"",1+(Skills!X11/10)*(R455/1000)/100,1)</f>
        <v>1</v>
      </c>
      <c r="O463">
        <v>0</v>
      </c>
      <c r="P463">
        <f>IF(B491=0,0,O463/B491)</f>
        <v>0</v>
      </c>
      <c r="S463">
        <v>0</v>
      </c>
      <c r="V463">
        <f>IFERROR(1/IF(Inputs!$B$4="pvp",15,MAX(0.1,Skills!E11-IF(Skills!F11=TRUE,Inputs!$B$31,0))),0)</f>
        <v>10</v>
      </c>
    </row>
    <row r="464" spans="1:22" x14ac:dyDescent="0.2">
      <c r="A464" t="str">
        <f>Skills!A12</f>
        <v>ELEMENTAL_DECREASE</v>
      </c>
      <c r="B464" t="str">
        <f>Skills!B12</f>
        <v>Elemental Decrease</v>
      </c>
      <c r="C464" t="b">
        <f>TRUE</f>
        <v>1</v>
      </c>
      <c r="D464">
        <f>IF(Skills!C12=1,60+Inputs!$B$24+Inputs!$B$28,IF(Skills!C12=2,90+Inputs!$B$25+Inputs!$B$28,IF(Skills!C12=3,120+Inputs!$B$26+Inputs!$B$28,MAX(0,(Inputs!$B$3-100)*3)+Inputs!$B$27+Inputs!$B$28)))</f>
        <v>184</v>
      </c>
      <c r="E464">
        <f>INDEX(FactorTable!$B$2:$Y$301, MATCH(ROUND(MIN(300,MAX(1,D464)),0), FactorTable!$A$2:$A$301,0), Skills!M12+1)</f>
        <v>1552</v>
      </c>
      <c r="F464">
        <f>IF(Skills!N12=TRUE,(Skills!L12/10)*(E464/1000),Skills!L12/10)+Skills!O12</f>
        <v>18.624000000000002</v>
      </c>
      <c r="G464">
        <f>Calc!G12</f>
        <v>1</v>
      </c>
      <c r="H464">
        <f>Calc!H12</f>
        <v>0.5</v>
      </c>
      <c r="I464">
        <f>IF(Skills!X12&lt;&gt;"",1+(Skills!X12/10)*(R455/1000)/100,1)</f>
        <v>1</v>
      </c>
      <c r="O464">
        <v>0</v>
      </c>
      <c r="P464">
        <f>IF(B491=0,0,O464/B491)</f>
        <v>0</v>
      </c>
      <c r="S464">
        <v>0</v>
      </c>
      <c r="V464">
        <f>IFERROR(1/IF(Inputs!$B$4="pvp",15,MAX(0.1,Skills!E12-IF(Skills!F12=TRUE,Inputs!$B$31,0))),0)</f>
        <v>10</v>
      </c>
    </row>
    <row r="465" spans="1:22" x14ac:dyDescent="0.2">
      <c r="A465" t="str">
        <f>Skills!A13</f>
        <v>METEOR_SHOWER_BURST</v>
      </c>
      <c r="B465" t="str">
        <f>Skills!B13</f>
        <v>Meteor Shower (burst)</v>
      </c>
      <c r="C465" t="b">
        <f>Inputs!$B$3&gt;=105</f>
        <v>1</v>
      </c>
      <c r="D465">
        <f>IF(Skills!C13=1,60+Inputs!$B$24+Inputs!$B$28,IF(Skills!C13=2,90+Inputs!$B$25+Inputs!$B$28,IF(Skills!C13=3,120+Inputs!$B$26+Inputs!$B$28,MAX(0,(Inputs!$B$3-100)*3)+Inputs!$B$27+Inputs!$B$28)))</f>
        <v>172</v>
      </c>
      <c r="E465">
        <f>INDEX(FactorTable!$B$2:$Y$301, MATCH(ROUND(MIN(300,MAX(1,D465)),0), FactorTable!$A$2:$A$301,0), Skills!M13+1)</f>
        <v>1860</v>
      </c>
      <c r="F465">
        <f>IF(Skills!N13=TRUE,(Skills!L13/10)*(E465/1000),Skills!L13/10)+Skills!O13</f>
        <v>1116</v>
      </c>
      <c r="G465">
        <f>Calc!G13</f>
        <v>9</v>
      </c>
      <c r="H465">
        <f>Calc!H13</f>
        <v>1</v>
      </c>
      <c r="I465">
        <f>IF(Skills!X13&lt;&gt;"",1+(Skills!X13/10)*(R455/1000)/100,1)</f>
        <v>1</v>
      </c>
      <c r="J465">
        <f>((Inputs!$B$5*(1+Inputs!$B$6/100))+((Inputs!$B$11*(1+Inputs!$B$12/100))-(Inputs!$B$11*(1+Inputs!$B$12/100)))*(1+Inputs!$B$6/100))*(F465/100)</f>
        <v>2788114206.9484801</v>
      </c>
      <c r="K465">
        <f>J465*(1+((Inputs!$B$11*(1+Inputs!$B$12/100))*0.01+Inputs!$B$13*0.0025)/100)*(1+Inputs!$B$14/100)*(1+IF(Inputs!$B$4="pvp",0,(1-Summary!$B$56)*(Inputs!$B$19+Skills!P13)+Summary!$B$56*(Inputs!$B$20+Skills!Q13))/100)*(1+Inputs!$B$15/100)*(5000/(6000+Inputs!$B$7*(1-Inputs!$B$18/100)))*(1+Inputs!$B$23/100)*(1+F475/100)*(1+IF(Inputs!$B$3&gt;=120,F478,0)/100)^5*(1+(IF(Skills!A13="BASIC_ATTACK",Inputs!$B$16,Inputs!$B$17+IF(Inputs!$B$3&gt;=125,F479*5,0)))/100)*(B482*B483*B484*I465)</f>
        <v>21211754866658.902</v>
      </c>
      <c r="L465">
        <f>K465*(MIN(Inputs!$B$21+(F474-Calc!F22),Inputs!$B$22)/100+Inputs!$B$22/100)/2</f>
        <v>57261132262545.695</v>
      </c>
      <c r="M465">
        <f>L465*(1+((Inputs!$B$9+1)+(F473-Calc!F21))/100)</f>
        <v>240554016634954.5</v>
      </c>
      <c r="N465">
        <f>L465*(1-MIN(Inputs!$B$8+(F472-Calc!F20),100)/100)+M465*(MIN(Inputs!$B$8+(F472-Calc!F20),100)/100)</f>
        <v>240554016634954.5</v>
      </c>
      <c r="O465">
        <f>IF(C465,H465*N465*IF(AND(Inputs!$B$4&lt;&gt;"pvp",Inputs!$B$35&gt;0),((Skills!G13*((S465-1)*IF(Skills!H13&gt;0,Skills!I13/Skills!H13,1)+IF(Skills!H13&gt;0,MIN(Skills!I13,MAX(0,Inputs!$B$35-((S465-1)*IF(Inputs!$B$4="pvp",15,MAX(0.1,Skills!E13-IF(Skills!F13=TRUE,Inputs!$B$31,0))))))/Skills!H13,1)))/Inputs!$B$35),G465*V465)*IF(Inputs!$B$4="pvp",1,(1-Summary!$B$56)*(1)+Summary!$B$56*(MIN(Skills!R13,Inputs!$B$37))),0)</f>
        <v>301785948142033.88</v>
      </c>
      <c r="P465">
        <f>IF(B491=0,0,O465/B491)</f>
        <v>3.6101031420441777E-2</v>
      </c>
      <c r="S465">
        <f>IF(AND(Inputs!$B$4&lt;&gt;"pvp",Inputs!$B$35&gt;0),(INT(Inputs!$B$35/IF(Inputs!$B$4="pvp",15,MAX(0.1,Skills!E13-IF(Skills!F13=TRUE,Inputs!$B$31,0))))+1),0)</f>
        <v>0</v>
      </c>
      <c r="V465">
        <f>IFERROR(1/IF(Inputs!$B$4="pvp",15,MAX(0.1,Skills!E13-IF(Skills!F13=TRUE,Inputs!$B$31,0))),0)</f>
        <v>3.0303030303030304E-2</v>
      </c>
    </row>
    <row r="466" spans="1:22" x14ac:dyDescent="0.2">
      <c r="A466" t="str">
        <f>Skills!A14</f>
        <v>METEOR_PROC</v>
      </c>
      <c r="B466" t="str">
        <f>Skills!B14</f>
        <v>Meteor Proc (30% on-hit, 1s ICD)</v>
      </c>
      <c r="C466" t="b">
        <f>Inputs!$B$3&gt;=113</f>
        <v>1</v>
      </c>
      <c r="D466">
        <f>IF(Skills!C14=1,60+Inputs!$B$24+Inputs!$B$28,IF(Skills!C14=2,90+Inputs!$B$25+Inputs!$B$28,IF(Skills!C14=3,120+Inputs!$B$26+Inputs!$B$28,MAX(0,(Inputs!$B$3-100)*3)+Inputs!$B$27+Inputs!$B$28)))</f>
        <v>172</v>
      </c>
      <c r="E466">
        <f>INDEX(FactorTable!$B$2:$Y$301, MATCH(ROUND(MIN(300,MAX(1,D466)),0), FactorTable!$A$2:$A$301,0), Skills!M14+1)</f>
        <v>1688</v>
      </c>
      <c r="F466">
        <f>IF(Skills!N14=TRUE,(Skills!L14/10)*(E466/1000),Skills!L14/10)+Skills!O14</f>
        <v>1603.6</v>
      </c>
      <c r="G466">
        <f>Calc!G14</f>
        <v>0</v>
      </c>
      <c r="H466">
        <f>Calc!H14</f>
        <v>0.30000000000000004</v>
      </c>
      <c r="I466">
        <f>IF(Skills!X14&lt;&gt;"",1+(Skills!X14/10)*(R455/1000)/100,1)</f>
        <v>1</v>
      </c>
      <c r="J466">
        <f>((Inputs!$B$5*(1+Inputs!$B$6/100))+((Inputs!$B$11*(1+Inputs!$B$12/100))-(Inputs!$B$11*(1+Inputs!$B$12/100)))*(1+Inputs!$B$6/100))*(F466/100)</f>
        <v>4006290270.8446074</v>
      </c>
      <c r="K466">
        <f>J466*(1+((Inputs!$B$11*(1+Inputs!$B$12/100))*0.01+Inputs!$B$13*0.0025)/100)*(1+Inputs!$B$14/100)*(1+IF(Inputs!$B$4="pvp",0,(1-Summary!$B$56)*(Inputs!$B$19+Skills!P14)+Summary!$B$56*(Inputs!$B$20+Skills!Q14))/100)*(1+Inputs!$B$15/100)*(5000/(6000+Inputs!$B$7*(1-Inputs!$B$18/100)))*(1+Inputs!$B$23/100)*(1+F475/100)*(1+IF(Inputs!$B$3&gt;=120,F478,0)/100)^5*(1+(IF(Skills!A14="BASIC_ATTACK",Inputs!$B$16,Inputs!$B$17+IF(Inputs!$B$3&gt;=125,F479*5,0)))/100)*(B482*B483*B484*I466)</f>
        <v>30479543104098.766</v>
      </c>
      <c r="L466">
        <f>K466*(MIN(Inputs!$B$21+(F474-Calc!F22),Inputs!$B$22)/100+Inputs!$B$22/100)/2</f>
        <v>82279526609514.609</v>
      </c>
      <c r="M466">
        <f>L466*(1+((Inputs!$B$9+1)+(F473-Calc!F21))/100)</f>
        <v>345656291286570.94</v>
      </c>
      <c r="N466">
        <f>L466*(1-MIN(Inputs!$B$8+(F472-Calc!F20),100)/100)+M466*(MIN(Inputs!$B$8+(F472-Calc!F20),100)/100)</f>
        <v>345656291286570.94</v>
      </c>
      <c r="O466">
        <f>IF(C466,(H466*B489)/(1+Skills!H14*H466*B489)*N466*IF(Inputs!$B$4="pvp",1,(1-Summary!$B$56)*(1)+Summary!$B$56*(MIN(Skills!R14,Inputs!$B$37))),0)</f>
        <v>108730551231158.91</v>
      </c>
      <c r="P466">
        <f>IF(B491=0,0,O466/B491)</f>
        <v>1.3006851612953856E-2</v>
      </c>
      <c r="S466">
        <v>0</v>
      </c>
      <c r="V466">
        <f>IFERROR(1/IF(Inputs!$B$4="pvp",15,MAX(0.1,Skills!E14-IF(Skills!F14=TRUE,Inputs!$B$31,0))),0)</f>
        <v>10</v>
      </c>
    </row>
    <row r="467" spans="1:22" x14ac:dyDescent="0.2">
      <c r="A467" t="str">
        <f>Skills!A15</f>
        <v>FLAME_HAZE_BURST</v>
      </c>
      <c r="B467" t="str">
        <f>Skills!B15</f>
        <v>Flame Haze (burst)</v>
      </c>
      <c r="C467" t="b">
        <f>Inputs!$B$3&gt;=107</f>
        <v>1</v>
      </c>
      <c r="D467">
        <f>IF(Skills!C15=1,60+Inputs!$B$24+Inputs!$B$28,IF(Skills!C15=2,90+Inputs!$B$25+Inputs!$B$28,IF(Skills!C15=3,120+Inputs!$B$26+Inputs!$B$28,MAX(0,(Inputs!$B$3-100)*3)+Inputs!$B$27+Inputs!$B$28)))</f>
        <v>172</v>
      </c>
      <c r="E467">
        <f>INDEX(FactorTable!$B$2:$Y$301, MATCH(ROUND(MIN(300,MAX(1,D467)),0), FactorTable!$A$2:$A$301,0), Skills!M15+1)</f>
        <v>1860</v>
      </c>
      <c r="F467">
        <f>IF(Skills!N15=TRUE,(Skills!L15/10)*(E467/1000),Skills!L15/10)+Skills!O15</f>
        <v>2232</v>
      </c>
      <c r="G467">
        <f>Calc!G15</f>
        <v>3</v>
      </c>
      <c r="H467">
        <f>Calc!H15</f>
        <v>1</v>
      </c>
      <c r="I467">
        <f>IF(Skills!X15&lt;&gt;"",1+(Skills!X15/10)*(R455/1000)/100,1)</f>
        <v>1</v>
      </c>
      <c r="J467">
        <f>((Inputs!$B$5*(1+Inputs!$B$6/100))+((Inputs!$B$11*(1+Inputs!$B$12/100))-(Inputs!$B$11*(1+Inputs!$B$12/100)))*(1+Inputs!$B$6/100))*(F467/100)</f>
        <v>5576228413.8969603</v>
      </c>
      <c r="K467">
        <f>J467*(1+((Inputs!$B$11*(1+Inputs!$B$12/100))*0.01+Inputs!$B$13*0.0025)/100)*(1+Inputs!$B$14/100)*(1+IF(Inputs!$B$4="pvp",0,(1-Summary!$B$56)*(Inputs!$B$19+Skills!P15)+Summary!$B$56*(Inputs!$B$20+Skills!Q15))/100)*(1+Inputs!$B$15/100)*(5000/(6000+Inputs!$B$7*(1-Inputs!$B$18/100)))*(1+Inputs!$B$23/100)*(1+F475/100)*(1+IF(Inputs!$B$3&gt;=120,F478,0)/100)^5*(1+(IF(Skills!A15="BASIC_ATTACK",Inputs!$B$16,Inputs!$B$17+IF(Inputs!$B$3&gt;=125,F479*5,0)))/100)*(B482*B483*B484*I467)</f>
        <v>42423509733317.805</v>
      </c>
      <c r="L467">
        <f>K467*(MIN(Inputs!$B$21+(F474-Calc!F22),Inputs!$B$22)/100+Inputs!$B$22/100)/2</f>
        <v>114522264525091.39</v>
      </c>
      <c r="M467">
        <f>L467*(1+((Inputs!$B$9+1)+(F473-Calc!F21))/100)</f>
        <v>481108033269909</v>
      </c>
      <c r="N467">
        <f>L467*(1-MIN(Inputs!$B$8+(F472-Calc!F20),100)/100)+M467*(MIN(Inputs!$B$8+(F472-Calc!F20),100)/100)</f>
        <v>481108033269909</v>
      </c>
      <c r="O467">
        <f>IF(C467,H467*N467*IF(AND(Inputs!$B$4&lt;&gt;"pvp",Inputs!$B$35&gt;0),((Skills!G15*((S467-1)*IF(Skills!H15&gt;0,Skills!I15/Skills!H15,1)+IF(Skills!H15&gt;0,MIN(Skills!I15,MAX(0,Inputs!$B$35-((S467-1)*IF(Inputs!$B$4="pvp",15,MAX(0.1,Skills!E15-IF(Skills!F15=TRUE,Inputs!$B$31,0))))))/Skills!H15,1)))/Inputs!$B$35),G467*V467)*IF(Inputs!$B$4="pvp",1,(1-Summary!$B$56)*(1)+Summary!$B$56*(MIN(Skills!R15,Inputs!$B$37))),0)</f>
        <v>369490969551290.12</v>
      </c>
      <c r="P467">
        <f>IF(B491=0,0,O467/B491)</f>
        <v>4.4200219339114798E-2</v>
      </c>
      <c r="S467">
        <f>IF(AND(Inputs!$B$4&lt;&gt;"pvp",Inputs!$B$35&gt;0),(INT(Inputs!$B$35/IF(Inputs!$B$4="pvp",15,MAX(0.1,Skills!E15-IF(Skills!F15=TRUE,Inputs!$B$31,0))))+1),0)</f>
        <v>0</v>
      </c>
      <c r="V467">
        <f>IFERROR(1/IF(Inputs!$B$4="pvp",15,MAX(0.1,Skills!E15-IF(Skills!F15=TRUE,Inputs!$B$31,0))),0)</f>
        <v>0.04</v>
      </c>
    </row>
    <row r="468" spans="1:22" x14ac:dyDescent="0.2">
      <c r="A468" t="str">
        <f>Skills!A16</f>
        <v>FLAME_HAZE_DOT</v>
      </c>
      <c r="B468" t="str">
        <f>Skills!B16</f>
        <v>Flame Haze (burn DoT)</v>
      </c>
      <c r="C468" t="b">
        <f>Inputs!$B$3&gt;=107</f>
        <v>1</v>
      </c>
      <c r="D468">
        <f>IF(Skills!C16=1,60+Inputs!$B$24+Inputs!$B$28,IF(Skills!C16=2,90+Inputs!$B$25+Inputs!$B$28,IF(Skills!C16=3,120+Inputs!$B$26+Inputs!$B$28,MAX(0,(Inputs!$B$3-100)*3)+Inputs!$B$27+Inputs!$B$28)))</f>
        <v>172</v>
      </c>
      <c r="E468">
        <f>INDEX(FactorTable!$B$2:$Y$301, MATCH(ROUND(MIN(300,MAX(1,D468)),0), FactorTable!$A$2:$A$301,0), Skills!M16+1)</f>
        <v>1860</v>
      </c>
      <c r="F468">
        <f>IF(Skills!N16=TRUE,(Skills!L16/10)*(E468/1000),Skills!L16/10)+Skills!O16</f>
        <v>279</v>
      </c>
      <c r="G468">
        <f>Calc!G16</f>
        <v>28</v>
      </c>
      <c r="H468">
        <f>Calc!H16</f>
        <v>1</v>
      </c>
      <c r="I468">
        <f>IF(Skills!X16&lt;&gt;"",1+(Skills!X16/10)*(R455/1000)/100,1)</f>
        <v>1</v>
      </c>
      <c r="J468">
        <f>((Inputs!$B$5*(1+Inputs!$B$6/100))+((Inputs!$B$11*(1+Inputs!$B$12/100))-(Inputs!$B$11*(1+Inputs!$B$12/100)))*(1+Inputs!$B$6/100))*(F468/100)</f>
        <v>697028551.73712003</v>
      </c>
      <c r="K468">
        <f>J468*(1+((Inputs!$B$11*(1+Inputs!$B$12/100))*0.01+Inputs!$B$13*0.0025)/100)*(1+Inputs!$B$14/100)*(1+IF(Inputs!$B$4="pvp",0,(1-Summary!$B$56)*(Inputs!$B$19+Skills!P16)+Summary!$B$56*(Inputs!$B$20+Skills!Q16))/100)*(1+Inputs!$B$15/100)*(5000/(6000+Inputs!$B$7*(1-Inputs!$B$18/100)))*(1+Inputs!$B$23/100)*(1+F475/100)*(1+IF(Inputs!$B$3&gt;=120,F478,0)/100)^5*(1+(IF(Skills!A16="BASIC_ATTACK",Inputs!$B$16,Inputs!$B$17+IF(Inputs!$B$3&gt;=125,F479*5,0)))/100)*(B482*B483*B484*I468)</f>
        <v>5302938716664.7256</v>
      </c>
      <c r="L468">
        <f>K468*(MIN(Inputs!$B$21+(F474-Calc!F22),Inputs!$B$22)/100+Inputs!$B$22/100)/2</f>
        <v>14315283065636.424</v>
      </c>
      <c r="M468">
        <f>L468*(1+((Inputs!$B$9+1)+(F473-Calc!F21))/100)</f>
        <v>60138504158738.625</v>
      </c>
      <c r="N468">
        <f>L468*(1-MIN(Inputs!$B$8+(F472-Calc!F20),100)/100)+M468*(MIN(Inputs!$B$8+(F472-Calc!F20),100)/100)</f>
        <v>60138504158738.625</v>
      </c>
      <c r="O468">
        <f>IF(C468,H468*N468*IF(AND(Inputs!$B$4&lt;&gt;"pvp",Inputs!$B$35&gt;0),((Skills!G16*((S468-1)*IF(Skills!H16&gt;0,Skills!I16/Skills!H16,1)+IF(Skills!H16&gt;0,MIN(Skills!I16,MAX(0,Inputs!$B$35-((S468-1)*IF(Inputs!$B$4="pvp",15,MAX(0.1,Skills!E16-IF(Skills!F16=TRUE,Inputs!$B$31,0))))))/Skills!H16,1)))/Inputs!$B$35),G468*V468)*(1+IF(Inputs!$B$3&gt;=126,0.05*(B488+V465+(H466*B489)/(1+Skills!H14*H466*B489)+V476),0)*Skills!E15)*IF(Inputs!$B$4="pvp",1,(1-Summary!$B$56)*(1)+Summary!$B$56*(MIN(Skills!R16,Inputs!$B$37))),0)</f>
        <v>431072797809838.5</v>
      </c>
      <c r="P468">
        <f>IF(B491=0,0,O468/B491)</f>
        <v>5.1566922562300603E-2</v>
      </c>
      <c r="S468">
        <f>IF(AND(Inputs!$B$4&lt;&gt;"pvp",Inputs!$B$35&gt;0),(INT(Inputs!$B$35/IF(Inputs!$B$4="pvp",15,MAX(0.1,Skills!E16-IF(Skills!F16=TRUE,Inputs!$B$31,0))))+1),0)</f>
        <v>0</v>
      </c>
      <c r="V468">
        <f>IFERROR(1/IF(Inputs!$B$4="pvp",15,MAX(0.1,Skills!E16-IF(Skills!F16=TRUE,Inputs!$B$31,0))),0)</f>
        <v>0.04</v>
      </c>
    </row>
    <row r="469" spans="1:22" x14ac:dyDescent="0.2">
      <c r="A469" t="str">
        <f>Skills!A17</f>
        <v>MAGIC_GUARD</v>
      </c>
      <c r="B469" t="str">
        <f>Skills!B17</f>
        <v>Magic Guard</v>
      </c>
      <c r="C469" t="b">
        <f>TRUE</f>
        <v>1</v>
      </c>
      <c r="D469">
        <f>IF(Skills!C17=1,60+Inputs!$B$24+Inputs!$B$28,IF(Skills!C17=2,90+Inputs!$B$25+Inputs!$B$28,IF(Skills!C17=3,120+Inputs!$B$26+Inputs!$B$28,MAX(0,(Inputs!$B$3-100)*3)+Inputs!$B$27+Inputs!$B$28)))</f>
        <v>115</v>
      </c>
      <c r="E469">
        <f>INDEX(FactorTable!$B$2:$Y$301, MATCH(ROUND(MIN(300,MAX(1,D469)),0), FactorTable!$A$2:$A$301,0), Skills!M17+1)</f>
        <v>1460</v>
      </c>
      <c r="F469">
        <f>IF(Skills!N17=TRUE,(Skills!L17/10)*(E469/1000),Skills!L17/10)+Skills!O17</f>
        <v>17.52</v>
      </c>
      <c r="G469">
        <f>Calc!G17</f>
        <v>1</v>
      </c>
      <c r="H469">
        <f>Calc!H17</f>
        <v>1</v>
      </c>
      <c r="I469">
        <f>IF(Skills!X17&lt;&gt;"",1+(Skills!X17/10)*(R455/1000)/100,1)</f>
        <v>1</v>
      </c>
      <c r="O469">
        <v>0</v>
      </c>
      <c r="P469">
        <f>IF(B491=0,0,O469/B491)</f>
        <v>0</v>
      </c>
      <c r="S469">
        <f>IF(AND(Inputs!$B$4&lt;&gt;"pvp",Inputs!$B$35&gt;0),(INT(Inputs!$B$35/IF(Inputs!$B$4="pvp",15,MAX(0.1,Skills!E17-IF(Skills!F17=TRUE,Inputs!$B$31,0))))+1),0)</f>
        <v>0</v>
      </c>
      <c r="V469">
        <f>IFERROR(1/IF(Inputs!$B$4="pvp",15,MAX(0.1,Skills!E17-IF(Skills!F17=TRUE,Inputs!$B$31,0))),0)</f>
        <v>4.7619047619047616E-2</v>
      </c>
    </row>
    <row r="470" spans="1:22" x14ac:dyDescent="0.2">
      <c r="A470" t="str">
        <f>Skills!A18</f>
        <v>NIMBLE_FEET</v>
      </c>
      <c r="B470" t="str">
        <f>Skills!B18</f>
        <v>Nimble Feet</v>
      </c>
      <c r="C470" t="b">
        <f>TRUE</f>
        <v>1</v>
      </c>
      <c r="D470">
        <f>IF(Skills!C18=1,60+Inputs!$B$24+Inputs!$B$28,IF(Skills!C18=2,90+Inputs!$B$25+Inputs!$B$28,IF(Skills!C18=3,120+Inputs!$B$26+Inputs!$B$28,MAX(0,(Inputs!$B$3-100)*3)+Inputs!$B$27+Inputs!$B$28)))</f>
        <v>115</v>
      </c>
      <c r="E470">
        <f>INDEX(FactorTable!$B$2:$Y$301, MATCH(ROUND(MIN(300,MAX(1,D470)),0), FactorTable!$A$2:$A$301,0), Skills!M18+1)</f>
        <v>0</v>
      </c>
      <c r="F470">
        <f>IF(Skills!N18=TRUE,(Skills!L18/10)*(E470/1000),Skills!L18/10)+Skills!O18</f>
        <v>15</v>
      </c>
      <c r="G470">
        <f>Calc!G18</f>
        <v>1</v>
      </c>
      <c r="H470">
        <f>Calc!H18</f>
        <v>1</v>
      </c>
      <c r="I470">
        <f>IF(Skills!X18&lt;&gt;"",1+(Skills!X18/10)*(R455/1000)/100,1)</f>
        <v>1</v>
      </c>
      <c r="O470">
        <v>0</v>
      </c>
      <c r="P470">
        <f>IF(B491=0,0,O470/B491)</f>
        <v>0</v>
      </c>
      <c r="S470">
        <f>IF(AND(Inputs!$B$4&lt;&gt;"pvp",Inputs!$B$35&gt;0),(INT(Inputs!$B$35/IF(Inputs!$B$4="pvp",15,MAX(0.1,Skills!E18-IF(Skills!F18=TRUE,Inputs!$B$31,0))))+1),0)</f>
        <v>0</v>
      </c>
      <c r="V470">
        <f>IFERROR(1/IF(Inputs!$B$4="pvp",15,MAX(0.1,Skills!E18-IF(Skills!F18=TRUE,Inputs!$B$31,0))),0)</f>
        <v>1.6666666666666666E-2</v>
      </c>
    </row>
    <row r="471" spans="1:22" x14ac:dyDescent="0.2">
      <c r="A471" t="str">
        <f>Skills!A19</f>
        <v>INFINITY</v>
      </c>
      <c r="B471" t="str">
        <f>Skills!B19</f>
        <v>Infinity</v>
      </c>
      <c r="C471" t="b">
        <f>Inputs!$B$3&gt;=110</f>
        <v>1</v>
      </c>
      <c r="D471">
        <f>IF(Skills!C19=1,60+Inputs!$B$24+Inputs!$B$28,IF(Skills!C19=2,90+Inputs!$B$25+Inputs!$B$28,IF(Skills!C19=3,120+Inputs!$B$26+Inputs!$B$28,MAX(0,(Inputs!$B$3-100)*3)+Inputs!$B$27+Inputs!$B$28)))</f>
        <v>172</v>
      </c>
      <c r="E471">
        <f>INDEX(FactorTable!$B$2:$Y$301, MATCH(ROUND(MIN(300,MAX(1,D471)),0), FactorTable!$A$2:$A$301,0), Skills!M19+1)</f>
        <v>1688</v>
      </c>
      <c r="F471">
        <f>IF(Skills!N19=TRUE,(Skills!L19/10)*(E471/1000),Skills!L19/10)+Skills!O19</f>
        <v>36.573895999999998</v>
      </c>
      <c r="G471">
        <f>Calc!G19</f>
        <v>1</v>
      </c>
      <c r="H471">
        <f>Calc!H19</f>
        <v>1</v>
      </c>
      <c r="I471">
        <f>IF(Skills!X19&lt;&gt;"",1+(Skills!X19/10)*(R455/1000)/100,1)</f>
        <v>1</v>
      </c>
      <c r="O471">
        <v>0</v>
      </c>
      <c r="P471">
        <f>IF(B491=0,0,O471/B491)</f>
        <v>0</v>
      </c>
      <c r="S471">
        <f>IF(AND(Inputs!$B$4&lt;&gt;"pvp",Inputs!$B$35&gt;0),(INT(Inputs!$B$35/IF(Inputs!$B$4="pvp",15,MAX(0.1,Skills!E19-IF(Skills!F19=TRUE,Inputs!$B$31,0))))+1),0)</f>
        <v>0</v>
      </c>
      <c r="V471">
        <f>IFERROR(1/IF(Inputs!$B$4="pvp",15,MAX(0.1,Skills!E19-IF(Skills!F19=TRUE,Inputs!$B$31,0))),0)</f>
        <v>3.3333333333333333E-2</v>
      </c>
    </row>
    <row r="472" spans="1:22" x14ac:dyDescent="0.2">
      <c r="A472" t="str">
        <f>Skills!A20</f>
        <v>MAGIC_CRITICAL_RATE</v>
      </c>
      <c r="B472" t="str">
        <f>Skills!B20</f>
        <v>Magic Critical (Crit Rate)</v>
      </c>
      <c r="C472" t="b">
        <f>TRUE</f>
        <v>1</v>
      </c>
      <c r="D472">
        <f>IF(Skills!C20=1,60+Inputs!$B$24+Inputs!$B$28,IF(Skills!C20=2,90+Inputs!$B$25+Inputs!$B$28,IF(Skills!C20=3,120+Inputs!$B$26+Inputs!$B$28,MAX(0,(Inputs!$B$3-100)*3)+Inputs!$B$27+Inputs!$B$28)))</f>
        <v>184</v>
      </c>
      <c r="E472">
        <f>INDEX(FactorTable!$B$2:$Y$301, MATCH(ROUND(MIN(300,MAX(1,D472)),0), FactorTable!$A$2:$A$301,0), Skills!M20+1)</f>
        <v>1552</v>
      </c>
      <c r="F472">
        <f>IF(Skills!N20=TRUE,(Skills!L20/10)*(E472/1000),Skills!L20/10)+Skills!O20</f>
        <v>12.416</v>
      </c>
      <c r="G472">
        <f>Calc!G20</f>
        <v>1</v>
      </c>
      <c r="H472">
        <f>Calc!H20</f>
        <v>1</v>
      </c>
      <c r="I472">
        <f>IF(Skills!X20&lt;&gt;"",1+(Skills!X20/10)*(R455/1000)/100,1)</f>
        <v>1</v>
      </c>
      <c r="O472">
        <v>0</v>
      </c>
      <c r="P472">
        <f>IF(B491=0,0,O472/B491)</f>
        <v>0</v>
      </c>
      <c r="S472">
        <v>0</v>
      </c>
      <c r="V472">
        <f>IFERROR(1/IF(Inputs!$B$4="pvp",15,MAX(0.1,Skills!E20-IF(Skills!F20=TRUE,Inputs!$B$31,0))),0)</f>
        <v>10</v>
      </c>
    </row>
    <row r="473" spans="1:22" x14ac:dyDescent="0.2">
      <c r="A473" t="str">
        <f>Skills!A21</f>
        <v>MAGIC_CRITICAL_DAMAGE</v>
      </c>
      <c r="B473" t="str">
        <f>Skills!B21</f>
        <v>Magic Critical (Crit Damage)</v>
      </c>
      <c r="C473" t="b">
        <f>TRUE</f>
        <v>1</v>
      </c>
      <c r="D473">
        <f>IF(Skills!C21=1,60+Inputs!$B$24+Inputs!$B$28,IF(Skills!C21=2,90+Inputs!$B$25+Inputs!$B$28,IF(Skills!C21=3,120+Inputs!$B$26+Inputs!$B$28,MAX(0,(Inputs!$B$3-100)*3)+Inputs!$B$27+Inputs!$B$28)))</f>
        <v>184</v>
      </c>
      <c r="E473">
        <f>INDEX(FactorTable!$B$2:$Y$301, MATCH(ROUND(MIN(300,MAX(1,D473)),0), FactorTable!$A$2:$A$301,0), Skills!M21+1)</f>
        <v>1552</v>
      </c>
      <c r="F473">
        <f>IF(Skills!N21=TRUE,(Skills!L21/10)*(E473/1000),Skills!L21/10)+Skills!O21</f>
        <v>18.624000000000002</v>
      </c>
      <c r="G473">
        <f>Calc!G21</f>
        <v>1</v>
      </c>
      <c r="H473">
        <f>Calc!H21</f>
        <v>1</v>
      </c>
      <c r="I473">
        <f>IF(Skills!X21&lt;&gt;"",1+(Skills!X21/10)*(R455/1000)/100,1)</f>
        <v>1</v>
      </c>
      <c r="O473">
        <v>0</v>
      </c>
      <c r="P473">
        <f>IF(B491=0,0,O473/B491)</f>
        <v>0</v>
      </c>
      <c r="S473">
        <v>0</v>
      </c>
      <c r="V473">
        <f>IFERROR(1/IF(Inputs!$B$4="pvp",15,MAX(0.1,Skills!E21-IF(Skills!F21=TRUE,Inputs!$B$31,0))),0)</f>
        <v>10</v>
      </c>
    </row>
    <row r="474" spans="1:22" x14ac:dyDescent="0.2">
      <c r="A474" t="str">
        <f>Skills!A22</f>
        <v>SPELL_MASTERY</v>
      </c>
      <c r="B474" t="str">
        <f>Skills!B22</f>
        <v>Spell Mastery</v>
      </c>
      <c r="C474" t="b">
        <f>TRUE</f>
        <v>1</v>
      </c>
      <c r="D474">
        <f>IF(Skills!C22=1,60+Inputs!$B$24+Inputs!$B$28,IF(Skills!C22=2,90+Inputs!$B$25+Inputs!$B$28,IF(Skills!C22=3,120+Inputs!$B$26+Inputs!$B$28,MAX(0,(Inputs!$B$3-100)*3)+Inputs!$B$27+Inputs!$B$28)))</f>
        <v>164</v>
      </c>
      <c r="E474">
        <f>INDEX(FactorTable!$B$2:$Y$301, MATCH(ROUND(MIN(300,MAX(1,D474)),0), FactorTable!$A$2:$A$301,0), Skills!M22+1)</f>
        <v>1492</v>
      </c>
      <c r="F474">
        <f>IF(Skills!N22=TRUE,(Skills!L22/10)*(E474/1000),Skills!L22/10)+Skills!O22</f>
        <v>22.38</v>
      </c>
      <c r="G474">
        <f>Calc!G22</f>
        <v>1</v>
      </c>
      <c r="H474">
        <f>Calc!H22</f>
        <v>1</v>
      </c>
      <c r="I474">
        <f>IF(Skills!X22&lt;&gt;"",1+(Skills!X22/10)*(R455/1000)/100,1)</f>
        <v>1</v>
      </c>
      <c r="O474">
        <v>0</v>
      </c>
      <c r="P474">
        <f>IF(B491=0,0,O474/B491)</f>
        <v>0</v>
      </c>
      <c r="S474">
        <v>0</v>
      </c>
      <c r="V474">
        <f>IFERROR(1/IF(Inputs!$B$4="pvp",15,MAX(0.1,Skills!E22-IF(Skills!F22=TRUE,Inputs!$B$31,0))),0)</f>
        <v>10</v>
      </c>
    </row>
    <row r="475" spans="1:22" x14ac:dyDescent="0.2">
      <c r="A475" t="str">
        <f>Skills!A23</f>
        <v>ELEMENT_AMPLIFICATION</v>
      </c>
      <c r="B475" t="str">
        <f>Skills!B23</f>
        <v>Element Amplification</v>
      </c>
      <c r="C475" t="b">
        <f>TRUE</f>
        <v>1</v>
      </c>
      <c r="D475">
        <f>IF(Skills!C23=1,60+Inputs!$B$24+Inputs!$B$28,IF(Skills!C23=2,90+Inputs!$B$25+Inputs!$B$28,IF(Skills!C23=3,120+Inputs!$B$26+Inputs!$B$28,MAX(0,(Inputs!$B$3-100)*3)+Inputs!$B$27+Inputs!$B$28)))</f>
        <v>172</v>
      </c>
      <c r="E475">
        <f>INDEX(FactorTable!$B$2:$Y$301, MATCH(ROUND(MIN(300,MAX(1,D475)),0), FactorTable!$A$2:$A$301,0), Skills!M23+1)</f>
        <v>1516</v>
      </c>
      <c r="F475">
        <f>IF(Skills!N23=TRUE,(Skills!L23/10)*(E475/1000),Skills!L23/10)+Skills!O23</f>
        <v>22.740000000000002</v>
      </c>
      <c r="G475">
        <f>Calc!G23</f>
        <v>1</v>
      </c>
      <c r="H475">
        <f>Calc!H23</f>
        <v>1</v>
      </c>
      <c r="I475">
        <f>IF(Skills!X23&lt;&gt;"",1+(Skills!X23/10)*(R455/1000)/100,1)</f>
        <v>1</v>
      </c>
      <c r="O475">
        <v>0</v>
      </c>
      <c r="P475">
        <f>IF(B491=0,0,O475/B491)</f>
        <v>0</v>
      </c>
      <c r="S475">
        <v>0</v>
      </c>
      <c r="V475">
        <f>IFERROR(1/IF(Inputs!$B$4="pvp",15,MAX(0.1,Skills!E23-IF(Skills!F23=TRUE,Inputs!$B$31,0))),0)</f>
        <v>10</v>
      </c>
    </row>
    <row r="476" spans="1:22" x14ac:dyDescent="0.2">
      <c r="A476" t="str">
        <f>Skills!A24</f>
        <v>IFRIT</v>
      </c>
      <c r="B476" t="str">
        <f>Skills!B24</f>
        <v>Ifrit</v>
      </c>
      <c r="C476" t="b">
        <f>Inputs!$B$3&gt;=115</f>
        <v>0</v>
      </c>
      <c r="D476">
        <f>IF(Skills!C24=1,60+Inputs!$B$24+Inputs!$B$28,IF(Skills!C24=2,90+Inputs!$B$25+Inputs!$B$28,IF(Skills!C24=3,120+Inputs!$B$26+Inputs!$B$28,MAX(0,(Inputs!$B$3-100)*3)+Inputs!$B$27+Inputs!$B$28)))</f>
        <v>172</v>
      </c>
      <c r="E476">
        <f>INDEX(FactorTable!$B$2:$Y$301, MATCH(ROUND(MIN(300,MAX(1,D476)),0), FactorTable!$A$2:$A$301,0), Skills!M24+1)</f>
        <v>1860</v>
      </c>
      <c r="F476">
        <f>IF(Skills!N24=TRUE,(Skills!L24/10)*(E476/1000),Skills!L24/10)+Skills!O24</f>
        <v>6510</v>
      </c>
      <c r="G476">
        <f>Calc!G24</f>
        <v>7.5</v>
      </c>
      <c r="H476">
        <f>Calc!H24</f>
        <v>1</v>
      </c>
      <c r="I476">
        <f>IF(Skills!X24&lt;&gt;"",1+(Skills!X24/10)*(R455/1000)/100,1)</f>
        <v>1</v>
      </c>
      <c r="J476">
        <f>((Inputs!$B$5*(1+Inputs!$B$6/100))+((Inputs!$B$11*(1+Inputs!$B$12/100))-(Inputs!$B$11*(1+Inputs!$B$12/100)))*(1+Inputs!$B$6/100))*(F476/100)</f>
        <v>16263999540.532799</v>
      </c>
      <c r="K476">
        <f>J476*(1+((Inputs!$B$11*(1+Inputs!$B$12/100))*0.01+Inputs!$B$13*0.0025)/100)*(1+Inputs!$B$14/100)*(1+IF(Inputs!$B$4="pvp",0,(1-Summary!$B$56)*(Inputs!$B$19+Skills!P24)+Summary!$B$56*(Inputs!$B$20+Skills!Q24))/100)*(1+Inputs!$B$15/100)*(5000/(6000+Inputs!$B$7*(1-Inputs!$B$18/100)))*(1+Inputs!$B$23/100)*(1+F475/100)*(1+IF(Inputs!$B$3&gt;=120,F478,0)/100)^5*(1+(IF(Skills!A24="BASIC_ATTACK",Inputs!$B$16,Inputs!$B$17+IF(Inputs!$B$3&gt;=125,F479*5,0)))/100)*(B482*B483*B484*I476)</f>
        <v>123735236722176.92</v>
      </c>
      <c r="L476">
        <f>K476*(MIN(Inputs!$B$21+(F474-Calc!F22),Inputs!$B$22)/100+Inputs!$B$22/100)/2</f>
        <v>334023271531516.56</v>
      </c>
      <c r="M476">
        <f>L476*(1+((Inputs!$B$9+1)+(F473-Calc!F21))/100)</f>
        <v>1403231763703901.2</v>
      </c>
      <c r="N476">
        <f>L476*(1-MIN(Inputs!$B$8+(F472-Calc!F20),100)/100)+M476*(MIN(Inputs!$B$8+(F472-Calc!F20),100)/100)</f>
        <v>1403231763703901.2</v>
      </c>
      <c r="O476">
        <f>IF(C476,H476*N476*IF(AND(Inputs!$B$4&lt;&gt;"pvp",Inputs!$B$35&gt;0),((Skills!G24*((S476-1)*IF(Skills!H24&gt;0,Skills!I24/Skills!H24,1)+IF(Skills!H24&gt;0,MIN(Skills!I24,MAX(0,Inputs!$B$35-((S476-1)*IF(Inputs!$B$4="pvp",15,MAX(0.1,Skills!E24-IF(Skills!F24=TRUE,Inputs!$B$31,0))))))/Skills!H24,1)))/Inputs!$B$35),G476*V476)*(1+IF(Inputs!$B$3&gt;=130,0.2*(Skills!I16/Skills!E15+IF(Inputs!$B$3&gt;=126,0.05*(B488+V465+(H466*B489)/(1+Skills!H14*H466*B489)+V476),0)*Skills!I16),0))*IF(Inputs!$B$4="pvp",1,(1-Summary!$B$56)*(1)+Summary!$B$56*(MIN(Skills!R24,Inputs!$B$37))),0)</f>
        <v>0</v>
      </c>
      <c r="P476">
        <f>IF(B491=0,0,O476/B491)</f>
        <v>0</v>
      </c>
      <c r="S476">
        <f>IF(AND(Inputs!$B$4&lt;&gt;"pvp",Inputs!$B$35&gt;0),(INT(Inputs!$B$35/IF(Inputs!$B$4="pvp",15,MAX(0.1,Skills!E24-IF(Skills!F24=TRUE,Inputs!$B$31,0))))+1),0)</f>
        <v>0</v>
      </c>
      <c r="V476">
        <f>IFERROR(1/IF(Inputs!$B$4="pvp",15,MAX(0.1,Skills!E24-IF(Skills!F24=TRUE,Inputs!$B$31,0))),0)</f>
        <v>1.2500000000000001E-2</v>
      </c>
    </row>
    <row r="477" spans="1:22" x14ac:dyDescent="0.2">
      <c r="A477" t="str">
        <f>Skills!A25</f>
        <v>BUFF_MASTERY</v>
      </c>
      <c r="B477" t="str">
        <f>Skills!B25</f>
        <v>Buff Mastery</v>
      </c>
      <c r="C477" t="b">
        <f>Inputs!$B$3&gt;=117</f>
        <v>0</v>
      </c>
      <c r="D477">
        <f>IF(Skills!C25=1,60+Inputs!$B$24+Inputs!$B$28,IF(Skills!C25=2,90+Inputs!$B$25+Inputs!$B$28,IF(Skills!C25=3,120+Inputs!$B$26+Inputs!$B$28,MAX(0,(Inputs!$B$3-100)*3)+Inputs!$B$27+Inputs!$B$28)))</f>
        <v>172</v>
      </c>
      <c r="E477">
        <f>INDEX(FactorTable!$B$2:$Y$301, MATCH(ROUND(MIN(300,MAX(1,D477)),0), FactorTable!$A$2:$A$301,0), Skills!M25+1)</f>
        <v>1516</v>
      </c>
      <c r="F477">
        <f>IF(Skills!N25=TRUE,(Skills!L25/10)*(E477/1000),Skills!L25/10)+Skills!O25</f>
        <v>15.16</v>
      </c>
      <c r="G477">
        <f>Calc!G25</f>
        <v>1</v>
      </c>
      <c r="H477">
        <f>Calc!H25</f>
        <v>1</v>
      </c>
      <c r="I477">
        <f>IF(Skills!X25&lt;&gt;"",1+(Skills!X25/10)*(R455/1000)/100,1)</f>
        <v>1</v>
      </c>
      <c r="O477">
        <v>0</v>
      </c>
      <c r="P477">
        <f>IF(B491=0,0,O477/B491)</f>
        <v>0</v>
      </c>
      <c r="S477">
        <v>0</v>
      </c>
      <c r="V477">
        <f>IFERROR(1/IF(Inputs!$B$4="pvp",15,MAX(0.1,Skills!E25-IF(Skills!F25=TRUE,Inputs!$B$31,0))),0)</f>
        <v>10</v>
      </c>
    </row>
    <row r="478" spans="1:22" x14ac:dyDescent="0.2">
      <c r="A478" t="str">
        <f>Skills!A26</f>
        <v>ARCANE_AIM</v>
      </c>
      <c r="B478" t="str">
        <f>Skills!B26</f>
        <v>Arcane Aim</v>
      </c>
      <c r="C478" t="b">
        <f>Inputs!$B$3&gt;=120</f>
        <v>0</v>
      </c>
      <c r="D478">
        <f>IF(Skills!C26=1,60+Inputs!$B$24+Inputs!$B$28,IF(Skills!C26=2,90+Inputs!$B$25+Inputs!$B$28,IF(Skills!C26=3,120+Inputs!$B$26+Inputs!$B$28,MAX(0,(Inputs!$B$3-100)*3)+Inputs!$B$27+Inputs!$B$28)))</f>
        <v>172</v>
      </c>
      <c r="E478">
        <f>INDEX(FactorTable!$B$2:$Y$301, MATCH(ROUND(MIN(300,MAX(1,D478)),0), FactorTable!$A$2:$A$301,0), Skills!M26+1)</f>
        <v>1516</v>
      </c>
      <c r="F478">
        <f>IF(Skills!N26=TRUE,(Skills!L26/10)*(E478/1000),Skills!L26/10)+Skills!O26</f>
        <v>4.548</v>
      </c>
      <c r="G478">
        <f>Calc!G26</f>
        <v>1</v>
      </c>
      <c r="H478">
        <f>Calc!H26</f>
        <v>1</v>
      </c>
      <c r="I478">
        <f>IF(Skills!X26&lt;&gt;"",1+(Skills!X26/10)*(R455/1000)/100,1)</f>
        <v>1</v>
      </c>
      <c r="O478">
        <v>0</v>
      </c>
      <c r="P478">
        <f>IF(B491=0,0,O478/B491)</f>
        <v>0</v>
      </c>
      <c r="S478">
        <v>0</v>
      </c>
      <c r="V478">
        <f>IFERROR(1/IF(Inputs!$B$4="pvp",15,MAX(0.1,Skills!E26-IF(Skills!F26=TRUE,Inputs!$B$31,0))),0)</f>
        <v>10</v>
      </c>
    </row>
    <row r="479" spans="1:22" x14ac:dyDescent="0.2">
      <c r="A479" t="str">
        <f>Skills!A27</f>
        <v>FERVENT_DRAIN</v>
      </c>
      <c r="B479" t="str">
        <f>Skills!B27</f>
        <v>Fervent Drain</v>
      </c>
      <c r="C479" t="b">
        <f>Inputs!$B$3&gt;=125</f>
        <v>0</v>
      </c>
      <c r="D479">
        <f>IF(Skills!C27=1,60+Inputs!$B$24+Inputs!$B$28,IF(Skills!C27=2,90+Inputs!$B$25+Inputs!$B$28,IF(Skills!C27=3,120+Inputs!$B$26+Inputs!$B$28,MAX(0,(Inputs!$B$3-100)*3)+Inputs!$B$27+Inputs!$B$28)))</f>
        <v>172</v>
      </c>
      <c r="E479">
        <f>INDEX(FactorTable!$B$2:$Y$301, MATCH(ROUND(MIN(300,MAX(1,D479)),0), FactorTable!$A$2:$A$301,0), Skills!M27+1)</f>
        <v>1516</v>
      </c>
      <c r="F479">
        <f>IF(Skills!N27=TRUE,(Skills!L27/10)*(E479/1000),Skills!L27/10)+Skills!O27</f>
        <v>6.0640000000000001</v>
      </c>
      <c r="G479">
        <f>Calc!G27</f>
        <v>1</v>
      </c>
      <c r="H479">
        <f>Calc!H27</f>
        <v>1</v>
      </c>
      <c r="I479">
        <f>IF(Skills!X27&lt;&gt;"",1+(Skills!X27/10)*(R455/1000)/100,1)</f>
        <v>1</v>
      </c>
      <c r="O479">
        <v>0</v>
      </c>
      <c r="P479">
        <f>IF(B491=0,0,O479/B491)</f>
        <v>0</v>
      </c>
      <c r="S479">
        <v>0</v>
      </c>
      <c r="V479">
        <f>IFERROR(1/IF(Inputs!$B$4="pvp",15,MAX(0.1,Skills!E27-IF(Skills!F27=TRUE,Inputs!$B$31,0))),0)</f>
        <v>10</v>
      </c>
    </row>
    <row r="480" spans="1:22" x14ac:dyDescent="0.2">
      <c r="A480" t="str">
        <f>Skills!A28</f>
        <v>FLAME_HAZE_FOG</v>
      </c>
      <c r="B480" t="str">
        <f>Skills!B28</f>
        <v>Flame Haze (poison fog DoT)</v>
      </c>
      <c r="C480" t="b">
        <f>Inputs!$B$3&gt;=118</f>
        <v>0</v>
      </c>
      <c r="D480">
        <f>IF(Skills!C28=1,60+Inputs!$B$24+Inputs!$B$28,IF(Skills!C28=2,90+Inputs!$B$25+Inputs!$B$28,IF(Skills!C28=3,120+Inputs!$B$26+Inputs!$B$28,MAX(0,(Inputs!$B$3-100)*3)+Inputs!$B$27+Inputs!$B$28)))</f>
        <v>172</v>
      </c>
      <c r="E480">
        <f>INDEX(FactorTable!$B$2:$Y$301, MATCH(ROUND(MIN(300,MAX(1,D480)),0), FactorTable!$A$2:$A$301,0), Skills!M28+1)</f>
        <v>1860</v>
      </c>
      <c r="F480">
        <f>IF(Skills!N28=TRUE,(Skills!L28/10)*(E480/1000),Skills!L28/10)+Skills!O28</f>
        <v>130.20000000000002</v>
      </c>
      <c r="G480">
        <f>Calc!G28</f>
        <v>50</v>
      </c>
      <c r="H480">
        <f>Calc!H28</f>
        <v>1</v>
      </c>
      <c r="I480">
        <f>IF(Skills!X28&lt;&gt;"",1+(Skills!X28/10)*(R455/1000)/100,1)</f>
        <v>1</v>
      </c>
      <c r="J480">
        <f>((Inputs!$B$5*(1+Inputs!$B$6/100))+((Inputs!$B$11*(1+Inputs!$B$12/100))-(Inputs!$B$11*(1+Inputs!$B$12/100)))*(1+Inputs!$B$6/100))*(F480/100)</f>
        <v>325279990.81065607</v>
      </c>
      <c r="K480">
        <f>J480*(1+((Inputs!$B$11*(1+Inputs!$B$12/100))*0.01+Inputs!$B$13*0.0025)/100)*(1+Inputs!$B$14/100)*(1+IF(Inputs!$B$4="pvp",0,(1-Summary!$B$56)*(Inputs!$B$19+Skills!P28)+Summary!$B$56*(Inputs!$B$20+Skills!Q28))/100)*(1+Inputs!$B$15/100)*(5000/(6000+Inputs!$B$7*(1-Inputs!$B$18/100)))*(1+Inputs!$B$23/100)*(1+F475/100)*(1+IF(Inputs!$B$3&gt;=120,F478,0)/100)^5*(1+(IF(Skills!A28="BASIC_ATTACK",Inputs!$B$16,Inputs!$B$17+IF(Inputs!$B$3&gt;=125,F479*5,0)))/100)*(B482*B483*B484*I480)</f>
        <v>2474704734443.54</v>
      </c>
      <c r="L480">
        <f>K480*(MIN(Inputs!$B$21+(F474-Calc!F22),Inputs!$B$22)/100+Inputs!$B$22/100)/2</f>
        <v>6680465430630.335</v>
      </c>
      <c r="M480">
        <f>L480*(1+((Inputs!$B$9+1)+(F473-Calc!F21))/100)</f>
        <v>28064635274078.039</v>
      </c>
      <c r="N480">
        <f>L480*(1-MIN(Inputs!$B$8+(F472-Calc!F20),100)/100)+M480*(MIN(Inputs!$B$8+(F472-Calc!F20),100)/100)</f>
        <v>28064635274078.039</v>
      </c>
      <c r="O480">
        <f>IF(C480,H480*N480*IF(AND(Inputs!$B$4&lt;&gt;"pvp",Inputs!$B$35&gt;0),((Skills!G28*((S480-1)*IF(Skills!H28&gt;0,Skills!I28/Skills!H28,1)+IF(Skills!H28&gt;0,MIN(Skills!I28,MAX(0,Inputs!$B$35-((S480-1)*IF(Inputs!$B$4="pvp",15,MAX(0.1,Skills!E28-IF(Skills!F28=TRUE,Inputs!$B$31,0))))))/Skills!H28,1)))/Inputs!$B$35),G480*V480)*IF(Inputs!$B$4="pvp",1,(1-Summary!$B$56)*(1)+Summary!$B$56*(MIN(Skills!R28,Inputs!$B$37))),0)</f>
        <v>0</v>
      </c>
      <c r="P480">
        <f>IF(B491=0,0,O480/B491)</f>
        <v>0</v>
      </c>
      <c r="S480">
        <f>IF(AND(Inputs!$B$4&lt;&gt;"pvp",Inputs!$B$35&gt;0),(INT(Inputs!$B$35/IF(Inputs!$B$4="pvp",15,MAX(0.1,Skills!E28-IF(Skills!F28=TRUE,Inputs!$B$31,0))))+1),0)</f>
        <v>0</v>
      </c>
      <c r="V480">
        <f>IFERROR(1/IF(Inputs!$B$4="pvp",15,MAX(0.1,Skills!E28-IF(Skills!F28=TRUE,Inputs!$B$31,0))),0)</f>
        <v>0.04</v>
      </c>
    </row>
    <row r="482" spans="1:22" x14ac:dyDescent="0.2">
      <c r="A482" t="s">
        <v>222</v>
      </c>
      <c r="B482">
        <f>1+(F463*Skills!Z11)/100</f>
        <v>1.25</v>
      </c>
    </row>
    <row r="483" spans="1:22" x14ac:dyDescent="0.2">
      <c r="A483" t="s">
        <v>223</v>
      </c>
      <c r="B483">
        <f>1+F464/100</f>
        <v>1.18624</v>
      </c>
    </row>
    <row r="484" spans="1:22" x14ac:dyDescent="0.2">
      <c r="A484" t="s">
        <v>224</v>
      </c>
      <c r="B484">
        <f>(1+(F458*IF(AND(Inputs!$B$4&lt;&gt;"pvp",Inputs!$B$35&gt;0),(((S458-1)*(Skills!T6*(1+(Inputs!$B$33+IF(Inputs!$B$3&gt;=117,F477,0))/100))+MIN((Skills!T6*(1+(Inputs!$B$33+IF(Inputs!$B$3&gt;=117,F477,0))/100)),MAX(0,Inputs!$B$35-((S458-1)*Skills!E6))))/Inputs!$B$35),IF(Inputs!$B$4="pvp",MIN((Skills!T6*(1+(Inputs!$B$33+IF(Inputs!$B$3&gt;=117,F477,0))/100)),15)/15,(Skills!T6*(1+(Inputs!$B$33+IF(Inputs!$B$3&gt;=117,F477,0))/100))/Skills!E6))+F469*IF(AND(Inputs!$B$4&lt;&gt;"pvp",Inputs!$B$35&gt;0),(((S469-1)*(Skills!T17*(1+(Inputs!$B$33+IF(Inputs!$B$3&gt;=117,F477,0))/100))+MIN((Skills!T17*(1+(Inputs!$B$33+IF(Inputs!$B$3&gt;=117,F477,0))/100)),MAX(0,Inputs!$B$35-((S469-1)*Skills!E17))))/Inputs!$B$35),IF(Inputs!$B$4="pvp",MIN((Skills!T17*(1+(Inputs!$B$33+IF(Inputs!$B$3&gt;=117,F477,0))/100)),15)/15,(Skills!T17*(1+(Inputs!$B$33+IF(Inputs!$B$3&gt;=117,F477,0))/100))/Skills!E17)))/100)*IF(C471=TRUE,(1+F471*IF(AND(Inputs!$B$4&lt;&gt;"pvp",Inputs!$B$35&gt;0),(((S471-1)*(Skills!T19*(1+(Inputs!$B$33+IF(Inputs!$B$3&gt;=117,F477,0))/100))+MIN((Skills!T19*(1+(Inputs!$B$33+IF(Inputs!$B$3&gt;=117,F477,0))/100)),MAX(0,Inputs!$B$35-((S471-1)*Skills!E19))))/Inputs!$B$35),IF(Inputs!$B$4="pvp",MIN((Skills!T19*(1+(Inputs!$B$33+IF(Inputs!$B$3&gt;=117,F477,0))/100)),15)/15,(Skills!T19*(1+(Inputs!$B$33+IF(Inputs!$B$3&gt;=117,F477,0))/100))/Skills!E19))/100),1)</f>
        <v>1.5603265106950857</v>
      </c>
    </row>
    <row r="485" spans="1:22" x14ac:dyDescent="0.2">
      <c r="A485" t="s">
        <v>225</v>
      </c>
      <c r="B485">
        <f>F470*IF(AND(Inputs!$B$4&lt;&gt;"pvp",Inputs!$B$35&gt;0),(((S470-1)*(Skills!T18*(1+(Inputs!$B$33+IF(Inputs!$B$3&gt;=117,F477,0))/100))+MIN((Skills!T18*(1+(Inputs!$B$33+IF(Inputs!$B$3&gt;=117,F477,0))/100)),MAX(0,Inputs!$B$35-((S470-1)*Skills!E18))))/Inputs!$B$35),IF(Inputs!$B$4="pvp",MIN((Skills!T18*(1+(Inputs!$B$33+IF(Inputs!$B$3&gt;=117,F477,0))/100)),15)/15,(Skills!T18*(1+(Inputs!$B$33+IF(Inputs!$B$3&gt;=117,F477,0))/100))/Skills!E18))</f>
        <v>3.75</v>
      </c>
    </row>
    <row r="486" spans="1:22" x14ac:dyDescent="0.2">
      <c r="A486" t="s">
        <v>253</v>
      </c>
      <c r="B486">
        <f>1+MIN(150,150*(1-(1-Inputs!$B$10/150)*(1-B485/150)))/100</f>
        <v>1.6371249999999999</v>
      </c>
    </row>
    <row r="487" spans="1:22" x14ac:dyDescent="0.2">
      <c r="A487" t="s">
        <v>254</v>
      </c>
      <c r="B487">
        <f>IF(AND(Inputs!$B$4&lt;&gt;"pvp",Inputs!$B$35&gt;0),SUMPRODUCT((Skills!F2:F28=TRUE)*(C454:C480=TRUE)*S454:S480)/Inputs!$B$35,SUMPRODUCT((Skills!F2:F28=TRUE)*(C454:C480=TRUE)*V454:V480))</f>
        <v>0.33466433037861604</v>
      </c>
    </row>
    <row r="488" spans="1:22" x14ac:dyDescent="0.2">
      <c r="A488" t="s">
        <v>228</v>
      </c>
      <c r="B488">
        <f>MAX(0,B486-B487)</f>
        <v>1.3024606696213838</v>
      </c>
    </row>
    <row r="489" spans="1:22" x14ac:dyDescent="0.2">
      <c r="A489" t="s">
        <v>255</v>
      </c>
      <c r="B489">
        <f>IF(AND(Inputs!$B$4&lt;&gt;"pvp",Inputs!$B$35&gt;0),SUMPRODUCT((Skills!V2:V28=TRUE)*(C454:C480=TRUE)*S454:S480*Skills!W2:W28)/Inputs!$B$35,SUMPRODUCT((Skills!V2:V28=TRUE)*(C454:C480=TRUE)*V454:V480*Skills!W2:W28))+B488</f>
        <v>1.5297416426166426</v>
      </c>
    </row>
    <row r="491" spans="1:22" x14ac:dyDescent="0.2">
      <c r="A491" s="5" t="s">
        <v>208</v>
      </c>
      <c r="B491" s="5">
        <f>SUM(O454:O480)</f>
        <v>8359482714700256</v>
      </c>
    </row>
    <row r="494" spans="1:22" x14ac:dyDescent="0.2">
      <c r="A494" s="5" t="s">
        <v>266</v>
      </c>
    </row>
    <row r="495" spans="1:22" x14ac:dyDescent="0.2">
      <c r="A495" s="8" t="s">
        <v>74</v>
      </c>
      <c r="B495" s="8" t="s">
        <v>75</v>
      </c>
      <c r="C495" s="8" t="s">
        <v>190</v>
      </c>
      <c r="D495" s="8" t="s">
        <v>191</v>
      </c>
      <c r="E495" s="8" t="s">
        <v>192</v>
      </c>
      <c r="F495" s="8" t="s">
        <v>193</v>
      </c>
      <c r="G495" s="8" t="s">
        <v>194</v>
      </c>
      <c r="H495" s="8" t="s">
        <v>195</v>
      </c>
      <c r="I495" s="8" t="s">
        <v>196</v>
      </c>
      <c r="J495" s="8" t="s">
        <v>197</v>
      </c>
      <c r="K495" s="8" t="s">
        <v>198</v>
      </c>
      <c r="L495" s="8" t="s">
        <v>199</v>
      </c>
      <c r="M495" s="8" t="s">
        <v>200</v>
      </c>
      <c r="N495" s="8" t="s">
        <v>201</v>
      </c>
      <c r="O495" s="8" t="s">
        <v>202</v>
      </c>
      <c r="P495" s="8" t="s">
        <v>203</v>
      </c>
      <c r="R495" t="s">
        <v>252</v>
      </c>
    </row>
    <row r="496" spans="1:22" x14ac:dyDescent="0.2">
      <c r="A496" t="str">
        <f>Skills!A2</f>
        <v>BASIC_ATTACK</v>
      </c>
      <c r="B496" t="str">
        <f>Skills!B2</f>
        <v>Basic Attack</v>
      </c>
      <c r="C496" t="b">
        <f>TRUE</f>
        <v>1</v>
      </c>
      <c r="F496">
        <f>T498+Skills!O2</f>
        <v>510.52</v>
      </c>
      <c r="G496">
        <f>Calc!G2</f>
        <v>5</v>
      </c>
      <c r="H496">
        <f>Calc!H2</f>
        <v>1</v>
      </c>
      <c r="I496">
        <f>IF(Skills!X2&lt;&gt;"",1+(Skills!X2/10)*(R497/1000)/100,1)</f>
        <v>1</v>
      </c>
      <c r="J496">
        <f>((Inputs!$B$5*(1+Inputs!$B$6/100))+((Inputs!$B$11*(1+Inputs!$B$12/100))-(Inputs!$B$11*(1+Inputs!$B$12/100)))*(1+Inputs!$B$6/100))*(F496/100)</f>
        <v>1275437334.1678655</v>
      </c>
      <c r="K496">
        <f>J496*(1+((Inputs!$B$11*(1+Inputs!$B$12/100))*0.01+Inputs!$B$13*0.0025)/100)*(1+Inputs!$B$14/100)*(1+IF(Inputs!$B$4="pvp",0,(1-Summary!$B$56)*(Inputs!$B$19+Skills!P2)+Summary!$B$56*(Inputs!$B$20+Skills!Q2))/100)*(1+Inputs!$B$15/100)*(5000/(6000+Inputs!$B$7*(1-Inputs!$B$18/100)))*(1+Inputs!$B$23/100)*(1+F517/100)*(1+IF(Inputs!$B$3&gt;=120,F520,0)/100)^5*(1+(IF(Skills!A2="BASIC_ATTACK",Inputs!$B$16,Inputs!$B$17+IF(Inputs!$B$3&gt;=125,F521*5,0)))/100)*(B524*B525*B526*I496)</f>
        <v>6960952567530.5723</v>
      </c>
      <c r="L496">
        <f>K496*(MIN(Inputs!$B$21+(F516-Calc!F22),Inputs!$B$22)/100+Inputs!$B$22/100)/2</f>
        <v>18791091456048.777</v>
      </c>
      <c r="M496">
        <f>L496*(1+(Inputs!$B$9+(F515-Calc!F21))/100)</f>
        <v>78753464292300.438</v>
      </c>
      <c r="N496">
        <f>L496*(1-MIN(Inputs!$B$8+(F514-Calc!F20),100)/100)+M496*(MIN(Inputs!$B$8+(F514-Calc!F20),100)/100)</f>
        <v>78753464292300.438</v>
      </c>
      <c r="O496">
        <f>Skills!G2*N496*B530*IF(Inputs!$B$4="pvp",1,(1-Summary!$B$56)*(1)+Summary!$B$56*(MIN((6+Inputs!$B$32+IF(Inputs!$B$3&gt;=136,1,0)),Inputs!$B$37)))</f>
        <v>3915000127338803.5</v>
      </c>
      <c r="P496">
        <f>IF(B533=0,0,O496/B533)</f>
        <v>0.46846517270317212</v>
      </c>
      <c r="R496">
        <f>MAX(0,(Inputs!$B$3-100)*3)+Inputs!$B$27+Inputs!$B$28</f>
        <v>172</v>
      </c>
      <c r="S496">
        <v>0</v>
      </c>
      <c r="T496">
        <f>MAX(0,(Inputs!$B$3-100)*3)+Inputs!$B$27+Inputs!$B$28</f>
        <v>172</v>
      </c>
      <c r="V496">
        <f>IFERROR(1/IF(Inputs!$B$4="pvp",15,MAX(0.1,Skills!E2-IF(Skills!F2=TRUE,Inputs!$B$31,0))),0)</f>
        <v>10</v>
      </c>
    </row>
    <row r="497" spans="1:22" x14ac:dyDescent="0.2">
      <c r="A497" t="str">
        <f>Skills!A3</f>
        <v>IGNITE</v>
      </c>
      <c r="B497" t="str">
        <f>Skills!B3</f>
        <v>Ignite</v>
      </c>
      <c r="C497" t="b">
        <f>TRUE</f>
        <v>1</v>
      </c>
      <c r="D497">
        <f>IF(Skills!C3=1,60+Inputs!$B$24+Inputs!$B$28,IF(Skills!C3=2,90+Inputs!$B$25+Inputs!$B$28,IF(Skills!C3=3,120+Inputs!$B$26+Inputs!$B$28,MAX(0,(Inputs!$B$3-100)*3)+Inputs!$B$27+Inputs!$B$28)))</f>
        <v>164</v>
      </c>
      <c r="E497">
        <f>INDEX(FactorTable!$B$2:$Y$301, MATCH(ROUND(MIN(300,MAX(1,D497)),0), FactorTable!$A$2:$A$301,0), Skills!M3+1)</f>
        <v>1656</v>
      </c>
      <c r="F497">
        <f>IF(Skills!N3=TRUE,(Skills!L3/10)*(E497/1000),Skills!L3/10)+Skills!O3</f>
        <v>121.52799999999999</v>
      </c>
      <c r="G497">
        <f>Calc!G3</f>
        <v>3</v>
      </c>
      <c r="H497">
        <f>Calc!H3</f>
        <v>1</v>
      </c>
      <c r="I497">
        <f>IF(Skills!X3&lt;&gt;"",1+(Skills!X3/10)*(R497/1000)/100,1)</f>
        <v>4.76</v>
      </c>
      <c r="J497">
        <f>((Inputs!$B$5*(1+Inputs!$B$6/100))+((Inputs!$B$11*(1+Inputs!$B$12/100))-(Inputs!$B$11*(1+Inputs!$B$12/100)))*(1+Inputs!$B$6/100))*(F497/100)</f>
        <v>303614644.57171583</v>
      </c>
      <c r="K497">
        <f>J497*(1+((Inputs!$B$11*(1+Inputs!$B$12/100))*0.01+Inputs!$B$13*0.0025)/100)*(1+Inputs!$B$14/100)*(1+IF(Inputs!$B$4="pvp",0,(1-Summary!$B$56)*(Inputs!$B$19+Skills!P3)+Summary!$B$56*(Inputs!$B$20+Skills!Q3))/100)*(1+Inputs!$B$15/100)*(5000/(6000+Inputs!$B$7*(1-Inputs!$B$18/100)))*(1+Inputs!$B$23/100)*(1+F517/100)*(1+IF(Inputs!$B$3&gt;=120,F520,0)/100)^5*(1+(IF(Skills!A3="BASIC_ATTACK",Inputs!$B$16,Inputs!$B$17+IF(Inputs!$B$3&gt;=125,F521*5,0)))/100)*(B524*B525*B526*I497)</f>
        <v>10995012018164.998</v>
      </c>
      <c r="L497">
        <f>K497*(MIN(Inputs!$B$21+(F516-Calc!F22),Inputs!$B$22)/100+Inputs!$B$22/100)/2</f>
        <v>29681034943036.406</v>
      </c>
      <c r="M497">
        <f>L497*(1+(Inputs!$B$9+(F515-Calc!F21))/100)</f>
        <v>124393217446265.59</v>
      </c>
      <c r="N497">
        <f>L497*(1-MIN(Inputs!$B$8+(F514-Calc!F20),100)/100)+M497*(MIN(Inputs!$B$8+(F514-Calc!F20),100)/100)</f>
        <v>124393217446265.59</v>
      </c>
      <c r="O497">
        <f>IF(C497,H497*N497*IF(AND(Inputs!$B$4&lt;&gt;"pvp",Inputs!$B$35&gt;0),((Skills!G3*((S497-1)*IF(Skills!H3&gt;0,Skills!I3/Skills!H3,1)+IF(Skills!H3&gt;0,MIN(Skills!I3,MAX(0,Inputs!$B$35-((S497-1)*IF(Inputs!$B$4="pvp",15,MAX(0.1,Skills!E3-IF(Skills!F3=TRUE,Inputs!$B$31,0))))))/Skills!H3,1)))/Inputs!$B$35),G497*V497)*IF(Inputs!$B$4="pvp",1,(1-Summary!$B$56)*(1)+Summary!$B$56*(MIN(Skills!R3,Inputs!$B$37))),0)</f>
        <v>820995235145352.75</v>
      </c>
      <c r="P497">
        <f>IF(B533=0,0,O497/B533)</f>
        <v>9.8239505009233216E-2</v>
      </c>
      <c r="R497">
        <f>INDEX(FactorTable!$B$2:$Y$301, MATCH(ROUND(MIN(300,MAX(1,R496)),0), FactorTable!$A$2:$A$301,0), 24)</f>
        <v>7520</v>
      </c>
      <c r="S497">
        <f>IF(AND(Inputs!$B$4&lt;&gt;"pvp",Inputs!$B$35&gt;0),(INT(Inputs!$B$35/IF(Inputs!$B$4="pvp",15,MAX(0.1,Skills!E3-IF(Skills!F3=TRUE,Inputs!$B$31,0))))+1),0)</f>
        <v>0</v>
      </c>
      <c r="T497">
        <f>INDEX(FactorTable!$B$2:$Y$301, MATCH(ROUND(MIN(300,MAX(1,T496)),0), FactorTable!$A$2:$A$301,0), 22)</f>
        <v>1688</v>
      </c>
      <c r="V497">
        <f>IFERROR(1/IF(Inputs!$B$4="pvp",15,MAX(0.1,Skills!E3-IF(Skills!F3=TRUE,Inputs!$B$31,0))),0)</f>
        <v>1</v>
      </c>
    </row>
    <row r="498" spans="1:22" x14ac:dyDescent="0.2">
      <c r="A498" t="str">
        <f>Skills!A4</f>
        <v>POISON_BREATH</v>
      </c>
      <c r="B498" t="str">
        <f>Skills!B4</f>
        <v>Poison Breath</v>
      </c>
      <c r="C498" t="b">
        <f>TRUE</f>
        <v>1</v>
      </c>
      <c r="D498">
        <f>IF(Skills!C4=1,60+Inputs!$B$24+Inputs!$B$28,IF(Skills!C4=2,90+Inputs!$B$25+Inputs!$B$28,IF(Skills!C4=3,120+Inputs!$B$26+Inputs!$B$28,MAX(0,(Inputs!$B$3-100)*3)+Inputs!$B$27+Inputs!$B$28)))</f>
        <v>164</v>
      </c>
      <c r="E498">
        <f>INDEX(FactorTable!$B$2:$Y$301, MATCH(ROUND(MIN(300,MAX(1,D498)),0), FactorTable!$A$2:$A$301,0), Skills!M4+1)</f>
        <v>1820</v>
      </c>
      <c r="F498">
        <f>IF(Skills!N4=TRUE,(Skills!L4/10)*(E498/1000),Skills!L4/10)+Skills!O4</f>
        <v>434</v>
      </c>
      <c r="G498">
        <f>Calc!G4</f>
        <v>3</v>
      </c>
      <c r="H498">
        <f>Calc!H4</f>
        <v>1</v>
      </c>
      <c r="I498">
        <f>IF(Skills!X4&lt;&gt;"",1+(Skills!X4/10)*(R497/1000)/100,1)</f>
        <v>7.0159999999999991</v>
      </c>
      <c r="J498">
        <f>((Inputs!$B$5*(1+Inputs!$B$6/100))+((Inputs!$B$11*(1+Inputs!$B$12/100))-(Inputs!$B$11*(1+Inputs!$B$12/100)))*(1+Inputs!$B$6/100))*(F498/100)</f>
        <v>1084266636.0355198</v>
      </c>
      <c r="K498">
        <f>J498*(1+((Inputs!$B$11*(1+Inputs!$B$12/100))*0.01+Inputs!$B$13*0.0025)/100)*(1+Inputs!$B$14/100)*(1+IF(Inputs!$B$4="pvp",0,(1-Summary!$B$56)*(Inputs!$B$19+Skills!P4)+Summary!$B$56*(Inputs!$B$20+Skills!Q4))/100)*(1+Inputs!$B$15/100)*(5000/(6000+Inputs!$B$7*(1-Inputs!$B$18/100)))*(1+Inputs!$B$23/100)*(1+F517/100)*(1+IF(Inputs!$B$3&gt;=120,F520,0)/100)^5*(1+(IF(Skills!A4="BASIC_ATTACK",Inputs!$B$16,Inputs!$B$17+IF(Inputs!$B$3&gt;=125,F521*5,0)))/100)*(B524*B525*B526*I498)</f>
        <v>57875094722852.875</v>
      </c>
      <c r="L498">
        <f>K498*(MIN(Inputs!$B$21+(F516-Calc!F22),Inputs!$B$22)/100+Inputs!$B$22/100)/2</f>
        <v>156233818204341.31</v>
      </c>
      <c r="M498">
        <f>L498*(1+(Inputs!$B$9+(F515-Calc!F21))/100)</f>
        <v>654775932094394.5</v>
      </c>
      <c r="N498">
        <f>L498*(1-MIN(Inputs!$B$8+(F514-Calc!F20),100)/100)+M498*(MIN(Inputs!$B$8+(F514-Calc!F20),100)/100)</f>
        <v>654775932094394.5</v>
      </c>
      <c r="O498">
        <f>IF(C498,H498*N498*IF(AND(Inputs!$B$4&lt;&gt;"pvp",Inputs!$B$35&gt;0),((Skills!G4*((S498-1)*IF(Skills!H4&gt;0,Skills!I4/Skills!H4,1)+IF(Skills!H4&gt;0,MIN(Skills!I4,MAX(0,Inputs!$B$35-((S498-1)*IF(Inputs!$B$4="pvp",15,MAX(0.1,Skills!E4-IF(Skills!F4=TRUE,Inputs!$B$31,0))))))/Skills!H4,1)))/Inputs!$B$35),G498*V498)*IF(Inputs!$B$4="pvp",1,(1-Summary!$B$56)*(1)+Summary!$B$56*(MIN(Skills!R4,Inputs!$B$37))),0)</f>
        <v>436517288062929.56</v>
      </c>
      <c r="P498">
        <f>IF(B533=0,0,O498/B533)</f>
        <v>5.2233241402043981E-2</v>
      </c>
      <c r="S498">
        <f>IF(AND(Inputs!$B$4&lt;&gt;"pvp",Inputs!$B$35&gt;0),(INT(Inputs!$B$35/IF(Inputs!$B$4="pvp",15,MAX(0.1,Skills!E4-IF(Skills!F4=TRUE,Inputs!$B$31,0))))+1),0)</f>
        <v>0</v>
      </c>
      <c r="T498">
        <f>290*T497/1000</f>
        <v>489.52</v>
      </c>
      <c r="V498">
        <f>IFERROR(1/IF(Inputs!$B$4="pvp",15,MAX(0.1,Skills!E4-IF(Skills!F4=TRUE,Inputs!$B$31,0))),0)</f>
        <v>5.5555555555555552E-2</v>
      </c>
    </row>
    <row r="499" spans="1:22" x14ac:dyDescent="0.2">
      <c r="A499" t="str">
        <f>Skills!A5</f>
        <v>ELEMENTAL_DRAIN</v>
      </c>
      <c r="B499" t="str">
        <f>Skills!B5</f>
        <v>Elemental Drain</v>
      </c>
      <c r="C499" t="b">
        <f>TRUE</f>
        <v>1</v>
      </c>
      <c r="D499">
        <f>IF(Skills!C5=1,60+Inputs!$B$24+Inputs!$B$28,IF(Skills!C5=2,90+Inputs!$B$25+Inputs!$B$28,IF(Skills!C5=3,120+Inputs!$B$26+Inputs!$B$28,MAX(0,(Inputs!$B$3-100)*3)+Inputs!$B$27+Inputs!$B$28)))</f>
        <v>164</v>
      </c>
      <c r="E499">
        <f>INDEX(FactorTable!$B$2:$Y$301, MATCH(ROUND(MIN(300,MAX(1,D499)),0), FactorTable!$A$2:$A$301,0), Skills!M5+1)</f>
        <v>1656</v>
      </c>
      <c r="F499">
        <f>IF(Skills!N5=TRUE,(Skills!L5/10)*(E499/1000),Skills!L5/10)+Skills!O5</f>
        <v>19.872</v>
      </c>
      <c r="G499">
        <f>Calc!G5</f>
        <v>5</v>
      </c>
      <c r="H499">
        <f>Calc!H5</f>
        <v>1</v>
      </c>
      <c r="I499">
        <f>IF(Skills!X5&lt;&gt;"",1+(Skills!X5/10)*(R497/1000)/100,1)</f>
        <v>12.28</v>
      </c>
      <c r="J499">
        <f>((Inputs!$B$5*(1+Inputs!$B$6/100))+((Inputs!$B$11*(1+Inputs!$B$12/100))-(Inputs!$B$11*(1+Inputs!$B$12/100)))*(1+Inputs!$B$6/100))*(F499/100)</f>
        <v>49646420.717276163</v>
      </c>
      <c r="K499">
        <f>J499*(1+((Inputs!$B$11*(1+Inputs!$B$12/100))*0.01+Inputs!$B$13*0.0025)/100)*(1+Inputs!$B$14/100)*(1+IF(Inputs!$B$4="pvp",0,(1-Summary!$B$56)*(Inputs!$B$19+Skills!P5)+Summary!$B$56*(Inputs!$B$20+Skills!Q5))/100)*(1+Inputs!$B$15/100)*(5000/(6000+Inputs!$B$7*(1-Inputs!$B$18/100)))*(1+Inputs!$B$23/100)*(1+F517/100)*(1+IF(Inputs!$B$3&gt;=120,F520,0)/100)^5*(1+(IF(Skills!A5="BASIC_ATTACK",Inputs!$B$16,Inputs!$B$17+IF(Inputs!$B$3&gt;=125,F521*5,0)))/100)*(B524*B525*B526*I499)</f>
        <v>4638230744159.3359</v>
      </c>
      <c r="L499">
        <f>K499*(MIN(Inputs!$B$21+(F516-Calc!F22),Inputs!$B$22)/100+Inputs!$B$22/100)/2</f>
        <v>12520903893858.125</v>
      </c>
      <c r="M499">
        <f>L499*(1+(Inputs!$B$9+(F515-Calc!F21))/100)</f>
        <v>52475108219159.414</v>
      </c>
      <c r="N499">
        <f>L499*(1-MIN(Inputs!$B$8+(F514-Calc!F20),100)/100)+M499*(MIN(Inputs!$B$8+(F514-Calc!F20),100)/100)</f>
        <v>52475108219159.414</v>
      </c>
      <c r="O499">
        <f>IF(C499,H499*N499*IF(AND(Inputs!$B$4&lt;&gt;"pvp",Inputs!$B$35&gt;0),((Skills!G5*((S499-1)*IF(Skills!H5&gt;0,Skills!I5/Skills!H5,1)+IF(Skills!H5&gt;0,MIN(Skills!I5,MAX(0,Inputs!$B$35-((S499-1)*IF(Inputs!$B$4="pvp",15,MAX(0.1,Skills!E5-IF(Skills!F5=TRUE,Inputs!$B$31,0))))))/Skills!H5,1)))/Inputs!$B$35),G499*V499)*IF(Inputs!$B$4="pvp",1,(1-Summary!$B$56)*(1)+Summary!$B$56*(MIN(Skills!R5,Inputs!$B$37))),0)</f>
        <v>262375541095797.06</v>
      </c>
      <c r="P499">
        <f>IF(B533=0,0,O499/B533)</f>
        <v>3.1395606430306984E-2</v>
      </c>
      <c r="S499">
        <f>IF(AND(Inputs!$B$4&lt;&gt;"pvp",Inputs!$B$35&gt;0),(INT(Inputs!$B$35/IF(Inputs!$B$4="pvp",15,MAX(0.1,Skills!E5-IF(Skills!F5=TRUE,Inputs!$B$31,0))))+1),0)</f>
        <v>0</v>
      </c>
      <c r="V499">
        <f>IFERROR(1/IF(Inputs!$B$4="pvp",15,MAX(0.1,Skills!E5-IF(Skills!F5=TRUE,Inputs!$B$31,0))),0)</f>
        <v>1</v>
      </c>
    </row>
    <row r="500" spans="1:22" x14ac:dyDescent="0.2">
      <c r="A500" t="str">
        <f>Skills!A6</f>
        <v>MEDITATION</v>
      </c>
      <c r="B500" t="str">
        <f>Skills!B6</f>
        <v>Meditation</v>
      </c>
      <c r="C500" t="b">
        <f>TRUE</f>
        <v>1</v>
      </c>
      <c r="D500">
        <f>IF(Skills!C6=1,60+Inputs!$B$24+Inputs!$B$28,IF(Skills!C6=2,90+Inputs!$B$25+Inputs!$B$28,IF(Skills!C6=3,120+Inputs!$B$26+Inputs!$B$28,MAX(0,(Inputs!$B$3-100)*3)+Inputs!$B$27+Inputs!$B$28)))</f>
        <v>164</v>
      </c>
      <c r="E500">
        <f>INDEX(FactorTable!$B$2:$Y$301, MATCH(ROUND(MIN(300,MAX(1,D500)),0), FactorTable!$A$2:$A$301,0), Skills!M6+1)</f>
        <v>1492</v>
      </c>
      <c r="F500">
        <f>IF(Skills!N6=TRUE,(Skills!L6/10)*(E500/1000),Skills!L6/10)+Skills!O6</f>
        <v>29.84</v>
      </c>
      <c r="G500">
        <f>Calc!G6</f>
        <v>1</v>
      </c>
      <c r="H500">
        <f>Calc!H6</f>
        <v>1</v>
      </c>
      <c r="I500">
        <f>IF(Skills!X6&lt;&gt;"",1+(Skills!X6/10)*(R497/1000)/100,1)</f>
        <v>1</v>
      </c>
      <c r="O500">
        <v>0</v>
      </c>
      <c r="P500">
        <f>IF(B533=0,0,O500/B533)</f>
        <v>0</v>
      </c>
      <c r="S500">
        <f>IF(AND(Inputs!$B$4&lt;&gt;"pvp",Inputs!$B$35&gt;0),(INT(Inputs!$B$35/IF(Inputs!$B$4="pvp",15,MAX(0.1,Skills!E6-IF(Skills!F6=TRUE,Inputs!$B$31,0))))+1),0)</f>
        <v>0</v>
      </c>
      <c r="V500">
        <f>IFERROR(1/IF(Inputs!$B$4="pvp",15,MAX(0.1,Skills!E6-IF(Skills!F6=TRUE,Inputs!$B$31,0))),0)</f>
        <v>3.3333333333333333E-2</v>
      </c>
    </row>
    <row r="501" spans="1:22" x14ac:dyDescent="0.2">
      <c r="A501" t="str">
        <f>Skills!A7</f>
        <v>POISON_MIST_BURST</v>
      </c>
      <c r="B501" t="str">
        <f>Skills!B7</f>
        <v>Poison Mist (burst)</v>
      </c>
      <c r="C501" t="b">
        <f>TRUE</f>
        <v>1</v>
      </c>
      <c r="D501">
        <f>IF(Skills!C7=1,60+Inputs!$B$24+Inputs!$B$28,IF(Skills!C7=2,90+Inputs!$B$25+Inputs!$B$28,IF(Skills!C7=3,120+Inputs!$B$26+Inputs!$B$28,MAX(0,(Inputs!$B$3-100)*3)+Inputs!$B$27+Inputs!$B$28)))</f>
        <v>184</v>
      </c>
      <c r="E501">
        <f>INDEX(FactorTable!$B$2:$Y$301, MATCH(ROUND(MIN(300,MAX(1,D501)),0), FactorTable!$A$2:$A$301,0), Skills!M7+1)</f>
        <v>1920</v>
      </c>
      <c r="F501">
        <f>IF(Skills!N7=TRUE,(Skills!L7/10)*(E501/1000),Skills!L7/10)+Skills!O7</f>
        <v>357.2</v>
      </c>
      <c r="G501">
        <f>Calc!G7</f>
        <v>3</v>
      </c>
      <c r="H501">
        <f>Calc!H7</f>
        <v>1</v>
      </c>
      <c r="I501">
        <f>IF(Skills!X7&lt;&gt;"",1+(Skills!X7/10)*(R497/1000)/100,1)</f>
        <v>1.7519999999999998</v>
      </c>
      <c r="J501">
        <f>((Inputs!$B$5*(1+Inputs!$B$6/100))+((Inputs!$B$11*(1+Inputs!$B$12/100))-(Inputs!$B$11*(1+Inputs!$B$12/100)))*(1+Inputs!$B$6/100))*(F501/100)</f>
        <v>892396411.04121602</v>
      </c>
      <c r="K501">
        <f>J501*(1+((Inputs!$B$11*(1+Inputs!$B$12/100))*0.01+Inputs!$B$13*0.0025)/100)*(1+Inputs!$B$14/100)*(1+IF(Inputs!$B$4="pvp",0,(1-Summary!$B$56)*(Inputs!$B$19+Skills!P7)+Summary!$B$56*(Inputs!$B$20+Skills!Q7))/100)*(1+Inputs!$B$15/100)*(5000/(6000+Inputs!$B$7*(1-Inputs!$B$18/100)))*(1+Inputs!$B$23/100)*(1+F517/100)*(1+IF(Inputs!$B$3&gt;=120,F520,0)/100)^5*(1+(IF(Skills!A7="BASIC_ATTACK",Inputs!$B$16,Inputs!$B$17+IF(Inputs!$B$3&gt;=125,F521*5,0)))/100)*(B524*B525*B526*I501)</f>
        <v>11894822262388.189</v>
      </c>
      <c r="L501">
        <f>K501*(MIN(Inputs!$B$21+(F516-Calc!F22),Inputs!$B$22)/100+Inputs!$B$22/100)/2</f>
        <v>32110072697316.914</v>
      </c>
      <c r="M501">
        <f>L501*(1+(Inputs!$B$9+(F515-Calc!F21))/100)</f>
        <v>134573314674455.2</v>
      </c>
      <c r="N501">
        <f>L501*(1-MIN(Inputs!$B$8+(F514-Calc!F20),100)/100)+M501*(MIN(Inputs!$B$8+(F514-Calc!F20),100)/100)</f>
        <v>134573314674455.2</v>
      </c>
      <c r="O501">
        <f>IF(C501,H501*N501*IF(AND(Inputs!$B$4&lt;&gt;"pvp",Inputs!$B$35&gt;0),((Skills!G7*((S501-1)*IF(Skills!H7&gt;0,Skills!I7/Skills!H7,1)+IF(Skills!H7&gt;0,MIN(Skills!I7,MAX(0,Inputs!$B$35-((S501-1)*IF(Inputs!$B$4="pvp",15,MAX(0.1,Skills!E7-IF(Skills!F7=TRUE,Inputs!$B$31,0))))))/Skills!H7,1)))/Inputs!$B$35),G501*V501)*IF(Inputs!$B$4="pvp",1,(1-Summary!$B$56)*(1)+Summary!$B$56*(MIN(Skills!R7,Inputs!$B$37))),0)</f>
        <v>105461536397940.41</v>
      </c>
      <c r="P501">
        <f>IF(B533=0,0,O501/B533)</f>
        <v>1.2619426629696128E-2</v>
      </c>
      <c r="S501">
        <f>IF(AND(Inputs!$B$4&lt;&gt;"pvp",Inputs!$B$35&gt;0),(INT(Inputs!$B$35/IF(Inputs!$B$4="pvp",15,MAX(0.1,Skills!E7-IF(Skills!F7=TRUE,Inputs!$B$31,0))))+1),0)</f>
        <v>0</v>
      </c>
      <c r="V501">
        <f>IFERROR(1/IF(Inputs!$B$4="pvp",15,MAX(0.1,Skills!E7-IF(Skills!F7=TRUE,Inputs!$B$31,0))),0)</f>
        <v>4.0816326530612242E-2</v>
      </c>
    </row>
    <row r="502" spans="1:22" x14ac:dyDescent="0.2">
      <c r="A502" t="str">
        <f>Skills!A8</f>
        <v>POISON_MIST_DOT</v>
      </c>
      <c r="B502" t="str">
        <f>Skills!B8</f>
        <v>Poison Mist (fog DoT)</v>
      </c>
      <c r="C502" t="b">
        <f>TRUE</f>
        <v>1</v>
      </c>
      <c r="D502">
        <f>IF(Skills!C8=1,60+Inputs!$B$24+Inputs!$B$28,IF(Skills!C8=2,90+Inputs!$B$25+Inputs!$B$28,IF(Skills!C8=3,120+Inputs!$B$26+Inputs!$B$28,MAX(0,(Inputs!$B$3-100)*3)+Inputs!$B$27+Inputs!$B$28)))</f>
        <v>184</v>
      </c>
      <c r="E502">
        <f>INDEX(FactorTable!$B$2:$Y$301, MATCH(ROUND(MIN(300,MAX(1,D502)),0), FactorTable!$A$2:$A$301,0), Skills!M8+1)</f>
        <v>1920</v>
      </c>
      <c r="F502">
        <f>IF(Skills!N8=TRUE,(Skills!L8/10)*(E502/1000),Skills!L8/10)+Skills!O8</f>
        <v>134.4</v>
      </c>
      <c r="G502">
        <f>Calc!G8</f>
        <v>50</v>
      </c>
      <c r="H502">
        <f>Calc!H8</f>
        <v>1</v>
      </c>
      <c r="I502">
        <f>IF(Skills!X8&lt;&gt;"",1+(Skills!X8/10)*(R497/1000)/100,1)</f>
        <v>1.7519999999999998</v>
      </c>
      <c r="J502">
        <f>((Inputs!$B$5*(1+Inputs!$B$6/100))+((Inputs!$B$11*(1+Inputs!$B$12/100))-(Inputs!$B$11*(1+Inputs!$B$12/100)))*(1+Inputs!$B$6/100))*(F502/100)</f>
        <v>335772893.74003202</v>
      </c>
      <c r="K502">
        <f>J502*(1+((Inputs!$B$11*(1+Inputs!$B$12/100))*0.01+Inputs!$B$13*0.0025)/100)*(1+Inputs!$B$14/100)*(1+IF(Inputs!$B$4="pvp",0,(1-Summary!$B$56)*(Inputs!$B$19+Skills!P8)+Summary!$B$56*(Inputs!$B$20+Skills!Q8))/100)*(1+Inputs!$B$15/100)*(5000/(6000+Inputs!$B$7*(1-Inputs!$B$18/100)))*(1+Inputs!$B$23/100)*(1+F517/100)*(1+IF(Inputs!$B$3&gt;=120,F520,0)/100)^5*(1+(IF(Skills!A8="BASIC_ATTACK",Inputs!$B$16,Inputs!$B$17+IF(Inputs!$B$3&gt;=125,F521*5,0)))/100)*(B524*B525*B526*I502)</f>
        <v>4475543426833.6309</v>
      </c>
      <c r="L502">
        <f>K502*(MIN(Inputs!$B$21+(F516-Calc!F22),Inputs!$B$22)/100+Inputs!$B$22/100)/2</f>
        <v>12081729480737.385</v>
      </c>
      <c r="M502">
        <f>L502*(1+(Inputs!$B$9+(F515-Calc!F21))/100)</f>
        <v>50634528253770.391</v>
      </c>
      <c r="N502">
        <f>L502*(1-MIN(Inputs!$B$8+(F514-Calc!F20),100)/100)+M502*(MIN(Inputs!$B$8+(F514-Calc!F20),100)/100)</f>
        <v>50634528253770.391</v>
      </c>
      <c r="O502">
        <f>IF(C502,H502*N502*IF(AND(Inputs!$B$4&lt;&gt;"pvp",Inputs!$B$35&gt;0),((Skills!G8*((S502-1)*IF(Skills!H8&gt;0,Skills!I8/Skills!H8,1)+IF(Skills!H8&gt;0,MIN(Skills!I8,MAX(0,Inputs!$B$35-((S502-1)*IF(Inputs!$B$4="pvp",15,MAX(0.1,Skills!E8-IF(Skills!F8=TRUE,Inputs!$B$31,0))))))/Skills!H8,1)))/Inputs!$B$35),G502*V502)*IF(Inputs!$B$4="pvp",1,(1-Summary!$B$56)*(1)+Summary!$B$56*(MIN(Skills!R8,Inputs!$B$37))),0)</f>
        <v>661348940457409.25</v>
      </c>
      <c r="P502">
        <f>IF(B533=0,0,O502/B533)</f>
        <v>7.9136382000334085E-2</v>
      </c>
      <c r="S502">
        <f>IF(AND(Inputs!$B$4&lt;&gt;"pvp",Inputs!$B$35&gt;0),(INT(Inputs!$B$35/IF(Inputs!$B$4="pvp",15,MAX(0.1,Skills!E8-IF(Skills!F8=TRUE,Inputs!$B$31,0))))+1),0)</f>
        <v>0</v>
      </c>
      <c r="V502">
        <f>IFERROR(1/IF(Inputs!$B$4="pvp",15,MAX(0.1,Skills!E8-IF(Skills!F8=TRUE,Inputs!$B$31,0))),0)</f>
        <v>4.0816326530612242E-2</v>
      </c>
    </row>
    <row r="503" spans="1:22" x14ac:dyDescent="0.2">
      <c r="A503" t="str">
        <f>Skills!A9</f>
        <v>MIST_ERUPTION</v>
      </c>
      <c r="B503" t="str">
        <f>Skills!B9</f>
        <v>Mist Eruption</v>
      </c>
      <c r="C503" t="b">
        <f>Inputs!$B$3&gt;=103</f>
        <v>1</v>
      </c>
      <c r="D503">
        <f>IF(Skills!C9=1,60+Inputs!$B$24+Inputs!$B$28,IF(Skills!C9=2,90+Inputs!$B$25+Inputs!$B$28,IF(Skills!C9=3,120+Inputs!$B$26+Inputs!$B$28,MAX(0,(Inputs!$B$3-100)*3)+Inputs!$B$27+Inputs!$B$28)))</f>
        <v>172</v>
      </c>
      <c r="E503">
        <f>INDEX(FactorTable!$B$2:$Y$301, MATCH(ROUND(MIN(300,MAX(1,D503)),0), FactorTable!$A$2:$A$301,0), Skills!M9+1)</f>
        <v>1860</v>
      </c>
      <c r="F503">
        <f>IF(Skills!N9=TRUE,(Skills!L9/10)*(E503/1000),Skills!L9/10)+Skills!O9</f>
        <v>5580</v>
      </c>
      <c r="G503">
        <f>Calc!G9</f>
        <v>2.8</v>
      </c>
      <c r="H503">
        <f>Calc!H9</f>
        <v>1</v>
      </c>
      <c r="I503">
        <f>IF(Skills!X9&lt;&gt;"",1+(Skills!X9/10)*(R497/1000)/100,1)</f>
        <v>1</v>
      </c>
      <c r="J503">
        <f>((Inputs!$B$5*(1+Inputs!$B$6/100))+((Inputs!$B$11*(1+Inputs!$B$12/100))-(Inputs!$B$11*(1+Inputs!$B$12/100)))*(1+Inputs!$B$6/100))*(F503/100)</f>
        <v>13940571034.742399</v>
      </c>
      <c r="K503">
        <f>J503*(1+((Inputs!$B$11*(1+Inputs!$B$12/100))*0.01+Inputs!$B$13*0.0025)/100)*(1+Inputs!$B$14/100)*(1+IF(Inputs!$B$4="pvp",0,(1-Summary!$B$56)*(Inputs!$B$19+Skills!P9)+Summary!$B$56*(Inputs!$B$20+Skills!Q9))/100)*(1+Inputs!$B$15/100)*(5000/(6000+Inputs!$B$7*(1-Inputs!$B$18/100)))*(1+Inputs!$B$23/100)*(1+F517/100)*(1+IF(Inputs!$B$3&gt;=120,F520,0)/100)^5*(1+(IF(Skills!A9="BASIC_ATTACK",Inputs!$B$16,Inputs!$B$17+IF(Inputs!$B$3&gt;=125,F521*5,0)))/100)*(B524*B525*B526*I503)</f>
        <v>106058774333294.53</v>
      </c>
      <c r="L503">
        <f>K503*(MIN(Inputs!$B$21+(F516-Calc!F22),Inputs!$B$22)/100+Inputs!$B$22/100)/2</f>
        <v>286305661312728.56</v>
      </c>
      <c r="M503">
        <f>L503*(1+(Inputs!$B$9+(F515-Calc!F21))/100)</f>
        <v>1199907026561645.5</v>
      </c>
      <c r="N503">
        <f>L503*(1-MIN(Inputs!$B$8+(F514-Calc!F20),100)/100)+M503*(MIN(Inputs!$B$8+(F514-Calc!F20),100)/100)</f>
        <v>1199907026561645.5</v>
      </c>
      <c r="O503">
        <f>IF(C503,H503*N503*IF(AND(Inputs!$B$4&lt;&gt;"pvp",Inputs!$B$35&gt;0),((Skills!G9*((S503-1)*IF(Skills!H9&gt;0,Skills!I9/Skills!H9,1)+IF(Skills!H9&gt;0,MIN(Skills!I9,MAX(0,Inputs!$B$35-((S503-1)*IF(Inputs!$B$4="pvp",15,MAX(0.1,Skills!E9-IF(Skills!F7=TRUE,Inputs!$B$31,0))))))/Skills!H9,1)))/Inputs!$B$35),G503*V503)*IF(Inputs!$B$4="pvp",1,(1-Summary!$B$56)*(1)+Summary!$B$56*(MIN(Skills!R9,Inputs!$B$37))),0)</f>
        <v>877646282285089.12</v>
      </c>
      <c r="P503">
        <f>IF(B533=0,0,O503/B533)</f>
        <v>0.10501831515455291</v>
      </c>
      <c r="S503">
        <f>IF(AND(Inputs!$B$4&lt;&gt;"pvp",Inputs!$B$35&gt;0),(INT(Inputs!$B$35/IF(Inputs!$B$4="pvp",15,MAX(0.1,Skills!E9-IF(Skills!F7=TRUE,Inputs!$B$31,0))))+1),0)</f>
        <v>0</v>
      </c>
      <c r="V503">
        <f>IFERROR(1/IF(Inputs!$B$4="pvp",15,MAX(0.1,Skills!E9-IF(Skills!F7=TRUE,Inputs!$B$31,0))),0)</f>
        <v>4.0816326530612242E-2</v>
      </c>
    </row>
    <row r="504" spans="1:22" x14ac:dyDescent="0.2">
      <c r="A504" t="str">
        <f>Skills!A10</f>
        <v>CREEPING_TOXIN</v>
      </c>
      <c r="B504" t="str">
        <f>Skills!B10</f>
        <v>Creeping Toxin</v>
      </c>
      <c r="C504" t="b">
        <f>TRUE</f>
        <v>1</v>
      </c>
      <c r="D504">
        <f>IF(Skills!C10=1,60+Inputs!$B$24+Inputs!$B$28,IF(Skills!C10=2,90+Inputs!$B$25+Inputs!$B$28,IF(Skills!C10=3,120+Inputs!$B$26+Inputs!$B$28,MAX(0,(Inputs!$B$3-100)*3)+Inputs!$B$27+Inputs!$B$28)))</f>
        <v>184</v>
      </c>
      <c r="E504">
        <f>INDEX(FactorTable!$B$2:$Y$301, MATCH(ROUND(MIN(300,MAX(1,D504)),0), FactorTable!$A$2:$A$301,0), Skills!M10+1)</f>
        <v>1920</v>
      </c>
      <c r="F504">
        <f>IF(Skills!N10=TRUE,(Skills!L10/10)*(E504/1000),Skills!L10/10)+Skills!O10</f>
        <v>280.39999999999998</v>
      </c>
      <c r="G504">
        <f>Calc!G10</f>
        <v>15</v>
      </c>
      <c r="H504">
        <f>Calc!H10</f>
        <v>1</v>
      </c>
      <c r="I504">
        <f>IF(Skills!X10&lt;&gt;"",1+(Skills!X10/10)*(R497/1000)/100,1)</f>
        <v>1.7519999999999998</v>
      </c>
      <c r="J504">
        <f>((Inputs!$B$5*(1+Inputs!$B$6/100))+((Inputs!$B$11*(1+Inputs!$B$12/100))-(Inputs!$B$11*(1+Inputs!$B$12/100)))*(1+Inputs!$B$6/100))*(F504/100)</f>
        <v>700526186.04691195</v>
      </c>
      <c r="K504">
        <f>J504*(1+((Inputs!$B$11*(1+Inputs!$B$12/100))*0.01+Inputs!$B$13*0.0025)/100)*(1+Inputs!$B$14/100)*(1+IF(Inputs!$B$4="pvp",0,(1-Summary!$B$56)*(Inputs!$B$19+Skills!P10)+Summary!$B$56*(Inputs!$B$20+Skills!Q10))/100)*(1+Inputs!$B$15/100)*(5000/(6000+Inputs!$B$7*(1-Inputs!$B$18/100)))*(1+Inputs!$B$23/100)*(1+F517/100)*(1+IF(Inputs!$B$3&gt;=120,F520,0)/100)^5*(1+(IF(Skills!A10="BASIC_ATTACK",Inputs!$B$16,Inputs!$B$17+IF(Inputs!$B$3&gt;=125,F521*5,0)))/100)*(B524*B525*B526*I504)</f>
        <v>11018767832821.695</v>
      </c>
      <c r="L504">
        <f>K504*(MIN(Inputs!$B$21+(F516-Calc!F22),Inputs!$B$22)/100+Inputs!$B$22/100)/2</f>
        <v>29745163764702.16</v>
      </c>
      <c r="M504">
        <f>L504*(1+(Inputs!$B$9+(F515-Calc!F21))/100)</f>
        <v>124661981337866.78</v>
      </c>
      <c r="N504">
        <f>L504*(1-MIN(Inputs!$B$8+(F514-Calc!F20),100)/100)+M504*(MIN(Inputs!$B$8+(F514-Calc!F20),100)/100)</f>
        <v>124661981337866.78</v>
      </c>
      <c r="O504">
        <f>IF(C504,H504*N504*IF(AND(Inputs!$B$4&lt;&gt;"pvp",Inputs!$B$35&gt;0),((Skills!G10*((S504-1)*IF(Skills!H10&gt;0,Skills!I10/Skills!H10,1)+IF(Skills!H10&gt;0,MIN(Skills!I10,MAX(0,Inputs!$B$35-((S504-1)*IF(Inputs!$B$4="pvp",15,MAX(0.1,Skills!E10-IF(Skills!F10=TRUE,Inputs!$B$31,0))))))/Skills!H10,1)))/Inputs!$B$35),G504*V504)*IF(Inputs!$B$4="pvp",1,(1-Summary!$B$56)*(1)+Summary!$B$56*(MIN(Skills!R10,Inputs!$B$37))),0)</f>
        <v>69256656298814.883</v>
      </c>
      <c r="P504">
        <f>IF(B533=0,0,O504/B533)</f>
        <v>8.2871852869957317E-3</v>
      </c>
      <c r="S504">
        <f>IF(AND(Inputs!$B$4&lt;&gt;"pvp",Inputs!$B$35&gt;0),(INT(Inputs!$B$35/IF(Inputs!$B$4="pvp",15,MAX(0.1,Skills!E10-IF(Skills!F10=TRUE,Inputs!$B$31,0))))+1),0)</f>
        <v>0</v>
      </c>
      <c r="V504">
        <f>IFERROR(1/IF(Inputs!$B$4="pvp",15,MAX(0.1,Skills!E10-IF(Skills!F10=TRUE,Inputs!$B$31,0))),0)</f>
        <v>3.7037037037037035E-2</v>
      </c>
    </row>
    <row r="505" spans="1:22" x14ac:dyDescent="0.2">
      <c r="A505" t="str">
        <f>Skills!A11</f>
        <v>BURNING_MAGIC</v>
      </c>
      <c r="B505" t="str">
        <f>Skills!B11</f>
        <v>Burning Magic</v>
      </c>
      <c r="C505" t="b">
        <f>TRUE</f>
        <v>1</v>
      </c>
      <c r="D505">
        <f>IF(Skills!C11=1,60+Inputs!$B$24+Inputs!$B$28,IF(Skills!C11=2,90+Inputs!$B$25+Inputs!$B$28,IF(Skills!C11=3,120+Inputs!$B$26+Inputs!$B$28,MAX(0,(Inputs!$B$3-100)*3)+Inputs!$B$27+Inputs!$B$28)))</f>
        <v>184</v>
      </c>
      <c r="E505">
        <f>INDEX(FactorTable!$B$2:$Y$301, MATCH(ROUND(MIN(300,MAX(1,D505)),0), FactorTable!$A$2:$A$301,0), Skills!M11+1)</f>
        <v>0</v>
      </c>
      <c r="F505">
        <f>IF(Skills!N11=TRUE,(Skills!L11/10)*(E505/1000),Skills!L11/10)+Skills!O11</f>
        <v>5</v>
      </c>
      <c r="G505">
        <f>Calc!G11</f>
        <v>1</v>
      </c>
      <c r="H505">
        <f>Calc!H11</f>
        <v>1</v>
      </c>
      <c r="I505">
        <f>IF(Skills!X11&lt;&gt;"",1+(Skills!X11/10)*(R497/1000)/100,1)</f>
        <v>1</v>
      </c>
      <c r="O505">
        <v>0</v>
      </c>
      <c r="P505">
        <f>IF(B533=0,0,O505/B533)</f>
        <v>0</v>
      </c>
      <c r="S505">
        <v>0</v>
      </c>
      <c r="V505">
        <f>IFERROR(1/IF(Inputs!$B$4="pvp",15,MAX(0.1,Skills!E11-IF(Skills!F11=TRUE,Inputs!$B$31,0))),0)</f>
        <v>10</v>
      </c>
    </row>
    <row r="506" spans="1:22" x14ac:dyDescent="0.2">
      <c r="A506" t="str">
        <f>Skills!A12</f>
        <v>ELEMENTAL_DECREASE</v>
      </c>
      <c r="B506" t="str">
        <f>Skills!B12</f>
        <v>Elemental Decrease</v>
      </c>
      <c r="C506" t="b">
        <f>TRUE</f>
        <v>1</v>
      </c>
      <c r="D506">
        <f>IF(Skills!C12=1,60+Inputs!$B$24+Inputs!$B$28,IF(Skills!C12=2,90+Inputs!$B$25+Inputs!$B$28,IF(Skills!C12=3,120+Inputs!$B$26+Inputs!$B$28,MAX(0,(Inputs!$B$3-100)*3)+Inputs!$B$27+Inputs!$B$28)))</f>
        <v>184</v>
      </c>
      <c r="E506">
        <f>INDEX(FactorTable!$B$2:$Y$301, MATCH(ROUND(MIN(300,MAX(1,D506)),0), FactorTable!$A$2:$A$301,0), Skills!M12+1)</f>
        <v>1552</v>
      </c>
      <c r="F506">
        <f>IF(Skills!N12=TRUE,(Skills!L12/10)*(E506/1000),Skills!L12/10)+Skills!O12</f>
        <v>18.624000000000002</v>
      </c>
      <c r="G506">
        <f>Calc!G12</f>
        <v>1</v>
      </c>
      <c r="H506">
        <f>Calc!H12</f>
        <v>0.5</v>
      </c>
      <c r="I506">
        <f>IF(Skills!X12&lt;&gt;"",1+(Skills!X12/10)*(R497/1000)/100,1)</f>
        <v>1</v>
      </c>
      <c r="O506">
        <v>0</v>
      </c>
      <c r="P506">
        <f>IF(B533=0,0,O506/B533)</f>
        <v>0</v>
      </c>
      <c r="S506">
        <v>0</v>
      </c>
      <c r="V506">
        <f>IFERROR(1/IF(Inputs!$B$4="pvp",15,MAX(0.1,Skills!E12-IF(Skills!F12=TRUE,Inputs!$B$31,0))),0)</f>
        <v>10</v>
      </c>
    </row>
    <row r="507" spans="1:22" x14ac:dyDescent="0.2">
      <c r="A507" t="str">
        <f>Skills!A13</f>
        <v>METEOR_SHOWER_BURST</v>
      </c>
      <c r="B507" t="str">
        <f>Skills!B13</f>
        <v>Meteor Shower (burst)</v>
      </c>
      <c r="C507" t="b">
        <f>Inputs!$B$3&gt;=105</f>
        <v>1</v>
      </c>
      <c r="D507">
        <f>IF(Skills!C13=1,60+Inputs!$B$24+Inputs!$B$28,IF(Skills!C13=2,90+Inputs!$B$25+Inputs!$B$28,IF(Skills!C13=3,120+Inputs!$B$26+Inputs!$B$28,MAX(0,(Inputs!$B$3-100)*3)+Inputs!$B$27+Inputs!$B$28)))</f>
        <v>172</v>
      </c>
      <c r="E507">
        <f>INDEX(FactorTable!$B$2:$Y$301, MATCH(ROUND(MIN(300,MAX(1,D507)),0), FactorTable!$A$2:$A$301,0), Skills!M13+1)</f>
        <v>1860</v>
      </c>
      <c r="F507">
        <f>IF(Skills!N13=TRUE,(Skills!L13/10)*(E507/1000),Skills!L13/10)+Skills!O13</f>
        <v>1116</v>
      </c>
      <c r="G507">
        <f>Calc!G13</f>
        <v>9</v>
      </c>
      <c r="H507">
        <f>Calc!H13</f>
        <v>1</v>
      </c>
      <c r="I507">
        <f>IF(Skills!X13&lt;&gt;"",1+(Skills!X13/10)*(R497/1000)/100,1)</f>
        <v>1</v>
      </c>
      <c r="J507">
        <f>((Inputs!$B$5*(1+Inputs!$B$6/100))+((Inputs!$B$11*(1+Inputs!$B$12/100))-(Inputs!$B$11*(1+Inputs!$B$12/100)))*(1+Inputs!$B$6/100))*(F507/100)</f>
        <v>2788114206.9484801</v>
      </c>
      <c r="K507">
        <f>J507*(1+((Inputs!$B$11*(1+Inputs!$B$12/100))*0.01+Inputs!$B$13*0.0025)/100)*(1+Inputs!$B$14/100)*(1+IF(Inputs!$B$4="pvp",0,(1-Summary!$B$56)*(Inputs!$B$19+Skills!P13)+Summary!$B$56*(Inputs!$B$20+Skills!Q13))/100)*(1+Inputs!$B$15/100)*(5000/(6000+Inputs!$B$7*(1-Inputs!$B$18/100)))*(1+Inputs!$B$23/100)*(1+F517/100)*(1+IF(Inputs!$B$3&gt;=120,F520,0)/100)^5*(1+(IF(Skills!A13="BASIC_ATTACK",Inputs!$B$16,Inputs!$B$17+IF(Inputs!$B$3&gt;=125,F521*5,0)))/100)*(B524*B525*B526*I507)</f>
        <v>21211754866658.902</v>
      </c>
      <c r="L507">
        <f>K507*(MIN(Inputs!$B$21+(F516-Calc!F22),Inputs!$B$22)/100+Inputs!$B$22/100)/2</f>
        <v>57261132262545.695</v>
      </c>
      <c r="M507">
        <f>L507*(1+(Inputs!$B$9+(F515-Calc!F21))/100)</f>
        <v>239981405312329.06</v>
      </c>
      <c r="N507">
        <f>L507*(1-MIN(Inputs!$B$8+(F514-Calc!F20),100)/100)+M507*(MIN(Inputs!$B$8+(F514-Calc!F20),100)/100)</f>
        <v>239981405312329.06</v>
      </c>
      <c r="O507">
        <f>IF(C507,H507*N507*IF(AND(Inputs!$B$4&lt;&gt;"pvp",Inputs!$B$35&gt;0),((Skills!G13*((S507-1)*IF(Skills!H13&gt;0,Skills!I13/Skills!H13,1)+IF(Skills!H13&gt;0,MIN(Skills!I13,MAX(0,Inputs!$B$35-((S507-1)*IF(Inputs!$B$4="pvp",15,MAX(0.1,Skills!E13-IF(Skills!F13=TRUE,Inputs!$B$31,0))))))/Skills!H13,1)))/Inputs!$B$35),G507*V507)*IF(Inputs!$B$4="pvp",1,(1-Summary!$B$56)*(1)+Summary!$B$56*(MIN(Skills!R13,Inputs!$B$37))),0)</f>
        <v>301067581210012.88</v>
      </c>
      <c r="P507">
        <f>IF(B533=0,0,O507/B533)</f>
        <v>3.6025458962818939E-2</v>
      </c>
      <c r="S507">
        <f>IF(AND(Inputs!$B$4&lt;&gt;"pvp",Inputs!$B$35&gt;0),(INT(Inputs!$B$35/IF(Inputs!$B$4="pvp",15,MAX(0.1,Skills!E13-IF(Skills!F13=TRUE,Inputs!$B$31,0))))+1),0)</f>
        <v>0</v>
      </c>
      <c r="V507">
        <f>IFERROR(1/IF(Inputs!$B$4="pvp",15,MAX(0.1,Skills!E13-IF(Skills!F13=TRUE,Inputs!$B$31,0))),0)</f>
        <v>3.0303030303030304E-2</v>
      </c>
    </row>
    <row r="508" spans="1:22" x14ac:dyDescent="0.2">
      <c r="A508" t="str">
        <f>Skills!A14</f>
        <v>METEOR_PROC</v>
      </c>
      <c r="B508" t="str">
        <f>Skills!B14</f>
        <v>Meteor Proc (30% on-hit, 1s ICD)</v>
      </c>
      <c r="C508" t="b">
        <f>Inputs!$B$3&gt;=113</f>
        <v>1</v>
      </c>
      <c r="D508">
        <f>IF(Skills!C14=1,60+Inputs!$B$24+Inputs!$B$28,IF(Skills!C14=2,90+Inputs!$B$25+Inputs!$B$28,IF(Skills!C14=3,120+Inputs!$B$26+Inputs!$B$28,MAX(0,(Inputs!$B$3-100)*3)+Inputs!$B$27+Inputs!$B$28)))</f>
        <v>172</v>
      </c>
      <c r="E508">
        <f>INDEX(FactorTable!$B$2:$Y$301, MATCH(ROUND(MIN(300,MAX(1,D508)),0), FactorTable!$A$2:$A$301,0), Skills!M14+1)</f>
        <v>1688</v>
      </c>
      <c r="F508">
        <f>IF(Skills!N14=TRUE,(Skills!L14/10)*(E508/1000),Skills!L14/10)+Skills!O14</f>
        <v>1603.6</v>
      </c>
      <c r="G508">
        <f>Calc!G14</f>
        <v>0</v>
      </c>
      <c r="H508">
        <f>Calc!H14</f>
        <v>0.30000000000000004</v>
      </c>
      <c r="I508">
        <f>IF(Skills!X14&lt;&gt;"",1+(Skills!X14/10)*(R497/1000)/100,1)</f>
        <v>1</v>
      </c>
      <c r="J508">
        <f>((Inputs!$B$5*(1+Inputs!$B$6/100))+((Inputs!$B$11*(1+Inputs!$B$12/100))-(Inputs!$B$11*(1+Inputs!$B$12/100)))*(1+Inputs!$B$6/100))*(F508/100)</f>
        <v>4006290270.8446074</v>
      </c>
      <c r="K508">
        <f>J508*(1+((Inputs!$B$11*(1+Inputs!$B$12/100))*0.01+Inputs!$B$13*0.0025)/100)*(1+Inputs!$B$14/100)*(1+IF(Inputs!$B$4="pvp",0,(1-Summary!$B$56)*(Inputs!$B$19+Skills!P14)+Summary!$B$56*(Inputs!$B$20+Skills!Q14))/100)*(1+Inputs!$B$15/100)*(5000/(6000+Inputs!$B$7*(1-Inputs!$B$18/100)))*(1+Inputs!$B$23/100)*(1+F517/100)*(1+IF(Inputs!$B$3&gt;=120,F520,0)/100)^5*(1+(IF(Skills!A14="BASIC_ATTACK",Inputs!$B$16,Inputs!$B$17+IF(Inputs!$B$3&gt;=125,F521*5,0)))/100)*(B524*B525*B526*I508)</f>
        <v>30479543104098.766</v>
      </c>
      <c r="L508">
        <f>K508*(MIN(Inputs!$B$21+(F516-Calc!F22),Inputs!$B$22)/100+Inputs!$B$22/100)/2</f>
        <v>82279526609514.609</v>
      </c>
      <c r="M508">
        <f>L508*(1+(Inputs!$B$9+(F515-Calc!F21))/100)</f>
        <v>344833496020475.81</v>
      </c>
      <c r="N508">
        <f>L508*(1-MIN(Inputs!$B$8+(F514-Calc!F20),100)/100)+M508*(MIN(Inputs!$B$8+(F514-Calc!F20),100)/100)</f>
        <v>344833496020475.81</v>
      </c>
      <c r="O508">
        <f>IF(C508,(H508*B531)/(1+Skills!H14*H508*B531)*N508*IF(Inputs!$B$4="pvp",1,(1-Summary!$B$56)*(1)+Summary!$B$56*(MIN(Skills!R14,Inputs!$B$37))),0)</f>
        <v>108750991061590.06</v>
      </c>
      <c r="P508">
        <f>IF(B533=0,0,O508/B533)</f>
        <v>1.3013039630202816E-2</v>
      </c>
      <c r="S508">
        <v>0</v>
      </c>
      <c r="V508">
        <f>IFERROR(1/IF(Inputs!$B$4="pvp",15,MAX(0.1,Skills!E14-IF(Skills!F14=TRUE,Inputs!$B$31,0))),0)</f>
        <v>10</v>
      </c>
    </row>
    <row r="509" spans="1:22" x14ac:dyDescent="0.2">
      <c r="A509" t="str">
        <f>Skills!A15</f>
        <v>FLAME_HAZE_BURST</v>
      </c>
      <c r="B509" t="str">
        <f>Skills!B15</f>
        <v>Flame Haze (burst)</v>
      </c>
      <c r="C509" t="b">
        <f>Inputs!$B$3&gt;=107</f>
        <v>1</v>
      </c>
      <c r="D509">
        <f>IF(Skills!C15=1,60+Inputs!$B$24+Inputs!$B$28,IF(Skills!C15=2,90+Inputs!$B$25+Inputs!$B$28,IF(Skills!C15=3,120+Inputs!$B$26+Inputs!$B$28,MAX(0,(Inputs!$B$3-100)*3)+Inputs!$B$27+Inputs!$B$28)))</f>
        <v>172</v>
      </c>
      <c r="E509">
        <f>INDEX(FactorTable!$B$2:$Y$301, MATCH(ROUND(MIN(300,MAX(1,D509)),0), FactorTable!$A$2:$A$301,0), Skills!M15+1)</f>
        <v>1860</v>
      </c>
      <c r="F509">
        <f>IF(Skills!N15=TRUE,(Skills!L15/10)*(E509/1000),Skills!L15/10)+Skills!O15</f>
        <v>2232</v>
      </c>
      <c r="G509">
        <f>Calc!G15</f>
        <v>3</v>
      </c>
      <c r="H509">
        <f>Calc!H15</f>
        <v>1</v>
      </c>
      <c r="I509">
        <f>IF(Skills!X15&lt;&gt;"",1+(Skills!X15/10)*(R497/1000)/100,1)</f>
        <v>1</v>
      </c>
      <c r="J509">
        <f>((Inputs!$B$5*(1+Inputs!$B$6/100))+((Inputs!$B$11*(1+Inputs!$B$12/100))-(Inputs!$B$11*(1+Inputs!$B$12/100)))*(1+Inputs!$B$6/100))*(F509/100)</f>
        <v>5576228413.8969603</v>
      </c>
      <c r="K509">
        <f>J509*(1+((Inputs!$B$11*(1+Inputs!$B$12/100))*0.01+Inputs!$B$13*0.0025)/100)*(1+Inputs!$B$14/100)*(1+IF(Inputs!$B$4="pvp",0,(1-Summary!$B$56)*(Inputs!$B$19+Skills!P15)+Summary!$B$56*(Inputs!$B$20+Skills!Q15))/100)*(1+Inputs!$B$15/100)*(5000/(6000+Inputs!$B$7*(1-Inputs!$B$18/100)))*(1+Inputs!$B$23/100)*(1+F517/100)*(1+IF(Inputs!$B$3&gt;=120,F520,0)/100)^5*(1+(IF(Skills!A15="BASIC_ATTACK",Inputs!$B$16,Inputs!$B$17+IF(Inputs!$B$3&gt;=125,F521*5,0)))/100)*(B524*B525*B526*I509)</f>
        <v>42423509733317.805</v>
      </c>
      <c r="L509">
        <f>K509*(MIN(Inputs!$B$21+(F516-Calc!F22),Inputs!$B$22)/100+Inputs!$B$22/100)/2</f>
        <v>114522264525091.39</v>
      </c>
      <c r="M509">
        <f>L509*(1+(Inputs!$B$9+(F515-Calc!F21))/100)</f>
        <v>479962810624658.12</v>
      </c>
      <c r="N509">
        <f>L509*(1-MIN(Inputs!$B$8+(F514-Calc!F20),100)/100)+M509*(MIN(Inputs!$B$8+(F514-Calc!F20),100)/100)</f>
        <v>479962810624658.12</v>
      </c>
      <c r="O509">
        <f>IF(C509,H509*N509*IF(AND(Inputs!$B$4&lt;&gt;"pvp",Inputs!$B$35&gt;0),((Skills!G15*((S509-1)*IF(Skills!H15&gt;0,Skills!I15/Skills!H15,1)+IF(Skills!H15&gt;0,MIN(Skills!I15,MAX(0,Inputs!$B$35-((S509-1)*IF(Inputs!$B$4="pvp",15,MAX(0.1,Skills!E15-IF(Skills!F15=TRUE,Inputs!$B$31,0))))))/Skills!H15,1)))/Inputs!$B$35),G509*V509)*IF(Inputs!$B$4="pvp",1,(1-Summary!$B$56)*(1)+Summary!$B$56*(MIN(Skills!R15,Inputs!$B$37))),0)</f>
        <v>368611438559737.5</v>
      </c>
      <c r="P509">
        <f>IF(B533=0,0,O509/B533)</f>
        <v>4.4107692364912229E-2</v>
      </c>
      <c r="S509">
        <f>IF(AND(Inputs!$B$4&lt;&gt;"pvp",Inputs!$B$35&gt;0),(INT(Inputs!$B$35/IF(Inputs!$B$4="pvp",15,MAX(0.1,Skills!E15-IF(Skills!F15=TRUE,Inputs!$B$31,0))))+1),0)</f>
        <v>0</v>
      </c>
      <c r="V509">
        <f>IFERROR(1/IF(Inputs!$B$4="pvp",15,MAX(0.1,Skills!E15-IF(Skills!F15=TRUE,Inputs!$B$31,0))),0)</f>
        <v>0.04</v>
      </c>
    </row>
    <row r="510" spans="1:22" x14ac:dyDescent="0.2">
      <c r="A510" t="str">
        <f>Skills!A16</f>
        <v>FLAME_HAZE_DOT</v>
      </c>
      <c r="B510" t="str">
        <f>Skills!B16</f>
        <v>Flame Haze (burn DoT)</v>
      </c>
      <c r="C510" t="b">
        <f>Inputs!$B$3&gt;=107</f>
        <v>1</v>
      </c>
      <c r="D510">
        <f>IF(Skills!C16=1,60+Inputs!$B$24+Inputs!$B$28,IF(Skills!C16=2,90+Inputs!$B$25+Inputs!$B$28,IF(Skills!C16=3,120+Inputs!$B$26+Inputs!$B$28,MAX(0,(Inputs!$B$3-100)*3)+Inputs!$B$27+Inputs!$B$28)))</f>
        <v>172</v>
      </c>
      <c r="E510">
        <f>INDEX(FactorTable!$B$2:$Y$301, MATCH(ROUND(MIN(300,MAX(1,D510)),0), FactorTable!$A$2:$A$301,0), Skills!M16+1)</f>
        <v>1860</v>
      </c>
      <c r="F510">
        <f>IF(Skills!N16=TRUE,(Skills!L16/10)*(E510/1000),Skills!L16/10)+Skills!O16</f>
        <v>279</v>
      </c>
      <c r="G510">
        <f>Calc!G16</f>
        <v>28</v>
      </c>
      <c r="H510">
        <f>Calc!H16</f>
        <v>1</v>
      </c>
      <c r="I510">
        <f>IF(Skills!X16&lt;&gt;"",1+(Skills!X16/10)*(R497/1000)/100,1)</f>
        <v>1</v>
      </c>
      <c r="J510">
        <f>((Inputs!$B$5*(1+Inputs!$B$6/100))+((Inputs!$B$11*(1+Inputs!$B$12/100))-(Inputs!$B$11*(1+Inputs!$B$12/100)))*(1+Inputs!$B$6/100))*(F510/100)</f>
        <v>697028551.73712003</v>
      </c>
      <c r="K510">
        <f>J510*(1+((Inputs!$B$11*(1+Inputs!$B$12/100))*0.01+Inputs!$B$13*0.0025)/100)*(1+Inputs!$B$14/100)*(1+IF(Inputs!$B$4="pvp",0,(1-Summary!$B$56)*(Inputs!$B$19+Skills!P16)+Summary!$B$56*(Inputs!$B$20+Skills!Q16))/100)*(1+Inputs!$B$15/100)*(5000/(6000+Inputs!$B$7*(1-Inputs!$B$18/100)))*(1+Inputs!$B$23/100)*(1+F517/100)*(1+IF(Inputs!$B$3&gt;=120,F520,0)/100)^5*(1+(IF(Skills!A16="BASIC_ATTACK",Inputs!$B$16,Inputs!$B$17+IF(Inputs!$B$3&gt;=125,F521*5,0)))/100)*(B524*B525*B526*I510)</f>
        <v>5302938716664.7256</v>
      </c>
      <c r="L510">
        <f>K510*(MIN(Inputs!$B$21+(F516-Calc!F22),Inputs!$B$22)/100+Inputs!$B$22/100)/2</f>
        <v>14315283065636.424</v>
      </c>
      <c r="M510">
        <f>L510*(1+(Inputs!$B$9+(F515-Calc!F21))/100)</f>
        <v>59995351328082.266</v>
      </c>
      <c r="N510">
        <f>L510*(1-MIN(Inputs!$B$8+(F514-Calc!F20),100)/100)+M510*(MIN(Inputs!$B$8+(F514-Calc!F20),100)/100)</f>
        <v>59995351328082.266</v>
      </c>
      <c r="O510">
        <f>IF(C510,H510*N510*IF(AND(Inputs!$B$4&lt;&gt;"pvp",Inputs!$B$35&gt;0),((Skills!G16*((S510-1)*IF(Skills!H16&gt;0,Skills!I16/Skills!H16,1)+IF(Skills!H16&gt;0,MIN(Skills!I16,MAX(0,Inputs!$B$35-((S510-1)*IF(Inputs!$B$4="pvp",15,MAX(0.1,Skills!E16-IF(Skills!F16=TRUE,Inputs!$B$31,0))))))/Skills!H16,1)))/Inputs!$B$35),G510*V510)*(1+IF(Inputs!$B$3&gt;=126,0.05*(B530+V507+(H508*B531)/(1+Skills!H14*H508*B531)+V518),0)*Skills!E15)*IF(Inputs!$B$4="pvp",1,(1-Summary!$B$56)*(1)+Summary!$B$56*(MIN(Skills!R16,Inputs!$B$37))),0)</f>
        <v>430046678319693.75</v>
      </c>
      <c r="P510">
        <f>IF(B533=0,0,O510/B533)</f>
        <v>5.1458974425730934E-2</v>
      </c>
      <c r="S510">
        <f>IF(AND(Inputs!$B$4&lt;&gt;"pvp",Inputs!$B$35&gt;0),(INT(Inputs!$B$35/IF(Inputs!$B$4="pvp",15,MAX(0.1,Skills!E16-IF(Skills!F16=TRUE,Inputs!$B$31,0))))+1),0)</f>
        <v>0</v>
      </c>
      <c r="V510">
        <f>IFERROR(1/IF(Inputs!$B$4="pvp",15,MAX(0.1,Skills!E16-IF(Skills!F16=TRUE,Inputs!$B$31,0))),0)</f>
        <v>0.04</v>
      </c>
    </row>
    <row r="511" spans="1:22" x14ac:dyDescent="0.2">
      <c r="A511" t="str">
        <f>Skills!A17</f>
        <v>MAGIC_GUARD</v>
      </c>
      <c r="B511" t="str">
        <f>Skills!B17</f>
        <v>Magic Guard</v>
      </c>
      <c r="C511" t="b">
        <f>TRUE</f>
        <v>1</v>
      </c>
      <c r="D511">
        <f>IF(Skills!C17=1,60+Inputs!$B$24+Inputs!$B$28,IF(Skills!C17=2,90+Inputs!$B$25+Inputs!$B$28,IF(Skills!C17=3,120+Inputs!$B$26+Inputs!$B$28,MAX(0,(Inputs!$B$3-100)*3)+Inputs!$B$27+Inputs!$B$28)))</f>
        <v>115</v>
      </c>
      <c r="E511">
        <f>INDEX(FactorTable!$B$2:$Y$301, MATCH(ROUND(MIN(300,MAX(1,D511)),0), FactorTable!$A$2:$A$301,0), Skills!M17+1)</f>
        <v>1460</v>
      </c>
      <c r="F511">
        <f>IF(Skills!N17=TRUE,(Skills!L17/10)*(E511/1000),Skills!L17/10)+Skills!O17</f>
        <v>17.52</v>
      </c>
      <c r="G511">
        <f>Calc!G17</f>
        <v>1</v>
      </c>
      <c r="H511">
        <f>Calc!H17</f>
        <v>1</v>
      </c>
      <c r="I511">
        <f>IF(Skills!X17&lt;&gt;"",1+(Skills!X17/10)*(R497/1000)/100,1)</f>
        <v>1</v>
      </c>
      <c r="O511">
        <v>0</v>
      </c>
      <c r="P511">
        <f>IF(B533=0,0,O511/B533)</f>
        <v>0</v>
      </c>
      <c r="S511">
        <f>IF(AND(Inputs!$B$4&lt;&gt;"pvp",Inputs!$B$35&gt;0),(INT(Inputs!$B$35/IF(Inputs!$B$4="pvp",15,MAX(0.1,Skills!E17-IF(Skills!F17=TRUE,Inputs!$B$31,0))))+1),0)</f>
        <v>0</v>
      </c>
      <c r="V511">
        <f>IFERROR(1/IF(Inputs!$B$4="pvp",15,MAX(0.1,Skills!E17-IF(Skills!F17=TRUE,Inputs!$B$31,0))),0)</f>
        <v>4.7619047619047616E-2</v>
      </c>
    </row>
    <row r="512" spans="1:22" x14ac:dyDescent="0.2">
      <c r="A512" t="str">
        <f>Skills!A18</f>
        <v>NIMBLE_FEET</v>
      </c>
      <c r="B512" t="str">
        <f>Skills!B18</f>
        <v>Nimble Feet</v>
      </c>
      <c r="C512" t="b">
        <f>TRUE</f>
        <v>1</v>
      </c>
      <c r="D512">
        <f>IF(Skills!C18=1,60+Inputs!$B$24+Inputs!$B$28,IF(Skills!C18=2,90+Inputs!$B$25+Inputs!$B$28,IF(Skills!C18=3,120+Inputs!$B$26+Inputs!$B$28,MAX(0,(Inputs!$B$3-100)*3)+Inputs!$B$27+Inputs!$B$28)))</f>
        <v>115</v>
      </c>
      <c r="E512">
        <f>INDEX(FactorTable!$B$2:$Y$301, MATCH(ROUND(MIN(300,MAX(1,D512)),0), FactorTable!$A$2:$A$301,0), Skills!M18+1)</f>
        <v>0</v>
      </c>
      <c r="F512">
        <f>IF(Skills!N18=TRUE,(Skills!L18/10)*(E512/1000),Skills!L18/10)+Skills!O18</f>
        <v>15</v>
      </c>
      <c r="G512">
        <f>Calc!G18</f>
        <v>1</v>
      </c>
      <c r="H512">
        <f>Calc!H18</f>
        <v>1</v>
      </c>
      <c r="I512">
        <f>IF(Skills!X18&lt;&gt;"",1+(Skills!X18/10)*(R497/1000)/100,1)</f>
        <v>1</v>
      </c>
      <c r="O512">
        <v>0</v>
      </c>
      <c r="P512">
        <f>IF(B533=0,0,O512/B533)</f>
        <v>0</v>
      </c>
      <c r="S512">
        <f>IF(AND(Inputs!$B$4&lt;&gt;"pvp",Inputs!$B$35&gt;0),(INT(Inputs!$B$35/IF(Inputs!$B$4="pvp",15,MAX(0.1,Skills!E18-IF(Skills!F18=TRUE,Inputs!$B$31,0))))+1),0)</f>
        <v>0</v>
      </c>
      <c r="V512">
        <f>IFERROR(1/IF(Inputs!$B$4="pvp",15,MAX(0.1,Skills!E18-IF(Skills!F18=TRUE,Inputs!$B$31,0))),0)</f>
        <v>1.6666666666666666E-2</v>
      </c>
    </row>
    <row r="513" spans="1:22" x14ac:dyDescent="0.2">
      <c r="A513" t="str">
        <f>Skills!A19</f>
        <v>INFINITY</v>
      </c>
      <c r="B513" t="str">
        <f>Skills!B19</f>
        <v>Infinity</v>
      </c>
      <c r="C513" t="b">
        <f>Inputs!$B$3&gt;=110</f>
        <v>1</v>
      </c>
      <c r="D513">
        <f>IF(Skills!C19=1,60+Inputs!$B$24+Inputs!$B$28,IF(Skills!C19=2,90+Inputs!$B$25+Inputs!$B$28,IF(Skills!C19=3,120+Inputs!$B$26+Inputs!$B$28,MAX(0,(Inputs!$B$3-100)*3)+Inputs!$B$27+Inputs!$B$28)))</f>
        <v>172</v>
      </c>
      <c r="E513">
        <f>INDEX(FactorTable!$B$2:$Y$301, MATCH(ROUND(MIN(300,MAX(1,D513)),0), FactorTable!$A$2:$A$301,0), Skills!M19+1)</f>
        <v>1688</v>
      </c>
      <c r="F513">
        <f>IF(Skills!N19=TRUE,(Skills!L19/10)*(E513/1000),Skills!L19/10)+Skills!O19</f>
        <v>36.573895999999998</v>
      </c>
      <c r="G513">
        <f>Calc!G19</f>
        <v>1</v>
      </c>
      <c r="H513">
        <f>Calc!H19</f>
        <v>1</v>
      </c>
      <c r="I513">
        <f>IF(Skills!X19&lt;&gt;"",1+(Skills!X19/10)*(R497/1000)/100,1)</f>
        <v>1</v>
      </c>
      <c r="O513">
        <v>0</v>
      </c>
      <c r="P513">
        <f>IF(B533=0,0,O513/B533)</f>
        <v>0</v>
      </c>
      <c r="S513">
        <f>IF(AND(Inputs!$B$4&lt;&gt;"pvp",Inputs!$B$35&gt;0),(INT(Inputs!$B$35/IF(Inputs!$B$4="pvp",15,MAX(0.1,Skills!E19-IF(Skills!F19=TRUE,Inputs!$B$31,0))))+1),0)</f>
        <v>0</v>
      </c>
      <c r="V513">
        <f>IFERROR(1/IF(Inputs!$B$4="pvp",15,MAX(0.1,Skills!E19-IF(Skills!F19=TRUE,Inputs!$B$31,0))),0)</f>
        <v>3.3333333333333333E-2</v>
      </c>
    </row>
    <row r="514" spans="1:22" x14ac:dyDescent="0.2">
      <c r="A514" t="str">
        <f>Skills!A20</f>
        <v>MAGIC_CRITICAL_RATE</v>
      </c>
      <c r="B514" t="str">
        <f>Skills!B20</f>
        <v>Magic Critical (Crit Rate)</v>
      </c>
      <c r="C514" t="b">
        <f>TRUE</f>
        <v>1</v>
      </c>
      <c r="D514">
        <f>IF(Skills!C20=1,60+Inputs!$B$24+Inputs!$B$28,IF(Skills!C20=2,90+Inputs!$B$25+Inputs!$B$28,IF(Skills!C20=3,120+Inputs!$B$26+Inputs!$B$28,MAX(0,(Inputs!$B$3-100)*3)+Inputs!$B$27+Inputs!$B$28)))</f>
        <v>184</v>
      </c>
      <c r="E514">
        <f>INDEX(FactorTable!$B$2:$Y$301, MATCH(ROUND(MIN(300,MAX(1,D514)),0), FactorTable!$A$2:$A$301,0), Skills!M20+1)</f>
        <v>1552</v>
      </c>
      <c r="F514">
        <f>IF(Skills!N20=TRUE,(Skills!L20/10)*(E514/1000),Skills!L20/10)+Skills!O20</f>
        <v>12.416</v>
      </c>
      <c r="G514">
        <f>Calc!G20</f>
        <v>1</v>
      </c>
      <c r="H514">
        <f>Calc!H20</f>
        <v>1</v>
      </c>
      <c r="I514">
        <f>IF(Skills!X20&lt;&gt;"",1+(Skills!X20/10)*(R497/1000)/100,1)</f>
        <v>1</v>
      </c>
      <c r="O514">
        <v>0</v>
      </c>
      <c r="P514">
        <f>IF(B533=0,0,O514/B533)</f>
        <v>0</v>
      </c>
      <c r="S514">
        <v>0</v>
      </c>
      <c r="V514">
        <f>IFERROR(1/IF(Inputs!$B$4="pvp",15,MAX(0.1,Skills!E20-IF(Skills!F20=TRUE,Inputs!$B$31,0))),0)</f>
        <v>10</v>
      </c>
    </row>
    <row r="515" spans="1:22" x14ac:dyDescent="0.2">
      <c r="A515" t="str">
        <f>Skills!A21</f>
        <v>MAGIC_CRITICAL_DAMAGE</v>
      </c>
      <c r="B515" t="str">
        <f>Skills!B21</f>
        <v>Magic Critical (Crit Damage)</v>
      </c>
      <c r="C515" t="b">
        <f>TRUE</f>
        <v>1</v>
      </c>
      <c r="D515">
        <f>IF(Skills!C21=1,60+Inputs!$B$24+Inputs!$B$28,IF(Skills!C21=2,90+Inputs!$B$25+Inputs!$B$28,IF(Skills!C21=3,120+Inputs!$B$26+Inputs!$B$28,MAX(0,(Inputs!$B$3-100)*3)+Inputs!$B$27+Inputs!$B$28)))</f>
        <v>184</v>
      </c>
      <c r="E515">
        <f>INDEX(FactorTable!$B$2:$Y$301, MATCH(ROUND(MIN(300,MAX(1,D515)),0), FactorTable!$A$2:$A$301,0), Skills!M21+1)</f>
        <v>1552</v>
      </c>
      <c r="F515">
        <f>IF(Skills!N21=TRUE,(Skills!L21/10)*(E515/1000),Skills!L21/10)+Skills!O21</f>
        <v>18.624000000000002</v>
      </c>
      <c r="G515">
        <f>Calc!G21</f>
        <v>1</v>
      </c>
      <c r="H515">
        <f>Calc!H21</f>
        <v>1</v>
      </c>
      <c r="I515">
        <f>IF(Skills!X21&lt;&gt;"",1+(Skills!X21/10)*(R497/1000)/100,1)</f>
        <v>1</v>
      </c>
      <c r="O515">
        <v>0</v>
      </c>
      <c r="P515">
        <f>IF(B533=0,0,O515/B533)</f>
        <v>0</v>
      </c>
      <c r="S515">
        <v>0</v>
      </c>
      <c r="V515">
        <f>IFERROR(1/IF(Inputs!$B$4="pvp",15,MAX(0.1,Skills!E21-IF(Skills!F21=TRUE,Inputs!$B$31,0))),0)</f>
        <v>10</v>
      </c>
    </row>
    <row r="516" spans="1:22" x14ac:dyDescent="0.2">
      <c r="A516" t="str">
        <f>Skills!A22</f>
        <v>SPELL_MASTERY</v>
      </c>
      <c r="B516" t="str">
        <f>Skills!B22</f>
        <v>Spell Mastery</v>
      </c>
      <c r="C516" t="b">
        <f>TRUE</f>
        <v>1</v>
      </c>
      <c r="D516">
        <f>IF(Skills!C22=1,60+Inputs!$B$24+Inputs!$B$28,IF(Skills!C22=2,90+Inputs!$B$25+Inputs!$B$28,IF(Skills!C22=3,120+Inputs!$B$26+Inputs!$B$28,MAX(0,(Inputs!$B$3-100)*3)+Inputs!$B$27+Inputs!$B$28)))</f>
        <v>164</v>
      </c>
      <c r="E516">
        <f>INDEX(FactorTable!$B$2:$Y$301, MATCH(ROUND(MIN(300,MAX(1,D516)),0), FactorTable!$A$2:$A$301,0), Skills!M22+1)</f>
        <v>1492</v>
      </c>
      <c r="F516">
        <f>IF(Skills!N22=TRUE,(Skills!L22/10)*(E516/1000),Skills!L22/10)+Skills!O22</f>
        <v>22.38</v>
      </c>
      <c r="G516">
        <f>Calc!G22</f>
        <v>1</v>
      </c>
      <c r="H516">
        <f>Calc!H22</f>
        <v>1</v>
      </c>
      <c r="I516">
        <f>IF(Skills!X22&lt;&gt;"",1+(Skills!X22/10)*(R497/1000)/100,1)</f>
        <v>1</v>
      </c>
      <c r="O516">
        <v>0</v>
      </c>
      <c r="P516">
        <f>IF(B533=0,0,O516/B533)</f>
        <v>0</v>
      </c>
      <c r="S516">
        <v>0</v>
      </c>
      <c r="V516">
        <f>IFERROR(1/IF(Inputs!$B$4="pvp",15,MAX(0.1,Skills!E22-IF(Skills!F22=TRUE,Inputs!$B$31,0))),0)</f>
        <v>10</v>
      </c>
    </row>
    <row r="517" spans="1:22" x14ac:dyDescent="0.2">
      <c r="A517" t="str">
        <f>Skills!A23</f>
        <v>ELEMENT_AMPLIFICATION</v>
      </c>
      <c r="B517" t="str">
        <f>Skills!B23</f>
        <v>Element Amplification</v>
      </c>
      <c r="C517" t="b">
        <f>TRUE</f>
        <v>1</v>
      </c>
      <c r="D517">
        <f>IF(Skills!C23=1,60+Inputs!$B$24+Inputs!$B$28,IF(Skills!C23=2,90+Inputs!$B$25+Inputs!$B$28,IF(Skills!C23=3,120+Inputs!$B$26+Inputs!$B$28,MAX(0,(Inputs!$B$3-100)*3)+Inputs!$B$27+Inputs!$B$28)))</f>
        <v>172</v>
      </c>
      <c r="E517">
        <f>INDEX(FactorTable!$B$2:$Y$301, MATCH(ROUND(MIN(300,MAX(1,D517)),0), FactorTable!$A$2:$A$301,0), Skills!M23+1)</f>
        <v>1516</v>
      </c>
      <c r="F517">
        <f>IF(Skills!N23=TRUE,(Skills!L23/10)*(E517/1000),Skills!L23/10)+Skills!O23</f>
        <v>22.740000000000002</v>
      </c>
      <c r="G517">
        <f>Calc!G23</f>
        <v>1</v>
      </c>
      <c r="H517">
        <f>Calc!H23</f>
        <v>1</v>
      </c>
      <c r="I517">
        <f>IF(Skills!X23&lt;&gt;"",1+(Skills!X23/10)*(R497/1000)/100,1)</f>
        <v>1</v>
      </c>
      <c r="O517">
        <v>0</v>
      </c>
      <c r="P517">
        <f>IF(B533=0,0,O517/B533)</f>
        <v>0</v>
      </c>
      <c r="S517">
        <v>0</v>
      </c>
      <c r="V517">
        <f>IFERROR(1/IF(Inputs!$B$4="pvp",15,MAX(0.1,Skills!E23-IF(Skills!F23=TRUE,Inputs!$B$31,0))),0)</f>
        <v>10</v>
      </c>
    </row>
    <row r="518" spans="1:22" x14ac:dyDescent="0.2">
      <c r="A518" t="str">
        <f>Skills!A24</f>
        <v>IFRIT</v>
      </c>
      <c r="B518" t="str">
        <f>Skills!B24</f>
        <v>Ifrit</v>
      </c>
      <c r="C518" t="b">
        <f>Inputs!$B$3&gt;=115</f>
        <v>0</v>
      </c>
      <c r="D518">
        <f>IF(Skills!C24=1,60+Inputs!$B$24+Inputs!$B$28,IF(Skills!C24=2,90+Inputs!$B$25+Inputs!$B$28,IF(Skills!C24=3,120+Inputs!$B$26+Inputs!$B$28,MAX(0,(Inputs!$B$3-100)*3)+Inputs!$B$27+Inputs!$B$28)))</f>
        <v>172</v>
      </c>
      <c r="E518">
        <f>INDEX(FactorTable!$B$2:$Y$301, MATCH(ROUND(MIN(300,MAX(1,D518)),0), FactorTable!$A$2:$A$301,0), Skills!M24+1)</f>
        <v>1860</v>
      </c>
      <c r="F518">
        <f>IF(Skills!N24=TRUE,(Skills!L24/10)*(E518/1000),Skills!L24/10)+Skills!O24</f>
        <v>6510</v>
      </c>
      <c r="G518">
        <f>Calc!G24</f>
        <v>7.5</v>
      </c>
      <c r="H518">
        <f>Calc!H24</f>
        <v>1</v>
      </c>
      <c r="I518">
        <f>IF(Skills!X24&lt;&gt;"",1+(Skills!X24/10)*(R497/1000)/100,1)</f>
        <v>1</v>
      </c>
      <c r="J518">
        <f>((Inputs!$B$5*(1+Inputs!$B$6/100))+((Inputs!$B$11*(1+Inputs!$B$12/100))-(Inputs!$B$11*(1+Inputs!$B$12/100)))*(1+Inputs!$B$6/100))*(F518/100)</f>
        <v>16263999540.532799</v>
      </c>
      <c r="K518">
        <f>J518*(1+((Inputs!$B$11*(1+Inputs!$B$12/100))*0.01+Inputs!$B$13*0.0025)/100)*(1+Inputs!$B$14/100)*(1+IF(Inputs!$B$4="pvp",0,(1-Summary!$B$56)*(Inputs!$B$19+Skills!P24)+Summary!$B$56*(Inputs!$B$20+Skills!Q24))/100)*(1+Inputs!$B$15/100)*(5000/(6000+Inputs!$B$7*(1-Inputs!$B$18/100)))*(1+Inputs!$B$23/100)*(1+F517/100)*(1+IF(Inputs!$B$3&gt;=120,F520,0)/100)^5*(1+(IF(Skills!A24="BASIC_ATTACK",Inputs!$B$16,Inputs!$B$17+IF(Inputs!$B$3&gt;=125,F521*5,0)))/100)*(B524*B525*B526*I518)</f>
        <v>123735236722176.92</v>
      </c>
      <c r="L518">
        <f>K518*(MIN(Inputs!$B$21+(F516-Calc!F22),Inputs!$B$22)/100+Inputs!$B$22/100)/2</f>
        <v>334023271531516.56</v>
      </c>
      <c r="M518">
        <f>L518*(1+(Inputs!$B$9+(F515-Calc!F21))/100)</f>
        <v>1399891530988586.2</v>
      </c>
      <c r="N518">
        <f>L518*(1-MIN(Inputs!$B$8+(F514-Calc!F20),100)/100)+M518*(MIN(Inputs!$B$8+(F514-Calc!F20),100)/100)</f>
        <v>1399891530988586.2</v>
      </c>
      <c r="O518">
        <f>IF(C518,H518*N518*IF(AND(Inputs!$B$4&lt;&gt;"pvp",Inputs!$B$35&gt;0),((Skills!G24*((S518-1)*IF(Skills!H24&gt;0,Skills!I24/Skills!H24,1)+IF(Skills!H24&gt;0,MIN(Skills!I24,MAX(0,Inputs!$B$35-((S518-1)*IF(Inputs!$B$4="pvp",15,MAX(0.1,Skills!E24-IF(Skills!F24=TRUE,Inputs!$B$31,0))))))/Skills!H24,1)))/Inputs!$B$35),G518*V518)*(1+IF(Inputs!$B$3&gt;=130,0.2*(Skills!I16/Skills!E15+IF(Inputs!$B$3&gt;=126,0.05*(B530+V507+(H508*B531)/(1+Skills!H14*H508*B531)+V518),0)*Skills!I16),0))*IF(Inputs!$B$4="pvp",1,(1-Summary!$B$56)*(1)+Summary!$B$56*(MIN(Skills!R24,Inputs!$B$37))),0)</f>
        <v>0</v>
      </c>
      <c r="P518">
        <f>IF(B533=0,0,O518/B533)</f>
        <v>0</v>
      </c>
      <c r="S518">
        <f>IF(AND(Inputs!$B$4&lt;&gt;"pvp",Inputs!$B$35&gt;0),(INT(Inputs!$B$35/IF(Inputs!$B$4="pvp",15,MAX(0.1,Skills!E24-IF(Skills!F24=TRUE,Inputs!$B$31,0))))+1),0)</f>
        <v>0</v>
      </c>
      <c r="V518">
        <f>IFERROR(1/IF(Inputs!$B$4="pvp",15,MAX(0.1,Skills!E24-IF(Skills!F24=TRUE,Inputs!$B$31,0))),0)</f>
        <v>1.2500000000000001E-2</v>
      </c>
    </row>
    <row r="519" spans="1:22" x14ac:dyDescent="0.2">
      <c r="A519" t="str">
        <f>Skills!A25</f>
        <v>BUFF_MASTERY</v>
      </c>
      <c r="B519" t="str">
        <f>Skills!B25</f>
        <v>Buff Mastery</v>
      </c>
      <c r="C519" t="b">
        <f>Inputs!$B$3&gt;=117</f>
        <v>0</v>
      </c>
      <c r="D519">
        <f>IF(Skills!C25=1,60+Inputs!$B$24+Inputs!$B$28,IF(Skills!C25=2,90+Inputs!$B$25+Inputs!$B$28,IF(Skills!C25=3,120+Inputs!$B$26+Inputs!$B$28,MAX(0,(Inputs!$B$3-100)*3)+Inputs!$B$27+Inputs!$B$28)))</f>
        <v>172</v>
      </c>
      <c r="E519">
        <f>INDEX(FactorTable!$B$2:$Y$301, MATCH(ROUND(MIN(300,MAX(1,D519)),0), FactorTable!$A$2:$A$301,0), Skills!M25+1)</f>
        <v>1516</v>
      </c>
      <c r="F519">
        <f>IF(Skills!N25=TRUE,(Skills!L25/10)*(E519/1000),Skills!L25/10)+Skills!O25</f>
        <v>15.16</v>
      </c>
      <c r="G519">
        <f>Calc!G25</f>
        <v>1</v>
      </c>
      <c r="H519">
        <f>Calc!H25</f>
        <v>1</v>
      </c>
      <c r="I519">
        <f>IF(Skills!X25&lt;&gt;"",1+(Skills!X25/10)*(R497/1000)/100,1)</f>
        <v>1</v>
      </c>
      <c r="O519">
        <v>0</v>
      </c>
      <c r="P519">
        <f>IF(B533=0,0,O519/B533)</f>
        <v>0</v>
      </c>
      <c r="S519">
        <v>0</v>
      </c>
      <c r="V519">
        <f>IFERROR(1/IF(Inputs!$B$4="pvp",15,MAX(0.1,Skills!E25-IF(Skills!F25=TRUE,Inputs!$B$31,0))),0)</f>
        <v>10</v>
      </c>
    </row>
    <row r="520" spans="1:22" x14ac:dyDescent="0.2">
      <c r="A520" t="str">
        <f>Skills!A26</f>
        <v>ARCANE_AIM</v>
      </c>
      <c r="B520" t="str">
        <f>Skills!B26</f>
        <v>Arcane Aim</v>
      </c>
      <c r="C520" t="b">
        <f>Inputs!$B$3&gt;=120</f>
        <v>0</v>
      </c>
      <c r="D520">
        <f>IF(Skills!C26=1,60+Inputs!$B$24+Inputs!$B$28,IF(Skills!C26=2,90+Inputs!$B$25+Inputs!$B$28,IF(Skills!C26=3,120+Inputs!$B$26+Inputs!$B$28,MAX(0,(Inputs!$B$3-100)*3)+Inputs!$B$27+Inputs!$B$28)))</f>
        <v>172</v>
      </c>
      <c r="E520">
        <f>INDEX(FactorTable!$B$2:$Y$301, MATCH(ROUND(MIN(300,MAX(1,D520)),0), FactorTable!$A$2:$A$301,0), Skills!M26+1)</f>
        <v>1516</v>
      </c>
      <c r="F520">
        <f>IF(Skills!N26=TRUE,(Skills!L26/10)*(E520/1000),Skills!L26/10)+Skills!O26</f>
        <v>4.548</v>
      </c>
      <c r="G520">
        <f>Calc!G26</f>
        <v>1</v>
      </c>
      <c r="H520">
        <f>Calc!H26</f>
        <v>1</v>
      </c>
      <c r="I520">
        <f>IF(Skills!X26&lt;&gt;"",1+(Skills!X26/10)*(R497/1000)/100,1)</f>
        <v>1</v>
      </c>
      <c r="O520">
        <v>0</v>
      </c>
      <c r="P520">
        <f>IF(B533=0,0,O520/B533)</f>
        <v>0</v>
      </c>
      <c r="S520">
        <v>0</v>
      </c>
      <c r="V520">
        <f>IFERROR(1/IF(Inputs!$B$4="pvp",15,MAX(0.1,Skills!E26-IF(Skills!F26=TRUE,Inputs!$B$31,0))),0)</f>
        <v>10</v>
      </c>
    </row>
    <row r="521" spans="1:22" x14ac:dyDescent="0.2">
      <c r="A521" t="str">
        <f>Skills!A27</f>
        <v>FERVENT_DRAIN</v>
      </c>
      <c r="B521" t="str">
        <f>Skills!B27</f>
        <v>Fervent Drain</v>
      </c>
      <c r="C521" t="b">
        <f>Inputs!$B$3&gt;=125</f>
        <v>0</v>
      </c>
      <c r="D521">
        <f>IF(Skills!C27=1,60+Inputs!$B$24+Inputs!$B$28,IF(Skills!C27=2,90+Inputs!$B$25+Inputs!$B$28,IF(Skills!C27=3,120+Inputs!$B$26+Inputs!$B$28,MAX(0,(Inputs!$B$3-100)*3)+Inputs!$B$27+Inputs!$B$28)))</f>
        <v>172</v>
      </c>
      <c r="E521">
        <f>INDEX(FactorTable!$B$2:$Y$301, MATCH(ROUND(MIN(300,MAX(1,D521)),0), FactorTable!$A$2:$A$301,0), Skills!M27+1)</f>
        <v>1516</v>
      </c>
      <c r="F521">
        <f>IF(Skills!N27=TRUE,(Skills!L27/10)*(E521/1000),Skills!L27/10)+Skills!O27</f>
        <v>6.0640000000000001</v>
      </c>
      <c r="G521">
        <f>Calc!G27</f>
        <v>1</v>
      </c>
      <c r="H521">
        <f>Calc!H27</f>
        <v>1</v>
      </c>
      <c r="I521">
        <f>IF(Skills!X27&lt;&gt;"",1+(Skills!X27/10)*(R497/1000)/100,1)</f>
        <v>1</v>
      </c>
      <c r="O521">
        <v>0</v>
      </c>
      <c r="P521">
        <f>IF(B533=0,0,O521/B533)</f>
        <v>0</v>
      </c>
      <c r="S521">
        <v>0</v>
      </c>
      <c r="V521">
        <f>IFERROR(1/IF(Inputs!$B$4="pvp",15,MAX(0.1,Skills!E27-IF(Skills!F27=TRUE,Inputs!$B$31,0))),0)</f>
        <v>10</v>
      </c>
    </row>
    <row r="522" spans="1:22" x14ac:dyDescent="0.2">
      <c r="A522" t="str">
        <f>Skills!A28</f>
        <v>FLAME_HAZE_FOG</v>
      </c>
      <c r="B522" t="str">
        <f>Skills!B28</f>
        <v>Flame Haze (poison fog DoT)</v>
      </c>
      <c r="C522" t="b">
        <f>Inputs!$B$3&gt;=118</f>
        <v>0</v>
      </c>
      <c r="D522">
        <f>IF(Skills!C28=1,60+Inputs!$B$24+Inputs!$B$28,IF(Skills!C28=2,90+Inputs!$B$25+Inputs!$B$28,IF(Skills!C28=3,120+Inputs!$B$26+Inputs!$B$28,MAX(0,(Inputs!$B$3-100)*3)+Inputs!$B$27+Inputs!$B$28)))</f>
        <v>172</v>
      </c>
      <c r="E522">
        <f>INDEX(FactorTable!$B$2:$Y$301, MATCH(ROUND(MIN(300,MAX(1,D522)),0), FactorTable!$A$2:$A$301,0), Skills!M28+1)</f>
        <v>1860</v>
      </c>
      <c r="F522">
        <f>IF(Skills!N28=TRUE,(Skills!L28/10)*(E522/1000),Skills!L28/10)+Skills!O28</f>
        <v>130.20000000000002</v>
      </c>
      <c r="G522">
        <f>Calc!G28</f>
        <v>50</v>
      </c>
      <c r="H522">
        <f>Calc!H28</f>
        <v>1</v>
      </c>
      <c r="I522">
        <f>IF(Skills!X28&lt;&gt;"",1+(Skills!X28/10)*(R497/1000)/100,1)</f>
        <v>1</v>
      </c>
      <c r="J522">
        <f>((Inputs!$B$5*(1+Inputs!$B$6/100))+((Inputs!$B$11*(1+Inputs!$B$12/100))-(Inputs!$B$11*(1+Inputs!$B$12/100)))*(1+Inputs!$B$6/100))*(F522/100)</f>
        <v>325279990.81065607</v>
      </c>
      <c r="K522">
        <f>J522*(1+((Inputs!$B$11*(1+Inputs!$B$12/100))*0.01+Inputs!$B$13*0.0025)/100)*(1+Inputs!$B$14/100)*(1+IF(Inputs!$B$4="pvp",0,(1-Summary!$B$56)*(Inputs!$B$19+Skills!P28)+Summary!$B$56*(Inputs!$B$20+Skills!Q28))/100)*(1+Inputs!$B$15/100)*(5000/(6000+Inputs!$B$7*(1-Inputs!$B$18/100)))*(1+Inputs!$B$23/100)*(1+F517/100)*(1+IF(Inputs!$B$3&gt;=120,F520,0)/100)^5*(1+(IF(Skills!A28="BASIC_ATTACK",Inputs!$B$16,Inputs!$B$17+IF(Inputs!$B$3&gt;=125,F521*5,0)))/100)*(B524*B525*B526*I522)</f>
        <v>2474704734443.54</v>
      </c>
      <c r="L522">
        <f>K522*(MIN(Inputs!$B$21+(F516-Calc!F22),Inputs!$B$22)/100+Inputs!$B$22/100)/2</f>
        <v>6680465430630.335</v>
      </c>
      <c r="M522">
        <f>L522*(1+(Inputs!$B$9+(F515-Calc!F21))/100)</f>
        <v>27997830619771.738</v>
      </c>
      <c r="N522">
        <f>L522*(1-MIN(Inputs!$B$8+(F514-Calc!F20),100)/100)+M522*(MIN(Inputs!$B$8+(F514-Calc!F20),100)/100)</f>
        <v>27997830619771.738</v>
      </c>
      <c r="O522">
        <f>IF(C522,H522*N522*IF(AND(Inputs!$B$4&lt;&gt;"pvp",Inputs!$B$35&gt;0),((Skills!G28*((S522-1)*IF(Skills!H28&gt;0,Skills!I28/Skills!H28,1)+IF(Skills!H28&gt;0,MIN(Skills!I28,MAX(0,Inputs!$B$35-((S522-1)*IF(Inputs!$B$4="pvp",15,MAX(0.1,Skills!E28-IF(Skills!F28=TRUE,Inputs!$B$31,0))))))/Skills!H28,1)))/Inputs!$B$35),G522*V522)*IF(Inputs!$B$4="pvp",1,(1-Summary!$B$56)*(1)+Summary!$B$56*(MIN(Skills!R28,Inputs!$B$37))),0)</f>
        <v>0</v>
      </c>
      <c r="P522">
        <f>IF(B533=0,0,O522/B533)</f>
        <v>0</v>
      </c>
      <c r="S522">
        <f>IF(AND(Inputs!$B$4&lt;&gt;"pvp",Inputs!$B$35&gt;0),(INT(Inputs!$B$35/IF(Inputs!$B$4="pvp",15,MAX(0.1,Skills!E28-IF(Skills!F28=TRUE,Inputs!$B$31,0))))+1),0)</f>
        <v>0</v>
      </c>
      <c r="V522">
        <f>IFERROR(1/IF(Inputs!$B$4="pvp",15,MAX(0.1,Skills!E28-IF(Skills!F28=TRUE,Inputs!$B$31,0))),0)</f>
        <v>0.04</v>
      </c>
    </row>
    <row r="524" spans="1:22" x14ac:dyDescent="0.2">
      <c r="A524" t="s">
        <v>222</v>
      </c>
      <c r="B524">
        <f>1+(F505*Skills!Z11)/100</f>
        <v>1.25</v>
      </c>
    </row>
    <row r="525" spans="1:22" x14ac:dyDescent="0.2">
      <c r="A525" t="s">
        <v>223</v>
      </c>
      <c r="B525">
        <f>1+F506/100</f>
        <v>1.18624</v>
      </c>
    </row>
    <row r="526" spans="1:22" x14ac:dyDescent="0.2">
      <c r="A526" t="s">
        <v>224</v>
      </c>
      <c r="B526">
        <f>(1+(F500*IF(AND(Inputs!$B$4&lt;&gt;"pvp",Inputs!$B$35&gt;0),(((S500-1)*(Skills!T6*(1+(Inputs!$B$33+IF(Inputs!$B$3&gt;=117,F519,0))/100))+MIN((Skills!T6*(1+(Inputs!$B$33+IF(Inputs!$B$3&gt;=117,F519,0))/100)),MAX(0,Inputs!$B$35-((S500-1)*Skills!E6))))/Inputs!$B$35),IF(Inputs!$B$4="pvp",MIN((Skills!T6*(1+(Inputs!$B$33+IF(Inputs!$B$3&gt;=117,F519,0))/100)),15)/15,(Skills!T6*(1+(Inputs!$B$33+IF(Inputs!$B$3&gt;=117,F519,0))/100))/Skills!E6))+F511*IF(AND(Inputs!$B$4&lt;&gt;"pvp",Inputs!$B$35&gt;0),(((S511-1)*(Skills!T17*(1+(Inputs!$B$33+IF(Inputs!$B$3&gt;=117,F519,0))/100))+MIN((Skills!T17*(1+(Inputs!$B$33+IF(Inputs!$B$3&gt;=117,F519,0))/100)),MAX(0,Inputs!$B$35-((S511-1)*Skills!E17))))/Inputs!$B$35),IF(Inputs!$B$4="pvp",MIN((Skills!T17*(1+(Inputs!$B$33+IF(Inputs!$B$3&gt;=117,F519,0))/100)),15)/15,(Skills!T17*(1+(Inputs!$B$33+IF(Inputs!$B$3&gt;=117,F519,0))/100))/Skills!E17)))/100)*IF(C513=TRUE,(1+F513*IF(AND(Inputs!$B$4&lt;&gt;"pvp",Inputs!$B$35&gt;0),(((S513-1)*(Skills!T19*(1+(Inputs!$B$33+IF(Inputs!$B$3&gt;=117,F519,0))/100))+MIN((Skills!T19*(1+(Inputs!$B$33+IF(Inputs!$B$3&gt;=117,F519,0))/100)),MAX(0,Inputs!$B$35-((S513-1)*Skills!E19))))/Inputs!$B$35),IF(Inputs!$B$4="pvp",MIN((Skills!T19*(1+(Inputs!$B$33+IF(Inputs!$B$3&gt;=117,F519,0))/100)),15)/15,(Skills!T19*(1+(Inputs!$B$33+IF(Inputs!$B$3&gt;=117,F519,0))/100))/Skills!E19))/100),1)</f>
        <v>1.5603265106950857</v>
      </c>
    </row>
    <row r="527" spans="1:22" x14ac:dyDescent="0.2">
      <c r="A527" t="s">
        <v>225</v>
      </c>
      <c r="B527">
        <f>F512*IF(AND(Inputs!$B$4&lt;&gt;"pvp",Inputs!$B$35&gt;0),(((S512-1)*(Skills!T18*(1+(Inputs!$B$33+IF(Inputs!$B$3&gt;=117,F519,0))/100))+MIN((Skills!T18*(1+(Inputs!$B$33+IF(Inputs!$B$3&gt;=117,F519,0))/100)),MAX(0,Inputs!$B$35-((S512-1)*Skills!E18))))/Inputs!$B$35),IF(Inputs!$B$4="pvp",MIN((Skills!T18*(1+(Inputs!$B$33+IF(Inputs!$B$3&gt;=117,F519,0))/100)),15)/15,(Skills!T18*(1+(Inputs!$B$33+IF(Inputs!$B$3&gt;=117,F519,0))/100))/Skills!E18))</f>
        <v>3.75</v>
      </c>
    </row>
    <row r="528" spans="1:22" x14ac:dyDescent="0.2">
      <c r="A528" t="s">
        <v>253</v>
      </c>
      <c r="B528">
        <f>1+MIN(150,150*(1-(1-((1-(1-Inputs!$B$10/150)*(1-1/150))*150)/150)*(1-B527/150)))/100</f>
        <v>1.6428775</v>
      </c>
    </row>
    <row r="529" spans="1:22" x14ac:dyDescent="0.2">
      <c r="A529" t="s">
        <v>254</v>
      </c>
      <c r="B529">
        <f>IF(AND(Inputs!$B$4&lt;&gt;"pvp",Inputs!$B$35&gt;0),SUMPRODUCT((Skills!F2:F28=TRUE)*(C496:C522=TRUE)*S496:S522)/Inputs!$B$35,SUMPRODUCT((Skills!F2:F28=TRUE)*(C496:C522=TRUE)*V496:V522))</f>
        <v>0.33466433037861604</v>
      </c>
    </row>
    <row r="530" spans="1:22" x14ac:dyDescent="0.2">
      <c r="A530" t="s">
        <v>228</v>
      </c>
      <c r="B530">
        <f>MAX(0,B528-B529)</f>
        <v>1.3082131696213839</v>
      </c>
    </row>
    <row r="531" spans="1:22" x14ac:dyDescent="0.2">
      <c r="A531" t="s">
        <v>255</v>
      </c>
      <c r="B531">
        <f>IF(AND(Inputs!$B$4&lt;&gt;"pvp",Inputs!$B$35&gt;0),SUMPRODUCT((Skills!V2:V28=TRUE)*(C496:C522=TRUE)*S496:S522*Skills!W2:W28)/Inputs!$B$35,SUMPRODUCT((Skills!V2:V28=TRUE)*(C496:C522=TRUE)*V496:V522*Skills!W2:W28))+B530</f>
        <v>1.5354941426166426</v>
      </c>
    </row>
    <row r="533" spans="1:22" x14ac:dyDescent="0.2">
      <c r="A533" s="5" t="s">
        <v>208</v>
      </c>
      <c r="B533" s="5">
        <f>SUM(O496:O522)</f>
        <v>8357078296233170</v>
      </c>
    </row>
    <row r="536" spans="1:22" x14ac:dyDescent="0.2">
      <c r="A536" s="5" t="s">
        <v>267</v>
      </c>
    </row>
    <row r="537" spans="1:22" x14ac:dyDescent="0.2">
      <c r="A537" s="8" t="s">
        <v>74</v>
      </c>
      <c r="B537" s="8" t="s">
        <v>75</v>
      </c>
      <c r="C537" s="8" t="s">
        <v>190</v>
      </c>
      <c r="D537" s="8" t="s">
        <v>191</v>
      </c>
      <c r="E537" s="8" t="s">
        <v>192</v>
      </c>
      <c r="F537" s="8" t="s">
        <v>193</v>
      </c>
      <c r="G537" s="8" t="s">
        <v>194</v>
      </c>
      <c r="H537" s="8" t="s">
        <v>195</v>
      </c>
      <c r="I537" s="8" t="s">
        <v>196</v>
      </c>
      <c r="J537" s="8" t="s">
        <v>197</v>
      </c>
      <c r="K537" s="8" t="s">
        <v>198</v>
      </c>
      <c r="L537" s="8" t="s">
        <v>199</v>
      </c>
      <c r="M537" s="8" t="s">
        <v>200</v>
      </c>
      <c r="N537" s="8" t="s">
        <v>201</v>
      </c>
      <c r="O537" s="8" t="s">
        <v>202</v>
      </c>
      <c r="P537" s="8" t="s">
        <v>203</v>
      </c>
      <c r="R537" t="s">
        <v>252</v>
      </c>
    </row>
    <row r="538" spans="1:22" x14ac:dyDescent="0.2">
      <c r="A538" t="str">
        <f>Skills!A2</f>
        <v>BASIC_ATTACK</v>
      </c>
      <c r="B538" t="str">
        <f>Skills!B2</f>
        <v>Basic Attack</v>
      </c>
      <c r="C538" t="b">
        <f>TRUE</f>
        <v>1</v>
      </c>
      <c r="F538">
        <f>T540+Skills!O2</f>
        <v>510.52</v>
      </c>
      <c r="G538">
        <f>Calc!G2</f>
        <v>5</v>
      </c>
      <c r="H538">
        <f>Calc!H2</f>
        <v>1</v>
      </c>
      <c r="I538">
        <f>IF(Skills!X2&lt;&gt;"",1+(Skills!X2/10)*(R539/1000)/100,1)</f>
        <v>1</v>
      </c>
      <c r="J538">
        <f>((Inputs!$B$5*(1+Inputs!$B$6/100))+((Inputs!$B$11*(1+Inputs!$B$12/100))-(Inputs!$B$11*(1+Inputs!$B$12/100)))*(1+Inputs!$B$6/100))*(F538/100)</f>
        <v>1275437334.1678655</v>
      </c>
      <c r="K538">
        <f>J538*(1+((Inputs!$B$11*(1+Inputs!$B$12/100))*0.01+Inputs!$B$13*0.0025)/100)*(1+Inputs!$B$14/100)*(1+IF(Inputs!$B$4="pvp",0,(1-Summary!$B$56)*(Inputs!$B$19+Skills!P2)+Summary!$B$56*(Inputs!$B$20+Skills!Q2))/100)*(1+Inputs!$B$15/100)*(5000/(6000+Inputs!$B$7*(1-((1-(1-Inputs!$B$18/100)*(1-1/100))*100)/100)))*(1+Inputs!$B$23/100)*(1+F559/100)*(1+IF(Inputs!$B$3&gt;=120,F562,0)/100)^5*(1+(IF(Skills!A2="BASIC_ATTACK",Inputs!$B$16,Inputs!$B$17+IF(Inputs!$B$3&gt;=125,F563*5,0)))/100)*(B566*B567*B568*I538)</f>
        <v>6979247181522.3506</v>
      </c>
      <c r="L538">
        <f>K538*(MIN(Inputs!$B$21+(F558-Calc!F22),Inputs!$B$22)/100+Inputs!$B$22/100)/2</f>
        <v>18840477766519.582</v>
      </c>
      <c r="M538">
        <f>L538*(1+(Inputs!$B$9+(F557-Calc!F21))/100)</f>
        <v>78960442319483.578</v>
      </c>
      <c r="N538">
        <f>L538*(1-MIN(Inputs!$B$8+(F556-Calc!F20),100)/100)+M538*(MIN(Inputs!$B$8+(F556-Calc!F20),100)/100)</f>
        <v>78960442319483.578</v>
      </c>
      <c r="O538">
        <f>Skills!G2*N538*B572*IF(Inputs!$B$4="pvp",1,(1-Summary!$B$56)*(1)+Summary!$B$56*(MIN((6+Inputs!$B$32+IF(Inputs!$B$3&gt;=136,1,0)),Inputs!$B$37)))</f>
        <v>3908029081927339</v>
      </c>
      <c r="P538">
        <f>IF(B575=0,0,O538/B575)</f>
        <v>0.46738363090508672</v>
      </c>
      <c r="R538">
        <f>MAX(0,(Inputs!$B$3-100)*3)+Inputs!$B$27+Inputs!$B$28</f>
        <v>172</v>
      </c>
      <c r="S538">
        <v>0</v>
      </c>
      <c r="T538">
        <f>MAX(0,(Inputs!$B$3-100)*3)+Inputs!$B$27+Inputs!$B$28</f>
        <v>172</v>
      </c>
      <c r="V538">
        <f>IFERROR(1/IF(Inputs!$B$4="pvp",15,MAX(0.1,Skills!E2-IF(Skills!F2=TRUE,Inputs!$B$31,0))),0)</f>
        <v>10</v>
      </c>
    </row>
    <row r="539" spans="1:22" x14ac:dyDescent="0.2">
      <c r="A539" t="str">
        <f>Skills!A3</f>
        <v>IGNITE</v>
      </c>
      <c r="B539" t="str">
        <f>Skills!B3</f>
        <v>Ignite</v>
      </c>
      <c r="C539" t="b">
        <f>TRUE</f>
        <v>1</v>
      </c>
      <c r="D539">
        <f>IF(Skills!C3=1,60+Inputs!$B$24+Inputs!$B$28,IF(Skills!C3=2,90+Inputs!$B$25+Inputs!$B$28,IF(Skills!C3=3,120+Inputs!$B$26+Inputs!$B$28,MAX(0,(Inputs!$B$3-100)*3)+Inputs!$B$27+Inputs!$B$28)))</f>
        <v>164</v>
      </c>
      <c r="E539">
        <f>INDEX(FactorTable!$B$2:$Y$301, MATCH(ROUND(MIN(300,MAX(1,D539)),0), FactorTable!$A$2:$A$301,0), Skills!M3+1)</f>
        <v>1656</v>
      </c>
      <c r="F539">
        <f>IF(Skills!N3=TRUE,(Skills!L3/10)*(E539/1000),Skills!L3/10)+Skills!O3</f>
        <v>121.52799999999999</v>
      </c>
      <c r="G539">
        <f>Calc!G3</f>
        <v>3</v>
      </c>
      <c r="H539">
        <f>Calc!H3</f>
        <v>1</v>
      </c>
      <c r="I539">
        <f>IF(Skills!X3&lt;&gt;"",1+(Skills!X3/10)*(R539/1000)/100,1)</f>
        <v>4.76</v>
      </c>
      <c r="J539">
        <f>((Inputs!$B$5*(1+Inputs!$B$6/100))+((Inputs!$B$11*(1+Inputs!$B$12/100))-(Inputs!$B$11*(1+Inputs!$B$12/100)))*(1+Inputs!$B$6/100))*(F539/100)</f>
        <v>303614644.57171583</v>
      </c>
      <c r="K539">
        <f>J539*(1+((Inputs!$B$11*(1+Inputs!$B$12/100))*0.01+Inputs!$B$13*0.0025)/100)*(1+Inputs!$B$14/100)*(1+IF(Inputs!$B$4="pvp",0,(1-Summary!$B$56)*(Inputs!$B$19+Skills!P3)+Summary!$B$56*(Inputs!$B$20+Skills!Q3))/100)*(1+Inputs!$B$15/100)*(5000/(6000+Inputs!$B$7*(1-((1-(1-Inputs!$B$18/100)*(1-1/100))*100)/100)))*(1+Inputs!$B$23/100)*(1+F559/100)*(1+IF(Inputs!$B$3&gt;=120,F562,0)/100)^5*(1+(IF(Skills!A3="BASIC_ATTACK",Inputs!$B$16,Inputs!$B$17+IF(Inputs!$B$3&gt;=125,F563*5,0)))/100)*(B566*B567*B568*I539)</f>
        <v>11023908853584.559</v>
      </c>
      <c r="L539">
        <f>K539*(MIN(Inputs!$B$21+(F558-Calc!F22),Inputs!$B$22)/100+Inputs!$B$22/100)/2</f>
        <v>29759041950251.512</v>
      </c>
      <c r="M539">
        <f>L539*(1+(Inputs!$B$9+(F557-Calc!F21))/100)</f>
        <v>124720144813504.11</v>
      </c>
      <c r="N539">
        <f>L539*(1-MIN(Inputs!$B$8+(F556-Calc!F20),100)/100)+M539*(MIN(Inputs!$B$8+(F556-Calc!F20),100)/100)</f>
        <v>124720144813504.11</v>
      </c>
      <c r="O539">
        <f>IF(C539,H539*N539*IF(AND(Inputs!$B$4&lt;&gt;"pvp",Inputs!$B$35&gt;0),((Skills!G3*((S539-1)*IF(Skills!H3&gt;0,Skills!I3/Skills!H3,1)+IF(Skills!H3&gt;0,MIN(Skills!I3,MAX(0,Inputs!$B$35-((S539-1)*IF(Inputs!$B$4="pvp",15,MAX(0.1,Skills!E3-IF(Skills!F3=TRUE,Inputs!$B$31,0))))))/Skills!H3,1)))/Inputs!$B$35),G539*V539)*IF(Inputs!$B$4="pvp",1,(1-Summary!$B$56)*(1)+Summary!$B$56*(MIN(Skills!R3,Inputs!$B$37))),0)</f>
        <v>823152955769127</v>
      </c>
      <c r="P539">
        <f>IF(B575=0,0,O539/B575)</f>
        <v>9.844558707016858E-2</v>
      </c>
      <c r="R539">
        <f>INDEX(FactorTable!$B$2:$Y$301, MATCH(ROUND(MIN(300,MAX(1,R538)),0), FactorTable!$A$2:$A$301,0), 24)</f>
        <v>7520</v>
      </c>
      <c r="S539">
        <f>IF(AND(Inputs!$B$4&lt;&gt;"pvp",Inputs!$B$35&gt;0),(INT(Inputs!$B$35/IF(Inputs!$B$4="pvp",15,MAX(0.1,Skills!E3-IF(Skills!F3=TRUE,Inputs!$B$31,0))))+1),0)</f>
        <v>0</v>
      </c>
      <c r="T539">
        <f>INDEX(FactorTable!$B$2:$Y$301, MATCH(ROUND(MIN(300,MAX(1,T538)),0), FactorTable!$A$2:$A$301,0), 22)</f>
        <v>1688</v>
      </c>
      <c r="V539">
        <f>IFERROR(1/IF(Inputs!$B$4="pvp",15,MAX(0.1,Skills!E3-IF(Skills!F3=TRUE,Inputs!$B$31,0))),0)</f>
        <v>1</v>
      </c>
    </row>
    <row r="540" spans="1:22" x14ac:dyDescent="0.2">
      <c r="A540" t="str">
        <f>Skills!A4</f>
        <v>POISON_BREATH</v>
      </c>
      <c r="B540" t="str">
        <f>Skills!B4</f>
        <v>Poison Breath</v>
      </c>
      <c r="C540" t="b">
        <f>TRUE</f>
        <v>1</v>
      </c>
      <c r="D540">
        <f>IF(Skills!C4=1,60+Inputs!$B$24+Inputs!$B$28,IF(Skills!C4=2,90+Inputs!$B$25+Inputs!$B$28,IF(Skills!C4=3,120+Inputs!$B$26+Inputs!$B$28,MAX(0,(Inputs!$B$3-100)*3)+Inputs!$B$27+Inputs!$B$28)))</f>
        <v>164</v>
      </c>
      <c r="E540">
        <f>INDEX(FactorTable!$B$2:$Y$301, MATCH(ROUND(MIN(300,MAX(1,D540)),0), FactorTable!$A$2:$A$301,0), Skills!M4+1)</f>
        <v>1820</v>
      </c>
      <c r="F540">
        <f>IF(Skills!N4=TRUE,(Skills!L4/10)*(E540/1000),Skills!L4/10)+Skills!O4</f>
        <v>434</v>
      </c>
      <c r="G540">
        <f>Calc!G4</f>
        <v>3</v>
      </c>
      <c r="H540">
        <f>Calc!H4</f>
        <v>1</v>
      </c>
      <c r="I540">
        <f>IF(Skills!X4&lt;&gt;"",1+(Skills!X4/10)*(R539/1000)/100,1)</f>
        <v>7.0159999999999991</v>
      </c>
      <c r="J540">
        <f>((Inputs!$B$5*(1+Inputs!$B$6/100))+((Inputs!$B$11*(1+Inputs!$B$12/100))-(Inputs!$B$11*(1+Inputs!$B$12/100)))*(1+Inputs!$B$6/100))*(F540/100)</f>
        <v>1084266636.0355198</v>
      </c>
      <c r="K540">
        <f>J540*(1+((Inputs!$B$11*(1+Inputs!$B$12/100))*0.01+Inputs!$B$13*0.0025)/100)*(1+Inputs!$B$14/100)*(1+IF(Inputs!$B$4="pvp",0,(1-Summary!$B$56)*(Inputs!$B$19+Skills!P4)+Summary!$B$56*(Inputs!$B$20+Skills!Q4))/100)*(1+Inputs!$B$15/100)*(5000/(6000+Inputs!$B$7*(1-((1-(1-Inputs!$B$18/100)*(1-1/100))*100)/100)))*(1+Inputs!$B$23/100)*(1+F559/100)*(1+IF(Inputs!$B$3&gt;=120,F562,0)/100)^5*(1+(IF(Skills!A4="BASIC_ATTACK",Inputs!$B$16,Inputs!$B$17+IF(Inputs!$B$3&gt;=125,F563*5,0)))/100)*(B566*B567*B568*I540)</f>
        <v>58027200703668.07</v>
      </c>
      <c r="L540">
        <f>K540*(MIN(Inputs!$B$21+(F558-Calc!F22),Inputs!$B$22)/100+Inputs!$B$22/100)/2</f>
        <v>156644428299551.94</v>
      </c>
      <c r="M540">
        <f>L540*(1+(Inputs!$B$9+(F557-Calc!F21))/100)</f>
        <v>656496799003422.25</v>
      </c>
      <c r="N540">
        <f>L540*(1-MIN(Inputs!$B$8+(F556-Calc!F20),100)/100)+M540*(MIN(Inputs!$B$8+(F556-Calc!F20),100)/100)</f>
        <v>656496799003422.25</v>
      </c>
      <c r="O540">
        <f>IF(C540,H540*N540*IF(AND(Inputs!$B$4&lt;&gt;"pvp",Inputs!$B$35&gt;0),((Skills!G4*((S540-1)*IF(Skills!H4&gt;0,Skills!I4/Skills!H4,1)+IF(Skills!H4&gt;0,MIN(Skills!I4,MAX(0,Inputs!$B$35-((S540-1)*IF(Inputs!$B$4="pvp",15,MAX(0.1,Skills!E4-IF(Skills!F4=TRUE,Inputs!$B$31,0))))))/Skills!H4,1)))/Inputs!$B$35),G540*V540)*IF(Inputs!$B$4="pvp",1,(1-Summary!$B$56)*(1)+Summary!$B$56*(MIN(Skills!R4,Inputs!$B$37))),0)</f>
        <v>437664532668948.06</v>
      </c>
      <c r="P540">
        <f>IF(B575=0,0,O540/B575)</f>
        <v>5.2342813758261122E-2</v>
      </c>
      <c r="S540">
        <f>IF(AND(Inputs!$B$4&lt;&gt;"pvp",Inputs!$B$35&gt;0),(INT(Inputs!$B$35/IF(Inputs!$B$4="pvp",15,MAX(0.1,Skills!E4-IF(Skills!F4=TRUE,Inputs!$B$31,0))))+1),0)</f>
        <v>0</v>
      </c>
      <c r="T540">
        <f>290*T539/1000</f>
        <v>489.52</v>
      </c>
      <c r="V540">
        <f>IFERROR(1/IF(Inputs!$B$4="pvp",15,MAX(0.1,Skills!E4-IF(Skills!F4=TRUE,Inputs!$B$31,0))),0)</f>
        <v>5.5555555555555552E-2</v>
      </c>
    </row>
    <row r="541" spans="1:22" x14ac:dyDescent="0.2">
      <c r="A541" t="str">
        <f>Skills!A5</f>
        <v>ELEMENTAL_DRAIN</v>
      </c>
      <c r="B541" t="str">
        <f>Skills!B5</f>
        <v>Elemental Drain</v>
      </c>
      <c r="C541" t="b">
        <f>TRUE</f>
        <v>1</v>
      </c>
      <c r="D541">
        <f>IF(Skills!C5=1,60+Inputs!$B$24+Inputs!$B$28,IF(Skills!C5=2,90+Inputs!$B$25+Inputs!$B$28,IF(Skills!C5=3,120+Inputs!$B$26+Inputs!$B$28,MAX(0,(Inputs!$B$3-100)*3)+Inputs!$B$27+Inputs!$B$28)))</f>
        <v>164</v>
      </c>
      <c r="E541">
        <f>INDEX(FactorTable!$B$2:$Y$301, MATCH(ROUND(MIN(300,MAX(1,D541)),0), FactorTable!$A$2:$A$301,0), Skills!M5+1)</f>
        <v>1656</v>
      </c>
      <c r="F541">
        <f>IF(Skills!N5=TRUE,(Skills!L5/10)*(E541/1000),Skills!L5/10)+Skills!O5</f>
        <v>19.872</v>
      </c>
      <c r="G541">
        <f>Calc!G5</f>
        <v>5</v>
      </c>
      <c r="H541">
        <f>Calc!H5</f>
        <v>1</v>
      </c>
      <c r="I541">
        <f>IF(Skills!X5&lt;&gt;"",1+(Skills!X5/10)*(R539/1000)/100,1)</f>
        <v>12.28</v>
      </c>
      <c r="J541">
        <f>((Inputs!$B$5*(1+Inputs!$B$6/100))+((Inputs!$B$11*(1+Inputs!$B$12/100))-(Inputs!$B$11*(1+Inputs!$B$12/100)))*(1+Inputs!$B$6/100))*(F541/100)</f>
        <v>49646420.717276163</v>
      </c>
      <c r="K541">
        <f>J541*(1+((Inputs!$B$11*(1+Inputs!$B$12/100))*0.01+Inputs!$B$13*0.0025)/100)*(1+Inputs!$B$14/100)*(1+IF(Inputs!$B$4="pvp",0,(1-Summary!$B$56)*(Inputs!$B$19+Skills!P5)+Summary!$B$56*(Inputs!$B$20+Skills!Q5))/100)*(1+Inputs!$B$15/100)*(5000/(6000+Inputs!$B$7*(1-((1-(1-Inputs!$B$18/100)*(1-1/100))*100)/100)))*(1+Inputs!$B$23/100)*(1+F559/100)*(1+IF(Inputs!$B$3&gt;=120,F562,0)/100)^5*(1+(IF(Skills!A5="BASIC_ATTACK",Inputs!$B$16,Inputs!$B$17+IF(Inputs!$B$3&gt;=125,F563*5,0)))/100)*(B566*B567*B568*I541)</f>
        <v>4650420834559.4629</v>
      </c>
      <c r="L541">
        <f>K541*(MIN(Inputs!$B$21+(F558-Calc!F22),Inputs!$B$22)/100+Inputs!$B$22/100)/2</f>
        <v>12553811042893.268</v>
      </c>
      <c r="M541">
        <f>L541*(1+(Inputs!$B$9+(F557-Calc!F21))/100)</f>
        <v>52613022080765.695</v>
      </c>
      <c r="N541">
        <f>L541*(1-MIN(Inputs!$B$8+(F556-Calc!F20),100)/100)+M541*(MIN(Inputs!$B$8+(F556-Calc!F20),100)/100)</f>
        <v>52613022080765.695</v>
      </c>
      <c r="O541">
        <f>IF(C541,H541*N541*IF(AND(Inputs!$B$4&lt;&gt;"pvp",Inputs!$B$35&gt;0),((Skills!G5*((S541-1)*IF(Skills!H5&gt;0,Skills!I5/Skills!H5,1)+IF(Skills!H5&gt;0,MIN(Skills!I5,MAX(0,Inputs!$B$35-((S541-1)*IF(Inputs!$B$4="pvp",15,MAX(0.1,Skills!E5-IF(Skills!F5=TRUE,Inputs!$B$31,0))))))/Skills!H5,1)))/Inputs!$B$35),G541*V541)*IF(Inputs!$B$4="pvp",1,(1-Summary!$B$56)*(1)+Summary!$B$56*(MIN(Skills!R5,Inputs!$B$37))),0)</f>
        <v>263065110403828.47</v>
      </c>
      <c r="P541">
        <f>IF(B575=0,0,O541/B575)</f>
        <v>3.146146660821468E-2</v>
      </c>
      <c r="S541">
        <f>IF(AND(Inputs!$B$4&lt;&gt;"pvp",Inputs!$B$35&gt;0),(INT(Inputs!$B$35/IF(Inputs!$B$4="pvp",15,MAX(0.1,Skills!E5-IF(Skills!F5=TRUE,Inputs!$B$31,0))))+1),0)</f>
        <v>0</v>
      </c>
      <c r="V541">
        <f>IFERROR(1/IF(Inputs!$B$4="pvp",15,MAX(0.1,Skills!E5-IF(Skills!F5=TRUE,Inputs!$B$31,0))),0)</f>
        <v>1</v>
      </c>
    </row>
    <row r="542" spans="1:22" x14ac:dyDescent="0.2">
      <c r="A542" t="str">
        <f>Skills!A6</f>
        <v>MEDITATION</v>
      </c>
      <c r="B542" t="str">
        <f>Skills!B6</f>
        <v>Meditation</v>
      </c>
      <c r="C542" t="b">
        <f>TRUE</f>
        <v>1</v>
      </c>
      <c r="D542">
        <f>IF(Skills!C6=1,60+Inputs!$B$24+Inputs!$B$28,IF(Skills!C6=2,90+Inputs!$B$25+Inputs!$B$28,IF(Skills!C6=3,120+Inputs!$B$26+Inputs!$B$28,MAX(0,(Inputs!$B$3-100)*3)+Inputs!$B$27+Inputs!$B$28)))</f>
        <v>164</v>
      </c>
      <c r="E542">
        <f>INDEX(FactorTable!$B$2:$Y$301, MATCH(ROUND(MIN(300,MAX(1,D542)),0), FactorTable!$A$2:$A$301,0), Skills!M6+1)</f>
        <v>1492</v>
      </c>
      <c r="F542">
        <f>IF(Skills!N6=TRUE,(Skills!L6/10)*(E542/1000),Skills!L6/10)+Skills!O6</f>
        <v>29.84</v>
      </c>
      <c r="G542">
        <f>Calc!G6</f>
        <v>1</v>
      </c>
      <c r="H542">
        <f>Calc!H6</f>
        <v>1</v>
      </c>
      <c r="I542">
        <f>IF(Skills!X6&lt;&gt;"",1+(Skills!X6/10)*(R539/1000)/100,1)</f>
        <v>1</v>
      </c>
      <c r="O542">
        <v>0</v>
      </c>
      <c r="P542">
        <f>IF(B575=0,0,O542/B575)</f>
        <v>0</v>
      </c>
      <c r="S542">
        <f>IF(AND(Inputs!$B$4&lt;&gt;"pvp",Inputs!$B$35&gt;0),(INT(Inputs!$B$35/IF(Inputs!$B$4="pvp",15,MAX(0.1,Skills!E6-IF(Skills!F6=TRUE,Inputs!$B$31,0))))+1),0)</f>
        <v>0</v>
      </c>
      <c r="V542">
        <f>IFERROR(1/IF(Inputs!$B$4="pvp",15,MAX(0.1,Skills!E6-IF(Skills!F6=TRUE,Inputs!$B$31,0))),0)</f>
        <v>3.3333333333333333E-2</v>
      </c>
    </row>
    <row r="543" spans="1:22" x14ac:dyDescent="0.2">
      <c r="A543" t="str">
        <f>Skills!A7</f>
        <v>POISON_MIST_BURST</v>
      </c>
      <c r="B543" t="str">
        <f>Skills!B7</f>
        <v>Poison Mist (burst)</v>
      </c>
      <c r="C543" t="b">
        <f>TRUE</f>
        <v>1</v>
      </c>
      <c r="D543">
        <f>IF(Skills!C7=1,60+Inputs!$B$24+Inputs!$B$28,IF(Skills!C7=2,90+Inputs!$B$25+Inputs!$B$28,IF(Skills!C7=3,120+Inputs!$B$26+Inputs!$B$28,MAX(0,(Inputs!$B$3-100)*3)+Inputs!$B$27+Inputs!$B$28)))</f>
        <v>184</v>
      </c>
      <c r="E543">
        <f>INDEX(FactorTable!$B$2:$Y$301, MATCH(ROUND(MIN(300,MAX(1,D543)),0), FactorTable!$A$2:$A$301,0), Skills!M7+1)</f>
        <v>1920</v>
      </c>
      <c r="F543">
        <f>IF(Skills!N7=TRUE,(Skills!L7/10)*(E543/1000),Skills!L7/10)+Skills!O7</f>
        <v>357.2</v>
      </c>
      <c r="G543">
        <f>Calc!G7</f>
        <v>3</v>
      </c>
      <c r="H543">
        <f>Calc!H7</f>
        <v>1</v>
      </c>
      <c r="I543">
        <f>IF(Skills!X7&lt;&gt;"",1+(Skills!X7/10)*(R539/1000)/100,1)</f>
        <v>1.7519999999999998</v>
      </c>
      <c r="J543">
        <f>((Inputs!$B$5*(1+Inputs!$B$6/100))+((Inputs!$B$11*(1+Inputs!$B$12/100))-(Inputs!$B$11*(1+Inputs!$B$12/100)))*(1+Inputs!$B$6/100))*(F543/100)</f>
        <v>892396411.04121602</v>
      </c>
      <c r="K543">
        <f>J543*(1+((Inputs!$B$11*(1+Inputs!$B$12/100))*0.01+Inputs!$B$13*0.0025)/100)*(1+Inputs!$B$14/100)*(1+IF(Inputs!$B$4="pvp",0,(1-Summary!$B$56)*(Inputs!$B$19+Skills!P7)+Summary!$B$56*(Inputs!$B$20+Skills!Q7))/100)*(1+Inputs!$B$15/100)*(5000/(6000+Inputs!$B$7*(1-((1-(1-Inputs!$B$18/100)*(1-1/100))*100)/100)))*(1+Inputs!$B$23/100)*(1+F559/100)*(1+IF(Inputs!$B$3&gt;=120,F562,0)/100)^5*(1+(IF(Skills!A7="BASIC_ATTACK",Inputs!$B$16,Inputs!$B$17+IF(Inputs!$B$3&gt;=125,F563*5,0)))/100)*(B566*B567*B568*I543)</f>
        <v>11926083958209.287</v>
      </c>
      <c r="L543">
        <f>K543*(MIN(Inputs!$B$21+(F558-Calc!F22),Inputs!$B$22)/100+Inputs!$B$22/100)/2</f>
        <v>32194463645185.965</v>
      </c>
      <c r="M543">
        <f>L543*(1+(Inputs!$B$9+(F557-Calc!F21))/100)</f>
        <v>134926997136974.41</v>
      </c>
      <c r="N543">
        <f>L543*(1-MIN(Inputs!$B$8+(F556-Calc!F20),100)/100)+M543*(MIN(Inputs!$B$8+(F556-Calc!F20),100)/100)</f>
        <v>134926997136974.41</v>
      </c>
      <c r="O543">
        <f>IF(C543,H543*N543*IF(AND(Inputs!$B$4&lt;&gt;"pvp",Inputs!$B$35&gt;0),((Skills!G7*((S543-1)*IF(Skills!H7&gt;0,Skills!I7/Skills!H7,1)+IF(Skills!H7&gt;0,MIN(Skills!I7,MAX(0,Inputs!$B$35-((S543-1)*IF(Inputs!$B$4="pvp",15,MAX(0.1,Skills!E7-IF(Skills!F7=TRUE,Inputs!$B$31,0))))))/Skills!H7,1)))/Inputs!$B$35),G543*V543)*IF(Inputs!$B$4="pvp",1,(1-Summary!$B$56)*(1)+Summary!$B$56*(MIN(Skills!R7,Inputs!$B$37))),0)</f>
        <v>105738707960404.44</v>
      </c>
      <c r="P543">
        <f>IF(B575=0,0,O543/B575)</f>
        <v>1.2645899049802744E-2</v>
      </c>
      <c r="S543">
        <f>IF(AND(Inputs!$B$4&lt;&gt;"pvp",Inputs!$B$35&gt;0),(INT(Inputs!$B$35/IF(Inputs!$B$4="pvp",15,MAX(0.1,Skills!E7-IF(Skills!F7=TRUE,Inputs!$B$31,0))))+1),0)</f>
        <v>0</v>
      </c>
      <c r="V543">
        <f>IFERROR(1/IF(Inputs!$B$4="pvp",15,MAX(0.1,Skills!E7-IF(Skills!F7=TRUE,Inputs!$B$31,0))),0)</f>
        <v>4.0816326530612242E-2</v>
      </c>
    </row>
    <row r="544" spans="1:22" x14ac:dyDescent="0.2">
      <c r="A544" t="str">
        <f>Skills!A8</f>
        <v>POISON_MIST_DOT</v>
      </c>
      <c r="B544" t="str">
        <f>Skills!B8</f>
        <v>Poison Mist (fog DoT)</v>
      </c>
      <c r="C544" t="b">
        <f>TRUE</f>
        <v>1</v>
      </c>
      <c r="D544">
        <f>IF(Skills!C8=1,60+Inputs!$B$24+Inputs!$B$28,IF(Skills!C8=2,90+Inputs!$B$25+Inputs!$B$28,IF(Skills!C8=3,120+Inputs!$B$26+Inputs!$B$28,MAX(0,(Inputs!$B$3-100)*3)+Inputs!$B$27+Inputs!$B$28)))</f>
        <v>184</v>
      </c>
      <c r="E544">
        <f>INDEX(FactorTable!$B$2:$Y$301, MATCH(ROUND(MIN(300,MAX(1,D544)),0), FactorTable!$A$2:$A$301,0), Skills!M8+1)</f>
        <v>1920</v>
      </c>
      <c r="F544">
        <f>IF(Skills!N8=TRUE,(Skills!L8/10)*(E544/1000),Skills!L8/10)+Skills!O8</f>
        <v>134.4</v>
      </c>
      <c r="G544">
        <f>Calc!G8</f>
        <v>50</v>
      </c>
      <c r="H544">
        <f>Calc!H8</f>
        <v>1</v>
      </c>
      <c r="I544">
        <f>IF(Skills!X8&lt;&gt;"",1+(Skills!X8/10)*(R539/1000)/100,1)</f>
        <v>1.7519999999999998</v>
      </c>
      <c r="J544">
        <f>((Inputs!$B$5*(1+Inputs!$B$6/100))+((Inputs!$B$11*(1+Inputs!$B$12/100))-(Inputs!$B$11*(1+Inputs!$B$12/100)))*(1+Inputs!$B$6/100))*(F544/100)</f>
        <v>335772893.74003202</v>
      </c>
      <c r="K544">
        <f>J544*(1+((Inputs!$B$11*(1+Inputs!$B$12/100))*0.01+Inputs!$B$13*0.0025)/100)*(1+Inputs!$B$14/100)*(1+IF(Inputs!$B$4="pvp",0,(1-Summary!$B$56)*(Inputs!$B$19+Skills!P8)+Summary!$B$56*(Inputs!$B$20+Skills!Q8))/100)*(1+Inputs!$B$15/100)*(5000/(6000+Inputs!$B$7*(1-((1-(1-Inputs!$B$18/100)*(1-1/100))*100)/100)))*(1+Inputs!$B$23/100)*(1+F559/100)*(1+IF(Inputs!$B$3&gt;=120,F562,0)/100)^5*(1+(IF(Skills!A8="BASIC_ATTACK",Inputs!$B$16,Inputs!$B$17+IF(Inputs!$B$3&gt;=125,F563*5,0)))/100)*(B566*B567*B568*I544)</f>
        <v>4487305946201.9268</v>
      </c>
      <c r="L544">
        <f>K544*(MIN(Inputs!$B$21+(F558-Calc!F22),Inputs!$B$22)/100+Inputs!$B$22/100)/2</f>
        <v>12113482401772.1</v>
      </c>
      <c r="M544">
        <f>L544*(1+(Inputs!$B$9+(F557-Calc!F21))/100)</f>
        <v>50767604745826.875</v>
      </c>
      <c r="N544">
        <f>L544*(1-MIN(Inputs!$B$8+(F556-Calc!F20),100)/100)+M544*(MIN(Inputs!$B$8+(F556-Calc!F20),100)/100)</f>
        <v>50767604745826.875</v>
      </c>
      <c r="O544">
        <f>IF(C544,H544*N544*IF(AND(Inputs!$B$4&lt;&gt;"pvp",Inputs!$B$35&gt;0),((Skills!G8*((S544-1)*IF(Skills!H8&gt;0,Skills!I8/Skills!H8,1)+IF(Skills!H8&gt;0,MIN(Skills!I8,MAX(0,Inputs!$B$35-((S544-1)*IF(Inputs!$B$4="pvp",15,MAX(0.1,Skills!E8-IF(Skills!F8=TRUE,Inputs!$B$31,0))))))/Skills!H8,1)))/Inputs!$B$35),G544*V544)*IF(Inputs!$B$4="pvp",1,(1-Summary!$B$56)*(1)+Summary!$B$56*(MIN(Skills!R8,Inputs!$B$37))),0)</f>
        <v>663087082394473.5</v>
      </c>
      <c r="P544">
        <f>IF(B575=0,0,O544/B575)</f>
        <v>7.9302390457889546E-2</v>
      </c>
      <c r="S544">
        <f>IF(AND(Inputs!$B$4&lt;&gt;"pvp",Inputs!$B$35&gt;0),(INT(Inputs!$B$35/IF(Inputs!$B$4="pvp",15,MAX(0.1,Skills!E8-IF(Skills!F8=TRUE,Inputs!$B$31,0))))+1),0)</f>
        <v>0</v>
      </c>
      <c r="V544">
        <f>IFERROR(1/IF(Inputs!$B$4="pvp",15,MAX(0.1,Skills!E8-IF(Skills!F8=TRUE,Inputs!$B$31,0))),0)</f>
        <v>4.0816326530612242E-2</v>
      </c>
    </row>
    <row r="545" spans="1:22" x14ac:dyDescent="0.2">
      <c r="A545" t="str">
        <f>Skills!A9</f>
        <v>MIST_ERUPTION</v>
      </c>
      <c r="B545" t="str">
        <f>Skills!B9</f>
        <v>Mist Eruption</v>
      </c>
      <c r="C545" t="b">
        <f>Inputs!$B$3&gt;=103</f>
        <v>1</v>
      </c>
      <c r="D545">
        <f>IF(Skills!C9=1,60+Inputs!$B$24+Inputs!$B$28,IF(Skills!C9=2,90+Inputs!$B$25+Inputs!$B$28,IF(Skills!C9=3,120+Inputs!$B$26+Inputs!$B$28,MAX(0,(Inputs!$B$3-100)*3)+Inputs!$B$27+Inputs!$B$28)))</f>
        <v>172</v>
      </c>
      <c r="E545">
        <f>INDEX(FactorTable!$B$2:$Y$301, MATCH(ROUND(MIN(300,MAX(1,D545)),0), FactorTable!$A$2:$A$301,0), Skills!M9+1)</f>
        <v>1860</v>
      </c>
      <c r="F545">
        <f>IF(Skills!N9=TRUE,(Skills!L9/10)*(E545/1000),Skills!L9/10)+Skills!O9</f>
        <v>5580</v>
      </c>
      <c r="G545">
        <f>Calc!G9</f>
        <v>2.8</v>
      </c>
      <c r="H545">
        <f>Calc!H9</f>
        <v>1</v>
      </c>
      <c r="I545">
        <f>IF(Skills!X9&lt;&gt;"",1+(Skills!X9/10)*(R539/1000)/100,1)</f>
        <v>1</v>
      </c>
      <c r="J545">
        <f>((Inputs!$B$5*(1+Inputs!$B$6/100))+((Inputs!$B$11*(1+Inputs!$B$12/100))-(Inputs!$B$11*(1+Inputs!$B$12/100)))*(1+Inputs!$B$6/100))*(F545/100)</f>
        <v>13940571034.742399</v>
      </c>
      <c r="K545">
        <f>J545*(1+((Inputs!$B$11*(1+Inputs!$B$12/100))*0.01+Inputs!$B$13*0.0025)/100)*(1+Inputs!$B$14/100)*(1+IF(Inputs!$B$4="pvp",0,(1-Summary!$B$56)*(Inputs!$B$19+Skills!P9)+Summary!$B$56*(Inputs!$B$20+Skills!Q9))/100)*(1+Inputs!$B$15/100)*(5000/(6000+Inputs!$B$7*(1-((1-(1-Inputs!$B$18/100)*(1-1/100))*100)/100)))*(1+Inputs!$B$23/100)*(1+F559/100)*(1+IF(Inputs!$B$3&gt;=120,F562,0)/100)^5*(1+(IF(Skills!A9="BASIC_ATTACK",Inputs!$B$16,Inputs!$B$17+IF(Inputs!$B$3&gt;=125,F563*5,0)))/100)*(B566*B567*B568*I545)</f>
        <v>106337515542639.81</v>
      </c>
      <c r="L545">
        <f>K545*(MIN(Inputs!$B$21+(F558-Calc!F22),Inputs!$B$22)/100+Inputs!$B$22/100)/2</f>
        <v>287058123207356.12</v>
      </c>
      <c r="M545">
        <f>L545*(1+(Inputs!$B$9+(F557-Calc!F21))/100)</f>
        <v>1203060594362029.8</v>
      </c>
      <c r="N545">
        <f>L545*(1-MIN(Inputs!$B$8+(F556-Calc!F20),100)/100)+M545*(MIN(Inputs!$B$8+(F556-Calc!F20),100)/100)</f>
        <v>1203060594362029.8</v>
      </c>
      <c r="O545">
        <f>IF(C545,H545*N545*IF(AND(Inputs!$B$4&lt;&gt;"pvp",Inputs!$B$35&gt;0),((Skills!G9*((S545-1)*IF(Skills!H9&gt;0,Skills!I9/Skills!H9,1)+IF(Skills!H9&gt;0,MIN(Skills!I9,MAX(0,Inputs!$B$35-((S545-1)*IF(Inputs!$B$4="pvp",15,MAX(0.1,Skills!E9-IF(Skills!F7=TRUE,Inputs!$B$31,0))))))/Skills!H9,1)))/Inputs!$B$35),G545*V545)*IF(Inputs!$B$4="pvp",1,(1-Summary!$B$56)*(1)+Summary!$B$56*(MIN(Skills!R9,Inputs!$B$37))),0)</f>
        <v>879952891876227.38</v>
      </c>
      <c r="P545">
        <f>IF(B575=0,0,O545/B575)</f>
        <v>0.10523861747408284</v>
      </c>
      <c r="S545">
        <f>IF(AND(Inputs!$B$4&lt;&gt;"pvp",Inputs!$B$35&gt;0),(INT(Inputs!$B$35/IF(Inputs!$B$4="pvp",15,MAX(0.1,Skills!E9-IF(Skills!F7=TRUE,Inputs!$B$31,0))))+1),0)</f>
        <v>0</v>
      </c>
      <c r="V545">
        <f>IFERROR(1/IF(Inputs!$B$4="pvp",15,MAX(0.1,Skills!E9-IF(Skills!F7=TRUE,Inputs!$B$31,0))),0)</f>
        <v>4.0816326530612242E-2</v>
      </c>
    </row>
    <row r="546" spans="1:22" x14ac:dyDescent="0.2">
      <c r="A546" t="str">
        <f>Skills!A10</f>
        <v>CREEPING_TOXIN</v>
      </c>
      <c r="B546" t="str">
        <f>Skills!B10</f>
        <v>Creeping Toxin</v>
      </c>
      <c r="C546" t="b">
        <f>TRUE</f>
        <v>1</v>
      </c>
      <c r="D546">
        <f>IF(Skills!C10=1,60+Inputs!$B$24+Inputs!$B$28,IF(Skills!C10=2,90+Inputs!$B$25+Inputs!$B$28,IF(Skills!C10=3,120+Inputs!$B$26+Inputs!$B$28,MAX(0,(Inputs!$B$3-100)*3)+Inputs!$B$27+Inputs!$B$28)))</f>
        <v>184</v>
      </c>
      <c r="E546">
        <f>INDEX(FactorTable!$B$2:$Y$301, MATCH(ROUND(MIN(300,MAX(1,D546)),0), FactorTable!$A$2:$A$301,0), Skills!M10+1)</f>
        <v>1920</v>
      </c>
      <c r="F546">
        <f>IF(Skills!N10=TRUE,(Skills!L10/10)*(E546/1000),Skills!L10/10)+Skills!O10</f>
        <v>280.39999999999998</v>
      </c>
      <c r="G546">
        <f>Calc!G10</f>
        <v>15</v>
      </c>
      <c r="H546">
        <f>Calc!H10</f>
        <v>1</v>
      </c>
      <c r="I546">
        <f>IF(Skills!X10&lt;&gt;"",1+(Skills!X10/10)*(R539/1000)/100,1)</f>
        <v>1.7519999999999998</v>
      </c>
      <c r="J546">
        <f>((Inputs!$B$5*(1+Inputs!$B$6/100))+((Inputs!$B$11*(1+Inputs!$B$12/100))-(Inputs!$B$11*(1+Inputs!$B$12/100)))*(1+Inputs!$B$6/100))*(F546/100)</f>
        <v>700526186.04691195</v>
      </c>
      <c r="K546">
        <f>J546*(1+((Inputs!$B$11*(1+Inputs!$B$12/100))*0.01+Inputs!$B$13*0.0025)/100)*(1+Inputs!$B$14/100)*(1+IF(Inputs!$B$4="pvp",0,(1-Summary!$B$56)*(Inputs!$B$19+Skills!P10)+Summary!$B$56*(Inputs!$B$20+Skills!Q10))/100)*(1+Inputs!$B$15/100)*(5000/(6000+Inputs!$B$7*(1-((1-(1-Inputs!$B$18/100)*(1-1/100))*100)/100)))*(1+Inputs!$B$23/100)*(1+F559/100)*(1+IF(Inputs!$B$3&gt;=120,F562,0)/100)^5*(1+(IF(Skills!A10="BASIC_ATTACK",Inputs!$B$16,Inputs!$B$17+IF(Inputs!$B$3&gt;=125,F563*5,0)))/100)*(B566*B567*B568*I546)</f>
        <v>11047727102722.025</v>
      </c>
      <c r="L546">
        <f>K546*(MIN(Inputs!$B$21+(F558-Calc!F22),Inputs!$B$22)/100+Inputs!$B$22/100)/2</f>
        <v>29823339313798.102</v>
      </c>
      <c r="M546">
        <f>L546*(1+(Inputs!$B$9+(F557-Calc!F21))/100)</f>
        <v>124989615064127.86</v>
      </c>
      <c r="N546">
        <f>L546*(1-MIN(Inputs!$B$8+(F556-Calc!F20),100)/100)+M546*(MIN(Inputs!$B$8+(F556-Calc!F20),100)/100)</f>
        <v>124989615064127.86</v>
      </c>
      <c r="O546">
        <f>IF(C546,H546*N546*IF(AND(Inputs!$B$4&lt;&gt;"pvp",Inputs!$B$35&gt;0),((Skills!G10*((S546-1)*IF(Skills!H10&gt;0,Skills!I10/Skills!H10,1)+IF(Skills!H10&gt;0,MIN(Skills!I10,MAX(0,Inputs!$B$35-((S546-1)*IF(Inputs!$B$4="pvp",15,MAX(0.1,Skills!E10-IF(Skills!F10=TRUE,Inputs!$B$31,0))))))/Skills!H10,1)))/Inputs!$B$35),G546*V546)*IF(Inputs!$B$4="pvp",1,(1-Summary!$B$56)*(1)+Summary!$B$56*(MIN(Skills!R10,Inputs!$B$37))),0)</f>
        <v>69438675035626.594</v>
      </c>
      <c r="P546">
        <f>IF(B575=0,0,O546/B575)</f>
        <v>8.3045697416826384E-3</v>
      </c>
      <c r="S546">
        <f>IF(AND(Inputs!$B$4&lt;&gt;"pvp",Inputs!$B$35&gt;0),(INT(Inputs!$B$35/IF(Inputs!$B$4="pvp",15,MAX(0.1,Skills!E10-IF(Skills!F10=TRUE,Inputs!$B$31,0))))+1),0)</f>
        <v>0</v>
      </c>
      <c r="V546">
        <f>IFERROR(1/IF(Inputs!$B$4="pvp",15,MAX(0.1,Skills!E10-IF(Skills!F10=TRUE,Inputs!$B$31,0))),0)</f>
        <v>3.7037037037037035E-2</v>
      </c>
    </row>
    <row r="547" spans="1:22" x14ac:dyDescent="0.2">
      <c r="A547" t="str">
        <f>Skills!A11</f>
        <v>BURNING_MAGIC</v>
      </c>
      <c r="B547" t="str">
        <f>Skills!B11</f>
        <v>Burning Magic</v>
      </c>
      <c r="C547" t="b">
        <f>TRUE</f>
        <v>1</v>
      </c>
      <c r="D547">
        <f>IF(Skills!C11=1,60+Inputs!$B$24+Inputs!$B$28,IF(Skills!C11=2,90+Inputs!$B$25+Inputs!$B$28,IF(Skills!C11=3,120+Inputs!$B$26+Inputs!$B$28,MAX(0,(Inputs!$B$3-100)*3)+Inputs!$B$27+Inputs!$B$28)))</f>
        <v>184</v>
      </c>
      <c r="E547">
        <f>INDEX(FactorTable!$B$2:$Y$301, MATCH(ROUND(MIN(300,MAX(1,D547)),0), FactorTable!$A$2:$A$301,0), Skills!M11+1)</f>
        <v>0</v>
      </c>
      <c r="F547">
        <f>IF(Skills!N11=TRUE,(Skills!L11/10)*(E547/1000),Skills!L11/10)+Skills!O11</f>
        <v>5</v>
      </c>
      <c r="G547">
        <f>Calc!G11</f>
        <v>1</v>
      </c>
      <c r="H547">
        <f>Calc!H11</f>
        <v>1</v>
      </c>
      <c r="I547">
        <f>IF(Skills!X11&lt;&gt;"",1+(Skills!X11/10)*(R539/1000)/100,1)</f>
        <v>1</v>
      </c>
      <c r="O547">
        <v>0</v>
      </c>
      <c r="P547">
        <f>IF(B575=0,0,O547/B575)</f>
        <v>0</v>
      </c>
      <c r="S547">
        <v>0</v>
      </c>
      <c r="V547">
        <f>IFERROR(1/IF(Inputs!$B$4="pvp",15,MAX(0.1,Skills!E11-IF(Skills!F11=TRUE,Inputs!$B$31,0))),0)</f>
        <v>10</v>
      </c>
    </row>
    <row r="548" spans="1:22" x14ac:dyDescent="0.2">
      <c r="A548" t="str">
        <f>Skills!A12</f>
        <v>ELEMENTAL_DECREASE</v>
      </c>
      <c r="B548" t="str">
        <f>Skills!B12</f>
        <v>Elemental Decrease</v>
      </c>
      <c r="C548" t="b">
        <f>TRUE</f>
        <v>1</v>
      </c>
      <c r="D548">
        <f>IF(Skills!C12=1,60+Inputs!$B$24+Inputs!$B$28,IF(Skills!C12=2,90+Inputs!$B$25+Inputs!$B$28,IF(Skills!C12=3,120+Inputs!$B$26+Inputs!$B$28,MAX(0,(Inputs!$B$3-100)*3)+Inputs!$B$27+Inputs!$B$28)))</f>
        <v>184</v>
      </c>
      <c r="E548">
        <f>INDEX(FactorTable!$B$2:$Y$301, MATCH(ROUND(MIN(300,MAX(1,D548)),0), FactorTable!$A$2:$A$301,0), Skills!M12+1)</f>
        <v>1552</v>
      </c>
      <c r="F548">
        <f>IF(Skills!N12=TRUE,(Skills!L12/10)*(E548/1000),Skills!L12/10)+Skills!O12</f>
        <v>18.624000000000002</v>
      </c>
      <c r="G548">
        <f>Calc!G12</f>
        <v>1</v>
      </c>
      <c r="H548">
        <f>Calc!H12</f>
        <v>0.5</v>
      </c>
      <c r="I548">
        <f>IF(Skills!X12&lt;&gt;"",1+(Skills!X12/10)*(R539/1000)/100,1)</f>
        <v>1</v>
      </c>
      <c r="O548">
        <v>0</v>
      </c>
      <c r="P548">
        <f>IF(B575=0,0,O548/B575)</f>
        <v>0</v>
      </c>
      <c r="S548">
        <v>0</v>
      </c>
      <c r="V548">
        <f>IFERROR(1/IF(Inputs!$B$4="pvp",15,MAX(0.1,Skills!E12-IF(Skills!F12=TRUE,Inputs!$B$31,0))),0)</f>
        <v>10</v>
      </c>
    </row>
    <row r="549" spans="1:22" x14ac:dyDescent="0.2">
      <c r="A549" t="str">
        <f>Skills!A13</f>
        <v>METEOR_SHOWER_BURST</v>
      </c>
      <c r="B549" t="str">
        <f>Skills!B13</f>
        <v>Meteor Shower (burst)</v>
      </c>
      <c r="C549" t="b">
        <f>Inputs!$B$3&gt;=105</f>
        <v>1</v>
      </c>
      <c r="D549">
        <f>IF(Skills!C13=1,60+Inputs!$B$24+Inputs!$B$28,IF(Skills!C13=2,90+Inputs!$B$25+Inputs!$B$28,IF(Skills!C13=3,120+Inputs!$B$26+Inputs!$B$28,MAX(0,(Inputs!$B$3-100)*3)+Inputs!$B$27+Inputs!$B$28)))</f>
        <v>172</v>
      </c>
      <c r="E549">
        <f>INDEX(FactorTable!$B$2:$Y$301, MATCH(ROUND(MIN(300,MAX(1,D549)),0), FactorTable!$A$2:$A$301,0), Skills!M13+1)</f>
        <v>1860</v>
      </c>
      <c r="F549">
        <f>IF(Skills!N13=TRUE,(Skills!L13/10)*(E549/1000),Skills!L13/10)+Skills!O13</f>
        <v>1116</v>
      </c>
      <c r="G549">
        <f>Calc!G13</f>
        <v>9</v>
      </c>
      <c r="H549">
        <f>Calc!H13</f>
        <v>1</v>
      </c>
      <c r="I549">
        <f>IF(Skills!X13&lt;&gt;"",1+(Skills!X13/10)*(R539/1000)/100,1)</f>
        <v>1</v>
      </c>
      <c r="J549">
        <f>((Inputs!$B$5*(1+Inputs!$B$6/100))+((Inputs!$B$11*(1+Inputs!$B$12/100))-(Inputs!$B$11*(1+Inputs!$B$12/100)))*(1+Inputs!$B$6/100))*(F549/100)</f>
        <v>2788114206.9484801</v>
      </c>
      <c r="K549">
        <f>J549*(1+((Inputs!$B$11*(1+Inputs!$B$12/100))*0.01+Inputs!$B$13*0.0025)/100)*(1+Inputs!$B$14/100)*(1+IF(Inputs!$B$4="pvp",0,(1-Summary!$B$56)*(Inputs!$B$19+Skills!P13)+Summary!$B$56*(Inputs!$B$20+Skills!Q13))/100)*(1+Inputs!$B$15/100)*(5000/(6000+Inputs!$B$7*(1-((1-(1-Inputs!$B$18/100)*(1-1/100))*100)/100)))*(1+Inputs!$B$23/100)*(1+F559/100)*(1+IF(Inputs!$B$3&gt;=120,F562,0)/100)^5*(1+(IF(Skills!A13="BASIC_ATTACK",Inputs!$B$16,Inputs!$B$17+IF(Inputs!$B$3&gt;=125,F563*5,0)))/100)*(B566*B567*B568*I549)</f>
        <v>21267503108527.965</v>
      </c>
      <c r="L549">
        <f>K549*(MIN(Inputs!$B$21+(F558-Calc!F22),Inputs!$B$22)/100+Inputs!$B$22/100)/2</f>
        <v>57411624641471.234</v>
      </c>
      <c r="M549">
        <f>L549*(1+(Inputs!$B$9+(F557-Calc!F21))/100)</f>
        <v>240612118872406</v>
      </c>
      <c r="N549">
        <f>L549*(1-MIN(Inputs!$B$8+(F556-Calc!F20),100)/100)+M549*(MIN(Inputs!$B$8+(F556-Calc!F20),100)/100)</f>
        <v>240612118872406</v>
      </c>
      <c r="O549">
        <f>IF(C549,H549*N549*IF(AND(Inputs!$B$4&lt;&gt;"pvp",Inputs!$B$35&gt;0),((Skills!G13*((S549-1)*IF(Skills!H13&gt;0,Skills!I13/Skills!H13,1)+IF(Skills!H13&gt;0,MIN(Skills!I13,MAX(0,Inputs!$B$35-((S549-1)*IF(Inputs!$B$4="pvp",15,MAX(0.1,Skills!E13-IF(Skills!F13=TRUE,Inputs!$B$31,0))))))/Skills!H13,1)))/Inputs!$B$35),G549*V549)*IF(Inputs!$B$4="pvp",1,(1-Summary!$B$56)*(1)+Summary!$B$56*(MIN(Skills!R13,Inputs!$B$37))),0)</f>
        <v>301858840039927.56</v>
      </c>
      <c r="P549">
        <f>IF(B575=0,0,O549/B575)</f>
        <v>3.6101031420441784E-2</v>
      </c>
      <c r="S549">
        <f>IF(AND(Inputs!$B$4&lt;&gt;"pvp",Inputs!$B$35&gt;0),(INT(Inputs!$B$35/IF(Inputs!$B$4="pvp",15,MAX(0.1,Skills!E13-IF(Skills!F13=TRUE,Inputs!$B$31,0))))+1),0)</f>
        <v>0</v>
      </c>
      <c r="V549">
        <f>IFERROR(1/IF(Inputs!$B$4="pvp",15,MAX(0.1,Skills!E13-IF(Skills!F13=TRUE,Inputs!$B$31,0))),0)</f>
        <v>3.0303030303030304E-2</v>
      </c>
    </row>
    <row r="550" spans="1:22" x14ac:dyDescent="0.2">
      <c r="A550" t="str">
        <f>Skills!A14</f>
        <v>METEOR_PROC</v>
      </c>
      <c r="B550" t="str">
        <f>Skills!B14</f>
        <v>Meteor Proc (30% on-hit, 1s ICD)</v>
      </c>
      <c r="C550" t="b">
        <f>Inputs!$B$3&gt;=113</f>
        <v>1</v>
      </c>
      <c r="D550">
        <f>IF(Skills!C14=1,60+Inputs!$B$24+Inputs!$B$28,IF(Skills!C14=2,90+Inputs!$B$25+Inputs!$B$28,IF(Skills!C14=3,120+Inputs!$B$26+Inputs!$B$28,MAX(0,(Inputs!$B$3-100)*3)+Inputs!$B$27+Inputs!$B$28)))</f>
        <v>172</v>
      </c>
      <c r="E550">
        <f>INDEX(FactorTable!$B$2:$Y$301, MATCH(ROUND(MIN(300,MAX(1,D550)),0), FactorTable!$A$2:$A$301,0), Skills!M14+1)</f>
        <v>1688</v>
      </c>
      <c r="F550">
        <f>IF(Skills!N14=TRUE,(Skills!L14/10)*(E550/1000),Skills!L14/10)+Skills!O14</f>
        <v>1603.6</v>
      </c>
      <c r="G550">
        <f>Calc!G14</f>
        <v>0</v>
      </c>
      <c r="H550">
        <f>Calc!H14</f>
        <v>0.30000000000000004</v>
      </c>
      <c r="I550">
        <f>IF(Skills!X14&lt;&gt;"",1+(Skills!X14/10)*(R539/1000)/100,1)</f>
        <v>1</v>
      </c>
      <c r="J550">
        <f>((Inputs!$B$5*(1+Inputs!$B$6/100))+((Inputs!$B$11*(1+Inputs!$B$12/100))-(Inputs!$B$11*(1+Inputs!$B$12/100)))*(1+Inputs!$B$6/100))*(F550/100)</f>
        <v>4006290270.8446074</v>
      </c>
      <c r="K550">
        <f>J550*(1+((Inputs!$B$11*(1+Inputs!$B$12/100))*0.01+Inputs!$B$13*0.0025)/100)*(1+Inputs!$B$14/100)*(1+IF(Inputs!$B$4="pvp",0,(1-Summary!$B$56)*(Inputs!$B$19+Skills!P14)+Summary!$B$56*(Inputs!$B$20+Skills!Q14))/100)*(1+Inputs!$B$15/100)*(5000/(6000+Inputs!$B$7*(1-((1-(1-Inputs!$B$18/100)*(1-1/100))*100)/100)))*(1+Inputs!$B$23/100)*(1+F559/100)*(1+IF(Inputs!$B$3&gt;=120,F562,0)/100)^5*(1+(IF(Skills!A14="BASIC_ATTACK",Inputs!$B$16,Inputs!$B$17+IF(Inputs!$B$3&gt;=125,F563*5,0)))/100)*(B566*B567*B568*I550)</f>
        <v>30559648731931.402</v>
      </c>
      <c r="L550">
        <f>K550*(MIN(Inputs!$B$21+(F558-Calc!F22),Inputs!$B$22)/100+Inputs!$B$22/100)/2</f>
        <v>82495771751848.812</v>
      </c>
      <c r="M550">
        <f>L550*(1+(Inputs!$B$9+(F557-Calc!F21))/100)</f>
        <v>345739779411998.44</v>
      </c>
      <c r="N550">
        <f>L550*(1-MIN(Inputs!$B$8+(F556-Calc!F20),100)/100)+M550*(MIN(Inputs!$B$8+(F556-Calc!F20),100)/100)</f>
        <v>345739779411998.44</v>
      </c>
      <c r="O550">
        <f>IF(C550,(H550*B573)/(1+Skills!H14*H550*B573)*N550*IF(Inputs!$B$4="pvp",1,(1-Summary!$B$56)*(1)+Summary!$B$56*(MIN(Skills!R14,Inputs!$B$37))),0)</f>
        <v>108756813475266.2</v>
      </c>
      <c r="P550">
        <f>IF(B575=0,0,O550/B575)</f>
        <v>1.3006851612953854E-2</v>
      </c>
      <c r="S550">
        <v>0</v>
      </c>
      <c r="V550">
        <f>IFERROR(1/IF(Inputs!$B$4="pvp",15,MAX(0.1,Skills!E14-IF(Skills!F14=TRUE,Inputs!$B$31,0))),0)</f>
        <v>10</v>
      </c>
    </row>
    <row r="551" spans="1:22" x14ac:dyDescent="0.2">
      <c r="A551" t="str">
        <f>Skills!A15</f>
        <v>FLAME_HAZE_BURST</v>
      </c>
      <c r="B551" t="str">
        <f>Skills!B15</f>
        <v>Flame Haze (burst)</v>
      </c>
      <c r="C551" t="b">
        <f>Inputs!$B$3&gt;=107</f>
        <v>1</v>
      </c>
      <c r="D551">
        <f>IF(Skills!C15=1,60+Inputs!$B$24+Inputs!$B$28,IF(Skills!C15=2,90+Inputs!$B$25+Inputs!$B$28,IF(Skills!C15=3,120+Inputs!$B$26+Inputs!$B$28,MAX(0,(Inputs!$B$3-100)*3)+Inputs!$B$27+Inputs!$B$28)))</f>
        <v>172</v>
      </c>
      <c r="E551">
        <f>INDEX(FactorTable!$B$2:$Y$301, MATCH(ROUND(MIN(300,MAX(1,D551)),0), FactorTable!$A$2:$A$301,0), Skills!M15+1)</f>
        <v>1860</v>
      </c>
      <c r="F551">
        <f>IF(Skills!N15=TRUE,(Skills!L15/10)*(E551/1000),Skills!L15/10)+Skills!O15</f>
        <v>2232</v>
      </c>
      <c r="G551">
        <f>Calc!G15</f>
        <v>3</v>
      </c>
      <c r="H551">
        <f>Calc!H15</f>
        <v>1</v>
      </c>
      <c r="I551">
        <f>IF(Skills!X15&lt;&gt;"",1+(Skills!X15/10)*(R539/1000)/100,1)</f>
        <v>1</v>
      </c>
      <c r="J551">
        <f>((Inputs!$B$5*(1+Inputs!$B$6/100))+((Inputs!$B$11*(1+Inputs!$B$12/100))-(Inputs!$B$11*(1+Inputs!$B$12/100)))*(1+Inputs!$B$6/100))*(F551/100)</f>
        <v>5576228413.8969603</v>
      </c>
      <c r="K551">
        <f>J551*(1+((Inputs!$B$11*(1+Inputs!$B$12/100))*0.01+Inputs!$B$13*0.0025)/100)*(1+Inputs!$B$14/100)*(1+IF(Inputs!$B$4="pvp",0,(1-Summary!$B$56)*(Inputs!$B$19+Skills!P15)+Summary!$B$56*(Inputs!$B$20+Skills!Q15))/100)*(1+Inputs!$B$15/100)*(5000/(6000+Inputs!$B$7*(1-((1-(1-Inputs!$B$18/100)*(1-1/100))*100)/100)))*(1+Inputs!$B$23/100)*(1+F559/100)*(1+IF(Inputs!$B$3&gt;=120,F562,0)/100)^5*(1+(IF(Skills!A15="BASIC_ATTACK",Inputs!$B$16,Inputs!$B$17+IF(Inputs!$B$3&gt;=125,F563*5,0)))/100)*(B566*B567*B568*I551)</f>
        <v>42535006217055.93</v>
      </c>
      <c r="L551">
        <f>K551*(MIN(Inputs!$B$21+(F558-Calc!F22),Inputs!$B$22)/100+Inputs!$B$22/100)/2</f>
        <v>114823249282942.47</v>
      </c>
      <c r="M551">
        <f>L551*(1+(Inputs!$B$9+(F557-Calc!F21))/100)</f>
        <v>481224237744812</v>
      </c>
      <c r="N551">
        <f>L551*(1-MIN(Inputs!$B$8+(F556-Calc!F20),100)/100)+M551*(MIN(Inputs!$B$8+(F556-Calc!F20),100)/100)</f>
        <v>481224237744812</v>
      </c>
      <c r="O551">
        <f>IF(C551,H551*N551*IF(AND(Inputs!$B$4&lt;&gt;"pvp",Inputs!$B$35&gt;0),((Skills!G15*((S551-1)*IF(Skills!H15&gt;0,Skills!I15/Skills!H15,1)+IF(Skills!H15&gt;0,MIN(Skills!I15,MAX(0,Inputs!$B$35-((S551-1)*IF(Inputs!$B$4="pvp",15,MAX(0.1,Skills!E15-IF(Skills!F15=TRUE,Inputs!$B$31,0))))))/Skills!H15,1)))/Inputs!$B$35),G551*V551)*IF(Inputs!$B$4="pvp",1,(1-Summary!$B$56)*(1)+Summary!$B$56*(MIN(Skills!R15,Inputs!$B$37))),0)</f>
        <v>369580214588015.62</v>
      </c>
      <c r="P551">
        <f>IF(B575=0,0,O551/B575)</f>
        <v>4.4200219339114805E-2</v>
      </c>
      <c r="S551">
        <f>IF(AND(Inputs!$B$4&lt;&gt;"pvp",Inputs!$B$35&gt;0),(INT(Inputs!$B$35/IF(Inputs!$B$4="pvp",15,MAX(0.1,Skills!E15-IF(Skills!F15=TRUE,Inputs!$B$31,0))))+1),0)</f>
        <v>0</v>
      </c>
      <c r="V551">
        <f>IFERROR(1/IF(Inputs!$B$4="pvp",15,MAX(0.1,Skills!E15-IF(Skills!F15=TRUE,Inputs!$B$31,0))),0)</f>
        <v>0.04</v>
      </c>
    </row>
    <row r="552" spans="1:22" x14ac:dyDescent="0.2">
      <c r="A552" t="str">
        <f>Skills!A16</f>
        <v>FLAME_HAZE_DOT</v>
      </c>
      <c r="B552" t="str">
        <f>Skills!B16</f>
        <v>Flame Haze (burn DoT)</v>
      </c>
      <c r="C552" t="b">
        <f>Inputs!$B$3&gt;=107</f>
        <v>1</v>
      </c>
      <c r="D552">
        <f>IF(Skills!C16=1,60+Inputs!$B$24+Inputs!$B$28,IF(Skills!C16=2,90+Inputs!$B$25+Inputs!$B$28,IF(Skills!C16=3,120+Inputs!$B$26+Inputs!$B$28,MAX(0,(Inputs!$B$3-100)*3)+Inputs!$B$27+Inputs!$B$28)))</f>
        <v>172</v>
      </c>
      <c r="E552">
        <f>INDEX(FactorTable!$B$2:$Y$301, MATCH(ROUND(MIN(300,MAX(1,D552)),0), FactorTable!$A$2:$A$301,0), Skills!M16+1)</f>
        <v>1860</v>
      </c>
      <c r="F552">
        <f>IF(Skills!N16=TRUE,(Skills!L16/10)*(E552/1000),Skills!L16/10)+Skills!O16</f>
        <v>279</v>
      </c>
      <c r="G552">
        <f>Calc!G16</f>
        <v>28</v>
      </c>
      <c r="H552">
        <f>Calc!H16</f>
        <v>1</v>
      </c>
      <c r="I552">
        <f>IF(Skills!X16&lt;&gt;"",1+(Skills!X16/10)*(R539/1000)/100,1)</f>
        <v>1</v>
      </c>
      <c r="J552">
        <f>((Inputs!$B$5*(1+Inputs!$B$6/100))+((Inputs!$B$11*(1+Inputs!$B$12/100))-(Inputs!$B$11*(1+Inputs!$B$12/100)))*(1+Inputs!$B$6/100))*(F552/100)</f>
        <v>697028551.73712003</v>
      </c>
      <c r="K552">
        <f>J552*(1+((Inputs!$B$11*(1+Inputs!$B$12/100))*0.01+Inputs!$B$13*0.0025)/100)*(1+Inputs!$B$14/100)*(1+IF(Inputs!$B$4="pvp",0,(1-Summary!$B$56)*(Inputs!$B$19+Skills!P16)+Summary!$B$56*(Inputs!$B$20+Skills!Q16))/100)*(1+Inputs!$B$15/100)*(5000/(6000+Inputs!$B$7*(1-((1-(1-Inputs!$B$18/100)*(1-1/100))*100)/100)))*(1+Inputs!$B$23/100)*(1+F559/100)*(1+IF(Inputs!$B$3&gt;=120,F562,0)/100)^5*(1+(IF(Skills!A16="BASIC_ATTACK",Inputs!$B$16,Inputs!$B$17+IF(Inputs!$B$3&gt;=125,F563*5,0)))/100)*(B566*B567*B568*I552)</f>
        <v>5316875777131.9912</v>
      </c>
      <c r="L552">
        <f>K552*(MIN(Inputs!$B$21+(F558-Calc!F22),Inputs!$B$22)/100+Inputs!$B$22/100)/2</f>
        <v>14352906160367.809</v>
      </c>
      <c r="M552">
        <f>L552*(1+(Inputs!$B$9+(F557-Calc!F21))/100)</f>
        <v>60153029718101.5</v>
      </c>
      <c r="N552">
        <f>L552*(1-MIN(Inputs!$B$8+(F556-Calc!F20),100)/100)+M552*(MIN(Inputs!$B$8+(F556-Calc!F20),100)/100)</f>
        <v>60153029718101.5</v>
      </c>
      <c r="O552">
        <f>IF(C552,H552*N552*IF(AND(Inputs!$B$4&lt;&gt;"pvp",Inputs!$B$35&gt;0),((Skills!G16*((S552-1)*IF(Skills!H16&gt;0,Skills!I16/Skills!H16,1)+IF(Skills!H16&gt;0,MIN(Skills!I16,MAX(0,Inputs!$B$35-((S552-1)*IF(Inputs!$B$4="pvp",15,MAX(0.1,Skills!E16-IF(Skills!F16=TRUE,Inputs!$B$31,0))))))/Skills!H16,1)))/Inputs!$B$35),G552*V552)*(1+IF(Inputs!$B$3&gt;=126,0.05*(B572+V549+(H550*B573)/(1+Skills!H14*H550*B573)+V560),0)*Skills!E15)*IF(Inputs!$B$4="pvp",1,(1-Summary!$B$56)*(1)+Summary!$B$56*(MIN(Skills!R16,Inputs!$B$37))),0)</f>
        <v>431176917019351.62</v>
      </c>
      <c r="P552">
        <f>IF(B575=0,0,O552/B575)</f>
        <v>5.1566922562300617E-2</v>
      </c>
      <c r="S552">
        <f>IF(AND(Inputs!$B$4&lt;&gt;"pvp",Inputs!$B$35&gt;0),(INT(Inputs!$B$35/IF(Inputs!$B$4="pvp",15,MAX(0.1,Skills!E16-IF(Skills!F16=TRUE,Inputs!$B$31,0))))+1),0)</f>
        <v>0</v>
      </c>
      <c r="V552">
        <f>IFERROR(1/IF(Inputs!$B$4="pvp",15,MAX(0.1,Skills!E16-IF(Skills!F16=TRUE,Inputs!$B$31,0))),0)</f>
        <v>0.04</v>
      </c>
    </row>
    <row r="553" spans="1:22" x14ac:dyDescent="0.2">
      <c r="A553" t="str">
        <f>Skills!A17</f>
        <v>MAGIC_GUARD</v>
      </c>
      <c r="B553" t="str">
        <f>Skills!B17</f>
        <v>Magic Guard</v>
      </c>
      <c r="C553" t="b">
        <f>TRUE</f>
        <v>1</v>
      </c>
      <c r="D553">
        <f>IF(Skills!C17=1,60+Inputs!$B$24+Inputs!$B$28,IF(Skills!C17=2,90+Inputs!$B$25+Inputs!$B$28,IF(Skills!C17=3,120+Inputs!$B$26+Inputs!$B$28,MAX(0,(Inputs!$B$3-100)*3)+Inputs!$B$27+Inputs!$B$28)))</f>
        <v>115</v>
      </c>
      <c r="E553">
        <f>INDEX(FactorTable!$B$2:$Y$301, MATCH(ROUND(MIN(300,MAX(1,D553)),0), FactorTable!$A$2:$A$301,0), Skills!M17+1)</f>
        <v>1460</v>
      </c>
      <c r="F553">
        <f>IF(Skills!N17=TRUE,(Skills!L17/10)*(E553/1000),Skills!L17/10)+Skills!O17</f>
        <v>17.52</v>
      </c>
      <c r="G553">
        <f>Calc!G17</f>
        <v>1</v>
      </c>
      <c r="H553">
        <f>Calc!H17</f>
        <v>1</v>
      </c>
      <c r="I553">
        <f>IF(Skills!X17&lt;&gt;"",1+(Skills!X17/10)*(R539/1000)/100,1)</f>
        <v>1</v>
      </c>
      <c r="O553">
        <v>0</v>
      </c>
      <c r="P553">
        <f>IF(B575=0,0,O553/B575)</f>
        <v>0</v>
      </c>
      <c r="S553">
        <f>IF(AND(Inputs!$B$4&lt;&gt;"pvp",Inputs!$B$35&gt;0),(INT(Inputs!$B$35/IF(Inputs!$B$4="pvp",15,MAX(0.1,Skills!E17-IF(Skills!F17=TRUE,Inputs!$B$31,0))))+1),0)</f>
        <v>0</v>
      </c>
      <c r="V553">
        <f>IFERROR(1/IF(Inputs!$B$4="pvp",15,MAX(0.1,Skills!E17-IF(Skills!F17=TRUE,Inputs!$B$31,0))),0)</f>
        <v>4.7619047619047616E-2</v>
      </c>
    </row>
    <row r="554" spans="1:22" x14ac:dyDescent="0.2">
      <c r="A554" t="str">
        <f>Skills!A18</f>
        <v>NIMBLE_FEET</v>
      </c>
      <c r="B554" t="str">
        <f>Skills!B18</f>
        <v>Nimble Feet</v>
      </c>
      <c r="C554" t="b">
        <f>TRUE</f>
        <v>1</v>
      </c>
      <c r="D554">
        <f>IF(Skills!C18=1,60+Inputs!$B$24+Inputs!$B$28,IF(Skills!C18=2,90+Inputs!$B$25+Inputs!$B$28,IF(Skills!C18=3,120+Inputs!$B$26+Inputs!$B$28,MAX(0,(Inputs!$B$3-100)*3)+Inputs!$B$27+Inputs!$B$28)))</f>
        <v>115</v>
      </c>
      <c r="E554">
        <f>INDEX(FactorTable!$B$2:$Y$301, MATCH(ROUND(MIN(300,MAX(1,D554)),0), FactorTable!$A$2:$A$301,0), Skills!M18+1)</f>
        <v>0</v>
      </c>
      <c r="F554">
        <f>IF(Skills!N18=TRUE,(Skills!L18/10)*(E554/1000),Skills!L18/10)+Skills!O18</f>
        <v>15</v>
      </c>
      <c r="G554">
        <f>Calc!G18</f>
        <v>1</v>
      </c>
      <c r="H554">
        <f>Calc!H18</f>
        <v>1</v>
      </c>
      <c r="I554">
        <f>IF(Skills!X18&lt;&gt;"",1+(Skills!X18/10)*(R539/1000)/100,1)</f>
        <v>1</v>
      </c>
      <c r="O554">
        <v>0</v>
      </c>
      <c r="P554">
        <f>IF(B575=0,0,O554/B575)</f>
        <v>0</v>
      </c>
      <c r="S554">
        <f>IF(AND(Inputs!$B$4&lt;&gt;"pvp",Inputs!$B$35&gt;0),(INT(Inputs!$B$35/IF(Inputs!$B$4="pvp",15,MAX(0.1,Skills!E18-IF(Skills!F18=TRUE,Inputs!$B$31,0))))+1),0)</f>
        <v>0</v>
      </c>
      <c r="V554">
        <f>IFERROR(1/IF(Inputs!$B$4="pvp",15,MAX(0.1,Skills!E18-IF(Skills!F18=TRUE,Inputs!$B$31,0))),0)</f>
        <v>1.6666666666666666E-2</v>
      </c>
    </row>
    <row r="555" spans="1:22" x14ac:dyDescent="0.2">
      <c r="A555" t="str">
        <f>Skills!A19</f>
        <v>INFINITY</v>
      </c>
      <c r="B555" t="str">
        <f>Skills!B19</f>
        <v>Infinity</v>
      </c>
      <c r="C555" t="b">
        <f>Inputs!$B$3&gt;=110</f>
        <v>1</v>
      </c>
      <c r="D555">
        <f>IF(Skills!C19=1,60+Inputs!$B$24+Inputs!$B$28,IF(Skills!C19=2,90+Inputs!$B$25+Inputs!$B$28,IF(Skills!C19=3,120+Inputs!$B$26+Inputs!$B$28,MAX(0,(Inputs!$B$3-100)*3)+Inputs!$B$27+Inputs!$B$28)))</f>
        <v>172</v>
      </c>
      <c r="E555">
        <f>INDEX(FactorTable!$B$2:$Y$301, MATCH(ROUND(MIN(300,MAX(1,D555)),0), FactorTable!$A$2:$A$301,0), Skills!M19+1)</f>
        <v>1688</v>
      </c>
      <c r="F555">
        <f>IF(Skills!N19=TRUE,(Skills!L19/10)*(E555/1000),Skills!L19/10)+Skills!O19</f>
        <v>36.573895999999998</v>
      </c>
      <c r="G555">
        <f>Calc!G19</f>
        <v>1</v>
      </c>
      <c r="H555">
        <f>Calc!H19</f>
        <v>1</v>
      </c>
      <c r="I555">
        <f>IF(Skills!X19&lt;&gt;"",1+(Skills!X19/10)*(R539/1000)/100,1)</f>
        <v>1</v>
      </c>
      <c r="O555">
        <v>0</v>
      </c>
      <c r="P555">
        <f>IF(B575=0,0,O555/B575)</f>
        <v>0</v>
      </c>
      <c r="S555">
        <f>IF(AND(Inputs!$B$4&lt;&gt;"pvp",Inputs!$B$35&gt;0),(INT(Inputs!$B$35/IF(Inputs!$B$4="pvp",15,MAX(0.1,Skills!E19-IF(Skills!F19=TRUE,Inputs!$B$31,0))))+1),0)</f>
        <v>0</v>
      </c>
      <c r="V555">
        <f>IFERROR(1/IF(Inputs!$B$4="pvp",15,MAX(0.1,Skills!E19-IF(Skills!F19=TRUE,Inputs!$B$31,0))),0)</f>
        <v>3.3333333333333333E-2</v>
      </c>
    </row>
    <row r="556" spans="1:22" x14ac:dyDescent="0.2">
      <c r="A556" t="str">
        <f>Skills!A20</f>
        <v>MAGIC_CRITICAL_RATE</v>
      </c>
      <c r="B556" t="str">
        <f>Skills!B20</f>
        <v>Magic Critical (Crit Rate)</v>
      </c>
      <c r="C556" t="b">
        <f>TRUE</f>
        <v>1</v>
      </c>
      <c r="D556">
        <f>IF(Skills!C20=1,60+Inputs!$B$24+Inputs!$B$28,IF(Skills!C20=2,90+Inputs!$B$25+Inputs!$B$28,IF(Skills!C20=3,120+Inputs!$B$26+Inputs!$B$28,MAX(0,(Inputs!$B$3-100)*3)+Inputs!$B$27+Inputs!$B$28)))</f>
        <v>184</v>
      </c>
      <c r="E556">
        <f>INDEX(FactorTable!$B$2:$Y$301, MATCH(ROUND(MIN(300,MAX(1,D556)),0), FactorTable!$A$2:$A$301,0), Skills!M20+1)</f>
        <v>1552</v>
      </c>
      <c r="F556">
        <f>IF(Skills!N20=TRUE,(Skills!L20/10)*(E556/1000),Skills!L20/10)+Skills!O20</f>
        <v>12.416</v>
      </c>
      <c r="G556">
        <f>Calc!G20</f>
        <v>1</v>
      </c>
      <c r="H556">
        <f>Calc!H20</f>
        <v>1</v>
      </c>
      <c r="I556">
        <f>IF(Skills!X20&lt;&gt;"",1+(Skills!X20/10)*(R539/1000)/100,1)</f>
        <v>1</v>
      </c>
      <c r="O556">
        <v>0</v>
      </c>
      <c r="P556">
        <f>IF(B575=0,0,O556/B575)</f>
        <v>0</v>
      </c>
      <c r="S556">
        <v>0</v>
      </c>
      <c r="V556">
        <f>IFERROR(1/IF(Inputs!$B$4="pvp",15,MAX(0.1,Skills!E20-IF(Skills!F20=TRUE,Inputs!$B$31,0))),0)</f>
        <v>10</v>
      </c>
    </row>
    <row r="557" spans="1:22" x14ac:dyDescent="0.2">
      <c r="A557" t="str">
        <f>Skills!A21</f>
        <v>MAGIC_CRITICAL_DAMAGE</v>
      </c>
      <c r="B557" t="str">
        <f>Skills!B21</f>
        <v>Magic Critical (Crit Damage)</v>
      </c>
      <c r="C557" t="b">
        <f>TRUE</f>
        <v>1</v>
      </c>
      <c r="D557">
        <f>IF(Skills!C21=1,60+Inputs!$B$24+Inputs!$B$28,IF(Skills!C21=2,90+Inputs!$B$25+Inputs!$B$28,IF(Skills!C21=3,120+Inputs!$B$26+Inputs!$B$28,MAX(0,(Inputs!$B$3-100)*3)+Inputs!$B$27+Inputs!$B$28)))</f>
        <v>184</v>
      </c>
      <c r="E557">
        <f>INDEX(FactorTable!$B$2:$Y$301, MATCH(ROUND(MIN(300,MAX(1,D557)),0), FactorTable!$A$2:$A$301,0), Skills!M21+1)</f>
        <v>1552</v>
      </c>
      <c r="F557">
        <f>IF(Skills!N21=TRUE,(Skills!L21/10)*(E557/1000),Skills!L21/10)+Skills!O21</f>
        <v>18.624000000000002</v>
      </c>
      <c r="G557">
        <f>Calc!G21</f>
        <v>1</v>
      </c>
      <c r="H557">
        <f>Calc!H21</f>
        <v>1</v>
      </c>
      <c r="I557">
        <f>IF(Skills!X21&lt;&gt;"",1+(Skills!X21/10)*(R539/1000)/100,1)</f>
        <v>1</v>
      </c>
      <c r="O557">
        <v>0</v>
      </c>
      <c r="P557">
        <f>IF(B575=0,0,O557/B575)</f>
        <v>0</v>
      </c>
      <c r="S557">
        <v>0</v>
      </c>
      <c r="V557">
        <f>IFERROR(1/IF(Inputs!$B$4="pvp",15,MAX(0.1,Skills!E21-IF(Skills!F21=TRUE,Inputs!$B$31,0))),0)</f>
        <v>10</v>
      </c>
    </row>
    <row r="558" spans="1:22" x14ac:dyDescent="0.2">
      <c r="A558" t="str">
        <f>Skills!A22</f>
        <v>SPELL_MASTERY</v>
      </c>
      <c r="B558" t="str">
        <f>Skills!B22</f>
        <v>Spell Mastery</v>
      </c>
      <c r="C558" t="b">
        <f>TRUE</f>
        <v>1</v>
      </c>
      <c r="D558">
        <f>IF(Skills!C22=1,60+Inputs!$B$24+Inputs!$B$28,IF(Skills!C22=2,90+Inputs!$B$25+Inputs!$B$28,IF(Skills!C22=3,120+Inputs!$B$26+Inputs!$B$28,MAX(0,(Inputs!$B$3-100)*3)+Inputs!$B$27+Inputs!$B$28)))</f>
        <v>164</v>
      </c>
      <c r="E558">
        <f>INDEX(FactorTable!$B$2:$Y$301, MATCH(ROUND(MIN(300,MAX(1,D558)),0), FactorTable!$A$2:$A$301,0), Skills!M22+1)</f>
        <v>1492</v>
      </c>
      <c r="F558">
        <f>IF(Skills!N22=TRUE,(Skills!L22/10)*(E558/1000),Skills!L22/10)+Skills!O22</f>
        <v>22.38</v>
      </c>
      <c r="G558">
        <f>Calc!G22</f>
        <v>1</v>
      </c>
      <c r="H558">
        <f>Calc!H22</f>
        <v>1</v>
      </c>
      <c r="I558">
        <f>IF(Skills!X22&lt;&gt;"",1+(Skills!X22/10)*(R539/1000)/100,1)</f>
        <v>1</v>
      </c>
      <c r="O558">
        <v>0</v>
      </c>
      <c r="P558">
        <f>IF(B575=0,0,O558/B575)</f>
        <v>0</v>
      </c>
      <c r="S558">
        <v>0</v>
      </c>
      <c r="V558">
        <f>IFERROR(1/IF(Inputs!$B$4="pvp",15,MAX(0.1,Skills!E22-IF(Skills!F22=TRUE,Inputs!$B$31,0))),0)</f>
        <v>10</v>
      </c>
    </row>
    <row r="559" spans="1:22" x14ac:dyDescent="0.2">
      <c r="A559" t="str">
        <f>Skills!A23</f>
        <v>ELEMENT_AMPLIFICATION</v>
      </c>
      <c r="B559" t="str">
        <f>Skills!B23</f>
        <v>Element Amplification</v>
      </c>
      <c r="C559" t="b">
        <f>TRUE</f>
        <v>1</v>
      </c>
      <c r="D559">
        <f>IF(Skills!C23=1,60+Inputs!$B$24+Inputs!$B$28,IF(Skills!C23=2,90+Inputs!$B$25+Inputs!$B$28,IF(Skills!C23=3,120+Inputs!$B$26+Inputs!$B$28,MAX(0,(Inputs!$B$3-100)*3)+Inputs!$B$27+Inputs!$B$28)))</f>
        <v>172</v>
      </c>
      <c r="E559">
        <f>INDEX(FactorTable!$B$2:$Y$301, MATCH(ROUND(MIN(300,MAX(1,D559)),0), FactorTable!$A$2:$A$301,0), Skills!M23+1)</f>
        <v>1516</v>
      </c>
      <c r="F559">
        <f>IF(Skills!N23=TRUE,(Skills!L23/10)*(E559/1000),Skills!L23/10)+Skills!O23</f>
        <v>22.740000000000002</v>
      </c>
      <c r="G559">
        <f>Calc!G23</f>
        <v>1</v>
      </c>
      <c r="H559">
        <f>Calc!H23</f>
        <v>1</v>
      </c>
      <c r="I559">
        <f>IF(Skills!X23&lt;&gt;"",1+(Skills!X23/10)*(R539/1000)/100,1)</f>
        <v>1</v>
      </c>
      <c r="O559">
        <v>0</v>
      </c>
      <c r="P559">
        <f>IF(B575=0,0,O559/B575)</f>
        <v>0</v>
      </c>
      <c r="S559">
        <v>0</v>
      </c>
      <c r="V559">
        <f>IFERROR(1/IF(Inputs!$B$4="pvp",15,MAX(0.1,Skills!E23-IF(Skills!F23=TRUE,Inputs!$B$31,0))),0)</f>
        <v>10</v>
      </c>
    </row>
    <row r="560" spans="1:22" x14ac:dyDescent="0.2">
      <c r="A560" t="str">
        <f>Skills!A24</f>
        <v>IFRIT</v>
      </c>
      <c r="B560" t="str">
        <f>Skills!B24</f>
        <v>Ifrit</v>
      </c>
      <c r="C560" t="b">
        <f>Inputs!$B$3&gt;=115</f>
        <v>0</v>
      </c>
      <c r="D560">
        <f>IF(Skills!C24=1,60+Inputs!$B$24+Inputs!$B$28,IF(Skills!C24=2,90+Inputs!$B$25+Inputs!$B$28,IF(Skills!C24=3,120+Inputs!$B$26+Inputs!$B$28,MAX(0,(Inputs!$B$3-100)*3)+Inputs!$B$27+Inputs!$B$28)))</f>
        <v>172</v>
      </c>
      <c r="E560">
        <f>INDEX(FactorTable!$B$2:$Y$301, MATCH(ROUND(MIN(300,MAX(1,D560)),0), FactorTable!$A$2:$A$301,0), Skills!M24+1)</f>
        <v>1860</v>
      </c>
      <c r="F560">
        <f>IF(Skills!N24=TRUE,(Skills!L24/10)*(E560/1000),Skills!L24/10)+Skills!O24</f>
        <v>6510</v>
      </c>
      <c r="G560">
        <f>Calc!G24</f>
        <v>7.5</v>
      </c>
      <c r="H560">
        <f>Calc!H24</f>
        <v>1</v>
      </c>
      <c r="I560">
        <f>IF(Skills!X24&lt;&gt;"",1+(Skills!X24/10)*(R539/1000)/100,1)</f>
        <v>1</v>
      </c>
      <c r="J560">
        <f>((Inputs!$B$5*(1+Inputs!$B$6/100))+((Inputs!$B$11*(1+Inputs!$B$12/100))-(Inputs!$B$11*(1+Inputs!$B$12/100)))*(1+Inputs!$B$6/100))*(F560/100)</f>
        <v>16263999540.532799</v>
      </c>
      <c r="K560">
        <f>J560*(1+((Inputs!$B$11*(1+Inputs!$B$12/100))*0.01+Inputs!$B$13*0.0025)/100)*(1+Inputs!$B$14/100)*(1+IF(Inputs!$B$4="pvp",0,(1-Summary!$B$56)*(Inputs!$B$19+Skills!P24)+Summary!$B$56*(Inputs!$B$20+Skills!Q24))/100)*(1+Inputs!$B$15/100)*(5000/(6000+Inputs!$B$7*(1-((1-(1-Inputs!$B$18/100)*(1-1/100))*100)/100)))*(1+Inputs!$B$23/100)*(1+F559/100)*(1+IF(Inputs!$B$3&gt;=120,F562,0)/100)^5*(1+(IF(Skills!A24="BASIC_ATTACK",Inputs!$B$16,Inputs!$B$17+IF(Inputs!$B$3&gt;=125,F563*5,0)))/100)*(B566*B567*B568*I560)</f>
        <v>124060434799746.48</v>
      </c>
      <c r="L560">
        <f>K560*(MIN(Inputs!$B$21+(F558-Calc!F22),Inputs!$B$22)/100+Inputs!$B$22/100)/2</f>
        <v>334901143741915.56</v>
      </c>
      <c r="M560">
        <f>L560*(1+(Inputs!$B$9+(F557-Calc!F21))/100)</f>
        <v>1403570693422368.2</v>
      </c>
      <c r="N560">
        <f>L560*(1-MIN(Inputs!$B$8+(F556-Calc!F20),100)/100)+M560*(MIN(Inputs!$B$8+(F556-Calc!F20),100)/100)</f>
        <v>1403570693422368.2</v>
      </c>
      <c r="O560">
        <f>IF(C560,H560*N560*IF(AND(Inputs!$B$4&lt;&gt;"pvp",Inputs!$B$35&gt;0),((Skills!G24*((S560-1)*IF(Skills!H24&gt;0,Skills!I24/Skills!H24,1)+IF(Skills!H24&gt;0,MIN(Skills!I24,MAX(0,Inputs!$B$35-((S560-1)*IF(Inputs!$B$4="pvp",15,MAX(0.1,Skills!E24-IF(Skills!F24=TRUE,Inputs!$B$31,0))))))/Skills!H24,1)))/Inputs!$B$35),G560*V560)*(1+IF(Inputs!$B$3&gt;=130,0.2*(Skills!I16/Skills!E15+IF(Inputs!$B$3&gt;=126,0.05*(B572+V549+(H550*B573)/(1+Skills!H14*H550*B573)+V560),0)*Skills!I16),0))*IF(Inputs!$B$4="pvp",1,(1-Summary!$B$56)*(1)+Summary!$B$56*(MIN(Skills!R24,Inputs!$B$37))),0)</f>
        <v>0</v>
      </c>
      <c r="P560">
        <f>IF(B575=0,0,O560/B575)</f>
        <v>0</v>
      </c>
      <c r="S560">
        <f>IF(AND(Inputs!$B$4&lt;&gt;"pvp",Inputs!$B$35&gt;0),(INT(Inputs!$B$35/IF(Inputs!$B$4="pvp",15,MAX(0.1,Skills!E24-IF(Skills!F24=TRUE,Inputs!$B$31,0))))+1),0)</f>
        <v>0</v>
      </c>
      <c r="V560">
        <f>IFERROR(1/IF(Inputs!$B$4="pvp",15,MAX(0.1,Skills!E24-IF(Skills!F24=TRUE,Inputs!$B$31,0))),0)</f>
        <v>1.2500000000000001E-2</v>
      </c>
    </row>
    <row r="561" spans="1:22" x14ac:dyDescent="0.2">
      <c r="A561" t="str">
        <f>Skills!A25</f>
        <v>BUFF_MASTERY</v>
      </c>
      <c r="B561" t="str">
        <f>Skills!B25</f>
        <v>Buff Mastery</v>
      </c>
      <c r="C561" t="b">
        <f>Inputs!$B$3&gt;=117</f>
        <v>0</v>
      </c>
      <c r="D561">
        <f>IF(Skills!C25=1,60+Inputs!$B$24+Inputs!$B$28,IF(Skills!C25=2,90+Inputs!$B$25+Inputs!$B$28,IF(Skills!C25=3,120+Inputs!$B$26+Inputs!$B$28,MAX(0,(Inputs!$B$3-100)*3)+Inputs!$B$27+Inputs!$B$28)))</f>
        <v>172</v>
      </c>
      <c r="E561">
        <f>INDEX(FactorTable!$B$2:$Y$301, MATCH(ROUND(MIN(300,MAX(1,D561)),0), FactorTable!$A$2:$A$301,0), Skills!M25+1)</f>
        <v>1516</v>
      </c>
      <c r="F561">
        <f>IF(Skills!N25=TRUE,(Skills!L25/10)*(E561/1000),Skills!L25/10)+Skills!O25</f>
        <v>15.16</v>
      </c>
      <c r="G561">
        <f>Calc!G25</f>
        <v>1</v>
      </c>
      <c r="H561">
        <f>Calc!H25</f>
        <v>1</v>
      </c>
      <c r="I561">
        <f>IF(Skills!X25&lt;&gt;"",1+(Skills!X25/10)*(R539/1000)/100,1)</f>
        <v>1</v>
      </c>
      <c r="O561">
        <v>0</v>
      </c>
      <c r="P561">
        <f>IF(B575=0,0,O561/B575)</f>
        <v>0</v>
      </c>
      <c r="S561">
        <v>0</v>
      </c>
      <c r="V561">
        <f>IFERROR(1/IF(Inputs!$B$4="pvp",15,MAX(0.1,Skills!E25-IF(Skills!F25=TRUE,Inputs!$B$31,0))),0)</f>
        <v>10</v>
      </c>
    </row>
    <row r="562" spans="1:22" x14ac:dyDescent="0.2">
      <c r="A562" t="str">
        <f>Skills!A26</f>
        <v>ARCANE_AIM</v>
      </c>
      <c r="B562" t="str">
        <f>Skills!B26</f>
        <v>Arcane Aim</v>
      </c>
      <c r="C562" t="b">
        <f>Inputs!$B$3&gt;=120</f>
        <v>0</v>
      </c>
      <c r="D562">
        <f>IF(Skills!C26=1,60+Inputs!$B$24+Inputs!$B$28,IF(Skills!C26=2,90+Inputs!$B$25+Inputs!$B$28,IF(Skills!C26=3,120+Inputs!$B$26+Inputs!$B$28,MAX(0,(Inputs!$B$3-100)*3)+Inputs!$B$27+Inputs!$B$28)))</f>
        <v>172</v>
      </c>
      <c r="E562">
        <f>INDEX(FactorTable!$B$2:$Y$301, MATCH(ROUND(MIN(300,MAX(1,D562)),0), FactorTable!$A$2:$A$301,0), Skills!M26+1)</f>
        <v>1516</v>
      </c>
      <c r="F562">
        <f>IF(Skills!N26=TRUE,(Skills!L26/10)*(E562/1000),Skills!L26/10)+Skills!O26</f>
        <v>4.548</v>
      </c>
      <c r="G562">
        <f>Calc!G26</f>
        <v>1</v>
      </c>
      <c r="H562">
        <f>Calc!H26</f>
        <v>1</v>
      </c>
      <c r="I562">
        <f>IF(Skills!X26&lt;&gt;"",1+(Skills!X26/10)*(R539/1000)/100,1)</f>
        <v>1</v>
      </c>
      <c r="O562">
        <v>0</v>
      </c>
      <c r="P562">
        <f>IF(B575=0,0,O562/B575)</f>
        <v>0</v>
      </c>
      <c r="S562">
        <v>0</v>
      </c>
      <c r="V562">
        <f>IFERROR(1/IF(Inputs!$B$4="pvp",15,MAX(0.1,Skills!E26-IF(Skills!F26=TRUE,Inputs!$B$31,0))),0)</f>
        <v>10</v>
      </c>
    </row>
    <row r="563" spans="1:22" x14ac:dyDescent="0.2">
      <c r="A563" t="str">
        <f>Skills!A27</f>
        <v>FERVENT_DRAIN</v>
      </c>
      <c r="B563" t="str">
        <f>Skills!B27</f>
        <v>Fervent Drain</v>
      </c>
      <c r="C563" t="b">
        <f>Inputs!$B$3&gt;=125</f>
        <v>0</v>
      </c>
      <c r="D563">
        <f>IF(Skills!C27=1,60+Inputs!$B$24+Inputs!$B$28,IF(Skills!C27=2,90+Inputs!$B$25+Inputs!$B$28,IF(Skills!C27=3,120+Inputs!$B$26+Inputs!$B$28,MAX(0,(Inputs!$B$3-100)*3)+Inputs!$B$27+Inputs!$B$28)))</f>
        <v>172</v>
      </c>
      <c r="E563">
        <f>INDEX(FactorTable!$B$2:$Y$301, MATCH(ROUND(MIN(300,MAX(1,D563)),0), FactorTable!$A$2:$A$301,0), Skills!M27+1)</f>
        <v>1516</v>
      </c>
      <c r="F563">
        <f>IF(Skills!N27=TRUE,(Skills!L27/10)*(E563/1000),Skills!L27/10)+Skills!O27</f>
        <v>6.0640000000000001</v>
      </c>
      <c r="G563">
        <f>Calc!G27</f>
        <v>1</v>
      </c>
      <c r="H563">
        <f>Calc!H27</f>
        <v>1</v>
      </c>
      <c r="I563">
        <f>IF(Skills!X27&lt;&gt;"",1+(Skills!X27/10)*(R539/1000)/100,1)</f>
        <v>1</v>
      </c>
      <c r="O563">
        <v>0</v>
      </c>
      <c r="P563">
        <f>IF(B575=0,0,O563/B575)</f>
        <v>0</v>
      </c>
      <c r="S563">
        <v>0</v>
      </c>
      <c r="V563">
        <f>IFERROR(1/IF(Inputs!$B$4="pvp",15,MAX(0.1,Skills!E27-IF(Skills!F27=TRUE,Inputs!$B$31,0))),0)</f>
        <v>10</v>
      </c>
    </row>
    <row r="564" spans="1:22" x14ac:dyDescent="0.2">
      <c r="A564" t="str">
        <f>Skills!A28</f>
        <v>FLAME_HAZE_FOG</v>
      </c>
      <c r="B564" t="str">
        <f>Skills!B28</f>
        <v>Flame Haze (poison fog DoT)</v>
      </c>
      <c r="C564" t="b">
        <f>Inputs!$B$3&gt;=118</f>
        <v>0</v>
      </c>
      <c r="D564">
        <f>IF(Skills!C28=1,60+Inputs!$B$24+Inputs!$B$28,IF(Skills!C28=2,90+Inputs!$B$25+Inputs!$B$28,IF(Skills!C28=3,120+Inputs!$B$26+Inputs!$B$28,MAX(0,(Inputs!$B$3-100)*3)+Inputs!$B$27+Inputs!$B$28)))</f>
        <v>172</v>
      </c>
      <c r="E564">
        <f>INDEX(FactorTable!$B$2:$Y$301, MATCH(ROUND(MIN(300,MAX(1,D564)),0), FactorTable!$A$2:$A$301,0), Skills!M28+1)</f>
        <v>1860</v>
      </c>
      <c r="F564">
        <f>IF(Skills!N28=TRUE,(Skills!L28/10)*(E564/1000),Skills!L28/10)+Skills!O28</f>
        <v>130.20000000000002</v>
      </c>
      <c r="G564">
        <f>Calc!G28</f>
        <v>50</v>
      </c>
      <c r="H564">
        <f>Calc!H28</f>
        <v>1</v>
      </c>
      <c r="I564">
        <f>IF(Skills!X28&lt;&gt;"",1+(Skills!X28/10)*(R539/1000)/100,1)</f>
        <v>1</v>
      </c>
      <c r="J564">
        <f>((Inputs!$B$5*(1+Inputs!$B$6/100))+((Inputs!$B$11*(1+Inputs!$B$12/100))-(Inputs!$B$11*(1+Inputs!$B$12/100)))*(1+Inputs!$B$6/100))*(F564/100)</f>
        <v>325279990.81065607</v>
      </c>
      <c r="K564">
        <f>J564*(1+((Inputs!$B$11*(1+Inputs!$B$12/100))*0.01+Inputs!$B$13*0.0025)/100)*(1+Inputs!$B$14/100)*(1+IF(Inputs!$B$4="pvp",0,(1-Summary!$B$56)*(Inputs!$B$19+Skills!P28)+Summary!$B$56*(Inputs!$B$20+Skills!Q28))/100)*(1+Inputs!$B$15/100)*(5000/(6000+Inputs!$B$7*(1-((1-(1-Inputs!$B$18/100)*(1-1/100))*100)/100)))*(1+Inputs!$B$23/100)*(1+F559/100)*(1+IF(Inputs!$B$3&gt;=120,F562,0)/100)^5*(1+(IF(Skills!A28="BASIC_ATTACK",Inputs!$B$16,Inputs!$B$17+IF(Inputs!$B$3&gt;=125,F563*5,0)))/100)*(B566*B567*B568*I564)</f>
        <v>2481208695994.9307</v>
      </c>
      <c r="L564">
        <f>K564*(MIN(Inputs!$B$21+(F558-Calc!F22),Inputs!$B$22)/100+Inputs!$B$22/100)/2</f>
        <v>6698022874838.3145</v>
      </c>
      <c r="M564">
        <f>L564*(1+(Inputs!$B$9+(F557-Calc!F21))/100)</f>
        <v>28071413868447.379</v>
      </c>
      <c r="N564">
        <f>L564*(1-MIN(Inputs!$B$8+(F556-Calc!F20),100)/100)+M564*(MIN(Inputs!$B$8+(F556-Calc!F20),100)/100)</f>
        <v>28071413868447.379</v>
      </c>
      <c r="O564">
        <f>IF(C564,H564*N564*IF(AND(Inputs!$B$4&lt;&gt;"pvp",Inputs!$B$35&gt;0),((Skills!G28*((S564-1)*IF(Skills!H28&gt;0,Skills!I28/Skills!H28,1)+IF(Skills!H28&gt;0,MIN(Skills!I28,MAX(0,Inputs!$B$35-((S564-1)*IF(Inputs!$B$4="pvp",15,MAX(0.1,Skills!E28-IF(Skills!F28=TRUE,Inputs!$B$31,0))))))/Skills!H28,1)))/Inputs!$B$35),G564*V564)*IF(Inputs!$B$4="pvp",1,(1-Summary!$B$56)*(1)+Summary!$B$56*(MIN(Skills!R28,Inputs!$B$37))),0)</f>
        <v>0</v>
      </c>
      <c r="P564">
        <f>IF(B575=0,0,O564/B575)</f>
        <v>0</v>
      </c>
      <c r="S564">
        <f>IF(AND(Inputs!$B$4&lt;&gt;"pvp",Inputs!$B$35&gt;0),(INT(Inputs!$B$35/IF(Inputs!$B$4="pvp",15,MAX(0.1,Skills!E28-IF(Skills!F28=TRUE,Inputs!$B$31,0))))+1),0)</f>
        <v>0</v>
      </c>
      <c r="V564">
        <f>IFERROR(1/IF(Inputs!$B$4="pvp",15,MAX(0.1,Skills!E28-IF(Skills!F28=TRUE,Inputs!$B$31,0))),0)</f>
        <v>0.04</v>
      </c>
    </row>
    <row r="566" spans="1:22" x14ac:dyDescent="0.2">
      <c r="A566" t="s">
        <v>222</v>
      </c>
      <c r="B566">
        <f>1+(F547*Skills!Z11)/100</f>
        <v>1.25</v>
      </c>
    </row>
    <row r="567" spans="1:22" x14ac:dyDescent="0.2">
      <c r="A567" t="s">
        <v>223</v>
      </c>
      <c r="B567">
        <f>1+F548/100</f>
        <v>1.18624</v>
      </c>
    </row>
    <row r="568" spans="1:22" x14ac:dyDescent="0.2">
      <c r="A568" t="s">
        <v>224</v>
      </c>
      <c r="B568">
        <f>(1+(F542*IF(AND(Inputs!$B$4&lt;&gt;"pvp",Inputs!$B$35&gt;0),(((S542-1)*(Skills!T6*(1+(Inputs!$B$33+IF(Inputs!$B$3&gt;=117,F561,0))/100))+MIN((Skills!T6*(1+(Inputs!$B$33+IF(Inputs!$B$3&gt;=117,F561,0))/100)),MAX(0,Inputs!$B$35-((S542-1)*Skills!E6))))/Inputs!$B$35),IF(Inputs!$B$4="pvp",MIN((Skills!T6*(1+(Inputs!$B$33+IF(Inputs!$B$3&gt;=117,F561,0))/100)),15)/15,(Skills!T6*(1+(Inputs!$B$33+IF(Inputs!$B$3&gt;=117,F561,0))/100))/Skills!E6))+F553*IF(AND(Inputs!$B$4&lt;&gt;"pvp",Inputs!$B$35&gt;0),(((S553-1)*(Skills!T17*(1+(Inputs!$B$33+IF(Inputs!$B$3&gt;=117,F561,0))/100))+MIN((Skills!T17*(1+(Inputs!$B$33+IF(Inputs!$B$3&gt;=117,F561,0))/100)),MAX(0,Inputs!$B$35-((S553-1)*Skills!E17))))/Inputs!$B$35),IF(Inputs!$B$4="pvp",MIN((Skills!T17*(1+(Inputs!$B$33+IF(Inputs!$B$3&gt;=117,F561,0))/100)),15)/15,(Skills!T17*(1+(Inputs!$B$33+IF(Inputs!$B$3&gt;=117,F561,0))/100))/Skills!E17)))/100)*IF(C555=TRUE,(1+F555*IF(AND(Inputs!$B$4&lt;&gt;"pvp",Inputs!$B$35&gt;0),(((S555-1)*(Skills!T19*(1+(Inputs!$B$33+IF(Inputs!$B$3&gt;=117,F561,0))/100))+MIN((Skills!T19*(1+(Inputs!$B$33+IF(Inputs!$B$3&gt;=117,F561,0))/100)),MAX(0,Inputs!$B$35-((S555-1)*Skills!E19))))/Inputs!$B$35),IF(Inputs!$B$4="pvp",MIN((Skills!T19*(1+(Inputs!$B$33+IF(Inputs!$B$3&gt;=117,F561,0))/100)),15)/15,(Skills!T19*(1+(Inputs!$B$33+IF(Inputs!$B$3&gt;=117,F561,0))/100))/Skills!E19))/100),1)</f>
        <v>1.5603265106950857</v>
      </c>
    </row>
    <row r="569" spans="1:22" x14ac:dyDescent="0.2">
      <c r="A569" t="s">
        <v>225</v>
      </c>
      <c r="B569">
        <f>F554*IF(AND(Inputs!$B$4&lt;&gt;"pvp",Inputs!$B$35&gt;0),(((S554-1)*(Skills!T18*(1+(Inputs!$B$33+IF(Inputs!$B$3&gt;=117,F561,0))/100))+MIN((Skills!T18*(1+(Inputs!$B$33+IF(Inputs!$B$3&gt;=117,F561,0))/100)),MAX(0,Inputs!$B$35-((S554-1)*Skills!E18))))/Inputs!$B$35),IF(Inputs!$B$4="pvp",MIN((Skills!T18*(1+(Inputs!$B$33+IF(Inputs!$B$3&gt;=117,F561,0))/100)),15)/15,(Skills!T18*(1+(Inputs!$B$33+IF(Inputs!$B$3&gt;=117,F561,0))/100))/Skills!E18))</f>
        <v>3.75</v>
      </c>
    </row>
    <row r="570" spans="1:22" x14ac:dyDescent="0.2">
      <c r="A570" t="s">
        <v>253</v>
      </c>
      <c r="B570">
        <f>1+MIN(150,150*(1-(1-Inputs!$B$10/150)*(1-B569/150)))/100</f>
        <v>1.6371249999999999</v>
      </c>
    </row>
    <row r="571" spans="1:22" x14ac:dyDescent="0.2">
      <c r="A571" t="s">
        <v>254</v>
      </c>
      <c r="B571">
        <f>IF(AND(Inputs!$B$4&lt;&gt;"pvp",Inputs!$B$35&gt;0),SUMPRODUCT((Skills!F2:F28=TRUE)*(C538:C564=TRUE)*S538:S564)/Inputs!$B$35,SUMPRODUCT((Skills!F2:F28=TRUE)*(C538:C564=TRUE)*V538:V564))</f>
        <v>0.33466433037861604</v>
      </c>
    </row>
    <row r="572" spans="1:22" x14ac:dyDescent="0.2">
      <c r="A572" t="s">
        <v>228</v>
      </c>
      <c r="B572">
        <f>MAX(0,B570-B571)</f>
        <v>1.3024606696213838</v>
      </c>
    </row>
    <row r="573" spans="1:22" x14ac:dyDescent="0.2">
      <c r="A573" t="s">
        <v>255</v>
      </c>
      <c r="B573">
        <f>IF(AND(Inputs!$B$4&lt;&gt;"pvp",Inputs!$B$35&gt;0),SUMPRODUCT((Skills!V2:V28=TRUE)*(C538:C564=TRUE)*S538:S564*Skills!W2:W28)/Inputs!$B$35,SUMPRODUCT((Skills!V2:V28=TRUE)*(C538:C564=TRUE)*V538:V564*Skills!W2:W28))+B572</f>
        <v>1.5297416426166426</v>
      </c>
    </row>
    <row r="575" spans="1:22" x14ac:dyDescent="0.2">
      <c r="A575" s="5" t="s">
        <v>208</v>
      </c>
      <c r="B575" s="5">
        <f>SUM(O538:O564)</f>
        <v>8361501823158536</v>
      </c>
    </row>
    <row r="578" spans="1:22" x14ac:dyDescent="0.2">
      <c r="A578" s="5" t="s">
        <v>268</v>
      </c>
    </row>
    <row r="579" spans="1:22" x14ac:dyDescent="0.2">
      <c r="A579" s="8" t="s">
        <v>74</v>
      </c>
      <c r="B579" s="8" t="s">
        <v>75</v>
      </c>
      <c r="C579" s="8" t="s">
        <v>190</v>
      </c>
      <c r="D579" s="8" t="s">
        <v>191</v>
      </c>
      <c r="E579" s="8" t="s">
        <v>192</v>
      </c>
      <c r="F579" s="8" t="s">
        <v>193</v>
      </c>
      <c r="G579" s="8" t="s">
        <v>194</v>
      </c>
      <c r="H579" s="8" t="s">
        <v>195</v>
      </c>
      <c r="I579" s="8" t="s">
        <v>196</v>
      </c>
      <c r="J579" s="8" t="s">
        <v>197</v>
      </c>
      <c r="K579" s="8" t="s">
        <v>198</v>
      </c>
      <c r="L579" s="8" t="s">
        <v>199</v>
      </c>
      <c r="M579" s="8" t="s">
        <v>200</v>
      </c>
      <c r="N579" s="8" t="s">
        <v>201</v>
      </c>
      <c r="O579" s="8" t="s">
        <v>202</v>
      </c>
      <c r="P579" s="8" t="s">
        <v>203</v>
      </c>
      <c r="R579" t="s">
        <v>252</v>
      </c>
    </row>
    <row r="580" spans="1:22" x14ac:dyDescent="0.2">
      <c r="A580" t="str">
        <f>Skills!A2</f>
        <v>BASIC_ATTACK</v>
      </c>
      <c r="B580" t="str">
        <f>Skills!B2</f>
        <v>Basic Attack</v>
      </c>
      <c r="C580" t="b">
        <f>TRUE</f>
        <v>1</v>
      </c>
      <c r="F580">
        <f>T582+Skills!O2</f>
        <v>510.52</v>
      </c>
      <c r="G580">
        <f>Calc!G2</f>
        <v>5</v>
      </c>
      <c r="H580">
        <f>Calc!H2</f>
        <v>1</v>
      </c>
      <c r="I580">
        <f>IF(Skills!X2&lt;&gt;"",1+(Skills!X2/10)*(R581/1000)/100,1)</f>
        <v>1</v>
      </c>
      <c r="J580">
        <f>((Inputs!$B$5*(1+Inputs!$B$6/100))+((Inputs!$B$11*(1+Inputs!$B$12/100))-(Inputs!$B$11*(1+Inputs!$B$12/100)))*(1+Inputs!$B$6/100))*(F580/100)</f>
        <v>1275437334.1678655</v>
      </c>
      <c r="K580">
        <f>J580*(1+((Inputs!$B$11*(1+Inputs!$B$12/100))*0.01+Inputs!$B$13*0.0025)/100)*(1+Inputs!$B$14/100)*(1+IF(Inputs!$B$4="pvp",0,(1-Summary!$B$56)*(Inputs!$B$19+Skills!P2)+Summary!$B$56*(Inputs!$B$20+Skills!Q2))/100)*(1+Inputs!$B$15/100)*(5000/(6000+Inputs!$B$7*(1-Inputs!$B$18/100)))*(1+Inputs!$B$23/100)*(1+F601/100)*(1+IF(Inputs!$B$3&gt;=120,F604,0)/100)^5*(1+(IF(Skills!A2="BASIC_ATTACK",(Inputs!$B$16+1),Inputs!$B$17+IF(Inputs!$B$3&gt;=125,F605*5,0)))/100)*(B608*B609*B610*I580)</f>
        <v>7008761307692.1826</v>
      </c>
      <c r="L580">
        <f>K580*(MIN(Inputs!$B$21+(F600-Calc!F22),Inputs!$B$22)/100+Inputs!$B$22/100)/2</f>
        <v>18920151150115.043</v>
      </c>
      <c r="M580">
        <f>L580*(1+(Inputs!$B$9+(F599-Calc!F21))/100)</f>
        <v>79294353470132.156</v>
      </c>
      <c r="N580">
        <f>L580*(1-MIN(Inputs!$B$8+(F598-Calc!F20),100)/100)+M580*(MIN(Inputs!$B$8+(F598-Calc!F20),100)/100)</f>
        <v>79294353470132.156</v>
      </c>
      <c r="O580">
        <f>Skills!G2*N580*B614*IF(Inputs!$B$4="pvp",1,(1-Summary!$B$56)*(1)+Summary!$B$56*(MIN((6+Inputs!$B$32+IF(Inputs!$B$3&gt;=136,1,0)),Inputs!$B$37)))</f>
        <v>3924555515280315</v>
      </c>
      <c r="P580">
        <f>IF(B617=0,0,O580/B617)</f>
        <v>0.46908788661419215</v>
      </c>
      <c r="R580">
        <f>MAX(0,(Inputs!$B$3-100)*3)+Inputs!$B$27+Inputs!$B$28</f>
        <v>172</v>
      </c>
      <c r="S580">
        <v>0</v>
      </c>
      <c r="T580">
        <f>MAX(0,(Inputs!$B$3-100)*3)+Inputs!$B$27+Inputs!$B$28</f>
        <v>172</v>
      </c>
      <c r="V580">
        <f>IFERROR(1/IF(Inputs!$B$4="pvp",15,MAX(0.1,Skills!E2-IF(Skills!F2=TRUE,Inputs!$B$31,0))),0)</f>
        <v>10</v>
      </c>
    </row>
    <row r="581" spans="1:22" x14ac:dyDescent="0.2">
      <c r="A581" t="str">
        <f>Skills!A3</f>
        <v>IGNITE</v>
      </c>
      <c r="B581" t="str">
        <f>Skills!B3</f>
        <v>Ignite</v>
      </c>
      <c r="C581" t="b">
        <f>TRUE</f>
        <v>1</v>
      </c>
      <c r="D581">
        <f>IF(Skills!C3=1,60+Inputs!$B$24+Inputs!$B$28,IF(Skills!C3=2,90+Inputs!$B$25+Inputs!$B$28,IF(Skills!C3=3,120+Inputs!$B$26+Inputs!$B$28,MAX(0,(Inputs!$B$3-100)*3)+Inputs!$B$27+Inputs!$B$28)))</f>
        <v>164</v>
      </c>
      <c r="E581">
        <f>INDEX(FactorTable!$B$2:$Y$301, MATCH(ROUND(MIN(300,MAX(1,D581)),0), FactorTable!$A$2:$A$301,0), Skills!M3+1)</f>
        <v>1656</v>
      </c>
      <c r="F581">
        <f>IF(Skills!N3=TRUE,(Skills!L3/10)*(E581/1000),Skills!L3/10)+Skills!O3</f>
        <v>121.52799999999999</v>
      </c>
      <c r="G581">
        <f>Calc!G3</f>
        <v>3</v>
      </c>
      <c r="H581">
        <f>Calc!H3</f>
        <v>1</v>
      </c>
      <c r="I581">
        <f>IF(Skills!X3&lt;&gt;"",1+(Skills!X3/10)*(R581/1000)/100,1)</f>
        <v>4.76</v>
      </c>
      <c r="J581">
        <f>((Inputs!$B$5*(1+Inputs!$B$6/100))+((Inputs!$B$11*(1+Inputs!$B$12/100))-(Inputs!$B$11*(1+Inputs!$B$12/100)))*(1+Inputs!$B$6/100))*(F581/100)</f>
        <v>303614644.57171583</v>
      </c>
      <c r="K581">
        <f>J581*(1+((Inputs!$B$11*(1+Inputs!$B$12/100))*0.01+Inputs!$B$13*0.0025)/100)*(1+Inputs!$B$14/100)*(1+IF(Inputs!$B$4="pvp",0,(1-Summary!$B$56)*(Inputs!$B$19+Skills!P3)+Summary!$B$56*(Inputs!$B$20+Skills!Q3))/100)*(1+Inputs!$B$15/100)*(5000/(6000+Inputs!$B$7*(1-Inputs!$B$18/100)))*(1+Inputs!$B$23/100)*(1+F601/100)*(1+IF(Inputs!$B$3&gt;=120,F604,0)/100)^5*(1+(IF(Skills!A3="BASIC_ATTACK",(Inputs!$B$16+1),Inputs!$B$17+IF(Inputs!$B$3&gt;=125,F605*5,0)))/100)*(B608*B609*B610*I581)</f>
        <v>10995012018164.998</v>
      </c>
      <c r="L581">
        <f>K581*(MIN(Inputs!$B$21+(F600-Calc!F22),Inputs!$B$22)/100+Inputs!$B$22/100)/2</f>
        <v>29681034943036.406</v>
      </c>
      <c r="M581">
        <f>L581*(1+(Inputs!$B$9+(F599-Calc!F21))/100)</f>
        <v>124393217446265.59</v>
      </c>
      <c r="N581">
        <f>L581*(1-MIN(Inputs!$B$8+(F598-Calc!F20),100)/100)+M581*(MIN(Inputs!$B$8+(F598-Calc!F20),100)/100)</f>
        <v>124393217446265.59</v>
      </c>
      <c r="O581">
        <f>IF(C581,H581*N581*IF(AND(Inputs!$B$4&lt;&gt;"pvp",Inputs!$B$35&gt;0),((Skills!G3*((S581-1)*IF(Skills!H3&gt;0,Skills!I3/Skills!H3,1)+IF(Skills!H3&gt;0,MIN(Skills!I3,MAX(0,Inputs!$B$35-((S581-1)*IF(Inputs!$B$4="pvp",15,MAX(0.1,Skills!E3-IF(Skills!F3=TRUE,Inputs!$B$31,0))))))/Skills!H3,1)))/Inputs!$B$35),G581*V581)*IF(Inputs!$B$4="pvp",1,(1-Summary!$B$56)*(1)+Summary!$B$56*(MIN(Skills!R3,Inputs!$B$37))),0)</f>
        <v>820995235145352.75</v>
      </c>
      <c r="P581">
        <f>IF(B617=0,0,O581/B617)</f>
        <v>9.8130582756490267E-2</v>
      </c>
      <c r="R581">
        <f>INDEX(FactorTable!$B$2:$Y$301, MATCH(ROUND(MIN(300,MAX(1,R580)),0), FactorTable!$A$2:$A$301,0), 24)</f>
        <v>7520</v>
      </c>
      <c r="S581">
        <f>IF(AND(Inputs!$B$4&lt;&gt;"pvp",Inputs!$B$35&gt;0),(INT(Inputs!$B$35/IF(Inputs!$B$4="pvp",15,MAX(0.1,Skills!E3-IF(Skills!F3=TRUE,Inputs!$B$31,0))))+1),0)</f>
        <v>0</v>
      </c>
      <c r="T581">
        <f>INDEX(FactorTable!$B$2:$Y$301, MATCH(ROUND(MIN(300,MAX(1,T580)),0), FactorTable!$A$2:$A$301,0), 22)</f>
        <v>1688</v>
      </c>
      <c r="V581">
        <f>IFERROR(1/IF(Inputs!$B$4="pvp",15,MAX(0.1,Skills!E3-IF(Skills!F3=TRUE,Inputs!$B$31,0))),0)</f>
        <v>1</v>
      </c>
    </row>
    <row r="582" spans="1:22" x14ac:dyDescent="0.2">
      <c r="A582" t="str">
        <f>Skills!A4</f>
        <v>POISON_BREATH</v>
      </c>
      <c r="B582" t="str">
        <f>Skills!B4</f>
        <v>Poison Breath</v>
      </c>
      <c r="C582" t="b">
        <f>TRUE</f>
        <v>1</v>
      </c>
      <c r="D582">
        <f>IF(Skills!C4=1,60+Inputs!$B$24+Inputs!$B$28,IF(Skills!C4=2,90+Inputs!$B$25+Inputs!$B$28,IF(Skills!C4=3,120+Inputs!$B$26+Inputs!$B$28,MAX(0,(Inputs!$B$3-100)*3)+Inputs!$B$27+Inputs!$B$28)))</f>
        <v>164</v>
      </c>
      <c r="E582">
        <f>INDEX(FactorTable!$B$2:$Y$301, MATCH(ROUND(MIN(300,MAX(1,D582)),0), FactorTable!$A$2:$A$301,0), Skills!M4+1)</f>
        <v>1820</v>
      </c>
      <c r="F582">
        <f>IF(Skills!N4=TRUE,(Skills!L4/10)*(E582/1000),Skills!L4/10)+Skills!O4</f>
        <v>434</v>
      </c>
      <c r="G582">
        <f>Calc!G4</f>
        <v>3</v>
      </c>
      <c r="H582">
        <f>Calc!H4</f>
        <v>1</v>
      </c>
      <c r="I582">
        <f>IF(Skills!X4&lt;&gt;"",1+(Skills!X4/10)*(R581/1000)/100,1)</f>
        <v>7.0159999999999991</v>
      </c>
      <c r="J582">
        <f>((Inputs!$B$5*(1+Inputs!$B$6/100))+((Inputs!$B$11*(1+Inputs!$B$12/100))-(Inputs!$B$11*(1+Inputs!$B$12/100)))*(1+Inputs!$B$6/100))*(F582/100)</f>
        <v>1084266636.0355198</v>
      </c>
      <c r="K582">
        <f>J582*(1+((Inputs!$B$11*(1+Inputs!$B$12/100))*0.01+Inputs!$B$13*0.0025)/100)*(1+Inputs!$B$14/100)*(1+IF(Inputs!$B$4="pvp",0,(1-Summary!$B$56)*(Inputs!$B$19+Skills!P4)+Summary!$B$56*(Inputs!$B$20+Skills!Q4))/100)*(1+Inputs!$B$15/100)*(5000/(6000+Inputs!$B$7*(1-Inputs!$B$18/100)))*(1+Inputs!$B$23/100)*(1+F601/100)*(1+IF(Inputs!$B$3&gt;=120,F604,0)/100)^5*(1+(IF(Skills!A4="BASIC_ATTACK",(Inputs!$B$16+1),Inputs!$B$17+IF(Inputs!$B$3&gt;=125,F605*5,0)))/100)*(B608*B609*B610*I582)</f>
        <v>57875094722852.875</v>
      </c>
      <c r="L582">
        <f>K582*(MIN(Inputs!$B$21+(F600-Calc!F22),Inputs!$B$22)/100+Inputs!$B$22/100)/2</f>
        <v>156233818204341.31</v>
      </c>
      <c r="M582">
        <f>L582*(1+(Inputs!$B$9+(F599-Calc!F21))/100)</f>
        <v>654775932094394.5</v>
      </c>
      <c r="N582">
        <f>L582*(1-MIN(Inputs!$B$8+(F598-Calc!F20),100)/100)+M582*(MIN(Inputs!$B$8+(F598-Calc!F20),100)/100)</f>
        <v>654775932094394.5</v>
      </c>
      <c r="O582">
        <f>IF(C582,H582*N582*IF(AND(Inputs!$B$4&lt;&gt;"pvp",Inputs!$B$35&gt;0),((Skills!G4*((S582-1)*IF(Skills!H4&gt;0,Skills!I4/Skills!H4,1)+IF(Skills!H4&gt;0,MIN(Skills!I4,MAX(0,Inputs!$B$35-((S582-1)*IF(Inputs!$B$4="pvp",15,MAX(0.1,Skills!E4-IF(Skills!F4=TRUE,Inputs!$B$31,0))))))/Skills!H4,1)))/Inputs!$B$35),G582*V582)*IF(Inputs!$B$4="pvp",1,(1-Summary!$B$56)*(1)+Summary!$B$56*(MIN(Skills!R4,Inputs!$B$37))),0)</f>
        <v>436517288062929.56</v>
      </c>
      <c r="P582">
        <f>IF(B617=0,0,O582/B617)</f>
        <v>5.217532822016218E-2</v>
      </c>
      <c r="S582">
        <f>IF(AND(Inputs!$B$4&lt;&gt;"pvp",Inputs!$B$35&gt;0),(INT(Inputs!$B$35/IF(Inputs!$B$4="pvp",15,MAX(0.1,Skills!E4-IF(Skills!F4=TRUE,Inputs!$B$31,0))))+1),0)</f>
        <v>0</v>
      </c>
      <c r="T582">
        <f>290*T581/1000</f>
        <v>489.52</v>
      </c>
      <c r="V582">
        <f>IFERROR(1/IF(Inputs!$B$4="pvp",15,MAX(0.1,Skills!E4-IF(Skills!F4=TRUE,Inputs!$B$31,0))),0)</f>
        <v>5.5555555555555552E-2</v>
      </c>
    </row>
    <row r="583" spans="1:22" x14ac:dyDescent="0.2">
      <c r="A583" t="str">
        <f>Skills!A5</f>
        <v>ELEMENTAL_DRAIN</v>
      </c>
      <c r="B583" t="str">
        <f>Skills!B5</f>
        <v>Elemental Drain</v>
      </c>
      <c r="C583" t="b">
        <f>TRUE</f>
        <v>1</v>
      </c>
      <c r="D583">
        <f>IF(Skills!C5=1,60+Inputs!$B$24+Inputs!$B$28,IF(Skills!C5=2,90+Inputs!$B$25+Inputs!$B$28,IF(Skills!C5=3,120+Inputs!$B$26+Inputs!$B$28,MAX(0,(Inputs!$B$3-100)*3)+Inputs!$B$27+Inputs!$B$28)))</f>
        <v>164</v>
      </c>
      <c r="E583">
        <f>INDEX(FactorTable!$B$2:$Y$301, MATCH(ROUND(MIN(300,MAX(1,D583)),0), FactorTable!$A$2:$A$301,0), Skills!M5+1)</f>
        <v>1656</v>
      </c>
      <c r="F583">
        <f>IF(Skills!N5=TRUE,(Skills!L5/10)*(E583/1000),Skills!L5/10)+Skills!O5</f>
        <v>19.872</v>
      </c>
      <c r="G583">
        <f>Calc!G5</f>
        <v>5</v>
      </c>
      <c r="H583">
        <f>Calc!H5</f>
        <v>1</v>
      </c>
      <c r="I583">
        <f>IF(Skills!X5&lt;&gt;"",1+(Skills!X5/10)*(R581/1000)/100,1)</f>
        <v>12.28</v>
      </c>
      <c r="J583">
        <f>((Inputs!$B$5*(1+Inputs!$B$6/100))+((Inputs!$B$11*(1+Inputs!$B$12/100))-(Inputs!$B$11*(1+Inputs!$B$12/100)))*(1+Inputs!$B$6/100))*(F583/100)</f>
        <v>49646420.717276163</v>
      </c>
      <c r="K583">
        <f>J583*(1+((Inputs!$B$11*(1+Inputs!$B$12/100))*0.01+Inputs!$B$13*0.0025)/100)*(1+Inputs!$B$14/100)*(1+IF(Inputs!$B$4="pvp",0,(1-Summary!$B$56)*(Inputs!$B$19+Skills!P5)+Summary!$B$56*(Inputs!$B$20+Skills!Q5))/100)*(1+Inputs!$B$15/100)*(5000/(6000+Inputs!$B$7*(1-Inputs!$B$18/100)))*(1+Inputs!$B$23/100)*(1+F601/100)*(1+IF(Inputs!$B$3&gt;=120,F604,0)/100)^5*(1+(IF(Skills!A5="BASIC_ATTACK",(Inputs!$B$16+1),Inputs!$B$17+IF(Inputs!$B$3&gt;=125,F605*5,0)))/100)*(B608*B609*B610*I583)</f>
        <v>4638230744159.3359</v>
      </c>
      <c r="L583">
        <f>K583*(MIN(Inputs!$B$21+(F600-Calc!F22),Inputs!$B$22)/100+Inputs!$B$22/100)/2</f>
        <v>12520903893858.125</v>
      </c>
      <c r="M583">
        <f>L583*(1+(Inputs!$B$9+(F599-Calc!F21))/100)</f>
        <v>52475108219159.414</v>
      </c>
      <c r="N583">
        <f>L583*(1-MIN(Inputs!$B$8+(F598-Calc!F20),100)/100)+M583*(MIN(Inputs!$B$8+(F598-Calc!F20),100)/100)</f>
        <v>52475108219159.414</v>
      </c>
      <c r="O583">
        <f>IF(C583,H583*N583*IF(AND(Inputs!$B$4&lt;&gt;"pvp",Inputs!$B$35&gt;0),((Skills!G5*((S583-1)*IF(Skills!H5&gt;0,Skills!I5/Skills!H5,1)+IF(Skills!H5&gt;0,MIN(Skills!I5,MAX(0,Inputs!$B$35-((S583-1)*IF(Inputs!$B$4="pvp",15,MAX(0.1,Skills!E5-IF(Skills!F5=TRUE,Inputs!$B$31,0))))))/Skills!H5,1)))/Inputs!$B$35),G583*V583)*IF(Inputs!$B$4="pvp",1,(1-Summary!$B$56)*(1)+Summary!$B$56*(MIN(Skills!R5,Inputs!$B$37))),0)</f>
        <v>262375541095797.06</v>
      </c>
      <c r="P583">
        <f>IF(B617=0,0,O583/B617)</f>
        <v>3.1360796806843401E-2</v>
      </c>
      <c r="S583">
        <f>IF(AND(Inputs!$B$4&lt;&gt;"pvp",Inputs!$B$35&gt;0),(INT(Inputs!$B$35/IF(Inputs!$B$4="pvp",15,MAX(0.1,Skills!E5-IF(Skills!F5=TRUE,Inputs!$B$31,0))))+1),0)</f>
        <v>0</v>
      </c>
      <c r="V583">
        <f>IFERROR(1/IF(Inputs!$B$4="pvp",15,MAX(0.1,Skills!E5-IF(Skills!F5=TRUE,Inputs!$B$31,0))),0)</f>
        <v>1</v>
      </c>
    </row>
    <row r="584" spans="1:22" x14ac:dyDescent="0.2">
      <c r="A584" t="str">
        <f>Skills!A6</f>
        <v>MEDITATION</v>
      </c>
      <c r="B584" t="str">
        <f>Skills!B6</f>
        <v>Meditation</v>
      </c>
      <c r="C584" t="b">
        <f>TRUE</f>
        <v>1</v>
      </c>
      <c r="D584">
        <f>IF(Skills!C6=1,60+Inputs!$B$24+Inputs!$B$28,IF(Skills!C6=2,90+Inputs!$B$25+Inputs!$B$28,IF(Skills!C6=3,120+Inputs!$B$26+Inputs!$B$28,MAX(0,(Inputs!$B$3-100)*3)+Inputs!$B$27+Inputs!$B$28)))</f>
        <v>164</v>
      </c>
      <c r="E584">
        <f>INDEX(FactorTable!$B$2:$Y$301, MATCH(ROUND(MIN(300,MAX(1,D584)),0), FactorTable!$A$2:$A$301,0), Skills!M6+1)</f>
        <v>1492</v>
      </c>
      <c r="F584">
        <f>IF(Skills!N6=TRUE,(Skills!L6/10)*(E584/1000),Skills!L6/10)+Skills!O6</f>
        <v>29.84</v>
      </c>
      <c r="G584">
        <f>Calc!G6</f>
        <v>1</v>
      </c>
      <c r="H584">
        <f>Calc!H6</f>
        <v>1</v>
      </c>
      <c r="I584">
        <f>IF(Skills!X6&lt;&gt;"",1+(Skills!X6/10)*(R581/1000)/100,1)</f>
        <v>1</v>
      </c>
      <c r="O584">
        <v>0</v>
      </c>
      <c r="P584">
        <f>IF(B617=0,0,O584/B617)</f>
        <v>0</v>
      </c>
      <c r="S584">
        <f>IF(AND(Inputs!$B$4&lt;&gt;"pvp",Inputs!$B$35&gt;0),(INT(Inputs!$B$35/IF(Inputs!$B$4="pvp",15,MAX(0.1,Skills!E6-IF(Skills!F6=TRUE,Inputs!$B$31,0))))+1),0)</f>
        <v>0</v>
      </c>
      <c r="V584">
        <f>IFERROR(1/IF(Inputs!$B$4="pvp",15,MAX(0.1,Skills!E6-IF(Skills!F6=TRUE,Inputs!$B$31,0))),0)</f>
        <v>3.3333333333333333E-2</v>
      </c>
    </row>
    <row r="585" spans="1:22" x14ac:dyDescent="0.2">
      <c r="A585" t="str">
        <f>Skills!A7</f>
        <v>POISON_MIST_BURST</v>
      </c>
      <c r="B585" t="str">
        <f>Skills!B7</f>
        <v>Poison Mist (burst)</v>
      </c>
      <c r="C585" t="b">
        <f>TRUE</f>
        <v>1</v>
      </c>
      <c r="D585">
        <f>IF(Skills!C7=1,60+Inputs!$B$24+Inputs!$B$28,IF(Skills!C7=2,90+Inputs!$B$25+Inputs!$B$28,IF(Skills!C7=3,120+Inputs!$B$26+Inputs!$B$28,MAX(0,(Inputs!$B$3-100)*3)+Inputs!$B$27+Inputs!$B$28)))</f>
        <v>184</v>
      </c>
      <c r="E585">
        <f>INDEX(FactorTable!$B$2:$Y$301, MATCH(ROUND(MIN(300,MAX(1,D585)),0), FactorTable!$A$2:$A$301,0), Skills!M7+1)</f>
        <v>1920</v>
      </c>
      <c r="F585">
        <f>IF(Skills!N7=TRUE,(Skills!L7/10)*(E585/1000),Skills!L7/10)+Skills!O7</f>
        <v>357.2</v>
      </c>
      <c r="G585">
        <f>Calc!G7</f>
        <v>3</v>
      </c>
      <c r="H585">
        <f>Calc!H7</f>
        <v>1</v>
      </c>
      <c r="I585">
        <f>IF(Skills!X7&lt;&gt;"",1+(Skills!X7/10)*(R581/1000)/100,1)</f>
        <v>1.7519999999999998</v>
      </c>
      <c r="J585">
        <f>((Inputs!$B$5*(1+Inputs!$B$6/100))+((Inputs!$B$11*(1+Inputs!$B$12/100))-(Inputs!$B$11*(1+Inputs!$B$12/100)))*(1+Inputs!$B$6/100))*(F585/100)</f>
        <v>892396411.04121602</v>
      </c>
      <c r="K585">
        <f>J585*(1+((Inputs!$B$11*(1+Inputs!$B$12/100))*0.01+Inputs!$B$13*0.0025)/100)*(1+Inputs!$B$14/100)*(1+IF(Inputs!$B$4="pvp",0,(1-Summary!$B$56)*(Inputs!$B$19+Skills!P7)+Summary!$B$56*(Inputs!$B$20+Skills!Q7))/100)*(1+Inputs!$B$15/100)*(5000/(6000+Inputs!$B$7*(1-Inputs!$B$18/100)))*(1+Inputs!$B$23/100)*(1+F601/100)*(1+IF(Inputs!$B$3&gt;=120,F604,0)/100)^5*(1+(IF(Skills!A7="BASIC_ATTACK",(Inputs!$B$16+1),Inputs!$B$17+IF(Inputs!$B$3&gt;=125,F605*5,0)))/100)*(B608*B609*B610*I585)</f>
        <v>11894822262388.189</v>
      </c>
      <c r="L585">
        <f>K585*(MIN(Inputs!$B$21+(F600-Calc!F22),Inputs!$B$22)/100+Inputs!$B$22/100)/2</f>
        <v>32110072697316.914</v>
      </c>
      <c r="M585">
        <f>L585*(1+(Inputs!$B$9+(F599-Calc!F21))/100)</f>
        <v>134573314674455.2</v>
      </c>
      <c r="N585">
        <f>L585*(1-MIN(Inputs!$B$8+(F598-Calc!F20),100)/100)+M585*(MIN(Inputs!$B$8+(F598-Calc!F20),100)/100)</f>
        <v>134573314674455.2</v>
      </c>
      <c r="O585">
        <f>IF(C585,H585*N585*IF(AND(Inputs!$B$4&lt;&gt;"pvp",Inputs!$B$35&gt;0),((Skills!G7*((S585-1)*IF(Skills!H7&gt;0,Skills!I7/Skills!H7,1)+IF(Skills!H7&gt;0,MIN(Skills!I7,MAX(0,Inputs!$B$35-((S585-1)*IF(Inputs!$B$4="pvp",15,MAX(0.1,Skills!E7-IF(Skills!F7=TRUE,Inputs!$B$31,0))))))/Skills!H7,1)))/Inputs!$B$35),G585*V585)*IF(Inputs!$B$4="pvp",1,(1-Summary!$B$56)*(1)+Summary!$B$56*(MIN(Skills!R7,Inputs!$B$37))),0)</f>
        <v>105461536397940.41</v>
      </c>
      <c r="P585">
        <f>IF(B617=0,0,O585/B617)</f>
        <v>1.2605434942984129E-2</v>
      </c>
      <c r="S585">
        <f>IF(AND(Inputs!$B$4&lt;&gt;"pvp",Inputs!$B$35&gt;0),(INT(Inputs!$B$35/IF(Inputs!$B$4="pvp",15,MAX(0.1,Skills!E7-IF(Skills!F7=TRUE,Inputs!$B$31,0))))+1),0)</f>
        <v>0</v>
      </c>
      <c r="V585">
        <f>IFERROR(1/IF(Inputs!$B$4="pvp",15,MAX(0.1,Skills!E7-IF(Skills!F7=TRUE,Inputs!$B$31,0))),0)</f>
        <v>4.0816326530612242E-2</v>
      </c>
    </row>
    <row r="586" spans="1:22" x14ac:dyDescent="0.2">
      <c r="A586" t="str">
        <f>Skills!A8</f>
        <v>POISON_MIST_DOT</v>
      </c>
      <c r="B586" t="str">
        <f>Skills!B8</f>
        <v>Poison Mist (fog DoT)</v>
      </c>
      <c r="C586" t="b">
        <f>TRUE</f>
        <v>1</v>
      </c>
      <c r="D586">
        <f>IF(Skills!C8=1,60+Inputs!$B$24+Inputs!$B$28,IF(Skills!C8=2,90+Inputs!$B$25+Inputs!$B$28,IF(Skills!C8=3,120+Inputs!$B$26+Inputs!$B$28,MAX(0,(Inputs!$B$3-100)*3)+Inputs!$B$27+Inputs!$B$28)))</f>
        <v>184</v>
      </c>
      <c r="E586">
        <f>INDEX(FactorTable!$B$2:$Y$301, MATCH(ROUND(MIN(300,MAX(1,D586)),0), FactorTable!$A$2:$A$301,0), Skills!M8+1)</f>
        <v>1920</v>
      </c>
      <c r="F586">
        <f>IF(Skills!N8=TRUE,(Skills!L8/10)*(E586/1000),Skills!L8/10)+Skills!O8</f>
        <v>134.4</v>
      </c>
      <c r="G586">
        <f>Calc!G8</f>
        <v>50</v>
      </c>
      <c r="H586">
        <f>Calc!H8</f>
        <v>1</v>
      </c>
      <c r="I586">
        <f>IF(Skills!X8&lt;&gt;"",1+(Skills!X8/10)*(R581/1000)/100,1)</f>
        <v>1.7519999999999998</v>
      </c>
      <c r="J586">
        <f>((Inputs!$B$5*(1+Inputs!$B$6/100))+((Inputs!$B$11*(1+Inputs!$B$12/100))-(Inputs!$B$11*(1+Inputs!$B$12/100)))*(1+Inputs!$B$6/100))*(F586/100)</f>
        <v>335772893.74003202</v>
      </c>
      <c r="K586">
        <f>J586*(1+((Inputs!$B$11*(1+Inputs!$B$12/100))*0.01+Inputs!$B$13*0.0025)/100)*(1+Inputs!$B$14/100)*(1+IF(Inputs!$B$4="pvp",0,(1-Summary!$B$56)*(Inputs!$B$19+Skills!P8)+Summary!$B$56*(Inputs!$B$20+Skills!Q8))/100)*(1+Inputs!$B$15/100)*(5000/(6000+Inputs!$B$7*(1-Inputs!$B$18/100)))*(1+Inputs!$B$23/100)*(1+F601/100)*(1+IF(Inputs!$B$3&gt;=120,F604,0)/100)^5*(1+(IF(Skills!A8="BASIC_ATTACK",(Inputs!$B$16+1),Inputs!$B$17+IF(Inputs!$B$3&gt;=125,F605*5,0)))/100)*(B608*B609*B610*I586)</f>
        <v>4475543426833.6309</v>
      </c>
      <c r="L586">
        <f>K586*(MIN(Inputs!$B$21+(F600-Calc!F22),Inputs!$B$22)/100+Inputs!$B$22/100)/2</f>
        <v>12081729480737.385</v>
      </c>
      <c r="M586">
        <f>L586*(1+(Inputs!$B$9+(F599-Calc!F21))/100)</f>
        <v>50634528253770.391</v>
      </c>
      <c r="N586">
        <f>L586*(1-MIN(Inputs!$B$8+(F598-Calc!F20),100)/100)+M586*(MIN(Inputs!$B$8+(F598-Calc!F20),100)/100)</f>
        <v>50634528253770.391</v>
      </c>
      <c r="O586">
        <f>IF(C586,H586*N586*IF(AND(Inputs!$B$4&lt;&gt;"pvp",Inputs!$B$35&gt;0),((Skills!G8*((S586-1)*IF(Skills!H8&gt;0,Skills!I8/Skills!H8,1)+IF(Skills!H8&gt;0,MIN(Skills!I8,MAX(0,Inputs!$B$35-((S586-1)*IF(Inputs!$B$4="pvp",15,MAX(0.1,Skills!E8-IF(Skills!F8=TRUE,Inputs!$B$31,0))))))/Skills!H8,1)))/Inputs!$B$35),G586*V586)*IF(Inputs!$B$4="pvp",1,(1-Summary!$B$56)*(1)+Summary!$B$56*(MIN(Skills!R8,Inputs!$B$37))),0)</f>
        <v>661348940457409.25</v>
      </c>
      <c r="P586">
        <f>IF(B617=0,0,O586/B617)</f>
        <v>7.9048640179967683E-2</v>
      </c>
      <c r="S586">
        <f>IF(AND(Inputs!$B$4&lt;&gt;"pvp",Inputs!$B$35&gt;0),(INT(Inputs!$B$35/IF(Inputs!$B$4="pvp",15,MAX(0.1,Skills!E8-IF(Skills!F8=TRUE,Inputs!$B$31,0))))+1),0)</f>
        <v>0</v>
      </c>
      <c r="V586">
        <f>IFERROR(1/IF(Inputs!$B$4="pvp",15,MAX(0.1,Skills!E8-IF(Skills!F8=TRUE,Inputs!$B$31,0))),0)</f>
        <v>4.0816326530612242E-2</v>
      </c>
    </row>
    <row r="587" spans="1:22" x14ac:dyDescent="0.2">
      <c r="A587" t="str">
        <f>Skills!A9</f>
        <v>MIST_ERUPTION</v>
      </c>
      <c r="B587" t="str">
        <f>Skills!B9</f>
        <v>Mist Eruption</v>
      </c>
      <c r="C587" t="b">
        <f>Inputs!$B$3&gt;=103</f>
        <v>1</v>
      </c>
      <c r="D587">
        <f>IF(Skills!C9=1,60+Inputs!$B$24+Inputs!$B$28,IF(Skills!C9=2,90+Inputs!$B$25+Inputs!$B$28,IF(Skills!C9=3,120+Inputs!$B$26+Inputs!$B$28,MAX(0,(Inputs!$B$3-100)*3)+Inputs!$B$27+Inputs!$B$28)))</f>
        <v>172</v>
      </c>
      <c r="E587">
        <f>INDEX(FactorTable!$B$2:$Y$301, MATCH(ROUND(MIN(300,MAX(1,D587)),0), FactorTable!$A$2:$A$301,0), Skills!M9+1)</f>
        <v>1860</v>
      </c>
      <c r="F587">
        <f>IF(Skills!N9=TRUE,(Skills!L9/10)*(E587/1000),Skills!L9/10)+Skills!O9</f>
        <v>5580</v>
      </c>
      <c r="G587">
        <f>Calc!G9</f>
        <v>2.8</v>
      </c>
      <c r="H587">
        <f>Calc!H9</f>
        <v>1</v>
      </c>
      <c r="I587">
        <f>IF(Skills!X9&lt;&gt;"",1+(Skills!X9/10)*(R581/1000)/100,1)</f>
        <v>1</v>
      </c>
      <c r="J587">
        <f>((Inputs!$B$5*(1+Inputs!$B$6/100))+((Inputs!$B$11*(1+Inputs!$B$12/100))-(Inputs!$B$11*(1+Inputs!$B$12/100)))*(1+Inputs!$B$6/100))*(F587/100)</f>
        <v>13940571034.742399</v>
      </c>
      <c r="K587">
        <f>J587*(1+((Inputs!$B$11*(1+Inputs!$B$12/100))*0.01+Inputs!$B$13*0.0025)/100)*(1+Inputs!$B$14/100)*(1+IF(Inputs!$B$4="pvp",0,(1-Summary!$B$56)*(Inputs!$B$19+Skills!P9)+Summary!$B$56*(Inputs!$B$20+Skills!Q9))/100)*(1+Inputs!$B$15/100)*(5000/(6000+Inputs!$B$7*(1-Inputs!$B$18/100)))*(1+Inputs!$B$23/100)*(1+F601/100)*(1+IF(Inputs!$B$3&gt;=120,F604,0)/100)^5*(1+(IF(Skills!A9="BASIC_ATTACK",(Inputs!$B$16+1),Inputs!$B$17+IF(Inputs!$B$3&gt;=125,F605*5,0)))/100)*(B608*B609*B610*I587)</f>
        <v>106058774333294.53</v>
      </c>
      <c r="L587">
        <f>K587*(MIN(Inputs!$B$21+(F600-Calc!F22),Inputs!$B$22)/100+Inputs!$B$22/100)/2</f>
        <v>286305661312728.56</v>
      </c>
      <c r="M587">
        <f>L587*(1+(Inputs!$B$9+(F599-Calc!F21))/100)</f>
        <v>1199907026561645.5</v>
      </c>
      <c r="N587">
        <f>L587*(1-MIN(Inputs!$B$8+(F598-Calc!F20),100)/100)+M587*(MIN(Inputs!$B$8+(F598-Calc!F20),100)/100)</f>
        <v>1199907026561645.5</v>
      </c>
      <c r="O587">
        <f>IF(C587,H587*N587*IF(AND(Inputs!$B$4&lt;&gt;"pvp",Inputs!$B$35&gt;0),((Skills!G9*((S587-1)*IF(Skills!H9&gt;0,Skills!I9/Skills!H9,1)+IF(Skills!H9&gt;0,MIN(Skills!I9,MAX(0,Inputs!$B$35-((S587-1)*IF(Inputs!$B$4="pvp",15,MAX(0.1,Skills!E9-IF(Skills!F7=TRUE,Inputs!$B$31,0))))))/Skills!H9,1)))/Inputs!$B$35),G587*V587)*IF(Inputs!$B$4="pvp",1,(1-Summary!$B$56)*(1)+Summary!$B$56*(MIN(Skills!R9,Inputs!$B$37))),0)</f>
        <v>877646282285089.12</v>
      </c>
      <c r="P587">
        <f>IF(B617=0,0,O587/B617)</f>
        <v>0.10490187695115573</v>
      </c>
      <c r="S587">
        <f>IF(AND(Inputs!$B$4&lt;&gt;"pvp",Inputs!$B$35&gt;0),(INT(Inputs!$B$35/IF(Inputs!$B$4="pvp",15,MAX(0.1,Skills!E9-IF(Skills!F7=TRUE,Inputs!$B$31,0))))+1),0)</f>
        <v>0</v>
      </c>
      <c r="V587">
        <f>IFERROR(1/IF(Inputs!$B$4="pvp",15,MAX(0.1,Skills!E9-IF(Skills!F7=TRUE,Inputs!$B$31,0))),0)</f>
        <v>4.0816326530612242E-2</v>
      </c>
    </row>
    <row r="588" spans="1:22" x14ac:dyDescent="0.2">
      <c r="A588" t="str">
        <f>Skills!A10</f>
        <v>CREEPING_TOXIN</v>
      </c>
      <c r="B588" t="str">
        <f>Skills!B10</f>
        <v>Creeping Toxin</v>
      </c>
      <c r="C588" t="b">
        <f>TRUE</f>
        <v>1</v>
      </c>
      <c r="D588">
        <f>IF(Skills!C10=1,60+Inputs!$B$24+Inputs!$B$28,IF(Skills!C10=2,90+Inputs!$B$25+Inputs!$B$28,IF(Skills!C10=3,120+Inputs!$B$26+Inputs!$B$28,MAX(0,(Inputs!$B$3-100)*3)+Inputs!$B$27+Inputs!$B$28)))</f>
        <v>184</v>
      </c>
      <c r="E588">
        <f>INDEX(FactorTable!$B$2:$Y$301, MATCH(ROUND(MIN(300,MAX(1,D588)),0), FactorTable!$A$2:$A$301,0), Skills!M10+1)</f>
        <v>1920</v>
      </c>
      <c r="F588">
        <f>IF(Skills!N10=TRUE,(Skills!L10/10)*(E588/1000),Skills!L10/10)+Skills!O10</f>
        <v>280.39999999999998</v>
      </c>
      <c r="G588">
        <f>Calc!G10</f>
        <v>15</v>
      </c>
      <c r="H588">
        <f>Calc!H10</f>
        <v>1</v>
      </c>
      <c r="I588">
        <f>IF(Skills!X10&lt;&gt;"",1+(Skills!X10/10)*(R581/1000)/100,1)</f>
        <v>1.7519999999999998</v>
      </c>
      <c r="J588">
        <f>((Inputs!$B$5*(1+Inputs!$B$6/100))+((Inputs!$B$11*(1+Inputs!$B$12/100))-(Inputs!$B$11*(1+Inputs!$B$12/100)))*(1+Inputs!$B$6/100))*(F588/100)</f>
        <v>700526186.04691195</v>
      </c>
      <c r="K588">
        <f>J588*(1+((Inputs!$B$11*(1+Inputs!$B$12/100))*0.01+Inputs!$B$13*0.0025)/100)*(1+Inputs!$B$14/100)*(1+IF(Inputs!$B$4="pvp",0,(1-Summary!$B$56)*(Inputs!$B$19+Skills!P10)+Summary!$B$56*(Inputs!$B$20+Skills!Q10))/100)*(1+Inputs!$B$15/100)*(5000/(6000+Inputs!$B$7*(1-Inputs!$B$18/100)))*(1+Inputs!$B$23/100)*(1+F601/100)*(1+IF(Inputs!$B$3&gt;=120,F604,0)/100)^5*(1+(IF(Skills!A10="BASIC_ATTACK",(Inputs!$B$16+1),Inputs!$B$17+IF(Inputs!$B$3&gt;=125,F605*5,0)))/100)*(B608*B609*B610*I588)</f>
        <v>11018767832821.695</v>
      </c>
      <c r="L588">
        <f>K588*(MIN(Inputs!$B$21+(F600-Calc!F22),Inputs!$B$22)/100+Inputs!$B$22/100)/2</f>
        <v>29745163764702.16</v>
      </c>
      <c r="M588">
        <f>L588*(1+(Inputs!$B$9+(F599-Calc!F21))/100)</f>
        <v>124661981337866.78</v>
      </c>
      <c r="N588">
        <f>L588*(1-MIN(Inputs!$B$8+(F598-Calc!F20),100)/100)+M588*(MIN(Inputs!$B$8+(F598-Calc!F20),100)/100)</f>
        <v>124661981337866.78</v>
      </c>
      <c r="O588">
        <f>IF(C588,H588*N588*IF(AND(Inputs!$B$4&lt;&gt;"pvp",Inputs!$B$35&gt;0),((Skills!G10*((S588-1)*IF(Skills!H10&gt;0,Skills!I10/Skills!H10,1)+IF(Skills!H10&gt;0,MIN(Skills!I10,MAX(0,Inputs!$B$35-((S588-1)*IF(Inputs!$B$4="pvp",15,MAX(0.1,Skills!E10-IF(Skills!F10=TRUE,Inputs!$B$31,0))))))/Skills!H10,1)))/Inputs!$B$35),G588*V588)*IF(Inputs!$B$4="pvp",1,(1-Summary!$B$56)*(1)+Summary!$B$56*(MIN(Skills!R10,Inputs!$B$37))),0)</f>
        <v>69256656298814.883</v>
      </c>
      <c r="P588">
        <f>IF(B617=0,0,O588/B617)</f>
        <v>8.2779969376624053E-3</v>
      </c>
      <c r="S588">
        <f>IF(AND(Inputs!$B$4&lt;&gt;"pvp",Inputs!$B$35&gt;0),(INT(Inputs!$B$35/IF(Inputs!$B$4="pvp",15,MAX(0.1,Skills!E10-IF(Skills!F10=TRUE,Inputs!$B$31,0))))+1),0)</f>
        <v>0</v>
      </c>
      <c r="V588">
        <f>IFERROR(1/IF(Inputs!$B$4="pvp",15,MAX(0.1,Skills!E10-IF(Skills!F10=TRUE,Inputs!$B$31,0))),0)</f>
        <v>3.7037037037037035E-2</v>
      </c>
    </row>
    <row r="589" spans="1:22" x14ac:dyDescent="0.2">
      <c r="A589" t="str">
        <f>Skills!A11</f>
        <v>BURNING_MAGIC</v>
      </c>
      <c r="B589" t="str">
        <f>Skills!B11</f>
        <v>Burning Magic</v>
      </c>
      <c r="C589" t="b">
        <f>TRUE</f>
        <v>1</v>
      </c>
      <c r="D589">
        <f>IF(Skills!C11=1,60+Inputs!$B$24+Inputs!$B$28,IF(Skills!C11=2,90+Inputs!$B$25+Inputs!$B$28,IF(Skills!C11=3,120+Inputs!$B$26+Inputs!$B$28,MAX(0,(Inputs!$B$3-100)*3)+Inputs!$B$27+Inputs!$B$28)))</f>
        <v>184</v>
      </c>
      <c r="E589">
        <f>INDEX(FactorTable!$B$2:$Y$301, MATCH(ROUND(MIN(300,MAX(1,D589)),0), FactorTable!$A$2:$A$301,0), Skills!M11+1)</f>
        <v>0</v>
      </c>
      <c r="F589">
        <f>IF(Skills!N11=TRUE,(Skills!L11/10)*(E589/1000),Skills!L11/10)+Skills!O11</f>
        <v>5</v>
      </c>
      <c r="G589">
        <f>Calc!G11</f>
        <v>1</v>
      </c>
      <c r="H589">
        <f>Calc!H11</f>
        <v>1</v>
      </c>
      <c r="I589">
        <f>IF(Skills!X11&lt;&gt;"",1+(Skills!X11/10)*(R581/1000)/100,1)</f>
        <v>1</v>
      </c>
      <c r="O589">
        <v>0</v>
      </c>
      <c r="P589">
        <f>IF(B617=0,0,O589/B617)</f>
        <v>0</v>
      </c>
      <c r="S589">
        <v>0</v>
      </c>
      <c r="V589">
        <f>IFERROR(1/IF(Inputs!$B$4="pvp",15,MAX(0.1,Skills!E11-IF(Skills!F11=TRUE,Inputs!$B$31,0))),0)</f>
        <v>10</v>
      </c>
    </row>
    <row r="590" spans="1:22" x14ac:dyDescent="0.2">
      <c r="A590" t="str">
        <f>Skills!A12</f>
        <v>ELEMENTAL_DECREASE</v>
      </c>
      <c r="B590" t="str">
        <f>Skills!B12</f>
        <v>Elemental Decrease</v>
      </c>
      <c r="C590" t="b">
        <f>TRUE</f>
        <v>1</v>
      </c>
      <c r="D590">
        <f>IF(Skills!C12=1,60+Inputs!$B$24+Inputs!$B$28,IF(Skills!C12=2,90+Inputs!$B$25+Inputs!$B$28,IF(Skills!C12=3,120+Inputs!$B$26+Inputs!$B$28,MAX(0,(Inputs!$B$3-100)*3)+Inputs!$B$27+Inputs!$B$28)))</f>
        <v>184</v>
      </c>
      <c r="E590">
        <f>INDEX(FactorTable!$B$2:$Y$301, MATCH(ROUND(MIN(300,MAX(1,D590)),0), FactorTable!$A$2:$A$301,0), Skills!M12+1)</f>
        <v>1552</v>
      </c>
      <c r="F590">
        <f>IF(Skills!N12=TRUE,(Skills!L12/10)*(E590/1000),Skills!L12/10)+Skills!O12</f>
        <v>18.624000000000002</v>
      </c>
      <c r="G590">
        <f>Calc!G12</f>
        <v>1</v>
      </c>
      <c r="H590">
        <f>Calc!H12</f>
        <v>0.5</v>
      </c>
      <c r="I590">
        <f>IF(Skills!X12&lt;&gt;"",1+(Skills!X12/10)*(R581/1000)/100,1)</f>
        <v>1</v>
      </c>
      <c r="O590">
        <v>0</v>
      </c>
      <c r="P590">
        <f>IF(B617=0,0,O590/B617)</f>
        <v>0</v>
      </c>
      <c r="S590">
        <v>0</v>
      </c>
      <c r="V590">
        <f>IFERROR(1/IF(Inputs!$B$4="pvp",15,MAX(0.1,Skills!E12-IF(Skills!F12=TRUE,Inputs!$B$31,0))),0)</f>
        <v>10</v>
      </c>
    </row>
    <row r="591" spans="1:22" x14ac:dyDescent="0.2">
      <c r="A591" t="str">
        <f>Skills!A13</f>
        <v>METEOR_SHOWER_BURST</v>
      </c>
      <c r="B591" t="str">
        <f>Skills!B13</f>
        <v>Meteor Shower (burst)</v>
      </c>
      <c r="C591" t="b">
        <f>Inputs!$B$3&gt;=105</f>
        <v>1</v>
      </c>
      <c r="D591">
        <f>IF(Skills!C13=1,60+Inputs!$B$24+Inputs!$B$28,IF(Skills!C13=2,90+Inputs!$B$25+Inputs!$B$28,IF(Skills!C13=3,120+Inputs!$B$26+Inputs!$B$28,MAX(0,(Inputs!$B$3-100)*3)+Inputs!$B$27+Inputs!$B$28)))</f>
        <v>172</v>
      </c>
      <c r="E591">
        <f>INDEX(FactorTable!$B$2:$Y$301, MATCH(ROUND(MIN(300,MAX(1,D591)),0), FactorTable!$A$2:$A$301,0), Skills!M13+1)</f>
        <v>1860</v>
      </c>
      <c r="F591">
        <f>IF(Skills!N13=TRUE,(Skills!L13/10)*(E591/1000),Skills!L13/10)+Skills!O13</f>
        <v>1116</v>
      </c>
      <c r="G591">
        <f>Calc!G13</f>
        <v>9</v>
      </c>
      <c r="H591">
        <f>Calc!H13</f>
        <v>1</v>
      </c>
      <c r="I591">
        <f>IF(Skills!X13&lt;&gt;"",1+(Skills!X13/10)*(R581/1000)/100,1)</f>
        <v>1</v>
      </c>
      <c r="J591">
        <f>((Inputs!$B$5*(1+Inputs!$B$6/100))+((Inputs!$B$11*(1+Inputs!$B$12/100))-(Inputs!$B$11*(1+Inputs!$B$12/100)))*(1+Inputs!$B$6/100))*(F591/100)</f>
        <v>2788114206.9484801</v>
      </c>
      <c r="K591">
        <f>J591*(1+((Inputs!$B$11*(1+Inputs!$B$12/100))*0.01+Inputs!$B$13*0.0025)/100)*(1+Inputs!$B$14/100)*(1+IF(Inputs!$B$4="pvp",0,(1-Summary!$B$56)*(Inputs!$B$19+Skills!P13)+Summary!$B$56*(Inputs!$B$20+Skills!Q13))/100)*(1+Inputs!$B$15/100)*(5000/(6000+Inputs!$B$7*(1-Inputs!$B$18/100)))*(1+Inputs!$B$23/100)*(1+F601/100)*(1+IF(Inputs!$B$3&gt;=120,F604,0)/100)^5*(1+(IF(Skills!A13="BASIC_ATTACK",(Inputs!$B$16+1),Inputs!$B$17+IF(Inputs!$B$3&gt;=125,F605*5,0)))/100)*(B608*B609*B610*I591)</f>
        <v>21211754866658.902</v>
      </c>
      <c r="L591">
        <f>K591*(MIN(Inputs!$B$21+(F600-Calc!F22),Inputs!$B$22)/100+Inputs!$B$22/100)/2</f>
        <v>57261132262545.695</v>
      </c>
      <c r="M591">
        <f>L591*(1+(Inputs!$B$9+(F599-Calc!F21))/100)</f>
        <v>239981405312329.06</v>
      </c>
      <c r="N591">
        <f>L591*(1-MIN(Inputs!$B$8+(F598-Calc!F20),100)/100)+M591*(MIN(Inputs!$B$8+(F598-Calc!F20),100)/100)</f>
        <v>239981405312329.06</v>
      </c>
      <c r="O591">
        <f>IF(C591,H591*N591*IF(AND(Inputs!$B$4&lt;&gt;"pvp",Inputs!$B$35&gt;0),((Skills!G13*((S591-1)*IF(Skills!H13&gt;0,Skills!I13/Skills!H13,1)+IF(Skills!H13&gt;0,MIN(Skills!I13,MAX(0,Inputs!$B$35-((S591-1)*IF(Inputs!$B$4="pvp",15,MAX(0.1,Skills!E13-IF(Skills!F13=TRUE,Inputs!$B$31,0))))))/Skills!H13,1)))/Inputs!$B$35),G591*V591)*IF(Inputs!$B$4="pvp",1,(1-Summary!$B$56)*(1)+Summary!$B$56*(MIN(Skills!R13,Inputs!$B$37))),0)</f>
        <v>301067581210012.88</v>
      </c>
      <c r="P591">
        <f>IF(B617=0,0,O591/B617)</f>
        <v>3.5985516027988794E-2</v>
      </c>
      <c r="S591">
        <f>IF(AND(Inputs!$B$4&lt;&gt;"pvp",Inputs!$B$35&gt;0),(INT(Inputs!$B$35/IF(Inputs!$B$4="pvp",15,MAX(0.1,Skills!E13-IF(Skills!F13=TRUE,Inputs!$B$31,0))))+1),0)</f>
        <v>0</v>
      </c>
      <c r="V591">
        <f>IFERROR(1/IF(Inputs!$B$4="pvp",15,MAX(0.1,Skills!E13-IF(Skills!F13=TRUE,Inputs!$B$31,0))),0)</f>
        <v>3.0303030303030304E-2</v>
      </c>
    </row>
    <row r="592" spans="1:22" x14ac:dyDescent="0.2">
      <c r="A592" t="str">
        <f>Skills!A14</f>
        <v>METEOR_PROC</v>
      </c>
      <c r="B592" t="str">
        <f>Skills!B14</f>
        <v>Meteor Proc (30% on-hit, 1s ICD)</v>
      </c>
      <c r="C592" t="b">
        <f>Inputs!$B$3&gt;=113</f>
        <v>1</v>
      </c>
      <c r="D592">
        <f>IF(Skills!C14=1,60+Inputs!$B$24+Inputs!$B$28,IF(Skills!C14=2,90+Inputs!$B$25+Inputs!$B$28,IF(Skills!C14=3,120+Inputs!$B$26+Inputs!$B$28,MAX(0,(Inputs!$B$3-100)*3)+Inputs!$B$27+Inputs!$B$28)))</f>
        <v>172</v>
      </c>
      <c r="E592">
        <f>INDEX(FactorTable!$B$2:$Y$301, MATCH(ROUND(MIN(300,MAX(1,D592)),0), FactorTable!$A$2:$A$301,0), Skills!M14+1)</f>
        <v>1688</v>
      </c>
      <c r="F592">
        <f>IF(Skills!N14=TRUE,(Skills!L14/10)*(E592/1000),Skills!L14/10)+Skills!O14</f>
        <v>1603.6</v>
      </c>
      <c r="G592">
        <f>Calc!G14</f>
        <v>0</v>
      </c>
      <c r="H592">
        <f>Calc!H14</f>
        <v>0.30000000000000004</v>
      </c>
      <c r="I592">
        <f>IF(Skills!X14&lt;&gt;"",1+(Skills!X14/10)*(R581/1000)/100,1)</f>
        <v>1</v>
      </c>
      <c r="J592">
        <f>((Inputs!$B$5*(1+Inputs!$B$6/100))+((Inputs!$B$11*(1+Inputs!$B$12/100))-(Inputs!$B$11*(1+Inputs!$B$12/100)))*(1+Inputs!$B$6/100))*(F592/100)</f>
        <v>4006290270.8446074</v>
      </c>
      <c r="K592">
        <f>J592*(1+((Inputs!$B$11*(1+Inputs!$B$12/100))*0.01+Inputs!$B$13*0.0025)/100)*(1+Inputs!$B$14/100)*(1+IF(Inputs!$B$4="pvp",0,(1-Summary!$B$56)*(Inputs!$B$19+Skills!P14)+Summary!$B$56*(Inputs!$B$20+Skills!Q14))/100)*(1+Inputs!$B$15/100)*(5000/(6000+Inputs!$B$7*(1-Inputs!$B$18/100)))*(1+Inputs!$B$23/100)*(1+F601/100)*(1+IF(Inputs!$B$3&gt;=120,F604,0)/100)^5*(1+(IF(Skills!A14="BASIC_ATTACK",(Inputs!$B$16+1),Inputs!$B$17+IF(Inputs!$B$3&gt;=125,F605*5,0)))/100)*(B608*B609*B610*I592)</f>
        <v>30479543104098.766</v>
      </c>
      <c r="L592">
        <f>K592*(MIN(Inputs!$B$21+(F600-Calc!F22),Inputs!$B$22)/100+Inputs!$B$22/100)/2</f>
        <v>82279526609514.609</v>
      </c>
      <c r="M592">
        <f>L592*(1+(Inputs!$B$9+(F599-Calc!F21))/100)</f>
        <v>344833496020475.81</v>
      </c>
      <c r="N592">
        <f>L592*(1-MIN(Inputs!$B$8+(F598-Calc!F20),100)/100)+M592*(MIN(Inputs!$B$8+(F598-Calc!F20),100)/100)</f>
        <v>344833496020475.81</v>
      </c>
      <c r="O592">
        <f>IF(C592,(H592*B615)/(1+Skills!H14*H592*B615)*N592*IF(Inputs!$B$4="pvp",1,(1-Summary!$B$56)*(1)+Summary!$B$56*(MIN(Skills!R14,Inputs!$B$37))),0)</f>
        <v>108471730590284.94</v>
      </c>
      <c r="P592">
        <f>IF(B617=0,0,O592/B617)</f>
        <v>1.2965232537001437E-2</v>
      </c>
      <c r="S592">
        <v>0</v>
      </c>
      <c r="V592">
        <f>IFERROR(1/IF(Inputs!$B$4="pvp",15,MAX(0.1,Skills!E14-IF(Skills!F14=TRUE,Inputs!$B$31,0))),0)</f>
        <v>10</v>
      </c>
    </row>
    <row r="593" spans="1:22" x14ac:dyDescent="0.2">
      <c r="A593" t="str">
        <f>Skills!A15</f>
        <v>FLAME_HAZE_BURST</v>
      </c>
      <c r="B593" t="str">
        <f>Skills!B15</f>
        <v>Flame Haze (burst)</v>
      </c>
      <c r="C593" t="b">
        <f>Inputs!$B$3&gt;=107</f>
        <v>1</v>
      </c>
      <c r="D593">
        <f>IF(Skills!C15=1,60+Inputs!$B$24+Inputs!$B$28,IF(Skills!C15=2,90+Inputs!$B$25+Inputs!$B$28,IF(Skills!C15=3,120+Inputs!$B$26+Inputs!$B$28,MAX(0,(Inputs!$B$3-100)*3)+Inputs!$B$27+Inputs!$B$28)))</f>
        <v>172</v>
      </c>
      <c r="E593">
        <f>INDEX(FactorTable!$B$2:$Y$301, MATCH(ROUND(MIN(300,MAX(1,D593)),0), FactorTable!$A$2:$A$301,0), Skills!M15+1)</f>
        <v>1860</v>
      </c>
      <c r="F593">
        <f>IF(Skills!N15=TRUE,(Skills!L15/10)*(E593/1000),Skills!L15/10)+Skills!O15</f>
        <v>2232</v>
      </c>
      <c r="G593">
        <f>Calc!G15</f>
        <v>3</v>
      </c>
      <c r="H593">
        <f>Calc!H15</f>
        <v>1</v>
      </c>
      <c r="I593">
        <f>IF(Skills!X15&lt;&gt;"",1+(Skills!X15/10)*(R581/1000)/100,1)</f>
        <v>1</v>
      </c>
      <c r="J593">
        <f>((Inputs!$B$5*(1+Inputs!$B$6/100))+((Inputs!$B$11*(1+Inputs!$B$12/100))-(Inputs!$B$11*(1+Inputs!$B$12/100)))*(1+Inputs!$B$6/100))*(F593/100)</f>
        <v>5576228413.8969603</v>
      </c>
      <c r="K593">
        <f>J593*(1+((Inputs!$B$11*(1+Inputs!$B$12/100))*0.01+Inputs!$B$13*0.0025)/100)*(1+Inputs!$B$14/100)*(1+IF(Inputs!$B$4="pvp",0,(1-Summary!$B$56)*(Inputs!$B$19+Skills!P15)+Summary!$B$56*(Inputs!$B$20+Skills!Q15))/100)*(1+Inputs!$B$15/100)*(5000/(6000+Inputs!$B$7*(1-Inputs!$B$18/100)))*(1+Inputs!$B$23/100)*(1+F601/100)*(1+IF(Inputs!$B$3&gt;=120,F604,0)/100)^5*(1+(IF(Skills!A15="BASIC_ATTACK",(Inputs!$B$16+1),Inputs!$B$17+IF(Inputs!$B$3&gt;=125,F605*5,0)))/100)*(B608*B609*B610*I593)</f>
        <v>42423509733317.805</v>
      </c>
      <c r="L593">
        <f>K593*(MIN(Inputs!$B$21+(F600-Calc!F22),Inputs!$B$22)/100+Inputs!$B$22/100)/2</f>
        <v>114522264525091.39</v>
      </c>
      <c r="M593">
        <f>L593*(1+(Inputs!$B$9+(F599-Calc!F21))/100)</f>
        <v>479962810624658.12</v>
      </c>
      <c r="N593">
        <f>L593*(1-MIN(Inputs!$B$8+(F598-Calc!F20),100)/100)+M593*(MIN(Inputs!$B$8+(F598-Calc!F20),100)/100)</f>
        <v>479962810624658.12</v>
      </c>
      <c r="O593">
        <f>IF(C593,H593*N593*IF(AND(Inputs!$B$4&lt;&gt;"pvp",Inputs!$B$35&gt;0),((Skills!G15*((S593-1)*IF(Skills!H15&gt;0,Skills!I15/Skills!H15,1)+IF(Skills!H15&gt;0,MIN(Skills!I15,MAX(0,Inputs!$B$35-((S593-1)*IF(Inputs!$B$4="pvp",15,MAX(0.1,Skills!E15-IF(Skills!F15=TRUE,Inputs!$B$31,0))))))/Skills!H15,1)))/Inputs!$B$35),G593*V593)*IF(Inputs!$B$4="pvp",1,(1-Summary!$B$56)*(1)+Summary!$B$56*(MIN(Skills!R15,Inputs!$B$37))),0)</f>
        <v>368611438559737.5</v>
      </c>
      <c r="P593">
        <f>IF(B617=0,0,O593/B617)</f>
        <v>4.4058788319485412E-2</v>
      </c>
      <c r="S593">
        <f>IF(AND(Inputs!$B$4&lt;&gt;"pvp",Inputs!$B$35&gt;0),(INT(Inputs!$B$35/IF(Inputs!$B$4="pvp",15,MAX(0.1,Skills!E15-IF(Skills!F15=TRUE,Inputs!$B$31,0))))+1),0)</f>
        <v>0</v>
      </c>
      <c r="V593">
        <f>IFERROR(1/IF(Inputs!$B$4="pvp",15,MAX(0.1,Skills!E15-IF(Skills!F15=TRUE,Inputs!$B$31,0))),0)</f>
        <v>0.04</v>
      </c>
    </row>
    <row r="594" spans="1:22" x14ac:dyDescent="0.2">
      <c r="A594" t="str">
        <f>Skills!A16</f>
        <v>FLAME_HAZE_DOT</v>
      </c>
      <c r="B594" t="str">
        <f>Skills!B16</f>
        <v>Flame Haze (burn DoT)</v>
      </c>
      <c r="C594" t="b">
        <f>Inputs!$B$3&gt;=107</f>
        <v>1</v>
      </c>
      <c r="D594">
        <f>IF(Skills!C16=1,60+Inputs!$B$24+Inputs!$B$28,IF(Skills!C16=2,90+Inputs!$B$25+Inputs!$B$28,IF(Skills!C16=3,120+Inputs!$B$26+Inputs!$B$28,MAX(0,(Inputs!$B$3-100)*3)+Inputs!$B$27+Inputs!$B$28)))</f>
        <v>172</v>
      </c>
      <c r="E594">
        <f>INDEX(FactorTable!$B$2:$Y$301, MATCH(ROUND(MIN(300,MAX(1,D594)),0), FactorTable!$A$2:$A$301,0), Skills!M16+1)</f>
        <v>1860</v>
      </c>
      <c r="F594">
        <f>IF(Skills!N16=TRUE,(Skills!L16/10)*(E594/1000),Skills!L16/10)+Skills!O16</f>
        <v>279</v>
      </c>
      <c r="G594">
        <f>Calc!G16</f>
        <v>28</v>
      </c>
      <c r="H594">
        <f>Calc!H16</f>
        <v>1</v>
      </c>
      <c r="I594">
        <f>IF(Skills!X16&lt;&gt;"",1+(Skills!X16/10)*(R581/1000)/100,1)</f>
        <v>1</v>
      </c>
      <c r="J594">
        <f>((Inputs!$B$5*(1+Inputs!$B$6/100))+((Inputs!$B$11*(1+Inputs!$B$12/100))-(Inputs!$B$11*(1+Inputs!$B$12/100)))*(1+Inputs!$B$6/100))*(F594/100)</f>
        <v>697028551.73712003</v>
      </c>
      <c r="K594">
        <f>J594*(1+((Inputs!$B$11*(1+Inputs!$B$12/100))*0.01+Inputs!$B$13*0.0025)/100)*(1+Inputs!$B$14/100)*(1+IF(Inputs!$B$4="pvp",0,(1-Summary!$B$56)*(Inputs!$B$19+Skills!P16)+Summary!$B$56*(Inputs!$B$20+Skills!Q16))/100)*(1+Inputs!$B$15/100)*(5000/(6000+Inputs!$B$7*(1-Inputs!$B$18/100)))*(1+Inputs!$B$23/100)*(1+F601/100)*(1+IF(Inputs!$B$3&gt;=120,F604,0)/100)^5*(1+(IF(Skills!A16="BASIC_ATTACK",(Inputs!$B$16+1),Inputs!$B$17+IF(Inputs!$B$3&gt;=125,F605*5,0)))/100)*(B608*B609*B610*I594)</f>
        <v>5302938716664.7256</v>
      </c>
      <c r="L594">
        <f>K594*(MIN(Inputs!$B$21+(F600-Calc!F22),Inputs!$B$22)/100+Inputs!$B$22/100)/2</f>
        <v>14315283065636.424</v>
      </c>
      <c r="M594">
        <f>L594*(1+(Inputs!$B$9+(F599-Calc!F21))/100)</f>
        <v>59995351328082.266</v>
      </c>
      <c r="N594">
        <f>L594*(1-MIN(Inputs!$B$8+(F598-Calc!F20),100)/100)+M594*(MIN(Inputs!$B$8+(F598-Calc!F20),100)/100)</f>
        <v>59995351328082.266</v>
      </c>
      <c r="O594">
        <f>IF(C594,H594*N594*IF(AND(Inputs!$B$4&lt;&gt;"pvp",Inputs!$B$35&gt;0),((Skills!G16*((S594-1)*IF(Skills!H16&gt;0,Skills!I16/Skills!H16,1)+IF(Skills!H16&gt;0,MIN(Skills!I16,MAX(0,Inputs!$B$35-((S594-1)*IF(Inputs!$B$4="pvp",15,MAX(0.1,Skills!E16-IF(Skills!F16=TRUE,Inputs!$B$31,0))))))/Skills!H16,1)))/Inputs!$B$35),G594*V594)*(1+IF(Inputs!$B$3&gt;=126,0.05*(B614+V591+(H592*B615)/(1+Skills!H14*H592*B615)+V602),0)*Skills!E15)*IF(Inputs!$B$4="pvp",1,(1-Summary!$B$56)*(1)+Summary!$B$56*(MIN(Skills!R16,Inputs!$B$37))),0)</f>
        <v>430046678319693.75</v>
      </c>
      <c r="P594">
        <f>IF(B617=0,0,O594/B617)</f>
        <v>5.1401919706066314E-2</v>
      </c>
      <c r="S594">
        <f>IF(AND(Inputs!$B$4&lt;&gt;"pvp",Inputs!$B$35&gt;0),(INT(Inputs!$B$35/IF(Inputs!$B$4="pvp",15,MAX(0.1,Skills!E16-IF(Skills!F16=TRUE,Inputs!$B$31,0))))+1),0)</f>
        <v>0</v>
      </c>
      <c r="V594">
        <f>IFERROR(1/IF(Inputs!$B$4="pvp",15,MAX(0.1,Skills!E16-IF(Skills!F16=TRUE,Inputs!$B$31,0))),0)</f>
        <v>0.04</v>
      </c>
    </row>
    <row r="595" spans="1:22" x14ac:dyDescent="0.2">
      <c r="A595" t="str">
        <f>Skills!A17</f>
        <v>MAGIC_GUARD</v>
      </c>
      <c r="B595" t="str">
        <f>Skills!B17</f>
        <v>Magic Guard</v>
      </c>
      <c r="C595" t="b">
        <f>TRUE</f>
        <v>1</v>
      </c>
      <c r="D595">
        <f>IF(Skills!C17=1,60+Inputs!$B$24+Inputs!$B$28,IF(Skills!C17=2,90+Inputs!$B$25+Inputs!$B$28,IF(Skills!C17=3,120+Inputs!$B$26+Inputs!$B$28,MAX(0,(Inputs!$B$3-100)*3)+Inputs!$B$27+Inputs!$B$28)))</f>
        <v>115</v>
      </c>
      <c r="E595">
        <f>INDEX(FactorTable!$B$2:$Y$301, MATCH(ROUND(MIN(300,MAX(1,D595)),0), FactorTable!$A$2:$A$301,0), Skills!M17+1)</f>
        <v>1460</v>
      </c>
      <c r="F595">
        <f>IF(Skills!N17=TRUE,(Skills!L17/10)*(E595/1000),Skills!L17/10)+Skills!O17</f>
        <v>17.52</v>
      </c>
      <c r="G595">
        <f>Calc!G17</f>
        <v>1</v>
      </c>
      <c r="H595">
        <f>Calc!H17</f>
        <v>1</v>
      </c>
      <c r="I595">
        <f>IF(Skills!X17&lt;&gt;"",1+(Skills!X17/10)*(R581/1000)/100,1)</f>
        <v>1</v>
      </c>
      <c r="O595">
        <v>0</v>
      </c>
      <c r="P595">
        <f>IF(B617=0,0,O595/B617)</f>
        <v>0</v>
      </c>
      <c r="S595">
        <f>IF(AND(Inputs!$B$4&lt;&gt;"pvp",Inputs!$B$35&gt;0),(INT(Inputs!$B$35/IF(Inputs!$B$4="pvp",15,MAX(0.1,Skills!E17-IF(Skills!F17=TRUE,Inputs!$B$31,0))))+1),0)</f>
        <v>0</v>
      </c>
      <c r="V595">
        <f>IFERROR(1/IF(Inputs!$B$4="pvp",15,MAX(0.1,Skills!E17-IF(Skills!F17=TRUE,Inputs!$B$31,0))),0)</f>
        <v>4.7619047619047616E-2</v>
      </c>
    </row>
    <row r="596" spans="1:22" x14ac:dyDescent="0.2">
      <c r="A596" t="str">
        <f>Skills!A18</f>
        <v>NIMBLE_FEET</v>
      </c>
      <c r="B596" t="str">
        <f>Skills!B18</f>
        <v>Nimble Feet</v>
      </c>
      <c r="C596" t="b">
        <f>TRUE</f>
        <v>1</v>
      </c>
      <c r="D596">
        <f>IF(Skills!C18=1,60+Inputs!$B$24+Inputs!$B$28,IF(Skills!C18=2,90+Inputs!$B$25+Inputs!$B$28,IF(Skills!C18=3,120+Inputs!$B$26+Inputs!$B$28,MAX(0,(Inputs!$B$3-100)*3)+Inputs!$B$27+Inputs!$B$28)))</f>
        <v>115</v>
      </c>
      <c r="E596">
        <f>INDEX(FactorTable!$B$2:$Y$301, MATCH(ROUND(MIN(300,MAX(1,D596)),0), FactorTable!$A$2:$A$301,0), Skills!M18+1)</f>
        <v>0</v>
      </c>
      <c r="F596">
        <f>IF(Skills!N18=TRUE,(Skills!L18/10)*(E596/1000),Skills!L18/10)+Skills!O18</f>
        <v>15</v>
      </c>
      <c r="G596">
        <f>Calc!G18</f>
        <v>1</v>
      </c>
      <c r="H596">
        <f>Calc!H18</f>
        <v>1</v>
      </c>
      <c r="I596">
        <f>IF(Skills!X18&lt;&gt;"",1+(Skills!X18/10)*(R581/1000)/100,1)</f>
        <v>1</v>
      </c>
      <c r="O596">
        <v>0</v>
      </c>
      <c r="P596">
        <f>IF(B617=0,0,O596/B617)</f>
        <v>0</v>
      </c>
      <c r="S596">
        <f>IF(AND(Inputs!$B$4&lt;&gt;"pvp",Inputs!$B$35&gt;0),(INT(Inputs!$B$35/IF(Inputs!$B$4="pvp",15,MAX(0.1,Skills!E18-IF(Skills!F18=TRUE,Inputs!$B$31,0))))+1),0)</f>
        <v>0</v>
      </c>
      <c r="V596">
        <f>IFERROR(1/IF(Inputs!$B$4="pvp",15,MAX(0.1,Skills!E18-IF(Skills!F18=TRUE,Inputs!$B$31,0))),0)</f>
        <v>1.6666666666666666E-2</v>
      </c>
    </row>
    <row r="597" spans="1:22" x14ac:dyDescent="0.2">
      <c r="A597" t="str">
        <f>Skills!A19</f>
        <v>INFINITY</v>
      </c>
      <c r="B597" t="str">
        <f>Skills!B19</f>
        <v>Infinity</v>
      </c>
      <c r="C597" t="b">
        <f>Inputs!$B$3&gt;=110</f>
        <v>1</v>
      </c>
      <c r="D597">
        <f>IF(Skills!C19=1,60+Inputs!$B$24+Inputs!$B$28,IF(Skills!C19=2,90+Inputs!$B$25+Inputs!$B$28,IF(Skills!C19=3,120+Inputs!$B$26+Inputs!$B$28,MAX(0,(Inputs!$B$3-100)*3)+Inputs!$B$27+Inputs!$B$28)))</f>
        <v>172</v>
      </c>
      <c r="E597">
        <f>INDEX(FactorTable!$B$2:$Y$301, MATCH(ROUND(MIN(300,MAX(1,D597)),0), FactorTable!$A$2:$A$301,0), Skills!M19+1)</f>
        <v>1688</v>
      </c>
      <c r="F597">
        <f>IF(Skills!N19=TRUE,(Skills!L19/10)*(E597/1000),Skills!L19/10)+Skills!O19</f>
        <v>36.573895999999998</v>
      </c>
      <c r="G597">
        <f>Calc!G19</f>
        <v>1</v>
      </c>
      <c r="H597">
        <f>Calc!H19</f>
        <v>1</v>
      </c>
      <c r="I597">
        <f>IF(Skills!X19&lt;&gt;"",1+(Skills!X19/10)*(R581/1000)/100,1)</f>
        <v>1</v>
      </c>
      <c r="O597">
        <v>0</v>
      </c>
      <c r="P597">
        <f>IF(B617=0,0,O597/B617)</f>
        <v>0</v>
      </c>
      <c r="S597">
        <f>IF(AND(Inputs!$B$4&lt;&gt;"pvp",Inputs!$B$35&gt;0),(INT(Inputs!$B$35/IF(Inputs!$B$4="pvp",15,MAX(0.1,Skills!E19-IF(Skills!F19=TRUE,Inputs!$B$31,0))))+1),0)</f>
        <v>0</v>
      </c>
      <c r="V597">
        <f>IFERROR(1/IF(Inputs!$B$4="pvp",15,MAX(0.1,Skills!E19-IF(Skills!F19=TRUE,Inputs!$B$31,0))),0)</f>
        <v>3.3333333333333333E-2</v>
      </c>
    </row>
    <row r="598" spans="1:22" x14ac:dyDescent="0.2">
      <c r="A598" t="str">
        <f>Skills!A20</f>
        <v>MAGIC_CRITICAL_RATE</v>
      </c>
      <c r="B598" t="str">
        <f>Skills!B20</f>
        <v>Magic Critical (Crit Rate)</v>
      </c>
      <c r="C598" t="b">
        <f>TRUE</f>
        <v>1</v>
      </c>
      <c r="D598">
        <f>IF(Skills!C20=1,60+Inputs!$B$24+Inputs!$B$28,IF(Skills!C20=2,90+Inputs!$B$25+Inputs!$B$28,IF(Skills!C20=3,120+Inputs!$B$26+Inputs!$B$28,MAX(0,(Inputs!$B$3-100)*3)+Inputs!$B$27+Inputs!$B$28)))</f>
        <v>184</v>
      </c>
      <c r="E598">
        <f>INDEX(FactorTable!$B$2:$Y$301, MATCH(ROUND(MIN(300,MAX(1,D598)),0), FactorTable!$A$2:$A$301,0), Skills!M20+1)</f>
        <v>1552</v>
      </c>
      <c r="F598">
        <f>IF(Skills!N20=TRUE,(Skills!L20/10)*(E598/1000),Skills!L20/10)+Skills!O20</f>
        <v>12.416</v>
      </c>
      <c r="G598">
        <f>Calc!G20</f>
        <v>1</v>
      </c>
      <c r="H598">
        <f>Calc!H20</f>
        <v>1</v>
      </c>
      <c r="I598">
        <f>IF(Skills!X20&lt;&gt;"",1+(Skills!X20/10)*(R581/1000)/100,1)</f>
        <v>1</v>
      </c>
      <c r="O598">
        <v>0</v>
      </c>
      <c r="P598">
        <f>IF(B617=0,0,O598/B617)</f>
        <v>0</v>
      </c>
      <c r="S598">
        <v>0</v>
      </c>
      <c r="V598">
        <f>IFERROR(1/IF(Inputs!$B$4="pvp",15,MAX(0.1,Skills!E20-IF(Skills!F20=TRUE,Inputs!$B$31,0))),0)</f>
        <v>10</v>
      </c>
    </row>
    <row r="599" spans="1:22" x14ac:dyDescent="0.2">
      <c r="A599" t="str">
        <f>Skills!A21</f>
        <v>MAGIC_CRITICAL_DAMAGE</v>
      </c>
      <c r="B599" t="str">
        <f>Skills!B21</f>
        <v>Magic Critical (Crit Damage)</v>
      </c>
      <c r="C599" t="b">
        <f>TRUE</f>
        <v>1</v>
      </c>
      <c r="D599">
        <f>IF(Skills!C21=1,60+Inputs!$B$24+Inputs!$B$28,IF(Skills!C21=2,90+Inputs!$B$25+Inputs!$B$28,IF(Skills!C21=3,120+Inputs!$B$26+Inputs!$B$28,MAX(0,(Inputs!$B$3-100)*3)+Inputs!$B$27+Inputs!$B$28)))</f>
        <v>184</v>
      </c>
      <c r="E599">
        <f>INDEX(FactorTable!$B$2:$Y$301, MATCH(ROUND(MIN(300,MAX(1,D599)),0), FactorTable!$A$2:$A$301,0), Skills!M21+1)</f>
        <v>1552</v>
      </c>
      <c r="F599">
        <f>IF(Skills!N21=TRUE,(Skills!L21/10)*(E599/1000),Skills!L21/10)+Skills!O21</f>
        <v>18.624000000000002</v>
      </c>
      <c r="G599">
        <f>Calc!G21</f>
        <v>1</v>
      </c>
      <c r="H599">
        <f>Calc!H21</f>
        <v>1</v>
      </c>
      <c r="I599">
        <f>IF(Skills!X21&lt;&gt;"",1+(Skills!X21/10)*(R581/1000)/100,1)</f>
        <v>1</v>
      </c>
      <c r="O599">
        <v>0</v>
      </c>
      <c r="P599">
        <f>IF(B617=0,0,O599/B617)</f>
        <v>0</v>
      </c>
      <c r="S599">
        <v>0</v>
      </c>
      <c r="V599">
        <f>IFERROR(1/IF(Inputs!$B$4="pvp",15,MAX(0.1,Skills!E21-IF(Skills!F21=TRUE,Inputs!$B$31,0))),0)</f>
        <v>10</v>
      </c>
    </row>
    <row r="600" spans="1:22" x14ac:dyDescent="0.2">
      <c r="A600" t="str">
        <f>Skills!A22</f>
        <v>SPELL_MASTERY</v>
      </c>
      <c r="B600" t="str">
        <f>Skills!B22</f>
        <v>Spell Mastery</v>
      </c>
      <c r="C600" t="b">
        <f>TRUE</f>
        <v>1</v>
      </c>
      <c r="D600">
        <f>IF(Skills!C22=1,60+Inputs!$B$24+Inputs!$B$28,IF(Skills!C22=2,90+Inputs!$B$25+Inputs!$B$28,IF(Skills!C22=3,120+Inputs!$B$26+Inputs!$B$28,MAX(0,(Inputs!$B$3-100)*3)+Inputs!$B$27+Inputs!$B$28)))</f>
        <v>164</v>
      </c>
      <c r="E600">
        <f>INDEX(FactorTable!$B$2:$Y$301, MATCH(ROUND(MIN(300,MAX(1,D600)),0), FactorTable!$A$2:$A$301,0), Skills!M22+1)</f>
        <v>1492</v>
      </c>
      <c r="F600">
        <f>IF(Skills!N22=TRUE,(Skills!L22/10)*(E600/1000),Skills!L22/10)+Skills!O22</f>
        <v>22.38</v>
      </c>
      <c r="G600">
        <f>Calc!G22</f>
        <v>1</v>
      </c>
      <c r="H600">
        <f>Calc!H22</f>
        <v>1</v>
      </c>
      <c r="I600">
        <f>IF(Skills!X22&lt;&gt;"",1+(Skills!X22/10)*(R581/1000)/100,1)</f>
        <v>1</v>
      </c>
      <c r="O600">
        <v>0</v>
      </c>
      <c r="P600">
        <f>IF(B617=0,0,O600/B617)</f>
        <v>0</v>
      </c>
      <c r="S600">
        <v>0</v>
      </c>
      <c r="V600">
        <f>IFERROR(1/IF(Inputs!$B$4="pvp",15,MAX(0.1,Skills!E22-IF(Skills!F22=TRUE,Inputs!$B$31,0))),0)</f>
        <v>10</v>
      </c>
    </row>
    <row r="601" spans="1:22" x14ac:dyDescent="0.2">
      <c r="A601" t="str">
        <f>Skills!A23</f>
        <v>ELEMENT_AMPLIFICATION</v>
      </c>
      <c r="B601" t="str">
        <f>Skills!B23</f>
        <v>Element Amplification</v>
      </c>
      <c r="C601" t="b">
        <f>TRUE</f>
        <v>1</v>
      </c>
      <c r="D601">
        <f>IF(Skills!C23=1,60+Inputs!$B$24+Inputs!$B$28,IF(Skills!C23=2,90+Inputs!$B$25+Inputs!$B$28,IF(Skills!C23=3,120+Inputs!$B$26+Inputs!$B$28,MAX(0,(Inputs!$B$3-100)*3)+Inputs!$B$27+Inputs!$B$28)))</f>
        <v>172</v>
      </c>
      <c r="E601">
        <f>INDEX(FactorTable!$B$2:$Y$301, MATCH(ROUND(MIN(300,MAX(1,D601)),0), FactorTable!$A$2:$A$301,0), Skills!M23+1)</f>
        <v>1516</v>
      </c>
      <c r="F601">
        <f>IF(Skills!N23=TRUE,(Skills!L23/10)*(E601/1000),Skills!L23/10)+Skills!O23</f>
        <v>22.740000000000002</v>
      </c>
      <c r="G601">
        <f>Calc!G23</f>
        <v>1</v>
      </c>
      <c r="H601">
        <f>Calc!H23</f>
        <v>1</v>
      </c>
      <c r="I601">
        <f>IF(Skills!X23&lt;&gt;"",1+(Skills!X23/10)*(R581/1000)/100,1)</f>
        <v>1</v>
      </c>
      <c r="O601">
        <v>0</v>
      </c>
      <c r="P601">
        <f>IF(B617=0,0,O601/B617)</f>
        <v>0</v>
      </c>
      <c r="S601">
        <v>0</v>
      </c>
      <c r="V601">
        <f>IFERROR(1/IF(Inputs!$B$4="pvp",15,MAX(0.1,Skills!E23-IF(Skills!F23=TRUE,Inputs!$B$31,0))),0)</f>
        <v>10</v>
      </c>
    </row>
    <row r="602" spans="1:22" x14ac:dyDescent="0.2">
      <c r="A602" t="str">
        <f>Skills!A24</f>
        <v>IFRIT</v>
      </c>
      <c r="B602" t="str">
        <f>Skills!B24</f>
        <v>Ifrit</v>
      </c>
      <c r="C602" t="b">
        <f>Inputs!$B$3&gt;=115</f>
        <v>0</v>
      </c>
      <c r="D602">
        <f>IF(Skills!C24=1,60+Inputs!$B$24+Inputs!$B$28,IF(Skills!C24=2,90+Inputs!$B$25+Inputs!$B$28,IF(Skills!C24=3,120+Inputs!$B$26+Inputs!$B$28,MAX(0,(Inputs!$B$3-100)*3)+Inputs!$B$27+Inputs!$B$28)))</f>
        <v>172</v>
      </c>
      <c r="E602">
        <f>INDEX(FactorTable!$B$2:$Y$301, MATCH(ROUND(MIN(300,MAX(1,D602)),0), FactorTable!$A$2:$A$301,0), Skills!M24+1)</f>
        <v>1860</v>
      </c>
      <c r="F602">
        <f>IF(Skills!N24=TRUE,(Skills!L24/10)*(E602/1000),Skills!L24/10)+Skills!O24</f>
        <v>6510</v>
      </c>
      <c r="G602">
        <f>Calc!G24</f>
        <v>7.5</v>
      </c>
      <c r="H602">
        <f>Calc!H24</f>
        <v>1</v>
      </c>
      <c r="I602">
        <f>IF(Skills!X24&lt;&gt;"",1+(Skills!X24/10)*(R581/1000)/100,1)</f>
        <v>1</v>
      </c>
      <c r="J602">
        <f>((Inputs!$B$5*(1+Inputs!$B$6/100))+((Inputs!$B$11*(1+Inputs!$B$12/100))-(Inputs!$B$11*(1+Inputs!$B$12/100)))*(1+Inputs!$B$6/100))*(F602/100)</f>
        <v>16263999540.532799</v>
      </c>
      <c r="K602">
        <f>J602*(1+((Inputs!$B$11*(1+Inputs!$B$12/100))*0.01+Inputs!$B$13*0.0025)/100)*(1+Inputs!$B$14/100)*(1+IF(Inputs!$B$4="pvp",0,(1-Summary!$B$56)*(Inputs!$B$19+Skills!P24)+Summary!$B$56*(Inputs!$B$20+Skills!Q24))/100)*(1+Inputs!$B$15/100)*(5000/(6000+Inputs!$B$7*(1-Inputs!$B$18/100)))*(1+Inputs!$B$23/100)*(1+F601/100)*(1+IF(Inputs!$B$3&gt;=120,F604,0)/100)^5*(1+(IF(Skills!A24="BASIC_ATTACK",(Inputs!$B$16+1),Inputs!$B$17+IF(Inputs!$B$3&gt;=125,F605*5,0)))/100)*(B608*B609*B610*I602)</f>
        <v>123735236722176.92</v>
      </c>
      <c r="L602">
        <f>K602*(MIN(Inputs!$B$21+(F600-Calc!F22),Inputs!$B$22)/100+Inputs!$B$22/100)/2</f>
        <v>334023271531516.56</v>
      </c>
      <c r="M602">
        <f>L602*(1+(Inputs!$B$9+(F599-Calc!F21))/100)</f>
        <v>1399891530988586.2</v>
      </c>
      <c r="N602">
        <f>L602*(1-MIN(Inputs!$B$8+(F598-Calc!F20),100)/100)+M602*(MIN(Inputs!$B$8+(F598-Calc!F20),100)/100)</f>
        <v>1399891530988586.2</v>
      </c>
      <c r="O602">
        <f>IF(C602,H602*N602*IF(AND(Inputs!$B$4&lt;&gt;"pvp",Inputs!$B$35&gt;0),((Skills!G24*((S602-1)*IF(Skills!H24&gt;0,Skills!I24/Skills!H24,1)+IF(Skills!H24&gt;0,MIN(Skills!I24,MAX(0,Inputs!$B$35-((S602-1)*IF(Inputs!$B$4="pvp",15,MAX(0.1,Skills!E24-IF(Skills!F24=TRUE,Inputs!$B$31,0))))))/Skills!H24,1)))/Inputs!$B$35),G602*V602)*(1+IF(Inputs!$B$3&gt;=130,0.2*(Skills!I16/Skills!E15+IF(Inputs!$B$3&gt;=126,0.05*(B614+V591+(H592*B615)/(1+Skills!H14*H592*B615)+V602),0)*Skills!I16),0))*IF(Inputs!$B$4="pvp",1,(1-Summary!$B$56)*(1)+Summary!$B$56*(MIN(Skills!R24,Inputs!$B$37))),0)</f>
        <v>0</v>
      </c>
      <c r="P602">
        <f>IF(B617=0,0,O602/B617)</f>
        <v>0</v>
      </c>
      <c r="S602">
        <f>IF(AND(Inputs!$B$4&lt;&gt;"pvp",Inputs!$B$35&gt;0),(INT(Inputs!$B$35/IF(Inputs!$B$4="pvp",15,MAX(0.1,Skills!E24-IF(Skills!F24=TRUE,Inputs!$B$31,0))))+1),0)</f>
        <v>0</v>
      </c>
      <c r="V602">
        <f>IFERROR(1/IF(Inputs!$B$4="pvp",15,MAX(0.1,Skills!E24-IF(Skills!F24=TRUE,Inputs!$B$31,0))),0)</f>
        <v>1.2500000000000001E-2</v>
      </c>
    </row>
    <row r="603" spans="1:22" x14ac:dyDescent="0.2">
      <c r="A603" t="str">
        <f>Skills!A25</f>
        <v>BUFF_MASTERY</v>
      </c>
      <c r="B603" t="str">
        <f>Skills!B25</f>
        <v>Buff Mastery</v>
      </c>
      <c r="C603" t="b">
        <f>Inputs!$B$3&gt;=117</f>
        <v>0</v>
      </c>
      <c r="D603">
        <f>IF(Skills!C25=1,60+Inputs!$B$24+Inputs!$B$28,IF(Skills!C25=2,90+Inputs!$B$25+Inputs!$B$28,IF(Skills!C25=3,120+Inputs!$B$26+Inputs!$B$28,MAX(0,(Inputs!$B$3-100)*3)+Inputs!$B$27+Inputs!$B$28)))</f>
        <v>172</v>
      </c>
      <c r="E603">
        <f>INDEX(FactorTable!$B$2:$Y$301, MATCH(ROUND(MIN(300,MAX(1,D603)),0), FactorTable!$A$2:$A$301,0), Skills!M25+1)</f>
        <v>1516</v>
      </c>
      <c r="F603">
        <f>IF(Skills!N25=TRUE,(Skills!L25/10)*(E603/1000),Skills!L25/10)+Skills!O25</f>
        <v>15.16</v>
      </c>
      <c r="G603">
        <f>Calc!G25</f>
        <v>1</v>
      </c>
      <c r="H603">
        <f>Calc!H25</f>
        <v>1</v>
      </c>
      <c r="I603">
        <f>IF(Skills!X25&lt;&gt;"",1+(Skills!X25/10)*(R581/1000)/100,1)</f>
        <v>1</v>
      </c>
      <c r="O603">
        <v>0</v>
      </c>
      <c r="P603">
        <f>IF(B617=0,0,O603/B617)</f>
        <v>0</v>
      </c>
      <c r="S603">
        <v>0</v>
      </c>
      <c r="V603">
        <f>IFERROR(1/IF(Inputs!$B$4="pvp",15,MAX(0.1,Skills!E25-IF(Skills!F25=TRUE,Inputs!$B$31,0))),0)</f>
        <v>10</v>
      </c>
    </row>
    <row r="604" spans="1:22" x14ac:dyDescent="0.2">
      <c r="A604" t="str">
        <f>Skills!A26</f>
        <v>ARCANE_AIM</v>
      </c>
      <c r="B604" t="str">
        <f>Skills!B26</f>
        <v>Arcane Aim</v>
      </c>
      <c r="C604" t="b">
        <f>Inputs!$B$3&gt;=120</f>
        <v>0</v>
      </c>
      <c r="D604">
        <f>IF(Skills!C26=1,60+Inputs!$B$24+Inputs!$B$28,IF(Skills!C26=2,90+Inputs!$B$25+Inputs!$B$28,IF(Skills!C26=3,120+Inputs!$B$26+Inputs!$B$28,MAX(0,(Inputs!$B$3-100)*3)+Inputs!$B$27+Inputs!$B$28)))</f>
        <v>172</v>
      </c>
      <c r="E604">
        <f>INDEX(FactorTable!$B$2:$Y$301, MATCH(ROUND(MIN(300,MAX(1,D604)),0), FactorTable!$A$2:$A$301,0), Skills!M26+1)</f>
        <v>1516</v>
      </c>
      <c r="F604">
        <f>IF(Skills!N26=TRUE,(Skills!L26/10)*(E604/1000),Skills!L26/10)+Skills!O26</f>
        <v>4.548</v>
      </c>
      <c r="G604">
        <f>Calc!G26</f>
        <v>1</v>
      </c>
      <c r="H604">
        <f>Calc!H26</f>
        <v>1</v>
      </c>
      <c r="I604">
        <f>IF(Skills!X26&lt;&gt;"",1+(Skills!X26/10)*(R581/1000)/100,1)</f>
        <v>1</v>
      </c>
      <c r="O604">
        <v>0</v>
      </c>
      <c r="P604">
        <f>IF(B617=0,0,O604/B617)</f>
        <v>0</v>
      </c>
      <c r="S604">
        <v>0</v>
      </c>
      <c r="V604">
        <f>IFERROR(1/IF(Inputs!$B$4="pvp",15,MAX(0.1,Skills!E26-IF(Skills!F26=TRUE,Inputs!$B$31,0))),0)</f>
        <v>10</v>
      </c>
    </row>
    <row r="605" spans="1:22" x14ac:dyDescent="0.2">
      <c r="A605" t="str">
        <f>Skills!A27</f>
        <v>FERVENT_DRAIN</v>
      </c>
      <c r="B605" t="str">
        <f>Skills!B27</f>
        <v>Fervent Drain</v>
      </c>
      <c r="C605" t="b">
        <f>Inputs!$B$3&gt;=125</f>
        <v>0</v>
      </c>
      <c r="D605">
        <f>IF(Skills!C27=1,60+Inputs!$B$24+Inputs!$B$28,IF(Skills!C27=2,90+Inputs!$B$25+Inputs!$B$28,IF(Skills!C27=3,120+Inputs!$B$26+Inputs!$B$28,MAX(0,(Inputs!$B$3-100)*3)+Inputs!$B$27+Inputs!$B$28)))</f>
        <v>172</v>
      </c>
      <c r="E605">
        <f>INDEX(FactorTable!$B$2:$Y$301, MATCH(ROUND(MIN(300,MAX(1,D605)),0), FactorTable!$A$2:$A$301,0), Skills!M27+1)</f>
        <v>1516</v>
      </c>
      <c r="F605">
        <f>IF(Skills!N27=TRUE,(Skills!L27/10)*(E605/1000),Skills!L27/10)+Skills!O27</f>
        <v>6.0640000000000001</v>
      </c>
      <c r="G605">
        <f>Calc!G27</f>
        <v>1</v>
      </c>
      <c r="H605">
        <f>Calc!H27</f>
        <v>1</v>
      </c>
      <c r="I605">
        <f>IF(Skills!X27&lt;&gt;"",1+(Skills!X27/10)*(R581/1000)/100,1)</f>
        <v>1</v>
      </c>
      <c r="O605">
        <v>0</v>
      </c>
      <c r="P605">
        <f>IF(B617=0,0,O605/B617)</f>
        <v>0</v>
      </c>
      <c r="S605">
        <v>0</v>
      </c>
      <c r="V605">
        <f>IFERROR(1/IF(Inputs!$B$4="pvp",15,MAX(0.1,Skills!E27-IF(Skills!F27=TRUE,Inputs!$B$31,0))),0)</f>
        <v>10</v>
      </c>
    </row>
    <row r="606" spans="1:22" x14ac:dyDescent="0.2">
      <c r="A606" t="str">
        <f>Skills!A28</f>
        <v>FLAME_HAZE_FOG</v>
      </c>
      <c r="B606" t="str">
        <f>Skills!B28</f>
        <v>Flame Haze (poison fog DoT)</v>
      </c>
      <c r="C606" t="b">
        <f>Inputs!$B$3&gt;=118</f>
        <v>0</v>
      </c>
      <c r="D606">
        <f>IF(Skills!C28=1,60+Inputs!$B$24+Inputs!$B$28,IF(Skills!C28=2,90+Inputs!$B$25+Inputs!$B$28,IF(Skills!C28=3,120+Inputs!$B$26+Inputs!$B$28,MAX(0,(Inputs!$B$3-100)*3)+Inputs!$B$27+Inputs!$B$28)))</f>
        <v>172</v>
      </c>
      <c r="E606">
        <f>INDEX(FactorTable!$B$2:$Y$301, MATCH(ROUND(MIN(300,MAX(1,D606)),0), FactorTable!$A$2:$A$301,0), Skills!M28+1)</f>
        <v>1860</v>
      </c>
      <c r="F606">
        <f>IF(Skills!N28=TRUE,(Skills!L28/10)*(E606/1000),Skills!L28/10)+Skills!O28</f>
        <v>130.20000000000002</v>
      </c>
      <c r="G606">
        <f>Calc!G28</f>
        <v>50</v>
      </c>
      <c r="H606">
        <f>Calc!H28</f>
        <v>1</v>
      </c>
      <c r="I606">
        <f>IF(Skills!X28&lt;&gt;"",1+(Skills!X28/10)*(R581/1000)/100,1)</f>
        <v>1</v>
      </c>
      <c r="J606">
        <f>((Inputs!$B$5*(1+Inputs!$B$6/100))+((Inputs!$B$11*(1+Inputs!$B$12/100))-(Inputs!$B$11*(1+Inputs!$B$12/100)))*(1+Inputs!$B$6/100))*(F606/100)</f>
        <v>325279990.81065607</v>
      </c>
      <c r="K606">
        <f>J606*(1+((Inputs!$B$11*(1+Inputs!$B$12/100))*0.01+Inputs!$B$13*0.0025)/100)*(1+Inputs!$B$14/100)*(1+IF(Inputs!$B$4="pvp",0,(1-Summary!$B$56)*(Inputs!$B$19+Skills!P28)+Summary!$B$56*(Inputs!$B$20+Skills!Q28))/100)*(1+Inputs!$B$15/100)*(5000/(6000+Inputs!$B$7*(1-Inputs!$B$18/100)))*(1+Inputs!$B$23/100)*(1+F601/100)*(1+IF(Inputs!$B$3&gt;=120,F604,0)/100)^5*(1+(IF(Skills!A28="BASIC_ATTACK",(Inputs!$B$16+1),Inputs!$B$17+IF(Inputs!$B$3&gt;=125,F605*5,0)))/100)*(B608*B609*B610*I606)</f>
        <v>2474704734443.54</v>
      </c>
      <c r="L606">
        <f>K606*(MIN(Inputs!$B$21+(F600-Calc!F22),Inputs!$B$22)/100+Inputs!$B$22/100)/2</f>
        <v>6680465430630.335</v>
      </c>
      <c r="M606">
        <f>L606*(1+(Inputs!$B$9+(F599-Calc!F21))/100)</f>
        <v>27997830619771.738</v>
      </c>
      <c r="N606">
        <f>L606*(1-MIN(Inputs!$B$8+(F598-Calc!F20),100)/100)+M606*(MIN(Inputs!$B$8+(F598-Calc!F20),100)/100)</f>
        <v>27997830619771.738</v>
      </c>
      <c r="O606">
        <f>IF(C606,H606*N606*IF(AND(Inputs!$B$4&lt;&gt;"pvp",Inputs!$B$35&gt;0),((Skills!G28*((S606-1)*IF(Skills!H28&gt;0,Skills!I28/Skills!H28,1)+IF(Skills!H28&gt;0,MIN(Skills!I28,MAX(0,Inputs!$B$35-((S606-1)*IF(Inputs!$B$4="pvp",15,MAX(0.1,Skills!E28-IF(Skills!F28=TRUE,Inputs!$B$31,0))))))/Skills!H28,1)))/Inputs!$B$35),G606*V606)*IF(Inputs!$B$4="pvp",1,(1-Summary!$B$56)*(1)+Summary!$B$56*(MIN(Skills!R28,Inputs!$B$37))),0)</f>
        <v>0</v>
      </c>
      <c r="P606">
        <f>IF(B617=0,0,O606/B617)</f>
        <v>0</v>
      </c>
      <c r="S606">
        <f>IF(AND(Inputs!$B$4&lt;&gt;"pvp",Inputs!$B$35&gt;0),(INT(Inputs!$B$35/IF(Inputs!$B$4="pvp",15,MAX(0.1,Skills!E28-IF(Skills!F28=TRUE,Inputs!$B$31,0))))+1),0)</f>
        <v>0</v>
      </c>
      <c r="V606">
        <f>IFERROR(1/IF(Inputs!$B$4="pvp",15,MAX(0.1,Skills!E28-IF(Skills!F28=TRUE,Inputs!$B$31,0))),0)</f>
        <v>0.04</v>
      </c>
    </row>
    <row r="608" spans="1:22" x14ac:dyDescent="0.2">
      <c r="A608" t="s">
        <v>222</v>
      </c>
      <c r="B608">
        <f>1+(F589*Skills!Z11)/100</f>
        <v>1.25</v>
      </c>
    </row>
    <row r="609" spans="1:22" x14ac:dyDescent="0.2">
      <c r="A609" t="s">
        <v>223</v>
      </c>
      <c r="B609">
        <f>1+F590/100</f>
        <v>1.18624</v>
      </c>
    </row>
    <row r="610" spans="1:22" x14ac:dyDescent="0.2">
      <c r="A610" t="s">
        <v>224</v>
      </c>
      <c r="B610">
        <f>(1+(F584*IF(AND(Inputs!$B$4&lt;&gt;"pvp",Inputs!$B$35&gt;0),(((S584-1)*(Skills!T6*(1+(Inputs!$B$33+IF(Inputs!$B$3&gt;=117,F603,0))/100))+MIN((Skills!T6*(1+(Inputs!$B$33+IF(Inputs!$B$3&gt;=117,F603,0))/100)),MAX(0,Inputs!$B$35-((S584-1)*Skills!E6))))/Inputs!$B$35),IF(Inputs!$B$4="pvp",MIN((Skills!T6*(1+(Inputs!$B$33+IF(Inputs!$B$3&gt;=117,F603,0))/100)),15)/15,(Skills!T6*(1+(Inputs!$B$33+IF(Inputs!$B$3&gt;=117,F603,0))/100))/Skills!E6))+F595*IF(AND(Inputs!$B$4&lt;&gt;"pvp",Inputs!$B$35&gt;0),(((S595-1)*(Skills!T17*(1+(Inputs!$B$33+IF(Inputs!$B$3&gt;=117,F603,0))/100))+MIN((Skills!T17*(1+(Inputs!$B$33+IF(Inputs!$B$3&gt;=117,F603,0))/100)),MAX(0,Inputs!$B$35-((S595-1)*Skills!E17))))/Inputs!$B$35),IF(Inputs!$B$4="pvp",MIN((Skills!T17*(1+(Inputs!$B$33+IF(Inputs!$B$3&gt;=117,F603,0))/100)),15)/15,(Skills!T17*(1+(Inputs!$B$33+IF(Inputs!$B$3&gt;=117,F603,0))/100))/Skills!E17)))/100)*IF(C597=TRUE,(1+F597*IF(AND(Inputs!$B$4&lt;&gt;"pvp",Inputs!$B$35&gt;0),(((S597-1)*(Skills!T19*(1+(Inputs!$B$33+IF(Inputs!$B$3&gt;=117,F603,0))/100))+MIN((Skills!T19*(1+(Inputs!$B$33+IF(Inputs!$B$3&gt;=117,F603,0))/100)),MAX(0,Inputs!$B$35-((S597-1)*Skills!E19))))/Inputs!$B$35),IF(Inputs!$B$4="pvp",MIN((Skills!T19*(1+(Inputs!$B$33+IF(Inputs!$B$3&gt;=117,F603,0))/100)),15)/15,(Skills!T19*(1+(Inputs!$B$33+IF(Inputs!$B$3&gt;=117,F603,0))/100))/Skills!E19))/100),1)</f>
        <v>1.5603265106950857</v>
      </c>
    </row>
    <row r="611" spans="1:22" x14ac:dyDescent="0.2">
      <c r="A611" t="s">
        <v>225</v>
      </c>
      <c r="B611">
        <f>F596*IF(AND(Inputs!$B$4&lt;&gt;"pvp",Inputs!$B$35&gt;0),(((S596-1)*(Skills!T18*(1+(Inputs!$B$33+IF(Inputs!$B$3&gt;=117,F603,0))/100))+MIN((Skills!T18*(1+(Inputs!$B$33+IF(Inputs!$B$3&gt;=117,F603,0))/100)),MAX(0,Inputs!$B$35-((S596-1)*Skills!E18))))/Inputs!$B$35),IF(Inputs!$B$4="pvp",MIN((Skills!T18*(1+(Inputs!$B$33+IF(Inputs!$B$3&gt;=117,F603,0))/100)),15)/15,(Skills!T18*(1+(Inputs!$B$33+IF(Inputs!$B$3&gt;=117,F603,0))/100))/Skills!E18))</f>
        <v>3.75</v>
      </c>
    </row>
    <row r="612" spans="1:22" x14ac:dyDescent="0.2">
      <c r="A612" t="s">
        <v>253</v>
      </c>
      <c r="B612">
        <f>1+MIN(150,150*(1-(1-Inputs!$B$10/150)*(1-B611/150)))/100</f>
        <v>1.6371249999999999</v>
      </c>
    </row>
    <row r="613" spans="1:22" x14ac:dyDescent="0.2">
      <c r="A613" t="s">
        <v>254</v>
      </c>
      <c r="B613">
        <f>IF(AND(Inputs!$B$4&lt;&gt;"pvp",Inputs!$B$35&gt;0),SUMPRODUCT((Skills!F2:F28=TRUE)*(C580:C606=TRUE)*S580:S606)/Inputs!$B$35,SUMPRODUCT((Skills!F2:F28=TRUE)*(C580:C606=TRUE)*V580:V606))</f>
        <v>0.33466433037861604</v>
      </c>
    </row>
    <row r="614" spans="1:22" x14ac:dyDescent="0.2">
      <c r="A614" t="s">
        <v>228</v>
      </c>
      <c r="B614">
        <f>MAX(0,B612-B613)</f>
        <v>1.3024606696213838</v>
      </c>
    </row>
    <row r="615" spans="1:22" x14ac:dyDescent="0.2">
      <c r="A615" t="s">
        <v>255</v>
      </c>
      <c r="B615">
        <f>IF(AND(Inputs!$B$4&lt;&gt;"pvp",Inputs!$B$35&gt;0),SUMPRODUCT((Skills!V2:V28=TRUE)*(C580:C606=TRUE)*S580:S606*Skills!W2:W28)/Inputs!$B$35,SUMPRODUCT((Skills!V2:V28=TRUE)*(C580:C606=TRUE)*V580:V606*Skills!W2:W28))+B614</f>
        <v>1.5297416426166426</v>
      </c>
    </row>
    <row r="617" spans="1:22" x14ac:dyDescent="0.2">
      <c r="A617" s="5" t="s">
        <v>208</v>
      </c>
      <c r="B617" s="5">
        <f>SUM(O580:O606)</f>
        <v>8366354423703378</v>
      </c>
    </row>
    <row r="620" spans="1:22" x14ac:dyDescent="0.2">
      <c r="A620" s="5" t="s">
        <v>269</v>
      </c>
    </row>
    <row r="621" spans="1:22" x14ac:dyDescent="0.2">
      <c r="A621" s="8" t="s">
        <v>74</v>
      </c>
      <c r="B621" s="8" t="s">
        <v>75</v>
      </c>
      <c r="C621" s="8" t="s">
        <v>190</v>
      </c>
      <c r="D621" s="8" t="s">
        <v>191</v>
      </c>
      <c r="E621" s="8" t="s">
        <v>192</v>
      </c>
      <c r="F621" s="8" t="s">
        <v>193</v>
      </c>
      <c r="G621" s="8" t="s">
        <v>194</v>
      </c>
      <c r="H621" s="8" t="s">
        <v>195</v>
      </c>
      <c r="I621" s="8" t="s">
        <v>196</v>
      </c>
      <c r="J621" s="8" t="s">
        <v>197</v>
      </c>
      <c r="K621" s="8" t="s">
        <v>198</v>
      </c>
      <c r="L621" s="8" t="s">
        <v>199</v>
      </c>
      <c r="M621" s="8" t="s">
        <v>200</v>
      </c>
      <c r="N621" s="8" t="s">
        <v>201</v>
      </c>
      <c r="O621" s="8" t="s">
        <v>202</v>
      </c>
      <c r="P621" s="8" t="s">
        <v>203</v>
      </c>
      <c r="R621" t="s">
        <v>252</v>
      </c>
    </row>
    <row r="622" spans="1:22" x14ac:dyDescent="0.2">
      <c r="A622" t="str">
        <f>Skills!A2</f>
        <v>BASIC_ATTACK</v>
      </c>
      <c r="B622" t="str">
        <f>Skills!B2</f>
        <v>Basic Attack</v>
      </c>
      <c r="C622" t="b">
        <f>TRUE</f>
        <v>1</v>
      </c>
      <c r="F622">
        <f>T624+Skills!O2</f>
        <v>510.52</v>
      </c>
      <c r="G622">
        <f>Calc!G2</f>
        <v>5</v>
      </c>
      <c r="H622">
        <f>Calc!H2</f>
        <v>1</v>
      </c>
      <c r="I622">
        <f>IF(Skills!X2&lt;&gt;"",1+(Skills!X2/10)*(R623/1000)/100,1)</f>
        <v>1</v>
      </c>
      <c r="J622">
        <f>((Inputs!$B$5*(1+Inputs!$B$6/100))+((Inputs!$B$11*(1+Inputs!$B$12/100))-(Inputs!$B$11*(1+Inputs!$B$12/100)))*(1+Inputs!$B$6/100))*(F622/100)</f>
        <v>1275437334.1678655</v>
      </c>
      <c r="K622">
        <f>J622*(1+((Inputs!$B$11*(1+Inputs!$B$12/100))*0.01+Inputs!$B$13*0.0025)/100)*(1+Inputs!$B$14/100)*(1+IF(Inputs!$B$4="pvp",0,(1-Summary!$B$56)*(Inputs!$B$19+Skills!P2)+Summary!$B$56*(Inputs!$B$20+Skills!Q2))/100)*(1+Inputs!$B$15/100)*(5000/(6000+Inputs!$B$7*(1-Inputs!$B$18/100)))*(1+Inputs!$B$23/100)*(1+F643/100)*(1+IF(Inputs!$B$3&gt;=120,F646,0)/100)^5*(1+(IF(Skills!A2="BASIC_ATTACK",Inputs!$B$16,(Inputs!$B$17+1)+IF(Inputs!$B$3&gt;=125,F647*5,0)))/100)*(B650*B651*B652*I622)</f>
        <v>6960952567530.5723</v>
      </c>
      <c r="L622">
        <f>K622*(MIN(Inputs!$B$21+(F642-Calc!F22),Inputs!$B$22)/100+Inputs!$B$22/100)/2</f>
        <v>18791091456048.777</v>
      </c>
      <c r="M622">
        <f>L622*(1+(Inputs!$B$9+(F641-Calc!F21))/100)</f>
        <v>78753464292300.438</v>
      </c>
      <c r="N622">
        <f>L622*(1-MIN(Inputs!$B$8+(F640-Calc!F20),100)/100)+M622*(MIN(Inputs!$B$8+(F640-Calc!F20),100)/100)</f>
        <v>78753464292300.438</v>
      </c>
      <c r="O622">
        <f>Skills!G2*N622*B656*IF(Inputs!$B$4="pvp",1,(1-Summary!$B$56)*(1)+Summary!$B$56*(MIN((6+Inputs!$B$32+IF(Inputs!$B$3&gt;=136,1,0)),Inputs!$B$37)))</f>
        <v>3897785013811828</v>
      </c>
      <c r="P622">
        <f>IF(B659=0,0,O622/B659)</f>
        <v>0.46617480747120749</v>
      </c>
      <c r="R622">
        <f>MAX(0,(Inputs!$B$3-100)*3)+Inputs!$B$27+Inputs!$B$28</f>
        <v>172</v>
      </c>
      <c r="S622">
        <v>0</v>
      </c>
      <c r="T622">
        <f>MAX(0,(Inputs!$B$3-100)*3)+Inputs!$B$27+Inputs!$B$28</f>
        <v>172</v>
      </c>
      <c r="V622">
        <f>IFERROR(1/IF(Inputs!$B$4="pvp",15,MAX(0.1,Skills!E2-IF(Skills!F2=TRUE,Inputs!$B$31,0))),0)</f>
        <v>10</v>
      </c>
    </row>
    <row r="623" spans="1:22" x14ac:dyDescent="0.2">
      <c r="A623" t="str">
        <f>Skills!A3</f>
        <v>IGNITE</v>
      </c>
      <c r="B623" t="str">
        <f>Skills!B3</f>
        <v>Ignite</v>
      </c>
      <c r="C623" t="b">
        <f>TRUE</f>
        <v>1</v>
      </c>
      <c r="D623">
        <f>IF(Skills!C3=1,60+Inputs!$B$24+Inputs!$B$28,IF(Skills!C3=2,90+Inputs!$B$25+Inputs!$B$28,IF(Skills!C3=3,120+Inputs!$B$26+Inputs!$B$28,MAX(0,(Inputs!$B$3-100)*3)+Inputs!$B$27+Inputs!$B$28)))</f>
        <v>164</v>
      </c>
      <c r="E623">
        <f>INDEX(FactorTable!$B$2:$Y$301, MATCH(ROUND(MIN(300,MAX(1,D623)),0), FactorTable!$A$2:$A$301,0), Skills!M3+1)</f>
        <v>1656</v>
      </c>
      <c r="F623">
        <f>IF(Skills!N3=TRUE,(Skills!L3/10)*(E623/1000),Skills!L3/10)+Skills!O3</f>
        <v>121.52799999999999</v>
      </c>
      <c r="G623">
        <f>Calc!G3</f>
        <v>3</v>
      </c>
      <c r="H623">
        <f>Calc!H3</f>
        <v>1</v>
      </c>
      <c r="I623">
        <f>IF(Skills!X3&lt;&gt;"",1+(Skills!X3/10)*(R623/1000)/100,1)</f>
        <v>4.76</v>
      </c>
      <c r="J623">
        <f>((Inputs!$B$5*(1+Inputs!$B$6/100))+((Inputs!$B$11*(1+Inputs!$B$12/100))-(Inputs!$B$11*(1+Inputs!$B$12/100)))*(1+Inputs!$B$6/100))*(F623/100)</f>
        <v>303614644.57171583</v>
      </c>
      <c r="K623">
        <f>J623*(1+((Inputs!$B$11*(1+Inputs!$B$12/100))*0.01+Inputs!$B$13*0.0025)/100)*(1+Inputs!$B$14/100)*(1+IF(Inputs!$B$4="pvp",0,(1-Summary!$B$56)*(Inputs!$B$19+Skills!P3)+Summary!$B$56*(Inputs!$B$20+Skills!Q3))/100)*(1+Inputs!$B$15/100)*(5000/(6000+Inputs!$B$7*(1-Inputs!$B$18/100)))*(1+Inputs!$B$23/100)*(1+F643/100)*(1+IF(Inputs!$B$3&gt;=120,F646,0)/100)^5*(1+(IF(Skills!A3="BASIC_ATTACK",Inputs!$B$16,(Inputs!$B$17+1)+IF(Inputs!$B$3&gt;=125,F647*5,0)))/100)*(B650*B651*B652*I623)</f>
        <v>11048541774825.977</v>
      </c>
      <c r="L623">
        <f>K623*(MIN(Inputs!$B$21+(F642-Calc!F22),Inputs!$B$22)/100+Inputs!$B$22/100)/2</f>
        <v>29825538521142.719</v>
      </c>
      <c r="M623">
        <f>L623*(1+(Inputs!$B$9+(F641-Calc!F21))/100)</f>
        <v>124998831942109.16</v>
      </c>
      <c r="N623">
        <f>L623*(1-MIN(Inputs!$B$8+(F640-Calc!F20),100)/100)+M623*(MIN(Inputs!$B$8+(F640-Calc!F20),100)/100)</f>
        <v>124998831942109.16</v>
      </c>
      <c r="O623">
        <f>IF(C623,H623*N623*IF(AND(Inputs!$B$4&lt;&gt;"pvp",Inputs!$B$35&gt;0),((Skills!G3*((S623-1)*IF(Skills!H3&gt;0,Skills!I3/Skills!H3,1)+IF(Skills!H3&gt;0,MIN(Skills!I3,MAX(0,Inputs!$B$35-((S623-1)*IF(Inputs!$B$4="pvp",15,MAX(0.1,Skills!E3-IF(Skills!F3=TRUE,Inputs!$B$31,0))))))/Skills!H3,1)))/Inputs!$B$35),G623*V623)*IF(Inputs!$B$4="pvp",1,(1-Summary!$B$56)*(1)+Summary!$B$56*(MIN(Skills!R3,Inputs!$B$37))),0)</f>
        <v>824992290817920.38</v>
      </c>
      <c r="P623">
        <f>IF(B659=0,0,O623/B659)</f>
        <v>9.8669018679705262E-2</v>
      </c>
      <c r="R623">
        <f>INDEX(FactorTable!$B$2:$Y$301, MATCH(ROUND(MIN(300,MAX(1,R622)),0), FactorTable!$A$2:$A$301,0), 24)</f>
        <v>7520</v>
      </c>
      <c r="S623">
        <f>IF(AND(Inputs!$B$4&lt;&gt;"pvp",Inputs!$B$35&gt;0),(INT(Inputs!$B$35/IF(Inputs!$B$4="pvp",15,MAX(0.1,Skills!E3-IF(Skills!F3=TRUE,Inputs!$B$31,0))))+1),0)</f>
        <v>0</v>
      </c>
      <c r="T623">
        <f>INDEX(FactorTable!$B$2:$Y$301, MATCH(ROUND(MIN(300,MAX(1,T622)),0), FactorTable!$A$2:$A$301,0), 22)</f>
        <v>1688</v>
      </c>
      <c r="V623">
        <f>IFERROR(1/IF(Inputs!$B$4="pvp",15,MAX(0.1,Skills!E3-IF(Skills!F3=TRUE,Inputs!$B$31,0))),0)</f>
        <v>1</v>
      </c>
    </row>
    <row r="624" spans="1:22" x14ac:dyDescent="0.2">
      <c r="A624" t="str">
        <f>Skills!A4</f>
        <v>POISON_BREATH</v>
      </c>
      <c r="B624" t="str">
        <f>Skills!B4</f>
        <v>Poison Breath</v>
      </c>
      <c r="C624" t="b">
        <f>TRUE</f>
        <v>1</v>
      </c>
      <c r="D624">
        <f>IF(Skills!C4=1,60+Inputs!$B$24+Inputs!$B$28,IF(Skills!C4=2,90+Inputs!$B$25+Inputs!$B$28,IF(Skills!C4=3,120+Inputs!$B$26+Inputs!$B$28,MAX(0,(Inputs!$B$3-100)*3)+Inputs!$B$27+Inputs!$B$28)))</f>
        <v>164</v>
      </c>
      <c r="E624">
        <f>INDEX(FactorTable!$B$2:$Y$301, MATCH(ROUND(MIN(300,MAX(1,D624)),0), FactorTable!$A$2:$A$301,0), Skills!M4+1)</f>
        <v>1820</v>
      </c>
      <c r="F624">
        <f>IF(Skills!N4=TRUE,(Skills!L4/10)*(E624/1000),Skills!L4/10)+Skills!O4</f>
        <v>434</v>
      </c>
      <c r="G624">
        <f>Calc!G4</f>
        <v>3</v>
      </c>
      <c r="H624">
        <f>Calc!H4</f>
        <v>1</v>
      </c>
      <c r="I624">
        <f>IF(Skills!X4&lt;&gt;"",1+(Skills!X4/10)*(R623/1000)/100,1)</f>
        <v>7.0159999999999991</v>
      </c>
      <c r="J624">
        <f>((Inputs!$B$5*(1+Inputs!$B$6/100))+((Inputs!$B$11*(1+Inputs!$B$12/100))-(Inputs!$B$11*(1+Inputs!$B$12/100)))*(1+Inputs!$B$6/100))*(F624/100)</f>
        <v>1084266636.0355198</v>
      </c>
      <c r="K624">
        <f>J624*(1+((Inputs!$B$11*(1+Inputs!$B$12/100))*0.01+Inputs!$B$13*0.0025)/100)*(1+Inputs!$B$14/100)*(1+IF(Inputs!$B$4="pvp",0,(1-Summary!$B$56)*(Inputs!$B$19+Skills!P4)+Summary!$B$56*(Inputs!$B$20+Skills!Q4))/100)*(1+Inputs!$B$15/100)*(5000/(6000+Inputs!$B$7*(1-Inputs!$B$18/100)))*(1+Inputs!$B$23/100)*(1+F643/100)*(1+IF(Inputs!$B$3&gt;=120,F646,0)/100)^5*(1+(IF(Skills!A4="BASIC_ATTACK",Inputs!$B$16,(Inputs!$B$17+1)+IF(Inputs!$B$3&gt;=125,F647*5,0)))/100)*(B650*B651*B652*I624)</f>
        <v>58156862467365.297</v>
      </c>
      <c r="L624">
        <f>K624*(MIN(Inputs!$B$21+(F642-Calc!F22),Inputs!$B$22)/100+Inputs!$B$22/100)/2</f>
        <v>156994450230652.59</v>
      </c>
      <c r="M624">
        <f>L624*(1+(Inputs!$B$9+(F641-Calc!F21))/100)</f>
        <v>657963740916665.12</v>
      </c>
      <c r="N624">
        <f>L624*(1-MIN(Inputs!$B$8+(F640-Calc!F20),100)/100)+M624*(MIN(Inputs!$B$8+(F640-Calc!F20),100)/100)</f>
        <v>657963740916665.12</v>
      </c>
      <c r="O624">
        <f>IF(C624,H624*N624*IF(AND(Inputs!$B$4&lt;&gt;"pvp",Inputs!$B$35&gt;0),((Skills!G4*((S624-1)*IF(Skills!H4&gt;0,Skills!I4/Skills!H4,1)+IF(Skills!H4&gt;0,MIN(Skills!I4,MAX(0,Inputs!$B$35-((S624-1)*IF(Inputs!$B$4="pvp",15,MAX(0.1,Skills!E4-IF(Skills!F4=TRUE,Inputs!$B$31,0))))))/Skills!H4,1)))/Inputs!$B$35),G624*V624)*IF(Inputs!$B$4="pvp",1,(1-Summary!$B$56)*(1)+Summary!$B$56*(MIN(Skills!R4,Inputs!$B$37))),0)</f>
        <v>438642493944443.31</v>
      </c>
      <c r="P624">
        <f>IF(B659=0,0,O624/B659)</f>
        <v>5.2461610745243879E-2</v>
      </c>
      <c r="S624">
        <f>IF(AND(Inputs!$B$4&lt;&gt;"pvp",Inputs!$B$35&gt;0),(INT(Inputs!$B$35/IF(Inputs!$B$4="pvp",15,MAX(0.1,Skills!E4-IF(Skills!F4=TRUE,Inputs!$B$31,0))))+1),0)</f>
        <v>0</v>
      </c>
      <c r="T624">
        <f>290*T623/1000</f>
        <v>489.52</v>
      </c>
      <c r="V624">
        <f>IFERROR(1/IF(Inputs!$B$4="pvp",15,MAX(0.1,Skills!E4-IF(Skills!F4=TRUE,Inputs!$B$31,0))),0)</f>
        <v>5.5555555555555552E-2</v>
      </c>
    </row>
    <row r="625" spans="1:22" x14ac:dyDescent="0.2">
      <c r="A625" t="str">
        <f>Skills!A5</f>
        <v>ELEMENTAL_DRAIN</v>
      </c>
      <c r="B625" t="str">
        <f>Skills!B5</f>
        <v>Elemental Drain</v>
      </c>
      <c r="C625" t="b">
        <f>TRUE</f>
        <v>1</v>
      </c>
      <c r="D625">
        <f>IF(Skills!C5=1,60+Inputs!$B$24+Inputs!$B$28,IF(Skills!C5=2,90+Inputs!$B$25+Inputs!$B$28,IF(Skills!C5=3,120+Inputs!$B$26+Inputs!$B$28,MAX(0,(Inputs!$B$3-100)*3)+Inputs!$B$27+Inputs!$B$28)))</f>
        <v>164</v>
      </c>
      <c r="E625">
        <f>INDEX(FactorTable!$B$2:$Y$301, MATCH(ROUND(MIN(300,MAX(1,D625)),0), FactorTable!$A$2:$A$301,0), Skills!M5+1)</f>
        <v>1656</v>
      </c>
      <c r="F625">
        <f>IF(Skills!N5=TRUE,(Skills!L5/10)*(E625/1000),Skills!L5/10)+Skills!O5</f>
        <v>19.872</v>
      </c>
      <c r="G625">
        <f>Calc!G5</f>
        <v>5</v>
      </c>
      <c r="H625">
        <f>Calc!H5</f>
        <v>1</v>
      </c>
      <c r="I625">
        <f>IF(Skills!X5&lt;&gt;"",1+(Skills!X5/10)*(R623/1000)/100,1)</f>
        <v>12.28</v>
      </c>
      <c r="J625">
        <f>((Inputs!$B$5*(1+Inputs!$B$6/100))+((Inputs!$B$11*(1+Inputs!$B$12/100))-(Inputs!$B$11*(1+Inputs!$B$12/100)))*(1+Inputs!$B$6/100))*(F625/100)</f>
        <v>49646420.717276163</v>
      </c>
      <c r="K625">
        <f>J625*(1+((Inputs!$B$11*(1+Inputs!$B$12/100))*0.01+Inputs!$B$13*0.0025)/100)*(1+Inputs!$B$14/100)*(1+IF(Inputs!$B$4="pvp",0,(1-Summary!$B$56)*(Inputs!$B$19+Skills!P5)+Summary!$B$56*(Inputs!$B$20+Skills!Q5))/100)*(1+Inputs!$B$15/100)*(5000/(6000+Inputs!$B$7*(1-Inputs!$B$18/100)))*(1+Inputs!$B$23/100)*(1+F643/100)*(1+IF(Inputs!$B$3&gt;=120,F646,0)/100)^5*(1+(IF(Skills!A5="BASIC_ATTACK",Inputs!$B$16,(Inputs!$B$17+1)+IF(Inputs!$B$3&gt;=125,F647*5,0)))/100)*(B650*B651*B652*I625)</f>
        <v>4660812198609.9648</v>
      </c>
      <c r="L625">
        <f>K625*(MIN(Inputs!$B$21+(F642-Calc!F22),Inputs!$B$22)/100+Inputs!$B$22/100)/2</f>
        <v>12581862530147.598</v>
      </c>
      <c r="M625">
        <f>L625*(1+(Inputs!$B$9+(F641-Calc!F21))/100)</f>
        <v>52730585863848.594</v>
      </c>
      <c r="N625">
        <f>L625*(1-MIN(Inputs!$B$8+(F640-Calc!F20),100)/100)+M625*(MIN(Inputs!$B$8+(F640-Calc!F20),100)/100)</f>
        <v>52730585863848.594</v>
      </c>
      <c r="O625">
        <f>IF(C625,H625*N625*IF(AND(Inputs!$B$4&lt;&gt;"pvp",Inputs!$B$35&gt;0),((Skills!G5*((S625-1)*IF(Skills!H5&gt;0,Skills!I5/Skills!H5,1)+IF(Skills!H5&gt;0,MIN(Skills!I5,MAX(0,Inputs!$B$35-((S625-1)*IF(Inputs!$B$4="pvp",15,MAX(0.1,Skills!E5-IF(Skills!F5=TRUE,Inputs!$B$31,0))))))/Skills!H5,1)))/Inputs!$B$35),G625*V625)*IF(Inputs!$B$4="pvp",1,(1-Summary!$B$56)*(1)+Summary!$B$56*(MIN(Skills!R5,Inputs!$B$37))),0)</f>
        <v>263652929319242.97</v>
      </c>
      <c r="P625">
        <f>IF(B659=0,0,O625/B659)</f>
        <v>3.1532871394674505E-2</v>
      </c>
      <c r="S625">
        <f>IF(AND(Inputs!$B$4&lt;&gt;"pvp",Inputs!$B$35&gt;0),(INT(Inputs!$B$35/IF(Inputs!$B$4="pvp",15,MAX(0.1,Skills!E5-IF(Skills!F5=TRUE,Inputs!$B$31,0))))+1),0)</f>
        <v>0</v>
      </c>
      <c r="V625">
        <f>IFERROR(1/IF(Inputs!$B$4="pvp",15,MAX(0.1,Skills!E5-IF(Skills!F5=TRUE,Inputs!$B$31,0))),0)</f>
        <v>1</v>
      </c>
    </row>
    <row r="626" spans="1:22" x14ac:dyDescent="0.2">
      <c r="A626" t="str">
        <f>Skills!A6</f>
        <v>MEDITATION</v>
      </c>
      <c r="B626" t="str">
        <f>Skills!B6</f>
        <v>Meditation</v>
      </c>
      <c r="C626" t="b">
        <f>TRUE</f>
        <v>1</v>
      </c>
      <c r="D626">
        <f>IF(Skills!C6=1,60+Inputs!$B$24+Inputs!$B$28,IF(Skills!C6=2,90+Inputs!$B$25+Inputs!$B$28,IF(Skills!C6=3,120+Inputs!$B$26+Inputs!$B$28,MAX(0,(Inputs!$B$3-100)*3)+Inputs!$B$27+Inputs!$B$28)))</f>
        <v>164</v>
      </c>
      <c r="E626">
        <f>INDEX(FactorTable!$B$2:$Y$301, MATCH(ROUND(MIN(300,MAX(1,D626)),0), FactorTable!$A$2:$A$301,0), Skills!M6+1)</f>
        <v>1492</v>
      </c>
      <c r="F626">
        <f>IF(Skills!N6=TRUE,(Skills!L6/10)*(E626/1000),Skills!L6/10)+Skills!O6</f>
        <v>29.84</v>
      </c>
      <c r="G626">
        <f>Calc!G6</f>
        <v>1</v>
      </c>
      <c r="H626">
        <f>Calc!H6</f>
        <v>1</v>
      </c>
      <c r="I626">
        <f>IF(Skills!X6&lt;&gt;"",1+(Skills!X6/10)*(R623/1000)/100,1)</f>
        <v>1</v>
      </c>
      <c r="O626">
        <v>0</v>
      </c>
      <c r="P626">
        <f>IF(B659=0,0,O626/B659)</f>
        <v>0</v>
      </c>
      <c r="S626">
        <f>IF(AND(Inputs!$B$4&lt;&gt;"pvp",Inputs!$B$35&gt;0),(INT(Inputs!$B$35/IF(Inputs!$B$4="pvp",15,MAX(0.1,Skills!E6-IF(Skills!F6=TRUE,Inputs!$B$31,0))))+1),0)</f>
        <v>0</v>
      </c>
      <c r="V626">
        <f>IFERROR(1/IF(Inputs!$B$4="pvp",15,MAX(0.1,Skills!E6-IF(Skills!F6=TRUE,Inputs!$B$31,0))),0)</f>
        <v>3.3333333333333333E-2</v>
      </c>
    </row>
    <row r="627" spans="1:22" x14ac:dyDescent="0.2">
      <c r="A627" t="str">
        <f>Skills!A7</f>
        <v>POISON_MIST_BURST</v>
      </c>
      <c r="B627" t="str">
        <f>Skills!B7</f>
        <v>Poison Mist (burst)</v>
      </c>
      <c r="C627" t="b">
        <f>TRUE</f>
        <v>1</v>
      </c>
      <c r="D627">
        <f>IF(Skills!C7=1,60+Inputs!$B$24+Inputs!$B$28,IF(Skills!C7=2,90+Inputs!$B$25+Inputs!$B$28,IF(Skills!C7=3,120+Inputs!$B$26+Inputs!$B$28,MAX(0,(Inputs!$B$3-100)*3)+Inputs!$B$27+Inputs!$B$28)))</f>
        <v>184</v>
      </c>
      <c r="E627">
        <f>INDEX(FactorTable!$B$2:$Y$301, MATCH(ROUND(MIN(300,MAX(1,D627)),0), FactorTable!$A$2:$A$301,0), Skills!M7+1)</f>
        <v>1920</v>
      </c>
      <c r="F627">
        <f>IF(Skills!N7=TRUE,(Skills!L7/10)*(E627/1000),Skills!L7/10)+Skills!O7</f>
        <v>357.2</v>
      </c>
      <c r="G627">
        <f>Calc!G7</f>
        <v>3</v>
      </c>
      <c r="H627">
        <f>Calc!H7</f>
        <v>1</v>
      </c>
      <c r="I627">
        <f>IF(Skills!X7&lt;&gt;"",1+(Skills!X7/10)*(R623/1000)/100,1)</f>
        <v>1.7519999999999998</v>
      </c>
      <c r="J627">
        <f>((Inputs!$B$5*(1+Inputs!$B$6/100))+((Inputs!$B$11*(1+Inputs!$B$12/100))-(Inputs!$B$11*(1+Inputs!$B$12/100)))*(1+Inputs!$B$6/100))*(F627/100)</f>
        <v>892396411.04121602</v>
      </c>
      <c r="K627">
        <f>J627*(1+((Inputs!$B$11*(1+Inputs!$B$12/100))*0.01+Inputs!$B$13*0.0025)/100)*(1+Inputs!$B$14/100)*(1+IF(Inputs!$B$4="pvp",0,(1-Summary!$B$56)*(Inputs!$B$19+Skills!P7)+Summary!$B$56*(Inputs!$B$20+Skills!Q7))/100)*(1+Inputs!$B$15/100)*(5000/(6000+Inputs!$B$7*(1-Inputs!$B$18/100)))*(1+Inputs!$B$23/100)*(1+F643/100)*(1+IF(Inputs!$B$3&gt;=120,F646,0)/100)^5*(1+(IF(Skills!A7="BASIC_ATTACK",Inputs!$B$16,(Inputs!$B$17+1)+IF(Inputs!$B$3&gt;=125,F647*5,0)))/100)*(B650*B651*B652*I627)</f>
        <v>11952732789468.949</v>
      </c>
      <c r="L627">
        <f>K627*(MIN(Inputs!$B$21+(F642-Calc!F22),Inputs!$B$22)/100+Inputs!$B$22/100)/2</f>
        <v>32266402165171.422</v>
      </c>
      <c r="M627">
        <f>L627*(1+(Inputs!$B$9+(F641-Calc!F21))/100)</f>
        <v>135228491474233.45</v>
      </c>
      <c r="N627">
        <f>L627*(1-MIN(Inputs!$B$8+(F640-Calc!F20),100)/100)+M627*(MIN(Inputs!$B$8+(F640-Calc!F20),100)/100)</f>
        <v>135228491474233.45</v>
      </c>
      <c r="O627">
        <f>IF(C627,H627*N627*IF(AND(Inputs!$B$4&lt;&gt;"pvp",Inputs!$B$35&gt;0),((Skills!G7*((S627-1)*IF(Skills!H7&gt;0,Skills!I7/Skills!H7,1)+IF(Skills!H7&gt;0,MIN(Skills!I7,MAX(0,Inputs!$B$35-((S627-1)*IF(Inputs!$B$4="pvp",15,MAX(0.1,Skills!E7-IF(Skills!F7=TRUE,Inputs!$B$31,0))))))/Skills!H7,1)))/Inputs!$B$35),G627*V627)*IF(Inputs!$B$4="pvp",1,(1-Summary!$B$56)*(1)+Summary!$B$56*(MIN(Skills!R7,Inputs!$B$37))),0)</f>
        <v>105974981073685</v>
      </c>
      <c r="P627">
        <f>IF(B659=0,0,O627/B659)</f>
        <v>1.2674600118716288E-2</v>
      </c>
      <c r="S627">
        <f>IF(AND(Inputs!$B$4&lt;&gt;"pvp",Inputs!$B$35&gt;0),(INT(Inputs!$B$35/IF(Inputs!$B$4="pvp",15,MAX(0.1,Skills!E7-IF(Skills!F7=TRUE,Inputs!$B$31,0))))+1),0)</f>
        <v>0</v>
      </c>
      <c r="V627">
        <f>IFERROR(1/IF(Inputs!$B$4="pvp",15,MAX(0.1,Skills!E7-IF(Skills!F7=TRUE,Inputs!$B$31,0))),0)</f>
        <v>4.0816326530612242E-2</v>
      </c>
    </row>
    <row r="628" spans="1:22" x14ac:dyDescent="0.2">
      <c r="A628" t="str">
        <f>Skills!A8</f>
        <v>POISON_MIST_DOT</v>
      </c>
      <c r="B628" t="str">
        <f>Skills!B8</f>
        <v>Poison Mist (fog DoT)</v>
      </c>
      <c r="C628" t="b">
        <f>TRUE</f>
        <v>1</v>
      </c>
      <c r="D628">
        <f>IF(Skills!C8=1,60+Inputs!$B$24+Inputs!$B$28,IF(Skills!C8=2,90+Inputs!$B$25+Inputs!$B$28,IF(Skills!C8=3,120+Inputs!$B$26+Inputs!$B$28,MAX(0,(Inputs!$B$3-100)*3)+Inputs!$B$27+Inputs!$B$28)))</f>
        <v>184</v>
      </c>
      <c r="E628">
        <f>INDEX(FactorTable!$B$2:$Y$301, MATCH(ROUND(MIN(300,MAX(1,D628)),0), FactorTable!$A$2:$A$301,0), Skills!M8+1)</f>
        <v>1920</v>
      </c>
      <c r="F628">
        <f>IF(Skills!N8=TRUE,(Skills!L8/10)*(E628/1000),Skills!L8/10)+Skills!O8</f>
        <v>134.4</v>
      </c>
      <c r="G628">
        <f>Calc!G8</f>
        <v>50</v>
      </c>
      <c r="H628">
        <f>Calc!H8</f>
        <v>1</v>
      </c>
      <c r="I628">
        <f>IF(Skills!X8&lt;&gt;"",1+(Skills!X8/10)*(R623/1000)/100,1)</f>
        <v>1.7519999999999998</v>
      </c>
      <c r="J628">
        <f>((Inputs!$B$5*(1+Inputs!$B$6/100))+((Inputs!$B$11*(1+Inputs!$B$12/100))-(Inputs!$B$11*(1+Inputs!$B$12/100)))*(1+Inputs!$B$6/100))*(F628/100)</f>
        <v>335772893.74003202</v>
      </c>
      <c r="K628">
        <f>J628*(1+((Inputs!$B$11*(1+Inputs!$B$12/100))*0.01+Inputs!$B$13*0.0025)/100)*(1+Inputs!$B$14/100)*(1+IF(Inputs!$B$4="pvp",0,(1-Summary!$B$56)*(Inputs!$B$19+Skills!P8)+Summary!$B$56*(Inputs!$B$20+Skills!Q8))/100)*(1+Inputs!$B$15/100)*(5000/(6000+Inputs!$B$7*(1-Inputs!$B$18/100)))*(1+Inputs!$B$23/100)*(1+F643/100)*(1+IF(Inputs!$B$3&gt;=120,F646,0)/100)^5*(1+(IF(Skills!A8="BASIC_ATTACK",Inputs!$B$16,(Inputs!$B$17+1)+IF(Inputs!$B$3&gt;=125,F647*5,0)))/100)*(B650*B651*B652*I628)</f>
        <v>4497332830080.1426</v>
      </c>
      <c r="L628">
        <f>K628*(MIN(Inputs!$B$21+(F642-Calc!F22),Inputs!$B$22)/100+Inputs!$B$22/100)/2</f>
        <v>12140549974801.344</v>
      </c>
      <c r="M628">
        <f>L628*(1+(Inputs!$B$9+(F641-Calc!F21))/100)</f>
        <v>50881044944392.438</v>
      </c>
      <c r="N628">
        <f>L628*(1-MIN(Inputs!$B$8+(F640-Calc!F20),100)/100)+M628*(MIN(Inputs!$B$8+(F640-Calc!F20),100)/100)</f>
        <v>50881044944392.438</v>
      </c>
      <c r="O628">
        <f>IF(C628,H628*N628*IF(AND(Inputs!$B$4&lt;&gt;"pvp",Inputs!$B$35&gt;0),((Skills!G8*((S628-1)*IF(Skills!H8&gt;0,Skills!I8/Skills!H8,1)+IF(Skills!H8&gt;0,MIN(Skills!I8,MAX(0,Inputs!$B$35-((S628-1)*IF(Inputs!$B$4="pvp",15,MAX(0.1,Skills!E8-IF(Skills!F8=TRUE,Inputs!$B$31,0))))))/Skills!H8,1)))/Inputs!$B$35),G628*V628)*IF(Inputs!$B$4="pvp",1,(1-Summary!$B$56)*(1)+Summary!$B$56*(MIN(Skills!R8,Inputs!$B$37))),0)</f>
        <v>664568750294105.38</v>
      </c>
      <c r="P628">
        <f>IF(B659=0,0,O628/B659)</f>
        <v>7.9482374764626232E-2</v>
      </c>
      <c r="S628">
        <f>IF(AND(Inputs!$B$4&lt;&gt;"pvp",Inputs!$B$35&gt;0),(INT(Inputs!$B$35/IF(Inputs!$B$4="pvp",15,MAX(0.1,Skills!E8-IF(Skills!F8=TRUE,Inputs!$B$31,0))))+1),0)</f>
        <v>0</v>
      </c>
      <c r="V628">
        <f>IFERROR(1/IF(Inputs!$B$4="pvp",15,MAX(0.1,Skills!E8-IF(Skills!F8=TRUE,Inputs!$B$31,0))),0)</f>
        <v>4.0816326530612242E-2</v>
      </c>
    </row>
    <row r="629" spans="1:22" x14ac:dyDescent="0.2">
      <c r="A629" t="str">
        <f>Skills!A9</f>
        <v>MIST_ERUPTION</v>
      </c>
      <c r="B629" t="str">
        <f>Skills!B9</f>
        <v>Mist Eruption</v>
      </c>
      <c r="C629" t="b">
        <f>Inputs!$B$3&gt;=103</f>
        <v>1</v>
      </c>
      <c r="D629">
        <f>IF(Skills!C9=1,60+Inputs!$B$24+Inputs!$B$28,IF(Skills!C9=2,90+Inputs!$B$25+Inputs!$B$28,IF(Skills!C9=3,120+Inputs!$B$26+Inputs!$B$28,MAX(0,(Inputs!$B$3-100)*3)+Inputs!$B$27+Inputs!$B$28)))</f>
        <v>172</v>
      </c>
      <c r="E629">
        <f>INDEX(FactorTable!$B$2:$Y$301, MATCH(ROUND(MIN(300,MAX(1,D629)),0), FactorTable!$A$2:$A$301,0), Skills!M9+1)</f>
        <v>1860</v>
      </c>
      <c r="F629">
        <f>IF(Skills!N9=TRUE,(Skills!L9/10)*(E629/1000),Skills!L9/10)+Skills!O9</f>
        <v>5580</v>
      </c>
      <c r="G629">
        <f>Calc!G9</f>
        <v>2.8</v>
      </c>
      <c r="H629">
        <f>Calc!H9</f>
        <v>1</v>
      </c>
      <c r="I629">
        <f>IF(Skills!X9&lt;&gt;"",1+(Skills!X9/10)*(R623/1000)/100,1)</f>
        <v>1</v>
      </c>
      <c r="J629">
        <f>((Inputs!$B$5*(1+Inputs!$B$6/100))+((Inputs!$B$11*(1+Inputs!$B$12/100))-(Inputs!$B$11*(1+Inputs!$B$12/100)))*(1+Inputs!$B$6/100))*(F629/100)</f>
        <v>13940571034.742399</v>
      </c>
      <c r="K629">
        <f>J629*(1+((Inputs!$B$11*(1+Inputs!$B$12/100))*0.01+Inputs!$B$13*0.0025)/100)*(1+Inputs!$B$14/100)*(1+IF(Inputs!$B$4="pvp",0,(1-Summary!$B$56)*(Inputs!$B$19+Skills!P9)+Summary!$B$56*(Inputs!$B$20+Skills!Q9))/100)*(1+Inputs!$B$15/100)*(5000/(6000+Inputs!$B$7*(1-Inputs!$B$18/100)))*(1+Inputs!$B$23/100)*(1+F643/100)*(1+IF(Inputs!$B$3&gt;=120,F646,0)/100)^5*(1+(IF(Skills!A9="BASIC_ATTACK",Inputs!$B$16,(Inputs!$B$17+1)+IF(Inputs!$B$3&gt;=125,F647*5,0)))/100)*(B650*B651*B652*I629)</f>
        <v>106575126691294.97</v>
      </c>
      <c r="L629">
        <f>K629*(MIN(Inputs!$B$21+(F642-Calc!F22),Inputs!$B$22)/100+Inputs!$B$22/100)/2</f>
        <v>287699554503150.75</v>
      </c>
      <c r="M629">
        <f>L629*(1+(Inputs!$B$9+(F641-Calc!F21))/100)</f>
        <v>1205748832922705</v>
      </c>
      <c r="N629">
        <f>L629*(1-MIN(Inputs!$B$8+(F640-Calc!F20),100)/100)+M629*(MIN(Inputs!$B$8+(F640-Calc!F20),100)/100)</f>
        <v>1205748832922705</v>
      </c>
      <c r="O629">
        <f>IF(C629,H629*N629*IF(AND(Inputs!$B$4&lt;&gt;"pvp",Inputs!$B$35&gt;0),((Skills!G9*((S629-1)*IF(Skills!H9&gt;0,Skills!I9/Skills!H9,1)+IF(Skills!H9&gt;0,MIN(Skills!I9,MAX(0,Inputs!$B$35-((S629-1)*IF(Inputs!$B$4="pvp",15,MAX(0.1,Skills!E9-IF(Skills!F7=TRUE,Inputs!$B$31,0))))))/Skills!H9,1)))/Inputs!$B$35),G629*V629)*IF(Inputs!$B$4="pvp",1,(1-Summary!$B$56)*(1)+Summary!$B$56*(MIN(Skills!R9,Inputs!$B$37))),0)</f>
        <v>881919146366321.25</v>
      </c>
      <c r="P629">
        <f>IF(B659=0,0,O629/B659)</f>
        <v>0.10547746651127624</v>
      </c>
      <c r="S629">
        <f>IF(AND(Inputs!$B$4&lt;&gt;"pvp",Inputs!$B$35&gt;0),(INT(Inputs!$B$35/IF(Inputs!$B$4="pvp",15,MAX(0.1,Skills!E9-IF(Skills!F7=TRUE,Inputs!$B$31,0))))+1),0)</f>
        <v>0</v>
      </c>
      <c r="V629">
        <f>IFERROR(1/IF(Inputs!$B$4="pvp",15,MAX(0.1,Skills!E9-IF(Skills!F7=TRUE,Inputs!$B$31,0))),0)</f>
        <v>4.0816326530612242E-2</v>
      </c>
    </row>
    <row r="630" spans="1:22" x14ac:dyDescent="0.2">
      <c r="A630" t="str">
        <f>Skills!A10</f>
        <v>CREEPING_TOXIN</v>
      </c>
      <c r="B630" t="str">
        <f>Skills!B10</f>
        <v>Creeping Toxin</v>
      </c>
      <c r="C630" t="b">
        <f>TRUE</f>
        <v>1</v>
      </c>
      <c r="D630">
        <f>IF(Skills!C10=1,60+Inputs!$B$24+Inputs!$B$28,IF(Skills!C10=2,90+Inputs!$B$25+Inputs!$B$28,IF(Skills!C10=3,120+Inputs!$B$26+Inputs!$B$28,MAX(0,(Inputs!$B$3-100)*3)+Inputs!$B$27+Inputs!$B$28)))</f>
        <v>184</v>
      </c>
      <c r="E630">
        <f>INDEX(FactorTable!$B$2:$Y$301, MATCH(ROUND(MIN(300,MAX(1,D630)),0), FactorTable!$A$2:$A$301,0), Skills!M10+1)</f>
        <v>1920</v>
      </c>
      <c r="F630">
        <f>IF(Skills!N10=TRUE,(Skills!L10/10)*(E630/1000),Skills!L10/10)+Skills!O10</f>
        <v>280.39999999999998</v>
      </c>
      <c r="G630">
        <f>Calc!G10</f>
        <v>15</v>
      </c>
      <c r="H630">
        <f>Calc!H10</f>
        <v>1</v>
      </c>
      <c r="I630">
        <f>IF(Skills!X10&lt;&gt;"",1+(Skills!X10/10)*(R623/1000)/100,1)</f>
        <v>1.7519999999999998</v>
      </c>
      <c r="J630">
        <f>((Inputs!$B$5*(1+Inputs!$B$6/100))+((Inputs!$B$11*(1+Inputs!$B$12/100))-(Inputs!$B$11*(1+Inputs!$B$12/100)))*(1+Inputs!$B$6/100))*(F630/100)</f>
        <v>700526186.04691195</v>
      </c>
      <c r="K630">
        <f>J630*(1+((Inputs!$B$11*(1+Inputs!$B$12/100))*0.01+Inputs!$B$13*0.0025)/100)*(1+Inputs!$B$14/100)*(1+IF(Inputs!$B$4="pvp",0,(1-Summary!$B$56)*(Inputs!$B$19+Skills!P10)+Summary!$B$56*(Inputs!$B$20+Skills!Q10))/100)*(1+Inputs!$B$15/100)*(5000/(6000+Inputs!$B$7*(1-Inputs!$B$18/100)))*(1+Inputs!$B$23/100)*(1+F643/100)*(1+IF(Inputs!$B$3&gt;=120,F646,0)/100)^5*(1+(IF(Skills!A10="BASIC_ATTACK",Inputs!$B$16,(Inputs!$B$17+1)+IF(Inputs!$B$3&gt;=125,F647*5,0)))/100)*(B650*B651*B652*I630)</f>
        <v>11072413245834.457</v>
      </c>
      <c r="L630">
        <f>K630*(MIN(Inputs!$B$21+(F642-Calc!F22),Inputs!$B$22)/100+Inputs!$B$22/100)/2</f>
        <v>29889979557130.113</v>
      </c>
      <c r="M630">
        <f>L630*(1+(Inputs!$B$9+(F641-Calc!F21))/100)</f>
        <v>125268904323932.33</v>
      </c>
      <c r="N630">
        <f>L630*(1-MIN(Inputs!$B$8+(F640-Calc!F20),100)/100)+M630*(MIN(Inputs!$B$8+(F640-Calc!F20),100)/100)</f>
        <v>125268904323932.33</v>
      </c>
      <c r="O630">
        <f>IF(C630,H630*N630*IF(AND(Inputs!$B$4&lt;&gt;"pvp",Inputs!$B$35&gt;0),((Skills!G10*((S630-1)*IF(Skills!H10&gt;0,Skills!I10/Skills!H10,1)+IF(Skills!H10&gt;0,MIN(Skills!I10,MAX(0,Inputs!$B$35-((S630-1)*IF(Inputs!$B$4="pvp",15,MAX(0.1,Skills!E10-IF(Skills!F10=TRUE,Inputs!$B$31,0))))))/Skills!H10,1)))/Inputs!$B$35),G630*V630)*IF(Inputs!$B$4="pvp",1,(1-Summary!$B$56)*(1)+Summary!$B$56*(MIN(Skills!R10,Inputs!$B$37))),0)</f>
        <v>69593835735517.961</v>
      </c>
      <c r="P630">
        <f>IF(B659=0,0,O630/B659)</f>
        <v>8.3234177514219781E-3</v>
      </c>
      <c r="S630">
        <f>IF(AND(Inputs!$B$4&lt;&gt;"pvp",Inputs!$B$35&gt;0),(INT(Inputs!$B$35/IF(Inputs!$B$4="pvp",15,MAX(0.1,Skills!E10-IF(Skills!F10=TRUE,Inputs!$B$31,0))))+1),0)</f>
        <v>0</v>
      </c>
      <c r="V630">
        <f>IFERROR(1/IF(Inputs!$B$4="pvp",15,MAX(0.1,Skills!E10-IF(Skills!F10=TRUE,Inputs!$B$31,0))),0)</f>
        <v>3.7037037037037035E-2</v>
      </c>
    </row>
    <row r="631" spans="1:22" x14ac:dyDescent="0.2">
      <c r="A631" t="str">
        <f>Skills!A11</f>
        <v>BURNING_MAGIC</v>
      </c>
      <c r="B631" t="str">
        <f>Skills!B11</f>
        <v>Burning Magic</v>
      </c>
      <c r="C631" t="b">
        <f>TRUE</f>
        <v>1</v>
      </c>
      <c r="D631">
        <f>IF(Skills!C11=1,60+Inputs!$B$24+Inputs!$B$28,IF(Skills!C11=2,90+Inputs!$B$25+Inputs!$B$28,IF(Skills!C11=3,120+Inputs!$B$26+Inputs!$B$28,MAX(0,(Inputs!$B$3-100)*3)+Inputs!$B$27+Inputs!$B$28)))</f>
        <v>184</v>
      </c>
      <c r="E631">
        <f>INDEX(FactorTable!$B$2:$Y$301, MATCH(ROUND(MIN(300,MAX(1,D631)),0), FactorTable!$A$2:$A$301,0), Skills!M11+1)</f>
        <v>0</v>
      </c>
      <c r="F631">
        <f>IF(Skills!N11=TRUE,(Skills!L11/10)*(E631/1000),Skills!L11/10)+Skills!O11</f>
        <v>5</v>
      </c>
      <c r="G631">
        <f>Calc!G11</f>
        <v>1</v>
      </c>
      <c r="H631">
        <f>Calc!H11</f>
        <v>1</v>
      </c>
      <c r="I631">
        <f>IF(Skills!X11&lt;&gt;"",1+(Skills!X11/10)*(R623/1000)/100,1)</f>
        <v>1</v>
      </c>
      <c r="O631">
        <v>0</v>
      </c>
      <c r="P631">
        <f>IF(B659=0,0,O631/B659)</f>
        <v>0</v>
      </c>
      <c r="S631">
        <v>0</v>
      </c>
      <c r="V631">
        <f>IFERROR(1/IF(Inputs!$B$4="pvp",15,MAX(0.1,Skills!E11-IF(Skills!F11=TRUE,Inputs!$B$31,0))),0)</f>
        <v>10</v>
      </c>
    </row>
    <row r="632" spans="1:22" x14ac:dyDescent="0.2">
      <c r="A632" t="str">
        <f>Skills!A12</f>
        <v>ELEMENTAL_DECREASE</v>
      </c>
      <c r="B632" t="str">
        <f>Skills!B12</f>
        <v>Elemental Decrease</v>
      </c>
      <c r="C632" t="b">
        <f>TRUE</f>
        <v>1</v>
      </c>
      <c r="D632">
        <f>IF(Skills!C12=1,60+Inputs!$B$24+Inputs!$B$28,IF(Skills!C12=2,90+Inputs!$B$25+Inputs!$B$28,IF(Skills!C12=3,120+Inputs!$B$26+Inputs!$B$28,MAX(0,(Inputs!$B$3-100)*3)+Inputs!$B$27+Inputs!$B$28)))</f>
        <v>184</v>
      </c>
      <c r="E632">
        <f>INDEX(FactorTable!$B$2:$Y$301, MATCH(ROUND(MIN(300,MAX(1,D632)),0), FactorTable!$A$2:$A$301,0), Skills!M12+1)</f>
        <v>1552</v>
      </c>
      <c r="F632">
        <f>IF(Skills!N12=TRUE,(Skills!L12/10)*(E632/1000),Skills!L12/10)+Skills!O12</f>
        <v>18.624000000000002</v>
      </c>
      <c r="G632">
        <f>Calc!G12</f>
        <v>1</v>
      </c>
      <c r="H632">
        <f>Calc!H12</f>
        <v>0.5</v>
      </c>
      <c r="I632">
        <f>IF(Skills!X12&lt;&gt;"",1+(Skills!X12/10)*(R623/1000)/100,1)</f>
        <v>1</v>
      </c>
      <c r="O632">
        <v>0</v>
      </c>
      <c r="P632">
        <f>IF(B659=0,0,O632/B659)</f>
        <v>0</v>
      </c>
      <c r="S632">
        <v>0</v>
      </c>
      <c r="V632">
        <f>IFERROR(1/IF(Inputs!$B$4="pvp",15,MAX(0.1,Skills!E12-IF(Skills!F12=TRUE,Inputs!$B$31,0))),0)</f>
        <v>10</v>
      </c>
    </row>
    <row r="633" spans="1:22" x14ac:dyDescent="0.2">
      <c r="A633" t="str">
        <f>Skills!A13</f>
        <v>METEOR_SHOWER_BURST</v>
      </c>
      <c r="B633" t="str">
        <f>Skills!B13</f>
        <v>Meteor Shower (burst)</v>
      </c>
      <c r="C633" t="b">
        <f>Inputs!$B$3&gt;=105</f>
        <v>1</v>
      </c>
      <c r="D633">
        <f>IF(Skills!C13=1,60+Inputs!$B$24+Inputs!$B$28,IF(Skills!C13=2,90+Inputs!$B$25+Inputs!$B$28,IF(Skills!C13=3,120+Inputs!$B$26+Inputs!$B$28,MAX(0,(Inputs!$B$3-100)*3)+Inputs!$B$27+Inputs!$B$28)))</f>
        <v>172</v>
      </c>
      <c r="E633">
        <f>INDEX(FactorTable!$B$2:$Y$301, MATCH(ROUND(MIN(300,MAX(1,D633)),0), FactorTable!$A$2:$A$301,0), Skills!M13+1)</f>
        <v>1860</v>
      </c>
      <c r="F633">
        <f>IF(Skills!N13=TRUE,(Skills!L13/10)*(E633/1000),Skills!L13/10)+Skills!O13</f>
        <v>1116</v>
      </c>
      <c r="G633">
        <f>Calc!G13</f>
        <v>9</v>
      </c>
      <c r="H633">
        <f>Calc!H13</f>
        <v>1</v>
      </c>
      <c r="I633">
        <f>IF(Skills!X13&lt;&gt;"",1+(Skills!X13/10)*(R623/1000)/100,1)</f>
        <v>1</v>
      </c>
      <c r="J633">
        <f>((Inputs!$B$5*(1+Inputs!$B$6/100))+((Inputs!$B$11*(1+Inputs!$B$12/100))-(Inputs!$B$11*(1+Inputs!$B$12/100)))*(1+Inputs!$B$6/100))*(F633/100)</f>
        <v>2788114206.9484801</v>
      </c>
      <c r="K633">
        <f>J633*(1+((Inputs!$B$11*(1+Inputs!$B$12/100))*0.01+Inputs!$B$13*0.0025)/100)*(1+Inputs!$B$14/100)*(1+IF(Inputs!$B$4="pvp",0,(1-Summary!$B$56)*(Inputs!$B$19+Skills!P13)+Summary!$B$56*(Inputs!$B$20+Skills!Q13))/100)*(1+Inputs!$B$15/100)*(5000/(6000+Inputs!$B$7*(1-Inputs!$B$18/100)))*(1+Inputs!$B$23/100)*(1+F643/100)*(1+IF(Inputs!$B$3&gt;=120,F646,0)/100)^5*(1+(IF(Skills!A13="BASIC_ATTACK",Inputs!$B$16,(Inputs!$B$17+1)+IF(Inputs!$B$3&gt;=125,F647*5,0)))/100)*(B650*B651*B652*I633)</f>
        <v>21315025338258.988</v>
      </c>
      <c r="L633">
        <f>K633*(MIN(Inputs!$B$21+(F642-Calc!F22),Inputs!$B$22)/100+Inputs!$B$22/100)/2</f>
        <v>57539910900630.133</v>
      </c>
      <c r="M633">
        <f>L633*(1+(Inputs!$B$9+(F641-Calc!F21))/100)</f>
        <v>241149766584540.94</v>
      </c>
      <c r="N633">
        <f>L633*(1-MIN(Inputs!$B$8+(F640-Calc!F20),100)/100)+M633*(MIN(Inputs!$B$8+(F640-Calc!F20),100)/100)</f>
        <v>241149766584540.94</v>
      </c>
      <c r="O633">
        <f>IF(C633,H633*N633*IF(AND(Inputs!$B$4&lt;&gt;"pvp",Inputs!$B$35&gt;0),((Skills!G13*((S633-1)*IF(Skills!H13&gt;0,Skills!I13/Skills!H13,1)+IF(Skills!H13&gt;0,MIN(Skills!I13,MAX(0,Inputs!$B$35-((S633-1)*IF(Inputs!$B$4="pvp",15,MAX(0.1,Skills!E13-IF(Skills!F13=TRUE,Inputs!$B$31,0))))))/Skills!H13,1)))/Inputs!$B$35),G633*V633)*IF(Inputs!$B$4="pvp",1,(1-Summary!$B$56)*(1)+Summary!$B$56*(MIN(Skills!R13,Inputs!$B$37))),0)</f>
        <v>302533343533333.19</v>
      </c>
      <c r="P633">
        <f>IF(B659=0,0,O633/B659)</f>
        <v>3.6182966139876718E-2</v>
      </c>
      <c r="S633">
        <f>IF(AND(Inputs!$B$4&lt;&gt;"pvp",Inputs!$B$35&gt;0),(INT(Inputs!$B$35/IF(Inputs!$B$4="pvp",15,MAX(0.1,Skills!E13-IF(Skills!F13=TRUE,Inputs!$B$31,0))))+1),0)</f>
        <v>0</v>
      </c>
      <c r="V633">
        <f>IFERROR(1/IF(Inputs!$B$4="pvp",15,MAX(0.1,Skills!E13-IF(Skills!F13=TRUE,Inputs!$B$31,0))),0)</f>
        <v>3.0303030303030304E-2</v>
      </c>
    </row>
    <row r="634" spans="1:22" x14ac:dyDescent="0.2">
      <c r="A634" t="str">
        <f>Skills!A14</f>
        <v>METEOR_PROC</v>
      </c>
      <c r="B634" t="str">
        <f>Skills!B14</f>
        <v>Meteor Proc (30% on-hit, 1s ICD)</v>
      </c>
      <c r="C634" t="b">
        <f>Inputs!$B$3&gt;=113</f>
        <v>1</v>
      </c>
      <c r="D634">
        <f>IF(Skills!C14=1,60+Inputs!$B$24+Inputs!$B$28,IF(Skills!C14=2,90+Inputs!$B$25+Inputs!$B$28,IF(Skills!C14=3,120+Inputs!$B$26+Inputs!$B$28,MAX(0,(Inputs!$B$3-100)*3)+Inputs!$B$27+Inputs!$B$28)))</f>
        <v>172</v>
      </c>
      <c r="E634">
        <f>INDEX(FactorTable!$B$2:$Y$301, MATCH(ROUND(MIN(300,MAX(1,D634)),0), FactorTable!$A$2:$A$301,0), Skills!M14+1)</f>
        <v>1688</v>
      </c>
      <c r="F634">
        <f>IF(Skills!N14=TRUE,(Skills!L14/10)*(E634/1000),Skills!L14/10)+Skills!O14</f>
        <v>1603.6</v>
      </c>
      <c r="G634">
        <f>Calc!G14</f>
        <v>0</v>
      </c>
      <c r="H634">
        <f>Calc!H14</f>
        <v>0.30000000000000004</v>
      </c>
      <c r="I634">
        <f>IF(Skills!X14&lt;&gt;"",1+(Skills!X14/10)*(R623/1000)/100,1)</f>
        <v>1</v>
      </c>
      <c r="J634">
        <f>((Inputs!$B$5*(1+Inputs!$B$6/100))+((Inputs!$B$11*(1+Inputs!$B$12/100))-(Inputs!$B$11*(1+Inputs!$B$12/100)))*(1+Inputs!$B$6/100))*(F634/100)</f>
        <v>4006290270.8446074</v>
      </c>
      <c r="K634">
        <f>J634*(1+((Inputs!$B$11*(1+Inputs!$B$12/100))*0.01+Inputs!$B$13*0.0025)/100)*(1+Inputs!$B$14/100)*(1+IF(Inputs!$B$4="pvp",0,(1-Summary!$B$56)*(Inputs!$B$19+Skills!P14)+Summary!$B$56*(Inputs!$B$20+Skills!Q14))/100)*(1+Inputs!$B$15/100)*(5000/(6000+Inputs!$B$7*(1-Inputs!$B$18/100)))*(1+Inputs!$B$23/100)*(1+F643/100)*(1+IF(Inputs!$B$3&gt;=120,F646,0)/100)^5*(1+(IF(Skills!A14="BASIC_ATTACK",Inputs!$B$16,(Inputs!$B$17+1)+IF(Inputs!$B$3&gt;=125,F647*5,0)))/100)*(B650*B651*B652*I634)</f>
        <v>30627934258451.723</v>
      </c>
      <c r="L634">
        <f>K634*(MIN(Inputs!$B$21+(F642-Calc!F22),Inputs!$B$22)/100+Inputs!$B$22/100)/2</f>
        <v>82680108530690.406</v>
      </c>
      <c r="M634">
        <f>L634*(1+(Inputs!$B$9+(F641-Calc!F21))/100)</f>
        <v>346512334852123.56</v>
      </c>
      <c r="N634">
        <f>L634*(1-MIN(Inputs!$B$8+(F640-Calc!F20),100)/100)+M634*(MIN(Inputs!$B$8+(F640-Calc!F20),100)/100)</f>
        <v>346512334852123.56</v>
      </c>
      <c r="O634">
        <f>IF(C634,(H634*B657)/(1+Skills!H14*H634*B657)*N634*IF(Inputs!$B$4="pvp",1,(1-Summary!$B$56)*(1)+Summary!$B$56*(MIN(Skills!R14,Inputs!$B$37))),0)</f>
        <v>108999830544473.23</v>
      </c>
      <c r="P634">
        <f>IF(B659=0,0,O634/B659)</f>
        <v>1.303637189799025E-2</v>
      </c>
      <c r="S634">
        <v>0</v>
      </c>
      <c r="V634">
        <f>IFERROR(1/IF(Inputs!$B$4="pvp",15,MAX(0.1,Skills!E14-IF(Skills!F14=TRUE,Inputs!$B$31,0))),0)</f>
        <v>10</v>
      </c>
    </row>
    <row r="635" spans="1:22" x14ac:dyDescent="0.2">
      <c r="A635" t="str">
        <f>Skills!A15</f>
        <v>FLAME_HAZE_BURST</v>
      </c>
      <c r="B635" t="str">
        <f>Skills!B15</f>
        <v>Flame Haze (burst)</v>
      </c>
      <c r="C635" t="b">
        <f>Inputs!$B$3&gt;=107</f>
        <v>1</v>
      </c>
      <c r="D635">
        <f>IF(Skills!C15=1,60+Inputs!$B$24+Inputs!$B$28,IF(Skills!C15=2,90+Inputs!$B$25+Inputs!$B$28,IF(Skills!C15=3,120+Inputs!$B$26+Inputs!$B$28,MAX(0,(Inputs!$B$3-100)*3)+Inputs!$B$27+Inputs!$B$28)))</f>
        <v>172</v>
      </c>
      <c r="E635">
        <f>INDEX(FactorTable!$B$2:$Y$301, MATCH(ROUND(MIN(300,MAX(1,D635)),0), FactorTable!$A$2:$A$301,0), Skills!M15+1)</f>
        <v>1860</v>
      </c>
      <c r="F635">
        <f>IF(Skills!N15=TRUE,(Skills!L15/10)*(E635/1000),Skills!L15/10)+Skills!O15</f>
        <v>2232</v>
      </c>
      <c r="G635">
        <f>Calc!G15</f>
        <v>3</v>
      </c>
      <c r="H635">
        <f>Calc!H15</f>
        <v>1</v>
      </c>
      <c r="I635">
        <f>IF(Skills!X15&lt;&gt;"",1+(Skills!X15/10)*(R623/1000)/100,1)</f>
        <v>1</v>
      </c>
      <c r="J635">
        <f>((Inputs!$B$5*(1+Inputs!$B$6/100))+((Inputs!$B$11*(1+Inputs!$B$12/100))-(Inputs!$B$11*(1+Inputs!$B$12/100)))*(1+Inputs!$B$6/100))*(F635/100)</f>
        <v>5576228413.8969603</v>
      </c>
      <c r="K635">
        <f>J635*(1+((Inputs!$B$11*(1+Inputs!$B$12/100))*0.01+Inputs!$B$13*0.0025)/100)*(1+Inputs!$B$14/100)*(1+IF(Inputs!$B$4="pvp",0,(1-Summary!$B$56)*(Inputs!$B$19+Skills!P15)+Summary!$B$56*(Inputs!$B$20+Skills!Q15))/100)*(1+Inputs!$B$15/100)*(5000/(6000+Inputs!$B$7*(1-Inputs!$B$18/100)))*(1+Inputs!$B$23/100)*(1+F643/100)*(1+IF(Inputs!$B$3&gt;=120,F646,0)/100)^5*(1+(IF(Skills!A15="BASIC_ATTACK",Inputs!$B$16,(Inputs!$B$17+1)+IF(Inputs!$B$3&gt;=125,F647*5,0)))/100)*(B650*B651*B652*I635)</f>
        <v>42630050676517.977</v>
      </c>
      <c r="L635">
        <f>K635*(MIN(Inputs!$B$21+(F642-Calc!F22),Inputs!$B$22)/100+Inputs!$B$22/100)/2</f>
        <v>115079821801260.27</v>
      </c>
      <c r="M635">
        <f>L635*(1+(Inputs!$B$9+(F641-Calc!F21))/100)</f>
        <v>482299533169081.88</v>
      </c>
      <c r="N635">
        <f>L635*(1-MIN(Inputs!$B$8+(F640-Calc!F20),100)/100)+M635*(MIN(Inputs!$B$8+(F640-Calc!F20),100)/100)</f>
        <v>482299533169081.88</v>
      </c>
      <c r="O635">
        <f>IF(C635,H635*N635*IF(AND(Inputs!$B$4&lt;&gt;"pvp",Inputs!$B$35&gt;0),((Skills!G15*((S635-1)*IF(Skills!H15&gt;0,Skills!I15/Skills!H15,1)+IF(Skills!H15&gt;0,MIN(Skills!I15,MAX(0,Inputs!$B$35-((S635-1)*IF(Inputs!$B$4="pvp",15,MAX(0.1,Skills!E15-IF(Skills!F15=TRUE,Inputs!$B$31,0))))))/Skills!H15,1)))/Inputs!$B$35),G635*V635)*IF(Inputs!$B$4="pvp",1,(1-Summary!$B$56)*(1)+Summary!$B$56*(MIN(Skills!R15,Inputs!$B$37))),0)</f>
        <v>370406041473854.88</v>
      </c>
      <c r="P635">
        <f>IF(B659=0,0,O635/B659)</f>
        <v>4.4300535934736013E-2</v>
      </c>
      <c r="S635">
        <f>IF(AND(Inputs!$B$4&lt;&gt;"pvp",Inputs!$B$35&gt;0),(INT(Inputs!$B$35/IF(Inputs!$B$4="pvp",15,MAX(0.1,Skills!E15-IF(Skills!F15=TRUE,Inputs!$B$31,0))))+1),0)</f>
        <v>0</v>
      </c>
      <c r="V635">
        <f>IFERROR(1/IF(Inputs!$B$4="pvp",15,MAX(0.1,Skills!E15-IF(Skills!F15=TRUE,Inputs!$B$31,0))),0)</f>
        <v>0.04</v>
      </c>
    </row>
    <row r="636" spans="1:22" x14ac:dyDescent="0.2">
      <c r="A636" t="str">
        <f>Skills!A16</f>
        <v>FLAME_HAZE_DOT</v>
      </c>
      <c r="B636" t="str">
        <f>Skills!B16</f>
        <v>Flame Haze (burn DoT)</v>
      </c>
      <c r="C636" t="b">
        <f>Inputs!$B$3&gt;=107</f>
        <v>1</v>
      </c>
      <c r="D636">
        <f>IF(Skills!C16=1,60+Inputs!$B$24+Inputs!$B$28,IF(Skills!C16=2,90+Inputs!$B$25+Inputs!$B$28,IF(Skills!C16=3,120+Inputs!$B$26+Inputs!$B$28,MAX(0,(Inputs!$B$3-100)*3)+Inputs!$B$27+Inputs!$B$28)))</f>
        <v>172</v>
      </c>
      <c r="E636">
        <f>INDEX(FactorTable!$B$2:$Y$301, MATCH(ROUND(MIN(300,MAX(1,D636)),0), FactorTable!$A$2:$A$301,0), Skills!M16+1)</f>
        <v>1860</v>
      </c>
      <c r="F636">
        <f>IF(Skills!N16=TRUE,(Skills!L16/10)*(E636/1000),Skills!L16/10)+Skills!O16</f>
        <v>279</v>
      </c>
      <c r="G636">
        <f>Calc!G16</f>
        <v>28</v>
      </c>
      <c r="H636">
        <f>Calc!H16</f>
        <v>1</v>
      </c>
      <c r="I636">
        <f>IF(Skills!X16&lt;&gt;"",1+(Skills!X16/10)*(R623/1000)/100,1)</f>
        <v>1</v>
      </c>
      <c r="J636">
        <f>((Inputs!$B$5*(1+Inputs!$B$6/100))+((Inputs!$B$11*(1+Inputs!$B$12/100))-(Inputs!$B$11*(1+Inputs!$B$12/100)))*(1+Inputs!$B$6/100))*(F636/100)</f>
        <v>697028551.73712003</v>
      </c>
      <c r="K636">
        <f>J636*(1+((Inputs!$B$11*(1+Inputs!$B$12/100))*0.01+Inputs!$B$13*0.0025)/100)*(1+Inputs!$B$14/100)*(1+IF(Inputs!$B$4="pvp",0,(1-Summary!$B$56)*(Inputs!$B$19+Skills!P16)+Summary!$B$56*(Inputs!$B$20+Skills!Q16))/100)*(1+Inputs!$B$15/100)*(5000/(6000+Inputs!$B$7*(1-Inputs!$B$18/100)))*(1+Inputs!$B$23/100)*(1+F643/100)*(1+IF(Inputs!$B$3&gt;=120,F646,0)/100)^5*(1+(IF(Skills!A16="BASIC_ATTACK",Inputs!$B$16,(Inputs!$B$17+1)+IF(Inputs!$B$3&gt;=125,F647*5,0)))/100)*(B650*B651*B652*I636)</f>
        <v>5328756334564.7471</v>
      </c>
      <c r="L636">
        <f>K636*(MIN(Inputs!$B$21+(F642-Calc!F22),Inputs!$B$22)/100+Inputs!$B$22/100)/2</f>
        <v>14384977725157.533</v>
      </c>
      <c r="M636">
        <f>L636*(1+(Inputs!$B$9+(F641-Calc!F21))/100)</f>
        <v>60287441646135.234</v>
      </c>
      <c r="N636">
        <f>L636*(1-MIN(Inputs!$B$8+(F640-Calc!F20),100)/100)+M636*(MIN(Inputs!$B$8+(F640-Calc!F20),100)/100)</f>
        <v>60287441646135.234</v>
      </c>
      <c r="O636">
        <f>IF(C636,H636*N636*IF(AND(Inputs!$B$4&lt;&gt;"pvp",Inputs!$B$35&gt;0),((Skills!G16*((S636-1)*IF(Skills!H16&gt;0,Skills!I16/Skills!H16,1)+IF(Skills!H16&gt;0,MIN(Skills!I16,MAX(0,Inputs!$B$35-((S636-1)*IF(Inputs!$B$4="pvp",15,MAX(0.1,Skills!E16-IF(Skills!F16=TRUE,Inputs!$B$31,0))))))/Skills!H16,1)))/Inputs!$B$35),G636*V636)*(1+IF(Inputs!$B$3&gt;=126,0.05*(B656+V633+(H634*B657)/(1+Skills!H14*H634*B657)+V644),0)*Skills!E15)*IF(Inputs!$B$4="pvp",1,(1-Summary!$B$56)*(1)+Summary!$B$56*(MIN(Skills!R16,Inputs!$B$37))),0)</f>
        <v>432140381719497.44</v>
      </c>
      <c r="P636">
        <f>IF(B659=0,0,O636/B659)</f>
        <v>5.168395859052536E-2</v>
      </c>
      <c r="S636">
        <f>IF(AND(Inputs!$B$4&lt;&gt;"pvp",Inputs!$B$35&gt;0),(INT(Inputs!$B$35/IF(Inputs!$B$4="pvp",15,MAX(0.1,Skills!E16-IF(Skills!F16=TRUE,Inputs!$B$31,0))))+1),0)</f>
        <v>0</v>
      </c>
      <c r="V636">
        <f>IFERROR(1/IF(Inputs!$B$4="pvp",15,MAX(0.1,Skills!E16-IF(Skills!F16=TRUE,Inputs!$B$31,0))),0)</f>
        <v>0.04</v>
      </c>
    </row>
    <row r="637" spans="1:22" x14ac:dyDescent="0.2">
      <c r="A637" t="str">
        <f>Skills!A17</f>
        <v>MAGIC_GUARD</v>
      </c>
      <c r="B637" t="str">
        <f>Skills!B17</f>
        <v>Magic Guard</v>
      </c>
      <c r="C637" t="b">
        <f>TRUE</f>
        <v>1</v>
      </c>
      <c r="D637">
        <f>IF(Skills!C17=1,60+Inputs!$B$24+Inputs!$B$28,IF(Skills!C17=2,90+Inputs!$B$25+Inputs!$B$28,IF(Skills!C17=3,120+Inputs!$B$26+Inputs!$B$28,MAX(0,(Inputs!$B$3-100)*3)+Inputs!$B$27+Inputs!$B$28)))</f>
        <v>115</v>
      </c>
      <c r="E637">
        <f>INDEX(FactorTable!$B$2:$Y$301, MATCH(ROUND(MIN(300,MAX(1,D637)),0), FactorTable!$A$2:$A$301,0), Skills!M17+1)</f>
        <v>1460</v>
      </c>
      <c r="F637">
        <f>IF(Skills!N17=TRUE,(Skills!L17/10)*(E637/1000),Skills!L17/10)+Skills!O17</f>
        <v>17.52</v>
      </c>
      <c r="G637">
        <f>Calc!G17</f>
        <v>1</v>
      </c>
      <c r="H637">
        <f>Calc!H17</f>
        <v>1</v>
      </c>
      <c r="I637">
        <f>IF(Skills!X17&lt;&gt;"",1+(Skills!X17/10)*(R623/1000)/100,1)</f>
        <v>1</v>
      </c>
      <c r="O637">
        <v>0</v>
      </c>
      <c r="P637">
        <f>IF(B659=0,0,O637/B659)</f>
        <v>0</v>
      </c>
      <c r="S637">
        <f>IF(AND(Inputs!$B$4&lt;&gt;"pvp",Inputs!$B$35&gt;0),(INT(Inputs!$B$35/IF(Inputs!$B$4="pvp",15,MAX(0.1,Skills!E17-IF(Skills!F17=TRUE,Inputs!$B$31,0))))+1),0)</f>
        <v>0</v>
      </c>
      <c r="V637">
        <f>IFERROR(1/IF(Inputs!$B$4="pvp",15,MAX(0.1,Skills!E17-IF(Skills!F17=TRUE,Inputs!$B$31,0))),0)</f>
        <v>4.7619047619047616E-2</v>
      </c>
    </row>
    <row r="638" spans="1:22" x14ac:dyDescent="0.2">
      <c r="A638" t="str">
        <f>Skills!A18</f>
        <v>NIMBLE_FEET</v>
      </c>
      <c r="B638" t="str">
        <f>Skills!B18</f>
        <v>Nimble Feet</v>
      </c>
      <c r="C638" t="b">
        <f>TRUE</f>
        <v>1</v>
      </c>
      <c r="D638">
        <f>IF(Skills!C18=1,60+Inputs!$B$24+Inputs!$B$28,IF(Skills!C18=2,90+Inputs!$B$25+Inputs!$B$28,IF(Skills!C18=3,120+Inputs!$B$26+Inputs!$B$28,MAX(0,(Inputs!$B$3-100)*3)+Inputs!$B$27+Inputs!$B$28)))</f>
        <v>115</v>
      </c>
      <c r="E638">
        <f>INDEX(FactorTable!$B$2:$Y$301, MATCH(ROUND(MIN(300,MAX(1,D638)),0), FactorTable!$A$2:$A$301,0), Skills!M18+1)</f>
        <v>0</v>
      </c>
      <c r="F638">
        <f>IF(Skills!N18=TRUE,(Skills!L18/10)*(E638/1000),Skills!L18/10)+Skills!O18</f>
        <v>15</v>
      </c>
      <c r="G638">
        <f>Calc!G18</f>
        <v>1</v>
      </c>
      <c r="H638">
        <f>Calc!H18</f>
        <v>1</v>
      </c>
      <c r="I638">
        <f>IF(Skills!X18&lt;&gt;"",1+(Skills!X18/10)*(R623/1000)/100,1)</f>
        <v>1</v>
      </c>
      <c r="O638">
        <v>0</v>
      </c>
      <c r="P638">
        <f>IF(B659=0,0,O638/B659)</f>
        <v>0</v>
      </c>
      <c r="S638">
        <f>IF(AND(Inputs!$B$4&lt;&gt;"pvp",Inputs!$B$35&gt;0),(INT(Inputs!$B$35/IF(Inputs!$B$4="pvp",15,MAX(0.1,Skills!E18-IF(Skills!F18=TRUE,Inputs!$B$31,0))))+1),0)</f>
        <v>0</v>
      </c>
      <c r="V638">
        <f>IFERROR(1/IF(Inputs!$B$4="pvp",15,MAX(0.1,Skills!E18-IF(Skills!F18=TRUE,Inputs!$B$31,0))),0)</f>
        <v>1.6666666666666666E-2</v>
      </c>
    </row>
    <row r="639" spans="1:22" x14ac:dyDescent="0.2">
      <c r="A639" t="str">
        <f>Skills!A19</f>
        <v>INFINITY</v>
      </c>
      <c r="B639" t="str">
        <f>Skills!B19</f>
        <v>Infinity</v>
      </c>
      <c r="C639" t="b">
        <f>Inputs!$B$3&gt;=110</f>
        <v>1</v>
      </c>
      <c r="D639">
        <f>IF(Skills!C19=1,60+Inputs!$B$24+Inputs!$B$28,IF(Skills!C19=2,90+Inputs!$B$25+Inputs!$B$28,IF(Skills!C19=3,120+Inputs!$B$26+Inputs!$B$28,MAX(0,(Inputs!$B$3-100)*3)+Inputs!$B$27+Inputs!$B$28)))</f>
        <v>172</v>
      </c>
      <c r="E639">
        <f>INDEX(FactorTable!$B$2:$Y$301, MATCH(ROUND(MIN(300,MAX(1,D639)),0), FactorTable!$A$2:$A$301,0), Skills!M19+1)</f>
        <v>1688</v>
      </c>
      <c r="F639">
        <f>IF(Skills!N19=TRUE,(Skills!L19/10)*(E639/1000),Skills!L19/10)+Skills!O19</f>
        <v>36.573895999999998</v>
      </c>
      <c r="G639">
        <f>Calc!G19</f>
        <v>1</v>
      </c>
      <c r="H639">
        <f>Calc!H19</f>
        <v>1</v>
      </c>
      <c r="I639">
        <f>IF(Skills!X19&lt;&gt;"",1+(Skills!X19/10)*(R623/1000)/100,1)</f>
        <v>1</v>
      </c>
      <c r="O639">
        <v>0</v>
      </c>
      <c r="P639">
        <f>IF(B659=0,0,O639/B659)</f>
        <v>0</v>
      </c>
      <c r="S639">
        <f>IF(AND(Inputs!$B$4&lt;&gt;"pvp",Inputs!$B$35&gt;0),(INT(Inputs!$B$35/IF(Inputs!$B$4="pvp",15,MAX(0.1,Skills!E19-IF(Skills!F19=TRUE,Inputs!$B$31,0))))+1),0)</f>
        <v>0</v>
      </c>
      <c r="V639">
        <f>IFERROR(1/IF(Inputs!$B$4="pvp",15,MAX(0.1,Skills!E19-IF(Skills!F19=TRUE,Inputs!$B$31,0))),0)</f>
        <v>3.3333333333333333E-2</v>
      </c>
    </row>
    <row r="640" spans="1:22" x14ac:dyDescent="0.2">
      <c r="A640" t="str">
        <f>Skills!A20</f>
        <v>MAGIC_CRITICAL_RATE</v>
      </c>
      <c r="B640" t="str">
        <f>Skills!B20</f>
        <v>Magic Critical (Crit Rate)</v>
      </c>
      <c r="C640" t="b">
        <f>TRUE</f>
        <v>1</v>
      </c>
      <c r="D640">
        <f>IF(Skills!C20=1,60+Inputs!$B$24+Inputs!$B$28,IF(Skills!C20=2,90+Inputs!$B$25+Inputs!$B$28,IF(Skills!C20=3,120+Inputs!$B$26+Inputs!$B$28,MAX(0,(Inputs!$B$3-100)*3)+Inputs!$B$27+Inputs!$B$28)))</f>
        <v>184</v>
      </c>
      <c r="E640">
        <f>INDEX(FactorTable!$B$2:$Y$301, MATCH(ROUND(MIN(300,MAX(1,D640)),0), FactorTable!$A$2:$A$301,0), Skills!M20+1)</f>
        <v>1552</v>
      </c>
      <c r="F640">
        <f>IF(Skills!N20=TRUE,(Skills!L20/10)*(E640/1000),Skills!L20/10)+Skills!O20</f>
        <v>12.416</v>
      </c>
      <c r="G640">
        <f>Calc!G20</f>
        <v>1</v>
      </c>
      <c r="H640">
        <f>Calc!H20</f>
        <v>1</v>
      </c>
      <c r="I640">
        <f>IF(Skills!X20&lt;&gt;"",1+(Skills!X20/10)*(R623/1000)/100,1)</f>
        <v>1</v>
      </c>
      <c r="O640">
        <v>0</v>
      </c>
      <c r="P640">
        <f>IF(B659=0,0,O640/B659)</f>
        <v>0</v>
      </c>
      <c r="S640">
        <v>0</v>
      </c>
      <c r="V640">
        <f>IFERROR(1/IF(Inputs!$B$4="pvp",15,MAX(0.1,Skills!E20-IF(Skills!F20=TRUE,Inputs!$B$31,0))),0)</f>
        <v>10</v>
      </c>
    </row>
    <row r="641" spans="1:22" x14ac:dyDescent="0.2">
      <c r="A641" t="str">
        <f>Skills!A21</f>
        <v>MAGIC_CRITICAL_DAMAGE</v>
      </c>
      <c r="B641" t="str">
        <f>Skills!B21</f>
        <v>Magic Critical (Crit Damage)</v>
      </c>
      <c r="C641" t="b">
        <f>TRUE</f>
        <v>1</v>
      </c>
      <c r="D641">
        <f>IF(Skills!C21=1,60+Inputs!$B$24+Inputs!$B$28,IF(Skills!C21=2,90+Inputs!$B$25+Inputs!$B$28,IF(Skills!C21=3,120+Inputs!$B$26+Inputs!$B$28,MAX(0,(Inputs!$B$3-100)*3)+Inputs!$B$27+Inputs!$B$28)))</f>
        <v>184</v>
      </c>
      <c r="E641">
        <f>INDEX(FactorTable!$B$2:$Y$301, MATCH(ROUND(MIN(300,MAX(1,D641)),0), FactorTable!$A$2:$A$301,0), Skills!M21+1)</f>
        <v>1552</v>
      </c>
      <c r="F641">
        <f>IF(Skills!N21=TRUE,(Skills!L21/10)*(E641/1000),Skills!L21/10)+Skills!O21</f>
        <v>18.624000000000002</v>
      </c>
      <c r="G641">
        <f>Calc!G21</f>
        <v>1</v>
      </c>
      <c r="H641">
        <f>Calc!H21</f>
        <v>1</v>
      </c>
      <c r="I641">
        <f>IF(Skills!X21&lt;&gt;"",1+(Skills!X21/10)*(R623/1000)/100,1)</f>
        <v>1</v>
      </c>
      <c r="O641">
        <v>0</v>
      </c>
      <c r="P641">
        <f>IF(B659=0,0,O641/B659)</f>
        <v>0</v>
      </c>
      <c r="S641">
        <v>0</v>
      </c>
      <c r="V641">
        <f>IFERROR(1/IF(Inputs!$B$4="pvp",15,MAX(0.1,Skills!E21-IF(Skills!F21=TRUE,Inputs!$B$31,0))),0)</f>
        <v>10</v>
      </c>
    </row>
    <row r="642" spans="1:22" x14ac:dyDescent="0.2">
      <c r="A642" t="str">
        <f>Skills!A22</f>
        <v>SPELL_MASTERY</v>
      </c>
      <c r="B642" t="str">
        <f>Skills!B22</f>
        <v>Spell Mastery</v>
      </c>
      <c r="C642" t="b">
        <f>TRUE</f>
        <v>1</v>
      </c>
      <c r="D642">
        <f>IF(Skills!C22=1,60+Inputs!$B$24+Inputs!$B$28,IF(Skills!C22=2,90+Inputs!$B$25+Inputs!$B$28,IF(Skills!C22=3,120+Inputs!$B$26+Inputs!$B$28,MAX(0,(Inputs!$B$3-100)*3)+Inputs!$B$27+Inputs!$B$28)))</f>
        <v>164</v>
      </c>
      <c r="E642">
        <f>INDEX(FactorTable!$B$2:$Y$301, MATCH(ROUND(MIN(300,MAX(1,D642)),0), FactorTable!$A$2:$A$301,0), Skills!M22+1)</f>
        <v>1492</v>
      </c>
      <c r="F642">
        <f>IF(Skills!N22=TRUE,(Skills!L22/10)*(E642/1000),Skills!L22/10)+Skills!O22</f>
        <v>22.38</v>
      </c>
      <c r="G642">
        <f>Calc!G22</f>
        <v>1</v>
      </c>
      <c r="H642">
        <f>Calc!H22</f>
        <v>1</v>
      </c>
      <c r="I642">
        <f>IF(Skills!X22&lt;&gt;"",1+(Skills!X22/10)*(R623/1000)/100,1)</f>
        <v>1</v>
      </c>
      <c r="O642">
        <v>0</v>
      </c>
      <c r="P642">
        <f>IF(B659=0,0,O642/B659)</f>
        <v>0</v>
      </c>
      <c r="S642">
        <v>0</v>
      </c>
      <c r="V642">
        <f>IFERROR(1/IF(Inputs!$B$4="pvp",15,MAX(0.1,Skills!E22-IF(Skills!F22=TRUE,Inputs!$B$31,0))),0)</f>
        <v>10</v>
      </c>
    </row>
    <row r="643" spans="1:22" x14ac:dyDescent="0.2">
      <c r="A643" t="str">
        <f>Skills!A23</f>
        <v>ELEMENT_AMPLIFICATION</v>
      </c>
      <c r="B643" t="str">
        <f>Skills!B23</f>
        <v>Element Amplification</v>
      </c>
      <c r="C643" t="b">
        <f>TRUE</f>
        <v>1</v>
      </c>
      <c r="D643">
        <f>IF(Skills!C23=1,60+Inputs!$B$24+Inputs!$B$28,IF(Skills!C23=2,90+Inputs!$B$25+Inputs!$B$28,IF(Skills!C23=3,120+Inputs!$B$26+Inputs!$B$28,MAX(0,(Inputs!$B$3-100)*3)+Inputs!$B$27+Inputs!$B$28)))</f>
        <v>172</v>
      </c>
      <c r="E643">
        <f>INDEX(FactorTable!$B$2:$Y$301, MATCH(ROUND(MIN(300,MAX(1,D643)),0), FactorTable!$A$2:$A$301,0), Skills!M23+1)</f>
        <v>1516</v>
      </c>
      <c r="F643">
        <f>IF(Skills!N23=TRUE,(Skills!L23/10)*(E643/1000),Skills!L23/10)+Skills!O23</f>
        <v>22.740000000000002</v>
      </c>
      <c r="G643">
        <f>Calc!G23</f>
        <v>1</v>
      </c>
      <c r="H643">
        <f>Calc!H23</f>
        <v>1</v>
      </c>
      <c r="I643">
        <f>IF(Skills!X23&lt;&gt;"",1+(Skills!X23/10)*(R623/1000)/100,1)</f>
        <v>1</v>
      </c>
      <c r="O643">
        <v>0</v>
      </c>
      <c r="P643">
        <f>IF(B659=0,0,O643/B659)</f>
        <v>0</v>
      </c>
      <c r="S643">
        <v>0</v>
      </c>
      <c r="V643">
        <f>IFERROR(1/IF(Inputs!$B$4="pvp",15,MAX(0.1,Skills!E23-IF(Skills!F23=TRUE,Inputs!$B$31,0))),0)</f>
        <v>10</v>
      </c>
    </row>
    <row r="644" spans="1:22" x14ac:dyDescent="0.2">
      <c r="A644" t="str">
        <f>Skills!A24</f>
        <v>IFRIT</v>
      </c>
      <c r="B644" t="str">
        <f>Skills!B24</f>
        <v>Ifrit</v>
      </c>
      <c r="C644" t="b">
        <f>Inputs!$B$3&gt;=115</f>
        <v>0</v>
      </c>
      <c r="D644">
        <f>IF(Skills!C24=1,60+Inputs!$B$24+Inputs!$B$28,IF(Skills!C24=2,90+Inputs!$B$25+Inputs!$B$28,IF(Skills!C24=3,120+Inputs!$B$26+Inputs!$B$28,MAX(0,(Inputs!$B$3-100)*3)+Inputs!$B$27+Inputs!$B$28)))</f>
        <v>172</v>
      </c>
      <c r="E644">
        <f>INDEX(FactorTable!$B$2:$Y$301, MATCH(ROUND(MIN(300,MAX(1,D644)),0), FactorTable!$A$2:$A$301,0), Skills!M24+1)</f>
        <v>1860</v>
      </c>
      <c r="F644">
        <f>IF(Skills!N24=TRUE,(Skills!L24/10)*(E644/1000),Skills!L24/10)+Skills!O24</f>
        <v>6510</v>
      </c>
      <c r="G644">
        <f>Calc!G24</f>
        <v>7.5</v>
      </c>
      <c r="H644">
        <f>Calc!H24</f>
        <v>1</v>
      </c>
      <c r="I644">
        <f>IF(Skills!X24&lt;&gt;"",1+(Skills!X24/10)*(R623/1000)/100,1)</f>
        <v>1</v>
      </c>
      <c r="J644">
        <f>((Inputs!$B$5*(1+Inputs!$B$6/100))+((Inputs!$B$11*(1+Inputs!$B$12/100))-(Inputs!$B$11*(1+Inputs!$B$12/100)))*(1+Inputs!$B$6/100))*(F644/100)</f>
        <v>16263999540.532799</v>
      </c>
      <c r="K644">
        <f>J644*(1+((Inputs!$B$11*(1+Inputs!$B$12/100))*0.01+Inputs!$B$13*0.0025)/100)*(1+Inputs!$B$14/100)*(1+IF(Inputs!$B$4="pvp",0,(1-Summary!$B$56)*(Inputs!$B$19+Skills!P24)+Summary!$B$56*(Inputs!$B$20+Skills!Q24))/100)*(1+Inputs!$B$15/100)*(5000/(6000+Inputs!$B$7*(1-Inputs!$B$18/100)))*(1+Inputs!$B$23/100)*(1+F643/100)*(1+IF(Inputs!$B$3&gt;=120,F646,0)/100)^5*(1+(IF(Skills!A24="BASIC_ATTACK",Inputs!$B$16,(Inputs!$B$17+1)+IF(Inputs!$B$3&gt;=125,F647*5,0)))/100)*(B650*B651*B652*I644)</f>
        <v>124337647806510.78</v>
      </c>
      <c r="L644">
        <f>K644*(MIN(Inputs!$B$21+(F642-Calc!F22),Inputs!$B$22)/100+Inputs!$B$22/100)/2</f>
        <v>335649480253675.81</v>
      </c>
      <c r="M644">
        <f>L644*(1+(Inputs!$B$9+(F641-Calc!F21))/100)</f>
        <v>1406706971743155.5</v>
      </c>
      <c r="N644">
        <f>L644*(1-MIN(Inputs!$B$8+(F640-Calc!F20),100)/100)+M644*(MIN(Inputs!$B$8+(F640-Calc!F20),100)/100)</f>
        <v>1406706971743155.5</v>
      </c>
      <c r="O644">
        <f>IF(C644,H644*N644*IF(AND(Inputs!$B$4&lt;&gt;"pvp",Inputs!$B$35&gt;0),((Skills!G24*((S644-1)*IF(Skills!H24&gt;0,Skills!I24/Skills!H24,1)+IF(Skills!H24&gt;0,MIN(Skills!I24,MAX(0,Inputs!$B$35-((S644-1)*IF(Inputs!$B$4="pvp",15,MAX(0.1,Skills!E24-IF(Skills!F24=TRUE,Inputs!$B$31,0))))))/Skills!H24,1)))/Inputs!$B$35),G644*V644)*(1+IF(Inputs!$B$3&gt;=130,0.2*(Skills!I16/Skills!E15+IF(Inputs!$B$3&gt;=126,0.05*(B656+V633+(H634*B657)/(1+Skills!H14*H634*B657)+V644),0)*Skills!I16),0))*IF(Inputs!$B$4="pvp",1,(1-Summary!$B$56)*(1)+Summary!$B$56*(MIN(Skills!R24,Inputs!$B$37))),0)</f>
        <v>0</v>
      </c>
      <c r="P644">
        <f>IF(B659=0,0,O644/B659)</f>
        <v>0</v>
      </c>
      <c r="S644">
        <f>IF(AND(Inputs!$B$4&lt;&gt;"pvp",Inputs!$B$35&gt;0),(INT(Inputs!$B$35/IF(Inputs!$B$4="pvp",15,MAX(0.1,Skills!E24-IF(Skills!F24=TRUE,Inputs!$B$31,0))))+1),0)</f>
        <v>0</v>
      </c>
      <c r="V644">
        <f>IFERROR(1/IF(Inputs!$B$4="pvp",15,MAX(0.1,Skills!E24-IF(Skills!F24=TRUE,Inputs!$B$31,0))),0)</f>
        <v>1.2500000000000001E-2</v>
      </c>
    </row>
    <row r="645" spans="1:22" x14ac:dyDescent="0.2">
      <c r="A645" t="str">
        <f>Skills!A25</f>
        <v>BUFF_MASTERY</v>
      </c>
      <c r="B645" t="str">
        <f>Skills!B25</f>
        <v>Buff Mastery</v>
      </c>
      <c r="C645" t="b">
        <f>Inputs!$B$3&gt;=117</f>
        <v>0</v>
      </c>
      <c r="D645">
        <f>IF(Skills!C25=1,60+Inputs!$B$24+Inputs!$B$28,IF(Skills!C25=2,90+Inputs!$B$25+Inputs!$B$28,IF(Skills!C25=3,120+Inputs!$B$26+Inputs!$B$28,MAX(0,(Inputs!$B$3-100)*3)+Inputs!$B$27+Inputs!$B$28)))</f>
        <v>172</v>
      </c>
      <c r="E645">
        <f>INDEX(FactorTable!$B$2:$Y$301, MATCH(ROUND(MIN(300,MAX(1,D645)),0), FactorTable!$A$2:$A$301,0), Skills!M25+1)</f>
        <v>1516</v>
      </c>
      <c r="F645">
        <f>IF(Skills!N25=TRUE,(Skills!L25/10)*(E645/1000),Skills!L25/10)+Skills!O25</f>
        <v>15.16</v>
      </c>
      <c r="G645">
        <f>Calc!G25</f>
        <v>1</v>
      </c>
      <c r="H645">
        <f>Calc!H25</f>
        <v>1</v>
      </c>
      <c r="I645">
        <f>IF(Skills!X25&lt;&gt;"",1+(Skills!X25/10)*(R623/1000)/100,1)</f>
        <v>1</v>
      </c>
      <c r="O645">
        <v>0</v>
      </c>
      <c r="P645">
        <f>IF(B659=0,0,O645/B659)</f>
        <v>0</v>
      </c>
      <c r="S645">
        <v>0</v>
      </c>
      <c r="V645">
        <f>IFERROR(1/IF(Inputs!$B$4="pvp",15,MAX(0.1,Skills!E25-IF(Skills!F25=TRUE,Inputs!$B$31,0))),0)</f>
        <v>10</v>
      </c>
    </row>
    <row r="646" spans="1:22" x14ac:dyDescent="0.2">
      <c r="A646" t="str">
        <f>Skills!A26</f>
        <v>ARCANE_AIM</v>
      </c>
      <c r="B646" t="str">
        <f>Skills!B26</f>
        <v>Arcane Aim</v>
      </c>
      <c r="C646" t="b">
        <f>Inputs!$B$3&gt;=120</f>
        <v>0</v>
      </c>
      <c r="D646">
        <f>IF(Skills!C26=1,60+Inputs!$B$24+Inputs!$B$28,IF(Skills!C26=2,90+Inputs!$B$25+Inputs!$B$28,IF(Skills!C26=3,120+Inputs!$B$26+Inputs!$B$28,MAX(0,(Inputs!$B$3-100)*3)+Inputs!$B$27+Inputs!$B$28)))</f>
        <v>172</v>
      </c>
      <c r="E646">
        <f>INDEX(FactorTable!$B$2:$Y$301, MATCH(ROUND(MIN(300,MAX(1,D646)),0), FactorTable!$A$2:$A$301,0), Skills!M26+1)</f>
        <v>1516</v>
      </c>
      <c r="F646">
        <f>IF(Skills!N26=TRUE,(Skills!L26/10)*(E646/1000),Skills!L26/10)+Skills!O26</f>
        <v>4.548</v>
      </c>
      <c r="G646">
        <f>Calc!G26</f>
        <v>1</v>
      </c>
      <c r="H646">
        <f>Calc!H26</f>
        <v>1</v>
      </c>
      <c r="I646">
        <f>IF(Skills!X26&lt;&gt;"",1+(Skills!X26/10)*(R623/1000)/100,1)</f>
        <v>1</v>
      </c>
      <c r="O646">
        <v>0</v>
      </c>
      <c r="P646">
        <f>IF(B659=0,0,O646/B659)</f>
        <v>0</v>
      </c>
      <c r="S646">
        <v>0</v>
      </c>
      <c r="V646">
        <f>IFERROR(1/IF(Inputs!$B$4="pvp",15,MAX(0.1,Skills!E26-IF(Skills!F26=TRUE,Inputs!$B$31,0))),0)</f>
        <v>10</v>
      </c>
    </row>
    <row r="647" spans="1:22" x14ac:dyDescent="0.2">
      <c r="A647" t="str">
        <f>Skills!A27</f>
        <v>FERVENT_DRAIN</v>
      </c>
      <c r="B647" t="str">
        <f>Skills!B27</f>
        <v>Fervent Drain</v>
      </c>
      <c r="C647" t="b">
        <f>Inputs!$B$3&gt;=125</f>
        <v>0</v>
      </c>
      <c r="D647">
        <f>IF(Skills!C27=1,60+Inputs!$B$24+Inputs!$B$28,IF(Skills!C27=2,90+Inputs!$B$25+Inputs!$B$28,IF(Skills!C27=3,120+Inputs!$B$26+Inputs!$B$28,MAX(0,(Inputs!$B$3-100)*3)+Inputs!$B$27+Inputs!$B$28)))</f>
        <v>172</v>
      </c>
      <c r="E647">
        <f>INDEX(FactorTable!$B$2:$Y$301, MATCH(ROUND(MIN(300,MAX(1,D647)),0), FactorTable!$A$2:$A$301,0), Skills!M27+1)</f>
        <v>1516</v>
      </c>
      <c r="F647">
        <f>IF(Skills!N27=TRUE,(Skills!L27/10)*(E647/1000),Skills!L27/10)+Skills!O27</f>
        <v>6.0640000000000001</v>
      </c>
      <c r="G647">
        <f>Calc!G27</f>
        <v>1</v>
      </c>
      <c r="H647">
        <f>Calc!H27</f>
        <v>1</v>
      </c>
      <c r="I647">
        <f>IF(Skills!X27&lt;&gt;"",1+(Skills!X27/10)*(R623/1000)/100,1)</f>
        <v>1</v>
      </c>
      <c r="O647">
        <v>0</v>
      </c>
      <c r="P647">
        <f>IF(B659=0,0,O647/B659)</f>
        <v>0</v>
      </c>
      <c r="S647">
        <v>0</v>
      </c>
      <c r="V647">
        <f>IFERROR(1/IF(Inputs!$B$4="pvp",15,MAX(0.1,Skills!E27-IF(Skills!F27=TRUE,Inputs!$B$31,0))),0)</f>
        <v>10</v>
      </c>
    </row>
    <row r="648" spans="1:22" x14ac:dyDescent="0.2">
      <c r="A648" t="str">
        <f>Skills!A28</f>
        <v>FLAME_HAZE_FOG</v>
      </c>
      <c r="B648" t="str">
        <f>Skills!B28</f>
        <v>Flame Haze (poison fog DoT)</v>
      </c>
      <c r="C648" t="b">
        <f>Inputs!$B$3&gt;=118</f>
        <v>0</v>
      </c>
      <c r="D648">
        <f>IF(Skills!C28=1,60+Inputs!$B$24+Inputs!$B$28,IF(Skills!C28=2,90+Inputs!$B$25+Inputs!$B$28,IF(Skills!C28=3,120+Inputs!$B$26+Inputs!$B$28,MAX(0,(Inputs!$B$3-100)*3)+Inputs!$B$27+Inputs!$B$28)))</f>
        <v>172</v>
      </c>
      <c r="E648">
        <f>INDEX(FactorTable!$B$2:$Y$301, MATCH(ROUND(MIN(300,MAX(1,D648)),0), FactorTable!$A$2:$A$301,0), Skills!M28+1)</f>
        <v>1860</v>
      </c>
      <c r="F648">
        <f>IF(Skills!N28=TRUE,(Skills!L28/10)*(E648/1000),Skills!L28/10)+Skills!O28</f>
        <v>130.20000000000002</v>
      </c>
      <c r="G648">
        <f>Calc!G28</f>
        <v>50</v>
      </c>
      <c r="H648">
        <f>Calc!H28</f>
        <v>1</v>
      </c>
      <c r="I648">
        <f>IF(Skills!X28&lt;&gt;"",1+(Skills!X28/10)*(R623/1000)/100,1)</f>
        <v>1</v>
      </c>
      <c r="J648">
        <f>((Inputs!$B$5*(1+Inputs!$B$6/100))+((Inputs!$B$11*(1+Inputs!$B$12/100))-(Inputs!$B$11*(1+Inputs!$B$12/100)))*(1+Inputs!$B$6/100))*(F648/100)</f>
        <v>325279990.81065607</v>
      </c>
      <c r="K648">
        <f>J648*(1+((Inputs!$B$11*(1+Inputs!$B$12/100))*0.01+Inputs!$B$13*0.0025)/100)*(1+Inputs!$B$14/100)*(1+IF(Inputs!$B$4="pvp",0,(1-Summary!$B$56)*(Inputs!$B$19+Skills!P28)+Summary!$B$56*(Inputs!$B$20+Skills!Q28))/100)*(1+Inputs!$B$15/100)*(5000/(6000+Inputs!$B$7*(1-Inputs!$B$18/100)))*(1+Inputs!$B$23/100)*(1+F643/100)*(1+IF(Inputs!$B$3&gt;=120,F646,0)/100)^5*(1+(IF(Skills!A28="BASIC_ATTACK",Inputs!$B$16,(Inputs!$B$17+1)+IF(Inputs!$B$3&gt;=125,F647*5,0)))/100)*(B650*B651*B652*I648)</f>
        <v>2486752956130.2173</v>
      </c>
      <c r="L648">
        <f>K648*(MIN(Inputs!$B$21+(F642-Calc!F22),Inputs!$B$22)/100+Inputs!$B$22/100)/2</f>
        <v>6712989605073.5205</v>
      </c>
      <c r="M648">
        <f>L648*(1+(Inputs!$B$9+(F641-Calc!F21))/100)</f>
        <v>28134139434863.129</v>
      </c>
      <c r="N648">
        <f>L648*(1-MIN(Inputs!$B$8+(F640-Calc!F20),100)/100)+M648*(MIN(Inputs!$B$8+(F640-Calc!F20),100)/100)</f>
        <v>28134139434863.129</v>
      </c>
      <c r="O648">
        <f>IF(C648,H648*N648*IF(AND(Inputs!$B$4&lt;&gt;"pvp",Inputs!$B$35&gt;0),((Skills!G28*((S648-1)*IF(Skills!H28&gt;0,Skills!I28/Skills!H28,1)+IF(Skills!H28&gt;0,MIN(Skills!I28,MAX(0,Inputs!$B$35-((S648-1)*IF(Inputs!$B$4="pvp",15,MAX(0.1,Skills!E28-IF(Skills!F28=TRUE,Inputs!$B$31,0))))))/Skills!H28,1)))/Inputs!$B$35),G648*V648)*IF(Inputs!$B$4="pvp",1,(1-Summary!$B$56)*(1)+Summary!$B$56*(MIN(Skills!R28,Inputs!$B$37))),0)</f>
        <v>0</v>
      </c>
      <c r="P648">
        <f>IF(B659=0,0,O648/B659)</f>
        <v>0</v>
      </c>
      <c r="S648">
        <f>IF(AND(Inputs!$B$4&lt;&gt;"pvp",Inputs!$B$35&gt;0),(INT(Inputs!$B$35/IF(Inputs!$B$4="pvp",15,MAX(0.1,Skills!E28-IF(Skills!F28=TRUE,Inputs!$B$31,0))))+1),0)</f>
        <v>0</v>
      </c>
      <c r="V648">
        <f>IFERROR(1/IF(Inputs!$B$4="pvp",15,MAX(0.1,Skills!E28-IF(Skills!F28=TRUE,Inputs!$B$31,0))),0)</f>
        <v>0.04</v>
      </c>
    </row>
    <row r="650" spans="1:22" x14ac:dyDescent="0.2">
      <c r="A650" t="s">
        <v>222</v>
      </c>
      <c r="B650">
        <f>1+(F631*Skills!Z11)/100</f>
        <v>1.25</v>
      </c>
    </row>
    <row r="651" spans="1:22" x14ac:dyDescent="0.2">
      <c r="A651" t="s">
        <v>223</v>
      </c>
      <c r="B651">
        <f>1+F632/100</f>
        <v>1.18624</v>
      </c>
    </row>
    <row r="652" spans="1:22" x14ac:dyDescent="0.2">
      <c r="A652" t="s">
        <v>224</v>
      </c>
      <c r="B652">
        <f>(1+(F626*IF(AND(Inputs!$B$4&lt;&gt;"pvp",Inputs!$B$35&gt;0),(((S626-1)*(Skills!T6*(1+(Inputs!$B$33+IF(Inputs!$B$3&gt;=117,F645,0))/100))+MIN((Skills!T6*(1+(Inputs!$B$33+IF(Inputs!$B$3&gt;=117,F645,0))/100)),MAX(0,Inputs!$B$35-((S626-1)*Skills!E6))))/Inputs!$B$35),IF(Inputs!$B$4="pvp",MIN((Skills!T6*(1+(Inputs!$B$33+IF(Inputs!$B$3&gt;=117,F645,0))/100)),15)/15,(Skills!T6*(1+(Inputs!$B$33+IF(Inputs!$B$3&gt;=117,F645,0))/100))/Skills!E6))+F637*IF(AND(Inputs!$B$4&lt;&gt;"pvp",Inputs!$B$35&gt;0),(((S637-1)*(Skills!T17*(1+(Inputs!$B$33+IF(Inputs!$B$3&gt;=117,F645,0))/100))+MIN((Skills!T17*(1+(Inputs!$B$33+IF(Inputs!$B$3&gt;=117,F645,0))/100)),MAX(0,Inputs!$B$35-((S637-1)*Skills!E17))))/Inputs!$B$35),IF(Inputs!$B$4="pvp",MIN((Skills!T17*(1+(Inputs!$B$33+IF(Inputs!$B$3&gt;=117,F645,0))/100)),15)/15,(Skills!T17*(1+(Inputs!$B$33+IF(Inputs!$B$3&gt;=117,F645,0))/100))/Skills!E17)))/100)*IF(C639=TRUE,(1+F639*IF(AND(Inputs!$B$4&lt;&gt;"pvp",Inputs!$B$35&gt;0),(((S639-1)*(Skills!T19*(1+(Inputs!$B$33+IF(Inputs!$B$3&gt;=117,F645,0))/100))+MIN((Skills!T19*(1+(Inputs!$B$33+IF(Inputs!$B$3&gt;=117,F645,0))/100)),MAX(0,Inputs!$B$35-((S639-1)*Skills!E19))))/Inputs!$B$35),IF(Inputs!$B$4="pvp",MIN((Skills!T19*(1+(Inputs!$B$33+IF(Inputs!$B$3&gt;=117,F645,0))/100)),15)/15,(Skills!T19*(1+(Inputs!$B$33+IF(Inputs!$B$3&gt;=117,F645,0))/100))/Skills!E19))/100),1)</f>
        <v>1.5603265106950857</v>
      </c>
    </row>
    <row r="653" spans="1:22" x14ac:dyDescent="0.2">
      <c r="A653" t="s">
        <v>225</v>
      </c>
      <c r="B653">
        <f>F638*IF(AND(Inputs!$B$4&lt;&gt;"pvp",Inputs!$B$35&gt;0),(((S638-1)*(Skills!T18*(1+(Inputs!$B$33+IF(Inputs!$B$3&gt;=117,F645,0))/100))+MIN((Skills!T18*(1+(Inputs!$B$33+IF(Inputs!$B$3&gt;=117,F645,0))/100)),MAX(0,Inputs!$B$35-((S638-1)*Skills!E18))))/Inputs!$B$35),IF(Inputs!$B$4="pvp",MIN((Skills!T18*(1+(Inputs!$B$33+IF(Inputs!$B$3&gt;=117,F645,0))/100)),15)/15,(Skills!T18*(1+(Inputs!$B$33+IF(Inputs!$B$3&gt;=117,F645,0))/100))/Skills!E18))</f>
        <v>3.75</v>
      </c>
    </row>
    <row r="654" spans="1:22" x14ac:dyDescent="0.2">
      <c r="A654" t="s">
        <v>253</v>
      </c>
      <c r="B654">
        <f>1+MIN(150,150*(1-(1-Inputs!$B$10/150)*(1-B653/150)))/100</f>
        <v>1.6371249999999999</v>
      </c>
    </row>
    <row r="655" spans="1:22" x14ac:dyDescent="0.2">
      <c r="A655" t="s">
        <v>254</v>
      </c>
      <c r="B655">
        <f>IF(AND(Inputs!$B$4&lt;&gt;"pvp",Inputs!$B$35&gt;0),SUMPRODUCT((Skills!F2:F28=TRUE)*(C622:C648=TRUE)*S622:S648)/Inputs!$B$35,SUMPRODUCT((Skills!F2:F28=TRUE)*(C622:C648=TRUE)*V622:V648))</f>
        <v>0.33466433037861604</v>
      </c>
    </row>
    <row r="656" spans="1:22" x14ac:dyDescent="0.2">
      <c r="A656" t="s">
        <v>228</v>
      </c>
      <c r="B656">
        <f>MAX(0,B654-B655)</f>
        <v>1.3024606696213838</v>
      </c>
    </row>
    <row r="657" spans="1:22" x14ac:dyDescent="0.2">
      <c r="A657" t="s">
        <v>255</v>
      </c>
      <c r="B657">
        <f>IF(AND(Inputs!$B$4&lt;&gt;"pvp",Inputs!$B$35&gt;0),SUMPRODUCT((Skills!V2:V28=TRUE)*(C622:C648=TRUE)*S622:S648*Skills!W2:W28)/Inputs!$B$35,SUMPRODUCT((Skills!V2:V28=TRUE)*(C622:C648=TRUE)*V622:V648*Skills!W2:W28))+B656</f>
        <v>1.5297416426166426</v>
      </c>
    </row>
    <row r="659" spans="1:22" x14ac:dyDescent="0.2">
      <c r="A659" s="5" t="s">
        <v>208</v>
      </c>
      <c r="B659" s="5">
        <f>SUM(O622:O648)</f>
        <v>8361209038634221</v>
      </c>
    </row>
    <row r="662" spans="1:22" x14ac:dyDescent="0.2">
      <c r="A662" s="5" t="s">
        <v>270</v>
      </c>
    </row>
    <row r="663" spans="1:22" x14ac:dyDescent="0.2">
      <c r="A663" s="8" t="s">
        <v>74</v>
      </c>
      <c r="B663" s="8" t="s">
        <v>75</v>
      </c>
      <c r="C663" s="8" t="s">
        <v>190</v>
      </c>
      <c r="D663" s="8" t="s">
        <v>191</v>
      </c>
      <c r="E663" s="8" t="s">
        <v>192</v>
      </c>
      <c r="F663" s="8" t="s">
        <v>193</v>
      </c>
      <c r="G663" s="8" t="s">
        <v>194</v>
      </c>
      <c r="H663" s="8" t="s">
        <v>195</v>
      </c>
      <c r="I663" s="8" t="s">
        <v>196</v>
      </c>
      <c r="J663" s="8" t="s">
        <v>197</v>
      </c>
      <c r="K663" s="8" t="s">
        <v>198</v>
      </c>
      <c r="L663" s="8" t="s">
        <v>199</v>
      </c>
      <c r="M663" s="8" t="s">
        <v>200</v>
      </c>
      <c r="N663" s="8" t="s">
        <v>201</v>
      </c>
      <c r="O663" s="8" t="s">
        <v>202</v>
      </c>
      <c r="P663" s="8" t="s">
        <v>203</v>
      </c>
      <c r="R663" t="s">
        <v>252</v>
      </c>
    </row>
    <row r="664" spans="1:22" x14ac:dyDescent="0.2">
      <c r="A664" t="str">
        <f>Skills!A2</f>
        <v>BASIC_ATTACK</v>
      </c>
      <c r="B664" t="str">
        <f>Skills!B2</f>
        <v>Basic Attack</v>
      </c>
      <c r="C664" t="b">
        <f>TRUE</f>
        <v>1</v>
      </c>
      <c r="F664">
        <f>T666+Skills!O2</f>
        <v>510.52</v>
      </c>
      <c r="G664">
        <f>Calc!G2</f>
        <v>5</v>
      </c>
      <c r="H664">
        <f>Calc!H2</f>
        <v>1</v>
      </c>
      <c r="I664">
        <f>IF(Skills!X2&lt;&gt;"",1+(Skills!X2/10)*(R665/1000)/100,1)</f>
        <v>1</v>
      </c>
      <c r="J664">
        <f>((Inputs!$B$5*(1+Inputs!$B$6/100))+((Inputs!$B$11*(1+Inputs!$B$12/100))-(Inputs!$B$11*(1+Inputs!$B$12/100)))*(1+Inputs!$B$6/100))*(F664/100)</f>
        <v>1275437334.1678655</v>
      </c>
      <c r="K664">
        <f>J664*(1+((Inputs!$B$11*(1+Inputs!$B$12/100))*0.01+Inputs!$B$13*0.0025)/100)*(1+Inputs!$B$14/100)*(1+IF(Inputs!$B$4="pvp",0,(1-Summary!$B$56)*(Inputs!$B$19+Skills!P2)+Summary!$B$56*(Inputs!$B$20+Skills!Q2))/100)*(1+Inputs!$B$15/100)*(5000/(6000+Inputs!$B$7*(1-Inputs!$B$18/100)))*(1+Inputs!$B$23/100)*(1+F685/100)*(1+IF(Inputs!$B$3&gt;=120,F688,0)/100)^5*(1+(IF(Skills!A2="BASIC_ATTACK",Inputs!$B$16,Inputs!$B$17+IF(Inputs!$B$3&gt;=125,F689*5,0)))/100)*(B692*B693*B694*I664)</f>
        <v>6962761836835.043</v>
      </c>
      <c r="L664">
        <f>K664*(MIN(Inputs!$B$21+(F684-Calc!F22),Inputs!$B$22)/100+Inputs!$B$22/100)/2</f>
        <v>18795975578536.195</v>
      </c>
      <c r="M664">
        <f>L664*(1+(Inputs!$B$9+(F683-Calc!F21))/100)</f>
        <v>78773933649645.203</v>
      </c>
      <c r="N664">
        <f>L664*(1-MIN(Inputs!$B$8+(F682-Calc!F20),100)/100)+M664*(MIN(Inputs!$B$8+(F682-Calc!F20),100)/100)</f>
        <v>78773933649645.203</v>
      </c>
      <c r="O664">
        <f>Skills!G2*N664*B698*IF(Inputs!$B$4="pvp",1,(1-Summary!$B$56)*(1)+Summary!$B$56*(MIN((6+Inputs!$B$32+IF(Inputs!$B$3&gt;=136,1,0)),Inputs!$B$37)))</f>
        <v>3898798114061039</v>
      </c>
      <c r="P664">
        <f>IF(B701=0,0,O664/B701)</f>
        <v>0.46738363090508672</v>
      </c>
      <c r="R664">
        <f>MAX(0,(Inputs!$B$3-100)*3)+Inputs!$B$27+Inputs!$B$28</f>
        <v>172</v>
      </c>
      <c r="S664">
        <v>0</v>
      </c>
      <c r="T664">
        <f>MAX(0,(Inputs!$B$3-100)*3)+Inputs!$B$27+Inputs!$B$28</f>
        <v>172</v>
      </c>
      <c r="V664">
        <f>IFERROR(1/IF(Inputs!$B$4="pvp",15,MAX(0.1,Skills!E2-IF(Skills!F2=TRUE,Inputs!$B$31,0))),0)</f>
        <v>10</v>
      </c>
    </row>
    <row r="665" spans="1:22" x14ac:dyDescent="0.2">
      <c r="A665" t="str">
        <f>Skills!A3</f>
        <v>IGNITE</v>
      </c>
      <c r="B665" t="str">
        <f>Skills!B3</f>
        <v>Ignite</v>
      </c>
      <c r="C665" t="b">
        <f>TRUE</f>
        <v>1</v>
      </c>
      <c r="D665">
        <f>IF(Skills!C3=1,60+(Inputs!$B$24+1)+Inputs!$B$28,IF(Skills!C3=2,90+Inputs!$B$25+Inputs!$B$28,IF(Skills!C3=3,120+Inputs!$B$26+Inputs!$B$28,MAX(0,(Inputs!$B$3-100)*3)+Inputs!$B$27+Inputs!$B$28)))</f>
        <v>164</v>
      </c>
      <c r="E665">
        <f>INDEX(FactorTable!$B$2:$Y$301, MATCH(ROUND(MIN(300,MAX(1,D665)),0), FactorTable!$A$2:$A$301,0), Skills!M3+1)</f>
        <v>1656</v>
      </c>
      <c r="F665">
        <f>IF(Skills!N3=TRUE,(Skills!L3/10)*(E665/1000),Skills!L3/10)+Skills!O3</f>
        <v>121.52799999999999</v>
      </c>
      <c r="G665">
        <f>Calc!G3</f>
        <v>3</v>
      </c>
      <c r="H665">
        <f>Calc!H3</f>
        <v>1</v>
      </c>
      <c r="I665">
        <f>IF(Skills!X3&lt;&gt;"",1+(Skills!X3/10)*(R665/1000)/100,1)</f>
        <v>4.76</v>
      </c>
      <c r="J665">
        <f>((Inputs!$B$5*(1+Inputs!$B$6/100))+((Inputs!$B$11*(1+Inputs!$B$12/100))-(Inputs!$B$11*(1+Inputs!$B$12/100)))*(1+Inputs!$B$6/100))*(F665/100)</f>
        <v>303614644.57171583</v>
      </c>
      <c r="K665">
        <f>J665*(1+((Inputs!$B$11*(1+Inputs!$B$12/100))*0.01+Inputs!$B$13*0.0025)/100)*(1+Inputs!$B$14/100)*(1+IF(Inputs!$B$4="pvp",0,(1-Summary!$B$56)*(Inputs!$B$19+Skills!P3)+Summary!$B$56*(Inputs!$B$20+Skills!Q3))/100)*(1+Inputs!$B$15/100)*(5000/(6000+Inputs!$B$7*(1-Inputs!$B$18/100)))*(1+Inputs!$B$23/100)*(1+F685/100)*(1+IF(Inputs!$B$3&gt;=120,F688,0)/100)^5*(1+(IF(Skills!A3="BASIC_ATTACK",Inputs!$B$16,Inputs!$B$17+IF(Inputs!$B$3&gt;=125,F689*5,0)))/100)*(B692*B693*B694*I665)</f>
        <v>10997869807749.65</v>
      </c>
      <c r="L665">
        <f>K665*(MIN(Inputs!$B$21+(F684-Calc!F22),Inputs!$B$22)/100+Inputs!$B$22/100)/2</f>
        <v>29688749546020.176</v>
      </c>
      <c r="M665">
        <f>L665*(1+(Inputs!$B$9+(F683-Calc!F21))/100)</f>
        <v>124425549347370.58</v>
      </c>
      <c r="N665">
        <f>L665*(1-MIN(Inputs!$B$8+(F682-Calc!F20),100)/100)+M665*(MIN(Inputs!$B$8+(F682-Calc!F20),100)/100)</f>
        <v>124425549347370.58</v>
      </c>
      <c r="O665">
        <f>IF(C665,H665*N665*IF(AND(Inputs!$B$4&lt;&gt;"pvp",Inputs!$B$35&gt;0),((Skills!G3*((S665-1)*IF(Skills!H3&gt;0,Skills!I3/Skills!H3,1)+IF(Skills!H3&gt;0,MIN(Skills!I3,MAX(0,Inputs!$B$35-((S665-1)*IF(Inputs!$B$4="pvp",15,MAX(0.1,Skills!E3-IF(Skills!F3=TRUE,Inputs!$B$31,0))))))/Skills!H3,1)))/Inputs!$B$35),G665*V665)*IF(Inputs!$B$4="pvp",1,(1-Summary!$B$56)*(1)+Summary!$B$56*(MIN(Skills!R3,Inputs!$B$37))),0)</f>
        <v>821208625692645.75</v>
      </c>
      <c r="P665">
        <f>IF(B701=0,0,O665/B701)</f>
        <v>9.844558707016858E-2</v>
      </c>
      <c r="R665">
        <f>INDEX(FactorTable!$B$2:$Y$301, MATCH(ROUND(MIN(300,MAX(1,R664)),0), FactorTable!$A$2:$A$301,0), 24)</f>
        <v>7520</v>
      </c>
      <c r="S665">
        <f>IF(AND(Inputs!$B$4&lt;&gt;"pvp",Inputs!$B$35&gt;0),(INT(Inputs!$B$35/IF(Inputs!$B$4="pvp",15,MAX(0.1,Skills!E3-IF(Skills!F3=TRUE,Inputs!$B$31,0))))+1),0)</f>
        <v>0</v>
      </c>
      <c r="T665">
        <f>INDEX(FactorTable!$B$2:$Y$301, MATCH(ROUND(MIN(300,MAX(1,T664)),0), FactorTable!$A$2:$A$301,0), 22)</f>
        <v>1688</v>
      </c>
      <c r="V665">
        <f>IFERROR(1/IF(Inputs!$B$4="pvp",15,MAX(0.1,Skills!E3-IF(Skills!F3=TRUE,Inputs!$B$31,0))),0)</f>
        <v>1</v>
      </c>
    </row>
    <row r="666" spans="1:22" x14ac:dyDescent="0.2">
      <c r="A666" t="str">
        <f>Skills!A4</f>
        <v>POISON_BREATH</v>
      </c>
      <c r="B666" t="str">
        <f>Skills!B4</f>
        <v>Poison Breath</v>
      </c>
      <c r="C666" t="b">
        <f>TRUE</f>
        <v>1</v>
      </c>
      <c r="D666">
        <f>IF(Skills!C4=1,60+(Inputs!$B$24+1)+Inputs!$B$28,IF(Skills!C4=2,90+Inputs!$B$25+Inputs!$B$28,IF(Skills!C4=3,120+Inputs!$B$26+Inputs!$B$28,MAX(0,(Inputs!$B$3-100)*3)+Inputs!$B$27+Inputs!$B$28)))</f>
        <v>164</v>
      </c>
      <c r="E666">
        <f>INDEX(FactorTable!$B$2:$Y$301, MATCH(ROUND(MIN(300,MAX(1,D666)),0), FactorTable!$A$2:$A$301,0), Skills!M4+1)</f>
        <v>1820</v>
      </c>
      <c r="F666">
        <f>IF(Skills!N4=TRUE,(Skills!L4/10)*(E666/1000),Skills!L4/10)+Skills!O4</f>
        <v>434</v>
      </c>
      <c r="G666">
        <f>Calc!G4</f>
        <v>3</v>
      </c>
      <c r="H666">
        <f>Calc!H4</f>
        <v>1</v>
      </c>
      <c r="I666">
        <f>IF(Skills!X4&lt;&gt;"",1+(Skills!X4/10)*(R665/1000)/100,1)</f>
        <v>7.0159999999999991</v>
      </c>
      <c r="J666">
        <f>((Inputs!$B$5*(1+Inputs!$B$6/100))+((Inputs!$B$11*(1+Inputs!$B$12/100))-(Inputs!$B$11*(1+Inputs!$B$12/100)))*(1+Inputs!$B$6/100))*(F666/100)</f>
        <v>1084266636.0355198</v>
      </c>
      <c r="K666">
        <f>J666*(1+((Inputs!$B$11*(1+Inputs!$B$12/100))*0.01+Inputs!$B$13*0.0025)/100)*(1+Inputs!$B$14/100)*(1+IF(Inputs!$B$4="pvp",0,(1-Summary!$B$56)*(Inputs!$B$19+Skills!P4)+Summary!$B$56*(Inputs!$B$20+Skills!Q4))/100)*(1+Inputs!$B$15/100)*(5000/(6000+Inputs!$B$7*(1-Inputs!$B$18/100)))*(1+Inputs!$B$23/100)*(1+F685/100)*(1+IF(Inputs!$B$3&gt;=120,F688,0)/100)^5*(1+(IF(Skills!A4="BASIC_ATTACK",Inputs!$B$16,Inputs!$B$17+IF(Inputs!$B$3&gt;=125,F689*5,0)))/100)*(B692*B693*B694*I666)</f>
        <v>57890137438825.953</v>
      </c>
      <c r="L666">
        <f>K666*(MIN(Inputs!$B$21+(F684-Calc!F22),Inputs!$B$22)/100+Inputs!$B$22/100)/2</f>
        <v>156274426016110.62</v>
      </c>
      <c r="M666">
        <f>L666*(1+(Inputs!$B$9+(F683-Calc!F21))/100)</f>
        <v>654946119433519.75</v>
      </c>
      <c r="N666">
        <f>L666*(1-MIN(Inputs!$B$8+(F682-Calc!F20),100)/100)+M666*(MIN(Inputs!$B$8+(F682-Calc!F20),100)/100)</f>
        <v>654946119433519.75</v>
      </c>
      <c r="O666">
        <f>IF(C666,H666*N666*IF(AND(Inputs!$B$4&lt;&gt;"pvp",Inputs!$B$35&gt;0),((Skills!G4*((S666-1)*IF(Skills!H4&gt;0,Skills!I4/Skills!H4,1)+IF(Skills!H4&gt;0,MIN(Skills!I4,MAX(0,Inputs!$B$35-((S666-1)*IF(Inputs!$B$4="pvp",15,MAX(0.1,Skills!E4-IF(Skills!F4=TRUE,Inputs!$B$31,0))))))/Skills!H4,1)))/Inputs!$B$35),G666*V666)*IF(Inputs!$B$4="pvp",1,(1-Summary!$B$56)*(1)+Summary!$B$56*(MIN(Skills!R4,Inputs!$B$37))),0)</f>
        <v>436630746289013.06</v>
      </c>
      <c r="P666">
        <f>IF(B701=0,0,O666/B701)</f>
        <v>5.2342813758261116E-2</v>
      </c>
      <c r="S666">
        <f>IF(AND(Inputs!$B$4&lt;&gt;"pvp",Inputs!$B$35&gt;0),(INT(Inputs!$B$35/IF(Inputs!$B$4="pvp",15,MAX(0.1,Skills!E4-IF(Skills!F4=TRUE,Inputs!$B$31,0))))+1),0)</f>
        <v>0</v>
      </c>
      <c r="T666">
        <f>290*T665/1000</f>
        <v>489.52</v>
      </c>
      <c r="V666">
        <f>IFERROR(1/IF(Inputs!$B$4="pvp",15,MAX(0.1,Skills!E4-IF(Skills!F4=TRUE,Inputs!$B$31,0))),0)</f>
        <v>5.5555555555555552E-2</v>
      </c>
    </row>
    <row r="667" spans="1:22" x14ac:dyDescent="0.2">
      <c r="A667" t="str">
        <f>Skills!A5</f>
        <v>ELEMENTAL_DRAIN</v>
      </c>
      <c r="B667" t="str">
        <f>Skills!B5</f>
        <v>Elemental Drain</v>
      </c>
      <c r="C667" t="b">
        <f>TRUE</f>
        <v>1</v>
      </c>
      <c r="D667">
        <f>IF(Skills!C5=1,60+(Inputs!$B$24+1)+Inputs!$B$28,IF(Skills!C5=2,90+Inputs!$B$25+Inputs!$B$28,IF(Skills!C5=3,120+Inputs!$B$26+Inputs!$B$28,MAX(0,(Inputs!$B$3-100)*3)+Inputs!$B$27+Inputs!$B$28)))</f>
        <v>164</v>
      </c>
      <c r="E667">
        <f>INDEX(FactorTable!$B$2:$Y$301, MATCH(ROUND(MIN(300,MAX(1,D667)),0), FactorTable!$A$2:$A$301,0), Skills!M5+1)</f>
        <v>1656</v>
      </c>
      <c r="F667">
        <f>IF(Skills!N5=TRUE,(Skills!L5/10)*(E667/1000),Skills!L5/10)+Skills!O5</f>
        <v>19.872</v>
      </c>
      <c r="G667">
        <f>Calc!G5</f>
        <v>5</v>
      </c>
      <c r="H667">
        <f>Calc!H5</f>
        <v>1</v>
      </c>
      <c r="I667">
        <f>IF(Skills!X5&lt;&gt;"",1+(Skills!X5/10)*(R665/1000)/100,1)</f>
        <v>12.28</v>
      </c>
      <c r="J667">
        <f>((Inputs!$B$5*(1+Inputs!$B$6/100))+((Inputs!$B$11*(1+Inputs!$B$12/100))-(Inputs!$B$11*(1+Inputs!$B$12/100)))*(1+Inputs!$B$6/100))*(F667/100)</f>
        <v>49646420.717276163</v>
      </c>
      <c r="K667">
        <f>J667*(1+((Inputs!$B$11*(1+Inputs!$B$12/100))*0.01+Inputs!$B$13*0.0025)/100)*(1+Inputs!$B$14/100)*(1+IF(Inputs!$B$4="pvp",0,(1-Summary!$B$56)*(Inputs!$B$19+Skills!P5)+Summary!$B$56*(Inputs!$B$20+Skills!Q5))/100)*(1+Inputs!$B$15/100)*(5000/(6000+Inputs!$B$7*(1-Inputs!$B$18/100)))*(1+Inputs!$B$23/100)*(1+F685/100)*(1+IF(Inputs!$B$3&gt;=120,F688,0)/100)^5*(1+(IF(Skills!A5="BASIC_ATTACK",Inputs!$B$16,Inputs!$B$17+IF(Inputs!$B$3&gt;=125,F689*5,0)))/100)*(B692*B693*B694*I667)</f>
        <v>4639436298777.1904</v>
      </c>
      <c r="L667">
        <f>K667*(MIN(Inputs!$B$21+(F684-Calc!F22),Inputs!$B$22)/100+Inputs!$B$22/100)/2</f>
        <v>12524158288549.023</v>
      </c>
      <c r="M667">
        <f>L667*(1+(Inputs!$B$9+(F683-Calc!F21))/100)</f>
        <v>52488747387308.969</v>
      </c>
      <c r="N667">
        <f>L667*(1-MIN(Inputs!$B$8+(F682-Calc!F20),100)/100)+M667*(MIN(Inputs!$B$8+(F682-Calc!F20),100)/100)</f>
        <v>52488747387308.969</v>
      </c>
      <c r="O667">
        <f>IF(C667,H667*N667*IF(AND(Inputs!$B$4&lt;&gt;"pvp",Inputs!$B$35&gt;0),((Skills!G5*((S667-1)*IF(Skills!H5&gt;0,Skills!I5/Skills!H5,1)+IF(Skills!H5&gt;0,MIN(Skills!I5,MAX(0,Inputs!$B$35-((S667-1)*IF(Inputs!$B$4="pvp",15,MAX(0.1,Skills!E5-IF(Skills!F5=TRUE,Inputs!$B$31,0))))))/Skills!H5,1)))/Inputs!$B$35),G667*V667)*IF(Inputs!$B$4="pvp",1,(1-Summary!$B$56)*(1)+Summary!$B$56*(MIN(Skills!R5,Inputs!$B$37))),0)</f>
        <v>262443736936544.84</v>
      </c>
      <c r="P667">
        <f>IF(B701=0,0,O667/B701)</f>
        <v>3.146146660821468E-2</v>
      </c>
      <c r="S667">
        <f>IF(AND(Inputs!$B$4&lt;&gt;"pvp",Inputs!$B$35&gt;0),(INT(Inputs!$B$35/IF(Inputs!$B$4="pvp",15,MAX(0.1,Skills!E5-IF(Skills!F5=TRUE,Inputs!$B$31,0))))+1),0)</f>
        <v>0</v>
      </c>
      <c r="V667">
        <f>IFERROR(1/IF(Inputs!$B$4="pvp",15,MAX(0.1,Skills!E5-IF(Skills!F5=TRUE,Inputs!$B$31,0))),0)</f>
        <v>1</v>
      </c>
    </row>
    <row r="668" spans="1:22" x14ac:dyDescent="0.2">
      <c r="A668" t="str">
        <f>Skills!A6</f>
        <v>MEDITATION</v>
      </c>
      <c r="B668" t="str">
        <f>Skills!B6</f>
        <v>Meditation</v>
      </c>
      <c r="C668" t="b">
        <f>TRUE</f>
        <v>1</v>
      </c>
      <c r="D668">
        <f>IF(Skills!C6=1,60+(Inputs!$B$24+1)+Inputs!$B$28,IF(Skills!C6=2,90+Inputs!$B$25+Inputs!$B$28,IF(Skills!C6=3,120+Inputs!$B$26+Inputs!$B$28,MAX(0,(Inputs!$B$3-100)*3)+Inputs!$B$27+Inputs!$B$28)))</f>
        <v>164</v>
      </c>
      <c r="E668">
        <f>INDEX(FactorTable!$B$2:$Y$301, MATCH(ROUND(MIN(300,MAX(1,D668)),0), FactorTable!$A$2:$A$301,0), Skills!M6+1)</f>
        <v>1492</v>
      </c>
      <c r="F668">
        <f>IF(Skills!N6=TRUE,(Skills!L6/10)*(E668/1000),Skills!L6/10)+Skills!O6</f>
        <v>29.84</v>
      </c>
      <c r="G668">
        <f>Calc!G6</f>
        <v>1</v>
      </c>
      <c r="H668">
        <f>Calc!H6</f>
        <v>1</v>
      </c>
      <c r="I668">
        <f>IF(Skills!X6&lt;&gt;"",1+(Skills!X6/10)*(R665/1000)/100,1)</f>
        <v>1</v>
      </c>
      <c r="O668">
        <v>0</v>
      </c>
      <c r="P668">
        <f>IF(B701=0,0,O668/B701)</f>
        <v>0</v>
      </c>
      <c r="S668">
        <f>IF(AND(Inputs!$B$4&lt;&gt;"pvp",Inputs!$B$35&gt;0),(INT(Inputs!$B$35/IF(Inputs!$B$4="pvp",15,MAX(0.1,Skills!E6-IF(Skills!F6=TRUE,Inputs!$B$31,0))))+1),0)</f>
        <v>0</v>
      </c>
      <c r="V668">
        <f>IFERROR(1/IF(Inputs!$B$4="pvp",15,MAX(0.1,Skills!E6-IF(Skills!F6=TRUE,Inputs!$B$31,0))),0)</f>
        <v>3.3333333333333333E-2</v>
      </c>
    </row>
    <row r="669" spans="1:22" x14ac:dyDescent="0.2">
      <c r="A669" t="str">
        <f>Skills!A7</f>
        <v>POISON_MIST_BURST</v>
      </c>
      <c r="B669" t="str">
        <f>Skills!B7</f>
        <v>Poison Mist (burst)</v>
      </c>
      <c r="C669" t="b">
        <f>TRUE</f>
        <v>1</v>
      </c>
      <c r="D669">
        <f>IF(Skills!C7=1,60+(Inputs!$B$24+1)+Inputs!$B$28,IF(Skills!C7=2,90+Inputs!$B$25+Inputs!$B$28,IF(Skills!C7=3,120+Inputs!$B$26+Inputs!$B$28,MAX(0,(Inputs!$B$3-100)*3)+Inputs!$B$27+Inputs!$B$28)))</f>
        <v>184</v>
      </c>
      <c r="E669">
        <f>INDEX(FactorTable!$B$2:$Y$301, MATCH(ROUND(MIN(300,MAX(1,D669)),0), FactorTable!$A$2:$A$301,0), Skills!M7+1)</f>
        <v>1920</v>
      </c>
      <c r="F669">
        <f>IF(Skills!N7=TRUE,(Skills!L7/10)*(E669/1000),Skills!L7/10)+Skills!O7</f>
        <v>357.2</v>
      </c>
      <c r="G669">
        <f>Calc!G7</f>
        <v>3</v>
      </c>
      <c r="H669">
        <f>Calc!H7</f>
        <v>1</v>
      </c>
      <c r="I669">
        <f>IF(Skills!X7&lt;&gt;"",1+(Skills!X7/10)*(R665/1000)/100,1)</f>
        <v>1.7519999999999998</v>
      </c>
      <c r="J669">
        <f>((Inputs!$B$5*(1+Inputs!$B$6/100))+((Inputs!$B$11*(1+Inputs!$B$12/100))-(Inputs!$B$11*(1+Inputs!$B$12/100)))*(1+Inputs!$B$6/100))*(F669/100)</f>
        <v>892396411.04121602</v>
      </c>
      <c r="K669">
        <f>J669*(1+((Inputs!$B$11*(1+Inputs!$B$12/100))*0.01+Inputs!$B$13*0.0025)/100)*(1+Inputs!$B$14/100)*(1+IF(Inputs!$B$4="pvp",0,(1-Summary!$B$56)*(Inputs!$B$19+Skills!P7)+Summary!$B$56*(Inputs!$B$20+Skills!Q7))/100)*(1+Inputs!$B$15/100)*(5000/(6000+Inputs!$B$7*(1-Inputs!$B$18/100)))*(1+Inputs!$B$23/100)*(1+F685/100)*(1+IF(Inputs!$B$3&gt;=120,F688,0)/100)^5*(1+(IF(Skills!A7="BASIC_ATTACK",Inputs!$B$16,Inputs!$B$17+IF(Inputs!$B$3&gt;=125,F689*5,0)))/100)*(B692*B693*B694*I669)</f>
        <v>11897913927874.012</v>
      </c>
      <c r="L669">
        <f>K669*(MIN(Inputs!$B$21+(F684-Calc!F22),Inputs!$B$22)/100+Inputs!$B$22/100)/2</f>
        <v>32118418648295.891</v>
      </c>
      <c r="M669">
        <f>L669*(1+(Inputs!$B$9+(F683-Calc!F21))/100)</f>
        <v>134608292555008.09</v>
      </c>
      <c r="N669">
        <f>L669*(1-MIN(Inputs!$B$8+(F682-Calc!F20),100)/100)+M669*(MIN(Inputs!$B$8+(F682-Calc!F20),100)/100)</f>
        <v>134608292555008.09</v>
      </c>
      <c r="O669">
        <f>IF(C669,H669*N669*IF(AND(Inputs!$B$4&lt;&gt;"pvp",Inputs!$B$35&gt;0),((Skills!G7*((S669-1)*IF(Skills!H7&gt;0,Skills!I7/Skills!H7,1)+IF(Skills!H7&gt;0,MIN(Skills!I7,MAX(0,Inputs!$B$35-((S669-1)*IF(Inputs!$B$4="pvp",15,MAX(0.1,Skills!E7-IF(Skills!F7=TRUE,Inputs!$B$31,0))))))/Skills!H7,1)))/Inputs!$B$35),G669*V669)*IF(Inputs!$B$4="pvp",1,(1-Summary!$B$56)*(1)+Summary!$B$56*(MIN(Skills!R7,Inputs!$B$37))),0)</f>
        <v>105488947634945.12</v>
      </c>
      <c r="P669">
        <f>IF(B701=0,0,O669/B701)</f>
        <v>1.2645899049802742E-2</v>
      </c>
      <c r="S669">
        <f>IF(AND(Inputs!$B$4&lt;&gt;"pvp",Inputs!$B$35&gt;0),(INT(Inputs!$B$35/IF(Inputs!$B$4="pvp",15,MAX(0.1,Skills!E7-IF(Skills!F7=TRUE,Inputs!$B$31,0))))+1),0)</f>
        <v>0</v>
      </c>
      <c r="V669">
        <f>IFERROR(1/IF(Inputs!$B$4="pvp",15,MAX(0.1,Skills!E7-IF(Skills!F7=TRUE,Inputs!$B$31,0))),0)</f>
        <v>4.0816326530612242E-2</v>
      </c>
    </row>
    <row r="670" spans="1:22" x14ac:dyDescent="0.2">
      <c r="A670" t="str">
        <f>Skills!A8</f>
        <v>POISON_MIST_DOT</v>
      </c>
      <c r="B670" t="str">
        <f>Skills!B8</f>
        <v>Poison Mist (fog DoT)</v>
      </c>
      <c r="C670" t="b">
        <f>TRUE</f>
        <v>1</v>
      </c>
      <c r="D670">
        <f>IF(Skills!C8=1,60+(Inputs!$B$24+1)+Inputs!$B$28,IF(Skills!C8=2,90+Inputs!$B$25+Inputs!$B$28,IF(Skills!C8=3,120+Inputs!$B$26+Inputs!$B$28,MAX(0,(Inputs!$B$3-100)*3)+Inputs!$B$27+Inputs!$B$28)))</f>
        <v>184</v>
      </c>
      <c r="E670">
        <f>INDEX(FactorTable!$B$2:$Y$301, MATCH(ROUND(MIN(300,MAX(1,D670)),0), FactorTable!$A$2:$A$301,0), Skills!M8+1)</f>
        <v>1920</v>
      </c>
      <c r="F670">
        <f>IF(Skills!N8=TRUE,(Skills!L8/10)*(E670/1000),Skills!L8/10)+Skills!O8</f>
        <v>134.4</v>
      </c>
      <c r="G670">
        <f>Calc!G8</f>
        <v>50</v>
      </c>
      <c r="H670">
        <f>Calc!H8</f>
        <v>1</v>
      </c>
      <c r="I670">
        <f>IF(Skills!X8&lt;&gt;"",1+(Skills!X8/10)*(R665/1000)/100,1)</f>
        <v>1.7519999999999998</v>
      </c>
      <c r="J670">
        <f>((Inputs!$B$5*(1+Inputs!$B$6/100))+((Inputs!$B$11*(1+Inputs!$B$12/100))-(Inputs!$B$11*(1+Inputs!$B$12/100)))*(1+Inputs!$B$6/100))*(F670/100)</f>
        <v>335772893.74003202</v>
      </c>
      <c r="K670">
        <f>J670*(1+((Inputs!$B$11*(1+Inputs!$B$12/100))*0.01+Inputs!$B$13*0.0025)/100)*(1+Inputs!$B$14/100)*(1+IF(Inputs!$B$4="pvp",0,(1-Summary!$B$56)*(Inputs!$B$19+Skills!P8)+Summary!$B$56*(Inputs!$B$20+Skills!Q8))/100)*(1+Inputs!$B$15/100)*(5000/(6000+Inputs!$B$7*(1-Inputs!$B$18/100)))*(1+Inputs!$B$23/100)*(1+F685/100)*(1+IF(Inputs!$B$3&gt;=120,F688,0)/100)^5*(1+(IF(Skills!A8="BASIC_ATTACK",Inputs!$B$16,Inputs!$B$17+IF(Inputs!$B$3&gt;=125,F689*5,0)))/100)*(B692*B693*B694*I670)</f>
        <v>4476706696266.1465</v>
      </c>
      <c r="L670">
        <f>K670*(MIN(Inputs!$B$21+(F684-Calc!F22),Inputs!$B$22)/100+Inputs!$B$22/100)/2</f>
        <v>12084869726570.461</v>
      </c>
      <c r="M670">
        <f>L670*(1+(Inputs!$B$9+(F683-Calc!F21))/100)</f>
        <v>50647689024056.812</v>
      </c>
      <c r="N670">
        <f>L670*(1-MIN(Inputs!$B$8+(F682-Calc!F20),100)/100)+M670*(MIN(Inputs!$B$8+(F682-Calc!F20),100)/100)</f>
        <v>50647689024056.812</v>
      </c>
      <c r="O670">
        <f>IF(C670,H670*N670*IF(AND(Inputs!$B$4&lt;&gt;"pvp",Inputs!$B$35&gt;0),((Skills!G8*((S670-1)*IF(Skills!H8&gt;0,Skills!I8/Skills!H8,1)+IF(Skills!H8&gt;0,MIN(Skills!I8,MAX(0,Inputs!$B$35-((S670-1)*IF(Inputs!$B$4="pvp",15,MAX(0.1,Skills!E8-IF(Skills!F8=TRUE,Inputs!$B$31,0))))))/Skills!H8,1)))/Inputs!$B$35),G670*V670)*IF(Inputs!$B$4="pvp",1,(1-Summary!$B$56)*(1)+Summary!$B$56*(MIN(Skills!R8,Inputs!$B$37))),0)</f>
        <v>661520836232578.88</v>
      </c>
      <c r="P670">
        <f>IF(B701=0,0,O670/B701)</f>
        <v>7.930239045788956E-2</v>
      </c>
      <c r="S670">
        <f>IF(AND(Inputs!$B$4&lt;&gt;"pvp",Inputs!$B$35&gt;0),(INT(Inputs!$B$35/IF(Inputs!$B$4="pvp",15,MAX(0.1,Skills!E8-IF(Skills!F8=TRUE,Inputs!$B$31,0))))+1),0)</f>
        <v>0</v>
      </c>
      <c r="V670">
        <f>IFERROR(1/IF(Inputs!$B$4="pvp",15,MAX(0.1,Skills!E8-IF(Skills!F8=TRUE,Inputs!$B$31,0))),0)</f>
        <v>4.0816326530612242E-2</v>
      </c>
    </row>
    <row r="671" spans="1:22" x14ac:dyDescent="0.2">
      <c r="A671" t="str">
        <f>Skills!A9</f>
        <v>MIST_ERUPTION</v>
      </c>
      <c r="B671" t="str">
        <f>Skills!B9</f>
        <v>Mist Eruption</v>
      </c>
      <c r="C671" t="b">
        <f>Inputs!$B$3&gt;=103</f>
        <v>1</v>
      </c>
      <c r="D671">
        <f>IF(Skills!C9=1,60+(Inputs!$B$24+1)+Inputs!$B$28,IF(Skills!C9=2,90+Inputs!$B$25+Inputs!$B$28,IF(Skills!C9=3,120+Inputs!$B$26+Inputs!$B$28,MAX(0,(Inputs!$B$3-100)*3)+Inputs!$B$27+Inputs!$B$28)))</f>
        <v>172</v>
      </c>
      <c r="E671">
        <f>INDEX(FactorTable!$B$2:$Y$301, MATCH(ROUND(MIN(300,MAX(1,D671)),0), FactorTable!$A$2:$A$301,0), Skills!M9+1)</f>
        <v>1860</v>
      </c>
      <c r="F671">
        <f>IF(Skills!N9=TRUE,(Skills!L9/10)*(E671/1000),Skills!L9/10)+Skills!O9</f>
        <v>5580</v>
      </c>
      <c r="G671">
        <f>Calc!G9</f>
        <v>2.8</v>
      </c>
      <c r="H671">
        <f>Calc!H9</f>
        <v>1</v>
      </c>
      <c r="I671">
        <f>IF(Skills!X9&lt;&gt;"",1+(Skills!X9/10)*(R665/1000)/100,1)</f>
        <v>1</v>
      </c>
      <c r="J671">
        <f>((Inputs!$B$5*(1+Inputs!$B$6/100))+((Inputs!$B$11*(1+Inputs!$B$12/100))-(Inputs!$B$11*(1+Inputs!$B$12/100)))*(1+Inputs!$B$6/100))*(F671/100)</f>
        <v>13940571034.742399</v>
      </c>
      <c r="K671">
        <f>J671*(1+((Inputs!$B$11*(1+Inputs!$B$12/100))*0.01+Inputs!$B$13*0.0025)/100)*(1+Inputs!$B$14/100)*(1+IF(Inputs!$B$4="pvp",0,(1-Summary!$B$56)*(Inputs!$B$19+Skills!P9)+Summary!$B$56*(Inputs!$B$20+Skills!Q9))/100)*(1+Inputs!$B$15/100)*(5000/(6000+Inputs!$B$7*(1-Inputs!$B$18/100)))*(1+Inputs!$B$23/100)*(1+F685/100)*(1+IF(Inputs!$B$3&gt;=120,F688,0)/100)^5*(1+(IF(Skills!A9="BASIC_ATTACK",Inputs!$B$16,Inputs!$B$17+IF(Inputs!$B$3&gt;=125,F689*5,0)))/100)*(B692*B693*B694*I671)</f>
        <v>106086340802539.86</v>
      </c>
      <c r="L671">
        <f>K671*(MIN(Inputs!$B$21+(F684-Calc!F22),Inputs!$B$22)/100+Inputs!$B$22/100)/2</f>
        <v>286380076996456.31</v>
      </c>
      <c r="M671">
        <f>L671*(1+(Inputs!$B$9+(F683-Calc!F21))/100)</f>
        <v>1200218902692148.5</v>
      </c>
      <c r="N671">
        <f>L671*(1-MIN(Inputs!$B$8+(F682-Calc!F20),100)/100)+M671*(MIN(Inputs!$B$8+(F682-Calc!F20),100)/100)</f>
        <v>1200218902692148.5</v>
      </c>
      <c r="O671">
        <f>IF(C671,H671*N671*IF(AND(Inputs!$B$4&lt;&gt;"pvp",Inputs!$B$35&gt;0),((Skills!G9*((S671-1)*IF(Skills!H9&gt;0,Skills!I9/Skills!H9,1)+IF(Skills!H9&gt;0,MIN(Skills!I9,MAX(0,Inputs!$B$35-((S671-1)*IF(Inputs!$B$4="pvp",15,MAX(0.1,Skills!E9-IF(Skills!F7=TRUE,Inputs!$B$31,0))))))/Skills!H9,1)))/Inputs!$B$35),G671*V671)*IF(Inputs!$B$4="pvp",1,(1-Summary!$B$56)*(1)+Summary!$B$56*(MIN(Skills!R9,Inputs!$B$37))),0)</f>
        <v>877874397397685.62</v>
      </c>
      <c r="P671">
        <f>IF(B701=0,0,O671/B701)</f>
        <v>0.10523861747408285</v>
      </c>
      <c r="S671">
        <f>IF(AND(Inputs!$B$4&lt;&gt;"pvp",Inputs!$B$35&gt;0),(INT(Inputs!$B$35/IF(Inputs!$B$4="pvp",15,MAX(0.1,Skills!E9-IF(Skills!F7=TRUE,Inputs!$B$31,0))))+1),0)</f>
        <v>0</v>
      </c>
      <c r="V671">
        <f>IFERROR(1/IF(Inputs!$B$4="pvp",15,MAX(0.1,Skills!E9-IF(Skills!F7=TRUE,Inputs!$B$31,0))),0)</f>
        <v>4.0816326530612242E-2</v>
      </c>
    </row>
    <row r="672" spans="1:22" x14ac:dyDescent="0.2">
      <c r="A672" t="str">
        <f>Skills!A10</f>
        <v>CREEPING_TOXIN</v>
      </c>
      <c r="B672" t="str">
        <f>Skills!B10</f>
        <v>Creeping Toxin</v>
      </c>
      <c r="C672" t="b">
        <f>TRUE</f>
        <v>1</v>
      </c>
      <c r="D672">
        <f>IF(Skills!C10=1,60+(Inputs!$B$24+1)+Inputs!$B$28,IF(Skills!C10=2,90+Inputs!$B$25+Inputs!$B$28,IF(Skills!C10=3,120+Inputs!$B$26+Inputs!$B$28,MAX(0,(Inputs!$B$3-100)*3)+Inputs!$B$27+Inputs!$B$28)))</f>
        <v>184</v>
      </c>
      <c r="E672">
        <f>INDEX(FactorTable!$B$2:$Y$301, MATCH(ROUND(MIN(300,MAX(1,D672)),0), FactorTable!$A$2:$A$301,0), Skills!M10+1)</f>
        <v>1920</v>
      </c>
      <c r="F672">
        <f>IF(Skills!N10=TRUE,(Skills!L10/10)*(E672/1000),Skills!L10/10)+Skills!O10</f>
        <v>280.39999999999998</v>
      </c>
      <c r="G672">
        <f>Calc!G10</f>
        <v>15</v>
      </c>
      <c r="H672">
        <f>Calc!H10</f>
        <v>1</v>
      </c>
      <c r="I672">
        <f>IF(Skills!X10&lt;&gt;"",1+(Skills!X10/10)*(R665/1000)/100,1)</f>
        <v>1.7519999999999998</v>
      </c>
      <c r="J672">
        <f>((Inputs!$B$5*(1+Inputs!$B$6/100))+((Inputs!$B$11*(1+Inputs!$B$12/100))-(Inputs!$B$11*(1+Inputs!$B$12/100)))*(1+Inputs!$B$6/100))*(F672/100)</f>
        <v>700526186.04691195</v>
      </c>
      <c r="K672">
        <f>J672*(1+((Inputs!$B$11*(1+Inputs!$B$12/100))*0.01+Inputs!$B$13*0.0025)/100)*(1+Inputs!$B$14/100)*(1+IF(Inputs!$B$4="pvp",0,(1-Summary!$B$56)*(Inputs!$B$19+Skills!P10)+Summary!$B$56*(Inputs!$B$20+Skills!Q10))/100)*(1+Inputs!$B$15/100)*(5000/(6000+Inputs!$B$7*(1-Inputs!$B$18/100)))*(1+Inputs!$B$23/100)*(1+F685/100)*(1+IF(Inputs!$B$3&gt;=120,F688,0)/100)^5*(1+(IF(Skills!A10="BASIC_ATTACK",Inputs!$B$16,Inputs!$B$17+IF(Inputs!$B$3&gt;=125,F689*5,0)))/100)*(B692*B693*B694*I672)</f>
        <v>11021631796944.365</v>
      </c>
      <c r="L672">
        <f>K672*(MIN(Inputs!$B$21+(F684-Calc!F22),Inputs!$B$22)/100+Inputs!$B$22/100)/2</f>
        <v>29752895035851.309</v>
      </c>
      <c r="M672">
        <f>L672*(1+(Inputs!$B$9+(F683-Calc!F21))/100)</f>
        <v>124694383095252.86</v>
      </c>
      <c r="N672">
        <f>L672*(1-MIN(Inputs!$B$8+(F682-Calc!F20),100)/100)+M672*(MIN(Inputs!$B$8+(F682-Calc!F20),100)/100)</f>
        <v>124694383095252.86</v>
      </c>
      <c r="O672">
        <f>IF(C672,H672*N672*IF(AND(Inputs!$B$4&lt;&gt;"pvp",Inputs!$B$35&gt;0),((Skills!G10*((S672-1)*IF(Skills!H10&gt;0,Skills!I10/Skills!H10,1)+IF(Skills!H10&gt;0,MIN(Skills!I10,MAX(0,Inputs!$B$35-((S672-1)*IF(Inputs!$B$4="pvp",15,MAX(0.1,Skills!E10-IF(Skills!F10=TRUE,Inputs!$B$31,0))))))/Skills!H10,1)))/Inputs!$B$35),G672*V672)*IF(Inputs!$B$4="pvp",1,(1-Summary!$B$56)*(1)+Summary!$B$56*(MIN(Skills!R10,Inputs!$B$37))),0)</f>
        <v>69274657275140.484</v>
      </c>
      <c r="P672">
        <f>IF(B701=0,0,O672/B701)</f>
        <v>8.3045697416826384E-3</v>
      </c>
      <c r="S672">
        <f>IF(AND(Inputs!$B$4&lt;&gt;"pvp",Inputs!$B$35&gt;0),(INT(Inputs!$B$35/IF(Inputs!$B$4="pvp",15,MAX(0.1,Skills!E10-IF(Skills!F10=TRUE,Inputs!$B$31,0))))+1),0)</f>
        <v>0</v>
      </c>
      <c r="V672">
        <f>IFERROR(1/IF(Inputs!$B$4="pvp",15,MAX(0.1,Skills!E10-IF(Skills!F10=TRUE,Inputs!$B$31,0))),0)</f>
        <v>3.7037037037037035E-2</v>
      </c>
    </row>
    <row r="673" spans="1:22" x14ac:dyDescent="0.2">
      <c r="A673" t="str">
        <f>Skills!A11</f>
        <v>BURNING_MAGIC</v>
      </c>
      <c r="B673" t="str">
        <f>Skills!B11</f>
        <v>Burning Magic</v>
      </c>
      <c r="C673" t="b">
        <f>TRUE</f>
        <v>1</v>
      </c>
      <c r="D673">
        <f>IF(Skills!C11=1,60+(Inputs!$B$24+1)+Inputs!$B$28,IF(Skills!C11=2,90+Inputs!$B$25+Inputs!$B$28,IF(Skills!C11=3,120+Inputs!$B$26+Inputs!$B$28,MAX(0,(Inputs!$B$3-100)*3)+Inputs!$B$27+Inputs!$B$28)))</f>
        <v>184</v>
      </c>
      <c r="E673">
        <f>INDEX(FactorTable!$B$2:$Y$301, MATCH(ROUND(MIN(300,MAX(1,D673)),0), FactorTable!$A$2:$A$301,0), Skills!M11+1)</f>
        <v>0</v>
      </c>
      <c r="F673">
        <f>IF(Skills!N11=TRUE,(Skills!L11/10)*(E673/1000),Skills!L11/10)+Skills!O11</f>
        <v>5</v>
      </c>
      <c r="G673">
        <f>Calc!G11</f>
        <v>1</v>
      </c>
      <c r="H673">
        <f>Calc!H11</f>
        <v>1</v>
      </c>
      <c r="I673">
        <f>IF(Skills!X11&lt;&gt;"",1+(Skills!X11/10)*(R665/1000)/100,1)</f>
        <v>1</v>
      </c>
      <c r="O673">
        <v>0</v>
      </c>
      <c r="P673">
        <f>IF(B701=0,0,O673/B701)</f>
        <v>0</v>
      </c>
      <c r="S673">
        <v>0</v>
      </c>
      <c r="V673">
        <f>IFERROR(1/IF(Inputs!$B$4="pvp",15,MAX(0.1,Skills!E11-IF(Skills!F11=TRUE,Inputs!$B$31,0))),0)</f>
        <v>10</v>
      </c>
    </row>
    <row r="674" spans="1:22" x14ac:dyDescent="0.2">
      <c r="A674" t="str">
        <f>Skills!A12</f>
        <v>ELEMENTAL_DECREASE</v>
      </c>
      <c r="B674" t="str">
        <f>Skills!B12</f>
        <v>Elemental Decrease</v>
      </c>
      <c r="C674" t="b">
        <f>TRUE</f>
        <v>1</v>
      </c>
      <c r="D674">
        <f>IF(Skills!C12=1,60+(Inputs!$B$24+1)+Inputs!$B$28,IF(Skills!C12=2,90+Inputs!$B$25+Inputs!$B$28,IF(Skills!C12=3,120+Inputs!$B$26+Inputs!$B$28,MAX(0,(Inputs!$B$3-100)*3)+Inputs!$B$27+Inputs!$B$28)))</f>
        <v>184</v>
      </c>
      <c r="E674">
        <f>INDEX(FactorTable!$B$2:$Y$301, MATCH(ROUND(MIN(300,MAX(1,D674)),0), FactorTable!$A$2:$A$301,0), Skills!M12+1)</f>
        <v>1552</v>
      </c>
      <c r="F674">
        <f>IF(Skills!N12=TRUE,(Skills!L12/10)*(E674/1000),Skills!L12/10)+Skills!O12</f>
        <v>18.624000000000002</v>
      </c>
      <c r="G674">
        <f>Calc!G12</f>
        <v>1</v>
      </c>
      <c r="H674">
        <f>Calc!H12</f>
        <v>0.5</v>
      </c>
      <c r="I674">
        <f>IF(Skills!X12&lt;&gt;"",1+(Skills!X12/10)*(R665/1000)/100,1)</f>
        <v>1</v>
      </c>
      <c r="O674">
        <v>0</v>
      </c>
      <c r="P674">
        <f>IF(B701=0,0,O674/B701)</f>
        <v>0</v>
      </c>
      <c r="S674">
        <v>0</v>
      </c>
      <c r="V674">
        <f>IFERROR(1/IF(Inputs!$B$4="pvp",15,MAX(0.1,Skills!E12-IF(Skills!F12=TRUE,Inputs!$B$31,0))),0)</f>
        <v>10</v>
      </c>
    </row>
    <row r="675" spans="1:22" x14ac:dyDescent="0.2">
      <c r="A675" t="str">
        <f>Skills!A13</f>
        <v>METEOR_SHOWER_BURST</v>
      </c>
      <c r="B675" t="str">
        <f>Skills!B13</f>
        <v>Meteor Shower (burst)</v>
      </c>
      <c r="C675" t="b">
        <f>Inputs!$B$3&gt;=105</f>
        <v>1</v>
      </c>
      <c r="D675">
        <f>IF(Skills!C13=1,60+(Inputs!$B$24+1)+Inputs!$B$28,IF(Skills!C13=2,90+Inputs!$B$25+Inputs!$B$28,IF(Skills!C13=3,120+Inputs!$B$26+Inputs!$B$28,MAX(0,(Inputs!$B$3-100)*3)+Inputs!$B$27+Inputs!$B$28)))</f>
        <v>172</v>
      </c>
      <c r="E675">
        <f>INDEX(FactorTable!$B$2:$Y$301, MATCH(ROUND(MIN(300,MAX(1,D675)),0), FactorTable!$A$2:$A$301,0), Skills!M13+1)</f>
        <v>1860</v>
      </c>
      <c r="F675">
        <f>IF(Skills!N13=TRUE,(Skills!L13/10)*(E675/1000),Skills!L13/10)+Skills!O13</f>
        <v>1116</v>
      </c>
      <c r="G675">
        <f>Calc!G13</f>
        <v>9</v>
      </c>
      <c r="H675">
        <f>Calc!H13</f>
        <v>1</v>
      </c>
      <c r="I675">
        <f>IF(Skills!X13&lt;&gt;"",1+(Skills!X13/10)*(R665/1000)/100,1)</f>
        <v>1</v>
      </c>
      <c r="J675">
        <f>((Inputs!$B$5*(1+Inputs!$B$6/100))+((Inputs!$B$11*(1+Inputs!$B$12/100))-(Inputs!$B$11*(1+Inputs!$B$12/100)))*(1+Inputs!$B$6/100))*(F675/100)</f>
        <v>2788114206.9484801</v>
      </c>
      <c r="K675">
        <f>J675*(1+((Inputs!$B$11*(1+Inputs!$B$12/100))*0.01+Inputs!$B$13*0.0025)/100)*(1+Inputs!$B$14/100)*(1+IF(Inputs!$B$4="pvp",0,(1-Summary!$B$56)*(Inputs!$B$19+Skills!P13)+Summary!$B$56*(Inputs!$B$20+Skills!Q13))/100)*(1+Inputs!$B$15/100)*(5000/(6000+Inputs!$B$7*(1-Inputs!$B$18/100)))*(1+Inputs!$B$23/100)*(1+F685/100)*(1+IF(Inputs!$B$3&gt;=120,F688,0)/100)^5*(1+(IF(Skills!A13="BASIC_ATTACK",Inputs!$B$16,Inputs!$B$17+IF(Inputs!$B$3&gt;=125,F689*5,0)))/100)*(B692*B693*B694*I675)</f>
        <v>21217268160507.965</v>
      </c>
      <c r="L675">
        <f>K675*(MIN(Inputs!$B$21+(F684-Calc!F22),Inputs!$B$22)/100+Inputs!$B$22/100)/2</f>
        <v>57276015399291.242</v>
      </c>
      <c r="M675">
        <f>L675*(1+(Inputs!$B$9+(F683-Calc!F21))/100)</f>
        <v>240043780538429.62</v>
      </c>
      <c r="N675">
        <f>L675*(1-MIN(Inputs!$B$8+(F682-Calc!F20),100)/100)+M675*(MIN(Inputs!$B$8+(F682-Calc!F20),100)/100)</f>
        <v>240043780538429.62</v>
      </c>
      <c r="O675">
        <f>IF(C675,H675*N675*IF(AND(Inputs!$B$4&lt;&gt;"pvp",Inputs!$B$35&gt;0),((Skills!G13*((S675-1)*IF(Skills!H13&gt;0,Skills!I13/Skills!H13,1)+IF(Skills!H13&gt;0,MIN(Skills!I13,MAX(0,Inputs!$B$35-((S675-1)*IF(Inputs!$B$4="pvp",15,MAX(0.1,Skills!E13-IF(Skills!F13=TRUE,Inputs!$B$31,0))))))/Skills!H13,1)))/Inputs!$B$35),G675*V675)*IF(Inputs!$B$4="pvp",1,(1-Summary!$B$56)*(1)+Summary!$B$56*(MIN(Skills!R13,Inputs!$B$37))),0)</f>
        <v>301145833766393.56</v>
      </c>
      <c r="P675">
        <f>IF(B701=0,0,O675/B701)</f>
        <v>3.610103142044177E-2</v>
      </c>
      <c r="S675">
        <f>IF(AND(Inputs!$B$4&lt;&gt;"pvp",Inputs!$B$35&gt;0),(INT(Inputs!$B$35/IF(Inputs!$B$4="pvp",15,MAX(0.1,Skills!E13-IF(Skills!F13=TRUE,Inputs!$B$31,0))))+1),0)</f>
        <v>0</v>
      </c>
      <c r="V675">
        <f>IFERROR(1/IF(Inputs!$B$4="pvp",15,MAX(0.1,Skills!E13-IF(Skills!F13=TRUE,Inputs!$B$31,0))),0)</f>
        <v>3.0303030303030304E-2</v>
      </c>
    </row>
    <row r="676" spans="1:22" x14ac:dyDescent="0.2">
      <c r="A676" t="str">
        <f>Skills!A14</f>
        <v>METEOR_PROC</v>
      </c>
      <c r="B676" t="str">
        <f>Skills!B14</f>
        <v>Meteor Proc (30% on-hit, 1s ICD)</v>
      </c>
      <c r="C676" t="b">
        <f>Inputs!$B$3&gt;=113</f>
        <v>1</v>
      </c>
      <c r="D676">
        <f>IF(Skills!C14=1,60+(Inputs!$B$24+1)+Inputs!$B$28,IF(Skills!C14=2,90+Inputs!$B$25+Inputs!$B$28,IF(Skills!C14=3,120+Inputs!$B$26+Inputs!$B$28,MAX(0,(Inputs!$B$3-100)*3)+Inputs!$B$27+Inputs!$B$28)))</f>
        <v>172</v>
      </c>
      <c r="E676">
        <f>INDEX(FactorTable!$B$2:$Y$301, MATCH(ROUND(MIN(300,MAX(1,D676)),0), FactorTable!$A$2:$A$301,0), Skills!M14+1)</f>
        <v>1688</v>
      </c>
      <c r="F676">
        <f>IF(Skills!N14=TRUE,(Skills!L14/10)*(E676/1000),Skills!L14/10)+Skills!O14</f>
        <v>1603.6</v>
      </c>
      <c r="G676">
        <f>Calc!G14</f>
        <v>0</v>
      </c>
      <c r="H676">
        <f>Calc!H14</f>
        <v>0.30000000000000004</v>
      </c>
      <c r="I676">
        <f>IF(Skills!X14&lt;&gt;"",1+(Skills!X14/10)*(R665/1000)/100,1)</f>
        <v>1</v>
      </c>
      <c r="J676">
        <f>((Inputs!$B$5*(1+Inputs!$B$6/100))+((Inputs!$B$11*(1+Inputs!$B$12/100))-(Inputs!$B$11*(1+Inputs!$B$12/100)))*(1+Inputs!$B$6/100))*(F676/100)</f>
        <v>4006290270.8446074</v>
      </c>
      <c r="K676">
        <f>J676*(1+((Inputs!$B$11*(1+Inputs!$B$12/100))*0.01+Inputs!$B$13*0.0025)/100)*(1+Inputs!$B$14/100)*(1+IF(Inputs!$B$4="pvp",0,(1-Summary!$B$56)*(Inputs!$B$19+Skills!P14)+Summary!$B$56*(Inputs!$B$20+Skills!Q14))/100)*(1+Inputs!$B$15/100)*(5000/(6000+Inputs!$B$7*(1-Inputs!$B$18/100)))*(1+Inputs!$B$23/100)*(1+F685/100)*(1+IF(Inputs!$B$3&gt;=120,F688,0)/100)^5*(1+(IF(Skills!A14="BASIC_ATTACK",Inputs!$B$16,Inputs!$B$17+IF(Inputs!$B$3&gt;=125,F689*5,0)))/100)*(B692*B693*B694*I676)</f>
        <v>30487465252858.945</v>
      </c>
      <c r="L676">
        <f>K676*(MIN(Inputs!$B$21+(F684-Calc!F22),Inputs!$B$22)/100+Inputs!$B$22/100)/2</f>
        <v>82300912450092.703</v>
      </c>
      <c r="M676">
        <f>L676*(1+(Inputs!$B$9+(F683-Calc!F21))/100)</f>
        <v>344923124078338.56</v>
      </c>
      <c r="N676">
        <f>L676*(1-MIN(Inputs!$B$8+(F682-Calc!F20),100)/100)+M676*(MIN(Inputs!$B$8+(F682-Calc!F20),100)/100)</f>
        <v>344923124078338.56</v>
      </c>
      <c r="O676">
        <f>IF(C676,(H676*B699)/(1+Skills!H14*H676*B699)*N676*IF(Inputs!$B$4="pvp",1,(1-Summary!$B$56)*(1)+Summary!$B$56*(MIN(Skills!R14,Inputs!$B$37))),0)</f>
        <v>108499924227672.31</v>
      </c>
      <c r="P676">
        <f>IF(B701=0,0,O676/B701)</f>
        <v>1.3006851612953856E-2</v>
      </c>
      <c r="S676">
        <v>0</v>
      </c>
      <c r="V676">
        <f>IFERROR(1/IF(Inputs!$B$4="pvp",15,MAX(0.1,Skills!E14-IF(Skills!F14=TRUE,Inputs!$B$31,0))),0)</f>
        <v>10</v>
      </c>
    </row>
    <row r="677" spans="1:22" x14ac:dyDescent="0.2">
      <c r="A677" t="str">
        <f>Skills!A15</f>
        <v>FLAME_HAZE_BURST</v>
      </c>
      <c r="B677" t="str">
        <f>Skills!B15</f>
        <v>Flame Haze (burst)</v>
      </c>
      <c r="C677" t="b">
        <f>Inputs!$B$3&gt;=107</f>
        <v>1</v>
      </c>
      <c r="D677">
        <f>IF(Skills!C15=1,60+(Inputs!$B$24+1)+Inputs!$B$28,IF(Skills!C15=2,90+Inputs!$B$25+Inputs!$B$28,IF(Skills!C15=3,120+Inputs!$B$26+Inputs!$B$28,MAX(0,(Inputs!$B$3-100)*3)+Inputs!$B$27+Inputs!$B$28)))</f>
        <v>172</v>
      </c>
      <c r="E677">
        <f>INDEX(FactorTable!$B$2:$Y$301, MATCH(ROUND(MIN(300,MAX(1,D677)),0), FactorTable!$A$2:$A$301,0), Skills!M15+1)</f>
        <v>1860</v>
      </c>
      <c r="F677">
        <f>IF(Skills!N15=TRUE,(Skills!L15/10)*(E677/1000),Skills!L15/10)+Skills!O15</f>
        <v>2232</v>
      </c>
      <c r="G677">
        <f>Calc!G15</f>
        <v>3</v>
      </c>
      <c r="H677">
        <f>Calc!H15</f>
        <v>1</v>
      </c>
      <c r="I677">
        <f>IF(Skills!X15&lt;&gt;"",1+(Skills!X15/10)*(R665/1000)/100,1)</f>
        <v>1</v>
      </c>
      <c r="J677">
        <f>((Inputs!$B$5*(1+Inputs!$B$6/100))+((Inputs!$B$11*(1+Inputs!$B$12/100))-(Inputs!$B$11*(1+Inputs!$B$12/100)))*(1+Inputs!$B$6/100))*(F677/100)</f>
        <v>5576228413.8969603</v>
      </c>
      <c r="K677">
        <f>J677*(1+((Inputs!$B$11*(1+Inputs!$B$12/100))*0.01+Inputs!$B$13*0.0025)/100)*(1+Inputs!$B$14/100)*(1+IF(Inputs!$B$4="pvp",0,(1-Summary!$B$56)*(Inputs!$B$19+Skills!P15)+Summary!$B$56*(Inputs!$B$20+Skills!Q15))/100)*(1+Inputs!$B$15/100)*(5000/(6000+Inputs!$B$7*(1-Inputs!$B$18/100)))*(1+Inputs!$B$23/100)*(1+F685/100)*(1+IF(Inputs!$B$3&gt;=120,F688,0)/100)^5*(1+(IF(Skills!A15="BASIC_ATTACK",Inputs!$B$16,Inputs!$B$17+IF(Inputs!$B$3&gt;=125,F689*5,0)))/100)*(B692*B693*B694*I677)</f>
        <v>42434536321015.93</v>
      </c>
      <c r="L677">
        <f>K677*(MIN(Inputs!$B$21+(F684-Calc!F22),Inputs!$B$22)/100+Inputs!$B$22/100)/2</f>
        <v>114552030798582.48</v>
      </c>
      <c r="M677">
        <f>L677*(1+(Inputs!$B$9+(F683-Calc!F21))/100)</f>
        <v>480087561076859.25</v>
      </c>
      <c r="N677">
        <f>L677*(1-MIN(Inputs!$B$8+(F682-Calc!F20),100)/100)+M677*(MIN(Inputs!$B$8+(F682-Calc!F20),100)/100)</f>
        <v>480087561076859.25</v>
      </c>
      <c r="O677">
        <f>IF(C677,H677*N677*IF(AND(Inputs!$B$4&lt;&gt;"pvp",Inputs!$B$35&gt;0),((Skills!G15*((S677-1)*IF(Skills!H15&gt;0,Skills!I15/Skills!H15,1)+IF(Skills!H15&gt;0,MIN(Skills!I15,MAX(0,Inputs!$B$35-((S677-1)*IF(Inputs!$B$4="pvp",15,MAX(0.1,Skills!E15-IF(Skills!F15=TRUE,Inputs!$B$31,0))))))/Skills!H15,1)))/Inputs!$B$35),G677*V677)*IF(Inputs!$B$4="pvp",1,(1-Summary!$B$56)*(1)+Summary!$B$56*(MIN(Skills!R15,Inputs!$B$37))),0)</f>
        <v>368707246907027.94</v>
      </c>
      <c r="P677">
        <f>IF(B701=0,0,O677/B701)</f>
        <v>4.4200219339114798E-2</v>
      </c>
      <c r="S677">
        <f>IF(AND(Inputs!$B$4&lt;&gt;"pvp",Inputs!$B$35&gt;0),(INT(Inputs!$B$35/IF(Inputs!$B$4="pvp",15,MAX(0.1,Skills!E15-IF(Skills!F15=TRUE,Inputs!$B$31,0))))+1),0)</f>
        <v>0</v>
      </c>
      <c r="V677">
        <f>IFERROR(1/IF(Inputs!$B$4="pvp",15,MAX(0.1,Skills!E15-IF(Skills!F15=TRUE,Inputs!$B$31,0))),0)</f>
        <v>0.04</v>
      </c>
    </row>
    <row r="678" spans="1:22" x14ac:dyDescent="0.2">
      <c r="A678" t="str">
        <f>Skills!A16</f>
        <v>FLAME_HAZE_DOT</v>
      </c>
      <c r="B678" t="str">
        <f>Skills!B16</f>
        <v>Flame Haze (burn DoT)</v>
      </c>
      <c r="C678" t="b">
        <f>Inputs!$B$3&gt;=107</f>
        <v>1</v>
      </c>
      <c r="D678">
        <f>IF(Skills!C16=1,60+(Inputs!$B$24+1)+Inputs!$B$28,IF(Skills!C16=2,90+Inputs!$B$25+Inputs!$B$28,IF(Skills!C16=3,120+Inputs!$B$26+Inputs!$B$28,MAX(0,(Inputs!$B$3-100)*3)+Inputs!$B$27+Inputs!$B$28)))</f>
        <v>172</v>
      </c>
      <c r="E678">
        <f>INDEX(FactorTable!$B$2:$Y$301, MATCH(ROUND(MIN(300,MAX(1,D678)),0), FactorTable!$A$2:$A$301,0), Skills!M16+1)</f>
        <v>1860</v>
      </c>
      <c r="F678">
        <f>IF(Skills!N16=TRUE,(Skills!L16/10)*(E678/1000),Skills!L16/10)+Skills!O16</f>
        <v>279</v>
      </c>
      <c r="G678">
        <f>Calc!G16</f>
        <v>28</v>
      </c>
      <c r="H678">
        <f>Calc!H16</f>
        <v>1</v>
      </c>
      <c r="I678">
        <f>IF(Skills!X16&lt;&gt;"",1+(Skills!X16/10)*(R665/1000)/100,1)</f>
        <v>1</v>
      </c>
      <c r="J678">
        <f>((Inputs!$B$5*(1+Inputs!$B$6/100))+((Inputs!$B$11*(1+Inputs!$B$12/100))-(Inputs!$B$11*(1+Inputs!$B$12/100)))*(1+Inputs!$B$6/100))*(F678/100)</f>
        <v>697028551.73712003</v>
      </c>
      <c r="K678">
        <f>J678*(1+((Inputs!$B$11*(1+Inputs!$B$12/100))*0.01+Inputs!$B$13*0.0025)/100)*(1+Inputs!$B$14/100)*(1+IF(Inputs!$B$4="pvp",0,(1-Summary!$B$56)*(Inputs!$B$19+Skills!P16)+Summary!$B$56*(Inputs!$B$20+Skills!Q16))/100)*(1+Inputs!$B$15/100)*(5000/(6000+Inputs!$B$7*(1-Inputs!$B$18/100)))*(1+Inputs!$B$23/100)*(1+F685/100)*(1+IF(Inputs!$B$3&gt;=120,F688,0)/100)^5*(1+(IF(Skills!A16="BASIC_ATTACK",Inputs!$B$16,Inputs!$B$17+IF(Inputs!$B$3&gt;=125,F689*5,0)))/100)*(B692*B693*B694*I678)</f>
        <v>5304317040126.9912</v>
      </c>
      <c r="L678">
        <f>K678*(MIN(Inputs!$B$21+(F684-Calc!F22),Inputs!$B$22)/100+Inputs!$B$22/100)/2</f>
        <v>14319003849822.811</v>
      </c>
      <c r="M678">
        <f>L678*(1+(Inputs!$B$9+(F683-Calc!F21))/100)</f>
        <v>60010945134607.406</v>
      </c>
      <c r="N678">
        <f>L678*(1-MIN(Inputs!$B$8+(F682-Calc!F20),100)/100)+M678*(MIN(Inputs!$B$8+(F682-Calc!F20),100)/100)</f>
        <v>60010945134607.406</v>
      </c>
      <c r="O678">
        <f>IF(C678,H678*N678*IF(AND(Inputs!$B$4&lt;&gt;"pvp",Inputs!$B$35&gt;0),((Skills!G16*((S678-1)*IF(Skills!H16&gt;0,Skills!I16/Skills!H16,1)+IF(Skills!H16&gt;0,MIN(Skills!I16,MAX(0,Inputs!$B$35-((S678-1)*IF(Inputs!$B$4="pvp",15,MAX(0.1,Skills!E16-IF(Skills!F16=TRUE,Inputs!$B$31,0))))))/Skills!H16,1)))/Inputs!$B$35),G678*V678)*(1+IF(Inputs!$B$3&gt;=126,0.05*(B698+V675+(H676*B699)/(1+Skills!H14*H676*B699)+V686),0)*Skills!E15)*IF(Inputs!$B$4="pvp",1,(1-Summary!$B$56)*(1)+Summary!$B$56*(MIN(Skills!R16,Inputs!$B$37))),0)</f>
        <v>430158454724866</v>
      </c>
      <c r="P678">
        <f>IF(B701=0,0,O678/B701)</f>
        <v>5.1566922562300603E-2</v>
      </c>
      <c r="S678">
        <f>IF(AND(Inputs!$B$4&lt;&gt;"pvp",Inputs!$B$35&gt;0),(INT(Inputs!$B$35/IF(Inputs!$B$4="pvp",15,MAX(0.1,Skills!E16-IF(Skills!F16=TRUE,Inputs!$B$31,0))))+1),0)</f>
        <v>0</v>
      </c>
      <c r="V678">
        <f>IFERROR(1/IF(Inputs!$B$4="pvp",15,MAX(0.1,Skills!E16-IF(Skills!F16=TRUE,Inputs!$B$31,0))),0)</f>
        <v>0.04</v>
      </c>
    </row>
    <row r="679" spans="1:22" x14ac:dyDescent="0.2">
      <c r="A679" t="str">
        <f>Skills!A17</f>
        <v>MAGIC_GUARD</v>
      </c>
      <c r="B679" t="str">
        <f>Skills!B17</f>
        <v>Magic Guard</v>
      </c>
      <c r="C679" t="b">
        <f>TRUE</f>
        <v>1</v>
      </c>
      <c r="D679">
        <f>IF(Skills!C17=1,60+(Inputs!$B$24+1)+Inputs!$B$28,IF(Skills!C17=2,90+Inputs!$B$25+Inputs!$B$28,IF(Skills!C17=3,120+Inputs!$B$26+Inputs!$B$28,MAX(0,(Inputs!$B$3-100)*3)+Inputs!$B$27+Inputs!$B$28)))</f>
        <v>116</v>
      </c>
      <c r="E679">
        <f>INDEX(FactorTable!$B$2:$Y$301, MATCH(ROUND(MIN(300,MAX(1,D679)),0), FactorTable!$A$2:$A$301,0), Skills!M17+1)</f>
        <v>1464</v>
      </c>
      <c r="F679">
        <f>IF(Skills!N17=TRUE,(Skills!L17/10)*(E679/1000),Skills!L17/10)+Skills!O17</f>
        <v>17.567999999999998</v>
      </c>
      <c r="G679">
        <f>Calc!G17</f>
        <v>1</v>
      </c>
      <c r="H679">
        <f>Calc!H17</f>
        <v>1</v>
      </c>
      <c r="I679">
        <f>IF(Skills!X17&lt;&gt;"",1+(Skills!X17/10)*(R665/1000)/100,1)</f>
        <v>1</v>
      </c>
      <c r="O679">
        <v>0</v>
      </c>
      <c r="P679">
        <f>IF(B701=0,0,O679/B701)</f>
        <v>0</v>
      </c>
      <c r="S679">
        <f>IF(AND(Inputs!$B$4&lt;&gt;"pvp",Inputs!$B$35&gt;0),(INT(Inputs!$B$35/IF(Inputs!$B$4="pvp",15,MAX(0.1,Skills!E17-IF(Skills!F17=TRUE,Inputs!$B$31,0))))+1),0)</f>
        <v>0</v>
      </c>
      <c r="V679">
        <f>IFERROR(1/IF(Inputs!$B$4="pvp",15,MAX(0.1,Skills!E17-IF(Skills!F17=TRUE,Inputs!$B$31,0))),0)</f>
        <v>4.7619047619047616E-2</v>
      </c>
    </row>
    <row r="680" spans="1:22" x14ac:dyDescent="0.2">
      <c r="A680" t="str">
        <f>Skills!A18</f>
        <v>NIMBLE_FEET</v>
      </c>
      <c r="B680" t="str">
        <f>Skills!B18</f>
        <v>Nimble Feet</v>
      </c>
      <c r="C680" t="b">
        <f>TRUE</f>
        <v>1</v>
      </c>
      <c r="D680">
        <f>IF(Skills!C18=1,60+(Inputs!$B$24+1)+Inputs!$B$28,IF(Skills!C18=2,90+Inputs!$B$25+Inputs!$B$28,IF(Skills!C18=3,120+Inputs!$B$26+Inputs!$B$28,MAX(0,(Inputs!$B$3-100)*3)+Inputs!$B$27+Inputs!$B$28)))</f>
        <v>116</v>
      </c>
      <c r="E680">
        <f>INDEX(FactorTable!$B$2:$Y$301, MATCH(ROUND(MIN(300,MAX(1,D680)),0), FactorTable!$A$2:$A$301,0), Skills!M18+1)</f>
        <v>0</v>
      </c>
      <c r="F680">
        <f>IF(Skills!N18=TRUE,(Skills!L18/10)*(E680/1000),Skills!L18/10)+Skills!O18</f>
        <v>15</v>
      </c>
      <c r="G680">
        <f>Calc!G18</f>
        <v>1</v>
      </c>
      <c r="H680">
        <f>Calc!H18</f>
        <v>1</v>
      </c>
      <c r="I680">
        <f>IF(Skills!X18&lt;&gt;"",1+(Skills!X18/10)*(R665/1000)/100,1)</f>
        <v>1</v>
      </c>
      <c r="O680">
        <v>0</v>
      </c>
      <c r="P680">
        <f>IF(B701=0,0,O680/B701)</f>
        <v>0</v>
      </c>
      <c r="S680">
        <f>IF(AND(Inputs!$B$4&lt;&gt;"pvp",Inputs!$B$35&gt;0),(INT(Inputs!$B$35/IF(Inputs!$B$4="pvp",15,MAX(0.1,Skills!E18-IF(Skills!F18=TRUE,Inputs!$B$31,0))))+1),0)</f>
        <v>0</v>
      </c>
      <c r="V680">
        <f>IFERROR(1/IF(Inputs!$B$4="pvp",15,MAX(0.1,Skills!E18-IF(Skills!F18=TRUE,Inputs!$B$31,0))),0)</f>
        <v>1.6666666666666666E-2</v>
      </c>
    </row>
    <row r="681" spans="1:22" x14ac:dyDescent="0.2">
      <c r="A681" t="str">
        <f>Skills!A19</f>
        <v>INFINITY</v>
      </c>
      <c r="B681" t="str">
        <f>Skills!B19</f>
        <v>Infinity</v>
      </c>
      <c r="C681" t="b">
        <f>Inputs!$B$3&gt;=110</f>
        <v>1</v>
      </c>
      <c r="D681">
        <f>IF(Skills!C19=1,60+(Inputs!$B$24+1)+Inputs!$B$28,IF(Skills!C19=2,90+Inputs!$B$25+Inputs!$B$28,IF(Skills!C19=3,120+Inputs!$B$26+Inputs!$B$28,MAX(0,(Inputs!$B$3-100)*3)+Inputs!$B$27+Inputs!$B$28)))</f>
        <v>172</v>
      </c>
      <c r="E681">
        <f>INDEX(FactorTable!$B$2:$Y$301, MATCH(ROUND(MIN(300,MAX(1,D681)),0), FactorTable!$A$2:$A$301,0), Skills!M19+1)</f>
        <v>1688</v>
      </c>
      <c r="F681">
        <f>IF(Skills!N19=TRUE,(Skills!L19/10)*(E681/1000),Skills!L19/10)+Skills!O19</f>
        <v>36.573895999999998</v>
      </c>
      <c r="G681">
        <f>Calc!G19</f>
        <v>1</v>
      </c>
      <c r="H681">
        <f>Calc!H19</f>
        <v>1</v>
      </c>
      <c r="I681">
        <f>IF(Skills!X19&lt;&gt;"",1+(Skills!X19/10)*(R665/1000)/100,1)</f>
        <v>1</v>
      </c>
      <c r="O681">
        <v>0</v>
      </c>
      <c r="P681">
        <f>IF(B701=0,0,O681/B701)</f>
        <v>0</v>
      </c>
      <c r="S681">
        <f>IF(AND(Inputs!$B$4&lt;&gt;"pvp",Inputs!$B$35&gt;0),(INT(Inputs!$B$35/IF(Inputs!$B$4="pvp",15,MAX(0.1,Skills!E19-IF(Skills!F19=TRUE,Inputs!$B$31,0))))+1),0)</f>
        <v>0</v>
      </c>
      <c r="V681">
        <f>IFERROR(1/IF(Inputs!$B$4="pvp",15,MAX(0.1,Skills!E19-IF(Skills!F19=TRUE,Inputs!$B$31,0))),0)</f>
        <v>3.3333333333333333E-2</v>
      </c>
    </row>
    <row r="682" spans="1:22" x14ac:dyDescent="0.2">
      <c r="A682" t="str">
        <f>Skills!A20</f>
        <v>MAGIC_CRITICAL_RATE</v>
      </c>
      <c r="B682" t="str">
        <f>Skills!B20</f>
        <v>Magic Critical (Crit Rate)</v>
      </c>
      <c r="C682" t="b">
        <f>TRUE</f>
        <v>1</v>
      </c>
      <c r="D682">
        <f>IF(Skills!C20=1,60+(Inputs!$B$24+1)+Inputs!$B$28,IF(Skills!C20=2,90+Inputs!$B$25+Inputs!$B$28,IF(Skills!C20=3,120+Inputs!$B$26+Inputs!$B$28,MAX(0,(Inputs!$B$3-100)*3)+Inputs!$B$27+Inputs!$B$28)))</f>
        <v>184</v>
      </c>
      <c r="E682">
        <f>INDEX(FactorTable!$B$2:$Y$301, MATCH(ROUND(MIN(300,MAX(1,D682)),0), FactorTable!$A$2:$A$301,0), Skills!M20+1)</f>
        <v>1552</v>
      </c>
      <c r="F682">
        <f>IF(Skills!N20=TRUE,(Skills!L20/10)*(E682/1000),Skills!L20/10)+Skills!O20</f>
        <v>12.416</v>
      </c>
      <c r="G682">
        <f>Calc!G20</f>
        <v>1</v>
      </c>
      <c r="H682">
        <f>Calc!H20</f>
        <v>1</v>
      </c>
      <c r="I682">
        <f>IF(Skills!X20&lt;&gt;"",1+(Skills!X20/10)*(R665/1000)/100,1)</f>
        <v>1</v>
      </c>
      <c r="O682">
        <v>0</v>
      </c>
      <c r="P682">
        <f>IF(B701=0,0,O682/B701)</f>
        <v>0</v>
      </c>
      <c r="S682">
        <v>0</v>
      </c>
      <c r="V682">
        <f>IFERROR(1/IF(Inputs!$B$4="pvp",15,MAX(0.1,Skills!E20-IF(Skills!F20=TRUE,Inputs!$B$31,0))),0)</f>
        <v>10</v>
      </c>
    </row>
    <row r="683" spans="1:22" x14ac:dyDescent="0.2">
      <c r="A683" t="str">
        <f>Skills!A21</f>
        <v>MAGIC_CRITICAL_DAMAGE</v>
      </c>
      <c r="B683" t="str">
        <f>Skills!B21</f>
        <v>Magic Critical (Crit Damage)</v>
      </c>
      <c r="C683" t="b">
        <f>TRUE</f>
        <v>1</v>
      </c>
      <c r="D683">
        <f>IF(Skills!C21=1,60+(Inputs!$B$24+1)+Inputs!$B$28,IF(Skills!C21=2,90+Inputs!$B$25+Inputs!$B$28,IF(Skills!C21=3,120+Inputs!$B$26+Inputs!$B$28,MAX(0,(Inputs!$B$3-100)*3)+Inputs!$B$27+Inputs!$B$28)))</f>
        <v>184</v>
      </c>
      <c r="E683">
        <f>INDEX(FactorTable!$B$2:$Y$301, MATCH(ROUND(MIN(300,MAX(1,D683)),0), FactorTable!$A$2:$A$301,0), Skills!M21+1)</f>
        <v>1552</v>
      </c>
      <c r="F683">
        <f>IF(Skills!N21=TRUE,(Skills!L21/10)*(E683/1000),Skills!L21/10)+Skills!O21</f>
        <v>18.624000000000002</v>
      </c>
      <c r="G683">
        <f>Calc!G21</f>
        <v>1</v>
      </c>
      <c r="H683">
        <f>Calc!H21</f>
        <v>1</v>
      </c>
      <c r="I683">
        <f>IF(Skills!X21&lt;&gt;"",1+(Skills!X21/10)*(R665/1000)/100,1)</f>
        <v>1</v>
      </c>
      <c r="O683">
        <v>0</v>
      </c>
      <c r="P683">
        <f>IF(B701=0,0,O683/B701)</f>
        <v>0</v>
      </c>
      <c r="S683">
        <v>0</v>
      </c>
      <c r="V683">
        <f>IFERROR(1/IF(Inputs!$B$4="pvp",15,MAX(0.1,Skills!E21-IF(Skills!F21=TRUE,Inputs!$B$31,0))),0)</f>
        <v>10</v>
      </c>
    </row>
    <row r="684" spans="1:22" x14ac:dyDescent="0.2">
      <c r="A684" t="str">
        <f>Skills!A22</f>
        <v>SPELL_MASTERY</v>
      </c>
      <c r="B684" t="str">
        <f>Skills!B22</f>
        <v>Spell Mastery</v>
      </c>
      <c r="C684" t="b">
        <f>TRUE</f>
        <v>1</v>
      </c>
      <c r="D684">
        <f>IF(Skills!C22=1,60+(Inputs!$B$24+1)+Inputs!$B$28,IF(Skills!C22=2,90+Inputs!$B$25+Inputs!$B$28,IF(Skills!C22=3,120+Inputs!$B$26+Inputs!$B$28,MAX(0,(Inputs!$B$3-100)*3)+Inputs!$B$27+Inputs!$B$28)))</f>
        <v>164</v>
      </c>
      <c r="E684">
        <f>INDEX(FactorTable!$B$2:$Y$301, MATCH(ROUND(MIN(300,MAX(1,D684)),0), FactorTable!$A$2:$A$301,0), Skills!M22+1)</f>
        <v>1492</v>
      </c>
      <c r="F684">
        <f>IF(Skills!N22=TRUE,(Skills!L22/10)*(E684/1000),Skills!L22/10)+Skills!O22</f>
        <v>22.38</v>
      </c>
      <c r="G684">
        <f>Calc!G22</f>
        <v>1</v>
      </c>
      <c r="H684">
        <f>Calc!H22</f>
        <v>1</v>
      </c>
      <c r="I684">
        <f>IF(Skills!X22&lt;&gt;"",1+(Skills!X22/10)*(R665/1000)/100,1)</f>
        <v>1</v>
      </c>
      <c r="O684">
        <v>0</v>
      </c>
      <c r="P684">
        <f>IF(B701=0,0,O684/B701)</f>
        <v>0</v>
      </c>
      <c r="S684">
        <v>0</v>
      </c>
      <c r="V684">
        <f>IFERROR(1/IF(Inputs!$B$4="pvp",15,MAX(0.1,Skills!E22-IF(Skills!F22=TRUE,Inputs!$B$31,0))),0)</f>
        <v>10</v>
      </c>
    </row>
    <row r="685" spans="1:22" x14ac:dyDescent="0.2">
      <c r="A685" t="str">
        <f>Skills!A23</f>
        <v>ELEMENT_AMPLIFICATION</v>
      </c>
      <c r="B685" t="str">
        <f>Skills!B23</f>
        <v>Element Amplification</v>
      </c>
      <c r="C685" t="b">
        <f>TRUE</f>
        <v>1</v>
      </c>
      <c r="D685">
        <f>IF(Skills!C23=1,60+(Inputs!$B$24+1)+Inputs!$B$28,IF(Skills!C23=2,90+Inputs!$B$25+Inputs!$B$28,IF(Skills!C23=3,120+Inputs!$B$26+Inputs!$B$28,MAX(0,(Inputs!$B$3-100)*3)+Inputs!$B$27+Inputs!$B$28)))</f>
        <v>172</v>
      </c>
      <c r="E685">
        <f>INDEX(FactorTable!$B$2:$Y$301, MATCH(ROUND(MIN(300,MAX(1,D685)),0), FactorTable!$A$2:$A$301,0), Skills!M23+1)</f>
        <v>1516</v>
      </c>
      <c r="F685">
        <f>IF(Skills!N23=TRUE,(Skills!L23/10)*(E685/1000),Skills!L23/10)+Skills!O23</f>
        <v>22.740000000000002</v>
      </c>
      <c r="G685">
        <f>Calc!G23</f>
        <v>1</v>
      </c>
      <c r="H685">
        <f>Calc!H23</f>
        <v>1</v>
      </c>
      <c r="I685">
        <f>IF(Skills!X23&lt;&gt;"",1+(Skills!X23/10)*(R665/1000)/100,1)</f>
        <v>1</v>
      </c>
      <c r="O685">
        <v>0</v>
      </c>
      <c r="P685">
        <f>IF(B701=0,0,O685/B701)</f>
        <v>0</v>
      </c>
      <c r="S685">
        <v>0</v>
      </c>
      <c r="V685">
        <f>IFERROR(1/IF(Inputs!$B$4="pvp",15,MAX(0.1,Skills!E23-IF(Skills!F23=TRUE,Inputs!$B$31,0))),0)</f>
        <v>10</v>
      </c>
    </row>
    <row r="686" spans="1:22" x14ac:dyDescent="0.2">
      <c r="A686" t="str">
        <f>Skills!A24</f>
        <v>IFRIT</v>
      </c>
      <c r="B686" t="str">
        <f>Skills!B24</f>
        <v>Ifrit</v>
      </c>
      <c r="C686" t="b">
        <f>Inputs!$B$3&gt;=115</f>
        <v>0</v>
      </c>
      <c r="D686">
        <f>IF(Skills!C24=1,60+(Inputs!$B$24+1)+Inputs!$B$28,IF(Skills!C24=2,90+Inputs!$B$25+Inputs!$B$28,IF(Skills!C24=3,120+Inputs!$B$26+Inputs!$B$28,MAX(0,(Inputs!$B$3-100)*3)+Inputs!$B$27+Inputs!$B$28)))</f>
        <v>172</v>
      </c>
      <c r="E686">
        <f>INDEX(FactorTable!$B$2:$Y$301, MATCH(ROUND(MIN(300,MAX(1,D686)),0), FactorTable!$A$2:$A$301,0), Skills!M24+1)</f>
        <v>1860</v>
      </c>
      <c r="F686">
        <f>IF(Skills!N24=TRUE,(Skills!L24/10)*(E686/1000),Skills!L24/10)+Skills!O24</f>
        <v>6510</v>
      </c>
      <c r="G686">
        <f>Calc!G24</f>
        <v>7.5</v>
      </c>
      <c r="H686">
        <f>Calc!H24</f>
        <v>1</v>
      </c>
      <c r="I686">
        <f>IF(Skills!X24&lt;&gt;"",1+(Skills!X24/10)*(R665/1000)/100,1)</f>
        <v>1</v>
      </c>
      <c r="J686">
        <f>((Inputs!$B$5*(1+Inputs!$B$6/100))+((Inputs!$B$11*(1+Inputs!$B$12/100))-(Inputs!$B$11*(1+Inputs!$B$12/100)))*(1+Inputs!$B$6/100))*(F686/100)</f>
        <v>16263999540.532799</v>
      </c>
      <c r="K686">
        <f>J686*(1+((Inputs!$B$11*(1+Inputs!$B$12/100))*0.01+Inputs!$B$13*0.0025)/100)*(1+Inputs!$B$14/100)*(1+IF(Inputs!$B$4="pvp",0,(1-Summary!$B$56)*(Inputs!$B$19+Skills!P24)+Summary!$B$56*(Inputs!$B$20+Skills!Q24))/100)*(1+Inputs!$B$15/100)*(5000/(6000+Inputs!$B$7*(1-Inputs!$B$18/100)))*(1+Inputs!$B$23/100)*(1+F685/100)*(1+IF(Inputs!$B$3&gt;=120,F688,0)/100)^5*(1+(IF(Skills!A24="BASIC_ATTACK",Inputs!$B$16,Inputs!$B$17+IF(Inputs!$B$3&gt;=125,F689*5,0)))/100)*(B692*B693*B694*I686)</f>
        <v>123767397602963.14</v>
      </c>
      <c r="L686">
        <f>K686*(MIN(Inputs!$B$21+(F684-Calc!F22),Inputs!$B$22)/100+Inputs!$B$22/100)/2</f>
        <v>334110089829198.94</v>
      </c>
      <c r="M686">
        <f>L686*(1+(Inputs!$B$9+(F683-Calc!F21))/100)</f>
        <v>1400255386474173</v>
      </c>
      <c r="N686">
        <f>L686*(1-MIN(Inputs!$B$8+(F682-Calc!F20),100)/100)+M686*(MIN(Inputs!$B$8+(F682-Calc!F20),100)/100)</f>
        <v>1400255386474173</v>
      </c>
      <c r="O686">
        <f>IF(C686,H686*N686*IF(AND(Inputs!$B$4&lt;&gt;"pvp",Inputs!$B$35&gt;0),((Skills!G24*((S686-1)*IF(Skills!H24&gt;0,Skills!I24/Skills!H24,1)+IF(Skills!H24&gt;0,MIN(Skills!I24,MAX(0,Inputs!$B$35-((S686-1)*IF(Inputs!$B$4="pvp",15,MAX(0.1,Skills!E24-IF(Skills!F24=TRUE,Inputs!$B$31,0))))))/Skills!H24,1)))/Inputs!$B$35),G686*V686)*(1+IF(Inputs!$B$3&gt;=130,0.2*(Skills!I16/Skills!E15+IF(Inputs!$B$3&gt;=126,0.05*(B698+V675+(H676*B699)/(1+Skills!H14*H676*B699)+V686),0)*Skills!I16),0))*IF(Inputs!$B$4="pvp",1,(1-Summary!$B$56)*(1)+Summary!$B$56*(MIN(Skills!R24,Inputs!$B$37))),0)</f>
        <v>0</v>
      </c>
      <c r="P686">
        <f>IF(B701=0,0,O686/B701)</f>
        <v>0</v>
      </c>
      <c r="S686">
        <f>IF(AND(Inputs!$B$4&lt;&gt;"pvp",Inputs!$B$35&gt;0),(INT(Inputs!$B$35/IF(Inputs!$B$4="pvp",15,MAX(0.1,Skills!E24-IF(Skills!F24=TRUE,Inputs!$B$31,0))))+1),0)</f>
        <v>0</v>
      </c>
      <c r="V686">
        <f>IFERROR(1/IF(Inputs!$B$4="pvp",15,MAX(0.1,Skills!E24-IF(Skills!F24=TRUE,Inputs!$B$31,0))),0)</f>
        <v>1.2500000000000001E-2</v>
      </c>
    </row>
    <row r="687" spans="1:22" x14ac:dyDescent="0.2">
      <c r="A687" t="str">
        <f>Skills!A25</f>
        <v>BUFF_MASTERY</v>
      </c>
      <c r="B687" t="str">
        <f>Skills!B25</f>
        <v>Buff Mastery</v>
      </c>
      <c r="C687" t="b">
        <f>Inputs!$B$3&gt;=117</f>
        <v>0</v>
      </c>
      <c r="D687">
        <f>IF(Skills!C25=1,60+(Inputs!$B$24+1)+Inputs!$B$28,IF(Skills!C25=2,90+Inputs!$B$25+Inputs!$B$28,IF(Skills!C25=3,120+Inputs!$B$26+Inputs!$B$28,MAX(0,(Inputs!$B$3-100)*3)+Inputs!$B$27+Inputs!$B$28)))</f>
        <v>172</v>
      </c>
      <c r="E687">
        <f>INDEX(FactorTable!$B$2:$Y$301, MATCH(ROUND(MIN(300,MAX(1,D687)),0), FactorTable!$A$2:$A$301,0), Skills!M25+1)</f>
        <v>1516</v>
      </c>
      <c r="F687">
        <f>IF(Skills!N25=TRUE,(Skills!L25/10)*(E687/1000),Skills!L25/10)+Skills!O25</f>
        <v>15.16</v>
      </c>
      <c r="G687">
        <f>Calc!G25</f>
        <v>1</v>
      </c>
      <c r="H687">
        <f>Calc!H25</f>
        <v>1</v>
      </c>
      <c r="I687">
        <f>IF(Skills!X25&lt;&gt;"",1+(Skills!X25/10)*(R665/1000)/100,1)</f>
        <v>1</v>
      </c>
      <c r="O687">
        <v>0</v>
      </c>
      <c r="P687">
        <f>IF(B701=0,0,O687/B701)</f>
        <v>0</v>
      </c>
      <c r="S687">
        <v>0</v>
      </c>
      <c r="V687">
        <f>IFERROR(1/IF(Inputs!$B$4="pvp",15,MAX(0.1,Skills!E25-IF(Skills!F25=TRUE,Inputs!$B$31,0))),0)</f>
        <v>10</v>
      </c>
    </row>
    <row r="688" spans="1:22" x14ac:dyDescent="0.2">
      <c r="A688" t="str">
        <f>Skills!A26</f>
        <v>ARCANE_AIM</v>
      </c>
      <c r="B688" t="str">
        <f>Skills!B26</f>
        <v>Arcane Aim</v>
      </c>
      <c r="C688" t="b">
        <f>Inputs!$B$3&gt;=120</f>
        <v>0</v>
      </c>
      <c r="D688">
        <f>IF(Skills!C26=1,60+(Inputs!$B$24+1)+Inputs!$B$28,IF(Skills!C26=2,90+Inputs!$B$25+Inputs!$B$28,IF(Skills!C26=3,120+Inputs!$B$26+Inputs!$B$28,MAX(0,(Inputs!$B$3-100)*3)+Inputs!$B$27+Inputs!$B$28)))</f>
        <v>172</v>
      </c>
      <c r="E688">
        <f>INDEX(FactorTable!$B$2:$Y$301, MATCH(ROUND(MIN(300,MAX(1,D688)),0), FactorTable!$A$2:$A$301,0), Skills!M26+1)</f>
        <v>1516</v>
      </c>
      <c r="F688">
        <f>IF(Skills!N26=TRUE,(Skills!L26/10)*(E688/1000),Skills!L26/10)+Skills!O26</f>
        <v>4.548</v>
      </c>
      <c r="G688">
        <f>Calc!G26</f>
        <v>1</v>
      </c>
      <c r="H688">
        <f>Calc!H26</f>
        <v>1</v>
      </c>
      <c r="I688">
        <f>IF(Skills!X26&lt;&gt;"",1+(Skills!X26/10)*(R665/1000)/100,1)</f>
        <v>1</v>
      </c>
      <c r="O688">
        <v>0</v>
      </c>
      <c r="P688">
        <f>IF(B701=0,0,O688/B701)</f>
        <v>0</v>
      </c>
      <c r="S688">
        <v>0</v>
      </c>
      <c r="V688">
        <f>IFERROR(1/IF(Inputs!$B$4="pvp",15,MAX(0.1,Skills!E26-IF(Skills!F26=TRUE,Inputs!$B$31,0))),0)</f>
        <v>10</v>
      </c>
    </row>
    <row r="689" spans="1:22" x14ac:dyDescent="0.2">
      <c r="A689" t="str">
        <f>Skills!A27</f>
        <v>FERVENT_DRAIN</v>
      </c>
      <c r="B689" t="str">
        <f>Skills!B27</f>
        <v>Fervent Drain</v>
      </c>
      <c r="C689" t="b">
        <f>Inputs!$B$3&gt;=125</f>
        <v>0</v>
      </c>
      <c r="D689">
        <f>IF(Skills!C27=1,60+(Inputs!$B$24+1)+Inputs!$B$28,IF(Skills!C27=2,90+Inputs!$B$25+Inputs!$B$28,IF(Skills!C27=3,120+Inputs!$B$26+Inputs!$B$28,MAX(0,(Inputs!$B$3-100)*3)+Inputs!$B$27+Inputs!$B$28)))</f>
        <v>172</v>
      </c>
      <c r="E689">
        <f>INDEX(FactorTable!$B$2:$Y$301, MATCH(ROUND(MIN(300,MAX(1,D689)),0), FactorTable!$A$2:$A$301,0), Skills!M27+1)</f>
        <v>1516</v>
      </c>
      <c r="F689">
        <f>IF(Skills!N27=TRUE,(Skills!L27/10)*(E689/1000),Skills!L27/10)+Skills!O27</f>
        <v>6.0640000000000001</v>
      </c>
      <c r="G689">
        <f>Calc!G27</f>
        <v>1</v>
      </c>
      <c r="H689">
        <f>Calc!H27</f>
        <v>1</v>
      </c>
      <c r="I689">
        <f>IF(Skills!X27&lt;&gt;"",1+(Skills!X27/10)*(R665/1000)/100,1)</f>
        <v>1</v>
      </c>
      <c r="O689">
        <v>0</v>
      </c>
      <c r="P689">
        <f>IF(B701=0,0,O689/B701)</f>
        <v>0</v>
      </c>
      <c r="S689">
        <v>0</v>
      </c>
      <c r="V689">
        <f>IFERROR(1/IF(Inputs!$B$4="pvp",15,MAX(0.1,Skills!E27-IF(Skills!F27=TRUE,Inputs!$B$31,0))),0)</f>
        <v>10</v>
      </c>
    </row>
    <row r="690" spans="1:22" x14ac:dyDescent="0.2">
      <c r="A690" t="str">
        <f>Skills!A28</f>
        <v>FLAME_HAZE_FOG</v>
      </c>
      <c r="B690" t="str">
        <f>Skills!B28</f>
        <v>Flame Haze (poison fog DoT)</v>
      </c>
      <c r="C690" t="b">
        <f>Inputs!$B$3&gt;=118</f>
        <v>0</v>
      </c>
      <c r="D690">
        <f>IF(Skills!C28=1,60+(Inputs!$B$24+1)+Inputs!$B$28,IF(Skills!C28=2,90+Inputs!$B$25+Inputs!$B$28,IF(Skills!C28=3,120+Inputs!$B$26+Inputs!$B$28,MAX(0,(Inputs!$B$3-100)*3)+Inputs!$B$27+Inputs!$B$28)))</f>
        <v>172</v>
      </c>
      <c r="E690">
        <f>INDEX(FactorTable!$B$2:$Y$301, MATCH(ROUND(MIN(300,MAX(1,D690)),0), FactorTable!$A$2:$A$301,0), Skills!M28+1)</f>
        <v>1860</v>
      </c>
      <c r="F690">
        <f>IF(Skills!N28=TRUE,(Skills!L28/10)*(E690/1000),Skills!L28/10)+Skills!O28</f>
        <v>130.20000000000002</v>
      </c>
      <c r="G690">
        <f>Calc!G28</f>
        <v>50</v>
      </c>
      <c r="H690">
        <f>Calc!H28</f>
        <v>1</v>
      </c>
      <c r="I690">
        <f>IF(Skills!X28&lt;&gt;"",1+(Skills!X28/10)*(R665/1000)/100,1)</f>
        <v>1</v>
      </c>
      <c r="J690">
        <f>((Inputs!$B$5*(1+Inputs!$B$6/100))+((Inputs!$B$11*(1+Inputs!$B$12/100))-(Inputs!$B$11*(1+Inputs!$B$12/100)))*(1+Inputs!$B$6/100))*(F690/100)</f>
        <v>325279990.81065607</v>
      </c>
      <c r="K690">
        <f>J690*(1+((Inputs!$B$11*(1+Inputs!$B$12/100))*0.01+Inputs!$B$13*0.0025)/100)*(1+Inputs!$B$14/100)*(1+IF(Inputs!$B$4="pvp",0,(1-Summary!$B$56)*(Inputs!$B$19+Skills!P28)+Summary!$B$56*(Inputs!$B$20+Skills!Q28))/100)*(1+Inputs!$B$15/100)*(5000/(6000+Inputs!$B$7*(1-Inputs!$B$18/100)))*(1+Inputs!$B$23/100)*(1+F685/100)*(1+IF(Inputs!$B$3&gt;=120,F688,0)/100)^5*(1+(IF(Skills!A28="BASIC_ATTACK",Inputs!$B$16,Inputs!$B$17+IF(Inputs!$B$3&gt;=125,F689*5,0)))/100)*(B692*B693*B694*I690)</f>
        <v>2475347952059.2642</v>
      </c>
      <c r="L690">
        <f>K690*(MIN(Inputs!$B$21+(F684-Calc!F22),Inputs!$B$22)/100+Inputs!$B$22/100)/2</f>
        <v>6682201796583.9824</v>
      </c>
      <c r="M690">
        <f>L690*(1+(Inputs!$B$9+(F683-Calc!F21))/100)</f>
        <v>28005107729483.477</v>
      </c>
      <c r="N690">
        <f>L690*(1-MIN(Inputs!$B$8+(F682-Calc!F20),100)/100)+M690*(MIN(Inputs!$B$8+(F682-Calc!F20),100)/100)</f>
        <v>28005107729483.477</v>
      </c>
      <c r="O690">
        <f>IF(C690,H690*N690*IF(AND(Inputs!$B$4&lt;&gt;"pvp",Inputs!$B$35&gt;0),((Skills!G28*((S690-1)*IF(Skills!H28&gt;0,Skills!I28/Skills!H28,1)+IF(Skills!H28&gt;0,MIN(Skills!I28,MAX(0,Inputs!$B$35-((S690-1)*IF(Inputs!$B$4="pvp",15,MAX(0.1,Skills!E28-IF(Skills!F28=TRUE,Inputs!$B$31,0))))))/Skills!H28,1)))/Inputs!$B$35),G690*V690)*IF(Inputs!$B$4="pvp",1,(1-Summary!$B$56)*(1)+Summary!$B$56*(MIN(Skills!R28,Inputs!$B$37))),0)</f>
        <v>0</v>
      </c>
      <c r="P690">
        <f>IF(B701=0,0,O690/B701)</f>
        <v>0</v>
      </c>
      <c r="S690">
        <f>IF(AND(Inputs!$B$4&lt;&gt;"pvp",Inputs!$B$35&gt;0),(INT(Inputs!$B$35/IF(Inputs!$B$4="pvp",15,MAX(0.1,Skills!E28-IF(Skills!F28=TRUE,Inputs!$B$31,0))))+1),0)</f>
        <v>0</v>
      </c>
      <c r="V690">
        <f>IFERROR(1/IF(Inputs!$B$4="pvp",15,MAX(0.1,Skills!E28-IF(Skills!F28=TRUE,Inputs!$B$31,0))),0)</f>
        <v>0.04</v>
      </c>
    </row>
    <row r="692" spans="1:22" x14ac:dyDescent="0.2">
      <c r="A692" t="s">
        <v>222</v>
      </c>
      <c r="B692">
        <f>1+(F673*Skills!Z11)/100</f>
        <v>1.25</v>
      </c>
    </row>
    <row r="693" spans="1:22" x14ac:dyDescent="0.2">
      <c r="A693" t="s">
        <v>223</v>
      </c>
      <c r="B693">
        <f>1+F674/100</f>
        <v>1.18624</v>
      </c>
    </row>
    <row r="694" spans="1:22" x14ac:dyDescent="0.2">
      <c r="A694" t="s">
        <v>224</v>
      </c>
      <c r="B694">
        <f>(1+(F668*IF(AND(Inputs!$B$4&lt;&gt;"pvp",Inputs!$B$35&gt;0),(((S668-1)*(Skills!T6*(1+(Inputs!$B$33+IF(Inputs!$B$3&gt;=117,F687,0))/100))+MIN((Skills!T6*(1+(Inputs!$B$33+IF(Inputs!$B$3&gt;=117,F687,0))/100)),MAX(0,Inputs!$B$35-((S668-1)*Skills!E6))))/Inputs!$B$35),IF(Inputs!$B$4="pvp",MIN((Skills!T6*(1+(Inputs!$B$33+IF(Inputs!$B$3&gt;=117,F687,0))/100)),15)/15,(Skills!T6*(1+(Inputs!$B$33+IF(Inputs!$B$3&gt;=117,F687,0))/100))/Skills!E6))+F679*IF(AND(Inputs!$B$4&lt;&gt;"pvp",Inputs!$B$35&gt;0),(((S679-1)*(Skills!T17*(1+(Inputs!$B$33+IF(Inputs!$B$3&gt;=117,F687,0))/100))+MIN((Skills!T17*(1+(Inputs!$B$33+IF(Inputs!$B$3&gt;=117,F687,0))/100)),MAX(0,Inputs!$B$35-((S679-1)*Skills!E17))))/Inputs!$B$35),IF(Inputs!$B$4="pvp",MIN((Skills!T17*(1+(Inputs!$B$33+IF(Inputs!$B$3&gt;=117,F687,0))/100)),15)/15,(Skills!T17*(1+(Inputs!$B$33+IF(Inputs!$B$3&gt;=117,F687,0))/100))/Skills!E17)))/100)*IF(C681=TRUE,(1+F681*IF(AND(Inputs!$B$4&lt;&gt;"pvp",Inputs!$B$35&gt;0),(((S681-1)*(Skills!T19*(1+(Inputs!$B$33+IF(Inputs!$B$3&gt;=117,F687,0))/100))+MIN((Skills!T19*(1+(Inputs!$B$33+IF(Inputs!$B$3&gt;=117,F687,0))/100)),MAX(0,Inputs!$B$35-((S681-1)*Skills!E19))))/Inputs!$B$35),IF(Inputs!$B$4="pvp",MIN((Skills!T19*(1+(Inputs!$B$33+IF(Inputs!$B$3&gt;=117,F687,0))/100)),15)/15,(Skills!T19*(1+(Inputs!$B$33+IF(Inputs!$B$3&gt;=117,F687,0))/100))/Skills!E19))/100),1)</f>
        <v>1.5607320659453714</v>
      </c>
    </row>
    <row r="695" spans="1:22" x14ac:dyDescent="0.2">
      <c r="A695" t="s">
        <v>225</v>
      </c>
      <c r="B695">
        <f>F680*IF(AND(Inputs!$B$4&lt;&gt;"pvp",Inputs!$B$35&gt;0),(((S680-1)*(Skills!T18*(1+(Inputs!$B$33+IF(Inputs!$B$3&gt;=117,F687,0))/100))+MIN((Skills!T18*(1+(Inputs!$B$33+IF(Inputs!$B$3&gt;=117,F687,0))/100)),MAX(0,Inputs!$B$35-((S680-1)*Skills!E18))))/Inputs!$B$35),IF(Inputs!$B$4="pvp",MIN((Skills!T18*(1+(Inputs!$B$33+IF(Inputs!$B$3&gt;=117,F687,0))/100)),15)/15,(Skills!T18*(1+(Inputs!$B$33+IF(Inputs!$B$3&gt;=117,F687,0))/100))/Skills!E18))</f>
        <v>3.75</v>
      </c>
    </row>
    <row r="696" spans="1:22" x14ac:dyDescent="0.2">
      <c r="A696" t="s">
        <v>253</v>
      </c>
      <c r="B696">
        <f>1+MIN(150,150*(1-(1-Inputs!$B$10/150)*(1-B695/150)))/100</f>
        <v>1.6371249999999999</v>
      </c>
    </row>
    <row r="697" spans="1:22" x14ac:dyDescent="0.2">
      <c r="A697" t="s">
        <v>254</v>
      </c>
      <c r="B697">
        <f>IF(AND(Inputs!$B$4&lt;&gt;"pvp",Inputs!$B$35&gt;0),SUMPRODUCT((Skills!F2:F28=TRUE)*(C664:C690=TRUE)*S664:S690)/Inputs!$B$35,SUMPRODUCT((Skills!F2:F28=TRUE)*(C664:C690=TRUE)*V664:V690))</f>
        <v>0.33466433037861604</v>
      </c>
    </row>
    <row r="698" spans="1:22" x14ac:dyDescent="0.2">
      <c r="A698" t="s">
        <v>228</v>
      </c>
      <c r="B698">
        <f>MAX(0,B696-B697)</f>
        <v>1.3024606696213838</v>
      </c>
    </row>
    <row r="699" spans="1:22" x14ac:dyDescent="0.2">
      <c r="A699" t="s">
        <v>255</v>
      </c>
      <c r="B699">
        <f>IF(AND(Inputs!$B$4&lt;&gt;"pvp",Inputs!$B$35&gt;0),SUMPRODUCT((Skills!V2:V28=TRUE)*(C664:C690=TRUE)*S664:S690*Skills!W2:W28)/Inputs!$B$35,SUMPRODUCT((Skills!V2:V28=TRUE)*(C664:C690=TRUE)*V664:V690*Skills!W2:W28))+B698</f>
        <v>1.5297416426166426</v>
      </c>
    </row>
    <row r="701" spans="1:22" x14ac:dyDescent="0.2">
      <c r="A701" s="5" t="s">
        <v>208</v>
      </c>
      <c r="B701" s="5">
        <f>SUM(O664:O690)</f>
        <v>8341751521145553</v>
      </c>
    </row>
    <row r="704" spans="1:22" x14ac:dyDescent="0.2">
      <c r="A704" s="5" t="s">
        <v>271</v>
      </c>
    </row>
    <row r="705" spans="1:22" x14ac:dyDescent="0.2">
      <c r="A705" s="8" t="s">
        <v>74</v>
      </c>
      <c r="B705" s="8" t="s">
        <v>75</v>
      </c>
      <c r="C705" s="8" t="s">
        <v>190</v>
      </c>
      <c r="D705" s="8" t="s">
        <v>191</v>
      </c>
      <c r="E705" s="8" t="s">
        <v>192</v>
      </c>
      <c r="F705" s="8" t="s">
        <v>193</v>
      </c>
      <c r="G705" s="8" t="s">
        <v>194</v>
      </c>
      <c r="H705" s="8" t="s">
        <v>195</v>
      </c>
      <c r="I705" s="8" t="s">
        <v>196</v>
      </c>
      <c r="J705" s="8" t="s">
        <v>197</v>
      </c>
      <c r="K705" s="8" t="s">
        <v>198</v>
      </c>
      <c r="L705" s="8" t="s">
        <v>199</v>
      </c>
      <c r="M705" s="8" t="s">
        <v>200</v>
      </c>
      <c r="N705" s="8" t="s">
        <v>201</v>
      </c>
      <c r="O705" s="8" t="s">
        <v>202</v>
      </c>
      <c r="P705" s="8" t="s">
        <v>203</v>
      </c>
      <c r="R705" t="s">
        <v>252</v>
      </c>
    </row>
    <row r="706" spans="1:22" x14ac:dyDescent="0.2">
      <c r="A706" t="str">
        <f>Skills!A2</f>
        <v>BASIC_ATTACK</v>
      </c>
      <c r="B706" t="str">
        <f>Skills!B2</f>
        <v>Basic Attack</v>
      </c>
      <c r="C706" t="b">
        <f>TRUE</f>
        <v>1</v>
      </c>
      <c r="F706">
        <f>T708+Skills!O2</f>
        <v>510.52</v>
      </c>
      <c r="G706">
        <f>Calc!G2</f>
        <v>5</v>
      </c>
      <c r="H706">
        <f>Calc!H2</f>
        <v>1</v>
      </c>
      <c r="I706">
        <f>IF(Skills!X2&lt;&gt;"",1+(Skills!X2/10)*(R707/1000)/100,1)</f>
        <v>1</v>
      </c>
      <c r="J706">
        <f>((Inputs!$B$5*(1+Inputs!$B$6/100))+((Inputs!$B$11*(1+Inputs!$B$12/100))-(Inputs!$B$11*(1+Inputs!$B$12/100)))*(1+Inputs!$B$6/100))*(F706/100)</f>
        <v>1275437334.1678655</v>
      </c>
      <c r="K706">
        <f>J706*(1+((Inputs!$B$11*(1+Inputs!$B$12/100))*0.01+Inputs!$B$13*0.0025)/100)*(1+Inputs!$B$14/100)*(1+IF(Inputs!$B$4="pvp",0,(1-Summary!$B$56)*(Inputs!$B$19+Skills!P2)+Summary!$B$56*(Inputs!$B$20+Skills!Q2))/100)*(1+Inputs!$B$15/100)*(5000/(6000+Inputs!$B$7*(1-Inputs!$B$18/100)))*(1+Inputs!$B$23/100)*(1+F727/100)*(1+IF(Inputs!$B$3&gt;=120,F730,0)/100)^5*(1+(IF(Skills!A2="BASIC_ATTACK",Inputs!$B$16,Inputs!$B$17+IF(Inputs!$B$3&gt;=125,F731*5,0)))/100)*(B734*B735*B736*I706)</f>
        <v>6963010611364.4053</v>
      </c>
      <c r="L706">
        <f>K706*(MIN(Inputs!$B$21+(F726-Calc!F22),Inputs!$B$22)/100+Inputs!$B$22/100)/2</f>
        <v>18798213822765.77</v>
      </c>
      <c r="M706">
        <f>L706*(1+(Inputs!$B$9+(F725-Calc!F21))/100)</f>
        <v>78783314131211.359</v>
      </c>
      <c r="N706">
        <f>L706*(1-MIN(Inputs!$B$8+(F724-Calc!F20),100)/100)+M706*(MIN(Inputs!$B$8+(F724-Calc!F20),100)/100)</f>
        <v>78783314131211.359</v>
      </c>
      <c r="O706">
        <f>Skills!G2*N706*B740*IF(Inputs!$B$4="pvp",1,(1-Summary!$B$56)*(1)+Summary!$B$56*(MIN((6+Inputs!$B$32+IF(Inputs!$B$3&gt;=136,1,0)),Inputs!$B$37)))</f>
        <v>3899262386976516.5</v>
      </c>
      <c r="P706">
        <f>IF(B743=0,0,O706/B743)</f>
        <v>0.46727208239322243</v>
      </c>
      <c r="R706">
        <f>MAX(0,(Inputs!$B$3-100)*3)+Inputs!$B$27+Inputs!$B$28</f>
        <v>172</v>
      </c>
      <c r="S706">
        <v>0</v>
      </c>
      <c r="T706">
        <f>MAX(0,(Inputs!$B$3-100)*3)+Inputs!$B$27+Inputs!$B$28</f>
        <v>172</v>
      </c>
      <c r="V706">
        <f>IFERROR(1/IF(Inputs!$B$4="pvp",15,MAX(0.1,Skills!E2-IF(Skills!F2=TRUE,Inputs!$B$31,0))),0)</f>
        <v>10</v>
      </c>
    </row>
    <row r="707" spans="1:22" x14ac:dyDescent="0.2">
      <c r="A707" t="str">
        <f>Skills!A3</f>
        <v>IGNITE</v>
      </c>
      <c r="B707" t="str">
        <f>Skills!B3</f>
        <v>Ignite</v>
      </c>
      <c r="C707" t="b">
        <f>TRUE</f>
        <v>1</v>
      </c>
      <c r="D707">
        <f>IF(Skills!C3=1,60+Inputs!$B$24+Inputs!$B$28,IF(Skills!C3=2,90+(Inputs!$B$25+1)+Inputs!$B$28,IF(Skills!C3=3,120+Inputs!$B$26+Inputs!$B$28,MAX(0,(Inputs!$B$3-100)*3)+Inputs!$B$27+Inputs!$B$28)))</f>
        <v>165</v>
      </c>
      <c r="E707">
        <f>INDEX(FactorTable!$B$2:$Y$301, MATCH(ROUND(MIN(300,MAX(1,D707)),0), FactorTable!$A$2:$A$301,0), Skills!M3+1)</f>
        <v>1660</v>
      </c>
      <c r="F707">
        <f>IF(Skills!N3=TRUE,(Skills!L3/10)*(E707/1000),Skills!L3/10)+Skills!O3</f>
        <v>121.58</v>
      </c>
      <c r="G707">
        <f>Calc!G3</f>
        <v>3</v>
      </c>
      <c r="H707">
        <f>Calc!H3</f>
        <v>1</v>
      </c>
      <c r="I707">
        <f>IF(Skills!X3&lt;&gt;"",1+(Skills!X3/10)*(R707/1000)/100,1)</f>
        <v>4.76</v>
      </c>
      <c r="J707">
        <f>((Inputs!$B$5*(1+Inputs!$B$6/100))+((Inputs!$B$11*(1+Inputs!$B$12/100))-(Inputs!$B$11*(1+Inputs!$B$12/100)))*(1+Inputs!$B$6/100))*(F707/100)</f>
        <v>303744556.70322239</v>
      </c>
      <c r="K707">
        <f>J707*(1+((Inputs!$B$11*(1+Inputs!$B$12/100))*0.01+Inputs!$B$13*0.0025)/100)*(1+Inputs!$B$14/100)*(1+IF(Inputs!$B$4="pvp",0,(1-Summary!$B$56)*(Inputs!$B$19+Skills!P3)+Summary!$B$56*(Inputs!$B$20+Skills!Q3))/100)*(1+Inputs!$B$15/100)*(5000/(6000+Inputs!$B$7*(1-Inputs!$B$18/100)))*(1+Inputs!$B$23/100)*(1+F727/100)*(1+IF(Inputs!$B$3&gt;=120,F730,0)/100)^5*(1+(IF(Skills!A3="BASIC_ATTACK",Inputs!$B$16,Inputs!$B$17+IF(Inputs!$B$3&gt;=125,F731*5,0)))/100)*(B734*B735*B736*I707)</f>
        <v>11002968744726.615</v>
      </c>
      <c r="L707">
        <f>K707*(MIN(Inputs!$B$21+(F726-Calc!F22),Inputs!$B$22)/100+Inputs!$B$22/100)/2</f>
        <v>29704989794357.062</v>
      </c>
      <c r="M707">
        <f>L707*(1+(Inputs!$B$9+(F725-Calc!F21))/100)</f>
        <v>124493612228150.47</v>
      </c>
      <c r="N707">
        <f>L707*(1-MIN(Inputs!$B$8+(F724-Calc!F20),100)/100)+M707*(MIN(Inputs!$B$8+(F724-Calc!F20),100)/100)</f>
        <v>124493612228150.47</v>
      </c>
      <c r="O707">
        <f>IF(C707,H707*N707*IF(AND(Inputs!$B$4&lt;&gt;"pvp",Inputs!$B$35&gt;0),((Skills!G3*((S707-1)*IF(Skills!H3&gt;0,Skills!I3/Skills!H3,1)+IF(Skills!H3&gt;0,MIN(Skills!I3,MAX(0,Inputs!$B$35-((S707-1)*IF(Inputs!$B$4="pvp",15,MAX(0.1,Skills!E3-IF(Skills!F3=TRUE,Inputs!$B$31,0))))))/Skills!H3,1)))/Inputs!$B$35),G707*V707)*IF(Inputs!$B$4="pvp",1,(1-Summary!$B$56)*(1)+Summary!$B$56*(MIN(Skills!R3,Inputs!$B$37))),0)</f>
        <v>821657840705792.88</v>
      </c>
      <c r="P707">
        <f>IF(B743=0,0,O707/B743)</f>
        <v>9.8464204800287725E-2</v>
      </c>
      <c r="R707">
        <f>INDEX(FactorTable!$B$2:$Y$301, MATCH(ROUND(MIN(300,MAX(1,R706)),0), FactorTable!$A$2:$A$301,0), 24)</f>
        <v>7520</v>
      </c>
      <c r="S707">
        <f>IF(AND(Inputs!$B$4&lt;&gt;"pvp",Inputs!$B$35&gt;0),(INT(Inputs!$B$35/IF(Inputs!$B$4="pvp",15,MAX(0.1,Skills!E3-IF(Skills!F3=TRUE,Inputs!$B$31,0))))+1),0)</f>
        <v>0</v>
      </c>
      <c r="T707">
        <f>INDEX(FactorTable!$B$2:$Y$301, MATCH(ROUND(MIN(300,MAX(1,T706)),0), FactorTable!$A$2:$A$301,0), 22)</f>
        <v>1688</v>
      </c>
      <c r="V707">
        <f>IFERROR(1/IF(Inputs!$B$4="pvp",15,MAX(0.1,Skills!E3-IF(Skills!F3=TRUE,Inputs!$B$31,0))),0)</f>
        <v>1</v>
      </c>
    </row>
    <row r="708" spans="1:22" x14ac:dyDescent="0.2">
      <c r="A708" t="str">
        <f>Skills!A4</f>
        <v>POISON_BREATH</v>
      </c>
      <c r="B708" t="str">
        <f>Skills!B4</f>
        <v>Poison Breath</v>
      </c>
      <c r="C708" t="b">
        <f>TRUE</f>
        <v>1</v>
      </c>
      <c r="D708">
        <f>IF(Skills!C4=1,60+Inputs!$B$24+Inputs!$B$28,IF(Skills!C4=2,90+(Inputs!$B$25+1)+Inputs!$B$28,IF(Skills!C4=3,120+Inputs!$B$26+Inputs!$B$28,MAX(0,(Inputs!$B$3-100)*3)+Inputs!$B$27+Inputs!$B$28)))</f>
        <v>165</v>
      </c>
      <c r="E708">
        <f>INDEX(FactorTable!$B$2:$Y$301, MATCH(ROUND(MIN(300,MAX(1,D708)),0), FactorTable!$A$2:$A$301,0), Skills!M4+1)</f>
        <v>1825</v>
      </c>
      <c r="F708">
        <f>IF(Skills!N4=TRUE,(Skills!L4/10)*(E708/1000),Skills!L4/10)+Skills!O4</f>
        <v>435</v>
      </c>
      <c r="G708">
        <f>Calc!G4</f>
        <v>3</v>
      </c>
      <c r="H708">
        <f>Calc!H4</f>
        <v>1</v>
      </c>
      <c r="I708">
        <f>IF(Skills!X4&lt;&gt;"",1+(Skills!X4/10)*(R707/1000)/100,1)</f>
        <v>7.0159999999999991</v>
      </c>
      <c r="J708">
        <f>((Inputs!$B$5*(1+Inputs!$B$6/100))+((Inputs!$B$11*(1+Inputs!$B$12/100))-(Inputs!$B$11*(1+Inputs!$B$12/100)))*(1+Inputs!$B$6/100))*(F708/100)</f>
        <v>1086764946.2567999</v>
      </c>
      <c r="K708">
        <f>J708*(1+((Inputs!$B$11*(1+Inputs!$B$12/100))*0.01+Inputs!$B$13*0.0025)/100)*(1+Inputs!$B$14/100)*(1+IF(Inputs!$B$4="pvp",0,(1-Summary!$B$56)*(Inputs!$B$19+Skills!P4)+Summary!$B$56*(Inputs!$B$20+Skills!Q4))/100)*(1+Inputs!$B$15/100)*(5000/(6000+Inputs!$B$7*(1-Inputs!$B$18/100)))*(1+Inputs!$B$23/100)*(1+F727/100)*(1+IF(Inputs!$B$3&gt;=120,F730,0)/100)^5*(1+(IF(Skills!A4="BASIC_ATTACK",Inputs!$B$16,Inputs!$B$17+IF(Inputs!$B$3&gt;=125,F731*5,0)))/100)*(B734*B735*B736*I708)</f>
        <v>58025597991563.195</v>
      </c>
      <c r="L708">
        <f>K708*(MIN(Inputs!$B$21+(F726-Calc!F22),Inputs!$B$22)/100+Inputs!$B$22/100)/2</f>
        <v>156653157537772.94</v>
      </c>
      <c r="M708">
        <f>L708*(1+(Inputs!$B$9+(F725-Calc!F21))/100)</f>
        <v>656533383240806.5</v>
      </c>
      <c r="N708">
        <f>L708*(1-MIN(Inputs!$B$8+(F724-Calc!F20),100)/100)+M708*(MIN(Inputs!$B$8+(F724-Calc!F20),100)/100)</f>
        <v>656533383240806.5</v>
      </c>
      <c r="O708">
        <f>IF(C708,H708*N708*IF(AND(Inputs!$B$4&lt;&gt;"pvp",Inputs!$B$35&gt;0),((Skills!G4*((S708-1)*IF(Skills!H4&gt;0,Skills!I4/Skills!H4,1)+IF(Skills!H4&gt;0,MIN(Skills!I4,MAX(0,Inputs!$B$35-((S708-1)*IF(Inputs!$B$4="pvp",15,MAX(0.1,Skills!E4-IF(Skills!F4=TRUE,Inputs!$B$31,0))))))/Skills!H4,1)))/Inputs!$B$35),G708*V708)*IF(Inputs!$B$4="pvp",1,(1-Summary!$B$56)*(1)+Summary!$B$56*(MIN(Skills!R4,Inputs!$B$37))),0)</f>
        <v>437688922160537.56</v>
      </c>
      <c r="P708">
        <f>IF(B743=0,0,O708/B743)</f>
        <v>5.2450898093314477E-2</v>
      </c>
      <c r="S708">
        <f>IF(AND(Inputs!$B$4&lt;&gt;"pvp",Inputs!$B$35&gt;0),(INT(Inputs!$B$35/IF(Inputs!$B$4="pvp",15,MAX(0.1,Skills!E4-IF(Skills!F4=TRUE,Inputs!$B$31,0))))+1),0)</f>
        <v>0</v>
      </c>
      <c r="T708">
        <f>290*T707/1000</f>
        <v>489.52</v>
      </c>
      <c r="V708">
        <f>IFERROR(1/IF(Inputs!$B$4="pvp",15,MAX(0.1,Skills!E4-IF(Skills!F4=TRUE,Inputs!$B$31,0))),0)</f>
        <v>5.5555555555555552E-2</v>
      </c>
    </row>
    <row r="709" spans="1:22" x14ac:dyDescent="0.2">
      <c r="A709" t="str">
        <f>Skills!A5</f>
        <v>ELEMENTAL_DRAIN</v>
      </c>
      <c r="B709" t="str">
        <f>Skills!B5</f>
        <v>Elemental Drain</v>
      </c>
      <c r="C709" t="b">
        <f>TRUE</f>
        <v>1</v>
      </c>
      <c r="D709">
        <f>IF(Skills!C5=1,60+Inputs!$B$24+Inputs!$B$28,IF(Skills!C5=2,90+(Inputs!$B$25+1)+Inputs!$B$28,IF(Skills!C5=3,120+Inputs!$B$26+Inputs!$B$28,MAX(0,(Inputs!$B$3-100)*3)+Inputs!$B$27+Inputs!$B$28)))</f>
        <v>165</v>
      </c>
      <c r="E709">
        <f>INDEX(FactorTable!$B$2:$Y$301, MATCH(ROUND(MIN(300,MAX(1,D709)),0), FactorTable!$A$2:$A$301,0), Skills!M5+1)</f>
        <v>1660</v>
      </c>
      <c r="F709">
        <f>IF(Skills!N5=TRUE,(Skills!L5/10)*(E709/1000),Skills!L5/10)+Skills!O5</f>
        <v>19.919999999999998</v>
      </c>
      <c r="G709">
        <f>Calc!G5</f>
        <v>5</v>
      </c>
      <c r="H709">
        <f>Calc!H5</f>
        <v>1</v>
      </c>
      <c r="I709">
        <f>IF(Skills!X5&lt;&gt;"",1+(Skills!X5/10)*(R707/1000)/100,1)</f>
        <v>12.28</v>
      </c>
      <c r="J709">
        <f>((Inputs!$B$5*(1+Inputs!$B$6/100))+((Inputs!$B$11*(1+Inputs!$B$12/100))-(Inputs!$B$11*(1+Inputs!$B$12/100)))*(1+Inputs!$B$6/100))*(F709/100)</f>
        <v>49766339.607897595</v>
      </c>
      <c r="K709">
        <f>J709*(1+((Inputs!$B$11*(1+Inputs!$B$12/100))*0.01+Inputs!$B$13*0.0025)/100)*(1+Inputs!$B$14/100)*(1+IF(Inputs!$B$4="pvp",0,(1-Summary!$B$56)*(Inputs!$B$19+Skills!P5)+Summary!$B$56*(Inputs!$B$20+Skills!Q5))/100)*(1+Inputs!$B$15/100)*(5000/(6000+Inputs!$B$7*(1-Inputs!$B$18/100)))*(1+Inputs!$B$23/100)*(1+F727/100)*(1+IF(Inputs!$B$3&gt;=120,F730,0)/100)^5*(1+(IF(Skills!A5="BASIC_ATTACK",Inputs!$B$16,Inputs!$B$17+IF(Inputs!$B$3&gt;=125,F731*5,0)))/100)*(B734*B735*B736*I709)</f>
        <v>4650808830804.1416</v>
      </c>
      <c r="L709">
        <f>K709*(MIN(Inputs!$B$21+(F726-Calc!F22),Inputs!$B$22)/100+Inputs!$B$22/100)/2</f>
        <v>12555904870742.711</v>
      </c>
      <c r="M709">
        <f>L709*(1+(Inputs!$B$9+(F725-Calc!F21))/100)</f>
        <v>52621797313282.711</v>
      </c>
      <c r="N709">
        <f>L709*(1-MIN(Inputs!$B$8+(F724-Calc!F20),100)/100)+M709*(MIN(Inputs!$B$8+(F724-Calc!F20),100)/100)</f>
        <v>52621797313282.711</v>
      </c>
      <c r="O709">
        <f>IF(C709,H709*N709*IF(AND(Inputs!$B$4&lt;&gt;"pvp",Inputs!$B$35&gt;0),((Skills!G5*((S709-1)*IF(Skills!H5&gt;0,Skills!I5/Skills!H5,1)+IF(Skills!H5&gt;0,MIN(Skills!I5,MAX(0,Inputs!$B$35-((S709-1)*IF(Inputs!$B$4="pvp",15,MAX(0.1,Skills!E5-IF(Skills!F5=TRUE,Inputs!$B$31,0))))))/Skills!H5,1)))/Inputs!$B$35),G709*V709)*IF(Inputs!$B$4="pvp",1,(1-Summary!$B$56)*(1)+Summary!$B$56*(MIN(Skills!R5,Inputs!$B$37))),0)</f>
        <v>263108986566413.56</v>
      </c>
      <c r="P709">
        <f>IF(B743=0,0,O709/B743)</f>
        <v>3.1529933574074936E-2</v>
      </c>
      <c r="S709">
        <f>IF(AND(Inputs!$B$4&lt;&gt;"pvp",Inputs!$B$35&gt;0),(INT(Inputs!$B$35/IF(Inputs!$B$4="pvp",15,MAX(0.1,Skills!E5-IF(Skills!F5=TRUE,Inputs!$B$31,0))))+1),0)</f>
        <v>0</v>
      </c>
      <c r="V709">
        <f>IFERROR(1/IF(Inputs!$B$4="pvp",15,MAX(0.1,Skills!E5-IF(Skills!F5=TRUE,Inputs!$B$31,0))),0)</f>
        <v>1</v>
      </c>
    </row>
    <row r="710" spans="1:22" x14ac:dyDescent="0.2">
      <c r="A710" t="str">
        <f>Skills!A6</f>
        <v>MEDITATION</v>
      </c>
      <c r="B710" t="str">
        <f>Skills!B6</f>
        <v>Meditation</v>
      </c>
      <c r="C710" t="b">
        <f>TRUE</f>
        <v>1</v>
      </c>
      <c r="D710">
        <f>IF(Skills!C6=1,60+Inputs!$B$24+Inputs!$B$28,IF(Skills!C6=2,90+(Inputs!$B$25+1)+Inputs!$B$28,IF(Skills!C6=3,120+Inputs!$B$26+Inputs!$B$28,MAX(0,(Inputs!$B$3-100)*3)+Inputs!$B$27+Inputs!$B$28)))</f>
        <v>165</v>
      </c>
      <c r="E710">
        <f>INDEX(FactorTable!$B$2:$Y$301, MATCH(ROUND(MIN(300,MAX(1,D710)),0), FactorTable!$A$2:$A$301,0), Skills!M6+1)</f>
        <v>1495</v>
      </c>
      <c r="F710">
        <f>IF(Skills!N6=TRUE,(Skills!L6/10)*(E710/1000),Skills!L6/10)+Skills!O6</f>
        <v>29.900000000000002</v>
      </c>
      <c r="G710">
        <f>Calc!G6</f>
        <v>1</v>
      </c>
      <c r="H710">
        <f>Calc!H6</f>
        <v>1</v>
      </c>
      <c r="I710">
        <f>IF(Skills!X6&lt;&gt;"",1+(Skills!X6/10)*(R707/1000)/100,1)</f>
        <v>1</v>
      </c>
      <c r="O710">
        <v>0</v>
      </c>
      <c r="P710">
        <f>IF(B743=0,0,O710/B743)</f>
        <v>0</v>
      </c>
      <c r="S710">
        <f>IF(AND(Inputs!$B$4&lt;&gt;"pvp",Inputs!$B$35&gt;0),(INT(Inputs!$B$35/IF(Inputs!$B$4="pvp",15,MAX(0.1,Skills!E6-IF(Skills!F6=TRUE,Inputs!$B$31,0))))+1),0)</f>
        <v>0</v>
      </c>
      <c r="V710">
        <f>IFERROR(1/IF(Inputs!$B$4="pvp",15,MAX(0.1,Skills!E6-IF(Skills!F6=TRUE,Inputs!$B$31,0))),0)</f>
        <v>3.3333333333333333E-2</v>
      </c>
    </row>
    <row r="711" spans="1:22" x14ac:dyDescent="0.2">
      <c r="A711" t="str">
        <f>Skills!A7</f>
        <v>POISON_MIST_BURST</v>
      </c>
      <c r="B711" t="str">
        <f>Skills!B7</f>
        <v>Poison Mist (burst)</v>
      </c>
      <c r="C711" t="b">
        <f>TRUE</f>
        <v>1</v>
      </c>
      <c r="D711">
        <f>IF(Skills!C7=1,60+Inputs!$B$24+Inputs!$B$28,IF(Skills!C7=2,90+(Inputs!$B$25+1)+Inputs!$B$28,IF(Skills!C7=3,120+Inputs!$B$26+Inputs!$B$28,MAX(0,(Inputs!$B$3-100)*3)+Inputs!$B$27+Inputs!$B$28)))</f>
        <v>184</v>
      </c>
      <c r="E711">
        <f>INDEX(FactorTable!$B$2:$Y$301, MATCH(ROUND(MIN(300,MAX(1,D711)),0), FactorTable!$A$2:$A$301,0), Skills!M7+1)</f>
        <v>1920</v>
      </c>
      <c r="F711">
        <f>IF(Skills!N7=TRUE,(Skills!L7/10)*(E711/1000),Skills!L7/10)+Skills!O7</f>
        <v>357.2</v>
      </c>
      <c r="G711">
        <f>Calc!G7</f>
        <v>3</v>
      </c>
      <c r="H711">
        <f>Calc!H7</f>
        <v>1</v>
      </c>
      <c r="I711">
        <f>IF(Skills!X7&lt;&gt;"",1+(Skills!X7/10)*(R707/1000)/100,1)</f>
        <v>1.7519999999999998</v>
      </c>
      <c r="J711">
        <f>((Inputs!$B$5*(1+Inputs!$B$6/100))+((Inputs!$B$11*(1+Inputs!$B$12/100))-(Inputs!$B$11*(1+Inputs!$B$12/100)))*(1+Inputs!$B$6/100))*(F711/100)</f>
        <v>892396411.04121602</v>
      </c>
      <c r="K711">
        <f>J711*(1+((Inputs!$B$11*(1+Inputs!$B$12/100))*0.01+Inputs!$B$13*0.0025)/100)*(1+Inputs!$B$14/100)*(1+IF(Inputs!$B$4="pvp",0,(1-Summary!$B$56)*(Inputs!$B$19+Skills!P7)+Summary!$B$56*(Inputs!$B$20+Skills!Q7))/100)*(1+Inputs!$B$15/100)*(5000/(6000+Inputs!$B$7*(1-Inputs!$B$18/100)))*(1+Inputs!$B$23/100)*(1+F727/100)*(1+IF(Inputs!$B$3&gt;=120,F730,0)/100)^5*(1+(IF(Skills!A7="BASIC_ATTACK",Inputs!$B$16,Inputs!$B$17+IF(Inputs!$B$3&gt;=125,F731*5,0)))/100)*(B734*B735*B736*I711)</f>
        <v>11898339031878.309</v>
      </c>
      <c r="L711">
        <f>K711*(MIN(Inputs!$B$21+(F726-Calc!F22),Inputs!$B$22)/100+Inputs!$B$22/100)/2</f>
        <v>32122243342837.664</v>
      </c>
      <c r="M711">
        <f>L711*(1+(Inputs!$B$9+(F725-Calc!F21))/100)</f>
        <v>134624321849832.67</v>
      </c>
      <c r="N711">
        <f>L711*(1-MIN(Inputs!$B$8+(F724-Calc!F20),100)/100)+M711*(MIN(Inputs!$B$8+(F724-Calc!F20),100)/100)</f>
        <v>134624321849832.67</v>
      </c>
      <c r="O711">
        <f>IF(C711,H711*N711*IF(AND(Inputs!$B$4&lt;&gt;"pvp",Inputs!$B$35&gt;0),((Skills!G7*((S711-1)*IF(Skills!H7&gt;0,Skills!I7/Skills!H7,1)+IF(Skills!H7&gt;0,MIN(Skills!I7,MAX(0,Inputs!$B$35-((S711-1)*IF(Inputs!$B$4="pvp",15,MAX(0.1,Skills!E7-IF(Skills!F7=TRUE,Inputs!$B$31,0))))))/Skills!H7,1)))/Inputs!$B$35),G711*V711)*IF(Inputs!$B$4="pvp",1,(1-Summary!$B$56)*(1)+Summary!$B$56*(MIN(Skills!R7,Inputs!$B$37))),0)</f>
        <v>105501509368032.14</v>
      </c>
      <c r="P711">
        <f>IF(B743=0,0,O711/B743)</f>
        <v>1.264288090554839E-2</v>
      </c>
      <c r="S711">
        <f>IF(AND(Inputs!$B$4&lt;&gt;"pvp",Inputs!$B$35&gt;0),(INT(Inputs!$B$35/IF(Inputs!$B$4="pvp",15,MAX(0.1,Skills!E7-IF(Skills!F7=TRUE,Inputs!$B$31,0))))+1),0)</f>
        <v>0</v>
      </c>
      <c r="V711">
        <f>IFERROR(1/IF(Inputs!$B$4="pvp",15,MAX(0.1,Skills!E7-IF(Skills!F7=TRUE,Inputs!$B$31,0))),0)</f>
        <v>4.0816326530612242E-2</v>
      </c>
    </row>
    <row r="712" spans="1:22" x14ac:dyDescent="0.2">
      <c r="A712" t="str">
        <f>Skills!A8</f>
        <v>POISON_MIST_DOT</v>
      </c>
      <c r="B712" t="str">
        <f>Skills!B8</f>
        <v>Poison Mist (fog DoT)</v>
      </c>
      <c r="C712" t="b">
        <f>TRUE</f>
        <v>1</v>
      </c>
      <c r="D712">
        <f>IF(Skills!C8=1,60+Inputs!$B$24+Inputs!$B$28,IF(Skills!C8=2,90+(Inputs!$B$25+1)+Inputs!$B$28,IF(Skills!C8=3,120+Inputs!$B$26+Inputs!$B$28,MAX(0,(Inputs!$B$3-100)*3)+Inputs!$B$27+Inputs!$B$28)))</f>
        <v>184</v>
      </c>
      <c r="E712">
        <f>INDEX(FactorTable!$B$2:$Y$301, MATCH(ROUND(MIN(300,MAX(1,D712)),0), FactorTable!$A$2:$A$301,0), Skills!M8+1)</f>
        <v>1920</v>
      </c>
      <c r="F712">
        <f>IF(Skills!N8=TRUE,(Skills!L8/10)*(E712/1000),Skills!L8/10)+Skills!O8</f>
        <v>134.4</v>
      </c>
      <c r="G712">
        <f>Calc!G8</f>
        <v>50</v>
      </c>
      <c r="H712">
        <f>Calc!H8</f>
        <v>1</v>
      </c>
      <c r="I712">
        <f>IF(Skills!X8&lt;&gt;"",1+(Skills!X8/10)*(R707/1000)/100,1)</f>
        <v>1.7519999999999998</v>
      </c>
      <c r="J712">
        <f>((Inputs!$B$5*(1+Inputs!$B$6/100))+((Inputs!$B$11*(1+Inputs!$B$12/100))-(Inputs!$B$11*(1+Inputs!$B$12/100)))*(1+Inputs!$B$6/100))*(F712/100)</f>
        <v>335772893.74003202</v>
      </c>
      <c r="K712">
        <f>J712*(1+((Inputs!$B$11*(1+Inputs!$B$12/100))*0.01+Inputs!$B$13*0.0025)/100)*(1+Inputs!$B$14/100)*(1+IF(Inputs!$B$4="pvp",0,(1-Summary!$B$56)*(Inputs!$B$19+Skills!P8)+Summary!$B$56*(Inputs!$B$20+Skills!Q8))/100)*(1+Inputs!$B$15/100)*(5000/(6000+Inputs!$B$7*(1-Inputs!$B$18/100)))*(1+Inputs!$B$23/100)*(1+F727/100)*(1+IF(Inputs!$B$3&gt;=120,F730,0)/100)^5*(1+(IF(Skills!A8="BASIC_ATTACK",Inputs!$B$16,Inputs!$B$17+IF(Inputs!$B$3&gt;=125,F731*5,0)))/100)*(B734*B735*B736*I712)</f>
        <v>4476866645813.1162</v>
      </c>
      <c r="L712">
        <f>K712*(MIN(Inputs!$B$21+(F726-Calc!F22),Inputs!$B$22)/100+Inputs!$B$22/100)/2</f>
        <v>12086308805367.814</v>
      </c>
      <c r="M712">
        <f>L712*(1+(Inputs!$B$9+(F725-Calc!F21))/100)</f>
        <v>50653720203296.516</v>
      </c>
      <c r="N712">
        <f>L712*(1-MIN(Inputs!$B$8+(F724-Calc!F20),100)/100)+M712*(MIN(Inputs!$B$8+(F724-Calc!F20),100)/100)</f>
        <v>50653720203296.516</v>
      </c>
      <c r="O712">
        <f>IF(C712,H712*N712*IF(AND(Inputs!$B$4&lt;&gt;"pvp",Inputs!$B$35&gt;0),((Skills!G8*((S712-1)*IF(Skills!H8&gt;0,Skills!I8/Skills!H8,1)+IF(Skills!H8&gt;0,MIN(Skills!I8,MAX(0,Inputs!$B$35-((S712-1)*IF(Inputs!$B$4="pvp",15,MAX(0.1,Skills!E8-IF(Skills!F8=TRUE,Inputs!$B$31,0))))))/Skills!H8,1)))/Inputs!$B$35),G712*V712)*IF(Inputs!$B$4="pvp",1,(1-Summary!$B$56)*(1)+Summary!$B$56*(MIN(Skills!R8,Inputs!$B$37))),0)</f>
        <v>661599610818566.75</v>
      </c>
      <c r="P712">
        <f>IF(B743=0,0,O712/B743)</f>
        <v>7.9283463685409852E-2</v>
      </c>
      <c r="S712">
        <f>IF(AND(Inputs!$B$4&lt;&gt;"pvp",Inputs!$B$35&gt;0),(INT(Inputs!$B$35/IF(Inputs!$B$4="pvp",15,MAX(0.1,Skills!E8-IF(Skills!F8=TRUE,Inputs!$B$31,0))))+1),0)</f>
        <v>0</v>
      </c>
      <c r="V712">
        <f>IFERROR(1/IF(Inputs!$B$4="pvp",15,MAX(0.1,Skills!E8-IF(Skills!F8=TRUE,Inputs!$B$31,0))),0)</f>
        <v>4.0816326530612242E-2</v>
      </c>
    </row>
    <row r="713" spans="1:22" x14ac:dyDescent="0.2">
      <c r="A713" t="str">
        <f>Skills!A9</f>
        <v>MIST_ERUPTION</v>
      </c>
      <c r="B713" t="str">
        <f>Skills!B9</f>
        <v>Mist Eruption</v>
      </c>
      <c r="C713" t="b">
        <f>Inputs!$B$3&gt;=103</f>
        <v>1</v>
      </c>
      <c r="D713">
        <f>IF(Skills!C9=1,60+Inputs!$B$24+Inputs!$B$28,IF(Skills!C9=2,90+(Inputs!$B$25+1)+Inputs!$B$28,IF(Skills!C9=3,120+Inputs!$B$26+Inputs!$B$28,MAX(0,(Inputs!$B$3-100)*3)+Inputs!$B$27+Inputs!$B$28)))</f>
        <v>172</v>
      </c>
      <c r="E713">
        <f>INDEX(FactorTable!$B$2:$Y$301, MATCH(ROUND(MIN(300,MAX(1,D713)),0), FactorTable!$A$2:$A$301,0), Skills!M9+1)</f>
        <v>1860</v>
      </c>
      <c r="F713">
        <f>IF(Skills!N9=TRUE,(Skills!L9/10)*(E713/1000),Skills!L9/10)+Skills!O9</f>
        <v>5580</v>
      </c>
      <c r="G713">
        <f>Calc!G9</f>
        <v>2.8</v>
      </c>
      <c r="H713">
        <f>Calc!H9</f>
        <v>1</v>
      </c>
      <c r="I713">
        <f>IF(Skills!X9&lt;&gt;"",1+(Skills!X9/10)*(R707/1000)/100,1)</f>
        <v>1</v>
      </c>
      <c r="J713">
        <f>((Inputs!$B$5*(1+Inputs!$B$6/100))+((Inputs!$B$11*(1+Inputs!$B$12/100))-(Inputs!$B$11*(1+Inputs!$B$12/100)))*(1+Inputs!$B$6/100))*(F713/100)</f>
        <v>13940571034.742399</v>
      </c>
      <c r="K713">
        <f>J713*(1+((Inputs!$B$11*(1+Inputs!$B$12/100))*0.01+Inputs!$B$13*0.0025)/100)*(1+Inputs!$B$14/100)*(1+IF(Inputs!$B$4="pvp",0,(1-Summary!$B$56)*(Inputs!$B$19+Skills!P9)+Summary!$B$56*(Inputs!$B$20+Skills!Q9))/100)*(1+Inputs!$B$15/100)*(5000/(6000+Inputs!$B$7*(1-Inputs!$B$18/100)))*(1+Inputs!$B$23/100)*(1+F727/100)*(1+IF(Inputs!$B$3&gt;=120,F730,0)/100)^5*(1+(IF(Skills!A9="BASIC_ATTACK",Inputs!$B$16,Inputs!$B$17+IF(Inputs!$B$3&gt;=125,F731*5,0)))/100)*(B734*B735*B736*I713)</f>
        <v>106090131192061.06</v>
      </c>
      <c r="L713">
        <f>K713*(MIN(Inputs!$B$21+(F726-Calc!F22),Inputs!$B$22)/100+Inputs!$B$22/100)/2</f>
        <v>286414179432487.06</v>
      </c>
      <c r="M713">
        <f>L713*(1+(Inputs!$B$9+(F725-Calc!F21))/100)</f>
        <v>1200361826001553.5</v>
      </c>
      <c r="N713">
        <f>L713*(1-MIN(Inputs!$B$8+(F724-Calc!F20),100)/100)+M713*(MIN(Inputs!$B$8+(F724-Calc!F20),100)/100)</f>
        <v>1200361826001553.5</v>
      </c>
      <c r="O713">
        <f>IF(C713,H713*N713*IF(AND(Inputs!$B$4&lt;&gt;"pvp",Inputs!$B$35&gt;0),((Skills!G9*((S713-1)*IF(Skills!H9&gt;0,Skills!I9/Skills!H9,1)+IF(Skills!H9&gt;0,MIN(Skills!I9,MAX(0,Inputs!$B$35-((S713-1)*IF(Inputs!$B$4="pvp",15,MAX(0.1,Skills!E9-IF(Skills!F7=TRUE,Inputs!$B$31,0))))))/Skills!H9,1)))/Inputs!$B$35),G713*V713)*IF(Inputs!$B$4="pvp",1,(1-Summary!$B$56)*(1)+Summary!$B$56*(MIN(Skills!R9,Inputs!$B$37))),0)</f>
        <v>877978935589707.62</v>
      </c>
      <c r="P713">
        <f>IF(B743=0,0,O713/B743)</f>
        <v>0.10521350060991891</v>
      </c>
      <c r="S713">
        <f>IF(AND(Inputs!$B$4&lt;&gt;"pvp",Inputs!$B$35&gt;0),(INT(Inputs!$B$35/IF(Inputs!$B$4="pvp",15,MAX(0.1,Skills!E9-IF(Skills!F7=TRUE,Inputs!$B$31,0))))+1),0)</f>
        <v>0</v>
      </c>
      <c r="V713">
        <f>IFERROR(1/IF(Inputs!$B$4="pvp",15,MAX(0.1,Skills!E9-IF(Skills!F7=TRUE,Inputs!$B$31,0))),0)</f>
        <v>4.0816326530612242E-2</v>
      </c>
    </row>
    <row r="714" spans="1:22" x14ac:dyDescent="0.2">
      <c r="A714" t="str">
        <f>Skills!A10</f>
        <v>CREEPING_TOXIN</v>
      </c>
      <c r="B714" t="str">
        <f>Skills!B10</f>
        <v>Creeping Toxin</v>
      </c>
      <c r="C714" t="b">
        <f>TRUE</f>
        <v>1</v>
      </c>
      <c r="D714">
        <f>IF(Skills!C10=1,60+Inputs!$B$24+Inputs!$B$28,IF(Skills!C10=2,90+(Inputs!$B$25+1)+Inputs!$B$28,IF(Skills!C10=3,120+Inputs!$B$26+Inputs!$B$28,MAX(0,(Inputs!$B$3-100)*3)+Inputs!$B$27+Inputs!$B$28)))</f>
        <v>184</v>
      </c>
      <c r="E714">
        <f>INDEX(FactorTable!$B$2:$Y$301, MATCH(ROUND(MIN(300,MAX(1,D714)),0), FactorTable!$A$2:$A$301,0), Skills!M10+1)</f>
        <v>1920</v>
      </c>
      <c r="F714">
        <f>IF(Skills!N10=TRUE,(Skills!L10/10)*(E714/1000),Skills!L10/10)+Skills!O10</f>
        <v>280.39999999999998</v>
      </c>
      <c r="G714">
        <f>Calc!G10</f>
        <v>15</v>
      </c>
      <c r="H714">
        <f>Calc!H10</f>
        <v>1</v>
      </c>
      <c r="I714">
        <f>IF(Skills!X10&lt;&gt;"",1+(Skills!X10/10)*(R707/1000)/100,1)</f>
        <v>1.7519999999999998</v>
      </c>
      <c r="J714">
        <f>((Inputs!$B$5*(1+Inputs!$B$6/100))+((Inputs!$B$11*(1+Inputs!$B$12/100))-(Inputs!$B$11*(1+Inputs!$B$12/100)))*(1+Inputs!$B$6/100))*(F714/100)</f>
        <v>700526186.04691195</v>
      </c>
      <c r="K714">
        <f>J714*(1+((Inputs!$B$11*(1+Inputs!$B$12/100))*0.01+Inputs!$B$13*0.0025)/100)*(1+Inputs!$B$14/100)*(1+IF(Inputs!$B$4="pvp",0,(1-Summary!$B$56)*(Inputs!$B$19+Skills!P10)+Summary!$B$56*(Inputs!$B$20+Skills!Q10))/100)*(1+Inputs!$B$15/100)*(5000/(6000+Inputs!$B$7*(1-Inputs!$B$18/100)))*(1+Inputs!$B$23/100)*(1+F727/100)*(1+IF(Inputs!$B$3&gt;=120,F730,0)/100)^5*(1+(IF(Skills!A10="BASIC_ATTACK",Inputs!$B$16,Inputs!$B$17+IF(Inputs!$B$3&gt;=125,F731*5,0)))/100)*(B734*B735*B736*I714)</f>
        <v>11022025592011.229</v>
      </c>
      <c r="L714">
        <f>K714*(MIN(Inputs!$B$21+(F726-Calc!F22),Inputs!$B$22)/100+Inputs!$B$22/100)/2</f>
        <v>29756438041392.512</v>
      </c>
      <c r="M714">
        <f>L714*(1+(Inputs!$B$9+(F725-Calc!F21))/100)</f>
        <v>124709231831476.03</v>
      </c>
      <c r="N714">
        <f>L714*(1-MIN(Inputs!$B$8+(F724-Calc!F20),100)/100)+M714*(MIN(Inputs!$B$8+(F724-Calc!F20),100)/100)</f>
        <v>124709231831476.03</v>
      </c>
      <c r="O714">
        <f>IF(C714,H714*N714*IF(AND(Inputs!$B$4&lt;&gt;"pvp",Inputs!$B$35&gt;0),((Skills!G10*((S714-1)*IF(Skills!H10&gt;0,Skills!I10/Skills!H10,1)+IF(Skills!H10&gt;0,MIN(Skills!I10,MAX(0,Inputs!$B$35-((S714-1)*IF(Inputs!$B$4="pvp",15,MAX(0.1,Skills!E10-IF(Skills!F10=TRUE,Inputs!$B$31,0))))))/Skills!H10,1)))/Inputs!$B$35),G714*V714)*IF(Inputs!$B$4="pvp",1,(1-Summary!$B$56)*(1)+Summary!$B$56*(MIN(Skills!R10,Inputs!$B$37))),0)</f>
        <v>69282906573042.242</v>
      </c>
      <c r="P714">
        <f>IF(B743=0,0,O714/B743)</f>
        <v>8.3025877244806961E-3</v>
      </c>
      <c r="S714">
        <f>IF(AND(Inputs!$B$4&lt;&gt;"pvp",Inputs!$B$35&gt;0),(INT(Inputs!$B$35/IF(Inputs!$B$4="pvp",15,MAX(0.1,Skills!E10-IF(Skills!F10=TRUE,Inputs!$B$31,0))))+1),0)</f>
        <v>0</v>
      </c>
      <c r="V714">
        <f>IFERROR(1/IF(Inputs!$B$4="pvp",15,MAX(0.1,Skills!E10-IF(Skills!F10=TRUE,Inputs!$B$31,0))),0)</f>
        <v>3.7037037037037035E-2</v>
      </c>
    </row>
    <row r="715" spans="1:22" x14ac:dyDescent="0.2">
      <c r="A715" t="str">
        <f>Skills!A11</f>
        <v>BURNING_MAGIC</v>
      </c>
      <c r="B715" t="str">
        <f>Skills!B11</f>
        <v>Burning Magic</v>
      </c>
      <c r="C715" t="b">
        <f>TRUE</f>
        <v>1</v>
      </c>
      <c r="D715">
        <f>IF(Skills!C11=1,60+Inputs!$B$24+Inputs!$B$28,IF(Skills!C11=2,90+(Inputs!$B$25+1)+Inputs!$B$28,IF(Skills!C11=3,120+Inputs!$B$26+Inputs!$B$28,MAX(0,(Inputs!$B$3-100)*3)+Inputs!$B$27+Inputs!$B$28)))</f>
        <v>184</v>
      </c>
      <c r="E715">
        <f>INDEX(FactorTable!$B$2:$Y$301, MATCH(ROUND(MIN(300,MAX(1,D715)),0), FactorTable!$A$2:$A$301,0), Skills!M11+1)</f>
        <v>0</v>
      </c>
      <c r="F715">
        <f>IF(Skills!N11=TRUE,(Skills!L11/10)*(E715/1000),Skills!L11/10)+Skills!O11</f>
        <v>5</v>
      </c>
      <c r="G715">
        <f>Calc!G11</f>
        <v>1</v>
      </c>
      <c r="H715">
        <f>Calc!H11</f>
        <v>1</v>
      </c>
      <c r="I715">
        <f>IF(Skills!X11&lt;&gt;"",1+(Skills!X11/10)*(R707/1000)/100,1)</f>
        <v>1</v>
      </c>
      <c r="O715">
        <v>0</v>
      </c>
      <c r="P715">
        <f>IF(B743=0,0,O715/B743)</f>
        <v>0</v>
      </c>
      <c r="S715">
        <v>0</v>
      </c>
      <c r="V715">
        <f>IFERROR(1/IF(Inputs!$B$4="pvp",15,MAX(0.1,Skills!E11-IF(Skills!F11=TRUE,Inputs!$B$31,0))),0)</f>
        <v>10</v>
      </c>
    </row>
    <row r="716" spans="1:22" x14ac:dyDescent="0.2">
      <c r="A716" t="str">
        <f>Skills!A12</f>
        <v>ELEMENTAL_DECREASE</v>
      </c>
      <c r="B716" t="str">
        <f>Skills!B12</f>
        <v>Elemental Decrease</v>
      </c>
      <c r="C716" t="b">
        <f>TRUE</f>
        <v>1</v>
      </c>
      <c r="D716">
        <f>IF(Skills!C12=1,60+Inputs!$B$24+Inputs!$B$28,IF(Skills!C12=2,90+(Inputs!$B$25+1)+Inputs!$B$28,IF(Skills!C12=3,120+Inputs!$B$26+Inputs!$B$28,MAX(0,(Inputs!$B$3-100)*3)+Inputs!$B$27+Inputs!$B$28)))</f>
        <v>184</v>
      </c>
      <c r="E716">
        <f>INDEX(FactorTable!$B$2:$Y$301, MATCH(ROUND(MIN(300,MAX(1,D716)),0), FactorTable!$A$2:$A$301,0), Skills!M12+1)</f>
        <v>1552</v>
      </c>
      <c r="F716">
        <f>IF(Skills!N12=TRUE,(Skills!L12/10)*(E716/1000),Skills!L12/10)+Skills!O12</f>
        <v>18.624000000000002</v>
      </c>
      <c r="G716">
        <f>Calc!G12</f>
        <v>1</v>
      </c>
      <c r="H716">
        <f>Calc!H12</f>
        <v>0.5</v>
      </c>
      <c r="I716">
        <f>IF(Skills!X12&lt;&gt;"",1+(Skills!X12/10)*(R707/1000)/100,1)</f>
        <v>1</v>
      </c>
      <c r="O716">
        <v>0</v>
      </c>
      <c r="P716">
        <f>IF(B743=0,0,O716/B743)</f>
        <v>0</v>
      </c>
      <c r="S716">
        <v>0</v>
      </c>
      <c r="V716">
        <f>IFERROR(1/IF(Inputs!$B$4="pvp",15,MAX(0.1,Skills!E12-IF(Skills!F12=TRUE,Inputs!$B$31,0))),0)</f>
        <v>10</v>
      </c>
    </row>
    <row r="717" spans="1:22" x14ac:dyDescent="0.2">
      <c r="A717" t="str">
        <f>Skills!A13</f>
        <v>METEOR_SHOWER_BURST</v>
      </c>
      <c r="B717" t="str">
        <f>Skills!B13</f>
        <v>Meteor Shower (burst)</v>
      </c>
      <c r="C717" t="b">
        <f>Inputs!$B$3&gt;=105</f>
        <v>1</v>
      </c>
      <c r="D717">
        <f>IF(Skills!C13=1,60+Inputs!$B$24+Inputs!$B$28,IF(Skills!C13=2,90+(Inputs!$B$25+1)+Inputs!$B$28,IF(Skills!C13=3,120+Inputs!$B$26+Inputs!$B$28,MAX(0,(Inputs!$B$3-100)*3)+Inputs!$B$27+Inputs!$B$28)))</f>
        <v>172</v>
      </c>
      <c r="E717">
        <f>INDEX(FactorTable!$B$2:$Y$301, MATCH(ROUND(MIN(300,MAX(1,D717)),0), FactorTable!$A$2:$A$301,0), Skills!M13+1)</f>
        <v>1860</v>
      </c>
      <c r="F717">
        <f>IF(Skills!N13=TRUE,(Skills!L13/10)*(E717/1000),Skills!L13/10)+Skills!O13</f>
        <v>1116</v>
      </c>
      <c r="G717">
        <f>Calc!G13</f>
        <v>9</v>
      </c>
      <c r="H717">
        <f>Calc!H13</f>
        <v>1</v>
      </c>
      <c r="I717">
        <f>IF(Skills!X13&lt;&gt;"",1+(Skills!X13/10)*(R707/1000)/100,1)</f>
        <v>1</v>
      </c>
      <c r="J717">
        <f>((Inputs!$B$5*(1+Inputs!$B$6/100))+((Inputs!$B$11*(1+Inputs!$B$12/100))-(Inputs!$B$11*(1+Inputs!$B$12/100)))*(1+Inputs!$B$6/100))*(F717/100)</f>
        <v>2788114206.9484801</v>
      </c>
      <c r="K717">
        <f>J717*(1+((Inputs!$B$11*(1+Inputs!$B$12/100))*0.01+Inputs!$B$13*0.0025)/100)*(1+Inputs!$B$14/100)*(1+IF(Inputs!$B$4="pvp",0,(1-Summary!$B$56)*(Inputs!$B$19+Skills!P13)+Summary!$B$56*(Inputs!$B$20+Skills!Q13))/100)*(1+Inputs!$B$15/100)*(5000/(6000+Inputs!$B$7*(1-Inputs!$B$18/100)))*(1+Inputs!$B$23/100)*(1+F727/100)*(1+IF(Inputs!$B$3&gt;=120,F730,0)/100)^5*(1+(IF(Skills!A13="BASIC_ATTACK",Inputs!$B$16,Inputs!$B$17+IF(Inputs!$B$3&gt;=125,F731*5,0)))/100)*(B734*B735*B736*I717)</f>
        <v>21218026238412.207</v>
      </c>
      <c r="L717">
        <f>K717*(MIN(Inputs!$B$21+(F726-Calc!F22),Inputs!$B$22)/100+Inputs!$B$22/100)/2</f>
        <v>57282835886497.391</v>
      </c>
      <c r="M717">
        <f>L717*(1+(Inputs!$B$9+(F725-Calc!F21))/100)</f>
        <v>240072365200310.59</v>
      </c>
      <c r="N717">
        <f>L717*(1-MIN(Inputs!$B$8+(F724-Calc!F20),100)/100)+M717*(MIN(Inputs!$B$8+(F724-Calc!F20),100)/100)</f>
        <v>240072365200310.59</v>
      </c>
      <c r="O717">
        <f>IF(C717,H717*N717*IF(AND(Inputs!$B$4&lt;&gt;"pvp",Inputs!$B$35&gt;0),((Skills!G13*((S717-1)*IF(Skills!H13&gt;0,Skills!I13/Skills!H13,1)+IF(Skills!H13&gt;0,MIN(Skills!I13,MAX(0,Inputs!$B$35-((S717-1)*IF(Inputs!$B$4="pvp",15,MAX(0.1,Skills!E13-IF(Skills!F13=TRUE,Inputs!$B$31,0))))))/Skills!H13,1)))/Inputs!$B$35),G717*V717)*IF(Inputs!$B$4="pvp",1,(1-Summary!$B$56)*(1)+Summary!$B$56*(MIN(Skills!R13,Inputs!$B$37))),0)</f>
        <v>301181694524026.06</v>
      </c>
      <c r="P717">
        <f>IF(B743=0,0,O717/B743)</f>
        <v>3.6092415337067342E-2</v>
      </c>
      <c r="S717">
        <f>IF(AND(Inputs!$B$4&lt;&gt;"pvp",Inputs!$B$35&gt;0),(INT(Inputs!$B$35/IF(Inputs!$B$4="pvp",15,MAX(0.1,Skills!E13-IF(Skills!F13=TRUE,Inputs!$B$31,0))))+1),0)</f>
        <v>0</v>
      </c>
      <c r="V717">
        <f>IFERROR(1/IF(Inputs!$B$4="pvp",15,MAX(0.1,Skills!E13-IF(Skills!F13=TRUE,Inputs!$B$31,0))),0)</f>
        <v>3.0303030303030304E-2</v>
      </c>
    </row>
    <row r="718" spans="1:22" x14ac:dyDescent="0.2">
      <c r="A718" t="str">
        <f>Skills!A14</f>
        <v>METEOR_PROC</v>
      </c>
      <c r="B718" t="str">
        <f>Skills!B14</f>
        <v>Meteor Proc (30% on-hit, 1s ICD)</v>
      </c>
      <c r="C718" t="b">
        <f>Inputs!$B$3&gt;=113</f>
        <v>1</v>
      </c>
      <c r="D718">
        <f>IF(Skills!C14=1,60+Inputs!$B$24+Inputs!$B$28,IF(Skills!C14=2,90+(Inputs!$B$25+1)+Inputs!$B$28,IF(Skills!C14=3,120+Inputs!$B$26+Inputs!$B$28,MAX(0,(Inputs!$B$3-100)*3)+Inputs!$B$27+Inputs!$B$28)))</f>
        <v>172</v>
      </c>
      <c r="E718">
        <f>INDEX(FactorTable!$B$2:$Y$301, MATCH(ROUND(MIN(300,MAX(1,D718)),0), FactorTable!$A$2:$A$301,0), Skills!M14+1)</f>
        <v>1688</v>
      </c>
      <c r="F718">
        <f>IF(Skills!N14=TRUE,(Skills!L14/10)*(E718/1000),Skills!L14/10)+Skills!O14</f>
        <v>1603.6</v>
      </c>
      <c r="G718">
        <f>Calc!G14</f>
        <v>0</v>
      </c>
      <c r="H718">
        <f>Calc!H14</f>
        <v>0.30000000000000004</v>
      </c>
      <c r="I718">
        <f>IF(Skills!X14&lt;&gt;"",1+(Skills!X14/10)*(R707/1000)/100,1)</f>
        <v>1</v>
      </c>
      <c r="J718">
        <f>((Inputs!$B$5*(1+Inputs!$B$6/100))+((Inputs!$B$11*(1+Inputs!$B$12/100))-(Inputs!$B$11*(1+Inputs!$B$12/100)))*(1+Inputs!$B$6/100))*(F718/100)</f>
        <v>4006290270.8446074</v>
      </c>
      <c r="K718">
        <f>J718*(1+((Inputs!$B$11*(1+Inputs!$B$12/100))*0.01+Inputs!$B$13*0.0025)/100)*(1+Inputs!$B$14/100)*(1+IF(Inputs!$B$4="pvp",0,(1-Summary!$B$56)*(Inputs!$B$19+Skills!P14)+Summary!$B$56*(Inputs!$B$20+Skills!Q14))/100)*(1+Inputs!$B$15/100)*(5000/(6000+Inputs!$B$7*(1-Inputs!$B$18/100)))*(1+Inputs!$B$23/100)*(1+F727/100)*(1+IF(Inputs!$B$3&gt;=120,F730,0)/100)^5*(1+(IF(Skills!A14="BASIC_ATTACK",Inputs!$B$16,Inputs!$B$17+IF(Inputs!$B$3&gt;=125,F731*5,0)))/100)*(B734*B735*B736*I718)</f>
        <v>30488554548313.461</v>
      </c>
      <c r="L718">
        <f>K718*(MIN(Inputs!$B$21+(F726-Calc!F22),Inputs!$B$22)/100+Inputs!$B$22/100)/2</f>
        <v>82310712927945.562</v>
      </c>
      <c r="M718">
        <f>L718*(1+(Inputs!$B$9+(F725-Calc!F21))/100)</f>
        <v>344964197881019.94</v>
      </c>
      <c r="N718">
        <f>L718*(1-MIN(Inputs!$B$8+(F724-Calc!F20),100)/100)+M718*(MIN(Inputs!$B$8+(F724-Calc!F20),100)/100)</f>
        <v>344964197881019.94</v>
      </c>
      <c r="O718">
        <f>IF(C718,(H718*B741)/(1+Skills!H14*H718*B741)*N718*IF(Inputs!$B$4="pvp",1,(1-Summary!$B$56)*(1)+Summary!$B$56*(MIN(Skills!R14,Inputs!$B$37))),0)</f>
        <v>108512844510969</v>
      </c>
      <c r="P718">
        <f>IF(B743=0,0,O718/B743)</f>
        <v>1.3003747321648967E-2</v>
      </c>
      <c r="S718">
        <v>0</v>
      </c>
      <c r="V718">
        <f>IFERROR(1/IF(Inputs!$B$4="pvp",15,MAX(0.1,Skills!E14-IF(Skills!F14=TRUE,Inputs!$B$31,0))),0)</f>
        <v>10</v>
      </c>
    </row>
    <row r="719" spans="1:22" x14ac:dyDescent="0.2">
      <c r="A719" t="str">
        <f>Skills!A15</f>
        <v>FLAME_HAZE_BURST</v>
      </c>
      <c r="B719" t="str">
        <f>Skills!B15</f>
        <v>Flame Haze (burst)</v>
      </c>
      <c r="C719" t="b">
        <f>Inputs!$B$3&gt;=107</f>
        <v>1</v>
      </c>
      <c r="D719">
        <f>IF(Skills!C15=1,60+Inputs!$B$24+Inputs!$B$28,IF(Skills!C15=2,90+(Inputs!$B$25+1)+Inputs!$B$28,IF(Skills!C15=3,120+Inputs!$B$26+Inputs!$B$28,MAX(0,(Inputs!$B$3-100)*3)+Inputs!$B$27+Inputs!$B$28)))</f>
        <v>172</v>
      </c>
      <c r="E719">
        <f>INDEX(FactorTable!$B$2:$Y$301, MATCH(ROUND(MIN(300,MAX(1,D719)),0), FactorTable!$A$2:$A$301,0), Skills!M15+1)</f>
        <v>1860</v>
      </c>
      <c r="F719">
        <f>IF(Skills!N15=TRUE,(Skills!L15/10)*(E719/1000),Skills!L15/10)+Skills!O15</f>
        <v>2232</v>
      </c>
      <c r="G719">
        <f>Calc!G15</f>
        <v>3</v>
      </c>
      <c r="H719">
        <f>Calc!H15</f>
        <v>1</v>
      </c>
      <c r="I719">
        <f>IF(Skills!X15&lt;&gt;"",1+(Skills!X15/10)*(R707/1000)/100,1)</f>
        <v>1</v>
      </c>
      <c r="J719">
        <f>((Inputs!$B$5*(1+Inputs!$B$6/100))+((Inputs!$B$11*(1+Inputs!$B$12/100))-(Inputs!$B$11*(1+Inputs!$B$12/100)))*(1+Inputs!$B$6/100))*(F719/100)</f>
        <v>5576228413.8969603</v>
      </c>
      <c r="K719">
        <f>J719*(1+((Inputs!$B$11*(1+Inputs!$B$12/100))*0.01+Inputs!$B$13*0.0025)/100)*(1+Inputs!$B$14/100)*(1+IF(Inputs!$B$4="pvp",0,(1-Summary!$B$56)*(Inputs!$B$19+Skills!P15)+Summary!$B$56*(Inputs!$B$20+Skills!Q15))/100)*(1+Inputs!$B$15/100)*(5000/(6000+Inputs!$B$7*(1-Inputs!$B$18/100)))*(1+Inputs!$B$23/100)*(1+F727/100)*(1+IF(Inputs!$B$3&gt;=120,F730,0)/100)^5*(1+(IF(Skills!A15="BASIC_ATTACK",Inputs!$B$16,Inputs!$B$17+IF(Inputs!$B$3&gt;=125,F731*5,0)))/100)*(B734*B735*B736*I719)</f>
        <v>42436052476824.414</v>
      </c>
      <c r="L719">
        <f>K719*(MIN(Inputs!$B$21+(F726-Calc!F22),Inputs!$B$22)/100+Inputs!$B$22/100)/2</f>
        <v>114565671772994.78</v>
      </c>
      <c r="M719">
        <f>L719*(1+(Inputs!$B$9+(F725-Calc!F21))/100)</f>
        <v>480144730400621.19</v>
      </c>
      <c r="N719">
        <f>L719*(1-MIN(Inputs!$B$8+(F724-Calc!F20),100)/100)+M719*(MIN(Inputs!$B$8+(F724-Calc!F20),100)/100)</f>
        <v>480144730400621.19</v>
      </c>
      <c r="O719">
        <f>IF(C719,H719*N719*IF(AND(Inputs!$B$4&lt;&gt;"pvp",Inputs!$B$35&gt;0),((Skills!G15*((S719-1)*IF(Skills!H15&gt;0,Skills!I15/Skills!H15,1)+IF(Skills!H15&gt;0,MIN(Skills!I15,MAX(0,Inputs!$B$35-((S719-1)*IF(Inputs!$B$4="pvp",15,MAX(0.1,Skills!E15-IF(Skills!F15=TRUE,Inputs!$B$31,0))))))/Skills!H15,1)))/Inputs!$B$35),G719*V719)*IF(Inputs!$B$4="pvp",1,(1-Summary!$B$56)*(1)+Summary!$B$56*(MIN(Skills!R15,Inputs!$B$37))),0)</f>
        <v>368751152947677.06</v>
      </c>
      <c r="P719">
        <f>IF(B743=0,0,O719/B743)</f>
        <v>4.4189670256165922E-2</v>
      </c>
      <c r="S719">
        <f>IF(AND(Inputs!$B$4&lt;&gt;"pvp",Inputs!$B$35&gt;0),(INT(Inputs!$B$35/IF(Inputs!$B$4="pvp",15,MAX(0.1,Skills!E15-IF(Skills!F15=TRUE,Inputs!$B$31,0))))+1),0)</f>
        <v>0</v>
      </c>
      <c r="V719">
        <f>IFERROR(1/IF(Inputs!$B$4="pvp",15,MAX(0.1,Skills!E15-IF(Skills!F15=TRUE,Inputs!$B$31,0))),0)</f>
        <v>0.04</v>
      </c>
    </row>
    <row r="720" spans="1:22" x14ac:dyDescent="0.2">
      <c r="A720" t="str">
        <f>Skills!A16</f>
        <v>FLAME_HAZE_DOT</v>
      </c>
      <c r="B720" t="str">
        <f>Skills!B16</f>
        <v>Flame Haze (burn DoT)</v>
      </c>
      <c r="C720" t="b">
        <f>Inputs!$B$3&gt;=107</f>
        <v>1</v>
      </c>
      <c r="D720">
        <f>IF(Skills!C16=1,60+Inputs!$B$24+Inputs!$B$28,IF(Skills!C16=2,90+(Inputs!$B$25+1)+Inputs!$B$28,IF(Skills!C16=3,120+Inputs!$B$26+Inputs!$B$28,MAX(0,(Inputs!$B$3-100)*3)+Inputs!$B$27+Inputs!$B$28)))</f>
        <v>172</v>
      </c>
      <c r="E720">
        <f>INDEX(FactorTable!$B$2:$Y$301, MATCH(ROUND(MIN(300,MAX(1,D720)),0), FactorTable!$A$2:$A$301,0), Skills!M16+1)</f>
        <v>1860</v>
      </c>
      <c r="F720">
        <f>IF(Skills!N16=TRUE,(Skills!L16/10)*(E720/1000),Skills!L16/10)+Skills!O16</f>
        <v>279</v>
      </c>
      <c r="G720">
        <f>Calc!G16</f>
        <v>28</v>
      </c>
      <c r="H720">
        <f>Calc!H16</f>
        <v>1</v>
      </c>
      <c r="I720">
        <f>IF(Skills!X16&lt;&gt;"",1+(Skills!X16/10)*(R707/1000)/100,1)</f>
        <v>1</v>
      </c>
      <c r="J720">
        <f>((Inputs!$B$5*(1+Inputs!$B$6/100))+((Inputs!$B$11*(1+Inputs!$B$12/100))-(Inputs!$B$11*(1+Inputs!$B$12/100)))*(1+Inputs!$B$6/100))*(F720/100)</f>
        <v>697028551.73712003</v>
      </c>
      <c r="K720">
        <f>J720*(1+((Inputs!$B$11*(1+Inputs!$B$12/100))*0.01+Inputs!$B$13*0.0025)/100)*(1+Inputs!$B$14/100)*(1+IF(Inputs!$B$4="pvp",0,(1-Summary!$B$56)*(Inputs!$B$19+Skills!P16)+Summary!$B$56*(Inputs!$B$20+Skills!Q16))/100)*(1+Inputs!$B$15/100)*(5000/(6000+Inputs!$B$7*(1-Inputs!$B$18/100)))*(1+Inputs!$B$23/100)*(1+F727/100)*(1+IF(Inputs!$B$3&gt;=120,F730,0)/100)^5*(1+(IF(Skills!A16="BASIC_ATTACK",Inputs!$B$16,Inputs!$B$17+IF(Inputs!$B$3&gt;=125,F731*5,0)))/100)*(B734*B735*B736*I720)</f>
        <v>5304506559603.0518</v>
      </c>
      <c r="L720">
        <f>K720*(MIN(Inputs!$B$21+(F726-Calc!F22),Inputs!$B$22)/100+Inputs!$B$22/100)/2</f>
        <v>14320708971624.348</v>
      </c>
      <c r="M720">
        <f>L720*(1+(Inputs!$B$9+(F725-Calc!F21))/100)</f>
        <v>60018091300077.648</v>
      </c>
      <c r="N720">
        <f>L720*(1-MIN(Inputs!$B$8+(F724-Calc!F20),100)/100)+M720*(MIN(Inputs!$B$8+(F724-Calc!F20),100)/100)</f>
        <v>60018091300077.648</v>
      </c>
      <c r="O720">
        <f>IF(C720,H720*N720*IF(AND(Inputs!$B$4&lt;&gt;"pvp",Inputs!$B$35&gt;0),((Skills!G16*((S720-1)*IF(Skills!H16&gt;0,Skills!I16/Skills!H16,1)+IF(Skills!H16&gt;0,MIN(Skills!I16,MAX(0,Inputs!$B$35-((S720-1)*IF(Inputs!$B$4="pvp",15,MAX(0.1,Skills!E16-IF(Skills!F16=TRUE,Inputs!$B$31,0))))))/Skills!H16,1)))/Inputs!$B$35),G720*V720)*(1+IF(Inputs!$B$3&gt;=126,0.05*(B740+V717+(H718*B741)/(1+Skills!H14*H718*B741)+V728),0)*Skills!E15)*IF(Inputs!$B$4="pvp",1,(1-Summary!$B$56)*(1)+Summary!$B$56*(MIN(Skills!R16,Inputs!$B$37))),0)</f>
        <v>430209678438956.62</v>
      </c>
      <c r="P720">
        <f>IF(B743=0,0,O720/B743)</f>
        <v>5.1554615298860254E-2</v>
      </c>
      <c r="S720">
        <f>IF(AND(Inputs!$B$4&lt;&gt;"pvp",Inputs!$B$35&gt;0),(INT(Inputs!$B$35/IF(Inputs!$B$4="pvp",15,MAX(0.1,Skills!E16-IF(Skills!F16=TRUE,Inputs!$B$31,0))))+1),0)</f>
        <v>0</v>
      </c>
      <c r="V720">
        <f>IFERROR(1/IF(Inputs!$B$4="pvp",15,MAX(0.1,Skills!E16-IF(Skills!F16=TRUE,Inputs!$B$31,0))),0)</f>
        <v>0.04</v>
      </c>
    </row>
    <row r="721" spans="1:22" x14ac:dyDescent="0.2">
      <c r="A721" t="str">
        <f>Skills!A17</f>
        <v>MAGIC_GUARD</v>
      </c>
      <c r="B721" t="str">
        <f>Skills!B17</f>
        <v>Magic Guard</v>
      </c>
      <c r="C721" t="b">
        <f>TRUE</f>
        <v>1</v>
      </c>
      <c r="D721">
        <f>IF(Skills!C17=1,60+Inputs!$B$24+Inputs!$B$28,IF(Skills!C17=2,90+(Inputs!$B$25+1)+Inputs!$B$28,IF(Skills!C17=3,120+Inputs!$B$26+Inputs!$B$28,MAX(0,(Inputs!$B$3-100)*3)+Inputs!$B$27+Inputs!$B$28)))</f>
        <v>115</v>
      </c>
      <c r="E721">
        <f>INDEX(FactorTable!$B$2:$Y$301, MATCH(ROUND(MIN(300,MAX(1,D721)),0), FactorTable!$A$2:$A$301,0), Skills!M17+1)</f>
        <v>1460</v>
      </c>
      <c r="F721">
        <f>IF(Skills!N17=TRUE,(Skills!L17/10)*(E721/1000),Skills!L17/10)+Skills!O17</f>
        <v>17.52</v>
      </c>
      <c r="G721">
        <f>Calc!G17</f>
        <v>1</v>
      </c>
      <c r="H721">
        <f>Calc!H17</f>
        <v>1</v>
      </c>
      <c r="I721">
        <f>IF(Skills!X17&lt;&gt;"",1+(Skills!X17/10)*(R707/1000)/100,1)</f>
        <v>1</v>
      </c>
      <c r="O721">
        <v>0</v>
      </c>
      <c r="P721">
        <f>IF(B743=0,0,O721/B743)</f>
        <v>0</v>
      </c>
      <c r="S721">
        <f>IF(AND(Inputs!$B$4&lt;&gt;"pvp",Inputs!$B$35&gt;0),(INT(Inputs!$B$35/IF(Inputs!$B$4="pvp",15,MAX(0.1,Skills!E17-IF(Skills!F17=TRUE,Inputs!$B$31,0))))+1),0)</f>
        <v>0</v>
      </c>
      <c r="V721">
        <f>IFERROR(1/IF(Inputs!$B$4="pvp",15,MAX(0.1,Skills!E17-IF(Skills!F17=TRUE,Inputs!$B$31,0))),0)</f>
        <v>4.7619047619047616E-2</v>
      </c>
    </row>
    <row r="722" spans="1:22" x14ac:dyDescent="0.2">
      <c r="A722" t="str">
        <f>Skills!A18</f>
        <v>NIMBLE_FEET</v>
      </c>
      <c r="B722" t="str">
        <f>Skills!B18</f>
        <v>Nimble Feet</v>
      </c>
      <c r="C722" t="b">
        <f>TRUE</f>
        <v>1</v>
      </c>
      <c r="D722">
        <f>IF(Skills!C18=1,60+Inputs!$B$24+Inputs!$B$28,IF(Skills!C18=2,90+(Inputs!$B$25+1)+Inputs!$B$28,IF(Skills!C18=3,120+Inputs!$B$26+Inputs!$B$28,MAX(0,(Inputs!$B$3-100)*3)+Inputs!$B$27+Inputs!$B$28)))</f>
        <v>115</v>
      </c>
      <c r="E722">
        <f>INDEX(FactorTable!$B$2:$Y$301, MATCH(ROUND(MIN(300,MAX(1,D722)),0), FactorTable!$A$2:$A$301,0), Skills!M18+1)</f>
        <v>0</v>
      </c>
      <c r="F722">
        <f>IF(Skills!N18=TRUE,(Skills!L18/10)*(E722/1000),Skills!L18/10)+Skills!O18</f>
        <v>15</v>
      </c>
      <c r="G722">
        <f>Calc!G18</f>
        <v>1</v>
      </c>
      <c r="H722">
        <f>Calc!H18</f>
        <v>1</v>
      </c>
      <c r="I722">
        <f>IF(Skills!X18&lt;&gt;"",1+(Skills!X18/10)*(R707/1000)/100,1)</f>
        <v>1</v>
      </c>
      <c r="O722">
        <v>0</v>
      </c>
      <c r="P722">
        <f>IF(B743=0,0,O722/B743)</f>
        <v>0</v>
      </c>
      <c r="S722">
        <f>IF(AND(Inputs!$B$4&lt;&gt;"pvp",Inputs!$B$35&gt;0),(INT(Inputs!$B$35/IF(Inputs!$B$4="pvp",15,MAX(0.1,Skills!E18-IF(Skills!F18=TRUE,Inputs!$B$31,0))))+1),0)</f>
        <v>0</v>
      </c>
      <c r="V722">
        <f>IFERROR(1/IF(Inputs!$B$4="pvp",15,MAX(0.1,Skills!E18-IF(Skills!F18=TRUE,Inputs!$B$31,0))),0)</f>
        <v>1.6666666666666666E-2</v>
      </c>
    </row>
    <row r="723" spans="1:22" x14ac:dyDescent="0.2">
      <c r="A723" t="str">
        <f>Skills!A19</f>
        <v>INFINITY</v>
      </c>
      <c r="B723" t="str">
        <f>Skills!B19</f>
        <v>Infinity</v>
      </c>
      <c r="C723" t="b">
        <f>Inputs!$B$3&gt;=110</f>
        <v>1</v>
      </c>
      <c r="D723">
        <f>IF(Skills!C19=1,60+Inputs!$B$24+Inputs!$B$28,IF(Skills!C19=2,90+(Inputs!$B$25+1)+Inputs!$B$28,IF(Skills!C19=3,120+Inputs!$B$26+Inputs!$B$28,MAX(0,(Inputs!$B$3-100)*3)+Inputs!$B$27+Inputs!$B$28)))</f>
        <v>172</v>
      </c>
      <c r="E723">
        <f>INDEX(FactorTable!$B$2:$Y$301, MATCH(ROUND(MIN(300,MAX(1,D723)),0), FactorTable!$A$2:$A$301,0), Skills!M19+1)</f>
        <v>1688</v>
      </c>
      <c r="F723">
        <f>IF(Skills!N19=TRUE,(Skills!L19/10)*(E723/1000),Skills!L19/10)+Skills!O19</f>
        <v>36.573895999999998</v>
      </c>
      <c r="G723">
        <f>Calc!G19</f>
        <v>1</v>
      </c>
      <c r="H723">
        <f>Calc!H19</f>
        <v>1</v>
      </c>
      <c r="I723">
        <f>IF(Skills!X19&lt;&gt;"",1+(Skills!X19/10)*(R707/1000)/100,1)</f>
        <v>1</v>
      </c>
      <c r="O723">
        <v>0</v>
      </c>
      <c r="P723">
        <f>IF(B743=0,0,O723/B743)</f>
        <v>0</v>
      </c>
      <c r="S723">
        <f>IF(AND(Inputs!$B$4&lt;&gt;"pvp",Inputs!$B$35&gt;0),(INT(Inputs!$B$35/IF(Inputs!$B$4="pvp",15,MAX(0.1,Skills!E19-IF(Skills!F19=TRUE,Inputs!$B$31,0))))+1),0)</f>
        <v>0</v>
      </c>
      <c r="V723">
        <f>IFERROR(1/IF(Inputs!$B$4="pvp",15,MAX(0.1,Skills!E19-IF(Skills!F19=TRUE,Inputs!$B$31,0))),0)</f>
        <v>3.3333333333333333E-2</v>
      </c>
    </row>
    <row r="724" spans="1:22" x14ac:dyDescent="0.2">
      <c r="A724" t="str">
        <f>Skills!A20</f>
        <v>MAGIC_CRITICAL_RATE</v>
      </c>
      <c r="B724" t="str">
        <f>Skills!B20</f>
        <v>Magic Critical (Crit Rate)</v>
      </c>
      <c r="C724" t="b">
        <f>TRUE</f>
        <v>1</v>
      </c>
      <c r="D724">
        <f>IF(Skills!C20=1,60+Inputs!$B$24+Inputs!$B$28,IF(Skills!C20=2,90+(Inputs!$B$25+1)+Inputs!$B$28,IF(Skills!C20=3,120+Inputs!$B$26+Inputs!$B$28,MAX(0,(Inputs!$B$3-100)*3)+Inputs!$B$27+Inputs!$B$28)))</f>
        <v>184</v>
      </c>
      <c r="E724">
        <f>INDEX(FactorTable!$B$2:$Y$301, MATCH(ROUND(MIN(300,MAX(1,D724)),0), FactorTable!$A$2:$A$301,0), Skills!M20+1)</f>
        <v>1552</v>
      </c>
      <c r="F724">
        <f>IF(Skills!N20=TRUE,(Skills!L20/10)*(E724/1000),Skills!L20/10)+Skills!O20</f>
        <v>12.416</v>
      </c>
      <c r="G724">
        <f>Calc!G20</f>
        <v>1</v>
      </c>
      <c r="H724">
        <f>Calc!H20</f>
        <v>1</v>
      </c>
      <c r="I724">
        <f>IF(Skills!X20&lt;&gt;"",1+(Skills!X20/10)*(R707/1000)/100,1)</f>
        <v>1</v>
      </c>
      <c r="O724">
        <v>0</v>
      </c>
      <c r="P724">
        <f>IF(B743=0,0,O724/B743)</f>
        <v>0</v>
      </c>
      <c r="S724">
        <v>0</v>
      </c>
      <c r="V724">
        <f>IFERROR(1/IF(Inputs!$B$4="pvp",15,MAX(0.1,Skills!E20-IF(Skills!F20=TRUE,Inputs!$B$31,0))),0)</f>
        <v>10</v>
      </c>
    </row>
    <row r="725" spans="1:22" x14ac:dyDescent="0.2">
      <c r="A725" t="str">
        <f>Skills!A21</f>
        <v>MAGIC_CRITICAL_DAMAGE</v>
      </c>
      <c r="B725" t="str">
        <f>Skills!B21</f>
        <v>Magic Critical (Crit Damage)</v>
      </c>
      <c r="C725" t="b">
        <f>TRUE</f>
        <v>1</v>
      </c>
      <c r="D725">
        <f>IF(Skills!C21=1,60+Inputs!$B$24+Inputs!$B$28,IF(Skills!C21=2,90+(Inputs!$B$25+1)+Inputs!$B$28,IF(Skills!C21=3,120+Inputs!$B$26+Inputs!$B$28,MAX(0,(Inputs!$B$3-100)*3)+Inputs!$B$27+Inputs!$B$28)))</f>
        <v>184</v>
      </c>
      <c r="E725">
        <f>INDEX(FactorTable!$B$2:$Y$301, MATCH(ROUND(MIN(300,MAX(1,D725)),0), FactorTable!$A$2:$A$301,0), Skills!M21+1)</f>
        <v>1552</v>
      </c>
      <c r="F725">
        <f>IF(Skills!N21=TRUE,(Skills!L21/10)*(E725/1000),Skills!L21/10)+Skills!O21</f>
        <v>18.624000000000002</v>
      </c>
      <c r="G725">
        <f>Calc!G21</f>
        <v>1</v>
      </c>
      <c r="H725">
        <f>Calc!H21</f>
        <v>1</v>
      </c>
      <c r="I725">
        <f>IF(Skills!X21&lt;&gt;"",1+(Skills!X21/10)*(R707/1000)/100,1)</f>
        <v>1</v>
      </c>
      <c r="O725">
        <v>0</v>
      </c>
      <c r="P725">
        <f>IF(B743=0,0,O725/B743)</f>
        <v>0</v>
      </c>
      <c r="S725">
        <v>0</v>
      </c>
      <c r="V725">
        <f>IFERROR(1/IF(Inputs!$B$4="pvp",15,MAX(0.1,Skills!E21-IF(Skills!F21=TRUE,Inputs!$B$31,0))),0)</f>
        <v>10</v>
      </c>
    </row>
    <row r="726" spans="1:22" x14ac:dyDescent="0.2">
      <c r="A726" t="str">
        <f>Skills!A22</f>
        <v>SPELL_MASTERY</v>
      </c>
      <c r="B726" t="str">
        <f>Skills!B22</f>
        <v>Spell Mastery</v>
      </c>
      <c r="C726" t="b">
        <f>TRUE</f>
        <v>1</v>
      </c>
      <c r="D726">
        <f>IF(Skills!C22=1,60+Inputs!$B$24+Inputs!$B$28,IF(Skills!C22=2,90+(Inputs!$B$25+1)+Inputs!$B$28,IF(Skills!C22=3,120+Inputs!$B$26+Inputs!$B$28,MAX(0,(Inputs!$B$3-100)*3)+Inputs!$B$27+Inputs!$B$28)))</f>
        <v>165</v>
      </c>
      <c r="E726">
        <f>INDEX(FactorTable!$B$2:$Y$301, MATCH(ROUND(MIN(300,MAX(1,D726)),0), FactorTable!$A$2:$A$301,0), Skills!M22+1)</f>
        <v>1495</v>
      </c>
      <c r="F726">
        <f>IF(Skills!N22=TRUE,(Skills!L22/10)*(E726/1000),Skills!L22/10)+Skills!O22</f>
        <v>22.425000000000001</v>
      </c>
      <c r="G726">
        <f>Calc!G22</f>
        <v>1</v>
      </c>
      <c r="H726">
        <f>Calc!H22</f>
        <v>1</v>
      </c>
      <c r="I726">
        <f>IF(Skills!X22&lt;&gt;"",1+(Skills!X22/10)*(R707/1000)/100,1)</f>
        <v>1</v>
      </c>
      <c r="O726">
        <v>0</v>
      </c>
      <c r="P726">
        <f>IF(B743=0,0,O726/B743)</f>
        <v>0</v>
      </c>
      <c r="S726">
        <v>0</v>
      </c>
      <c r="V726">
        <f>IFERROR(1/IF(Inputs!$B$4="pvp",15,MAX(0.1,Skills!E22-IF(Skills!F22=TRUE,Inputs!$B$31,0))),0)</f>
        <v>10</v>
      </c>
    </row>
    <row r="727" spans="1:22" x14ac:dyDescent="0.2">
      <c r="A727" t="str">
        <f>Skills!A23</f>
        <v>ELEMENT_AMPLIFICATION</v>
      </c>
      <c r="B727" t="str">
        <f>Skills!B23</f>
        <v>Element Amplification</v>
      </c>
      <c r="C727" t="b">
        <f>TRUE</f>
        <v>1</v>
      </c>
      <c r="D727">
        <f>IF(Skills!C23=1,60+Inputs!$B$24+Inputs!$B$28,IF(Skills!C23=2,90+(Inputs!$B$25+1)+Inputs!$B$28,IF(Skills!C23=3,120+Inputs!$B$26+Inputs!$B$28,MAX(0,(Inputs!$B$3-100)*3)+Inputs!$B$27+Inputs!$B$28)))</f>
        <v>172</v>
      </c>
      <c r="E727">
        <f>INDEX(FactorTable!$B$2:$Y$301, MATCH(ROUND(MIN(300,MAX(1,D727)),0), FactorTable!$A$2:$A$301,0), Skills!M23+1)</f>
        <v>1516</v>
      </c>
      <c r="F727">
        <f>IF(Skills!N23=TRUE,(Skills!L23/10)*(E727/1000),Skills!L23/10)+Skills!O23</f>
        <v>22.740000000000002</v>
      </c>
      <c r="G727">
        <f>Calc!G23</f>
        <v>1</v>
      </c>
      <c r="H727">
        <f>Calc!H23</f>
        <v>1</v>
      </c>
      <c r="I727">
        <f>IF(Skills!X23&lt;&gt;"",1+(Skills!X23/10)*(R707/1000)/100,1)</f>
        <v>1</v>
      </c>
      <c r="O727">
        <v>0</v>
      </c>
      <c r="P727">
        <f>IF(B743=0,0,O727/B743)</f>
        <v>0</v>
      </c>
      <c r="S727">
        <v>0</v>
      </c>
      <c r="V727">
        <f>IFERROR(1/IF(Inputs!$B$4="pvp",15,MAX(0.1,Skills!E23-IF(Skills!F23=TRUE,Inputs!$B$31,0))),0)</f>
        <v>10</v>
      </c>
    </row>
    <row r="728" spans="1:22" x14ac:dyDescent="0.2">
      <c r="A728" t="str">
        <f>Skills!A24</f>
        <v>IFRIT</v>
      </c>
      <c r="B728" t="str">
        <f>Skills!B24</f>
        <v>Ifrit</v>
      </c>
      <c r="C728" t="b">
        <f>Inputs!$B$3&gt;=115</f>
        <v>0</v>
      </c>
      <c r="D728">
        <f>IF(Skills!C24=1,60+Inputs!$B$24+Inputs!$B$28,IF(Skills!C24=2,90+(Inputs!$B$25+1)+Inputs!$B$28,IF(Skills!C24=3,120+Inputs!$B$26+Inputs!$B$28,MAX(0,(Inputs!$B$3-100)*3)+Inputs!$B$27+Inputs!$B$28)))</f>
        <v>172</v>
      </c>
      <c r="E728">
        <f>INDEX(FactorTable!$B$2:$Y$301, MATCH(ROUND(MIN(300,MAX(1,D728)),0), FactorTable!$A$2:$A$301,0), Skills!M24+1)</f>
        <v>1860</v>
      </c>
      <c r="F728">
        <f>IF(Skills!N24=TRUE,(Skills!L24/10)*(E728/1000),Skills!L24/10)+Skills!O24</f>
        <v>6510</v>
      </c>
      <c r="G728">
        <f>Calc!G24</f>
        <v>7.5</v>
      </c>
      <c r="H728">
        <f>Calc!H24</f>
        <v>1</v>
      </c>
      <c r="I728">
        <f>IF(Skills!X24&lt;&gt;"",1+(Skills!X24/10)*(R707/1000)/100,1)</f>
        <v>1</v>
      </c>
      <c r="J728">
        <f>((Inputs!$B$5*(1+Inputs!$B$6/100))+((Inputs!$B$11*(1+Inputs!$B$12/100))-(Inputs!$B$11*(1+Inputs!$B$12/100)))*(1+Inputs!$B$6/100))*(F728/100)</f>
        <v>16263999540.532799</v>
      </c>
      <c r="K728">
        <f>J728*(1+((Inputs!$B$11*(1+Inputs!$B$12/100))*0.01+Inputs!$B$13*0.0025)/100)*(1+Inputs!$B$14/100)*(1+IF(Inputs!$B$4="pvp",0,(1-Summary!$B$56)*(Inputs!$B$19+Skills!P24)+Summary!$B$56*(Inputs!$B$20+Skills!Q24))/100)*(1+Inputs!$B$15/100)*(5000/(6000+Inputs!$B$7*(1-Inputs!$B$18/100)))*(1+Inputs!$B$23/100)*(1+F727/100)*(1+IF(Inputs!$B$3&gt;=120,F730,0)/100)^5*(1+(IF(Skills!A24="BASIC_ATTACK",Inputs!$B$16,Inputs!$B$17+IF(Inputs!$B$3&gt;=125,F731*5,0)))/100)*(B734*B735*B736*I728)</f>
        <v>123771819724071.2</v>
      </c>
      <c r="L728">
        <f>K728*(MIN(Inputs!$B$21+(F726-Calc!F22),Inputs!$B$22)/100+Inputs!$B$22/100)/2</f>
        <v>334149876004568.12</v>
      </c>
      <c r="M728">
        <f>L728*(1+(Inputs!$B$9+(F725-Calc!F21))/100)</f>
        <v>1400422130335145.2</v>
      </c>
      <c r="N728">
        <f>L728*(1-MIN(Inputs!$B$8+(F724-Calc!F20),100)/100)+M728*(MIN(Inputs!$B$8+(F724-Calc!F20),100)/100)</f>
        <v>1400422130335145.2</v>
      </c>
      <c r="O728">
        <f>IF(C728,H728*N728*IF(AND(Inputs!$B$4&lt;&gt;"pvp",Inputs!$B$35&gt;0),((Skills!G24*((S728-1)*IF(Skills!H24&gt;0,Skills!I24/Skills!H24,1)+IF(Skills!H24&gt;0,MIN(Skills!I24,MAX(0,Inputs!$B$35-((S728-1)*IF(Inputs!$B$4="pvp",15,MAX(0.1,Skills!E24-IF(Skills!F24=TRUE,Inputs!$B$31,0))))))/Skills!H24,1)))/Inputs!$B$35),G728*V728)*(1+IF(Inputs!$B$3&gt;=130,0.2*(Skills!I16/Skills!E15+IF(Inputs!$B$3&gt;=126,0.05*(B740+V717+(H718*B741)/(1+Skills!H14*H718*B741)+V728),0)*Skills!I16),0))*IF(Inputs!$B$4="pvp",1,(1-Summary!$B$56)*(1)+Summary!$B$56*(MIN(Skills!R24,Inputs!$B$37))),0)</f>
        <v>0</v>
      </c>
      <c r="P728">
        <f>IF(B743=0,0,O728/B743)</f>
        <v>0</v>
      </c>
      <c r="S728">
        <f>IF(AND(Inputs!$B$4&lt;&gt;"pvp",Inputs!$B$35&gt;0),(INT(Inputs!$B$35/IF(Inputs!$B$4="pvp",15,MAX(0.1,Skills!E24-IF(Skills!F24=TRUE,Inputs!$B$31,0))))+1),0)</f>
        <v>0</v>
      </c>
      <c r="V728">
        <f>IFERROR(1/IF(Inputs!$B$4="pvp",15,MAX(0.1,Skills!E24-IF(Skills!F24=TRUE,Inputs!$B$31,0))),0)</f>
        <v>1.2500000000000001E-2</v>
      </c>
    </row>
    <row r="729" spans="1:22" x14ac:dyDescent="0.2">
      <c r="A729" t="str">
        <f>Skills!A25</f>
        <v>BUFF_MASTERY</v>
      </c>
      <c r="B729" t="str">
        <f>Skills!B25</f>
        <v>Buff Mastery</v>
      </c>
      <c r="C729" t="b">
        <f>Inputs!$B$3&gt;=117</f>
        <v>0</v>
      </c>
      <c r="D729">
        <f>IF(Skills!C25=1,60+Inputs!$B$24+Inputs!$B$28,IF(Skills!C25=2,90+(Inputs!$B$25+1)+Inputs!$B$28,IF(Skills!C25=3,120+Inputs!$B$26+Inputs!$B$28,MAX(0,(Inputs!$B$3-100)*3)+Inputs!$B$27+Inputs!$B$28)))</f>
        <v>172</v>
      </c>
      <c r="E729">
        <f>INDEX(FactorTable!$B$2:$Y$301, MATCH(ROUND(MIN(300,MAX(1,D729)),0), FactorTable!$A$2:$A$301,0), Skills!M25+1)</f>
        <v>1516</v>
      </c>
      <c r="F729">
        <f>IF(Skills!N25=TRUE,(Skills!L25/10)*(E729/1000),Skills!L25/10)+Skills!O25</f>
        <v>15.16</v>
      </c>
      <c r="G729">
        <f>Calc!G25</f>
        <v>1</v>
      </c>
      <c r="H729">
        <f>Calc!H25</f>
        <v>1</v>
      </c>
      <c r="I729">
        <f>IF(Skills!X25&lt;&gt;"",1+(Skills!X25/10)*(R707/1000)/100,1)</f>
        <v>1</v>
      </c>
      <c r="O729">
        <v>0</v>
      </c>
      <c r="P729">
        <f>IF(B743=0,0,O729/B743)</f>
        <v>0</v>
      </c>
      <c r="S729">
        <v>0</v>
      </c>
      <c r="V729">
        <f>IFERROR(1/IF(Inputs!$B$4="pvp",15,MAX(0.1,Skills!E25-IF(Skills!F25=TRUE,Inputs!$B$31,0))),0)</f>
        <v>10</v>
      </c>
    </row>
    <row r="730" spans="1:22" x14ac:dyDescent="0.2">
      <c r="A730" t="str">
        <f>Skills!A26</f>
        <v>ARCANE_AIM</v>
      </c>
      <c r="B730" t="str">
        <f>Skills!B26</f>
        <v>Arcane Aim</v>
      </c>
      <c r="C730" t="b">
        <f>Inputs!$B$3&gt;=120</f>
        <v>0</v>
      </c>
      <c r="D730">
        <f>IF(Skills!C26=1,60+Inputs!$B$24+Inputs!$B$28,IF(Skills!C26=2,90+(Inputs!$B$25+1)+Inputs!$B$28,IF(Skills!C26=3,120+Inputs!$B$26+Inputs!$B$28,MAX(0,(Inputs!$B$3-100)*3)+Inputs!$B$27+Inputs!$B$28)))</f>
        <v>172</v>
      </c>
      <c r="E730">
        <f>INDEX(FactorTable!$B$2:$Y$301, MATCH(ROUND(MIN(300,MAX(1,D730)),0), FactorTable!$A$2:$A$301,0), Skills!M26+1)</f>
        <v>1516</v>
      </c>
      <c r="F730">
        <f>IF(Skills!N26=TRUE,(Skills!L26/10)*(E730/1000),Skills!L26/10)+Skills!O26</f>
        <v>4.548</v>
      </c>
      <c r="G730">
        <f>Calc!G26</f>
        <v>1</v>
      </c>
      <c r="H730">
        <f>Calc!H26</f>
        <v>1</v>
      </c>
      <c r="I730">
        <f>IF(Skills!X26&lt;&gt;"",1+(Skills!X26/10)*(R707/1000)/100,1)</f>
        <v>1</v>
      </c>
      <c r="O730">
        <v>0</v>
      </c>
      <c r="P730">
        <f>IF(B743=0,0,O730/B743)</f>
        <v>0</v>
      </c>
      <c r="S730">
        <v>0</v>
      </c>
      <c r="V730">
        <f>IFERROR(1/IF(Inputs!$B$4="pvp",15,MAX(0.1,Skills!E26-IF(Skills!F26=TRUE,Inputs!$B$31,0))),0)</f>
        <v>10</v>
      </c>
    </row>
    <row r="731" spans="1:22" x14ac:dyDescent="0.2">
      <c r="A731" t="str">
        <f>Skills!A27</f>
        <v>FERVENT_DRAIN</v>
      </c>
      <c r="B731" t="str">
        <f>Skills!B27</f>
        <v>Fervent Drain</v>
      </c>
      <c r="C731" t="b">
        <f>Inputs!$B$3&gt;=125</f>
        <v>0</v>
      </c>
      <c r="D731">
        <f>IF(Skills!C27=1,60+Inputs!$B$24+Inputs!$B$28,IF(Skills!C27=2,90+(Inputs!$B$25+1)+Inputs!$B$28,IF(Skills!C27=3,120+Inputs!$B$26+Inputs!$B$28,MAX(0,(Inputs!$B$3-100)*3)+Inputs!$B$27+Inputs!$B$28)))</f>
        <v>172</v>
      </c>
      <c r="E731">
        <f>INDEX(FactorTable!$B$2:$Y$301, MATCH(ROUND(MIN(300,MAX(1,D731)),0), FactorTable!$A$2:$A$301,0), Skills!M27+1)</f>
        <v>1516</v>
      </c>
      <c r="F731">
        <f>IF(Skills!N27=TRUE,(Skills!L27/10)*(E731/1000),Skills!L27/10)+Skills!O27</f>
        <v>6.0640000000000001</v>
      </c>
      <c r="G731">
        <f>Calc!G27</f>
        <v>1</v>
      </c>
      <c r="H731">
        <f>Calc!H27</f>
        <v>1</v>
      </c>
      <c r="I731">
        <f>IF(Skills!X27&lt;&gt;"",1+(Skills!X27/10)*(R707/1000)/100,1)</f>
        <v>1</v>
      </c>
      <c r="O731">
        <v>0</v>
      </c>
      <c r="P731">
        <f>IF(B743=0,0,O731/B743)</f>
        <v>0</v>
      </c>
      <c r="S731">
        <v>0</v>
      </c>
      <c r="V731">
        <f>IFERROR(1/IF(Inputs!$B$4="pvp",15,MAX(0.1,Skills!E27-IF(Skills!F27=TRUE,Inputs!$B$31,0))),0)</f>
        <v>10</v>
      </c>
    </row>
    <row r="732" spans="1:22" x14ac:dyDescent="0.2">
      <c r="A732" t="str">
        <f>Skills!A28</f>
        <v>FLAME_HAZE_FOG</v>
      </c>
      <c r="B732" t="str">
        <f>Skills!B28</f>
        <v>Flame Haze (poison fog DoT)</v>
      </c>
      <c r="C732" t="b">
        <f>Inputs!$B$3&gt;=118</f>
        <v>0</v>
      </c>
      <c r="D732">
        <f>IF(Skills!C28=1,60+Inputs!$B$24+Inputs!$B$28,IF(Skills!C28=2,90+(Inputs!$B$25+1)+Inputs!$B$28,IF(Skills!C28=3,120+Inputs!$B$26+Inputs!$B$28,MAX(0,(Inputs!$B$3-100)*3)+Inputs!$B$27+Inputs!$B$28)))</f>
        <v>172</v>
      </c>
      <c r="E732">
        <f>INDEX(FactorTable!$B$2:$Y$301, MATCH(ROUND(MIN(300,MAX(1,D732)),0), FactorTable!$A$2:$A$301,0), Skills!M28+1)</f>
        <v>1860</v>
      </c>
      <c r="F732">
        <f>IF(Skills!N28=TRUE,(Skills!L28/10)*(E732/1000),Skills!L28/10)+Skills!O28</f>
        <v>130.20000000000002</v>
      </c>
      <c r="G732">
        <f>Calc!G28</f>
        <v>50</v>
      </c>
      <c r="H732">
        <f>Calc!H28</f>
        <v>1</v>
      </c>
      <c r="I732">
        <f>IF(Skills!X28&lt;&gt;"",1+(Skills!X28/10)*(R707/1000)/100,1)</f>
        <v>1</v>
      </c>
      <c r="J732">
        <f>((Inputs!$B$5*(1+Inputs!$B$6/100))+((Inputs!$B$11*(1+Inputs!$B$12/100))-(Inputs!$B$11*(1+Inputs!$B$12/100)))*(1+Inputs!$B$6/100))*(F732/100)</f>
        <v>325279990.81065607</v>
      </c>
      <c r="K732">
        <f>J732*(1+((Inputs!$B$11*(1+Inputs!$B$12/100))*0.01+Inputs!$B$13*0.0025)/100)*(1+Inputs!$B$14/100)*(1+IF(Inputs!$B$4="pvp",0,(1-Summary!$B$56)*(Inputs!$B$19+Skills!P28)+Summary!$B$56*(Inputs!$B$20+Skills!Q28))/100)*(1+Inputs!$B$15/100)*(5000/(6000+Inputs!$B$7*(1-Inputs!$B$18/100)))*(1+Inputs!$B$23/100)*(1+F727/100)*(1+IF(Inputs!$B$3&gt;=120,F730,0)/100)^5*(1+(IF(Skills!A28="BASIC_ATTACK",Inputs!$B$16,Inputs!$B$17+IF(Inputs!$B$3&gt;=125,F731*5,0)))/100)*(B734*B735*B736*I732)</f>
        <v>2475436394481.4258</v>
      </c>
      <c r="L732">
        <f>K732*(MIN(Inputs!$B$21+(F726-Calc!F22),Inputs!$B$22)/100+Inputs!$B$22/100)/2</f>
        <v>6682997520091.3672</v>
      </c>
      <c r="M732">
        <f>L732*(1+(Inputs!$B$9+(F725-Calc!F21))/100)</f>
        <v>28008442606702.926</v>
      </c>
      <c r="N732">
        <f>L732*(1-MIN(Inputs!$B$8+(F724-Calc!F20),100)/100)+M732*(MIN(Inputs!$B$8+(F724-Calc!F20),100)/100)</f>
        <v>28008442606702.926</v>
      </c>
      <c r="O732">
        <f>IF(C732,H732*N732*IF(AND(Inputs!$B$4&lt;&gt;"pvp",Inputs!$B$35&gt;0),((Skills!G28*((S732-1)*IF(Skills!H28&gt;0,Skills!I28/Skills!H28,1)+IF(Skills!H28&gt;0,MIN(Skills!I28,MAX(0,Inputs!$B$35-((S732-1)*IF(Inputs!$B$4="pvp",15,MAX(0.1,Skills!E28-IF(Skills!F28=TRUE,Inputs!$B$31,0))))))/Skills!H28,1)))/Inputs!$B$35),G732*V732)*IF(Inputs!$B$4="pvp",1,(1-Summary!$B$56)*(1)+Summary!$B$56*(MIN(Skills!R28,Inputs!$B$37))),0)</f>
        <v>0</v>
      </c>
      <c r="P732">
        <f>IF(B743=0,0,O732/B743)</f>
        <v>0</v>
      </c>
      <c r="S732">
        <f>IF(AND(Inputs!$B$4&lt;&gt;"pvp",Inputs!$B$35&gt;0),(INT(Inputs!$B$35/IF(Inputs!$B$4="pvp",15,MAX(0.1,Skills!E28-IF(Skills!F28=TRUE,Inputs!$B$31,0))))+1),0)</f>
        <v>0</v>
      </c>
      <c r="V732">
        <f>IFERROR(1/IF(Inputs!$B$4="pvp",15,MAX(0.1,Skills!E28-IF(Skills!F28=TRUE,Inputs!$B$31,0))),0)</f>
        <v>0.04</v>
      </c>
    </row>
    <row r="734" spans="1:22" x14ac:dyDescent="0.2">
      <c r="A734" t="s">
        <v>222</v>
      </c>
      <c r="B734">
        <f>1+(F715*Skills!Z11)/100</f>
        <v>1.25</v>
      </c>
    </row>
    <row r="735" spans="1:22" x14ac:dyDescent="0.2">
      <c r="A735" t="s">
        <v>223</v>
      </c>
      <c r="B735">
        <f>1+F716/100</f>
        <v>1.18624</v>
      </c>
    </row>
    <row r="736" spans="1:22" x14ac:dyDescent="0.2">
      <c r="A736" t="s">
        <v>224</v>
      </c>
      <c r="B736">
        <f>(1+(F710*IF(AND(Inputs!$B$4&lt;&gt;"pvp",Inputs!$B$35&gt;0),(((S710-1)*(Skills!T6*(1+(Inputs!$B$33+IF(Inputs!$B$3&gt;=117,F729,0))/100))+MIN((Skills!T6*(1+(Inputs!$B$33+IF(Inputs!$B$3&gt;=117,F729,0))/100)),MAX(0,Inputs!$B$35-((S710-1)*Skills!E6))))/Inputs!$B$35),IF(Inputs!$B$4="pvp",MIN((Skills!T6*(1+(Inputs!$B$33+IF(Inputs!$B$3&gt;=117,F729,0))/100)),15)/15,(Skills!T6*(1+(Inputs!$B$33+IF(Inputs!$B$3&gt;=117,F729,0))/100))/Skills!E6))+F721*IF(AND(Inputs!$B$4&lt;&gt;"pvp",Inputs!$B$35&gt;0),(((S721-1)*(Skills!T17*(1+(Inputs!$B$33+IF(Inputs!$B$3&gt;=117,F729,0))/100))+MIN((Skills!T17*(1+(Inputs!$B$33+IF(Inputs!$B$3&gt;=117,F729,0))/100)),MAX(0,Inputs!$B$35-((S721-1)*Skills!E17))))/Inputs!$B$35),IF(Inputs!$B$4="pvp",MIN((Skills!T17*(1+(Inputs!$B$33+IF(Inputs!$B$3&gt;=117,F729,0))/100)),15)/15,(Skills!T17*(1+(Inputs!$B$33+IF(Inputs!$B$3&gt;=117,F729,0))/100))/Skills!E17)))/100)*IF(C723=TRUE,(1+F723*IF(AND(Inputs!$B$4&lt;&gt;"pvp",Inputs!$B$35&gt;0),(((S723-1)*(Skills!T19*(1+(Inputs!$B$33+IF(Inputs!$B$3&gt;=117,F729,0))/100))+MIN((Skills!T19*(1+(Inputs!$B$33+IF(Inputs!$B$3&gt;=117,F729,0))/100)),MAX(0,Inputs!$B$35-((S723-1)*Skills!E19))))/Inputs!$B$35),IF(Inputs!$B$4="pvp",MIN((Skills!T19*(1+(Inputs!$B$33+IF(Inputs!$B$3&gt;=117,F729,0))/100)),15)/15,(Skills!T19*(1+(Inputs!$B$33+IF(Inputs!$B$3&gt;=117,F729,0))/100))/Skills!E19))/100),1)</f>
        <v>1.5607878297922855</v>
      </c>
    </row>
    <row r="737" spans="1:22" x14ac:dyDescent="0.2">
      <c r="A737" t="s">
        <v>225</v>
      </c>
      <c r="B737">
        <f>F722*IF(AND(Inputs!$B$4&lt;&gt;"pvp",Inputs!$B$35&gt;0),(((S722-1)*(Skills!T18*(1+(Inputs!$B$33+IF(Inputs!$B$3&gt;=117,F729,0))/100))+MIN((Skills!T18*(1+(Inputs!$B$33+IF(Inputs!$B$3&gt;=117,F729,0))/100)),MAX(0,Inputs!$B$35-((S722-1)*Skills!E18))))/Inputs!$B$35),IF(Inputs!$B$4="pvp",MIN((Skills!T18*(1+(Inputs!$B$33+IF(Inputs!$B$3&gt;=117,F729,0))/100)),15)/15,(Skills!T18*(1+(Inputs!$B$33+IF(Inputs!$B$3&gt;=117,F729,0))/100))/Skills!E18))</f>
        <v>3.75</v>
      </c>
    </row>
    <row r="738" spans="1:22" x14ac:dyDescent="0.2">
      <c r="A738" t="s">
        <v>253</v>
      </c>
      <c r="B738">
        <f>1+MIN(150,150*(1-(1-Inputs!$B$10/150)*(1-B737/150)))/100</f>
        <v>1.6371249999999999</v>
      </c>
    </row>
    <row r="739" spans="1:22" x14ac:dyDescent="0.2">
      <c r="A739" t="s">
        <v>254</v>
      </c>
      <c r="B739">
        <f>IF(AND(Inputs!$B$4&lt;&gt;"pvp",Inputs!$B$35&gt;0),SUMPRODUCT((Skills!F2:F28=TRUE)*(C706:C732=TRUE)*S706:S732)/Inputs!$B$35,SUMPRODUCT((Skills!F2:F28=TRUE)*(C706:C732=TRUE)*V706:V732))</f>
        <v>0.33466433037861604</v>
      </c>
    </row>
    <row r="740" spans="1:22" x14ac:dyDescent="0.2">
      <c r="A740" t="s">
        <v>228</v>
      </c>
      <c r="B740">
        <f>MAX(0,B738-B739)</f>
        <v>1.3024606696213838</v>
      </c>
    </row>
    <row r="741" spans="1:22" x14ac:dyDescent="0.2">
      <c r="A741" t="s">
        <v>255</v>
      </c>
      <c r="B741">
        <f>IF(AND(Inputs!$B$4&lt;&gt;"pvp",Inputs!$B$35&gt;0),SUMPRODUCT((Skills!V2:V28=TRUE)*(C706:C732=TRUE)*S706:S732*Skills!W2:W28)/Inputs!$B$35,SUMPRODUCT((Skills!V2:V28=TRUE)*(C706:C732=TRUE)*V706:V732*Skills!W2:W28))+B740</f>
        <v>1.5297416426166426</v>
      </c>
    </row>
    <row r="743" spans="1:22" x14ac:dyDescent="0.2">
      <c r="A743" s="5" t="s">
        <v>208</v>
      </c>
      <c r="B743" s="5">
        <f>SUM(O706:O732)</f>
        <v>8344736469180239</v>
      </c>
    </row>
    <row r="746" spans="1:22" x14ac:dyDescent="0.2">
      <c r="A746" s="5" t="s">
        <v>272</v>
      </c>
    </row>
    <row r="747" spans="1:22" x14ac:dyDescent="0.2">
      <c r="A747" s="8" t="s">
        <v>74</v>
      </c>
      <c r="B747" s="8" t="s">
        <v>75</v>
      </c>
      <c r="C747" s="8" t="s">
        <v>190</v>
      </c>
      <c r="D747" s="8" t="s">
        <v>191</v>
      </c>
      <c r="E747" s="8" t="s">
        <v>192</v>
      </c>
      <c r="F747" s="8" t="s">
        <v>193</v>
      </c>
      <c r="G747" s="8" t="s">
        <v>194</v>
      </c>
      <c r="H747" s="8" t="s">
        <v>195</v>
      </c>
      <c r="I747" s="8" t="s">
        <v>196</v>
      </c>
      <c r="J747" s="8" t="s">
        <v>197</v>
      </c>
      <c r="K747" s="8" t="s">
        <v>198</v>
      </c>
      <c r="L747" s="8" t="s">
        <v>199</v>
      </c>
      <c r="M747" s="8" t="s">
        <v>200</v>
      </c>
      <c r="N747" s="8" t="s">
        <v>201</v>
      </c>
      <c r="O747" s="8" t="s">
        <v>202</v>
      </c>
      <c r="P747" s="8" t="s">
        <v>203</v>
      </c>
      <c r="R747" t="s">
        <v>252</v>
      </c>
    </row>
    <row r="748" spans="1:22" x14ac:dyDescent="0.2">
      <c r="A748" t="str">
        <f>Skills!A2</f>
        <v>BASIC_ATTACK</v>
      </c>
      <c r="B748" t="str">
        <f>Skills!B2</f>
        <v>Basic Attack</v>
      </c>
      <c r="C748" t="b">
        <f>TRUE</f>
        <v>1</v>
      </c>
      <c r="F748">
        <f>T750+Skills!O2</f>
        <v>510.52</v>
      </c>
      <c r="G748">
        <f>Calc!G2</f>
        <v>5</v>
      </c>
      <c r="H748">
        <f>Calc!H2</f>
        <v>1</v>
      </c>
      <c r="I748">
        <f>IF(Skills!X2&lt;&gt;"",1+(Skills!X2/10)*(R749/1000)/100,1)</f>
        <v>1</v>
      </c>
      <c r="J748">
        <f>((Inputs!$B$5*(1+Inputs!$B$6/100))+((Inputs!$B$11*(1+Inputs!$B$12/100))-(Inputs!$B$11*(1+Inputs!$B$12/100)))*(1+Inputs!$B$6/100))*(F748/100)</f>
        <v>1275437334.1678655</v>
      </c>
      <c r="K748">
        <f>J748*(1+((Inputs!$B$11*(1+Inputs!$B$12/100))*0.01+Inputs!$B$13*0.0025)/100)*(1+Inputs!$B$14/100)*(1+IF(Inputs!$B$4="pvp",0,(1-Summary!$B$56)*(Inputs!$B$19+Skills!P2)+Summary!$B$56*(Inputs!$B$20+Skills!Q2))/100)*(1+Inputs!$B$15/100)*(5000/(6000+Inputs!$B$7*(1-Inputs!$B$18/100)))*(1+Inputs!$B$23/100)*(1+F769/100)*(1+IF(Inputs!$B$3&gt;=120,F772,0)/100)^5*(1+(IF(Skills!A2="BASIC_ATTACK",Inputs!$B$16,Inputs!$B$17+IF(Inputs!$B$3&gt;=125,F773*5,0)))/100)*(B776*B777*B778*I748)</f>
        <v>6963065076739.7627</v>
      </c>
      <c r="L748">
        <f>K748*(MIN(Inputs!$B$21+(F768-Calc!F22),Inputs!$B$22)/100+Inputs!$B$22/100)/2</f>
        <v>18796794174658.988</v>
      </c>
      <c r="M748">
        <f>L748*(1+(Inputs!$B$9+(F767-Calc!F21))/100)</f>
        <v>78784131231898.703</v>
      </c>
      <c r="N748">
        <f>L748*(1-MIN(Inputs!$B$8+(F766-Calc!F20),100)/100)+M748*(MIN(Inputs!$B$8+(F766-Calc!F20),100)/100)</f>
        <v>78784131231898.703</v>
      </c>
      <c r="O748">
        <f>Skills!G2*N748*B782*IF(Inputs!$B$4="pvp",1,(1-Summary!$B$56)*(1)+Summary!$B$56*(MIN((6+Inputs!$B$32+IF(Inputs!$B$3&gt;=136,1,0)),Inputs!$B$37)))</f>
        <v>3899302828153835</v>
      </c>
      <c r="P748">
        <f>IF(B785=0,0,O748/B785)</f>
        <v>0.46726559538935525</v>
      </c>
      <c r="R748">
        <f>MAX(0,(Inputs!$B$3-100)*3)+Inputs!$B$27+Inputs!$B$28</f>
        <v>172</v>
      </c>
      <c r="S748">
        <v>0</v>
      </c>
      <c r="T748">
        <f>MAX(0,(Inputs!$B$3-100)*3)+Inputs!$B$27+Inputs!$B$28</f>
        <v>172</v>
      </c>
      <c r="V748">
        <f>IFERROR(1/IF(Inputs!$B$4="pvp",15,MAX(0.1,Skills!E2-IF(Skills!F2=TRUE,Inputs!$B$31,0))),0)</f>
        <v>10</v>
      </c>
    </row>
    <row r="749" spans="1:22" x14ac:dyDescent="0.2">
      <c r="A749" t="str">
        <f>Skills!A3</f>
        <v>IGNITE</v>
      </c>
      <c r="B749" t="str">
        <f>Skills!B3</f>
        <v>Ignite</v>
      </c>
      <c r="C749" t="b">
        <f>TRUE</f>
        <v>1</v>
      </c>
      <c r="D749">
        <f>IF(Skills!C3=1,60+Inputs!$B$24+Inputs!$B$28,IF(Skills!C3=2,90+Inputs!$B$25+Inputs!$B$28,IF(Skills!C3=3,120+(Inputs!$B$26+1)+Inputs!$B$28,MAX(0,(Inputs!$B$3-100)*3)+Inputs!$B$27+Inputs!$B$28)))</f>
        <v>164</v>
      </c>
      <c r="E749">
        <f>INDEX(FactorTable!$B$2:$Y$301, MATCH(ROUND(MIN(300,MAX(1,D749)),0), FactorTable!$A$2:$A$301,0), Skills!M3+1)</f>
        <v>1656</v>
      </c>
      <c r="F749">
        <f>IF(Skills!N3=TRUE,(Skills!L3/10)*(E749/1000),Skills!L3/10)+Skills!O3</f>
        <v>121.52799999999999</v>
      </c>
      <c r="G749">
        <f>Calc!G3</f>
        <v>3</v>
      </c>
      <c r="H749">
        <f>Calc!H3</f>
        <v>1</v>
      </c>
      <c r="I749">
        <f>IF(Skills!X3&lt;&gt;"",1+(Skills!X3/10)*(R749/1000)/100,1)</f>
        <v>4.76</v>
      </c>
      <c r="J749">
        <f>((Inputs!$B$5*(1+Inputs!$B$6/100))+((Inputs!$B$11*(1+Inputs!$B$12/100))-(Inputs!$B$11*(1+Inputs!$B$12/100)))*(1+Inputs!$B$6/100))*(F749/100)</f>
        <v>303614644.57171583</v>
      </c>
      <c r="K749">
        <f>J749*(1+((Inputs!$B$11*(1+Inputs!$B$12/100))*0.01+Inputs!$B$13*0.0025)/100)*(1+Inputs!$B$14/100)*(1+IF(Inputs!$B$4="pvp",0,(1-Summary!$B$56)*(Inputs!$B$19+Skills!P3)+Summary!$B$56*(Inputs!$B$20+Skills!Q3))/100)*(1+Inputs!$B$15/100)*(5000/(6000+Inputs!$B$7*(1-Inputs!$B$18/100)))*(1+Inputs!$B$23/100)*(1+F769/100)*(1+IF(Inputs!$B$3&gt;=120,F772,0)/100)^5*(1+(IF(Skills!A3="BASIC_ATTACK",Inputs!$B$16,Inputs!$B$17+IF(Inputs!$B$3&gt;=125,F773*5,0)))/100)*(B776*B777*B778*I749)</f>
        <v>10998348783344.506</v>
      </c>
      <c r="L749">
        <f>K749*(MIN(Inputs!$B$21+(F768-Calc!F22),Inputs!$B$22)/100+Inputs!$B$22/100)/2</f>
        <v>29690042540638.488</v>
      </c>
      <c r="M749">
        <f>L749*(1+(Inputs!$B$9+(F767-Calc!F21))/100)</f>
        <v>124441656703130.55</v>
      </c>
      <c r="N749">
        <f>L749*(1-MIN(Inputs!$B$8+(F766-Calc!F20),100)/100)+M749*(MIN(Inputs!$B$8+(F766-Calc!F20),100)/100)</f>
        <v>124441656703130.55</v>
      </c>
      <c r="O749">
        <f>IF(C749,H749*N749*IF(AND(Inputs!$B$4&lt;&gt;"pvp",Inputs!$B$35&gt;0),((Skills!G3*((S749-1)*IF(Skills!H3&gt;0,Skills!I3/Skills!H3,1)+IF(Skills!H3&gt;0,MIN(Skills!I3,MAX(0,Inputs!$B$35-((S749-1)*IF(Inputs!$B$4="pvp",15,MAX(0.1,Skills!E3-IF(Skills!F3=TRUE,Inputs!$B$31,0))))))/Skills!H3,1)))/Inputs!$B$35),G749*V749)*IF(Inputs!$B$4="pvp",1,(1-Summary!$B$56)*(1)+Summary!$B$56*(MIN(Skills!R3,Inputs!$B$37))),0)</f>
        <v>821314934240661.5</v>
      </c>
      <c r="P749">
        <f>IF(B785=0,0,O749/B785)</f>
        <v>9.8420725104808746E-2</v>
      </c>
      <c r="R749">
        <f>INDEX(FactorTable!$B$2:$Y$301, MATCH(ROUND(MIN(300,MAX(1,R748)),0), FactorTable!$A$2:$A$301,0), 24)</f>
        <v>7520</v>
      </c>
      <c r="S749">
        <f>IF(AND(Inputs!$B$4&lt;&gt;"pvp",Inputs!$B$35&gt;0),(INT(Inputs!$B$35/IF(Inputs!$B$4="pvp",15,MAX(0.1,Skills!E3-IF(Skills!F3=TRUE,Inputs!$B$31,0))))+1),0)</f>
        <v>0</v>
      </c>
      <c r="T749">
        <f>INDEX(FactorTable!$B$2:$Y$301, MATCH(ROUND(MIN(300,MAX(1,T748)),0), FactorTable!$A$2:$A$301,0), 22)</f>
        <v>1688</v>
      </c>
      <c r="V749">
        <f>IFERROR(1/IF(Inputs!$B$4="pvp",15,MAX(0.1,Skills!E3-IF(Skills!F3=TRUE,Inputs!$B$31,0))),0)</f>
        <v>1</v>
      </c>
    </row>
    <row r="750" spans="1:22" x14ac:dyDescent="0.2">
      <c r="A750" t="str">
        <f>Skills!A4</f>
        <v>POISON_BREATH</v>
      </c>
      <c r="B750" t="str">
        <f>Skills!B4</f>
        <v>Poison Breath</v>
      </c>
      <c r="C750" t="b">
        <f>TRUE</f>
        <v>1</v>
      </c>
      <c r="D750">
        <f>IF(Skills!C4=1,60+Inputs!$B$24+Inputs!$B$28,IF(Skills!C4=2,90+Inputs!$B$25+Inputs!$B$28,IF(Skills!C4=3,120+(Inputs!$B$26+1)+Inputs!$B$28,MAX(0,(Inputs!$B$3-100)*3)+Inputs!$B$27+Inputs!$B$28)))</f>
        <v>164</v>
      </c>
      <c r="E750">
        <f>INDEX(FactorTable!$B$2:$Y$301, MATCH(ROUND(MIN(300,MAX(1,D750)),0), FactorTable!$A$2:$A$301,0), Skills!M4+1)</f>
        <v>1820</v>
      </c>
      <c r="F750">
        <f>IF(Skills!N4=TRUE,(Skills!L4/10)*(E750/1000),Skills!L4/10)+Skills!O4</f>
        <v>434</v>
      </c>
      <c r="G750">
        <f>Calc!G4</f>
        <v>3</v>
      </c>
      <c r="H750">
        <f>Calc!H4</f>
        <v>1</v>
      </c>
      <c r="I750">
        <f>IF(Skills!X4&lt;&gt;"",1+(Skills!X4/10)*(R749/1000)/100,1)</f>
        <v>7.0159999999999991</v>
      </c>
      <c r="J750">
        <f>((Inputs!$B$5*(1+Inputs!$B$6/100))+((Inputs!$B$11*(1+Inputs!$B$12/100))-(Inputs!$B$11*(1+Inputs!$B$12/100)))*(1+Inputs!$B$6/100))*(F750/100)</f>
        <v>1084266636.0355198</v>
      </c>
      <c r="K750">
        <f>J750*(1+((Inputs!$B$11*(1+Inputs!$B$12/100))*0.01+Inputs!$B$13*0.0025)/100)*(1+Inputs!$B$14/100)*(1+IF(Inputs!$B$4="pvp",0,(1-Summary!$B$56)*(Inputs!$B$19+Skills!P4)+Summary!$B$56*(Inputs!$B$20+Skills!Q4))/100)*(1+Inputs!$B$15/100)*(5000/(6000+Inputs!$B$7*(1-Inputs!$B$18/100)))*(1+Inputs!$B$23/100)*(1+F769/100)*(1+IF(Inputs!$B$3&gt;=120,F772,0)/100)^5*(1+(IF(Skills!A4="BASIC_ATTACK",Inputs!$B$16,Inputs!$B$17+IF(Inputs!$B$3&gt;=125,F773*5,0)))/100)*(B776*B777*B778*I750)</f>
        <v>57892658650978.906</v>
      </c>
      <c r="L750">
        <f>K750*(MIN(Inputs!$B$21+(F768-Calc!F22),Inputs!$B$22)/100+Inputs!$B$22/100)/2</f>
        <v>156281232028317.53</v>
      </c>
      <c r="M750">
        <f>L750*(1+(Inputs!$B$9+(F767-Calc!F21))/100)</f>
        <v>655030904674209</v>
      </c>
      <c r="N750">
        <f>L750*(1-MIN(Inputs!$B$8+(F766-Calc!F20),100)/100)+M750*(MIN(Inputs!$B$8+(F766-Calc!F20),100)/100)</f>
        <v>655030904674209</v>
      </c>
      <c r="O750">
        <f>IF(C750,H750*N750*IF(AND(Inputs!$B$4&lt;&gt;"pvp",Inputs!$B$35&gt;0),((Skills!G4*((S750-1)*IF(Skills!H4&gt;0,Skills!I4/Skills!H4,1)+IF(Skills!H4&gt;0,MIN(Skills!I4,MAX(0,Inputs!$B$35-((S750-1)*IF(Inputs!$B$4="pvp",15,MAX(0.1,Skills!E4-IF(Skills!F4=TRUE,Inputs!$B$31,0))))))/Skills!H4,1)))/Inputs!$B$35),G750*V750)*IF(Inputs!$B$4="pvp",1,(1-Summary!$B$56)*(1)+Summary!$B$56*(MIN(Skills!R4,Inputs!$B$37))),0)</f>
        <v>436687269782805.94</v>
      </c>
      <c r="P750">
        <f>IF(B785=0,0,O750/B785)</f>
        <v>5.232959482929514E-2</v>
      </c>
      <c r="S750">
        <f>IF(AND(Inputs!$B$4&lt;&gt;"pvp",Inputs!$B$35&gt;0),(INT(Inputs!$B$35/IF(Inputs!$B$4="pvp",15,MAX(0.1,Skills!E4-IF(Skills!F4=TRUE,Inputs!$B$31,0))))+1),0)</f>
        <v>0</v>
      </c>
      <c r="T750">
        <f>290*T749/1000</f>
        <v>489.52</v>
      </c>
      <c r="V750">
        <f>IFERROR(1/IF(Inputs!$B$4="pvp",15,MAX(0.1,Skills!E4-IF(Skills!F4=TRUE,Inputs!$B$31,0))),0)</f>
        <v>5.5555555555555552E-2</v>
      </c>
    </row>
    <row r="751" spans="1:22" x14ac:dyDescent="0.2">
      <c r="A751" t="str">
        <f>Skills!A5</f>
        <v>ELEMENTAL_DRAIN</v>
      </c>
      <c r="B751" t="str">
        <f>Skills!B5</f>
        <v>Elemental Drain</v>
      </c>
      <c r="C751" t="b">
        <f>TRUE</f>
        <v>1</v>
      </c>
      <c r="D751">
        <f>IF(Skills!C5=1,60+Inputs!$B$24+Inputs!$B$28,IF(Skills!C5=2,90+Inputs!$B$25+Inputs!$B$28,IF(Skills!C5=3,120+(Inputs!$B$26+1)+Inputs!$B$28,MAX(0,(Inputs!$B$3-100)*3)+Inputs!$B$27+Inputs!$B$28)))</f>
        <v>164</v>
      </c>
      <c r="E751">
        <f>INDEX(FactorTable!$B$2:$Y$301, MATCH(ROUND(MIN(300,MAX(1,D751)),0), FactorTable!$A$2:$A$301,0), Skills!M5+1)</f>
        <v>1656</v>
      </c>
      <c r="F751">
        <f>IF(Skills!N5=TRUE,(Skills!L5/10)*(E751/1000),Skills!L5/10)+Skills!O5</f>
        <v>19.872</v>
      </c>
      <c r="G751">
        <f>Calc!G5</f>
        <v>5</v>
      </c>
      <c r="H751">
        <f>Calc!H5</f>
        <v>1</v>
      </c>
      <c r="I751">
        <f>IF(Skills!X5&lt;&gt;"",1+(Skills!X5/10)*(R749/1000)/100,1)</f>
        <v>12.28</v>
      </c>
      <c r="J751">
        <f>((Inputs!$B$5*(1+Inputs!$B$6/100))+((Inputs!$B$11*(1+Inputs!$B$12/100))-(Inputs!$B$11*(1+Inputs!$B$12/100)))*(1+Inputs!$B$6/100))*(F751/100)</f>
        <v>49646420.717276163</v>
      </c>
      <c r="K751">
        <f>J751*(1+((Inputs!$B$11*(1+Inputs!$B$12/100))*0.01+Inputs!$B$13*0.0025)/100)*(1+Inputs!$B$14/100)*(1+IF(Inputs!$B$4="pvp",0,(1-Summary!$B$56)*(Inputs!$B$19+Skills!P5)+Summary!$B$56*(Inputs!$B$20+Skills!Q5))/100)*(1+Inputs!$B$15/100)*(5000/(6000+Inputs!$B$7*(1-Inputs!$B$18/100)))*(1+Inputs!$B$23/100)*(1+F769/100)*(1+IF(Inputs!$B$3&gt;=120,F772,0)/100)^5*(1+(IF(Skills!A5="BASIC_ATTACK",Inputs!$B$16,Inputs!$B$17+IF(Inputs!$B$3&gt;=125,F773*5,0)))/100)*(B776*B777*B778*I751)</f>
        <v>4639638353975.1377</v>
      </c>
      <c r="L751">
        <f>K751*(MIN(Inputs!$B$21+(F768-Calc!F22),Inputs!$B$22)/100+Inputs!$B$22/100)/2</f>
        <v>12524703736555.883</v>
      </c>
      <c r="M751">
        <f>L751*(1+(Inputs!$B$9+(F767-Calc!F21))/100)</f>
        <v>52495542253250.867</v>
      </c>
      <c r="N751">
        <f>L751*(1-MIN(Inputs!$B$8+(F766-Calc!F20),100)/100)+M751*(MIN(Inputs!$B$8+(F766-Calc!F20),100)/100)</f>
        <v>52495542253250.867</v>
      </c>
      <c r="O751">
        <f>IF(C751,H751*N751*IF(AND(Inputs!$B$4&lt;&gt;"pvp",Inputs!$B$35&gt;0),((Skills!G5*((S751-1)*IF(Skills!H5&gt;0,Skills!I5/Skills!H5,1)+IF(Skills!H5&gt;0,MIN(Skills!I5,MAX(0,Inputs!$B$35-((S751-1)*IF(Inputs!$B$4="pvp",15,MAX(0.1,Skills!E5-IF(Skills!F5=TRUE,Inputs!$B$31,0))))))/Skills!H5,1)))/Inputs!$B$35),G751*V751)*IF(Inputs!$B$4="pvp",1,(1-Summary!$B$56)*(1)+Summary!$B$56*(MIN(Skills!R5,Inputs!$B$37))),0)</f>
        <v>262477711266254.34</v>
      </c>
      <c r="P751">
        <f>IF(B785=0,0,O751/B785)</f>
        <v>3.1453521164276951E-2</v>
      </c>
      <c r="S751">
        <f>IF(AND(Inputs!$B$4&lt;&gt;"pvp",Inputs!$B$35&gt;0),(INT(Inputs!$B$35/IF(Inputs!$B$4="pvp",15,MAX(0.1,Skills!E5-IF(Skills!F5=TRUE,Inputs!$B$31,0))))+1),0)</f>
        <v>0</v>
      </c>
      <c r="V751">
        <f>IFERROR(1/IF(Inputs!$B$4="pvp",15,MAX(0.1,Skills!E5-IF(Skills!F5=TRUE,Inputs!$B$31,0))),0)</f>
        <v>1</v>
      </c>
    </row>
    <row r="752" spans="1:22" x14ac:dyDescent="0.2">
      <c r="A752" t="str">
        <f>Skills!A6</f>
        <v>MEDITATION</v>
      </c>
      <c r="B752" t="str">
        <f>Skills!B6</f>
        <v>Meditation</v>
      </c>
      <c r="C752" t="b">
        <f>TRUE</f>
        <v>1</v>
      </c>
      <c r="D752">
        <f>IF(Skills!C6=1,60+Inputs!$B$24+Inputs!$B$28,IF(Skills!C6=2,90+Inputs!$B$25+Inputs!$B$28,IF(Skills!C6=3,120+(Inputs!$B$26+1)+Inputs!$B$28,MAX(0,(Inputs!$B$3-100)*3)+Inputs!$B$27+Inputs!$B$28)))</f>
        <v>164</v>
      </c>
      <c r="E752">
        <f>INDEX(FactorTable!$B$2:$Y$301, MATCH(ROUND(MIN(300,MAX(1,D752)),0), FactorTable!$A$2:$A$301,0), Skills!M6+1)</f>
        <v>1492</v>
      </c>
      <c r="F752">
        <f>IF(Skills!N6=TRUE,(Skills!L6/10)*(E752/1000),Skills!L6/10)+Skills!O6</f>
        <v>29.84</v>
      </c>
      <c r="G752">
        <f>Calc!G6</f>
        <v>1</v>
      </c>
      <c r="H752">
        <f>Calc!H6</f>
        <v>1</v>
      </c>
      <c r="I752">
        <f>IF(Skills!X6&lt;&gt;"",1+(Skills!X6/10)*(R749/1000)/100,1)</f>
        <v>1</v>
      </c>
      <c r="O752">
        <v>0</v>
      </c>
      <c r="P752">
        <f>IF(B785=0,0,O752/B785)</f>
        <v>0</v>
      </c>
      <c r="S752">
        <f>IF(AND(Inputs!$B$4&lt;&gt;"pvp",Inputs!$B$35&gt;0),(INT(Inputs!$B$35/IF(Inputs!$B$4="pvp",15,MAX(0.1,Skills!E6-IF(Skills!F6=TRUE,Inputs!$B$31,0))))+1),0)</f>
        <v>0</v>
      </c>
      <c r="V752">
        <f>IFERROR(1/IF(Inputs!$B$4="pvp",15,MAX(0.1,Skills!E6-IF(Skills!F6=TRUE,Inputs!$B$31,0))),0)</f>
        <v>3.3333333333333333E-2</v>
      </c>
    </row>
    <row r="753" spans="1:22" x14ac:dyDescent="0.2">
      <c r="A753" t="str">
        <f>Skills!A7</f>
        <v>POISON_MIST_BURST</v>
      </c>
      <c r="B753" t="str">
        <f>Skills!B7</f>
        <v>Poison Mist (burst)</v>
      </c>
      <c r="C753" t="b">
        <f>TRUE</f>
        <v>1</v>
      </c>
      <c r="D753">
        <f>IF(Skills!C7=1,60+Inputs!$B$24+Inputs!$B$28,IF(Skills!C7=2,90+Inputs!$B$25+Inputs!$B$28,IF(Skills!C7=3,120+(Inputs!$B$26+1)+Inputs!$B$28,MAX(0,(Inputs!$B$3-100)*3)+Inputs!$B$27+Inputs!$B$28)))</f>
        <v>185</v>
      </c>
      <c r="E753">
        <f>INDEX(FactorTable!$B$2:$Y$301, MATCH(ROUND(MIN(300,MAX(1,D753)),0), FactorTable!$A$2:$A$301,0), Skills!M7+1)</f>
        <v>1925</v>
      </c>
      <c r="F753">
        <f>IF(Skills!N7=TRUE,(Skills!L7/10)*(E753/1000),Skills!L7/10)+Skills!O7</f>
        <v>358</v>
      </c>
      <c r="G753">
        <f>Calc!G7</f>
        <v>3</v>
      </c>
      <c r="H753">
        <f>Calc!H7</f>
        <v>1</v>
      </c>
      <c r="I753">
        <f>IF(Skills!X7&lt;&gt;"",1+(Skills!X7/10)*(R749/1000)/100,1)</f>
        <v>1.7519999999999998</v>
      </c>
      <c r="J753">
        <f>((Inputs!$B$5*(1+Inputs!$B$6/100))+((Inputs!$B$11*(1+Inputs!$B$12/100))-(Inputs!$B$11*(1+Inputs!$B$12/100)))*(1+Inputs!$B$6/100))*(F753/100)</f>
        <v>894395059.21824002</v>
      </c>
      <c r="K753">
        <f>J753*(1+((Inputs!$B$11*(1+Inputs!$B$12/100))*0.01+Inputs!$B$13*0.0025)/100)*(1+Inputs!$B$14/100)*(1+IF(Inputs!$B$4="pvp",0,(1-Summary!$B$56)*(Inputs!$B$19+Skills!P7)+Summary!$B$56*(Inputs!$B$20+Skills!Q7))/100)*(1+Inputs!$B$15/100)*(5000/(6000+Inputs!$B$7*(1-Inputs!$B$18/100)))*(1+Inputs!$B$23/100)*(1+F769/100)*(1+IF(Inputs!$B$3&gt;=120,F772,0)/100)^5*(1+(IF(Skills!A7="BASIC_ATTACK",Inputs!$B$16,Inputs!$B$17+IF(Inputs!$B$3&gt;=125,F773*5,0)))/100)*(B776*B777*B778*I753)</f>
        <v>11925080326085.604</v>
      </c>
      <c r="L753">
        <f>K753*(MIN(Inputs!$B$21+(F768-Calc!F22),Inputs!$B$22)/100+Inputs!$B$22/100)/2</f>
        <v>32191754340268.082</v>
      </c>
      <c r="M753">
        <f>L753*(1+(Inputs!$B$9+(F767-Calc!F21))/100)</f>
        <v>134927231471626.05</v>
      </c>
      <c r="N753">
        <f>L753*(1-MIN(Inputs!$B$8+(F766-Calc!F20),100)/100)+M753*(MIN(Inputs!$B$8+(F766-Calc!F20),100)/100)</f>
        <v>134927231471626.05</v>
      </c>
      <c r="O753">
        <f>IF(C753,H753*N753*IF(AND(Inputs!$B$4&lt;&gt;"pvp",Inputs!$B$35&gt;0),((Skills!G7*((S753-1)*IF(Skills!H7&gt;0,Skills!I7/Skills!H7,1)+IF(Skills!H7&gt;0,MIN(Skills!I7,MAX(0,Inputs!$B$35-((S753-1)*IF(Inputs!$B$4="pvp",15,MAX(0.1,Skills!E7-IF(Skills!F7=TRUE,Inputs!$B$31,0))))))/Skills!H7,1)))/Inputs!$B$35),G753*V753)*IF(Inputs!$B$4="pvp",1,(1-Summary!$B$56)*(1)+Summary!$B$56*(MIN(Skills!R7,Inputs!$B$37))),0)</f>
        <v>105738891602253.88</v>
      </c>
      <c r="P753">
        <f>IF(B785=0,0,O753/B785)</f>
        <v>1.2671020517719176E-2</v>
      </c>
      <c r="S753">
        <f>IF(AND(Inputs!$B$4&lt;&gt;"pvp",Inputs!$B$35&gt;0),(INT(Inputs!$B$35/IF(Inputs!$B$4="pvp",15,MAX(0.1,Skills!E7-IF(Skills!F7=TRUE,Inputs!$B$31,0))))+1),0)</f>
        <v>0</v>
      </c>
      <c r="V753">
        <f>IFERROR(1/IF(Inputs!$B$4="pvp",15,MAX(0.1,Skills!E7-IF(Skills!F7=TRUE,Inputs!$B$31,0))),0)</f>
        <v>4.0816326530612242E-2</v>
      </c>
    </row>
    <row r="754" spans="1:22" x14ac:dyDescent="0.2">
      <c r="A754" t="str">
        <f>Skills!A8</f>
        <v>POISON_MIST_DOT</v>
      </c>
      <c r="B754" t="str">
        <f>Skills!B8</f>
        <v>Poison Mist (fog DoT)</v>
      </c>
      <c r="C754" t="b">
        <f>TRUE</f>
        <v>1</v>
      </c>
      <c r="D754">
        <f>IF(Skills!C8=1,60+Inputs!$B$24+Inputs!$B$28,IF(Skills!C8=2,90+Inputs!$B$25+Inputs!$B$28,IF(Skills!C8=3,120+(Inputs!$B$26+1)+Inputs!$B$28,MAX(0,(Inputs!$B$3-100)*3)+Inputs!$B$27+Inputs!$B$28)))</f>
        <v>185</v>
      </c>
      <c r="E754">
        <f>INDEX(FactorTable!$B$2:$Y$301, MATCH(ROUND(MIN(300,MAX(1,D754)),0), FactorTable!$A$2:$A$301,0), Skills!M8+1)</f>
        <v>1925</v>
      </c>
      <c r="F754">
        <f>IF(Skills!N8=TRUE,(Skills!L8/10)*(E754/1000),Skills!L8/10)+Skills!O8</f>
        <v>134.75</v>
      </c>
      <c r="G754">
        <f>Calc!G8</f>
        <v>50</v>
      </c>
      <c r="H754">
        <f>Calc!H8</f>
        <v>1</v>
      </c>
      <c r="I754">
        <f>IF(Skills!X8&lt;&gt;"",1+(Skills!X8/10)*(R749/1000)/100,1)</f>
        <v>1.7519999999999998</v>
      </c>
      <c r="J754">
        <f>((Inputs!$B$5*(1+Inputs!$B$6/100))+((Inputs!$B$11*(1+Inputs!$B$12/100))-(Inputs!$B$11*(1+Inputs!$B$12/100)))*(1+Inputs!$B$6/100))*(F754/100)</f>
        <v>336647302.31747997</v>
      </c>
      <c r="K754">
        <f>J754*(1+((Inputs!$B$11*(1+Inputs!$B$12/100))*0.01+Inputs!$B$13*0.0025)/100)*(1+Inputs!$B$14/100)*(1+IF(Inputs!$B$4="pvp",0,(1-Summary!$B$56)*(Inputs!$B$19+Skills!P8)+Summary!$B$56*(Inputs!$B$20+Skills!Q8))/100)*(1+Inputs!$B$15/100)*(5000/(6000+Inputs!$B$7*(1-Inputs!$B$18/100)))*(1+Inputs!$B$23/100)*(1+F769/100)*(1+IF(Inputs!$B$3&gt;=120,F772,0)/100)^5*(1+(IF(Skills!A8="BASIC_ATTACK",Inputs!$B$16,Inputs!$B$17+IF(Inputs!$B$3&gt;=125,F773*5,0)))/100)*(B776*B777*B778*I754)</f>
        <v>4488560262402.3311</v>
      </c>
      <c r="L754">
        <f>K754*(MIN(Inputs!$B$21+(F768-Calc!F22),Inputs!$B$22)/100+Inputs!$B$22/100)/2</f>
        <v>12116868428355.09</v>
      </c>
      <c r="M754">
        <f>L754*(1+(Inputs!$B$9+(F767-Calc!F21))/100)</f>
        <v>50786157655870.391</v>
      </c>
      <c r="N754">
        <f>L754*(1-MIN(Inputs!$B$8+(F766-Calc!F20),100)/100)+M754*(MIN(Inputs!$B$8+(F766-Calc!F20),100)/100)</f>
        <v>50786157655870.391</v>
      </c>
      <c r="O754">
        <f>IF(C754,H754*N754*IF(AND(Inputs!$B$4&lt;&gt;"pvp",Inputs!$B$35&gt;0),((Skills!G8*((S754-1)*IF(Skills!H8&gt;0,Skills!I8/Skills!H8,1)+IF(Skills!H8&gt;0,MIN(Skills!I8,MAX(0,Inputs!$B$35-((S754-1)*IF(Inputs!$B$4="pvp",15,MAX(0.1,Skills!E8-IF(Skills!F8=TRUE,Inputs!$B$31,0))))))/Skills!H8,1)))/Inputs!$B$35),G754*V754)*IF(Inputs!$B$4="pvp",1,(1-Summary!$B$56)*(1)+Summary!$B$56*(MIN(Skills!R8,Inputs!$B$37))),0)</f>
        <v>663329406117490.88</v>
      </c>
      <c r="P754">
        <f>IF(B785=0,0,O754/B785)</f>
        <v>7.9488827502917053E-2</v>
      </c>
      <c r="S754">
        <f>IF(AND(Inputs!$B$4&lt;&gt;"pvp",Inputs!$B$35&gt;0),(INT(Inputs!$B$35/IF(Inputs!$B$4="pvp",15,MAX(0.1,Skills!E8-IF(Skills!F8=TRUE,Inputs!$B$31,0))))+1),0)</f>
        <v>0</v>
      </c>
      <c r="V754">
        <f>IFERROR(1/IF(Inputs!$B$4="pvp",15,MAX(0.1,Skills!E8-IF(Skills!F8=TRUE,Inputs!$B$31,0))),0)</f>
        <v>4.0816326530612242E-2</v>
      </c>
    </row>
    <row r="755" spans="1:22" x14ac:dyDescent="0.2">
      <c r="A755" t="str">
        <f>Skills!A9</f>
        <v>MIST_ERUPTION</v>
      </c>
      <c r="B755" t="str">
        <f>Skills!B9</f>
        <v>Mist Eruption</v>
      </c>
      <c r="C755" t="b">
        <f>Inputs!$B$3&gt;=103</f>
        <v>1</v>
      </c>
      <c r="D755">
        <f>IF(Skills!C9=1,60+Inputs!$B$24+Inputs!$B$28,IF(Skills!C9=2,90+Inputs!$B$25+Inputs!$B$28,IF(Skills!C9=3,120+(Inputs!$B$26+1)+Inputs!$B$28,MAX(0,(Inputs!$B$3-100)*3)+Inputs!$B$27+Inputs!$B$28)))</f>
        <v>172</v>
      </c>
      <c r="E755">
        <f>INDEX(FactorTable!$B$2:$Y$301, MATCH(ROUND(MIN(300,MAX(1,D755)),0), FactorTable!$A$2:$A$301,0), Skills!M9+1)</f>
        <v>1860</v>
      </c>
      <c r="F755">
        <f>IF(Skills!N9=TRUE,(Skills!L9/10)*(E755/1000),Skills!L9/10)+Skills!O9</f>
        <v>5580</v>
      </c>
      <c r="G755">
        <f>Calc!G9</f>
        <v>2.8</v>
      </c>
      <c r="H755">
        <f>Calc!H9</f>
        <v>1</v>
      </c>
      <c r="I755">
        <f>IF(Skills!X9&lt;&gt;"",1+(Skills!X9/10)*(R749/1000)/100,1)</f>
        <v>1</v>
      </c>
      <c r="J755">
        <f>((Inputs!$B$5*(1+Inputs!$B$6/100))+((Inputs!$B$11*(1+Inputs!$B$12/100))-(Inputs!$B$11*(1+Inputs!$B$12/100)))*(1+Inputs!$B$6/100))*(F755/100)</f>
        <v>13940571034.742399</v>
      </c>
      <c r="K755">
        <f>J755*(1+((Inputs!$B$11*(1+Inputs!$B$12/100))*0.01+Inputs!$B$13*0.0025)/100)*(1+Inputs!$B$14/100)*(1+IF(Inputs!$B$4="pvp",0,(1-Summary!$B$56)*(Inputs!$B$19+Skills!P9)+Summary!$B$56*(Inputs!$B$20+Skills!Q9))/100)*(1+Inputs!$B$15/100)*(5000/(6000+Inputs!$B$7*(1-Inputs!$B$18/100)))*(1+Inputs!$B$23/100)*(1+F769/100)*(1+IF(Inputs!$B$3&gt;=120,F772,0)/100)^5*(1+(IF(Skills!A9="BASIC_ATTACK",Inputs!$B$16,Inputs!$B$17+IF(Inputs!$B$3&gt;=125,F773*5,0)))/100)*(B776*B777*B778*I755)</f>
        <v>106090961039829.45</v>
      </c>
      <c r="L755">
        <f>K755*(MIN(Inputs!$B$21+(F768-Calc!F22),Inputs!$B$22)/100+Inputs!$B$22/100)/2</f>
        <v>286392549327019.56</v>
      </c>
      <c r="M755">
        <f>L755*(1+(Inputs!$B$9+(F767-Calc!F21))/100)</f>
        <v>1200374275547296.8</v>
      </c>
      <c r="N755">
        <f>L755*(1-MIN(Inputs!$B$8+(F766-Calc!F20),100)/100)+M755*(MIN(Inputs!$B$8+(F766-Calc!F20),100)/100)</f>
        <v>1200374275547296.8</v>
      </c>
      <c r="O755">
        <f>IF(C755,H755*N755*IF(AND(Inputs!$B$4&lt;&gt;"pvp",Inputs!$B$35&gt;0),((Skills!G9*((S755-1)*IF(Skills!H9&gt;0,Skills!I9/Skills!H9,1)+IF(Skills!H9&gt;0,MIN(Skills!I9,MAX(0,Inputs!$B$35-((S755-1)*IF(Inputs!$B$4="pvp",15,MAX(0.1,Skills!E9-IF(Skills!F7=TRUE,Inputs!$B$31,0))))))/Skills!H9,1)))/Inputs!$B$35),G755*V755)*IF(Inputs!$B$4="pvp",1,(1-Summary!$B$56)*(1)+Summary!$B$56*(MIN(Skills!R9,Inputs!$B$37))),0)</f>
        <v>877988041543165.5</v>
      </c>
      <c r="P755">
        <f>IF(B785=0,0,O755/B785)</f>
        <v>0.10521203996116403</v>
      </c>
      <c r="S755">
        <f>IF(AND(Inputs!$B$4&lt;&gt;"pvp",Inputs!$B$35&gt;0),(INT(Inputs!$B$35/IF(Inputs!$B$4="pvp",15,MAX(0.1,Skills!E9-IF(Skills!F7=TRUE,Inputs!$B$31,0))))+1),0)</f>
        <v>0</v>
      </c>
      <c r="V755">
        <f>IFERROR(1/IF(Inputs!$B$4="pvp",15,MAX(0.1,Skills!E9-IF(Skills!F7=TRUE,Inputs!$B$31,0))),0)</f>
        <v>4.0816326530612242E-2</v>
      </c>
    </row>
    <row r="756" spans="1:22" x14ac:dyDescent="0.2">
      <c r="A756" t="str">
        <f>Skills!A10</f>
        <v>CREEPING_TOXIN</v>
      </c>
      <c r="B756" t="str">
        <f>Skills!B10</f>
        <v>Creeping Toxin</v>
      </c>
      <c r="C756" t="b">
        <f>TRUE</f>
        <v>1</v>
      </c>
      <c r="D756">
        <f>IF(Skills!C10=1,60+Inputs!$B$24+Inputs!$B$28,IF(Skills!C10=2,90+Inputs!$B$25+Inputs!$B$28,IF(Skills!C10=3,120+(Inputs!$B$26+1)+Inputs!$B$28,MAX(0,(Inputs!$B$3-100)*3)+Inputs!$B$27+Inputs!$B$28)))</f>
        <v>185</v>
      </c>
      <c r="E756">
        <f>INDEX(FactorTable!$B$2:$Y$301, MATCH(ROUND(MIN(300,MAX(1,D756)),0), FactorTable!$A$2:$A$301,0), Skills!M10+1)</f>
        <v>1925</v>
      </c>
      <c r="F756">
        <f>IF(Skills!N10=TRUE,(Skills!L10/10)*(E756/1000),Skills!L10/10)+Skills!O10</f>
        <v>281</v>
      </c>
      <c r="G756">
        <f>Calc!G10</f>
        <v>15</v>
      </c>
      <c r="H756">
        <f>Calc!H10</f>
        <v>1</v>
      </c>
      <c r="I756">
        <f>IF(Skills!X10&lt;&gt;"",1+(Skills!X10/10)*(R749/1000)/100,1)</f>
        <v>1.7519999999999998</v>
      </c>
      <c r="J756">
        <f>((Inputs!$B$5*(1+Inputs!$B$6/100))+((Inputs!$B$11*(1+Inputs!$B$12/100))-(Inputs!$B$11*(1+Inputs!$B$12/100)))*(1+Inputs!$B$6/100))*(F756/100)</f>
        <v>702025172.17967999</v>
      </c>
      <c r="K756">
        <f>J756*(1+((Inputs!$B$11*(1+Inputs!$B$12/100))*0.01+Inputs!$B$13*0.0025)/100)*(1+Inputs!$B$14/100)*(1+IF(Inputs!$B$4="pvp",0,(1-Summary!$B$56)*(Inputs!$B$19+Skills!P10)+Summary!$B$56*(Inputs!$B$20+Skills!Q10))/100)*(1+Inputs!$B$15/100)*(5000/(6000+Inputs!$B$7*(1-Inputs!$B$18/100)))*(1+Inputs!$B$23/100)*(1+F769/100)*(1+IF(Inputs!$B$3&gt;=120,F772,0)/100)^5*(1+(IF(Skills!A10="BASIC_ATTACK",Inputs!$B$16,Inputs!$B$17+IF(Inputs!$B$3&gt;=125,F773*5,0)))/100)*(B776*B777*B778*I756)</f>
        <v>11045696925403.715</v>
      </c>
      <c r="L756">
        <f>K756*(MIN(Inputs!$B$21+(F768-Calc!F22),Inputs!$B$22)/100+Inputs!$B$22/100)/2</f>
        <v>29817858850127.324</v>
      </c>
      <c r="M756">
        <f>L756*(1+(Inputs!$B$9+(F767-Calc!F21))/100)</f>
        <v>124977380870069.67</v>
      </c>
      <c r="N756">
        <f>L756*(1-MIN(Inputs!$B$8+(F766-Calc!F20),100)/100)+M756*(MIN(Inputs!$B$8+(F766-Calc!F20),100)/100)</f>
        <v>124977380870069.67</v>
      </c>
      <c r="O756">
        <f>IF(C756,H756*N756*IF(AND(Inputs!$B$4&lt;&gt;"pvp",Inputs!$B$35&gt;0),((Skills!G10*((S756-1)*IF(Skills!H10&gt;0,Skills!I10/Skills!H10,1)+IF(Skills!H10&gt;0,MIN(Skills!I10,MAX(0,Inputs!$B$35-((S756-1)*IF(Inputs!$B$4="pvp",15,MAX(0.1,Skills!E10-IF(Skills!F10=TRUE,Inputs!$B$31,0))))))/Skills!H10,1)))/Inputs!$B$35),G756*V756)*IF(Inputs!$B$4="pvp",1,(1-Summary!$B$56)*(1)+Summary!$B$56*(MIN(Skills!R10,Inputs!$B$37))),0)</f>
        <v>69431878261149.82</v>
      </c>
      <c r="P756">
        <f>IF(B785=0,0,O756/B785)</f>
        <v>8.3202380949873381E-3</v>
      </c>
      <c r="S756">
        <f>IF(AND(Inputs!$B$4&lt;&gt;"pvp",Inputs!$B$35&gt;0),(INT(Inputs!$B$35/IF(Inputs!$B$4="pvp",15,MAX(0.1,Skills!E10-IF(Skills!F10=TRUE,Inputs!$B$31,0))))+1),0)</f>
        <v>0</v>
      </c>
      <c r="V756">
        <f>IFERROR(1/IF(Inputs!$B$4="pvp",15,MAX(0.1,Skills!E10-IF(Skills!F10=TRUE,Inputs!$B$31,0))),0)</f>
        <v>3.7037037037037035E-2</v>
      </c>
    </row>
    <row r="757" spans="1:22" x14ac:dyDescent="0.2">
      <c r="A757" t="str">
        <f>Skills!A11</f>
        <v>BURNING_MAGIC</v>
      </c>
      <c r="B757" t="str">
        <f>Skills!B11</f>
        <v>Burning Magic</v>
      </c>
      <c r="C757" t="b">
        <f>TRUE</f>
        <v>1</v>
      </c>
      <c r="D757">
        <f>IF(Skills!C11=1,60+Inputs!$B$24+Inputs!$B$28,IF(Skills!C11=2,90+Inputs!$B$25+Inputs!$B$28,IF(Skills!C11=3,120+(Inputs!$B$26+1)+Inputs!$B$28,MAX(0,(Inputs!$B$3-100)*3)+Inputs!$B$27+Inputs!$B$28)))</f>
        <v>185</v>
      </c>
      <c r="E757">
        <f>INDEX(FactorTable!$B$2:$Y$301, MATCH(ROUND(MIN(300,MAX(1,D757)),0), FactorTable!$A$2:$A$301,0), Skills!M11+1)</f>
        <v>0</v>
      </c>
      <c r="F757">
        <f>IF(Skills!N11=TRUE,(Skills!L11/10)*(E757/1000),Skills!L11/10)+Skills!O11</f>
        <v>5</v>
      </c>
      <c r="G757">
        <f>Calc!G11</f>
        <v>1</v>
      </c>
      <c r="H757">
        <f>Calc!H11</f>
        <v>1</v>
      </c>
      <c r="I757">
        <f>IF(Skills!X11&lt;&gt;"",1+(Skills!X11/10)*(R749/1000)/100,1)</f>
        <v>1</v>
      </c>
      <c r="O757">
        <v>0</v>
      </c>
      <c r="P757">
        <f>IF(B785=0,0,O757/B785)</f>
        <v>0</v>
      </c>
      <c r="S757">
        <v>0</v>
      </c>
      <c r="V757">
        <f>IFERROR(1/IF(Inputs!$B$4="pvp",15,MAX(0.1,Skills!E11-IF(Skills!F11=TRUE,Inputs!$B$31,0))),0)</f>
        <v>10</v>
      </c>
    </row>
    <row r="758" spans="1:22" x14ac:dyDescent="0.2">
      <c r="A758" t="str">
        <f>Skills!A12</f>
        <v>ELEMENTAL_DECREASE</v>
      </c>
      <c r="B758" t="str">
        <f>Skills!B12</f>
        <v>Elemental Decrease</v>
      </c>
      <c r="C758" t="b">
        <f>TRUE</f>
        <v>1</v>
      </c>
      <c r="D758">
        <f>IF(Skills!C12=1,60+Inputs!$B$24+Inputs!$B$28,IF(Skills!C12=2,90+Inputs!$B$25+Inputs!$B$28,IF(Skills!C12=3,120+(Inputs!$B$26+1)+Inputs!$B$28,MAX(0,(Inputs!$B$3-100)*3)+Inputs!$B$27+Inputs!$B$28)))</f>
        <v>185</v>
      </c>
      <c r="E758">
        <f>INDEX(FactorTable!$B$2:$Y$301, MATCH(ROUND(MIN(300,MAX(1,D758)),0), FactorTable!$A$2:$A$301,0), Skills!M12+1)</f>
        <v>1555</v>
      </c>
      <c r="F758">
        <f>IF(Skills!N12=TRUE,(Skills!L12/10)*(E758/1000),Skills!L12/10)+Skills!O12</f>
        <v>18.66</v>
      </c>
      <c r="G758">
        <f>Calc!G12</f>
        <v>1</v>
      </c>
      <c r="H758">
        <f>Calc!H12</f>
        <v>0.5</v>
      </c>
      <c r="I758">
        <f>IF(Skills!X12&lt;&gt;"",1+(Skills!X12/10)*(R749/1000)/100,1)</f>
        <v>1</v>
      </c>
      <c r="O758">
        <v>0</v>
      </c>
      <c r="P758">
        <f>IF(B785=0,0,O758/B785)</f>
        <v>0</v>
      </c>
      <c r="S758">
        <v>0</v>
      </c>
      <c r="V758">
        <f>IFERROR(1/IF(Inputs!$B$4="pvp",15,MAX(0.1,Skills!E12-IF(Skills!F12=TRUE,Inputs!$B$31,0))),0)</f>
        <v>10</v>
      </c>
    </row>
    <row r="759" spans="1:22" x14ac:dyDescent="0.2">
      <c r="A759" t="str">
        <f>Skills!A13</f>
        <v>METEOR_SHOWER_BURST</v>
      </c>
      <c r="B759" t="str">
        <f>Skills!B13</f>
        <v>Meteor Shower (burst)</v>
      </c>
      <c r="C759" t="b">
        <f>Inputs!$B$3&gt;=105</f>
        <v>1</v>
      </c>
      <c r="D759">
        <f>IF(Skills!C13=1,60+Inputs!$B$24+Inputs!$B$28,IF(Skills!C13=2,90+Inputs!$B$25+Inputs!$B$28,IF(Skills!C13=3,120+(Inputs!$B$26+1)+Inputs!$B$28,MAX(0,(Inputs!$B$3-100)*3)+Inputs!$B$27+Inputs!$B$28)))</f>
        <v>172</v>
      </c>
      <c r="E759">
        <f>INDEX(FactorTable!$B$2:$Y$301, MATCH(ROUND(MIN(300,MAX(1,D759)),0), FactorTable!$A$2:$A$301,0), Skills!M13+1)</f>
        <v>1860</v>
      </c>
      <c r="F759">
        <f>IF(Skills!N13=TRUE,(Skills!L13/10)*(E759/1000),Skills!L13/10)+Skills!O13</f>
        <v>1116</v>
      </c>
      <c r="G759">
        <f>Calc!G13</f>
        <v>9</v>
      </c>
      <c r="H759">
        <f>Calc!H13</f>
        <v>1</v>
      </c>
      <c r="I759">
        <f>IF(Skills!X13&lt;&gt;"",1+(Skills!X13/10)*(R749/1000)/100,1)</f>
        <v>1</v>
      </c>
      <c r="J759">
        <f>((Inputs!$B$5*(1+Inputs!$B$6/100))+((Inputs!$B$11*(1+Inputs!$B$12/100))-(Inputs!$B$11*(1+Inputs!$B$12/100)))*(1+Inputs!$B$6/100))*(F759/100)</f>
        <v>2788114206.9484801</v>
      </c>
      <c r="K759">
        <f>J759*(1+((Inputs!$B$11*(1+Inputs!$B$12/100))*0.01+Inputs!$B$13*0.0025)/100)*(1+Inputs!$B$14/100)*(1+IF(Inputs!$B$4="pvp",0,(1-Summary!$B$56)*(Inputs!$B$19+Skills!P13)+Summary!$B$56*(Inputs!$B$20+Skills!Q13))/100)*(1+Inputs!$B$15/100)*(5000/(6000+Inputs!$B$7*(1-Inputs!$B$18/100)))*(1+Inputs!$B$23/100)*(1+F769/100)*(1+IF(Inputs!$B$3&gt;=120,F772,0)/100)^5*(1+(IF(Skills!A13="BASIC_ATTACK",Inputs!$B$16,Inputs!$B$17+IF(Inputs!$B$3&gt;=125,F773*5,0)))/100)*(B776*B777*B778*I759)</f>
        <v>21218192207965.887</v>
      </c>
      <c r="L759">
        <f>K759*(MIN(Inputs!$B$21+(F768-Calc!F22),Inputs!$B$22)/100+Inputs!$B$22/100)/2</f>
        <v>57278509865403.898</v>
      </c>
      <c r="M759">
        <f>L759*(1+(Inputs!$B$9+(F767-Calc!F21))/100)</f>
        <v>240074855109459.31</v>
      </c>
      <c r="N759">
        <f>L759*(1-MIN(Inputs!$B$8+(F766-Calc!F20),100)/100)+M759*(MIN(Inputs!$B$8+(F766-Calc!F20),100)/100)</f>
        <v>240074855109459.31</v>
      </c>
      <c r="O759">
        <f>IF(C759,H759*N759*IF(AND(Inputs!$B$4&lt;&gt;"pvp",Inputs!$B$35&gt;0),((Skills!G13*((S759-1)*IF(Skills!H13&gt;0,Skills!I13/Skills!H13,1)+IF(Skills!H13&gt;0,MIN(Skills!I13,MAX(0,Inputs!$B$35-((S759-1)*IF(Inputs!$B$4="pvp",15,MAX(0.1,Skills!E13-IF(Skills!F13=TRUE,Inputs!$B$31,0))))))/Skills!H13,1)))/Inputs!$B$35),G759*V759)*IF(Inputs!$B$4="pvp",1,(1-Summary!$B$56)*(1)+Summary!$B$56*(MIN(Skills!R13,Inputs!$B$37))),0)</f>
        <v>301184818228230.81</v>
      </c>
      <c r="P759">
        <f>IF(B785=0,0,O759/B785)</f>
        <v>3.6091914276450449E-2</v>
      </c>
      <c r="S759">
        <f>IF(AND(Inputs!$B$4&lt;&gt;"pvp",Inputs!$B$35&gt;0),(INT(Inputs!$B$35/IF(Inputs!$B$4="pvp",15,MAX(0.1,Skills!E13-IF(Skills!F13=TRUE,Inputs!$B$31,0))))+1),0)</f>
        <v>0</v>
      </c>
      <c r="V759">
        <f>IFERROR(1/IF(Inputs!$B$4="pvp",15,MAX(0.1,Skills!E13-IF(Skills!F13=TRUE,Inputs!$B$31,0))),0)</f>
        <v>3.0303030303030304E-2</v>
      </c>
    </row>
    <row r="760" spans="1:22" x14ac:dyDescent="0.2">
      <c r="A760" t="str">
        <f>Skills!A14</f>
        <v>METEOR_PROC</v>
      </c>
      <c r="B760" t="str">
        <f>Skills!B14</f>
        <v>Meteor Proc (30% on-hit, 1s ICD)</v>
      </c>
      <c r="C760" t="b">
        <f>Inputs!$B$3&gt;=113</f>
        <v>1</v>
      </c>
      <c r="D760">
        <f>IF(Skills!C14=1,60+Inputs!$B$24+Inputs!$B$28,IF(Skills!C14=2,90+Inputs!$B$25+Inputs!$B$28,IF(Skills!C14=3,120+(Inputs!$B$26+1)+Inputs!$B$28,MAX(0,(Inputs!$B$3-100)*3)+Inputs!$B$27+Inputs!$B$28)))</f>
        <v>172</v>
      </c>
      <c r="E760">
        <f>INDEX(FactorTable!$B$2:$Y$301, MATCH(ROUND(MIN(300,MAX(1,D760)),0), FactorTable!$A$2:$A$301,0), Skills!M14+1)</f>
        <v>1688</v>
      </c>
      <c r="F760">
        <f>IF(Skills!N14=TRUE,(Skills!L14/10)*(E760/1000),Skills!L14/10)+Skills!O14</f>
        <v>1603.6</v>
      </c>
      <c r="G760">
        <f>Calc!G14</f>
        <v>0</v>
      </c>
      <c r="H760">
        <f>Calc!H14</f>
        <v>0.30000000000000004</v>
      </c>
      <c r="I760">
        <f>IF(Skills!X14&lt;&gt;"",1+(Skills!X14/10)*(R749/1000)/100,1)</f>
        <v>1</v>
      </c>
      <c r="J760">
        <f>((Inputs!$B$5*(1+Inputs!$B$6/100))+((Inputs!$B$11*(1+Inputs!$B$12/100))-(Inputs!$B$11*(1+Inputs!$B$12/100)))*(1+Inputs!$B$6/100))*(F760/100)</f>
        <v>4006290270.8446074</v>
      </c>
      <c r="K760">
        <f>J760*(1+((Inputs!$B$11*(1+Inputs!$B$12/100))*0.01+Inputs!$B$13*0.0025)/100)*(1+Inputs!$B$14/100)*(1+IF(Inputs!$B$4="pvp",0,(1-Summary!$B$56)*(Inputs!$B$19+Skills!P14)+Summary!$B$56*(Inputs!$B$20+Skills!Q14))/100)*(1+Inputs!$B$15/100)*(5000/(6000+Inputs!$B$7*(1-Inputs!$B$18/100)))*(1+Inputs!$B$23/100)*(1+F769/100)*(1+IF(Inputs!$B$3&gt;=120,F772,0)/100)^5*(1+(IF(Skills!A14="BASIC_ATTACK",Inputs!$B$16,Inputs!$B$17+IF(Inputs!$B$3&gt;=125,F773*5,0)))/100)*(B776*B777*B778*I760)</f>
        <v>30488793032880.02</v>
      </c>
      <c r="L760">
        <f>K760*(MIN(Inputs!$B$21+(F768-Calc!F22),Inputs!$B$22)/100+Inputs!$B$22/100)/2</f>
        <v>82304496792259.594</v>
      </c>
      <c r="M760">
        <f>L760*(1+(Inputs!$B$9+(F767-Calc!F21))/100)</f>
        <v>344967775675205.19</v>
      </c>
      <c r="N760">
        <f>L760*(1-MIN(Inputs!$B$8+(F766-Calc!F20),100)/100)+M760*(MIN(Inputs!$B$8+(F766-Calc!F20),100)/100)</f>
        <v>344967775675205.19</v>
      </c>
      <c r="O760">
        <f>IF(C760,(H760*B783)/(1+Skills!H14*H760*B783)*N760*IF(Inputs!$B$4="pvp",1,(1-Summary!$B$56)*(1)+Summary!$B$56*(MIN(Skills!R14,Inputs!$B$37))),0)</f>
        <v>108513969951308.89</v>
      </c>
      <c r="P760">
        <f>IF(B785=0,0,O760/B785)</f>
        <v>1.3003566794366593E-2</v>
      </c>
      <c r="S760">
        <v>0</v>
      </c>
      <c r="V760">
        <f>IFERROR(1/IF(Inputs!$B$4="pvp",15,MAX(0.1,Skills!E14-IF(Skills!F14=TRUE,Inputs!$B$31,0))),0)</f>
        <v>10</v>
      </c>
    </row>
    <row r="761" spans="1:22" x14ac:dyDescent="0.2">
      <c r="A761" t="str">
        <f>Skills!A15</f>
        <v>FLAME_HAZE_BURST</v>
      </c>
      <c r="B761" t="str">
        <f>Skills!B15</f>
        <v>Flame Haze (burst)</v>
      </c>
      <c r="C761" t="b">
        <f>Inputs!$B$3&gt;=107</f>
        <v>1</v>
      </c>
      <c r="D761">
        <f>IF(Skills!C15=1,60+Inputs!$B$24+Inputs!$B$28,IF(Skills!C15=2,90+Inputs!$B$25+Inputs!$B$28,IF(Skills!C15=3,120+(Inputs!$B$26+1)+Inputs!$B$28,MAX(0,(Inputs!$B$3-100)*3)+Inputs!$B$27+Inputs!$B$28)))</f>
        <v>172</v>
      </c>
      <c r="E761">
        <f>INDEX(FactorTable!$B$2:$Y$301, MATCH(ROUND(MIN(300,MAX(1,D761)),0), FactorTable!$A$2:$A$301,0), Skills!M15+1)</f>
        <v>1860</v>
      </c>
      <c r="F761">
        <f>IF(Skills!N15=TRUE,(Skills!L15/10)*(E761/1000),Skills!L15/10)+Skills!O15</f>
        <v>2232</v>
      </c>
      <c r="G761">
        <f>Calc!G15</f>
        <v>3</v>
      </c>
      <c r="H761">
        <f>Calc!H15</f>
        <v>1</v>
      </c>
      <c r="I761">
        <f>IF(Skills!X15&lt;&gt;"",1+(Skills!X15/10)*(R749/1000)/100,1)</f>
        <v>1</v>
      </c>
      <c r="J761">
        <f>((Inputs!$B$5*(1+Inputs!$B$6/100))+((Inputs!$B$11*(1+Inputs!$B$12/100))-(Inputs!$B$11*(1+Inputs!$B$12/100)))*(1+Inputs!$B$6/100))*(F761/100)</f>
        <v>5576228413.8969603</v>
      </c>
      <c r="K761">
        <f>J761*(1+((Inputs!$B$11*(1+Inputs!$B$12/100))*0.01+Inputs!$B$13*0.0025)/100)*(1+Inputs!$B$14/100)*(1+IF(Inputs!$B$4="pvp",0,(1-Summary!$B$56)*(Inputs!$B$19+Skills!P15)+Summary!$B$56*(Inputs!$B$20+Skills!Q15))/100)*(1+Inputs!$B$15/100)*(5000/(6000+Inputs!$B$7*(1-Inputs!$B$18/100)))*(1+Inputs!$B$23/100)*(1+F769/100)*(1+IF(Inputs!$B$3&gt;=120,F772,0)/100)^5*(1+(IF(Skills!A15="BASIC_ATTACK",Inputs!$B$16,Inputs!$B$17+IF(Inputs!$B$3&gt;=125,F773*5,0)))/100)*(B776*B777*B778*I761)</f>
        <v>42436384415931.773</v>
      </c>
      <c r="L761">
        <f>K761*(MIN(Inputs!$B$21+(F768-Calc!F22),Inputs!$B$22)/100+Inputs!$B$22/100)/2</f>
        <v>114557019730807.8</v>
      </c>
      <c r="M761">
        <f>L761*(1+(Inputs!$B$9+(F767-Calc!F21))/100)</f>
        <v>480149710218918.62</v>
      </c>
      <c r="N761">
        <f>L761*(1-MIN(Inputs!$B$8+(F766-Calc!F20),100)/100)+M761*(MIN(Inputs!$B$8+(F766-Calc!F20),100)/100)</f>
        <v>480149710218918.62</v>
      </c>
      <c r="O761">
        <f>IF(C761,H761*N761*IF(AND(Inputs!$B$4&lt;&gt;"pvp",Inputs!$B$35&gt;0),((Skills!G15*((S761-1)*IF(Skills!H15&gt;0,Skills!I15/Skills!H15,1)+IF(Skills!H15&gt;0,MIN(Skills!I15,MAX(0,Inputs!$B$35-((S761-1)*IF(Inputs!$B$4="pvp",15,MAX(0.1,Skills!E15-IF(Skills!F15=TRUE,Inputs!$B$31,0))))))/Skills!H15,1)))/Inputs!$B$35),G761*V761)*IF(Inputs!$B$4="pvp",1,(1-Summary!$B$56)*(1)+Summary!$B$56*(MIN(Skills!R15,Inputs!$B$37))),0)</f>
        <v>368754977448129.5</v>
      </c>
      <c r="P761">
        <f>IF(B785=0,0,O761/B785)</f>
        <v>4.4189056783688896E-2</v>
      </c>
      <c r="S761">
        <f>IF(AND(Inputs!$B$4&lt;&gt;"pvp",Inputs!$B$35&gt;0),(INT(Inputs!$B$35/IF(Inputs!$B$4="pvp",15,MAX(0.1,Skills!E15-IF(Skills!F15=TRUE,Inputs!$B$31,0))))+1),0)</f>
        <v>0</v>
      </c>
      <c r="V761">
        <f>IFERROR(1/IF(Inputs!$B$4="pvp",15,MAX(0.1,Skills!E15-IF(Skills!F15=TRUE,Inputs!$B$31,0))),0)</f>
        <v>0.04</v>
      </c>
    </row>
    <row r="762" spans="1:22" x14ac:dyDescent="0.2">
      <c r="A762" t="str">
        <f>Skills!A16</f>
        <v>FLAME_HAZE_DOT</v>
      </c>
      <c r="B762" t="str">
        <f>Skills!B16</f>
        <v>Flame Haze (burn DoT)</v>
      </c>
      <c r="C762" t="b">
        <f>Inputs!$B$3&gt;=107</f>
        <v>1</v>
      </c>
      <c r="D762">
        <f>IF(Skills!C16=1,60+Inputs!$B$24+Inputs!$B$28,IF(Skills!C16=2,90+Inputs!$B$25+Inputs!$B$28,IF(Skills!C16=3,120+(Inputs!$B$26+1)+Inputs!$B$28,MAX(0,(Inputs!$B$3-100)*3)+Inputs!$B$27+Inputs!$B$28)))</f>
        <v>172</v>
      </c>
      <c r="E762">
        <f>INDEX(FactorTable!$B$2:$Y$301, MATCH(ROUND(MIN(300,MAX(1,D762)),0), FactorTable!$A$2:$A$301,0), Skills!M16+1)</f>
        <v>1860</v>
      </c>
      <c r="F762">
        <f>IF(Skills!N16=TRUE,(Skills!L16/10)*(E762/1000),Skills!L16/10)+Skills!O16</f>
        <v>279</v>
      </c>
      <c r="G762">
        <f>Calc!G16</f>
        <v>28</v>
      </c>
      <c r="H762">
        <f>Calc!H16</f>
        <v>1</v>
      </c>
      <c r="I762">
        <f>IF(Skills!X16&lt;&gt;"",1+(Skills!X16/10)*(R749/1000)/100,1)</f>
        <v>1</v>
      </c>
      <c r="J762">
        <f>((Inputs!$B$5*(1+Inputs!$B$6/100))+((Inputs!$B$11*(1+Inputs!$B$12/100))-(Inputs!$B$11*(1+Inputs!$B$12/100)))*(1+Inputs!$B$6/100))*(F762/100)</f>
        <v>697028551.73712003</v>
      </c>
      <c r="K762">
        <f>J762*(1+((Inputs!$B$11*(1+Inputs!$B$12/100))*0.01+Inputs!$B$13*0.0025)/100)*(1+Inputs!$B$14/100)*(1+IF(Inputs!$B$4="pvp",0,(1-Summary!$B$56)*(Inputs!$B$19+Skills!P16)+Summary!$B$56*(Inputs!$B$20+Skills!Q16))/100)*(1+Inputs!$B$15/100)*(5000/(6000+Inputs!$B$7*(1-Inputs!$B$18/100)))*(1+Inputs!$B$23/100)*(1+F769/100)*(1+IF(Inputs!$B$3&gt;=120,F772,0)/100)^5*(1+(IF(Skills!A16="BASIC_ATTACK",Inputs!$B$16,Inputs!$B$17+IF(Inputs!$B$3&gt;=125,F773*5,0)))/100)*(B776*B777*B778*I762)</f>
        <v>5304548051991.4717</v>
      </c>
      <c r="L762">
        <f>K762*(MIN(Inputs!$B$21+(F768-Calc!F22),Inputs!$B$22)/100+Inputs!$B$22/100)/2</f>
        <v>14319627466350.975</v>
      </c>
      <c r="M762">
        <f>L762*(1+(Inputs!$B$9+(F767-Calc!F21))/100)</f>
        <v>60018713777364.828</v>
      </c>
      <c r="N762">
        <f>L762*(1-MIN(Inputs!$B$8+(F766-Calc!F20),100)/100)+M762*(MIN(Inputs!$B$8+(F766-Calc!F20),100)/100)</f>
        <v>60018713777364.828</v>
      </c>
      <c r="O762">
        <f>IF(C762,H762*N762*IF(AND(Inputs!$B$4&lt;&gt;"pvp",Inputs!$B$35&gt;0),((Skills!G16*((S762-1)*IF(Skills!H16&gt;0,Skills!I16/Skills!H16,1)+IF(Skills!H16&gt;0,MIN(Skills!I16,MAX(0,Inputs!$B$35-((S762-1)*IF(Inputs!$B$4="pvp",15,MAX(0.1,Skills!E16-IF(Skills!F16=TRUE,Inputs!$B$31,0))))))/Skills!H16,1)))/Inputs!$B$35),G762*V762)*(1+IF(Inputs!$B$3&gt;=126,0.05*(B782+V759+(H760*B783)/(1+Skills!H14*H760*B783)+V770),0)*Skills!E15)*IF(Inputs!$B$4="pvp",1,(1-Summary!$B$56)*(1)+Summary!$B$56*(MIN(Skills!R16,Inputs!$B$37))),0)</f>
        <v>430214140356151.19</v>
      </c>
      <c r="P762">
        <f>IF(B785=0,0,O762/B785)</f>
        <v>5.155389958097039E-2</v>
      </c>
      <c r="S762">
        <f>IF(AND(Inputs!$B$4&lt;&gt;"pvp",Inputs!$B$35&gt;0),(INT(Inputs!$B$35/IF(Inputs!$B$4="pvp",15,MAX(0.1,Skills!E16-IF(Skills!F16=TRUE,Inputs!$B$31,0))))+1),0)</f>
        <v>0</v>
      </c>
      <c r="V762">
        <f>IFERROR(1/IF(Inputs!$B$4="pvp",15,MAX(0.1,Skills!E16-IF(Skills!F16=TRUE,Inputs!$B$31,0))),0)</f>
        <v>0.04</v>
      </c>
    </row>
    <row r="763" spans="1:22" x14ac:dyDescent="0.2">
      <c r="A763" t="str">
        <f>Skills!A17</f>
        <v>MAGIC_GUARD</v>
      </c>
      <c r="B763" t="str">
        <f>Skills!B17</f>
        <v>Magic Guard</v>
      </c>
      <c r="C763" t="b">
        <f>TRUE</f>
        <v>1</v>
      </c>
      <c r="D763">
        <f>IF(Skills!C17=1,60+Inputs!$B$24+Inputs!$B$28,IF(Skills!C17=2,90+Inputs!$B$25+Inputs!$B$28,IF(Skills!C17=3,120+(Inputs!$B$26+1)+Inputs!$B$28,MAX(0,(Inputs!$B$3-100)*3)+Inputs!$B$27+Inputs!$B$28)))</f>
        <v>115</v>
      </c>
      <c r="E763">
        <f>INDEX(FactorTable!$B$2:$Y$301, MATCH(ROUND(MIN(300,MAX(1,D763)),0), FactorTable!$A$2:$A$301,0), Skills!M17+1)</f>
        <v>1460</v>
      </c>
      <c r="F763">
        <f>IF(Skills!N17=TRUE,(Skills!L17/10)*(E763/1000),Skills!L17/10)+Skills!O17</f>
        <v>17.52</v>
      </c>
      <c r="G763">
        <f>Calc!G17</f>
        <v>1</v>
      </c>
      <c r="H763">
        <f>Calc!H17</f>
        <v>1</v>
      </c>
      <c r="I763">
        <f>IF(Skills!X17&lt;&gt;"",1+(Skills!X17/10)*(R749/1000)/100,1)</f>
        <v>1</v>
      </c>
      <c r="O763">
        <v>0</v>
      </c>
      <c r="P763">
        <f>IF(B785=0,0,O763/B785)</f>
        <v>0</v>
      </c>
      <c r="S763">
        <f>IF(AND(Inputs!$B$4&lt;&gt;"pvp",Inputs!$B$35&gt;0),(INT(Inputs!$B$35/IF(Inputs!$B$4="pvp",15,MAX(0.1,Skills!E17-IF(Skills!F17=TRUE,Inputs!$B$31,0))))+1),0)</f>
        <v>0</v>
      </c>
      <c r="V763">
        <f>IFERROR(1/IF(Inputs!$B$4="pvp",15,MAX(0.1,Skills!E17-IF(Skills!F17=TRUE,Inputs!$B$31,0))),0)</f>
        <v>4.7619047619047616E-2</v>
      </c>
    </row>
    <row r="764" spans="1:22" x14ac:dyDescent="0.2">
      <c r="A764" t="str">
        <f>Skills!A18</f>
        <v>NIMBLE_FEET</v>
      </c>
      <c r="B764" t="str">
        <f>Skills!B18</f>
        <v>Nimble Feet</v>
      </c>
      <c r="C764" t="b">
        <f>TRUE</f>
        <v>1</v>
      </c>
      <c r="D764">
        <f>IF(Skills!C18=1,60+Inputs!$B$24+Inputs!$B$28,IF(Skills!C18=2,90+Inputs!$B$25+Inputs!$B$28,IF(Skills!C18=3,120+(Inputs!$B$26+1)+Inputs!$B$28,MAX(0,(Inputs!$B$3-100)*3)+Inputs!$B$27+Inputs!$B$28)))</f>
        <v>115</v>
      </c>
      <c r="E764">
        <f>INDEX(FactorTable!$B$2:$Y$301, MATCH(ROUND(MIN(300,MAX(1,D764)),0), FactorTable!$A$2:$A$301,0), Skills!M18+1)</f>
        <v>0</v>
      </c>
      <c r="F764">
        <f>IF(Skills!N18=TRUE,(Skills!L18/10)*(E764/1000),Skills!L18/10)+Skills!O18</f>
        <v>15</v>
      </c>
      <c r="G764">
        <f>Calc!G18</f>
        <v>1</v>
      </c>
      <c r="H764">
        <f>Calc!H18</f>
        <v>1</v>
      </c>
      <c r="I764">
        <f>IF(Skills!X18&lt;&gt;"",1+(Skills!X18/10)*(R749/1000)/100,1)</f>
        <v>1</v>
      </c>
      <c r="O764">
        <v>0</v>
      </c>
      <c r="P764">
        <f>IF(B785=0,0,O764/B785)</f>
        <v>0</v>
      </c>
      <c r="S764">
        <f>IF(AND(Inputs!$B$4&lt;&gt;"pvp",Inputs!$B$35&gt;0),(INT(Inputs!$B$35/IF(Inputs!$B$4="pvp",15,MAX(0.1,Skills!E18-IF(Skills!F18=TRUE,Inputs!$B$31,0))))+1),0)</f>
        <v>0</v>
      </c>
      <c r="V764">
        <f>IFERROR(1/IF(Inputs!$B$4="pvp",15,MAX(0.1,Skills!E18-IF(Skills!F18=TRUE,Inputs!$B$31,0))),0)</f>
        <v>1.6666666666666666E-2</v>
      </c>
    </row>
    <row r="765" spans="1:22" x14ac:dyDescent="0.2">
      <c r="A765" t="str">
        <f>Skills!A19</f>
        <v>INFINITY</v>
      </c>
      <c r="B765" t="str">
        <f>Skills!B19</f>
        <v>Infinity</v>
      </c>
      <c r="C765" t="b">
        <f>Inputs!$B$3&gt;=110</f>
        <v>1</v>
      </c>
      <c r="D765">
        <f>IF(Skills!C19=1,60+Inputs!$B$24+Inputs!$B$28,IF(Skills!C19=2,90+Inputs!$B$25+Inputs!$B$28,IF(Skills!C19=3,120+(Inputs!$B$26+1)+Inputs!$B$28,MAX(0,(Inputs!$B$3-100)*3)+Inputs!$B$27+Inputs!$B$28)))</f>
        <v>172</v>
      </c>
      <c r="E765">
        <f>INDEX(FactorTable!$B$2:$Y$301, MATCH(ROUND(MIN(300,MAX(1,D765)),0), FactorTable!$A$2:$A$301,0), Skills!M19+1)</f>
        <v>1688</v>
      </c>
      <c r="F765">
        <f>IF(Skills!N19=TRUE,(Skills!L19/10)*(E765/1000),Skills!L19/10)+Skills!O19</f>
        <v>36.573895999999998</v>
      </c>
      <c r="G765">
        <f>Calc!G19</f>
        <v>1</v>
      </c>
      <c r="H765">
        <f>Calc!H19</f>
        <v>1</v>
      </c>
      <c r="I765">
        <f>IF(Skills!X19&lt;&gt;"",1+(Skills!X19/10)*(R749/1000)/100,1)</f>
        <v>1</v>
      </c>
      <c r="O765">
        <v>0</v>
      </c>
      <c r="P765">
        <f>IF(B785=0,0,O765/B785)</f>
        <v>0</v>
      </c>
      <c r="S765">
        <f>IF(AND(Inputs!$B$4&lt;&gt;"pvp",Inputs!$B$35&gt;0),(INT(Inputs!$B$35/IF(Inputs!$B$4="pvp",15,MAX(0.1,Skills!E19-IF(Skills!F19=TRUE,Inputs!$B$31,0))))+1),0)</f>
        <v>0</v>
      </c>
      <c r="V765">
        <f>IFERROR(1/IF(Inputs!$B$4="pvp",15,MAX(0.1,Skills!E19-IF(Skills!F19=TRUE,Inputs!$B$31,0))),0)</f>
        <v>3.3333333333333333E-2</v>
      </c>
    </row>
    <row r="766" spans="1:22" x14ac:dyDescent="0.2">
      <c r="A766" t="str">
        <f>Skills!A20</f>
        <v>MAGIC_CRITICAL_RATE</v>
      </c>
      <c r="B766" t="str">
        <f>Skills!B20</f>
        <v>Magic Critical (Crit Rate)</v>
      </c>
      <c r="C766" t="b">
        <f>TRUE</f>
        <v>1</v>
      </c>
      <c r="D766">
        <f>IF(Skills!C20=1,60+Inputs!$B$24+Inputs!$B$28,IF(Skills!C20=2,90+Inputs!$B$25+Inputs!$B$28,IF(Skills!C20=3,120+(Inputs!$B$26+1)+Inputs!$B$28,MAX(0,(Inputs!$B$3-100)*3)+Inputs!$B$27+Inputs!$B$28)))</f>
        <v>185</v>
      </c>
      <c r="E766">
        <f>INDEX(FactorTable!$B$2:$Y$301, MATCH(ROUND(MIN(300,MAX(1,D766)),0), FactorTable!$A$2:$A$301,0), Skills!M20+1)</f>
        <v>1555</v>
      </c>
      <c r="F766">
        <f>IF(Skills!N20=TRUE,(Skills!L20/10)*(E766/1000),Skills!L20/10)+Skills!O20</f>
        <v>12.44</v>
      </c>
      <c r="G766">
        <f>Calc!G20</f>
        <v>1</v>
      </c>
      <c r="H766">
        <f>Calc!H20</f>
        <v>1</v>
      </c>
      <c r="I766">
        <f>IF(Skills!X20&lt;&gt;"",1+(Skills!X20/10)*(R749/1000)/100,1)</f>
        <v>1</v>
      </c>
      <c r="O766">
        <v>0</v>
      </c>
      <c r="P766">
        <f>IF(B785=0,0,O766/B785)</f>
        <v>0</v>
      </c>
      <c r="S766">
        <v>0</v>
      </c>
      <c r="V766">
        <f>IFERROR(1/IF(Inputs!$B$4="pvp",15,MAX(0.1,Skills!E20-IF(Skills!F20=TRUE,Inputs!$B$31,0))),0)</f>
        <v>10</v>
      </c>
    </row>
    <row r="767" spans="1:22" x14ac:dyDescent="0.2">
      <c r="A767" t="str">
        <f>Skills!A21</f>
        <v>MAGIC_CRITICAL_DAMAGE</v>
      </c>
      <c r="B767" t="str">
        <f>Skills!B21</f>
        <v>Magic Critical (Crit Damage)</v>
      </c>
      <c r="C767" t="b">
        <f>TRUE</f>
        <v>1</v>
      </c>
      <c r="D767">
        <f>IF(Skills!C21=1,60+Inputs!$B$24+Inputs!$B$28,IF(Skills!C21=2,90+Inputs!$B$25+Inputs!$B$28,IF(Skills!C21=3,120+(Inputs!$B$26+1)+Inputs!$B$28,MAX(0,(Inputs!$B$3-100)*3)+Inputs!$B$27+Inputs!$B$28)))</f>
        <v>185</v>
      </c>
      <c r="E767">
        <f>INDEX(FactorTable!$B$2:$Y$301, MATCH(ROUND(MIN(300,MAX(1,D767)),0), FactorTable!$A$2:$A$301,0), Skills!M21+1)</f>
        <v>1555</v>
      </c>
      <c r="F767">
        <f>IF(Skills!N21=TRUE,(Skills!L21/10)*(E767/1000),Skills!L21/10)+Skills!O21</f>
        <v>18.66</v>
      </c>
      <c r="G767">
        <f>Calc!G21</f>
        <v>1</v>
      </c>
      <c r="H767">
        <f>Calc!H21</f>
        <v>1</v>
      </c>
      <c r="I767">
        <f>IF(Skills!X21&lt;&gt;"",1+(Skills!X21/10)*(R749/1000)/100,1)</f>
        <v>1</v>
      </c>
      <c r="O767">
        <v>0</v>
      </c>
      <c r="P767">
        <f>IF(B785=0,0,O767/B785)</f>
        <v>0</v>
      </c>
      <c r="S767">
        <v>0</v>
      </c>
      <c r="V767">
        <f>IFERROR(1/IF(Inputs!$B$4="pvp",15,MAX(0.1,Skills!E21-IF(Skills!F21=TRUE,Inputs!$B$31,0))),0)</f>
        <v>10</v>
      </c>
    </row>
    <row r="768" spans="1:22" x14ac:dyDescent="0.2">
      <c r="A768" t="str">
        <f>Skills!A22</f>
        <v>SPELL_MASTERY</v>
      </c>
      <c r="B768" t="str">
        <f>Skills!B22</f>
        <v>Spell Mastery</v>
      </c>
      <c r="C768" t="b">
        <f>TRUE</f>
        <v>1</v>
      </c>
      <c r="D768">
        <f>IF(Skills!C22=1,60+Inputs!$B$24+Inputs!$B$28,IF(Skills!C22=2,90+Inputs!$B$25+Inputs!$B$28,IF(Skills!C22=3,120+(Inputs!$B$26+1)+Inputs!$B$28,MAX(0,(Inputs!$B$3-100)*3)+Inputs!$B$27+Inputs!$B$28)))</f>
        <v>164</v>
      </c>
      <c r="E768">
        <f>INDEX(FactorTable!$B$2:$Y$301, MATCH(ROUND(MIN(300,MAX(1,D768)),0), FactorTable!$A$2:$A$301,0), Skills!M22+1)</f>
        <v>1492</v>
      </c>
      <c r="F768">
        <f>IF(Skills!N22=TRUE,(Skills!L22/10)*(E768/1000),Skills!L22/10)+Skills!O22</f>
        <v>22.38</v>
      </c>
      <c r="G768">
        <f>Calc!G22</f>
        <v>1</v>
      </c>
      <c r="H768">
        <f>Calc!H22</f>
        <v>1</v>
      </c>
      <c r="I768">
        <f>IF(Skills!X22&lt;&gt;"",1+(Skills!X22/10)*(R749/1000)/100,1)</f>
        <v>1</v>
      </c>
      <c r="O768">
        <v>0</v>
      </c>
      <c r="P768">
        <f>IF(B785=0,0,O768/B785)</f>
        <v>0</v>
      </c>
      <c r="S768">
        <v>0</v>
      </c>
      <c r="V768">
        <f>IFERROR(1/IF(Inputs!$B$4="pvp",15,MAX(0.1,Skills!E22-IF(Skills!F22=TRUE,Inputs!$B$31,0))),0)</f>
        <v>10</v>
      </c>
    </row>
    <row r="769" spans="1:22" x14ac:dyDescent="0.2">
      <c r="A769" t="str">
        <f>Skills!A23</f>
        <v>ELEMENT_AMPLIFICATION</v>
      </c>
      <c r="B769" t="str">
        <f>Skills!B23</f>
        <v>Element Amplification</v>
      </c>
      <c r="C769" t="b">
        <f>TRUE</f>
        <v>1</v>
      </c>
      <c r="D769">
        <f>IF(Skills!C23=1,60+Inputs!$B$24+Inputs!$B$28,IF(Skills!C23=2,90+Inputs!$B$25+Inputs!$B$28,IF(Skills!C23=3,120+(Inputs!$B$26+1)+Inputs!$B$28,MAX(0,(Inputs!$B$3-100)*3)+Inputs!$B$27+Inputs!$B$28)))</f>
        <v>172</v>
      </c>
      <c r="E769">
        <f>INDEX(FactorTable!$B$2:$Y$301, MATCH(ROUND(MIN(300,MAX(1,D769)),0), FactorTable!$A$2:$A$301,0), Skills!M23+1)</f>
        <v>1516</v>
      </c>
      <c r="F769">
        <f>IF(Skills!N23=TRUE,(Skills!L23/10)*(E769/1000),Skills!L23/10)+Skills!O23</f>
        <v>22.740000000000002</v>
      </c>
      <c r="G769">
        <f>Calc!G23</f>
        <v>1</v>
      </c>
      <c r="H769">
        <f>Calc!H23</f>
        <v>1</v>
      </c>
      <c r="I769">
        <f>IF(Skills!X23&lt;&gt;"",1+(Skills!X23/10)*(R749/1000)/100,1)</f>
        <v>1</v>
      </c>
      <c r="O769">
        <v>0</v>
      </c>
      <c r="P769">
        <f>IF(B785=0,0,O769/B785)</f>
        <v>0</v>
      </c>
      <c r="S769">
        <v>0</v>
      </c>
      <c r="V769">
        <f>IFERROR(1/IF(Inputs!$B$4="pvp",15,MAX(0.1,Skills!E23-IF(Skills!F23=TRUE,Inputs!$B$31,0))),0)</f>
        <v>10</v>
      </c>
    </row>
    <row r="770" spans="1:22" x14ac:dyDescent="0.2">
      <c r="A770" t="str">
        <f>Skills!A24</f>
        <v>IFRIT</v>
      </c>
      <c r="B770" t="str">
        <f>Skills!B24</f>
        <v>Ifrit</v>
      </c>
      <c r="C770" t="b">
        <f>Inputs!$B$3&gt;=115</f>
        <v>0</v>
      </c>
      <c r="D770">
        <f>IF(Skills!C24=1,60+Inputs!$B$24+Inputs!$B$28,IF(Skills!C24=2,90+Inputs!$B$25+Inputs!$B$28,IF(Skills!C24=3,120+(Inputs!$B$26+1)+Inputs!$B$28,MAX(0,(Inputs!$B$3-100)*3)+Inputs!$B$27+Inputs!$B$28)))</f>
        <v>172</v>
      </c>
      <c r="E770">
        <f>INDEX(FactorTable!$B$2:$Y$301, MATCH(ROUND(MIN(300,MAX(1,D770)),0), FactorTable!$A$2:$A$301,0), Skills!M24+1)</f>
        <v>1860</v>
      </c>
      <c r="F770">
        <f>IF(Skills!N24=TRUE,(Skills!L24/10)*(E770/1000),Skills!L24/10)+Skills!O24</f>
        <v>6510</v>
      </c>
      <c r="G770">
        <f>Calc!G24</f>
        <v>7.5</v>
      </c>
      <c r="H770">
        <f>Calc!H24</f>
        <v>1</v>
      </c>
      <c r="I770">
        <f>IF(Skills!X24&lt;&gt;"",1+(Skills!X24/10)*(R749/1000)/100,1)</f>
        <v>1</v>
      </c>
      <c r="J770">
        <f>((Inputs!$B$5*(1+Inputs!$B$6/100))+((Inputs!$B$11*(1+Inputs!$B$12/100))-(Inputs!$B$11*(1+Inputs!$B$12/100)))*(1+Inputs!$B$6/100))*(F770/100)</f>
        <v>16263999540.532799</v>
      </c>
      <c r="K770">
        <f>J770*(1+((Inputs!$B$11*(1+Inputs!$B$12/100))*0.01+Inputs!$B$13*0.0025)/100)*(1+Inputs!$B$14/100)*(1+IF(Inputs!$B$4="pvp",0,(1-Summary!$B$56)*(Inputs!$B$19+Skills!P24)+Summary!$B$56*(Inputs!$B$20+Skills!Q24))/100)*(1+Inputs!$B$15/100)*(5000/(6000+Inputs!$B$7*(1-Inputs!$B$18/100)))*(1+Inputs!$B$23/100)*(1+F769/100)*(1+IF(Inputs!$B$3&gt;=120,F772,0)/100)^5*(1+(IF(Skills!A24="BASIC_ATTACK",Inputs!$B$16,Inputs!$B$17+IF(Inputs!$B$3&gt;=125,F773*5,0)))/100)*(B776*B777*B778*I770)</f>
        <v>123772787879801</v>
      </c>
      <c r="L770">
        <f>K770*(MIN(Inputs!$B$21+(F768-Calc!F22),Inputs!$B$22)/100+Inputs!$B$22/100)/2</f>
        <v>334124640881522.75</v>
      </c>
      <c r="M770">
        <f>L770*(1+(Inputs!$B$9+(F767-Calc!F21))/100)</f>
        <v>1400436654805179.2</v>
      </c>
      <c r="N770">
        <f>L770*(1-MIN(Inputs!$B$8+(F766-Calc!F20),100)/100)+M770*(MIN(Inputs!$B$8+(F766-Calc!F20),100)/100)</f>
        <v>1400436654805179.2</v>
      </c>
      <c r="O770">
        <f>IF(C770,H770*N770*IF(AND(Inputs!$B$4&lt;&gt;"pvp",Inputs!$B$35&gt;0),((Skills!G24*((S770-1)*IF(Skills!H24&gt;0,Skills!I24/Skills!H24,1)+IF(Skills!H24&gt;0,MIN(Skills!I24,MAX(0,Inputs!$B$35-((S770-1)*IF(Inputs!$B$4="pvp",15,MAX(0.1,Skills!E24-IF(Skills!F24=TRUE,Inputs!$B$31,0))))))/Skills!H24,1)))/Inputs!$B$35),G770*V770)*(1+IF(Inputs!$B$3&gt;=130,0.2*(Skills!I16/Skills!E15+IF(Inputs!$B$3&gt;=126,0.05*(B782+V759+(H760*B783)/(1+Skills!H14*H760*B783)+V770),0)*Skills!I16),0))*IF(Inputs!$B$4="pvp",1,(1-Summary!$B$56)*(1)+Summary!$B$56*(MIN(Skills!R24,Inputs!$B$37))),0)</f>
        <v>0</v>
      </c>
      <c r="P770">
        <f>IF(B785=0,0,O770/B785)</f>
        <v>0</v>
      </c>
      <c r="S770">
        <f>IF(AND(Inputs!$B$4&lt;&gt;"pvp",Inputs!$B$35&gt;0),(INT(Inputs!$B$35/IF(Inputs!$B$4="pvp",15,MAX(0.1,Skills!E24-IF(Skills!F24=TRUE,Inputs!$B$31,0))))+1),0)</f>
        <v>0</v>
      </c>
      <c r="V770">
        <f>IFERROR(1/IF(Inputs!$B$4="pvp",15,MAX(0.1,Skills!E24-IF(Skills!F24=TRUE,Inputs!$B$31,0))),0)</f>
        <v>1.2500000000000001E-2</v>
      </c>
    </row>
    <row r="771" spans="1:22" x14ac:dyDescent="0.2">
      <c r="A771" t="str">
        <f>Skills!A25</f>
        <v>BUFF_MASTERY</v>
      </c>
      <c r="B771" t="str">
        <f>Skills!B25</f>
        <v>Buff Mastery</v>
      </c>
      <c r="C771" t="b">
        <f>Inputs!$B$3&gt;=117</f>
        <v>0</v>
      </c>
      <c r="D771">
        <f>IF(Skills!C25=1,60+Inputs!$B$24+Inputs!$B$28,IF(Skills!C25=2,90+Inputs!$B$25+Inputs!$B$28,IF(Skills!C25=3,120+(Inputs!$B$26+1)+Inputs!$B$28,MAX(0,(Inputs!$B$3-100)*3)+Inputs!$B$27+Inputs!$B$28)))</f>
        <v>172</v>
      </c>
      <c r="E771">
        <f>INDEX(FactorTable!$B$2:$Y$301, MATCH(ROUND(MIN(300,MAX(1,D771)),0), FactorTable!$A$2:$A$301,0), Skills!M25+1)</f>
        <v>1516</v>
      </c>
      <c r="F771">
        <f>IF(Skills!N25=TRUE,(Skills!L25/10)*(E771/1000),Skills!L25/10)+Skills!O25</f>
        <v>15.16</v>
      </c>
      <c r="G771">
        <f>Calc!G25</f>
        <v>1</v>
      </c>
      <c r="H771">
        <f>Calc!H25</f>
        <v>1</v>
      </c>
      <c r="I771">
        <f>IF(Skills!X25&lt;&gt;"",1+(Skills!X25/10)*(R749/1000)/100,1)</f>
        <v>1</v>
      </c>
      <c r="O771">
        <v>0</v>
      </c>
      <c r="P771">
        <f>IF(B785=0,0,O771/B785)</f>
        <v>0</v>
      </c>
      <c r="S771">
        <v>0</v>
      </c>
      <c r="V771">
        <f>IFERROR(1/IF(Inputs!$B$4="pvp",15,MAX(0.1,Skills!E25-IF(Skills!F25=TRUE,Inputs!$B$31,0))),0)</f>
        <v>10</v>
      </c>
    </row>
    <row r="772" spans="1:22" x14ac:dyDescent="0.2">
      <c r="A772" t="str">
        <f>Skills!A26</f>
        <v>ARCANE_AIM</v>
      </c>
      <c r="B772" t="str">
        <f>Skills!B26</f>
        <v>Arcane Aim</v>
      </c>
      <c r="C772" t="b">
        <f>Inputs!$B$3&gt;=120</f>
        <v>0</v>
      </c>
      <c r="D772">
        <f>IF(Skills!C26=1,60+Inputs!$B$24+Inputs!$B$28,IF(Skills!C26=2,90+Inputs!$B$25+Inputs!$B$28,IF(Skills!C26=3,120+(Inputs!$B$26+1)+Inputs!$B$28,MAX(0,(Inputs!$B$3-100)*3)+Inputs!$B$27+Inputs!$B$28)))</f>
        <v>172</v>
      </c>
      <c r="E772">
        <f>INDEX(FactorTable!$B$2:$Y$301, MATCH(ROUND(MIN(300,MAX(1,D772)),0), FactorTable!$A$2:$A$301,0), Skills!M26+1)</f>
        <v>1516</v>
      </c>
      <c r="F772">
        <f>IF(Skills!N26=TRUE,(Skills!L26/10)*(E772/1000),Skills!L26/10)+Skills!O26</f>
        <v>4.548</v>
      </c>
      <c r="G772">
        <f>Calc!G26</f>
        <v>1</v>
      </c>
      <c r="H772">
        <f>Calc!H26</f>
        <v>1</v>
      </c>
      <c r="I772">
        <f>IF(Skills!X26&lt;&gt;"",1+(Skills!X26/10)*(R749/1000)/100,1)</f>
        <v>1</v>
      </c>
      <c r="O772">
        <v>0</v>
      </c>
      <c r="P772">
        <f>IF(B785=0,0,O772/B785)</f>
        <v>0</v>
      </c>
      <c r="S772">
        <v>0</v>
      </c>
      <c r="V772">
        <f>IFERROR(1/IF(Inputs!$B$4="pvp",15,MAX(0.1,Skills!E26-IF(Skills!F26=TRUE,Inputs!$B$31,0))),0)</f>
        <v>10</v>
      </c>
    </row>
    <row r="773" spans="1:22" x14ac:dyDescent="0.2">
      <c r="A773" t="str">
        <f>Skills!A27</f>
        <v>FERVENT_DRAIN</v>
      </c>
      <c r="B773" t="str">
        <f>Skills!B27</f>
        <v>Fervent Drain</v>
      </c>
      <c r="C773" t="b">
        <f>Inputs!$B$3&gt;=125</f>
        <v>0</v>
      </c>
      <c r="D773">
        <f>IF(Skills!C27=1,60+Inputs!$B$24+Inputs!$B$28,IF(Skills!C27=2,90+Inputs!$B$25+Inputs!$B$28,IF(Skills!C27=3,120+(Inputs!$B$26+1)+Inputs!$B$28,MAX(0,(Inputs!$B$3-100)*3)+Inputs!$B$27+Inputs!$B$28)))</f>
        <v>172</v>
      </c>
      <c r="E773">
        <f>INDEX(FactorTable!$B$2:$Y$301, MATCH(ROUND(MIN(300,MAX(1,D773)),0), FactorTable!$A$2:$A$301,0), Skills!M27+1)</f>
        <v>1516</v>
      </c>
      <c r="F773">
        <f>IF(Skills!N27=TRUE,(Skills!L27/10)*(E773/1000),Skills!L27/10)+Skills!O27</f>
        <v>6.0640000000000001</v>
      </c>
      <c r="G773">
        <f>Calc!G27</f>
        <v>1</v>
      </c>
      <c r="H773">
        <f>Calc!H27</f>
        <v>1</v>
      </c>
      <c r="I773">
        <f>IF(Skills!X27&lt;&gt;"",1+(Skills!X27/10)*(R749/1000)/100,1)</f>
        <v>1</v>
      </c>
      <c r="O773">
        <v>0</v>
      </c>
      <c r="P773">
        <f>IF(B785=0,0,O773/B785)</f>
        <v>0</v>
      </c>
      <c r="S773">
        <v>0</v>
      </c>
      <c r="V773">
        <f>IFERROR(1/IF(Inputs!$B$4="pvp",15,MAX(0.1,Skills!E27-IF(Skills!F27=TRUE,Inputs!$B$31,0))),0)</f>
        <v>10</v>
      </c>
    </row>
    <row r="774" spans="1:22" x14ac:dyDescent="0.2">
      <c r="A774" t="str">
        <f>Skills!A28</f>
        <v>FLAME_HAZE_FOG</v>
      </c>
      <c r="B774" t="str">
        <f>Skills!B28</f>
        <v>Flame Haze (poison fog DoT)</v>
      </c>
      <c r="C774" t="b">
        <f>Inputs!$B$3&gt;=118</f>
        <v>0</v>
      </c>
      <c r="D774">
        <f>IF(Skills!C28=1,60+Inputs!$B$24+Inputs!$B$28,IF(Skills!C28=2,90+Inputs!$B$25+Inputs!$B$28,IF(Skills!C28=3,120+(Inputs!$B$26+1)+Inputs!$B$28,MAX(0,(Inputs!$B$3-100)*3)+Inputs!$B$27+Inputs!$B$28)))</f>
        <v>172</v>
      </c>
      <c r="E774">
        <f>INDEX(FactorTable!$B$2:$Y$301, MATCH(ROUND(MIN(300,MAX(1,D774)),0), FactorTable!$A$2:$A$301,0), Skills!M28+1)</f>
        <v>1860</v>
      </c>
      <c r="F774">
        <f>IF(Skills!N28=TRUE,(Skills!L28/10)*(E774/1000),Skills!L28/10)+Skills!O28</f>
        <v>130.20000000000002</v>
      </c>
      <c r="G774">
        <f>Calc!G28</f>
        <v>50</v>
      </c>
      <c r="H774">
        <f>Calc!H28</f>
        <v>1</v>
      </c>
      <c r="I774">
        <f>IF(Skills!X28&lt;&gt;"",1+(Skills!X28/10)*(R749/1000)/100,1)</f>
        <v>1</v>
      </c>
      <c r="J774">
        <f>((Inputs!$B$5*(1+Inputs!$B$6/100))+((Inputs!$B$11*(1+Inputs!$B$12/100))-(Inputs!$B$11*(1+Inputs!$B$12/100)))*(1+Inputs!$B$6/100))*(F774/100)</f>
        <v>325279990.81065607</v>
      </c>
      <c r="K774">
        <f>J774*(1+((Inputs!$B$11*(1+Inputs!$B$12/100))*0.01+Inputs!$B$13*0.0025)/100)*(1+Inputs!$B$14/100)*(1+IF(Inputs!$B$4="pvp",0,(1-Summary!$B$56)*(Inputs!$B$19+Skills!P28)+Summary!$B$56*(Inputs!$B$20+Skills!Q28))/100)*(1+Inputs!$B$15/100)*(5000/(6000+Inputs!$B$7*(1-Inputs!$B$18/100)))*(1+Inputs!$B$23/100)*(1+F769/100)*(1+IF(Inputs!$B$3&gt;=120,F772,0)/100)^5*(1+(IF(Skills!A28="BASIC_ATTACK",Inputs!$B$16,Inputs!$B$17+IF(Inputs!$B$3&gt;=125,F773*5,0)))/100)*(B776*B777*B778*I774)</f>
        <v>2475455757596.0215</v>
      </c>
      <c r="L774">
        <f>K774*(MIN(Inputs!$B$21+(F768-Calc!F22),Inputs!$B$22)/100+Inputs!$B$22/100)/2</f>
        <v>6682492817630.459</v>
      </c>
      <c r="M774">
        <f>L774*(1+(Inputs!$B$9+(F767-Calc!F21))/100)</f>
        <v>28008733096103.602</v>
      </c>
      <c r="N774">
        <f>L774*(1-MIN(Inputs!$B$8+(F766-Calc!F20),100)/100)+M774*(MIN(Inputs!$B$8+(F766-Calc!F20),100)/100)</f>
        <v>28008733096103.602</v>
      </c>
      <c r="O774">
        <f>IF(C774,H774*N774*IF(AND(Inputs!$B$4&lt;&gt;"pvp",Inputs!$B$35&gt;0),((Skills!G28*((S774-1)*IF(Skills!H28&gt;0,Skills!I28/Skills!H28,1)+IF(Skills!H28&gt;0,MIN(Skills!I28,MAX(0,Inputs!$B$35-((S774-1)*IF(Inputs!$B$4="pvp",15,MAX(0.1,Skills!E28-IF(Skills!F28=TRUE,Inputs!$B$31,0))))))/Skills!H28,1)))/Inputs!$B$35),G774*V774)*IF(Inputs!$B$4="pvp",1,(1-Summary!$B$56)*(1)+Summary!$B$56*(MIN(Skills!R28,Inputs!$B$37))),0)</f>
        <v>0</v>
      </c>
      <c r="P774">
        <f>IF(B785=0,0,O774/B785)</f>
        <v>0</v>
      </c>
      <c r="S774">
        <f>IF(AND(Inputs!$B$4&lt;&gt;"pvp",Inputs!$B$35&gt;0),(INT(Inputs!$B$35/IF(Inputs!$B$4="pvp",15,MAX(0.1,Skills!E28-IF(Skills!F28=TRUE,Inputs!$B$31,0))))+1),0)</f>
        <v>0</v>
      </c>
      <c r="V774">
        <f>IFERROR(1/IF(Inputs!$B$4="pvp",15,MAX(0.1,Skills!E28-IF(Skills!F28=TRUE,Inputs!$B$31,0))),0)</f>
        <v>0.04</v>
      </c>
    </row>
    <row r="776" spans="1:22" x14ac:dyDescent="0.2">
      <c r="A776" t="s">
        <v>222</v>
      </c>
      <c r="B776">
        <f>1+(F757*Skills!Z11)/100</f>
        <v>1.25</v>
      </c>
    </row>
    <row r="777" spans="1:22" x14ac:dyDescent="0.2">
      <c r="A777" t="s">
        <v>223</v>
      </c>
      <c r="B777">
        <f>1+F758/100</f>
        <v>1.1865999999999999</v>
      </c>
    </row>
    <row r="778" spans="1:22" x14ac:dyDescent="0.2">
      <c r="A778" t="s">
        <v>224</v>
      </c>
      <c r="B778">
        <f>(1+(F752*IF(AND(Inputs!$B$4&lt;&gt;"pvp",Inputs!$B$35&gt;0),(((S752-1)*(Skills!T6*(1+(Inputs!$B$33+IF(Inputs!$B$3&gt;=117,F771,0))/100))+MIN((Skills!T6*(1+(Inputs!$B$33+IF(Inputs!$B$3&gt;=117,F771,0))/100)),MAX(0,Inputs!$B$35-((S752-1)*Skills!E6))))/Inputs!$B$35),IF(Inputs!$B$4="pvp",MIN((Skills!T6*(1+(Inputs!$B$33+IF(Inputs!$B$3&gt;=117,F771,0))/100)),15)/15,(Skills!T6*(1+(Inputs!$B$33+IF(Inputs!$B$3&gt;=117,F771,0))/100))/Skills!E6))+F763*IF(AND(Inputs!$B$4&lt;&gt;"pvp",Inputs!$B$35&gt;0),(((S763-1)*(Skills!T17*(1+(Inputs!$B$33+IF(Inputs!$B$3&gt;=117,F771,0))/100))+MIN((Skills!T17*(1+(Inputs!$B$33+IF(Inputs!$B$3&gt;=117,F771,0))/100)),MAX(0,Inputs!$B$35-((S763-1)*Skills!E17))))/Inputs!$B$35),IF(Inputs!$B$4="pvp",MIN((Skills!T17*(1+(Inputs!$B$33+IF(Inputs!$B$3&gt;=117,F771,0))/100)),15)/15,(Skills!T17*(1+(Inputs!$B$33+IF(Inputs!$B$3&gt;=117,F771,0))/100))/Skills!E17)))/100)*IF(C765=TRUE,(1+F765*IF(AND(Inputs!$B$4&lt;&gt;"pvp",Inputs!$B$35&gt;0),(((S765-1)*(Skills!T19*(1+(Inputs!$B$33+IF(Inputs!$B$3&gt;=117,F771,0))/100))+MIN((Skills!T19*(1+(Inputs!$B$33+IF(Inputs!$B$3&gt;=117,F771,0))/100)),MAX(0,Inputs!$B$35-((S765-1)*Skills!E19))))/Inputs!$B$35),IF(Inputs!$B$4="pvp",MIN((Skills!T19*(1+(Inputs!$B$33+IF(Inputs!$B$3&gt;=117,F771,0))/100)),15)/15,(Skills!T19*(1+(Inputs!$B$33+IF(Inputs!$B$3&gt;=117,F771,0))/100))/Skills!E19))/100),1)</f>
        <v>1.5603265106950857</v>
      </c>
    </row>
    <row r="779" spans="1:22" x14ac:dyDescent="0.2">
      <c r="A779" t="s">
        <v>225</v>
      </c>
      <c r="B779">
        <f>F764*IF(AND(Inputs!$B$4&lt;&gt;"pvp",Inputs!$B$35&gt;0),(((S764-1)*(Skills!T18*(1+(Inputs!$B$33+IF(Inputs!$B$3&gt;=117,F771,0))/100))+MIN((Skills!T18*(1+(Inputs!$B$33+IF(Inputs!$B$3&gt;=117,F771,0))/100)),MAX(0,Inputs!$B$35-((S764-1)*Skills!E18))))/Inputs!$B$35),IF(Inputs!$B$4="pvp",MIN((Skills!T18*(1+(Inputs!$B$33+IF(Inputs!$B$3&gt;=117,F771,0))/100)),15)/15,(Skills!T18*(1+(Inputs!$B$33+IF(Inputs!$B$3&gt;=117,F771,0))/100))/Skills!E18))</f>
        <v>3.75</v>
      </c>
    </row>
    <row r="780" spans="1:22" x14ac:dyDescent="0.2">
      <c r="A780" t="s">
        <v>253</v>
      </c>
      <c r="B780">
        <f>1+MIN(150,150*(1-(1-Inputs!$B$10/150)*(1-B779/150)))/100</f>
        <v>1.6371249999999999</v>
      </c>
    </row>
    <row r="781" spans="1:22" x14ac:dyDescent="0.2">
      <c r="A781" t="s">
        <v>254</v>
      </c>
      <c r="B781">
        <f>IF(AND(Inputs!$B$4&lt;&gt;"pvp",Inputs!$B$35&gt;0),SUMPRODUCT((Skills!F2:F28=TRUE)*(C748:C774=TRUE)*S748:S774)/Inputs!$B$35,SUMPRODUCT((Skills!F2:F28=TRUE)*(C748:C774=TRUE)*V748:V774))</f>
        <v>0.33466433037861604</v>
      </c>
    </row>
    <row r="782" spans="1:22" x14ac:dyDescent="0.2">
      <c r="A782" t="s">
        <v>228</v>
      </c>
      <c r="B782">
        <f>MAX(0,B780-B781)</f>
        <v>1.3024606696213838</v>
      </c>
    </row>
    <row r="783" spans="1:22" x14ac:dyDescent="0.2">
      <c r="A783" t="s">
        <v>255</v>
      </c>
      <c r="B783">
        <f>IF(AND(Inputs!$B$4&lt;&gt;"pvp",Inputs!$B$35&gt;0),SUMPRODUCT((Skills!V2:V28=TRUE)*(C748:C774=TRUE)*S748:S774*Skills!W2:W28)/Inputs!$B$35,SUMPRODUCT((Skills!V2:V28=TRUE)*(C748:C774=TRUE)*V748:V774*Skills!W2:W28))+B782</f>
        <v>1.5297416426166426</v>
      </c>
    </row>
    <row r="785" spans="1:22" x14ac:dyDescent="0.2">
      <c r="A785" s="5" t="s">
        <v>208</v>
      </c>
      <c r="B785" s="5">
        <f>SUM(O748:O774)</f>
        <v>8344938866951437</v>
      </c>
    </row>
    <row r="788" spans="1:22" x14ac:dyDescent="0.2">
      <c r="A788" s="5" t="s">
        <v>273</v>
      </c>
    </row>
    <row r="789" spans="1:22" x14ac:dyDescent="0.2">
      <c r="A789" s="8" t="s">
        <v>74</v>
      </c>
      <c r="B789" s="8" t="s">
        <v>75</v>
      </c>
      <c r="C789" s="8" t="s">
        <v>190</v>
      </c>
      <c r="D789" s="8" t="s">
        <v>191</v>
      </c>
      <c r="E789" s="8" t="s">
        <v>192</v>
      </c>
      <c r="F789" s="8" t="s">
        <v>193</v>
      </c>
      <c r="G789" s="8" t="s">
        <v>194</v>
      </c>
      <c r="H789" s="8" t="s">
        <v>195</v>
      </c>
      <c r="I789" s="8" t="s">
        <v>196</v>
      </c>
      <c r="J789" s="8" t="s">
        <v>197</v>
      </c>
      <c r="K789" s="8" t="s">
        <v>198</v>
      </c>
      <c r="L789" s="8" t="s">
        <v>199</v>
      </c>
      <c r="M789" s="8" t="s">
        <v>200</v>
      </c>
      <c r="N789" s="8" t="s">
        <v>201</v>
      </c>
      <c r="O789" s="8" t="s">
        <v>202</v>
      </c>
      <c r="P789" s="8" t="s">
        <v>203</v>
      </c>
      <c r="R789" t="s">
        <v>252</v>
      </c>
    </row>
    <row r="790" spans="1:22" x14ac:dyDescent="0.2">
      <c r="A790" t="str">
        <f>Skills!A2</f>
        <v>BASIC_ATTACK</v>
      </c>
      <c r="B790" t="str">
        <f>Skills!B2</f>
        <v>Basic Attack</v>
      </c>
      <c r="C790" t="b">
        <f>TRUE</f>
        <v>1</v>
      </c>
      <c r="F790">
        <f>T792+Skills!O2</f>
        <v>511.68</v>
      </c>
      <c r="G790">
        <f>Calc!G2</f>
        <v>5</v>
      </c>
      <c r="H790">
        <f>Calc!H2</f>
        <v>1</v>
      </c>
      <c r="I790">
        <f>IF(Skills!X2&lt;&gt;"",1+(Skills!X2/10)*(R791/1000)/100,1)</f>
        <v>1</v>
      </c>
      <c r="J790">
        <f>((Inputs!$B$5*(1+Inputs!$B$6/100))+((Inputs!$B$11*(1+Inputs!$B$12/100))-(Inputs!$B$11*(1+Inputs!$B$12/100)))*(1+Inputs!$B$6/100))*(F790/100)</f>
        <v>1278335374.0245504</v>
      </c>
      <c r="K790">
        <f>J790*(1+((Inputs!$B$11*(1+Inputs!$B$12/100))*0.01+Inputs!$B$13*0.0025)/100)*(1+Inputs!$B$14/100)*(1+IF(Inputs!$B$4="pvp",0,(1-Summary!$B$56)*(Inputs!$B$19+Skills!P2)+Summary!$B$56*(Inputs!$B$20+Skills!Q2))/100)*(1+Inputs!$B$15/100)*(5000/(6000+Inputs!$B$7*(1-Inputs!$B$18/100)))*(1+Inputs!$B$23/100)*(1+F811/100)*(1+IF(Inputs!$B$3&gt;=120,F814,0)/100)^5*(1+(IF(Skills!A2="BASIC_ATTACK",Inputs!$B$16,Inputs!$B$17+IF(Inputs!$B$3&gt;=125,F815*5,0)))/100)*(B818*B819*B820*I790)</f>
        <v>6981883930568.4766</v>
      </c>
      <c r="L790">
        <f>K790*(MIN(Inputs!$B$21+(F810-Calc!F22),Inputs!$B$22)/100+Inputs!$B$22/100)/2</f>
        <v>18847595670569.598</v>
      </c>
      <c r="M790">
        <f>L790*(1+(Inputs!$B$9+(F809-Calc!F21))/100)</f>
        <v>78990273455357.203</v>
      </c>
      <c r="N790">
        <f>L790*(1-MIN(Inputs!$B$8+(F808-Calc!F20),100)/100)+M790*(MIN(Inputs!$B$8+(F808-Calc!F20),100)/100)</f>
        <v>78990273455357.203</v>
      </c>
      <c r="O790">
        <f>Skills!G2*N790*B824*IF(Inputs!$B$4="pvp",1,(1-Summary!$B$56)*(1)+Summary!$B$56*(MIN((6+Inputs!$B$32+IF(Inputs!$B$3&gt;=136,1,0)),Inputs!$B$37)))</f>
        <v>3909505529413149</v>
      </c>
      <c r="P790">
        <f>IF(B827=0,0,O790/B827)</f>
        <v>0.46751575742355428</v>
      </c>
      <c r="R790">
        <f>MAX(0,(Inputs!$B$3-100)*3)+(Inputs!$B$27+1)+Inputs!$B$28</f>
        <v>173</v>
      </c>
      <c r="S790">
        <v>0</v>
      </c>
      <c r="T790">
        <f>MAX(0,(Inputs!$B$3-100)*3)+(Inputs!$B$27+1)+Inputs!$B$28</f>
        <v>173</v>
      </c>
      <c r="V790">
        <f>IFERROR(1/IF(Inputs!$B$4="pvp",15,MAX(0.1,Skills!E2-IF(Skills!F2=TRUE,Inputs!$B$31,0))),0)</f>
        <v>10</v>
      </c>
    </row>
    <row r="791" spans="1:22" x14ac:dyDescent="0.2">
      <c r="A791" t="str">
        <f>Skills!A3</f>
        <v>IGNITE</v>
      </c>
      <c r="B791" t="str">
        <f>Skills!B3</f>
        <v>Ignite</v>
      </c>
      <c r="C791" t="b">
        <f>TRUE</f>
        <v>1</v>
      </c>
      <c r="D791">
        <f>IF(Skills!C3=1,60+Inputs!$B$24+Inputs!$B$28,IF(Skills!C3=2,90+Inputs!$B$25+Inputs!$B$28,IF(Skills!C3=3,120+Inputs!$B$26+Inputs!$B$28,MAX(0,(Inputs!$B$3-100)*3)+(Inputs!$B$27+1)+Inputs!$B$28)))</f>
        <v>164</v>
      </c>
      <c r="E791">
        <f>INDEX(FactorTable!$B$2:$Y$301, MATCH(ROUND(MIN(300,MAX(1,D791)),0), FactorTable!$A$2:$A$301,0), Skills!M3+1)</f>
        <v>1656</v>
      </c>
      <c r="F791">
        <f>IF(Skills!N3=TRUE,(Skills!L3/10)*(E791/1000),Skills!L3/10)+Skills!O3</f>
        <v>121.52799999999999</v>
      </c>
      <c r="G791">
        <f>Calc!G3</f>
        <v>3</v>
      </c>
      <c r="H791">
        <f>Calc!H3</f>
        <v>1</v>
      </c>
      <c r="I791">
        <f>IF(Skills!X3&lt;&gt;"",1+(Skills!X3/10)*(R791/1000)/100,1)</f>
        <v>4.7650000000000006</v>
      </c>
      <c r="J791">
        <f>((Inputs!$B$5*(1+Inputs!$B$6/100))+((Inputs!$B$11*(1+Inputs!$B$12/100))-(Inputs!$B$11*(1+Inputs!$B$12/100)))*(1+Inputs!$B$6/100))*(F791/100)</f>
        <v>303614644.57171583</v>
      </c>
      <c r="K791">
        <f>J791*(1+((Inputs!$B$11*(1+Inputs!$B$12/100))*0.01+Inputs!$B$13*0.0025)/100)*(1+Inputs!$B$14/100)*(1+IF(Inputs!$B$4="pvp",0,(1-Summary!$B$56)*(Inputs!$B$19+Skills!P3)+Summary!$B$56*(Inputs!$B$20+Skills!Q3))/100)*(1+Inputs!$B$15/100)*(5000/(6000+Inputs!$B$7*(1-Inputs!$B$18/100)))*(1+Inputs!$B$23/100)*(1+F811/100)*(1+IF(Inputs!$B$3&gt;=120,F814,0)/100)^5*(1+(IF(Skills!A3="BASIC_ATTACK",Inputs!$B$16,Inputs!$B$17+IF(Inputs!$B$3&gt;=125,F815*5,0)))/100)*(B818*B819*B820*I791)</f>
        <v>11014630413936.689</v>
      </c>
      <c r="L791">
        <f>K791*(MIN(Inputs!$B$21+(F810-Calc!F22),Inputs!$B$22)/100+Inputs!$B$22/100)/2</f>
        <v>29733994802422.09</v>
      </c>
      <c r="M791">
        <f>L791*(1+(Inputs!$B$9+(F809-Calc!F21))/100)</f>
        <v>124615172216951</v>
      </c>
      <c r="N791">
        <f>L791*(1-MIN(Inputs!$B$8+(F808-Calc!F20),100)/100)+M791*(MIN(Inputs!$B$8+(F808-Calc!F20),100)/100)</f>
        <v>124615172216951</v>
      </c>
      <c r="O791">
        <f>IF(C791,H791*N791*IF(AND(Inputs!$B$4&lt;&gt;"pvp",Inputs!$B$35&gt;0),((Skills!G3*((S791-1)*IF(Skills!H3&gt;0,Skills!I3/Skills!H3,1)+IF(Skills!H3&gt;0,MIN(Skills!I3,MAX(0,Inputs!$B$35-((S791-1)*IF(Inputs!$B$4="pvp",15,MAX(0.1,Skills!E3-IF(Skills!F3=TRUE,Inputs!$B$31,0))))))/Skills!H3,1)))/Inputs!$B$35),G791*V791)*IF(Inputs!$B$4="pvp",1,(1-Summary!$B$56)*(1)+Summary!$B$56*(MIN(Skills!R3,Inputs!$B$37))),0)</f>
        <v>822460136631876.5</v>
      </c>
      <c r="P791">
        <f>IF(B827=0,0,O791/B827)</f>
        <v>9.8353377642069847E-2</v>
      </c>
      <c r="R791">
        <f>INDEX(FactorTable!$B$2:$Y$301, MATCH(ROUND(MIN(300,MAX(1,R790)),0), FactorTable!$A$2:$A$301,0), 24)</f>
        <v>7530</v>
      </c>
      <c r="S791">
        <f>IF(AND(Inputs!$B$4&lt;&gt;"pvp",Inputs!$B$35&gt;0),(INT(Inputs!$B$35/IF(Inputs!$B$4="pvp",15,MAX(0.1,Skills!E3-IF(Skills!F3=TRUE,Inputs!$B$31,0))))+1),0)</f>
        <v>0</v>
      </c>
      <c r="T791">
        <f>INDEX(FactorTable!$B$2:$Y$301, MATCH(ROUND(MIN(300,MAX(1,T790)),0), FactorTable!$A$2:$A$301,0), 22)</f>
        <v>1692</v>
      </c>
      <c r="V791">
        <f>IFERROR(1/IF(Inputs!$B$4="pvp",15,MAX(0.1,Skills!E3-IF(Skills!F3=TRUE,Inputs!$B$31,0))),0)</f>
        <v>1</v>
      </c>
    </row>
    <row r="792" spans="1:22" x14ac:dyDescent="0.2">
      <c r="A792" t="str">
        <f>Skills!A4</f>
        <v>POISON_BREATH</v>
      </c>
      <c r="B792" t="str">
        <f>Skills!B4</f>
        <v>Poison Breath</v>
      </c>
      <c r="C792" t="b">
        <f>TRUE</f>
        <v>1</v>
      </c>
      <c r="D792">
        <f>IF(Skills!C4=1,60+Inputs!$B$24+Inputs!$B$28,IF(Skills!C4=2,90+Inputs!$B$25+Inputs!$B$28,IF(Skills!C4=3,120+Inputs!$B$26+Inputs!$B$28,MAX(0,(Inputs!$B$3-100)*3)+(Inputs!$B$27+1)+Inputs!$B$28)))</f>
        <v>164</v>
      </c>
      <c r="E792">
        <f>INDEX(FactorTable!$B$2:$Y$301, MATCH(ROUND(MIN(300,MAX(1,D792)),0), FactorTable!$A$2:$A$301,0), Skills!M4+1)</f>
        <v>1820</v>
      </c>
      <c r="F792">
        <f>IF(Skills!N4=TRUE,(Skills!L4/10)*(E792/1000),Skills!L4/10)+Skills!O4</f>
        <v>434</v>
      </c>
      <c r="G792">
        <f>Calc!G4</f>
        <v>3</v>
      </c>
      <c r="H792">
        <f>Calc!H4</f>
        <v>1</v>
      </c>
      <c r="I792">
        <f>IF(Skills!X4&lt;&gt;"",1+(Skills!X4/10)*(R791/1000)/100,1)</f>
        <v>7.024</v>
      </c>
      <c r="J792">
        <f>((Inputs!$B$5*(1+Inputs!$B$6/100))+((Inputs!$B$11*(1+Inputs!$B$12/100))-(Inputs!$B$11*(1+Inputs!$B$12/100)))*(1+Inputs!$B$6/100))*(F792/100)</f>
        <v>1084266636.0355198</v>
      </c>
      <c r="K792">
        <f>J792*(1+((Inputs!$B$11*(1+Inputs!$B$12/100))*0.01+Inputs!$B$13*0.0025)/100)*(1+Inputs!$B$14/100)*(1+IF(Inputs!$B$4="pvp",0,(1-Summary!$B$56)*(Inputs!$B$19+Skills!P4)+Summary!$B$56*(Inputs!$B$20+Skills!Q4))/100)*(1+Inputs!$B$15/100)*(5000/(6000+Inputs!$B$7*(1-Inputs!$B$18/100)))*(1+Inputs!$B$23/100)*(1+F811/100)*(1+IF(Inputs!$B$3&gt;=120,F814,0)/100)^5*(1+(IF(Skills!A4="BASIC_ATTACK",Inputs!$B$16,Inputs!$B$17+IF(Inputs!$B$3&gt;=125,F815*5,0)))/100)*(B818*B819*B820*I792)</f>
        <v>57983564003336.891</v>
      </c>
      <c r="L792">
        <f>K792*(MIN(Inputs!$B$21+(F810-Calc!F22),Inputs!$B$22)/100+Inputs!$B$22/100)/2</f>
        <v>156526631027007.91</v>
      </c>
      <c r="M792">
        <f>L792*(1+(Inputs!$B$9+(F809-Calc!F21))/100)</f>
        <v>656003110634190.25</v>
      </c>
      <c r="N792">
        <f>L792*(1-MIN(Inputs!$B$8+(F808-Calc!F20),100)/100)+M792*(MIN(Inputs!$B$8+(F808-Calc!F20),100)/100)</f>
        <v>656003110634190.25</v>
      </c>
      <c r="O792">
        <f>IF(C792,H792*N792*IF(AND(Inputs!$B$4&lt;&gt;"pvp",Inputs!$B$35&gt;0),((Skills!G4*((S792-1)*IF(Skills!H4&gt;0,Skills!I4/Skills!H4,1)+IF(Skills!H4&gt;0,MIN(Skills!I4,MAX(0,Inputs!$B$35-((S792-1)*IF(Inputs!$B$4="pvp",15,MAX(0.1,Skills!E4-IF(Skills!F4=TRUE,Inputs!$B$31,0))))))/Skills!H4,1)))/Inputs!$B$35),G792*V792)*IF(Inputs!$B$4="pvp",1,(1-Summary!$B$56)*(1)+Summary!$B$56*(MIN(Skills!R4,Inputs!$B$37))),0)</f>
        <v>437335407089460.06</v>
      </c>
      <c r="P792">
        <f>IF(B827=0,0,O792/B827)</f>
        <v>5.229847932310222E-2</v>
      </c>
      <c r="S792">
        <f>IF(AND(Inputs!$B$4&lt;&gt;"pvp",Inputs!$B$35&gt;0),(INT(Inputs!$B$35/IF(Inputs!$B$4="pvp",15,MAX(0.1,Skills!E4-IF(Skills!F4=TRUE,Inputs!$B$31,0))))+1),0)</f>
        <v>0</v>
      </c>
      <c r="T792">
        <f>290*T791/1000</f>
        <v>490.68</v>
      </c>
      <c r="V792">
        <f>IFERROR(1/IF(Inputs!$B$4="pvp",15,MAX(0.1,Skills!E4-IF(Skills!F4=TRUE,Inputs!$B$31,0))),0)</f>
        <v>5.5555555555555552E-2</v>
      </c>
    </row>
    <row r="793" spans="1:22" x14ac:dyDescent="0.2">
      <c r="A793" t="str">
        <f>Skills!A5</f>
        <v>ELEMENTAL_DRAIN</v>
      </c>
      <c r="B793" t="str">
        <f>Skills!B5</f>
        <v>Elemental Drain</v>
      </c>
      <c r="C793" t="b">
        <f>TRUE</f>
        <v>1</v>
      </c>
      <c r="D793">
        <f>IF(Skills!C5=1,60+Inputs!$B$24+Inputs!$B$28,IF(Skills!C5=2,90+Inputs!$B$25+Inputs!$B$28,IF(Skills!C5=3,120+Inputs!$B$26+Inputs!$B$28,MAX(0,(Inputs!$B$3-100)*3)+(Inputs!$B$27+1)+Inputs!$B$28)))</f>
        <v>164</v>
      </c>
      <c r="E793">
        <f>INDEX(FactorTable!$B$2:$Y$301, MATCH(ROUND(MIN(300,MAX(1,D793)),0), FactorTable!$A$2:$A$301,0), Skills!M5+1)</f>
        <v>1656</v>
      </c>
      <c r="F793">
        <f>IF(Skills!N5=TRUE,(Skills!L5/10)*(E793/1000),Skills!L5/10)+Skills!O5</f>
        <v>19.872</v>
      </c>
      <c r="G793">
        <f>Calc!G5</f>
        <v>5</v>
      </c>
      <c r="H793">
        <f>Calc!H5</f>
        <v>1</v>
      </c>
      <c r="I793">
        <f>IF(Skills!X5&lt;&gt;"",1+(Skills!X5/10)*(R791/1000)/100,1)</f>
        <v>12.295</v>
      </c>
      <c r="J793">
        <f>((Inputs!$B$5*(1+Inputs!$B$6/100))+((Inputs!$B$11*(1+Inputs!$B$12/100))-(Inputs!$B$11*(1+Inputs!$B$12/100)))*(1+Inputs!$B$6/100))*(F793/100)</f>
        <v>49646420.717276163</v>
      </c>
      <c r="K793">
        <f>J793*(1+((Inputs!$B$11*(1+Inputs!$B$12/100))*0.01+Inputs!$B$13*0.0025)/100)*(1+Inputs!$B$14/100)*(1+IF(Inputs!$B$4="pvp",0,(1-Summary!$B$56)*(Inputs!$B$19+Skills!P5)+Summary!$B$56*(Inputs!$B$20+Skills!Q5))/100)*(1+Inputs!$B$15/100)*(5000/(6000+Inputs!$B$7*(1-Inputs!$B$18/100)))*(1+Inputs!$B$23/100)*(1+F811/100)*(1+IF(Inputs!$B$3&gt;=120,F814,0)/100)^5*(1+(IF(Skills!A5="BASIC_ATTACK",Inputs!$B$16,Inputs!$B$17+IF(Inputs!$B$3&gt;=125,F815*5,0)))/100)*(B818*B819*B820*I793)</f>
        <v>4647300819420.5303</v>
      </c>
      <c r="L793">
        <f>K793*(MIN(Inputs!$B$21+(F810-Calc!F22),Inputs!$B$22)/100+Inputs!$B$22/100)/2</f>
        <v>12545388562025.719</v>
      </c>
      <c r="M793">
        <f>L793*(1+(Inputs!$B$9+(F809-Calc!F21))/100)</f>
        <v>52577723463449.797</v>
      </c>
      <c r="N793">
        <f>L793*(1-MIN(Inputs!$B$8+(F808-Calc!F20),100)/100)+M793*(MIN(Inputs!$B$8+(F808-Calc!F20),100)/100)</f>
        <v>52577723463449.797</v>
      </c>
      <c r="O793">
        <f>IF(C793,H793*N793*IF(AND(Inputs!$B$4&lt;&gt;"pvp",Inputs!$B$35&gt;0),((Skills!G5*((S793-1)*IF(Skills!H5&gt;0,Skills!I5/Skills!H5,1)+IF(Skills!H5&gt;0,MIN(Skills!I5,MAX(0,Inputs!$B$35-((S793-1)*IF(Inputs!$B$4="pvp",15,MAX(0.1,Skills!E5-IF(Skills!F5=TRUE,Inputs!$B$31,0))))))/Skills!H5,1)))/Inputs!$B$35),G793*V793)*IF(Inputs!$B$4="pvp",1,(1-Summary!$B$56)*(1)+Summary!$B$56*(MIN(Skills!R5,Inputs!$B$37))),0)</f>
        <v>262888617317249</v>
      </c>
      <c r="P793">
        <f>IF(B827=0,0,O793/B827)</f>
        <v>3.1437369794832755E-2</v>
      </c>
      <c r="S793">
        <f>IF(AND(Inputs!$B$4&lt;&gt;"pvp",Inputs!$B$35&gt;0),(INT(Inputs!$B$35/IF(Inputs!$B$4="pvp",15,MAX(0.1,Skills!E5-IF(Skills!F5=TRUE,Inputs!$B$31,0))))+1),0)</f>
        <v>0</v>
      </c>
      <c r="V793">
        <f>IFERROR(1/IF(Inputs!$B$4="pvp",15,MAX(0.1,Skills!E5-IF(Skills!F5=TRUE,Inputs!$B$31,0))),0)</f>
        <v>1</v>
      </c>
    </row>
    <row r="794" spans="1:22" x14ac:dyDescent="0.2">
      <c r="A794" t="str">
        <f>Skills!A6</f>
        <v>MEDITATION</v>
      </c>
      <c r="B794" t="str">
        <f>Skills!B6</f>
        <v>Meditation</v>
      </c>
      <c r="C794" t="b">
        <f>TRUE</f>
        <v>1</v>
      </c>
      <c r="D794">
        <f>IF(Skills!C6=1,60+Inputs!$B$24+Inputs!$B$28,IF(Skills!C6=2,90+Inputs!$B$25+Inputs!$B$28,IF(Skills!C6=3,120+Inputs!$B$26+Inputs!$B$28,MAX(0,(Inputs!$B$3-100)*3)+(Inputs!$B$27+1)+Inputs!$B$28)))</f>
        <v>164</v>
      </c>
      <c r="E794">
        <f>INDEX(FactorTable!$B$2:$Y$301, MATCH(ROUND(MIN(300,MAX(1,D794)),0), FactorTable!$A$2:$A$301,0), Skills!M6+1)</f>
        <v>1492</v>
      </c>
      <c r="F794">
        <f>IF(Skills!N6=TRUE,(Skills!L6/10)*(E794/1000),Skills!L6/10)+Skills!O6</f>
        <v>29.84</v>
      </c>
      <c r="G794">
        <f>Calc!G6</f>
        <v>1</v>
      </c>
      <c r="H794">
        <f>Calc!H6</f>
        <v>1</v>
      </c>
      <c r="I794">
        <f>IF(Skills!X6&lt;&gt;"",1+(Skills!X6/10)*(R791/1000)/100,1)</f>
        <v>1</v>
      </c>
      <c r="O794">
        <v>0</v>
      </c>
      <c r="P794">
        <f>IF(B827=0,0,O794/B827)</f>
        <v>0</v>
      </c>
      <c r="S794">
        <f>IF(AND(Inputs!$B$4&lt;&gt;"pvp",Inputs!$B$35&gt;0),(INT(Inputs!$B$35/IF(Inputs!$B$4="pvp",15,MAX(0.1,Skills!E6-IF(Skills!F6=TRUE,Inputs!$B$31,0))))+1),0)</f>
        <v>0</v>
      </c>
      <c r="V794">
        <f>IFERROR(1/IF(Inputs!$B$4="pvp",15,MAX(0.1,Skills!E6-IF(Skills!F6=TRUE,Inputs!$B$31,0))),0)</f>
        <v>3.3333333333333333E-2</v>
      </c>
    </row>
    <row r="795" spans="1:22" x14ac:dyDescent="0.2">
      <c r="A795" t="str">
        <f>Skills!A7</f>
        <v>POISON_MIST_BURST</v>
      </c>
      <c r="B795" t="str">
        <f>Skills!B7</f>
        <v>Poison Mist (burst)</v>
      </c>
      <c r="C795" t="b">
        <f>TRUE</f>
        <v>1</v>
      </c>
      <c r="D795">
        <f>IF(Skills!C7=1,60+Inputs!$B$24+Inputs!$B$28,IF(Skills!C7=2,90+Inputs!$B$25+Inputs!$B$28,IF(Skills!C7=3,120+Inputs!$B$26+Inputs!$B$28,MAX(0,(Inputs!$B$3-100)*3)+(Inputs!$B$27+1)+Inputs!$B$28)))</f>
        <v>184</v>
      </c>
      <c r="E795">
        <f>INDEX(FactorTable!$B$2:$Y$301, MATCH(ROUND(MIN(300,MAX(1,D795)),0), FactorTable!$A$2:$A$301,0), Skills!M7+1)</f>
        <v>1920</v>
      </c>
      <c r="F795">
        <f>IF(Skills!N7=TRUE,(Skills!L7/10)*(E795/1000),Skills!L7/10)+Skills!O7</f>
        <v>357.2</v>
      </c>
      <c r="G795">
        <f>Calc!G7</f>
        <v>3</v>
      </c>
      <c r="H795">
        <f>Calc!H7</f>
        <v>1</v>
      </c>
      <c r="I795">
        <f>IF(Skills!X7&lt;&gt;"",1+(Skills!X7/10)*(R791/1000)/100,1)</f>
        <v>1.7530000000000001</v>
      </c>
      <c r="J795">
        <f>((Inputs!$B$5*(1+Inputs!$B$6/100))+((Inputs!$B$11*(1+Inputs!$B$12/100))-(Inputs!$B$11*(1+Inputs!$B$12/100)))*(1+Inputs!$B$6/100))*(F795/100)</f>
        <v>892396411.04121602</v>
      </c>
      <c r="K795">
        <f>J795*(1+((Inputs!$B$11*(1+Inputs!$B$12/100))*0.01+Inputs!$B$13*0.0025)/100)*(1+Inputs!$B$14/100)*(1+IF(Inputs!$B$4="pvp",0,(1-Summary!$B$56)*(Inputs!$B$19+Skills!P7)+Summary!$B$56*(Inputs!$B$20+Skills!Q7))/100)*(1+Inputs!$B$15/100)*(5000/(6000+Inputs!$B$7*(1-Inputs!$B$18/100)))*(1+Inputs!$B$23/100)*(1+F811/100)*(1+IF(Inputs!$B$3&gt;=120,F814,0)/100)^5*(1+(IF(Skills!A7="BASIC_ATTACK",Inputs!$B$16,Inputs!$B$17+IF(Inputs!$B$3&gt;=125,F815*5,0)))/100)*(B818*B819*B820*I795)</f>
        <v>11910336727556.83</v>
      </c>
      <c r="L795">
        <f>K795*(MIN(Inputs!$B$21+(F810-Calc!F22),Inputs!$B$22)/100+Inputs!$B$22/100)/2</f>
        <v>32151953996039.656</v>
      </c>
      <c r="M795">
        <f>L795*(1+(Inputs!$B$9+(F809-Calc!F21))/100)</f>
        <v>134748839197402.22</v>
      </c>
      <c r="N795">
        <f>L795*(1-MIN(Inputs!$B$8+(F808-Calc!F20),100)/100)+M795*(MIN(Inputs!$B$8+(F808-Calc!F20),100)/100)</f>
        <v>134748839197402.22</v>
      </c>
      <c r="O795">
        <f>IF(C795,H795*N795*IF(AND(Inputs!$B$4&lt;&gt;"pvp",Inputs!$B$35&gt;0),((Skills!G7*((S795-1)*IF(Skills!H7&gt;0,Skills!I7/Skills!H7,1)+IF(Skills!H7&gt;0,MIN(Skills!I7,MAX(0,Inputs!$B$35-((S795-1)*IF(Inputs!$B$4="pvp",15,MAX(0.1,Skills!E7-IF(Skills!F7=TRUE,Inputs!$B$31,0))))))/Skills!H7,1)))/Inputs!$B$35),G795*V795)*IF(Inputs!$B$4="pvp",1,(1-Summary!$B$56)*(1)+Summary!$B$56*(MIN(Skills!R7,Inputs!$B$37))),0)</f>
        <v>105599090309800.94</v>
      </c>
      <c r="P795">
        <f>IF(B827=0,0,O795/B827)</f>
        <v>1.2628000732572349E-2</v>
      </c>
      <c r="S795">
        <f>IF(AND(Inputs!$B$4&lt;&gt;"pvp",Inputs!$B$35&gt;0),(INT(Inputs!$B$35/IF(Inputs!$B$4="pvp",15,MAX(0.1,Skills!E7-IF(Skills!F7=TRUE,Inputs!$B$31,0))))+1),0)</f>
        <v>0</v>
      </c>
      <c r="V795">
        <f>IFERROR(1/IF(Inputs!$B$4="pvp",15,MAX(0.1,Skills!E7-IF(Skills!F7=TRUE,Inputs!$B$31,0))),0)</f>
        <v>4.0816326530612242E-2</v>
      </c>
    </row>
    <row r="796" spans="1:22" x14ac:dyDescent="0.2">
      <c r="A796" t="str">
        <f>Skills!A8</f>
        <v>POISON_MIST_DOT</v>
      </c>
      <c r="B796" t="str">
        <f>Skills!B8</f>
        <v>Poison Mist (fog DoT)</v>
      </c>
      <c r="C796" t="b">
        <f>TRUE</f>
        <v>1</v>
      </c>
      <c r="D796">
        <f>IF(Skills!C8=1,60+Inputs!$B$24+Inputs!$B$28,IF(Skills!C8=2,90+Inputs!$B$25+Inputs!$B$28,IF(Skills!C8=3,120+Inputs!$B$26+Inputs!$B$28,MAX(0,(Inputs!$B$3-100)*3)+(Inputs!$B$27+1)+Inputs!$B$28)))</f>
        <v>184</v>
      </c>
      <c r="E796">
        <f>INDEX(FactorTable!$B$2:$Y$301, MATCH(ROUND(MIN(300,MAX(1,D796)),0), FactorTable!$A$2:$A$301,0), Skills!M8+1)</f>
        <v>1920</v>
      </c>
      <c r="F796">
        <f>IF(Skills!N8=TRUE,(Skills!L8/10)*(E796/1000),Skills!L8/10)+Skills!O8</f>
        <v>134.4</v>
      </c>
      <c r="G796">
        <f>Calc!G8</f>
        <v>50</v>
      </c>
      <c r="H796">
        <f>Calc!H8</f>
        <v>1</v>
      </c>
      <c r="I796">
        <f>IF(Skills!X8&lt;&gt;"",1+(Skills!X8/10)*(R791/1000)/100,1)</f>
        <v>1.7530000000000001</v>
      </c>
      <c r="J796">
        <f>((Inputs!$B$5*(1+Inputs!$B$6/100))+((Inputs!$B$11*(1+Inputs!$B$12/100))-(Inputs!$B$11*(1+Inputs!$B$12/100)))*(1+Inputs!$B$6/100))*(F796/100)</f>
        <v>335772893.74003202</v>
      </c>
      <c r="K796">
        <f>J796*(1+((Inputs!$B$11*(1+Inputs!$B$12/100))*0.01+Inputs!$B$13*0.0025)/100)*(1+Inputs!$B$14/100)*(1+IF(Inputs!$B$4="pvp",0,(1-Summary!$B$56)*(Inputs!$B$19+Skills!P8)+Summary!$B$56*(Inputs!$B$20+Skills!Q8))/100)*(1+Inputs!$B$15/100)*(5000/(6000+Inputs!$B$7*(1-Inputs!$B$18/100)))*(1+Inputs!$B$23/100)*(1+F811/100)*(1+IF(Inputs!$B$3&gt;=120,F814,0)/100)^5*(1+(IF(Skills!A8="BASIC_ATTACK",Inputs!$B$16,Inputs!$B$17+IF(Inputs!$B$3&gt;=125,F815*5,0)))/100)*(B818*B819*B820*I796)</f>
        <v>4481380896370.7666</v>
      </c>
      <c r="L796">
        <f>K796*(MIN(Inputs!$B$21+(F810-Calc!F22),Inputs!$B$22)/100+Inputs!$B$22/100)/2</f>
        <v>12097487729752.883</v>
      </c>
      <c r="M796">
        <f>L796*(1+(Inputs!$B$9+(F809-Calc!F21))/100)</f>
        <v>50700571075394.344</v>
      </c>
      <c r="N796">
        <f>L796*(1-MIN(Inputs!$B$8+(F808-Calc!F20),100)/100)+M796*(MIN(Inputs!$B$8+(F808-Calc!F20),100)/100)</f>
        <v>50700571075394.344</v>
      </c>
      <c r="O796">
        <f>IF(C796,H796*N796*IF(AND(Inputs!$B$4&lt;&gt;"pvp",Inputs!$B$35&gt;0),((Skills!G8*((S796-1)*IF(Skills!H8&gt;0,Skills!I8/Skills!H8,1)+IF(Skills!H8&gt;0,MIN(Skills!I8,MAX(0,Inputs!$B$35-((S796-1)*IF(Inputs!$B$4="pvp",15,MAX(0.1,Skills!E8-IF(Skills!F8=TRUE,Inputs!$B$31,0))))))/Skills!H8,1)))/Inputs!$B$35),G796*V796)*IF(Inputs!$B$4="pvp",1,(1-Summary!$B$56)*(1)+Summary!$B$56*(MIN(Skills!R8,Inputs!$B$37))),0)</f>
        <v>662211540576579.25</v>
      </c>
      <c r="P796">
        <f>IF(B827=0,0,O796/B827)</f>
        <v>7.9190150170666468E-2</v>
      </c>
      <c r="S796">
        <f>IF(AND(Inputs!$B$4&lt;&gt;"pvp",Inputs!$B$35&gt;0),(INT(Inputs!$B$35/IF(Inputs!$B$4="pvp",15,MAX(0.1,Skills!E8-IF(Skills!F8=TRUE,Inputs!$B$31,0))))+1),0)</f>
        <v>0</v>
      </c>
      <c r="V796">
        <f>IFERROR(1/IF(Inputs!$B$4="pvp",15,MAX(0.1,Skills!E8-IF(Skills!F8=TRUE,Inputs!$B$31,0))),0)</f>
        <v>4.0816326530612242E-2</v>
      </c>
    </row>
    <row r="797" spans="1:22" x14ac:dyDescent="0.2">
      <c r="A797" t="str">
        <f>Skills!A9</f>
        <v>MIST_ERUPTION</v>
      </c>
      <c r="B797" t="str">
        <f>Skills!B9</f>
        <v>Mist Eruption</v>
      </c>
      <c r="C797" t="b">
        <f>Inputs!$B$3&gt;=103</f>
        <v>1</v>
      </c>
      <c r="D797">
        <f>IF(Skills!C9=1,60+Inputs!$B$24+Inputs!$B$28,IF(Skills!C9=2,90+Inputs!$B$25+Inputs!$B$28,IF(Skills!C9=3,120+Inputs!$B$26+Inputs!$B$28,MAX(0,(Inputs!$B$3-100)*3)+(Inputs!$B$27+1)+Inputs!$B$28)))</f>
        <v>173</v>
      </c>
      <c r="E797">
        <f>INDEX(FactorTable!$B$2:$Y$301, MATCH(ROUND(MIN(300,MAX(1,D797)),0), FactorTable!$A$2:$A$301,0), Skills!M9+1)</f>
        <v>1865</v>
      </c>
      <c r="F797">
        <f>IF(Skills!N9=TRUE,(Skills!L9/10)*(E797/1000),Skills!L9/10)+Skills!O9</f>
        <v>5595</v>
      </c>
      <c r="G797">
        <f>Calc!G9</f>
        <v>2.8</v>
      </c>
      <c r="H797">
        <f>Calc!H9</f>
        <v>1</v>
      </c>
      <c r="I797">
        <f>IF(Skills!X9&lt;&gt;"",1+(Skills!X9/10)*(R791/1000)/100,1)</f>
        <v>1</v>
      </c>
      <c r="J797">
        <f>((Inputs!$B$5*(1+Inputs!$B$6/100))+((Inputs!$B$11*(1+Inputs!$B$12/100))-(Inputs!$B$11*(1+Inputs!$B$12/100)))*(1+Inputs!$B$6/100))*(F797/100)</f>
        <v>13978045688.0616</v>
      </c>
      <c r="K797">
        <f>J797*(1+((Inputs!$B$11*(1+Inputs!$B$12/100))*0.01+Inputs!$B$13*0.0025)/100)*(1+Inputs!$B$14/100)*(1+IF(Inputs!$B$4="pvp",0,(1-Summary!$B$56)*(Inputs!$B$19+Skills!P9)+Summary!$B$56*(Inputs!$B$20+Skills!Q9))/100)*(1+Inputs!$B$15/100)*(5000/(6000+Inputs!$B$7*(1-Inputs!$B$18/100)))*(1+Inputs!$B$23/100)*(1+F811/100)*(1+IF(Inputs!$B$3&gt;=120,F814,0)/100)^5*(1+(IF(Skills!A9="BASIC_ATTACK",Inputs!$B$16,Inputs!$B$17+IF(Inputs!$B$3&gt;=125,F815*5,0)))/100)*(B818*B819*B820*I797)</f>
        <v>106421840260210.52</v>
      </c>
      <c r="L797">
        <f>K797*(MIN(Inputs!$B$21+(F810-Calc!F22),Inputs!$B$22)/100+Inputs!$B$22/100)/2</f>
        <v>287285757782438.25</v>
      </c>
      <c r="M797">
        <f>L797*(1+(Inputs!$B$9+(F809-Calc!F21))/100)</f>
        <v>1204014610866199</v>
      </c>
      <c r="N797">
        <f>L797*(1-MIN(Inputs!$B$8+(F808-Calc!F20),100)/100)+M797*(MIN(Inputs!$B$8+(F808-Calc!F20),100)/100)</f>
        <v>1204014610866199</v>
      </c>
      <c r="O797">
        <f>IF(C797,H797*N797*IF(AND(Inputs!$B$4&lt;&gt;"pvp",Inputs!$B$35&gt;0),((Skills!G9*((S797-1)*IF(Skills!H9&gt;0,Skills!I9/Skills!H9,1)+IF(Skills!H9&gt;0,MIN(Skills!I9,MAX(0,Inputs!$B$35-((S797-1)*IF(Inputs!$B$4="pvp",15,MAX(0.1,Skills!E9-IF(Skills!F7=TRUE,Inputs!$B$31,0))))))/Skills!H9,1)))/Inputs!$B$35),G797*V797)*IF(Inputs!$B$4="pvp",1,(1-Summary!$B$56)*(1)+Summary!$B$56*(MIN(Skills!R9,Inputs!$B$37))),0)</f>
        <v>880650686804991.12</v>
      </c>
      <c r="P797">
        <f>IF(B827=0,0,O797/B827)</f>
        <v>0.10531205794943874</v>
      </c>
      <c r="S797">
        <f>IF(AND(Inputs!$B$4&lt;&gt;"pvp",Inputs!$B$35&gt;0),(INT(Inputs!$B$35/IF(Inputs!$B$4="pvp",15,MAX(0.1,Skills!E9-IF(Skills!F7=TRUE,Inputs!$B$31,0))))+1),0)</f>
        <v>0</v>
      </c>
      <c r="V797">
        <f>IFERROR(1/IF(Inputs!$B$4="pvp",15,MAX(0.1,Skills!E9-IF(Skills!F7=TRUE,Inputs!$B$31,0))),0)</f>
        <v>4.0816326530612242E-2</v>
      </c>
    </row>
    <row r="798" spans="1:22" x14ac:dyDescent="0.2">
      <c r="A798" t="str">
        <f>Skills!A10</f>
        <v>CREEPING_TOXIN</v>
      </c>
      <c r="B798" t="str">
        <f>Skills!B10</f>
        <v>Creeping Toxin</v>
      </c>
      <c r="C798" t="b">
        <f>TRUE</f>
        <v>1</v>
      </c>
      <c r="D798">
        <f>IF(Skills!C10=1,60+Inputs!$B$24+Inputs!$B$28,IF(Skills!C10=2,90+Inputs!$B$25+Inputs!$B$28,IF(Skills!C10=3,120+Inputs!$B$26+Inputs!$B$28,MAX(0,(Inputs!$B$3-100)*3)+(Inputs!$B$27+1)+Inputs!$B$28)))</f>
        <v>184</v>
      </c>
      <c r="E798">
        <f>INDEX(FactorTable!$B$2:$Y$301, MATCH(ROUND(MIN(300,MAX(1,D798)),0), FactorTable!$A$2:$A$301,0), Skills!M10+1)</f>
        <v>1920</v>
      </c>
      <c r="F798">
        <f>IF(Skills!N10=TRUE,(Skills!L10/10)*(E798/1000),Skills!L10/10)+Skills!O10</f>
        <v>280.39999999999998</v>
      </c>
      <c r="G798">
        <f>Calc!G10</f>
        <v>15</v>
      </c>
      <c r="H798">
        <f>Calc!H10</f>
        <v>1</v>
      </c>
      <c r="I798">
        <f>IF(Skills!X10&lt;&gt;"",1+(Skills!X10/10)*(R791/1000)/100,1)</f>
        <v>1.7530000000000001</v>
      </c>
      <c r="J798">
        <f>((Inputs!$B$5*(1+Inputs!$B$6/100))+((Inputs!$B$11*(1+Inputs!$B$12/100))-(Inputs!$B$11*(1+Inputs!$B$12/100)))*(1+Inputs!$B$6/100))*(F798/100)</f>
        <v>700526186.04691195</v>
      </c>
      <c r="K798">
        <f>J798*(1+((Inputs!$B$11*(1+Inputs!$B$12/100))*0.01+Inputs!$B$13*0.0025)/100)*(1+Inputs!$B$14/100)*(1+IF(Inputs!$B$4="pvp",0,(1-Summary!$B$56)*(Inputs!$B$19+Skills!P10)+Summary!$B$56*(Inputs!$B$20+Skills!Q10))/100)*(1+Inputs!$B$15/100)*(5000/(6000+Inputs!$B$7*(1-Inputs!$B$18/100)))*(1+Inputs!$B$23/100)*(1+F811/100)*(1+IF(Inputs!$B$3&gt;=120,F814,0)/100)^5*(1+(IF(Skills!A10="BASIC_ATTACK",Inputs!$B$16,Inputs!$B$17+IF(Inputs!$B$3&gt;=125,F815*5,0)))/100)*(B818*B819*B820*I798)</f>
        <v>11033139656626.426</v>
      </c>
      <c r="L798">
        <f>K798*(MIN(Inputs!$B$21+(F810-Calc!F22),Inputs!$B$22)/100+Inputs!$B$22/100)/2</f>
        <v>29783960503063.031</v>
      </c>
      <c r="M798">
        <f>L798*(1+(Inputs!$B$9+(F809-Calc!F21))/100)</f>
        <v>124824578468337.19</v>
      </c>
      <c r="N798">
        <f>L798*(1-MIN(Inputs!$B$8+(F808-Calc!F20),100)/100)+M798*(MIN(Inputs!$B$8+(F808-Calc!F20),100)/100)</f>
        <v>124824578468337.19</v>
      </c>
      <c r="O798">
        <f>IF(C798,H798*N798*IF(AND(Inputs!$B$4&lt;&gt;"pvp",Inputs!$B$35&gt;0),((Skills!G10*((S798-1)*IF(Skills!H10&gt;0,Skills!I10/Skills!H10,1)+IF(Skills!H10&gt;0,MIN(Skills!I10,MAX(0,Inputs!$B$35-((S798-1)*IF(Inputs!$B$4="pvp",15,MAX(0.1,Skills!E10-IF(Skills!F10=TRUE,Inputs!$B$31,0))))))/Skills!H10,1)))/Inputs!$B$35),G798*V798)*IF(Inputs!$B$4="pvp",1,(1-Summary!$B$56)*(1)+Summary!$B$56*(MIN(Skills!R10,Inputs!$B$37))),0)</f>
        <v>69346988037965.109</v>
      </c>
      <c r="P798">
        <f>IF(B827=0,0,O798/B827)</f>
        <v>8.292815905667248E-3</v>
      </c>
      <c r="S798">
        <f>IF(AND(Inputs!$B$4&lt;&gt;"pvp",Inputs!$B$35&gt;0),(INT(Inputs!$B$35/IF(Inputs!$B$4="pvp",15,MAX(0.1,Skills!E10-IF(Skills!F10=TRUE,Inputs!$B$31,0))))+1),0)</f>
        <v>0</v>
      </c>
      <c r="V798">
        <f>IFERROR(1/IF(Inputs!$B$4="pvp",15,MAX(0.1,Skills!E10-IF(Skills!F10=TRUE,Inputs!$B$31,0))),0)</f>
        <v>3.7037037037037035E-2</v>
      </c>
    </row>
    <row r="799" spans="1:22" x14ac:dyDescent="0.2">
      <c r="A799" t="str">
        <f>Skills!A11</f>
        <v>BURNING_MAGIC</v>
      </c>
      <c r="B799" t="str">
        <f>Skills!B11</f>
        <v>Burning Magic</v>
      </c>
      <c r="C799" t="b">
        <f>TRUE</f>
        <v>1</v>
      </c>
      <c r="D799">
        <f>IF(Skills!C11=1,60+Inputs!$B$24+Inputs!$B$28,IF(Skills!C11=2,90+Inputs!$B$25+Inputs!$B$28,IF(Skills!C11=3,120+Inputs!$B$26+Inputs!$B$28,MAX(0,(Inputs!$B$3-100)*3)+(Inputs!$B$27+1)+Inputs!$B$28)))</f>
        <v>184</v>
      </c>
      <c r="E799">
        <f>INDEX(FactorTable!$B$2:$Y$301, MATCH(ROUND(MIN(300,MAX(1,D799)),0), FactorTable!$A$2:$A$301,0), Skills!M11+1)</f>
        <v>0</v>
      </c>
      <c r="F799">
        <f>IF(Skills!N11=TRUE,(Skills!L11/10)*(E799/1000),Skills!L11/10)+Skills!O11</f>
        <v>5</v>
      </c>
      <c r="G799">
        <f>Calc!G11</f>
        <v>1</v>
      </c>
      <c r="H799">
        <f>Calc!H11</f>
        <v>1</v>
      </c>
      <c r="I799">
        <f>IF(Skills!X11&lt;&gt;"",1+(Skills!X11/10)*(R791/1000)/100,1)</f>
        <v>1</v>
      </c>
      <c r="O799">
        <v>0</v>
      </c>
      <c r="P799">
        <f>IF(B827=0,0,O799/B827)</f>
        <v>0</v>
      </c>
      <c r="S799">
        <v>0</v>
      </c>
      <c r="V799">
        <f>IFERROR(1/IF(Inputs!$B$4="pvp",15,MAX(0.1,Skills!E11-IF(Skills!F11=TRUE,Inputs!$B$31,0))),0)</f>
        <v>10</v>
      </c>
    </row>
    <row r="800" spans="1:22" x14ac:dyDescent="0.2">
      <c r="A800" t="str">
        <f>Skills!A12</f>
        <v>ELEMENTAL_DECREASE</v>
      </c>
      <c r="B800" t="str">
        <f>Skills!B12</f>
        <v>Elemental Decrease</v>
      </c>
      <c r="C800" t="b">
        <f>TRUE</f>
        <v>1</v>
      </c>
      <c r="D800">
        <f>IF(Skills!C12=1,60+Inputs!$B$24+Inputs!$B$28,IF(Skills!C12=2,90+Inputs!$B$25+Inputs!$B$28,IF(Skills!C12=3,120+Inputs!$B$26+Inputs!$B$28,MAX(0,(Inputs!$B$3-100)*3)+(Inputs!$B$27+1)+Inputs!$B$28)))</f>
        <v>184</v>
      </c>
      <c r="E800">
        <f>INDEX(FactorTable!$B$2:$Y$301, MATCH(ROUND(MIN(300,MAX(1,D800)),0), FactorTable!$A$2:$A$301,0), Skills!M12+1)</f>
        <v>1552</v>
      </c>
      <c r="F800">
        <f>IF(Skills!N12=TRUE,(Skills!L12/10)*(E800/1000),Skills!L12/10)+Skills!O12</f>
        <v>18.624000000000002</v>
      </c>
      <c r="G800">
        <f>Calc!G12</f>
        <v>1</v>
      </c>
      <c r="H800">
        <f>Calc!H12</f>
        <v>0.5</v>
      </c>
      <c r="I800">
        <f>IF(Skills!X12&lt;&gt;"",1+(Skills!X12/10)*(R791/1000)/100,1)</f>
        <v>1</v>
      </c>
      <c r="O800">
        <v>0</v>
      </c>
      <c r="P800">
        <f>IF(B827=0,0,O800/B827)</f>
        <v>0</v>
      </c>
      <c r="S800">
        <v>0</v>
      </c>
      <c r="V800">
        <f>IFERROR(1/IF(Inputs!$B$4="pvp",15,MAX(0.1,Skills!E12-IF(Skills!F12=TRUE,Inputs!$B$31,0))),0)</f>
        <v>10</v>
      </c>
    </row>
    <row r="801" spans="1:22" x14ac:dyDescent="0.2">
      <c r="A801" t="str">
        <f>Skills!A13</f>
        <v>METEOR_SHOWER_BURST</v>
      </c>
      <c r="B801" t="str">
        <f>Skills!B13</f>
        <v>Meteor Shower (burst)</v>
      </c>
      <c r="C801" t="b">
        <f>Inputs!$B$3&gt;=105</f>
        <v>1</v>
      </c>
      <c r="D801">
        <f>IF(Skills!C13=1,60+Inputs!$B$24+Inputs!$B$28,IF(Skills!C13=2,90+Inputs!$B$25+Inputs!$B$28,IF(Skills!C13=3,120+Inputs!$B$26+Inputs!$B$28,MAX(0,(Inputs!$B$3-100)*3)+(Inputs!$B$27+1)+Inputs!$B$28)))</f>
        <v>173</v>
      </c>
      <c r="E801">
        <f>INDEX(FactorTable!$B$2:$Y$301, MATCH(ROUND(MIN(300,MAX(1,D801)),0), FactorTable!$A$2:$A$301,0), Skills!M13+1)</f>
        <v>1865</v>
      </c>
      <c r="F801">
        <f>IF(Skills!N13=TRUE,(Skills!L13/10)*(E801/1000),Skills!L13/10)+Skills!O13</f>
        <v>1119</v>
      </c>
      <c r="G801">
        <f>Calc!G13</f>
        <v>9</v>
      </c>
      <c r="H801">
        <f>Calc!H13</f>
        <v>1</v>
      </c>
      <c r="I801">
        <f>IF(Skills!X13&lt;&gt;"",1+(Skills!X13/10)*(R791/1000)/100,1)</f>
        <v>1</v>
      </c>
      <c r="J801">
        <f>((Inputs!$B$5*(1+Inputs!$B$6/100))+((Inputs!$B$11*(1+Inputs!$B$12/100))-(Inputs!$B$11*(1+Inputs!$B$12/100)))*(1+Inputs!$B$6/100))*(F801/100)</f>
        <v>2795609137.6123199</v>
      </c>
      <c r="K801">
        <f>J801*(1+((Inputs!$B$11*(1+Inputs!$B$12/100))*0.01+Inputs!$B$13*0.0025)/100)*(1+Inputs!$B$14/100)*(1+IF(Inputs!$B$4="pvp",0,(1-Summary!$B$56)*(Inputs!$B$19+Skills!P13)+Summary!$B$56*(Inputs!$B$20+Skills!Q13))/100)*(1+Inputs!$B$15/100)*(5000/(6000+Inputs!$B$7*(1-Inputs!$B$18/100)))*(1+Inputs!$B$23/100)*(1+F811/100)*(1+IF(Inputs!$B$3&gt;=120,F814,0)/100)^5*(1+(IF(Skills!A13="BASIC_ATTACK",Inputs!$B$16,Inputs!$B$17+IF(Inputs!$B$3&gt;=125,F815*5,0)))/100)*(B818*B819*B820*I801)</f>
        <v>21284368052042.105</v>
      </c>
      <c r="L801">
        <f>K801*(MIN(Inputs!$B$21+(F810-Calc!F22),Inputs!$B$22)/100+Inputs!$B$22/100)/2</f>
        <v>57457151556487.656</v>
      </c>
      <c r="M801">
        <f>L801*(1+(Inputs!$B$9+(F809-Calc!F21))/100)</f>
        <v>240802922173239.81</v>
      </c>
      <c r="N801">
        <f>L801*(1-MIN(Inputs!$B$8+(F808-Calc!F20),100)/100)+M801*(MIN(Inputs!$B$8+(F808-Calc!F20),100)/100)</f>
        <v>240802922173239.81</v>
      </c>
      <c r="O801">
        <f>IF(C801,H801*N801*IF(AND(Inputs!$B$4&lt;&gt;"pvp",Inputs!$B$35&gt;0),((Skills!G13*((S801-1)*IF(Skills!H13&gt;0,Skills!I13/Skills!H13,1)+IF(Skills!H13&gt;0,MIN(Skills!I13,MAX(0,Inputs!$B$35-((S801-1)*IF(Inputs!$B$4="pvp",15,MAX(0.1,Skills!E13-IF(Skills!F13=TRUE,Inputs!$B$31,0))))))/Skills!H13,1)))/Inputs!$B$35),G801*V801)*IF(Inputs!$B$4="pvp",1,(1-Summary!$B$56)*(1)+Summary!$B$56*(MIN(Skills!R13,Inputs!$B$37))),0)</f>
        <v>302098211453700.88</v>
      </c>
      <c r="P801">
        <f>IF(B827=0,0,O801/B827)</f>
        <v>3.6126224424416847E-2</v>
      </c>
      <c r="S801">
        <f>IF(AND(Inputs!$B$4&lt;&gt;"pvp",Inputs!$B$35&gt;0),(INT(Inputs!$B$35/IF(Inputs!$B$4="pvp",15,MAX(0.1,Skills!E13-IF(Skills!F13=TRUE,Inputs!$B$31,0))))+1),0)</f>
        <v>0</v>
      </c>
      <c r="V801">
        <f>IFERROR(1/IF(Inputs!$B$4="pvp",15,MAX(0.1,Skills!E13-IF(Skills!F13=TRUE,Inputs!$B$31,0))),0)</f>
        <v>3.0303030303030304E-2</v>
      </c>
    </row>
    <row r="802" spans="1:22" x14ac:dyDescent="0.2">
      <c r="A802" t="str">
        <f>Skills!A14</f>
        <v>METEOR_PROC</v>
      </c>
      <c r="B802" t="str">
        <f>Skills!B14</f>
        <v>Meteor Proc (30% on-hit, 1s ICD)</v>
      </c>
      <c r="C802" t="b">
        <f>Inputs!$B$3&gt;=113</f>
        <v>1</v>
      </c>
      <c r="D802">
        <f>IF(Skills!C14=1,60+Inputs!$B$24+Inputs!$B$28,IF(Skills!C14=2,90+Inputs!$B$25+Inputs!$B$28,IF(Skills!C14=3,120+Inputs!$B$26+Inputs!$B$28,MAX(0,(Inputs!$B$3-100)*3)+(Inputs!$B$27+1)+Inputs!$B$28)))</f>
        <v>173</v>
      </c>
      <c r="E802">
        <f>INDEX(FactorTable!$B$2:$Y$301, MATCH(ROUND(MIN(300,MAX(1,D802)),0), FactorTable!$A$2:$A$301,0), Skills!M14+1)</f>
        <v>1692</v>
      </c>
      <c r="F802">
        <f>IF(Skills!N14=TRUE,(Skills!L14/10)*(E802/1000),Skills!L14/10)+Skills!O14</f>
        <v>1607.3999999999999</v>
      </c>
      <c r="G802">
        <f>Calc!G14</f>
        <v>0</v>
      </c>
      <c r="H802">
        <f>Calc!H14</f>
        <v>0.30000000000000004</v>
      </c>
      <c r="I802">
        <f>IF(Skills!X14&lt;&gt;"",1+(Skills!X14/10)*(R791/1000)/100,1)</f>
        <v>1</v>
      </c>
      <c r="J802">
        <f>((Inputs!$B$5*(1+Inputs!$B$6/100))+((Inputs!$B$11*(1+Inputs!$B$12/100))-(Inputs!$B$11*(1+Inputs!$B$12/100)))*(1+Inputs!$B$6/100))*(F802/100)</f>
        <v>4015783849.6854715</v>
      </c>
      <c r="K802">
        <f>J802*(1+((Inputs!$B$11*(1+Inputs!$B$12/100))*0.01+Inputs!$B$13*0.0025)/100)*(1+Inputs!$B$14/100)*(1+IF(Inputs!$B$4="pvp",0,(1-Summary!$B$56)*(Inputs!$B$19+Skills!P14)+Summary!$B$56*(Inputs!$B$20+Skills!Q14))/100)*(1+Inputs!$B$15/100)*(5000/(6000+Inputs!$B$7*(1-Inputs!$B$18/100)))*(1+Inputs!$B$23/100)*(1+F811/100)*(1+IF(Inputs!$B$3&gt;=120,F814,0)/100)^5*(1+(IF(Skills!A14="BASIC_ATTACK",Inputs!$B$16,Inputs!$B$17+IF(Inputs!$B$3&gt;=125,F815*5,0)))/100)*(B818*B819*B820*I802)</f>
        <v>30574167298348.953</v>
      </c>
      <c r="L802">
        <f>K802*(MIN(Inputs!$B$21+(F810-Calc!F22),Inputs!$B$22)/100+Inputs!$B$22/100)/2</f>
        <v>82534964621892.984</v>
      </c>
      <c r="M802">
        <f>L802*(1+(Inputs!$B$9+(F809-Calc!F21))/100)</f>
        <v>345904036730353.56</v>
      </c>
      <c r="N802">
        <f>L802*(1-MIN(Inputs!$B$8+(F808-Calc!F20),100)/100)+M802*(MIN(Inputs!$B$8+(F808-Calc!F20),100)/100)</f>
        <v>345904036730353.56</v>
      </c>
      <c r="O802">
        <f>IF(C802,(H802*B825)/(1+Skills!H14*H802*B825)*N802*IF(Inputs!$B$4="pvp",1,(1-Summary!$B$56)*(1)+Summary!$B$56*(MIN(Skills!R14,Inputs!$B$37))),0)</f>
        <v>108808482688929.38</v>
      </c>
      <c r="P802">
        <f>IF(B827=0,0,O802/B827)</f>
        <v>1.3011793899690044E-2</v>
      </c>
      <c r="S802">
        <v>0</v>
      </c>
      <c r="V802">
        <f>IFERROR(1/IF(Inputs!$B$4="pvp",15,MAX(0.1,Skills!E14-IF(Skills!F14=TRUE,Inputs!$B$31,0))),0)</f>
        <v>10</v>
      </c>
    </row>
    <row r="803" spans="1:22" x14ac:dyDescent="0.2">
      <c r="A803" t="str">
        <f>Skills!A15</f>
        <v>FLAME_HAZE_BURST</v>
      </c>
      <c r="B803" t="str">
        <f>Skills!B15</f>
        <v>Flame Haze (burst)</v>
      </c>
      <c r="C803" t="b">
        <f>Inputs!$B$3&gt;=107</f>
        <v>1</v>
      </c>
      <c r="D803">
        <f>IF(Skills!C15=1,60+Inputs!$B$24+Inputs!$B$28,IF(Skills!C15=2,90+Inputs!$B$25+Inputs!$B$28,IF(Skills!C15=3,120+Inputs!$B$26+Inputs!$B$28,MAX(0,(Inputs!$B$3-100)*3)+(Inputs!$B$27+1)+Inputs!$B$28)))</f>
        <v>173</v>
      </c>
      <c r="E803">
        <f>INDEX(FactorTable!$B$2:$Y$301, MATCH(ROUND(MIN(300,MAX(1,D803)),0), FactorTable!$A$2:$A$301,0), Skills!M15+1)</f>
        <v>1865</v>
      </c>
      <c r="F803">
        <f>IF(Skills!N15=TRUE,(Skills!L15/10)*(E803/1000),Skills!L15/10)+Skills!O15</f>
        <v>2238</v>
      </c>
      <c r="G803">
        <f>Calc!G15</f>
        <v>3</v>
      </c>
      <c r="H803">
        <f>Calc!H15</f>
        <v>1</v>
      </c>
      <c r="I803">
        <f>IF(Skills!X15&lt;&gt;"",1+(Skills!X15/10)*(R791/1000)/100,1)</f>
        <v>1</v>
      </c>
      <c r="J803">
        <f>((Inputs!$B$5*(1+Inputs!$B$6/100))+((Inputs!$B$11*(1+Inputs!$B$12/100))-(Inputs!$B$11*(1+Inputs!$B$12/100)))*(1+Inputs!$B$6/100))*(F803/100)</f>
        <v>5591218275.2246399</v>
      </c>
      <c r="K803">
        <f>J803*(1+((Inputs!$B$11*(1+Inputs!$B$12/100))*0.01+Inputs!$B$13*0.0025)/100)*(1+Inputs!$B$14/100)*(1+IF(Inputs!$B$4="pvp",0,(1-Summary!$B$56)*(Inputs!$B$19+Skills!P15)+Summary!$B$56*(Inputs!$B$20+Skills!Q15))/100)*(1+Inputs!$B$15/100)*(5000/(6000+Inputs!$B$7*(1-Inputs!$B$18/100)))*(1+Inputs!$B$23/100)*(1+F811/100)*(1+IF(Inputs!$B$3&gt;=120,F814,0)/100)^5*(1+(IF(Skills!A15="BASIC_ATTACK",Inputs!$B$16,Inputs!$B$17+IF(Inputs!$B$3&gt;=125,F815*5,0)))/100)*(B818*B819*B820*I803)</f>
        <v>42568736104084.211</v>
      </c>
      <c r="L803">
        <f>K803*(MIN(Inputs!$B$21+(F810-Calc!F22),Inputs!$B$22)/100+Inputs!$B$22/100)/2</f>
        <v>114914303112975.31</v>
      </c>
      <c r="M803">
        <f>L803*(1+(Inputs!$B$9+(F809-Calc!F21))/100)</f>
        <v>481605844346479.62</v>
      </c>
      <c r="N803">
        <f>L803*(1-MIN(Inputs!$B$8+(F808-Calc!F20),100)/100)+M803*(MIN(Inputs!$B$8+(F808-Calc!F20),100)/100)</f>
        <v>481605844346479.62</v>
      </c>
      <c r="O803">
        <f>IF(C803,H803*N803*IF(AND(Inputs!$B$4&lt;&gt;"pvp",Inputs!$B$35&gt;0),((Skills!G15*((S803-1)*IF(Skills!H15&gt;0,Skills!I15/Skills!H15,1)+IF(Skills!H15&gt;0,MIN(Skills!I15,MAX(0,Inputs!$B$35-((S803-1)*IF(Inputs!$B$4="pvp",15,MAX(0.1,Skills!E15-IF(Skills!F15=TRUE,Inputs!$B$31,0))))))/Skills!H15,1)))/Inputs!$B$35),G803*V803)*IF(Inputs!$B$4="pvp",1,(1-Summary!$B$56)*(1)+Summary!$B$56*(MIN(Skills!R15,Inputs!$B$37))),0)</f>
        <v>369873288458096.38</v>
      </c>
      <c r="P803">
        <f>IF(B827=0,0,O803/B827)</f>
        <v>4.4231064338764281E-2</v>
      </c>
      <c r="S803">
        <f>IF(AND(Inputs!$B$4&lt;&gt;"pvp",Inputs!$B$35&gt;0),(INT(Inputs!$B$35/IF(Inputs!$B$4="pvp",15,MAX(0.1,Skills!E15-IF(Skills!F15=TRUE,Inputs!$B$31,0))))+1),0)</f>
        <v>0</v>
      </c>
      <c r="V803">
        <f>IFERROR(1/IF(Inputs!$B$4="pvp",15,MAX(0.1,Skills!E15-IF(Skills!F15=TRUE,Inputs!$B$31,0))),0)</f>
        <v>0.04</v>
      </c>
    </row>
    <row r="804" spans="1:22" x14ac:dyDescent="0.2">
      <c r="A804" t="str">
        <f>Skills!A16</f>
        <v>FLAME_HAZE_DOT</v>
      </c>
      <c r="B804" t="str">
        <f>Skills!B16</f>
        <v>Flame Haze (burn DoT)</v>
      </c>
      <c r="C804" t="b">
        <f>Inputs!$B$3&gt;=107</f>
        <v>1</v>
      </c>
      <c r="D804">
        <f>IF(Skills!C16=1,60+Inputs!$B$24+Inputs!$B$28,IF(Skills!C16=2,90+Inputs!$B$25+Inputs!$B$28,IF(Skills!C16=3,120+Inputs!$B$26+Inputs!$B$28,MAX(0,(Inputs!$B$3-100)*3)+(Inputs!$B$27+1)+Inputs!$B$28)))</f>
        <v>173</v>
      </c>
      <c r="E804">
        <f>INDEX(FactorTable!$B$2:$Y$301, MATCH(ROUND(MIN(300,MAX(1,D804)),0), FactorTable!$A$2:$A$301,0), Skills!M16+1)</f>
        <v>1865</v>
      </c>
      <c r="F804">
        <f>IF(Skills!N16=TRUE,(Skills!L16/10)*(E804/1000),Skills!L16/10)+Skills!O16</f>
        <v>279.75</v>
      </c>
      <c r="G804">
        <f>Calc!G16</f>
        <v>28</v>
      </c>
      <c r="H804">
        <f>Calc!H16</f>
        <v>1</v>
      </c>
      <c r="I804">
        <f>IF(Skills!X16&lt;&gt;"",1+(Skills!X16/10)*(R791/1000)/100,1)</f>
        <v>1</v>
      </c>
      <c r="J804">
        <f>((Inputs!$B$5*(1+Inputs!$B$6/100))+((Inputs!$B$11*(1+Inputs!$B$12/100))-(Inputs!$B$11*(1+Inputs!$B$12/100)))*(1+Inputs!$B$6/100))*(F804/100)</f>
        <v>698902284.40307999</v>
      </c>
      <c r="K804">
        <f>J804*(1+((Inputs!$B$11*(1+Inputs!$B$12/100))*0.01+Inputs!$B$13*0.0025)/100)*(1+Inputs!$B$14/100)*(1+IF(Inputs!$B$4="pvp",0,(1-Summary!$B$56)*(Inputs!$B$19+Skills!P16)+Summary!$B$56*(Inputs!$B$20+Skills!Q16))/100)*(1+Inputs!$B$15/100)*(5000/(6000+Inputs!$B$7*(1-Inputs!$B$18/100)))*(1+Inputs!$B$23/100)*(1+F811/100)*(1+IF(Inputs!$B$3&gt;=120,F814,0)/100)^5*(1+(IF(Skills!A16="BASIC_ATTACK",Inputs!$B$16,Inputs!$B$17+IF(Inputs!$B$3&gt;=125,F815*5,0)))/100)*(B818*B819*B820*I804)</f>
        <v>5321092013010.5264</v>
      </c>
      <c r="L804">
        <f>K804*(MIN(Inputs!$B$21+(F810-Calc!F22),Inputs!$B$22)/100+Inputs!$B$22/100)/2</f>
        <v>14364287889121.914</v>
      </c>
      <c r="M804">
        <f>L804*(1+(Inputs!$B$9+(F809-Calc!F21))/100)</f>
        <v>60200730543309.953</v>
      </c>
      <c r="N804">
        <f>L804*(1-MIN(Inputs!$B$8+(F808-Calc!F20),100)/100)+M804*(MIN(Inputs!$B$8+(F808-Calc!F20),100)/100)</f>
        <v>60200730543309.953</v>
      </c>
      <c r="O804">
        <f>IF(C804,H804*N804*IF(AND(Inputs!$B$4&lt;&gt;"pvp",Inputs!$B$35&gt;0),((Skills!G16*((S804-1)*IF(Skills!H16&gt;0,Skills!I16/Skills!H16,1)+IF(Skills!H16&gt;0,MIN(Skills!I16,MAX(0,Inputs!$B$35-((S804-1)*IF(Inputs!$B$4="pvp",15,MAX(0.1,Skills!E16-IF(Skills!F16=TRUE,Inputs!$B$31,0))))))/Skills!H16,1)))/Inputs!$B$35),G804*V804)*(1+IF(Inputs!$B$3&gt;=126,0.05*(B824+V801+(H802*B825)/(1+Skills!H14*H802*B825)+V812),0)*Skills!E15)*IF(Inputs!$B$4="pvp",1,(1-Summary!$B$56)*(1)+Summary!$B$56*(MIN(Skills!R16,Inputs!$B$37))),0)</f>
        <v>431518836534445.81</v>
      </c>
      <c r="P804">
        <f>IF(B827=0,0,O804/B827)</f>
        <v>5.1602908395224995E-2</v>
      </c>
      <c r="S804">
        <f>IF(AND(Inputs!$B$4&lt;&gt;"pvp",Inputs!$B$35&gt;0),(INT(Inputs!$B$35/IF(Inputs!$B$4="pvp",15,MAX(0.1,Skills!E16-IF(Skills!F16=TRUE,Inputs!$B$31,0))))+1),0)</f>
        <v>0</v>
      </c>
      <c r="V804">
        <f>IFERROR(1/IF(Inputs!$B$4="pvp",15,MAX(0.1,Skills!E16-IF(Skills!F16=TRUE,Inputs!$B$31,0))),0)</f>
        <v>0.04</v>
      </c>
    </row>
    <row r="805" spans="1:22" x14ac:dyDescent="0.2">
      <c r="A805" t="str">
        <f>Skills!A17</f>
        <v>MAGIC_GUARD</v>
      </c>
      <c r="B805" t="str">
        <f>Skills!B17</f>
        <v>Magic Guard</v>
      </c>
      <c r="C805" t="b">
        <f>TRUE</f>
        <v>1</v>
      </c>
      <c r="D805">
        <f>IF(Skills!C17=1,60+Inputs!$B$24+Inputs!$B$28,IF(Skills!C17=2,90+Inputs!$B$25+Inputs!$B$28,IF(Skills!C17=3,120+Inputs!$B$26+Inputs!$B$28,MAX(0,(Inputs!$B$3-100)*3)+(Inputs!$B$27+1)+Inputs!$B$28)))</f>
        <v>115</v>
      </c>
      <c r="E805">
        <f>INDEX(FactorTable!$B$2:$Y$301, MATCH(ROUND(MIN(300,MAX(1,D805)),0), FactorTable!$A$2:$A$301,0), Skills!M17+1)</f>
        <v>1460</v>
      </c>
      <c r="F805">
        <f>IF(Skills!N17=TRUE,(Skills!L17/10)*(E805/1000),Skills!L17/10)+Skills!O17</f>
        <v>17.52</v>
      </c>
      <c r="G805">
        <f>Calc!G17</f>
        <v>1</v>
      </c>
      <c r="H805">
        <f>Calc!H17</f>
        <v>1</v>
      </c>
      <c r="I805">
        <f>IF(Skills!X17&lt;&gt;"",1+(Skills!X17/10)*(R791/1000)/100,1)</f>
        <v>1</v>
      </c>
      <c r="O805">
        <v>0</v>
      </c>
      <c r="P805">
        <f>IF(B827=0,0,O805/B827)</f>
        <v>0</v>
      </c>
      <c r="S805">
        <f>IF(AND(Inputs!$B$4&lt;&gt;"pvp",Inputs!$B$35&gt;0),(INT(Inputs!$B$35/IF(Inputs!$B$4="pvp",15,MAX(0.1,Skills!E17-IF(Skills!F17=TRUE,Inputs!$B$31,0))))+1),0)</f>
        <v>0</v>
      </c>
      <c r="V805">
        <f>IFERROR(1/IF(Inputs!$B$4="pvp",15,MAX(0.1,Skills!E17-IF(Skills!F17=TRUE,Inputs!$B$31,0))),0)</f>
        <v>4.7619047619047616E-2</v>
      </c>
    </row>
    <row r="806" spans="1:22" x14ac:dyDescent="0.2">
      <c r="A806" t="str">
        <f>Skills!A18</f>
        <v>NIMBLE_FEET</v>
      </c>
      <c r="B806" t="str">
        <f>Skills!B18</f>
        <v>Nimble Feet</v>
      </c>
      <c r="C806" t="b">
        <f>TRUE</f>
        <v>1</v>
      </c>
      <c r="D806">
        <f>IF(Skills!C18=1,60+Inputs!$B$24+Inputs!$B$28,IF(Skills!C18=2,90+Inputs!$B$25+Inputs!$B$28,IF(Skills!C18=3,120+Inputs!$B$26+Inputs!$B$28,MAX(0,(Inputs!$B$3-100)*3)+(Inputs!$B$27+1)+Inputs!$B$28)))</f>
        <v>115</v>
      </c>
      <c r="E806">
        <f>INDEX(FactorTable!$B$2:$Y$301, MATCH(ROUND(MIN(300,MAX(1,D806)),0), FactorTable!$A$2:$A$301,0), Skills!M18+1)</f>
        <v>0</v>
      </c>
      <c r="F806">
        <f>IF(Skills!N18=TRUE,(Skills!L18/10)*(E806/1000),Skills!L18/10)+Skills!O18</f>
        <v>15</v>
      </c>
      <c r="G806">
        <f>Calc!G18</f>
        <v>1</v>
      </c>
      <c r="H806">
        <f>Calc!H18</f>
        <v>1</v>
      </c>
      <c r="I806">
        <f>IF(Skills!X18&lt;&gt;"",1+(Skills!X18/10)*(R791/1000)/100,1)</f>
        <v>1</v>
      </c>
      <c r="O806">
        <v>0</v>
      </c>
      <c r="P806">
        <f>IF(B827=0,0,O806/B827)</f>
        <v>0</v>
      </c>
      <c r="S806">
        <f>IF(AND(Inputs!$B$4&lt;&gt;"pvp",Inputs!$B$35&gt;0),(INT(Inputs!$B$35/IF(Inputs!$B$4="pvp",15,MAX(0.1,Skills!E18-IF(Skills!F18=TRUE,Inputs!$B$31,0))))+1),0)</f>
        <v>0</v>
      </c>
      <c r="V806">
        <f>IFERROR(1/IF(Inputs!$B$4="pvp",15,MAX(0.1,Skills!E18-IF(Skills!F18=TRUE,Inputs!$B$31,0))),0)</f>
        <v>1.6666666666666666E-2</v>
      </c>
    </row>
    <row r="807" spans="1:22" x14ac:dyDescent="0.2">
      <c r="A807" t="str">
        <f>Skills!A19</f>
        <v>INFINITY</v>
      </c>
      <c r="B807" t="str">
        <f>Skills!B19</f>
        <v>Infinity</v>
      </c>
      <c r="C807" t="b">
        <f>Inputs!$B$3&gt;=110</f>
        <v>1</v>
      </c>
      <c r="D807">
        <f>IF(Skills!C19=1,60+Inputs!$B$24+Inputs!$B$28,IF(Skills!C19=2,90+Inputs!$B$25+Inputs!$B$28,IF(Skills!C19=3,120+Inputs!$B$26+Inputs!$B$28,MAX(0,(Inputs!$B$3-100)*3)+(Inputs!$B$27+1)+Inputs!$B$28)))</f>
        <v>173</v>
      </c>
      <c r="E807">
        <f>INDEX(FactorTable!$B$2:$Y$301, MATCH(ROUND(MIN(300,MAX(1,D807)),0), FactorTable!$A$2:$A$301,0), Skills!M19+1)</f>
        <v>1692</v>
      </c>
      <c r="F807">
        <f>IF(Skills!N19=TRUE,(Skills!L19/10)*(E807/1000),Skills!L19/10)+Skills!O19</f>
        <v>36.660563999999994</v>
      </c>
      <c r="G807">
        <f>Calc!G19</f>
        <v>1</v>
      </c>
      <c r="H807">
        <f>Calc!H19</f>
        <v>1</v>
      </c>
      <c r="I807">
        <f>IF(Skills!X19&lt;&gt;"",1+(Skills!X19/10)*(R791/1000)/100,1)</f>
        <v>1</v>
      </c>
      <c r="O807">
        <v>0</v>
      </c>
      <c r="P807">
        <f>IF(B827=0,0,O807/B827)</f>
        <v>0</v>
      </c>
      <c r="S807">
        <f>IF(AND(Inputs!$B$4&lt;&gt;"pvp",Inputs!$B$35&gt;0),(INT(Inputs!$B$35/IF(Inputs!$B$4="pvp",15,MAX(0.1,Skills!E19-IF(Skills!F19=TRUE,Inputs!$B$31,0))))+1),0)</f>
        <v>0</v>
      </c>
      <c r="V807">
        <f>IFERROR(1/IF(Inputs!$B$4="pvp",15,MAX(0.1,Skills!E19-IF(Skills!F19=TRUE,Inputs!$B$31,0))),0)</f>
        <v>3.3333333333333333E-2</v>
      </c>
    </row>
    <row r="808" spans="1:22" x14ac:dyDescent="0.2">
      <c r="A808" t="str">
        <f>Skills!A20</f>
        <v>MAGIC_CRITICAL_RATE</v>
      </c>
      <c r="B808" t="str">
        <f>Skills!B20</f>
        <v>Magic Critical (Crit Rate)</v>
      </c>
      <c r="C808" t="b">
        <f>TRUE</f>
        <v>1</v>
      </c>
      <c r="D808">
        <f>IF(Skills!C20=1,60+Inputs!$B$24+Inputs!$B$28,IF(Skills!C20=2,90+Inputs!$B$25+Inputs!$B$28,IF(Skills!C20=3,120+Inputs!$B$26+Inputs!$B$28,MAX(0,(Inputs!$B$3-100)*3)+(Inputs!$B$27+1)+Inputs!$B$28)))</f>
        <v>184</v>
      </c>
      <c r="E808">
        <f>INDEX(FactorTable!$B$2:$Y$301, MATCH(ROUND(MIN(300,MAX(1,D808)),0), FactorTable!$A$2:$A$301,0), Skills!M20+1)</f>
        <v>1552</v>
      </c>
      <c r="F808">
        <f>IF(Skills!N20=TRUE,(Skills!L20/10)*(E808/1000),Skills!L20/10)+Skills!O20</f>
        <v>12.416</v>
      </c>
      <c r="G808">
        <f>Calc!G20</f>
        <v>1</v>
      </c>
      <c r="H808">
        <f>Calc!H20</f>
        <v>1</v>
      </c>
      <c r="I808">
        <f>IF(Skills!X20&lt;&gt;"",1+(Skills!X20/10)*(R791/1000)/100,1)</f>
        <v>1</v>
      </c>
      <c r="O808">
        <v>0</v>
      </c>
      <c r="P808">
        <f>IF(B827=0,0,O808/B827)</f>
        <v>0</v>
      </c>
      <c r="S808">
        <v>0</v>
      </c>
      <c r="V808">
        <f>IFERROR(1/IF(Inputs!$B$4="pvp",15,MAX(0.1,Skills!E20-IF(Skills!F20=TRUE,Inputs!$B$31,0))),0)</f>
        <v>10</v>
      </c>
    </row>
    <row r="809" spans="1:22" x14ac:dyDescent="0.2">
      <c r="A809" t="str">
        <f>Skills!A21</f>
        <v>MAGIC_CRITICAL_DAMAGE</v>
      </c>
      <c r="B809" t="str">
        <f>Skills!B21</f>
        <v>Magic Critical (Crit Damage)</v>
      </c>
      <c r="C809" t="b">
        <f>TRUE</f>
        <v>1</v>
      </c>
      <c r="D809">
        <f>IF(Skills!C21=1,60+Inputs!$B$24+Inputs!$B$28,IF(Skills!C21=2,90+Inputs!$B$25+Inputs!$B$28,IF(Skills!C21=3,120+Inputs!$B$26+Inputs!$B$28,MAX(0,(Inputs!$B$3-100)*3)+(Inputs!$B$27+1)+Inputs!$B$28)))</f>
        <v>184</v>
      </c>
      <c r="E809">
        <f>INDEX(FactorTable!$B$2:$Y$301, MATCH(ROUND(MIN(300,MAX(1,D809)),0), FactorTable!$A$2:$A$301,0), Skills!M21+1)</f>
        <v>1552</v>
      </c>
      <c r="F809">
        <f>IF(Skills!N21=TRUE,(Skills!L21/10)*(E809/1000),Skills!L21/10)+Skills!O21</f>
        <v>18.624000000000002</v>
      </c>
      <c r="G809">
        <f>Calc!G21</f>
        <v>1</v>
      </c>
      <c r="H809">
        <f>Calc!H21</f>
        <v>1</v>
      </c>
      <c r="I809">
        <f>IF(Skills!X21&lt;&gt;"",1+(Skills!X21/10)*(R791/1000)/100,1)</f>
        <v>1</v>
      </c>
      <c r="O809">
        <v>0</v>
      </c>
      <c r="P809">
        <f>IF(B827=0,0,O809/B827)</f>
        <v>0</v>
      </c>
      <c r="S809">
        <v>0</v>
      </c>
      <c r="V809">
        <f>IFERROR(1/IF(Inputs!$B$4="pvp",15,MAX(0.1,Skills!E21-IF(Skills!F21=TRUE,Inputs!$B$31,0))),0)</f>
        <v>10</v>
      </c>
    </row>
    <row r="810" spans="1:22" x14ac:dyDescent="0.2">
      <c r="A810" t="str">
        <f>Skills!A22</f>
        <v>SPELL_MASTERY</v>
      </c>
      <c r="B810" t="str">
        <f>Skills!B22</f>
        <v>Spell Mastery</v>
      </c>
      <c r="C810" t="b">
        <f>TRUE</f>
        <v>1</v>
      </c>
      <c r="D810">
        <f>IF(Skills!C22=1,60+Inputs!$B$24+Inputs!$B$28,IF(Skills!C22=2,90+Inputs!$B$25+Inputs!$B$28,IF(Skills!C22=3,120+Inputs!$B$26+Inputs!$B$28,MAX(0,(Inputs!$B$3-100)*3)+(Inputs!$B$27+1)+Inputs!$B$28)))</f>
        <v>164</v>
      </c>
      <c r="E810">
        <f>INDEX(FactorTable!$B$2:$Y$301, MATCH(ROUND(MIN(300,MAX(1,D810)),0), FactorTable!$A$2:$A$301,0), Skills!M22+1)</f>
        <v>1492</v>
      </c>
      <c r="F810">
        <f>IF(Skills!N22=TRUE,(Skills!L22/10)*(E810/1000),Skills!L22/10)+Skills!O22</f>
        <v>22.38</v>
      </c>
      <c r="G810">
        <f>Calc!G22</f>
        <v>1</v>
      </c>
      <c r="H810">
        <f>Calc!H22</f>
        <v>1</v>
      </c>
      <c r="I810">
        <f>IF(Skills!X22&lt;&gt;"",1+(Skills!X22/10)*(R791/1000)/100,1)</f>
        <v>1</v>
      </c>
      <c r="O810">
        <v>0</v>
      </c>
      <c r="P810">
        <f>IF(B827=0,0,O810/B827)</f>
        <v>0</v>
      </c>
      <c r="S810">
        <v>0</v>
      </c>
      <c r="V810">
        <f>IFERROR(1/IF(Inputs!$B$4="pvp",15,MAX(0.1,Skills!E22-IF(Skills!F22=TRUE,Inputs!$B$31,0))),0)</f>
        <v>10</v>
      </c>
    </row>
    <row r="811" spans="1:22" x14ac:dyDescent="0.2">
      <c r="A811" t="str">
        <f>Skills!A23</f>
        <v>ELEMENT_AMPLIFICATION</v>
      </c>
      <c r="B811" t="str">
        <f>Skills!B23</f>
        <v>Element Amplification</v>
      </c>
      <c r="C811" t="b">
        <f>TRUE</f>
        <v>1</v>
      </c>
      <c r="D811">
        <f>IF(Skills!C23=1,60+Inputs!$B$24+Inputs!$B$28,IF(Skills!C23=2,90+Inputs!$B$25+Inputs!$B$28,IF(Skills!C23=3,120+Inputs!$B$26+Inputs!$B$28,MAX(0,(Inputs!$B$3-100)*3)+(Inputs!$B$27+1)+Inputs!$B$28)))</f>
        <v>173</v>
      </c>
      <c r="E811">
        <f>INDEX(FactorTable!$B$2:$Y$301, MATCH(ROUND(MIN(300,MAX(1,D811)),0), FactorTable!$A$2:$A$301,0), Skills!M23+1)</f>
        <v>1519</v>
      </c>
      <c r="F811">
        <f>IF(Skills!N23=TRUE,(Skills!L23/10)*(E811/1000),Skills!L23/10)+Skills!O23</f>
        <v>22.785</v>
      </c>
      <c r="G811">
        <f>Calc!G23</f>
        <v>1</v>
      </c>
      <c r="H811">
        <f>Calc!H23</f>
        <v>1</v>
      </c>
      <c r="I811">
        <f>IF(Skills!X23&lt;&gt;"",1+(Skills!X23/10)*(R791/1000)/100,1)</f>
        <v>1</v>
      </c>
      <c r="O811">
        <v>0</v>
      </c>
      <c r="P811">
        <f>IF(B827=0,0,O811/B827)</f>
        <v>0</v>
      </c>
      <c r="S811">
        <v>0</v>
      </c>
      <c r="V811">
        <f>IFERROR(1/IF(Inputs!$B$4="pvp",15,MAX(0.1,Skills!E23-IF(Skills!F23=TRUE,Inputs!$B$31,0))),0)</f>
        <v>10</v>
      </c>
    </row>
    <row r="812" spans="1:22" x14ac:dyDescent="0.2">
      <c r="A812" t="str">
        <f>Skills!A24</f>
        <v>IFRIT</v>
      </c>
      <c r="B812" t="str">
        <f>Skills!B24</f>
        <v>Ifrit</v>
      </c>
      <c r="C812" t="b">
        <f>Inputs!$B$3&gt;=115</f>
        <v>0</v>
      </c>
      <c r="D812">
        <f>IF(Skills!C24=1,60+Inputs!$B$24+Inputs!$B$28,IF(Skills!C24=2,90+Inputs!$B$25+Inputs!$B$28,IF(Skills!C24=3,120+Inputs!$B$26+Inputs!$B$28,MAX(0,(Inputs!$B$3-100)*3)+(Inputs!$B$27+1)+Inputs!$B$28)))</f>
        <v>173</v>
      </c>
      <c r="E812">
        <f>INDEX(FactorTable!$B$2:$Y$301, MATCH(ROUND(MIN(300,MAX(1,D812)),0), FactorTable!$A$2:$A$301,0), Skills!M24+1)</f>
        <v>1865</v>
      </c>
      <c r="F812">
        <f>IF(Skills!N24=TRUE,(Skills!L24/10)*(E812/1000),Skills!L24/10)+Skills!O24</f>
        <v>6527.5</v>
      </c>
      <c r="G812">
        <f>Calc!G24</f>
        <v>7.5</v>
      </c>
      <c r="H812">
        <f>Calc!H24</f>
        <v>1</v>
      </c>
      <c r="I812">
        <f>IF(Skills!X24&lt;&gt;"",1+(Skills!X24/10)*(R791/1000)/100,1)</f>
        <v>1</v>
      </c>
      <c r="J812">
        <f>((Inputs!$B$5*(1+Inputs!$B$6/100))+((Inputs!$B$11*(1+Inputs!$B$12/100))-(Inputs!$B$11*(1+Inputs!$B$12/100)))*(1+Inputs!$B$6/100))*(F812/100)</f>
        <v>16307719969.405201</v>
      </c>
      <c r="K812">
        <f>J812*(1+((Inputs!$B$11*(1+Inputs!$B$12/100))*0.01+Inputs!$B$13*0.0025)/100)*(1+Inputs!$B$14/100)*(1+IF(Inputs!$B$4="pvp",0,(1-Summary!$B$56)*(Inputs!$B$19+Skills!P24)+Summary!$B$56*(Inputs!$B$20+Skills!Q24))/100)*(1+Inputs!$B$15/100)*(5000/(6000+Inputs!$B$7*(1-Inputs!$B$18/100)))*(1+Inputs!$B$23/100)*(1+F811/100)*(1+IF(Inputs!$B$3&gt;=120,F814,0)/100)^5*(1+(IF(Skills!A24="BASIC_ATTACK",Inputs!$B$16,Inputs!$B$17+IF(Inputs!$B$3&gt;=125,F815*5,0)))/100)*(B818*B819*B820*I812)</f>
        <v>124158813636912.3</v>
      </c>
      <c r="L812">
        <f>K812*(MIN(Inputs!$B$21+(F810-Calc!F22),Inputs!$B$22)/100+Inputs!$B$22/100)/2</f>
        <v>335166717412844.69</v>
      </c>
      <c r="M812">
        <f>L812*(1+(Inputs!$B$9+(F809-Calc!F21))/100)</f>
        <v>1404683712677232.2</v>
      </c>
      <c r="N812">
        <f>L812*(1-MIN(Inputs!$B$8+(F808-Calc!F20),100)/100)+M812*(MIN(Inputs!$B$8+(F808-Calc!F20),100)/100)</f>
        <v>1404683712677232.2</v>
      </c>
      <c r="O812">
        <f>IF(C812,H812*N812*IF(AND(Inputs!$B$4&lt;&gt;"pvp",Inputs!$B$35&gt;0),((Skills!G24*((S812-1)*IF(Skills!H24&gt;0,Skills!I24/Skills!H24,1)+IF(Skills!H24&gt;0,MIN(Skills!I24,MAX(0,Inputs!$B$35-((S812-1)*IF(Inputs!$B$4="pvp",15,MAX(0.1,Skills!E24-IF(Skills!F24=TRUE,Inputs!$B$31,0))))))/Skills!H24,1)))/Inputs!$B$35),G812*V812)*(1+IF(Inputs!$B$3&gt;=130,0.2*(Skills!I16/Skills!E15+IF(Inputs!$B$3&gt;=126,0.05*(B824+V801+(H802*B825)/(1+Skills!H14*H802*B825)+V812),0)*Skills!I16),0))*IF(Inputs!$B$4="pvp",1,(1-Summary!$B$56)*(1)+Summary!$B$56*(MIN(Skills!R24,Inputs!$B$37))),0)</f>
        <v>0</v>
      </c>
      <c r="P812">
        <f>IF(B827=0,0,O812/B827)</f>
        <v>0</v>
      </c>
      <c r="S812">
        <f>IF(AND(Inputs!$B$4&lt;&gt;"pvp",Inputs!$B$35&gt;0),(INT(Inputs!$B$35/IF(Inputs!$B$4="pvp",15,MAX(0.1,Skills!E24-IF(Skills!F24=TRUE,Inputs!$B$31,0))))+1),0)</f>
        <v>0</v>
      </c>
      <c r="V812">
        <f>IFERROR(1/IF(Inputs!$B$4="pvp",15,MAX(0.1,Skills!E24-IF(Skills!F24=TRUE,Inputs!$B$31,0))),0)</f>
        <v>1.2500000000000001E-2</v>
      </c>
    </row>
    <row r="813" spans="1:22" x14ac:dyDescent="0.2">
      <c r="A813" t="str">
        <f>Skills!A25</f>
        <v>BUFF_MASTERY</v>
      </c>
      <c r="B813" t="str">
        <f>Skills!B25</f>
        <v>Buff Mastery</v>
      </c>
      <c r="C813" t="b">
        <f>Inputs!$B$3&gt;=117</f>
        <v>0</v>
      </c>
      <c r="D813">
        <f>IF(Skills!C25=1,60+Inputs!$B$24+Inputs!$B$28,IF(Skills!C25=2,90+Inputs!$B$25+Inputs!$B$28,IF(Skills!C25=3,120+Inputs!$B$26+Inputs!$B$28,MAX(0,(Inputs!$B$3-100)*3)+(Inputs!$B$27+1)+Inputs!$B$28)))</f>
        <v>173</v>
      </c>
      <c r="E813">
        <f>INDEX(FactorTable!$B$2:$Y$301, MATCH(ROUND(MIN(300,MAX(1,D813)),0), FactorTable!$A$2:$A$301,0), Skills!M25+1)</f>
        <v>1519</v>
      </c>
      <c r="F813">
        <f>IF(Skills!N25=TRUE,(Skills!L25/10)*(E813/1000),Skills!L25/10)+Skills!O25</f>
        <v>15.19</v>
      </c>
      <c r="G813">
        <f>Calc!G25</f>
        <v>1</v>
      </c>
      <c r="H813">
        <f>Calc!H25</f>
        <v>1</v>
      </c>
      <c r="I813">
        <f>IF(Skills!X25&lt;&gt;"",1+(Skills!X25/10)*(R791/1000)/100,1)</f>
        <v>1</v>
      </c>
      <c r="O813">
        <v>0</v>
      </c>
      <c r="P813">
        <f>IF(B827=0,0,O813/B827)</f>
        <v>0</v>
      </c>
      <c r="S813">
        <v>0</v>
      </c>
      <c r="V813">
        <f>IFERROR(1/IF(Inputs!$B$4="pvp",15,MAX(0.1,Skills!E25-IF(Skills!F25=TRUE,Inputs!$B$31,0))),0)</f>
        <v>10</v>
      </c>
    </row>
    <row r="814" spans="1:22" x14ac:dyDescent="0.2">
      <c r="A814" t="str">
        <f>Skills!A26</f>
        <v>ARCANE_AIM</v>
      </c>
      <c r="B814" t="str">
        <f>Skills!B26</f>
        <v>Arcane Aim</v>
      </c>
      <c r="C814" t="b">
        <f>Inputs!$B$3&gt;=120</f>
        <v>0</v>
      </c>
      <c r="D814">
        <f>IF(Skills!C26=1,60+Inputs!$B$24+Inputs!$B$28,IF(Skills!C26=2,90+Inputs!$B$25+Inputs!$B$28,IF(Skills!C26=3,120+Inputs!$B$26+Inputs!$B$28,MAX(0,(Inputs!$B$3-100)*3)+(Inputs!$B$27+1)+Inputs!$B$28)))</f>
        <v>173</v>
      </c>
      <c r="E814">
        <f>INDEX(FactorTable!$B$2:$Y$301, MATCH(ROUND(MIN(300,MAX(1,D814)),0), FactorTable!$A$2:$A$301,0), Skills!M26+1)</f>
        <v>1519</v>
      </c>
      <c r="F814">
        <f>IF(Skills!N26=TRUE,(Skills!L26/10)*(E814/1000),Skills!L26/10)+Skills!O26</f>
        <v>4.5569999999999995</v>
      </c>
      <c r="G814">
        <f>Calc!G26</f>
        <v>1</v>
      </c>
      <c r="H814">
        <f>Calc!H26</f>
        <v>1</v>
      </c>
      <c r="I814">
        <f>IF(Skills!X26&lt;&gt;"",1+(Skills!X26/10)*(R791/1000)/100,1)</f>
        <v>1</v>
      </c>
      <c r="O814">
        <v>0</v>
      </c>
      <c r="P814">
        <f>IF(B827=0,0,O814/B827)</f>
        <v>0</v>
      </c>
      <c r="S814">
        <v>0</v>
      </c>
      <c r="V814">
        <f>IFERROR(1/IF(Inputs!$B$4="pvp",15,MAX(0.1,Skills!E26-IF(Skills!F26=TRUE,Inputs!$B$31,0))),0)</f>
        <v>10</v>
      </c>
    </row>
    <row r="815" spans="1:22" x14ac:dyDescent="0.2">
      <c r="A815" t="str">
        <f>Skills!A27</f>
        <v>FERVENT_DRAIN</v>
      </c>
      <c r="B815" t="str">
        <f>Skills!B27</f>
        <v>Fervent Drain</v>
      </c>
      <c r="C815" t="b">
        <f>Inputs!$B$3&gt;=125</f>
        <v>0</v>
      </c>
      <c r="D815">
        <f>IF(Skills!C27=1,60+Inputs!$B$24+Inputs!$B$28,IF(Skills!C27=2,90+Inputs!$B$25+Inputs!$B$28,IF(Skills!C27=3,120+Inputs!$B$26+Inputs!$B$28,MAX(0,(Inputs!$B$3-100)*3)+(Inputs!$B$27+1)+Inputs!$B$28)))</f>
        <v>173</v>
      </c>
      <c r="E815">
        <f>INDEX(FactorTable!$B$2:$Y$301, MATCH(ROUND(MIN(300,MAX(1,D815)),0), FactorTable!$A$2:$A$301,0), Skills!M27+1)</f>
        <v>1519</v>
      </c>
      <c r="F815">
        <f>IF(Skills!N27=TRUE,(Skills!L27/10)*(E815/1000),Skills!L27/10)+Skills!O27</f>
        <v>6.0759999999999996</v>
      </c>
      <c r="G815">
        <f>Calc!G27</f>
        <v>1</v>
      </c>
      <c r="H815">
        <f>Calc!H27</f>
        <v>1</v>
      </c>
      <c r="I815">
        <f>IF(Skills!X27&lt;&gt;"",1+(Skills!X27/10)*(R791/1000)/100,1)</f>
        <v>1</v>
      </c>
      <c r="O815">
        <v>0</v>
      </c>
      <c r="P815">
        <f>IF(B827=0,0,O815/B827)</f>
        <v>0</v>
      </c>
      <c r="S815">
        <v>0</v>
      </c>
      <c r="V815">
        <f>IFERROR(1/IF(Inputs!$B$4="pvp",15,MAX(0.1,Skills!E27-IF(Skills!F27=TRUE,Inputs!$B$31,0))),0)</f>
        <v>10</v>
      </c>
    </row>
    <row r="816" spans="1:22" x14ac:dyDescent="0.2">
      <c r="A816" t="str">
        <f>Skills!A28</f>
        <v>FLAME_HAZE_FOG</v>
      </c>
      <c r="B816" t="str">
        <f>Skills!B28</f>
        <v>Flame Haze (poison fog DoT)</v>
      </c>
      <c r="C816" t="b">
        <f>Inputs!$B$3&gt;=118</f>
        <v>0</v>
      </c>
      <c r="D816">
        <f>IF(Skills!C28=1,60+Inputs!$B$24+Inputs!$B$28,IF(Skills!C28=2,90+Inputs!$B$25+Inputs!$B$28,IF(Skills!C28=3,120+Inputs!$B$26+Inputs!$B$28,MAX(0,(Inputs!$B$3-100)*3)+(Inputs!$B$27+1)+Inputs!$B$28)))</f>
        <v>173</v>
      </c>
      <c r="E816">
        <f>INDEX(FactorTable!$B$2:$Y$301, MATCH(ROUND(MIN(300,MAX(1,D816)),0), FactorTable!$A$2:$A$301,0), Skills!M28+1)</f>
        <v>1865</v>
      </c>
      <c r="F816">
        <f>IF(Skills!N28=TRUE,(Skills!L28/10)*(E816/1000),Skills!L28/10)+Skills!O28</f>
        <v>130.55000000000001</v>
      </c>
      <c r="G816">
        <f>Calc!G28</f>
        <v>50</v>
      </c>
      <c r="H816">
        <f>Calc!H28</f>
        <v>1</v>
      </c>
      <c r="I816">
        <f>IF(Skills!X28&lt;&gt;"",1+(Skills!X28/10)*(R791/1000)/100,1)</f>
        <v>1</v>
      </c>
      <c r="J816">
        <f>((Inputs!$B$5*(1+Inputs!$B$6/100))+((Inputs!$B$11*(1+Inputs!$B$12/100))-(Inputs!$B$11*(1+Inputs!$B$12/100)))*(1+Inputs!$B$6/100))*(F816/100)</f>
        <v>326154399.38810402</v>
      </c>
      <c r="K816">
        <f>J816*(1+((Inputs!$B$11*(1+Inputs!$B$12/100))*0.01+Inputs!$B$13*0.0025)/100)*(1+Inputs!$B$14/100)*(1+IF(Inputs!$B$4="pvp",0,(1-Summary!$B$56)*(Inputs!$B$19+Skills!P28)+Summary!$B$56*(Inputs!$B$20+Skills!Q28))/100)*(1+Inputs!$B$15/100)*(5000/(6000+Inputs!$B$7*(1-Inputs!$B$18/100)))*(1+Inputs!$B$23/100)*(1+F811/100)*(1+IF(Inputs!$B$3&gt;=120,F814,0)/100)^5*(1+(IF(Skills!A28="BASIC_ATTACK",Inputs!$B$16,Inputs!$B$17+IF(Inputs!$B$3&gt;=125,F815*5,0)))/100)*(B818*B819*B820*I816)</f>
        <v>2483176272738.2461</v>
      </c>
      <c r="L816">
        <f>K816*(MIN(Inputs!$B$21+(F810-Calc!F22),Inputs!$B$22)/100+Inputs!$B$22/100)/2</f>
        <v>6703334348256.8945</v>
      </c>
      <c r="M816">
        <f>L816*(1+(Inputs!$B$9+(F809-Calc!F21))/100)</f>
        <v>28093674253544.648</v>
      </c>
      <c r="N816">
        <f>L816*(1-MIN(Inputs!$B$8+(F808-Calc!F20),100)/100)+M816*(MIN(Inputs!$B$8+(F808-Calc!F20),100)/100)</f>
        <v>28093674253544.648</v>
      </c>
      <c r="O816">
        <f>IF(C816,H816*N816*IF(AND(Inputs!$B$4&lt;&gt;"pvp",Inputs!$B$35&gt;0),((Skills!G28*((S816-1)*IF(Skills!H28&gt;0,Skills!I28/Skills!H28,1)+IF(Skills!H28&gt;0,MIN(Skills!I28,MAX(0,Inputs!$B$35-((S816-1)*IF(Inputs!$B$4="pvp",15,MAX(0.1,Skills!E28-IF(Skills!F28=TRUE,Inputs!$B$31,0))))))/Skills!H28,1)))/Inputs!$B$35),G816*V816)*IF(Inputs!$B$4="pvp",1,(1-Summary!$B$56)*(1)+Summary!$B$56*(MIN(Skills!R28,Inputs!$B$37))),0)</f>
        <v>0</v>
      </c>
      <c r="P816">
        <f>IF(B827=0,0,O816/B827)</f>
        <v>0</v>
      </c>
      <c r="S816">
        <f>IF(AND(Inputs!$B$4&lt;&gt;"pvp",Inputs!$B$35&gt;0),(INT(Inputs!$B$35/IF(Inputs!$B$4="pvp",15,MAX(0.1,Skills!E28-IF(Skills!F28=TRUE,Inputs!$B$31,0))))+1),0)</f>
        <v>0</v>
      </c>
      <c r="V816">
        <f>IFERROR(1/IF(Inputs!$B$4="pvp",15,MAX(0.1,Skills!E28-IF(Skills!F28=TRUE,Inputs!$B$31,0))),0)</f>
        <v>0.04</v>
      </c>
    </row>
    <row r="818" spans="1:22" x14ac:dyDescent="0.2">
      <c r="A818" t="s">
        <v>222</v>
      </c>
      <c r="B818">
        <f>1+(F799*Skills!Z11)/100</f>
        <v>1.25</v>
      </c>
    </row>
    <row r="819" spans="1:22" x14ac:dyDescent="0.2">
      <c r="A819" t="s">
        <v>223</v>
      </c>
      <c r="B819">
        <f>1+F800/100</f>
        <v>1.18624</v>
      </c>
    </row>
    <row r="820" spans="1:22" x14ac:dyDescent="0.2">
      <c r="A820" t="s">
        <v>224</v>
      </c>
      <c r="B820">
        <f>(1+(F794*IF(AND(Inputs!$B$4&lt;&gt;"pvp",Inputs!$B$35&gt;0),(((S794-1)*(Skills!T6*(1+(Inputs!$B$33+IF(Inputs!$B$3&gt;=117,F813,0))/100))+MIN((Skills!T6*(1+(Inputs!$B$33+IF(Inputs!$B$3&gt;=117,F813,0))/100)),MAX(0,Inputs!$B$35-((S794-1)*Skills!E6))))/Inputs!$B$35),IF(Inputs!$B$4="pvp",MIN((Skills!T6*(1+(Inputs!$B$33+IF(Inputs!$B$3&gt;=117,F813,0))/100)),15)/15,(Skills!T6*(1+(Inputs!$B$33+IF(Inputs!$B$3&gt;=117,F813,0))/100))/Skills!E6))+F805*IF(AND(Inputs!$B$4&lt;&gt;"pvp",Inputs!$B$35&gt;0),(((S805-1)*(Skills!T17*(1+(Inputs!$B$33+IF(Inputs!$B$3&gt;=117,F813,0))/100))+MIN((Skills!T17*(1+(Inputs!$B$33+IF(Inputs!$B$3&gt;=117,F813,0))/100)),MAX(0,Inputs!$B$35-((S805-1)*Skills!E17))))/Inputs!$B$35),IF(Inputs!$B$4="pvp",MIN((Skills!T17*(1+(Inputs!$B$33+IF(Inputs!$B$3&gt;=117,F813,0))/100)),15)/15,(Skills!T17*(1+(Inputs!$B$33+IF(Inputs!$B$3&gt;=117,F813,0))/100))/Skills!E17)))/100)*IF(C807=TRUE,(1+F807*IF(AND(Inputs!$B$4&lt;&gt;"pvp",Inputs!$B$35&gt;0),(((S807-1)*(Skills!T19*(1+(Inputs!$B$33+IF(Inputs!$B$3&gt;=117,F813,0))/100))+MIN((Skills!T19*(1+(Inputs!$B$33+IF(Inputs!$B$3&gt;=117,F813,0))/100)),MAX(0,Inputs!$B$35-((S807-1)*Skills!E19))))/Inputs!$B$35),IF(Inputs!$B$4="pvp",MIN((Skills!T19*(1+(Inputs!$B$33+IF(Inputs!$B$3&gt;=117,F813,0))/100)),15)/15,(Skills!T19*(1+(Inputs!$B$33+IF(Inputs!$B$3&gt;=117,F813,0))/100))/Skills!E19))/100),1)</f>
        <v>1.5608981307271999</v>
      </c>
    </row>
    <row r="821" spans="1:22" x14ac:dyDescent="0.2">
      <c r="A821" t="s">
        <v>225</v>
      </c>
      <c r="B821">
        <f>F806*IF(AND(Inputs!$B$4&lt;&gt;"pvp",Inputs!$B$35&gt;0),(((S806-1)*(Skills!T18*(1+(Inputs!$B$33+IF(Inputs!$B$3&gt;=117,F813,0))/100))+MIN((Skills!T18*(1+(Inputs!$B$33+IF(Inputs!$B$3&gt;=117,F813,0))/100)),MAX(0,Inputs!$B$35-((S806-1)*Skills!E18))))/Inputs!$B$35),IF(Inputs!$B$4="pvp",MIN((Skills!T18*(1+(Inputs!$B$33+IF(Inputs!$B$3&gt;=117,F813,0))/100)),15)/15,(Skills!T18*(1+(Inputs!$B$33+IF(Inputs!$B$3&gt;=117,F813,0))/100))/Skills!E18))</f>
        <v>3.75</v>
      </c>
    </row>
    <row r="822" spans="1:22" x14ac:dyDescent="0.2">
      <c r="A822" t="s">
        <v>253</v>
      </c>
      <c r="B822">
        <f>1+MIN(150,150*(1-(1-Inputs!$B$10/150)*(1-B821/150)))/100</f>
        <v>1.6371249999999999</v>
      </c>
    </row>
    <row r="823" spans="1:22" x14ac:dyDescent="0.2">
      <c r="A823" t="s">
        <v>254</v>
      </c>
      <c r="B823">
        <f>IF(AND(Inputs!$B$4&lt;&gt;"pvp",Inputs!$B$35&gt;0),SUMPRODUCT((Skills!F2:F28=TRUE)*(C790:C816=TRUE)*S790:S816)/Inputs!$B$35,SUMPRODUCT((Skills!F2:F28=TRUE)*(C790:C816=TRUE)*V790:V816))</f>
        <v>0.33466433037861604</v>
      </c>
    </row>
    <row r="824" spans="1:22" x14ac:dyDescent="0.2">
      <c r="A824" t="s">
        <v>228</v>
      </c>
      <c r="B824">
        <f>MAX(0,B822-B823)</f>
        <v>1.3024606696213838</v>
      </c>
    </row>
    <row r="825" spans="1:22" x14ac:dyDescent="0.2">
      <c r="A825" t="s">
        <v>255</v>
      </c>
      <c r="B825">
        <f>IF(AND(Inputs!$B$4&lt;&gt;"pvp",Inputs!$B$35&gt;0),SUMPRODUCT((Skills!V2:V28=TRUE)*(C790:C816=TRUE)*S790:S816*Skills!W2:W28)/Inputs!$B$35,SUMPRODUCT((Skills!V2:V28=TRUE)*(C790:C816=TRUE)*V790:V816*Skills!W2:W28))+B824</f>
        <v>1.5297416426166426</v>
      </c>
    </row>
    <row r="827" spans="1:22" x14ac:dyDescent="0.2">
      <c r="A827" s="5" t="s">
        <v>208</v>
      </c>
      <c r="B827" s="5">
        <f>SUM(O790:O816)</f>
        <v>8362296815316243</v>
      </c>
    </row>
    <row r="830" spans="1:22" x14ac:dyDescent="0.2">
      <c r="A830" s="5" t="s">
        <v>274</v>
      </c>
    </row>
    <row r="831" spans="1:22" x14ac:dyDescent="0.2">
      <c r="A831" s="8" t="s">
        <v>74</v>
      </c>
      <c r="B831" s="8" t="s">
        <v>75</v>
      </c>
      <c r="C831" s="8" t="s">
        <v>190</v>
      </c>
      <c r="D831" s="8" t="s">
        <v>191</v>
      </c>
      <c r="E831" s="8" t="s">
        <v>192</v>
      </c>
      <c r="F831" s="8" t="s">
        <v>193</v>
      </c>
      <c r="G831" s="8" t="s">
        <v>194</v>
      </c>
      <c r="H831" s="8" t="s">
        <v>195</v>
      </c>
      <c r="I831" s="8" t="s">
        <v>196</v>
      </c>
      <c r="J831" s="8" t="s">
        <v>197</v>
      </c>
      <c r="K831" s="8" t="s">
        <v>198</v>
      </c>
      <c r="L831" s="8" t="s">
        <v>199</v>
      </c>
      <c r="M831" s="8" t="s">
        <v>200</v>
      </c>
      <c r="N831" s="8" t="s">
        <v>201</v>
      </c>
      <c r="O831" s="8" t="s">
        <v>202</v>
      </c>
      <c r="P831" s="8" t="s">
        <v>203</v>
      </c>
      <c r="R831" t="s">
        <v>252</v>
      </c>
    </row>
    <row r="832" spans="1:22" x14ac:dyDescent="0.2">
      <c r="A832" t="str">
        <f>Skills!A2</f>
        <v>BASIC_ATTACK</v>
      </c>
      <c r="B832" t="str">
        <f>Skills!B2</f>
        <v>Basic Attack</v>
      </c>
      <c r="C832" t="b">
        <f>TRUE</f>
        <v>1</v>
      </c>
      <c r="F832">
        <f>T834+Skills!O2</f>
        <v>511.68</v>
      </c>
      <c r="G832">
        <f>Calc!G2</f>
        <v>5</v>
      </c>
      <c r="H832">
        <f>Calc!H2</f>
        <v>1</v>
      </c>
      <c r="I832">
        <f>IF(Skills!X2&lt;&gt;"",1+(Skills!X2/10)*(R833/1000)/100,1)</f>
        <v>1</v>
      </c>
      <c r="J832">
        <f>((Inputs!$B$5*(1+Inputs!$B$6/100))+((Inputs!$B$11*(1+Inputs!$B$12/100))-(Inputs!$B$11*(1+Inputs!$B$12/100)))*(1+Inputs!$B$6/100))*(F832/100)</f>
        <v>1278335374.0245504</v>
      </c>
      <c r="K832">
        <f>J832*(1+((Inputs!$B$11*(1+Inputs!$B$12/100))*0.01+Inputs!$B$13*0.0025)/100)*(1+Inputs!$B$14/100)*(1+IF(Inputs!$B$4="pvp",0,(1-Summary!$B$56)*(Inputs!$B$19+Skills!P2)+Summary!$B$56*(Inputs!$B$20+Skills!Q2))/100)*(1+Inputs!$B$15/100)*(5000/(6000+Inputs!$B$7*(1-Inputs!$B$18/100)))*(1+Inputs!$B$23/100)*(1+F853/100)*(1+IF(Inputs!$B$3&gt;=120,F856,0)/100)^5*(1+(IF(Skills!A2="BASIC_ATTACK",Inputs!$B$16,Inputs!$B$17+IF(Inputs!$B$3&gt;=125,F857*5,0)))/100)*(B860*B861*B862*I832)</f>
        <v>6987882911232.5859</v>
      </c>
      <c r="L832">
        <f>K832*(MIN(Inputs!$B$21+(F852-Calc!F22),Inputs!$B$22)/100+Inputs!$B$22/100)/2</f>
        <v>18865362192527.395</v>
      </c>
      <c r="M832">
        <f>L832*(1+(Inputs!$B$9+(F851-Calc!F21))/100)</f>
        <v>79071524479271.625</v>
      </c>
      <c r="N832">
        <f>L832*(1-MIN(Inputs!$B$8+(F850-Calc!F20),100)/100)+M832*(MIN(Inputs!$B$8+(F850-Calc!F20),100)/100)</f>
        <v>79071524479271.625</v>
      </c>
      <c r="O832">
        <f>Skills!G2*N832*B866*IF(Inputs!$B$4="pvp",1,(1-Summary!$B$56)*(1)+Summary!$B$56*(MIN((6+Inputs!$B$32+IF(Inputs!$B$3&gt;=136,1,0)),Inputs!$B$37)))</f>
        <v>3913526927407719</v>
      </c>
      <c r="P832">
        <f>IF(B869=0,0,O832/B869)</f>
        <v>0.46728642514860741</v>
      </c>
      <c r="R832">
        <f>MAX(0,(Inputs!$B$3-100)*3)+Inputs!$B$27+(Inputs!$B$28+1)</f>
        <v>173</v>
      </c>
      <c r="S832">
        <v>0</v>
      </c>
      <c r="T832">
        <f>MAX(0,(Inputs!$B$3-100)*3)+Inputs!$B$27+(Inputs!$B$28+1)</f>
        <v>173</v>
      </c>
      <c r="V832">
        <f>IFERROR(1/IF(Inputs!$B$4="pvp",15,MAX(0.1,Skills!E2-IF(Skills!F2=TRUE,Inputs!$B$31,0))),0)</f>
        <v>10</v>
      </c>
    </row>
    <row r="833" spans="1:22" x14ac:dyDescent="0.2">
      <c r="A833" t="str">
        <f>Skills!A3</f>
        <v>IGNITE</v>
      </c>
      <c r="B833" t="str">
        <f>Skills!B3</f>
        <v>Ignite</v>
      </c>
      <c r="C833" t="b">
        <f>TRUE</f>
        <v>1</v>
      </c>
      <c r="D833">
        <f>IF(Skills!C3=1,60+Inputs!$B$24+(Inputs!$B$28+1),IF(Skills!C3=2,90+Inputs!$B$25+(Inputs!$B$28+1),IF(Skills!C3=3,120+Inputs!$B$26+(Inputs!$B$28+1),MAX(0,(Inputs!$B$3-100)*3)+Inputs!$B$27+(Inputs!$B$28+1))))</f>
        <v>165</v>
      </c>
      <c r="E833">
        <f>INDEX(FactorTable!$B$2:$Y$301, MATCH(ROUND(MIN(300,MAX(1,D833)),0), FactorTable!$A$2:$A$301,0), Skills!M3+1)</f>
        <v>1660</v>
      </c>
      <c r="F833">
        <f>IF(Skills!N3=TRUE,(Skills!L3/10)*(E833/1000),Skills!L3/10)+Skills!O3</f>
        <v>121.58</v>
      </c>
      <c r="G833">
        <f>Calc!G3</f>
        <v>3</v>
      </c>
      <c r="H833">
        <f>Calc!H3</f>
        <v>1</v>
      </c>
      <c r="I833">
        <f>IF(Skills!X3&lt;&gt;"",1+(Skills!X3/10)*(R833/1000)/100,1)</f>
        <v>4.7650000000000006</v>
      </c>
      <c r="J833">
        <f>((Inputs!$B$5*(1+Inputs!$B$6/100))+((Inputs!$B$11*(1+Inputs!$B$12/100))-(Inputs!$B$11*(1+Inputs!$B$12/100)))*(1+Inputs!$B$6/100))*(F833/100)</f>
        <v>303744556.70322239</v>
      </c>
      <c r="K833">
        <f>J833*(1+((Inputs!$B$11*(1+Inputs!$B$12/100))*0.01+Inputs!$B$13*0.0025)/100)*(1+Inputs!$B$14/100)*(1+IF(Inputs!$B$4="pvp",0,(1-Summary!$B$56)*(Inputs!$B$19+Skills!P3)+Summary!$B$56*(Inputs!$B$20+Skills!Q3))/100)*(1+Inputs!$B$15/100)*(5000/(6000+Inputs!$B$7*(1-Inputs!$B$18/100)))*(1+Inputs!$B$23/100)*(1+F853/100)*(1+IF(Inputs!$B$3&gt;=120,F856,0)/100)^5*(1+(IF(Skills!A3="BASIC_ATTACK",Inputs!$B$16,Inputs!$B$17+IF(Inputs!$B$3&gt;=125,F857*5,0)))/100)*(B860*B861*B862*I833)</f>
        <v>11028811458591.438</v>
      </c>
      <c r="L833">
        <f>K833*(MIN(Inputs!$B$21+(F852-Calc!F22),Inputs!$B$22)/100+Inputs!$B$22/100)/2</f>
        <v>29774758015045.77</v>
      </c>
      <c r="M833">
        <f>L833*(1+(Inputs!$B$9+(F851-Calc!F21))/100)</f>
        <v>124796729753942.25</v>
      </c>
      <c r="N833">
        <f>L833*(1-MIN(Inputs!$B$8+(F850-Calc!F20),100)/100)+M833*(MIN(Inputs!$B$8+(F850-Calc!F20),100)/100)</f>
        <v>124796729753942.25</v>
      </c>
      <c r="O833">
        <f>IF(C833,H833*N833*IF(AND(Inputs!$B$4&lt;&gt;"pvp",Inputs!$B$35&gt;0),((Skills!G3*((S833-1)*IF(Skills!H3&gt;0,Skills!I3/Skills!H3,1)+IF(Skills!H3&gt;0,MIN(Skills!I3,MAX(0,Inputs!$B$35-((S833-1)*IF(Inputs!$B$4="pvp",15,MAX(0.1,Skills!E3-IF(Skills!F3=TRUE,Inputs!$B$31,0))))))/Skills!H3,1)))/Inputs!$B$35),G833*V833)*IF(Inputs!$B$4="pvp",1,(1-Summary!$B$56)*(1)+Summary!$B$56*(MIN(Skills!R3,Inputs!$B$37))),0)</f>
        <v>823658416376018.75</v>
      </c>
      <c r="P833">
        <f>IF(B869=0,0,O833/B869)</f>
        <v>9.8347195271978508E-2</v>
      </c>
      <c r="R833">
        <f>INDEX(FactorTable!$B$2:$Y$301, MATCH(ROUND(MIN(300,MAX(1,R832)),0), FactorTable!$A$2:$A$301,0), 24)</f>
        <v>7530</v>
      </c>
      <c r="S833">
        <f>IF(AND(Inputs!$B$4&lt;&gt;"pvp",Inputs!$B$35&gt;0),(INT(Inputs!$B$35/IF(Inputs!$B$4="pvp",15,MAX(0.1,Skills!E3-IF(Skills!F3=TRUE,Inputs!$B$31,0))))+1),0)</f>
        <v>0</v>
      </c>
      <c r="T833">
        <f>INDEX(FactorTable!$B$2:$Y$301, MATCH(ROUND(MIN(300,MAX(1,T832)),0), FactorTable!$A$2:$A$301,0), 22)</f>
        <v>1692</v>
      </c>
      <c r="V833">
        <f>IFERROR(1/IF(Inputs!$B$4="pvp",15,MAX(0.1,Skills!E3-IF(Skills!F3=TRUE,Inputs!$B$31,0))),0)</f>
        <v>1</v>
      </c>
    </row>
    <row r="834" spans="1:22" x14ac:dyDescent="0.2">
      <c r="A834" t="str">
        <f>Skills!A4</f>
        <v>POISON_BREATH</v>
      </c>
      <c r="B834" t="str">
        <f>Skills!B4</f>
        <v>Poison Breath</v>
      </c>
      <c r="C834" t="b">
        <f>TRUE</f>
        <v>1</v>
      </c>
      <c r="D834">
        <f>IF(Skills!C4=1,60+Inputs!$B$24+(Inputs!$B$28+1),IF(Skills!C4=2,90+Inputs!$B$25+(Inputs!$B$28+1),IF(Skills!C4=3,120+Inputs!$B$26+(Inputs!$B$28+1),MAX(0,(Inputs!$B$3-100)*3)+Inputs!$B$27+(Inputs!$B$28+1))))</f>
        <v>165</v>
      </c>
      <c r="E834">
        <f>INDEX(FactorTable!$B$2:$Y$301, MATCH(ROUND(MIN(300,MAX(1,D834)),0), FactorTable!$A$2:$A$301,0), Skills!M4+1)</f>
        <v>1825</v>
      </c>
      <c r="F834">
        <f>IF(Skills!N4=TRUE,(Skills!L4/10)*(E834/1000),Skills!L4/10)+Skills!O4</f>
        <v>435</v>
      </c>
      <c r="G834">
        <f>Calc!G4</f>
        <v>3</v>
      </c>
      <c r="H834">
        <f>Calc!H4</f>
        <v>1</v>
      </c>
      <c r="I834">
        <f>IF(Skills!X4&lt;&gt;"",1+(Skills!X4/10)*(R833/1000)/100,1)</f>
        <v>7.024</v>
      </c>
      <c r="J834">
        <f>((Inputs!$B$5*(1+Inputs!$B$6/100))+((Inputs!$B$11*(1+Inputs!$B$12/100))-(Inputs!$B$11*(1+Inputs!$B$12/100)))*(1+Inputs!$B$6/100))*(F834/100)</f>
        <v>1086764946.2567999</v>
      </c>
      <c r="K834">
        <f>J834*(1+((Inputs!$B$11*(1+Inputs!$B$12/100))*0.01+Inputs!$B$13*0.0025)/100)*(1+Inputs!$B$14/100)*(1+IF(Inputs!$B$4="pvp",0,(1-Summary!$B$56)*(Inputs!$B$19+Skills!P4)+Summary!$B$56*(Inputs!$B$20+Skills!Q4))/100)*(1+Inputs!$B$15/100)*(5000/(6000+Inputs!$B$7*(1-Inputs!$B$18/100)))*(1+Inputs!$B$23/100)*(1+F853/100)*(1+IF(Inputs!$B$3&gt;=120,F856,0)/100)^5*(1+(IF(Skills!A4="BASIC_ATTACK",Inputs!$B$16,Inputs!$B$17+IF(Inputs!$B$3&gt;=125,F857*5,0)))/100)*(B860*B861*B862*I834)</f>
        <v>58167102170216.359</v>
      </c>
      <c r="L834">
        <f>K834*(MIN(Inputs!$B$21+(F852-Calc!F22),Inputs!$B$22)/100+Inputs!$B$22/100)/2</f>
        <v>157035179906487.34</v>
      </c>
      <c r="M834">
        <f>L834*(1+(Inputs!$B$9+(F851-Calc!F21))/100)</f>
        <v>658190971652854.88</v>
      </c>
      <c r="N834">
        <f>L834*(1-MIN(Inputs!$B$8+(F850-Calc!F20),100)/100)+M834*(MIN(Inputs!$B$8+(F850-Calc!F20),100)/100)</f>
        <v>658190971652854.88</v>
      </c>
      <c r="O834">
        <f>IF(C834,H834*N834*IF(AND(Inputs!$B$4&lt;&gt;"pvp",Inputs!$B$35&gt;0),((Skills!G4*((S834-1)*IF(Skills!H4&gt;0,Skills!I4/Skills!H4,1)+IF(Skills!H4&gt;0,MIN(Skills!I4,MAX(0,Inputs!$B$35-((S834-1)*IF(Inputs!$B$4="pvp",15,MAX(0.1,Skills!E4-IF(Skills!F4=TRUE,Inputs!$B$31,0))))))/Skills!H4,1)))/Inputs!$B$35),G834*V834)*IF(Inputs!$B$4="pvp",1,(1-Summary!$B$56)*(1)+Summary!$B$56*(MIN(Skills!R4,Inputs!$B$37))),0)</f>
        <v>438793981101903.19</v>
      </c>
      <c r="P834">
        <f>IF(B869=0,0,O834/B869)</f>
        <v>5.2393269449573461E-2</v>
      </c>
      <c r="S834">
        <f>IF(AND(Inputs!$B$4&lt;&gt;"pvp",Inputs!$B$35&gt;0),(INT(Inputs!$B$35/IF(Inputs!$B$4="pvp",15,MAX(0.1,Skills!E4-IF(Skills!F4=TRUE,Inputs!$B$31,0))))+1),0)</f>
        <v>0</v>
      </c>
      <c r="T834">
        <f>290*T833/1000</f>
        <v>490.68</v>
      </c>
      <c r="V834">
        <f>IFERROR(1/IF(Inputs!$B$4="pvp",15,MAX(0.1,Skills!E4-IF(Skills!F4=TRUE,Inputs!$B$31,0))),0)</f>
        <v>5.5555555555555552E-2</v>
      </c>
    </row>
    <row r="835" spans="1:22" x14ac:dyDescent="0.2">
      <c r="A835" t="str">
        <f>Skills!A5</f>
        <v>ELEMENTAL_DRAIN</v>
      </c>
      <c r="B835" t="str">
        <f>Skills!B5</f>
        <v>Elemental Drain</v>
      </c>
      <c r="C835" t="b">
        <f>TRUE</f>
        <v>1</v>
      </c>
      <c r="D835">
        <f>IF(Skills!C5=1,60+Inputs!$B$24+(Inputs!$B$28+1),IF(Skills!C5=2,90+Inputs!$B$25+(Inputs!$B$28+1),IF(Skills!C5=3,120+Inputs!$B$26+(Inputs!$B$28+1),MAX(0,(Inputs!$B$3-100)*3)+Inputs!$B$27+(Inputs!$B$28+1))))</f>
        <v>165</v>
      </c>
      <c r="E835">
        <f>INDEX(FactorTable!$B$2:$Y$301, MATCH(ROUND(MIN(300,MAX(1,D835)),0), FactorTable!$A$2:$A$301,0), Skills!M5+1)</f>
        <v>1660</v>
      </c>
      <c r="F835">
        <f>IF(Skills!N5=TRUE,(Skills!L5/10)*(E835/1000),Skills!L5/10)+Skills!O5</f>
        <v>19.919999999999998</v>
      </c>
      <c r="G835">
        <f>Calc!G5</f>
        <v>5</v>
      </c>
      <c r="H835">
        <f>Calc!H5</f>
        <v>1</v>
      </c>
      <c r="I835">
        <f>IF(Skills!X5&lt;&gt;"",1+(Skills!X5/10)*(R833/1000)/100,1)</f>
        <v>12.295</v>
      </c>
      <c r="J835">
        <f>((Inputs!$B$5*(1+Inputs!$B$6/100))+((Inputs!$B$11*(1+Inputs!$B$12/100))-(Inputs!$B$11*(1+Inputs!$B$12/100)))*(1+Inputs!$B$6/100))*(F835/100)</f>
        <v>49766339.607897595</v>
      </c>
      <c r="K835">
        <f>J835*(1+((Inputs!$B$11*(1+Inputs!$B$12/100))*0.01+Inputs!$B$13*0.0025)/100)*(1+Inputs!$B$14/100)*(1+IF(Inputs!$B$4="pvp",0,(1-Summary!$B$56)*(Inputs!$B$19+Skills!P5)+Summary!$B$56*(Inputs!$B$20+Skills!Q5))/100)*(1+Inputs!$B$15/100)*(5000/(6000+Inputs!$B$7*(1-Inputs!$B$18/100)))*(1+Inputs!$B$23/100)*(1+F853/100)*(1+IF(Inputs!$B$3&gt;=120,F856,0)/100)^5*(1+(IF(Skills!A5="BASIC_ATTACK",Inputs!$B$16,Inputs!$B$17+IF(Inputs!$B$3&gt;=125,F857*5,0)))/100)*(B860*B861*B862*I835)</f>
        <v>4662528886825.3271</v>
      </c>
      <c r="L835">
        <f>K835*(MIN(Inputs!$B$21+(F852-Calc!F22),Inputs!$B$22)/100+Inputs!$B$22/100)/2</f>
        <v>12587545798984.506</v>
      </c>
      <c r="M835">
        <f>L835*(1+(Inputs!$B$9+(F851-Calc!F21))/100)</f>
        <v>52758935960031.703</v>
      </c>
      <c r="N835">
        <f>L835*(1-MIN(Inputs!$B$8+(F850-Calc!F20),100)/100)+M835*(MIN(Inputs!$B$8+(F850-Calc!F20),100)/100)</f>
        <v>52758935960031.703</v>
      </c>
      <c r="O835">
        <f>IF(C835,H835*N835*IF(AND(Inputs!$B$4&lt;&gt;"pvp",Inputs!$B$35&gt;0),((Skills!G5*((S835-1)*IF(Skills!H5&gt;0,Skills!I5/Skills!H5,1)+IF(Skills!H5&gt;0,MIN(Skills!I5,MAX(0,Inputs!$B$35-((S835-1)*IF(Inputs!$B$4="pvp",15,MAX(0.1,Skills!E5-IF(Skills!F5=TRUE,Inputs!$B$31,0))))))/Skills!H5,1)))/Inputs!$B$35),G835*V835)*IF(Inputs!$B$4="pvp",1,(1-Summary!$B$56)*(1)+Summary!$B$56*(MIN(Skills!R5,Inputs!$B$37))),0)</f>
        <v>263794679800158.5</v>
      </c>
      <c r="P835">
        <f>IF(B869=0,0,O835/B869)</f>
        <v>3.1497847129593894E-2</v>
      </c>
      <c r="S835">
        <f>IF(AND(Inputs!$B$4&lt;&gt;"pvp",Inputs!$B$35&gt;0),(INT(Inputs!$B$35/IF(Inputs!$B$4="pvp",15,MAX(0.1,Skills!E5-IF(Skills!F5=TRUE,Inputs!$B$31,0))))+1),0)</f>
        <v>0</v>
      </c>
      <c r="V835">
        <f>IFERROR(1/IF(Inputs!$B$4="pvp",15,MAX(0.1,Skills!E5-IF(Skills!F5=TRUE,Inputs!$B$31,0))),0)</f>
        <v>1</v>
      </c>
    </row>
    <row r="836" spans="1:22" x14ac:dyDescent="0.2">
      <c r="A836" t="str">
        <f>Skills!A6</f>
        <v>MEDITATION</v>
      </c>
      <c r="B836" t="str">
        <f>Skills!B6</f>
        <v>Meditation</v>
      </c>
      <c r="C836" t="b">
        <f>TRUE</f>
        <v>1</v>
      </c>
      <c r="D836">
        <f>IF(Skills!C6=1,60+Inputs!$B$24+(Inputs!$B$28+1),IF(Skills!C6=2,90+Inputs!$B$25+(Inputs!$B$28+1),IF(Skills!C6=3,120+Inputs!$B$26+(Inputs!$B$28+1),MAX(0,(Inputs!$B$3-100)*3)+Inputs!$B$27+(Inputs!$B$28+1))))</f>
        <v>165</v>
      </c>
      <c r="E836">
        <f>INDEX(FactorTable!$B$2:$Y$301, MATCH(ROUND(MIN(300,MAX(1,D836)),0), FactorTable!$A$2:$A$301,0), Skills!M6+1)</f>
        <v>1495</v>
      </c>
      <c r="F836">
        <f>IF(Skills!N6=TRUE,(Skills!L6/10)*(E836/1000),Skills!L6/10)+Skills!O6</f>
        <v>29.900000000000002</v>
      </c>
      <c r="G836">
        <f>Calc!G6</f>
        <v>1</v>
      </c>
      <c r="H836">
        <f>Calc!H6</f>
        <v>1</v>
      </c>
      <c r="I836">
        <f>IF(Skills!X6&lt;&gt;"",1+(Skills!X6/10)*(R833/1000)/100,1)</f>
        <v>1</v>
      </c>
      <c r="O836">
        <v>0</v>
      </c>
      <c r="P836">
        <f>IF(B869=0,0,O836/B869)</f>
        <v>0</v>
      </c>
      <c r="S836">
        <f>IF(AND(Inputs!$B$4&lt;&gt;"pvp",Inputs!$B$35&gt;0),(INT(Inputs!$B$35/IF(Inputs!$B$4="pvp",15,MAX(0.1,Skills!E6-IF(Skills!F6=TRUE,Inputs!$B$31,0))))+1),0)</f>
        <v>0</v>
      </c>
      <c r="V836">
        <f>IFERROR(1/IF(Inputs!$B$4="pvp",15,MAX(0.1,Skills!E6-IF(Skills!F6=TRUE,Inputs!$B$31,0))),0)</f>
        <v>3.3333333333333333E-2</v>
      </c>
    </row>
    <row r="837" spans="1:22" x14ac:dyDescent="0.2">
      <c r="A837" t="str">
        <f>Skills!A7</f>
        <v>POISON_MIST_BURST</v>
      </c>
      <c r="B837" t="str">
        <f>Skills!B7</f>
        <v>Poison Mist (burst)</v>
      </c>
      <c r="C837" t="b">
        <f>TRUE</f>
        <v>1</v>
      </c>
      <c r="D837">
        <f>IF(Skills!C7=1,60+Inputs!$B$24+(Inputs!$B$28+1),IF(Skills!C7=2,90+Inputs!$B$25+(Inputs!$B$28+1),IF(Skills!C7=3,120+Inputs!$B$26+(Inputs!$B$28+1),MAX(0,(Inputs!$B$3-100)*3)+Inputs!$B$27+(Inputs!$B$28+1))))</f>
        <v>185</v>
      </c>
      <c r="E837">
        <f>INDEX(FactorTable!$B$2:$Y$301, MATCH(ROUND(MIN(300,MAX(1,D837)),0), FactorTable!$A$2:$A$301,0), Skills!M7+1)</f>
        <v>1925</v>
      </c>
      <c r="F837">
        <f>IF(Skills!N7=TRUE,(Skills!L7/10)*(E837/1000),Skills!L7/10)+Skills!O7</f>
        <v>358</v>
      </c>
      <c r="G837">
        <f>Calc!G7</f>
        <v>3</v>
      </c>
      <c r="H837">
        <f>Calc!H7</f>
        <v>1</v>
      </c>
      <c r="I837">
        <f>IF(Skills!X7&lt;&gt;"",1+(Skills!X7/10)*(R833/1000)/100,1)</f>
        <v>1.7530000000000001</v>
      </c>
      <c r="J837">
        <f>((Inputs!$B$5*(1+Inputs!$B$6/100))+((Inputs!$B$11*(1+Inputs!$B$12/100))-(Inputs!$B$11*(1+Inputs!$B$12/100)))*(1+Inputs!$B$6/100))*(F837/100)</f>
        <v>894395059.21824002</v>
      </c>
      <c r="K837">
        <f>J837*(1+((Inputs!$B$11*(1+Inputs!$B$12/100))*0.01+Inputs!$B$13*0.0025)/100)*(1+Inputs!$B$14/100)*(1+IF(Inputs!$B$4="pvp",0,(1-Summary!$B$56)*(Inputs!$B$19+Skills!P7)+Summary!$B$56*(Inputs!$B$20+Skills!Q7))/100)*(1+Inputs!$B$15/100)*(5000/(6000+Inputs!$B$7*(1-Inputs!$B$18/100)))*(1+Inputs!$B$23/100)*(1+F853/100)*(1+IF(Inputs!$B$3&gt;=120,F856,0)/100)^5*(1+(IF(Skills!A7="BASIC_ATTACK",Inputs!$B$16,Inputs!$B$17+IF(Inputs!$B$3&gt;=125,F857*5,0)))/100)*(B860*B861*B862*I837)</f>
        <v>11947268143825.887</v>
      </c>
      <c r="L837">
        <f>K837*(MIN(Inputs!$B$21+(F852-Calc!F22),Inputs!$B$22)/100+Inputs!$B$22/100)/2</f>
        <v>32254338489590.34</v>
      </c>
      <c r="M837">
        <f>L837*(1+(Inputs!$B$9+(F851-Calc!F21))/100)</f>
        <v>135189544171729.38</v>
      </c>
      <c r="N837">
        <f>L837*(1-MIN(Inputs!$B$8+(F850-Calc!F20),100)/100)+M837*(MIN(Inputs!$B$8+(F850-Calc!F20),100)/100)</f>
        <v>135189544171729.38</v>
      </c>
      <c r="O837">
        <f>IF(C837,H837*N837*IF(AND(Inputs!$B$4&lt;&gt;"pvp",Inputs!$B$35&gt;0),((Skills!G7*((S837-1)*IF(Skills!H7&gt;0,Skills!I7/Skills!H7,1)+IF(Skills!H7&gt;0,MIN(Skills!I7,MAX(0,Inputs!$B$35-((S837-1)*IF(Inputs!$B$4="pvp",15,MAX(0.1,Skills!E7-IF(Skills!F7=TRUE,Inputs!$B$31,0))))))/Skills!H7,1)))/Inputs!$B$35),G837*V837)*IF(Inputs!$B$4="pvp",1,(1-Summary!$B$56)*(1)+Summary!$B$56*(MIN(Skills!R7,Inputs!$B$37))),0)</f>
        <v>105944459106008.33</v>
      </c>
      <c r="P837">
        <f>IF(B869=0,0,O837/B869)</f>
        <v>1.2650074594667987E-2</v>
      </c>
      <c r="S837">
        <f>IF(AND(Inputs!$B$4&lt;&gt;"pvp",Inputs!$B$35&gt;0),(INT(Inputs!$B$35/IF(Inputs!$B$4="pvp",15,MAX(0.1,Skills!E7-IF(Skills!F7=TRUE,Inputs!$B$31,0))))+1),0)</f>
        <v>0</v>
      </c>
      <c r="V837">
        <f>IFERROR(1/IF(Inputs!$B$4="pvp",15,MAX(0.1,Skills!E7-IF(Skills!F7=TRUE,Inputs!$B$31,0))),0)</f>
        <v>4.0816326530612242E-2</v>
      </c>
    </row>
    <row r="838" spans="1:22" x14ac:dyDescent="0.2">
      <c r="A838" t="str">
        <f>Skills!A8</f>
        <v>POISON_MIST_DOT</v>
      </c>
      <c r="B838" t="str">
        <f>Skills!B8</f>
        <v>Poison Mist (fog DoT)</v>
      </c>
      <c r="C838" t="b">
        <f>TRUE</f>
        <v>1</v>
      </c>
      <c r="D838">
        <f>IF(Skills!C8=1,60+Inputs!$B$24+(Inputs!$B$28+1),IF(Skills!C8=2,90+Inputs!$B$25+(Inputs!$B$28+1),IF(Skills!C8=3,120+Inputs!$B$26+(Inputs!$B$28+1),MAX(0,(Inputs!$B$3-100)*3)+Inputs!$B$27+(Inputs!$B$28+1))))</f>
        <v>185</v>
      </c>
      <c r="E838">
        <f>INDEX(FactorTable!$B$2:$Y$301, MATCH(ROUND(MIN(300,MAX(1,D838)),0), FactorTable!$A$2:$A$301,0), Skills!M8+1)</f>
        <v>1925</v>
      </c>
      <c r="F838">
        <f>IF(Skills!N8=TRUE,(Skills!L8/10)*(E838/1000),Skills!L8/10)+Skills!O8</f>
        <v>134.75</v>
      </c>
      <c r="G838">
        <f>Calc!G8</f>
        <v>50</v>
      </c>
      <c r="H838">
        <f>Calc!H8</f>
        <v>1</v>
      </c>
      <c r="I838">
        <f>IF(Skills!X8&lt;&gt;"",1+(Skills!X8/10)*(R833/1000)/100,1)</f>
        <v>1.7530000000000001</v>
      </c>
      <c r="J838">
        <f>((Inputs!$B$5*(1+Inputs!$B$6/100))+((Inputs!$B$11*(1+Inputs!$B$12/100))-(Inputs!$B$11*(1+Inputs!$B$12/100)))*(1+Inputs!$B$6/100))*(F838/100)</f>
        <v>336647302.31747997</v>
      </c>
      <c r="K838">
        <f>J838*(1+((Inputs!$B$11*(1+Inputs!$B$12/100))*0.01+Inputs!$B$13*0.0025)/100)*(1+Inputs!$B$14/100)*(1+IF(Inputs!$B$4="pvp",0,(1-Summary!$B$56)*(Inputs!$B$19+Skills!P8)+Summary!$B$56*(Inputs!$B$20+Skills!Q8))/100)*(1+Inputs!$B$15/100)*(5000/(6000+Inputs!$B$7*(1-Inputs!$B$18/100)))*(1+Inputs!$B$23/100)*(1+F853/100)*(1+IF(Inputs!$B$3&gt;=120,F856,0)/100)^5*(1+(IF(Skills!A8="BASIC_ATTACK",Inputs!$B$16,Inputs!$B$17+IF(Inputs!$B$3&gt;=125,F857*5,0)))/100)*(B860*B861*B862*I838)</f>
        <v>4496911682627.2012</v>
      </c>
      <c r="L838">
        <f>K838*(MIN(Inputs!$B$21+(F852-Calc!F22),Inputs!$B$22)/100+Inputs!$B$22/100)/2</f>
        <v>12140424892380.721</v>
      </c>
      <c r="M838">
        <f>L838*(1+(Inputs!$B$9+(F851-Calc!F21))/100)</f>
        <v>50884891276928.859</v>
      </c>
      <c r="N838">
        <f>L838*(1-MIN(Inputs!$B$8+(F850-Calc!F20),100)/100)+M838*(MIN(Inputs!$B$8+(F850-Calc!F20),100)/100)</f>
        <v>50884891276928.859</v>
      </c>
      <c r="O838">
        <f>IF(C838,H838*N838*IF(AND(Inputs!$B$4&lt;&gt;"pvp",Inputs!$B$35&gt;0),((Skills!G8*((S838-1)*IF(Skills!H8&gt;0,Skills!I8/Skills!H8,1)+IF(Skills!H8&gt;0,MIN(Skills!I8,MAX(0,Inputs!$B$35-((S838-1)*IF(Inputs!$B$4="pvp",15,MAX(0.1,Skills!E8-IF(Skills!F8=TRUE,Inputs!$B$31,0))))))/Skills!H8,1)))/Inputs!$B$35),G838*V838)*IF(Inputs!$B$4="pvp",1,(1-Summary!$B$56)*(1)+Summary!$B$56*(MIN(Skills!R8,Inputs!$B$37))),0)</f>
        <v>664618988106825.88</v>
      </c>
      <c r="P838">
        <f>IF(B869=0,0,O838/B869)</f>
        <v>7.9357427915805925E-2</v>
      </c>
      <c r="S838">
        <f>IF(AND(Inputs!$B$4&lt;&gt;"pvp",Inputs!$B$35&gt;0),(INT(Inputs!$B$35/IF(Inputs!$B$4="pvp",15,MAX(0.1,Skills!E8-IF(Skills!F8=TRUE,Inputs!$B$31,0))))+1),0)</f>
        <v>0</v>
      </c>
      <c r="V838">
        <f>IFERROR(1/IF(Inputs!$B$4="pvp",15,MAX(0.1,Skills!E8-IF(Skills!F8=TRUE,Inputs!$B$31,0))),0)</f>
        <v>4.0816326530612242E-2</v>
      </c>
    </row>
    <row r="839" spans="1:22" x14ac:dyDescent="0.2">
      <c r="A839" t="str">
        <f>Skills!A9</f>
        <v>MIST_ERUPTION</v>
      </c>
      <c r="B839" t="str">
        <f>Skills!B9</f>
        <v>Mist Eruption</v>
      </c>
      <c r="C839" t="b">
        <f>Inputs!$B$3&gt;=103</f>
        <v>1</v>
      </c>
      <c r="D839">
        <f>IF(Skills!C9=1,60+Inputs!$B$24+(Inputs!$B$28+1),IF(Skills!C9=2,90+Inputs!$B$25+(Inputs!$B$28+1),IF(Skills!C9=3,120+Inputs!$B$26+(Inputs!$B$28+1),MAX(0,(Inputs!$B$3-100)*3)+Inputs!$B$27+(Inputs!$B$28+1))))</f>
        <v>173</v>
      </c>
      <c r="E839">
        <f>INDEX(FactorTable!$B$2:$Y$301, MATCH(ROUND(MIN(300,MAX(1,D839)),0), FactorTable!$A$2:$A$301,0), Skills!M9+1)</f>
        <v>1865</v>
      </c>
      <c r="F839">
        <f>IF(Skills!N9=TRUE,(Skills!L9/10)*(E839/1000),Skills!L9/10)+Skills!O9</f>
        <v>5595</v>
      </c>
      <c r="G839">
        <f>Calc!G9</f>
        <v>2.8</v>
      </c>
      <c r="H839">
        <f>Calc!H9</f>
        <v>1</v>
      </c>
      <c r="I839">
        <f>IF(Skills!X9&lt;&gt;"",1+(Skills!X9/10)*(R833/1000)/100,1)</f>
        <v>1</v>
      </c>
      <c r="J839">
        <f>((Inputs!$B$5*(1+Inputs!$B$6/100))+((Inputs!$B$11*(1+Inputs!$B$12/100))-(Inputs!$B$11*(1+Inputs!$B$12/100)))*(1+Inputs!$B$6/100))*(F839/100)</f>
        <v>13978045688.0616</v>
      </c>
      <c r="K839">
        <f>J839*(1+((Inputs!$B$11*(1+Inputs!$B$12/100))*0.01+Inputs!$B$13*0.0025)/100)*(1+Inputs!$B$14/100)*(1+IF(Inputs!$B$4="pvp",0,(1-Summary!$B$56)*(Inputs!$B$19+Skills!P9)+Summary!$B$56*(Inputs!$B$20+Skills!Q9))/100)*(1+Inputs!$B$15/100)*(5000/(6000+Inputs!$B$7*(1-Inputs!$B$18/100)))*(1+Inputs!$B$23/100)*(1+F853/100)*(1+IF(Inputs!$B$3&gt;=120,F856,0)/100)^5*(1+(IF(Skills!A9="BASIC_ATTACK",Inputs!$B$16,Inputs!$B$17+IF(Inputs!$B$3&gt;=125,F857*5,0)))/100)*(B860*B861*B862*I839)</f>
        <v>106513280130639.28</v>
      </c>
      <c r="L839">
        <f>K839*(MIN(Inputs!$B$21+(F852-Calc!F22),Inputs!$B$22)/100+Inputs!$B$22/100)/2</f>
        <v>287556565200690.12</v>
      </c>
      <c r="M839">
        <f>L839*(1+(Inputs!$B$9+(F851-Calc!F21))/100)</f>
        <v>1205253085119564.8</v>
      </c>
      <c r="N839">
        <f>L839*(1-MIN(Inputs!$B$8+(F850-Calc!F20),100)/100)+M839*(MIN(Inputs!$B$8+(F850-Calc!F20),100)/100)</f>
        <v>1205253085119564.8</v>
      </c>
      <c r="O839">
        <f>IF(C839,H839*N839*IF(AND(Inputs!$B$4&lt;&gt;"pvp",Inputs!$B$35&gt;0),((Skills!G9*((S839-1)*IF(Skills!H9&gt;0,Skills!I9/Skills!H9,1)+IF(Skills!H9&gt;0,MIN(Skills!I9,MAX(0,Inputs!$B$35-((S839-1)*IF(Inputs!$B$4="pvp",15,MAX(0.1,Skills!E9-IF(Skills!F7=TRUE,Inputs!$B$31,0))))))/Skills!H9,1)))/Inputs!$B$35),G839*V839)*IF(Inputs!$B$4="pvp",1,(1-Summary!$B$56)*(1)+Summary!$B$56*(MIN(Skills!R9,Inputs!$B$37))),0)</f>
        <v>881556542258881.5</v>
      </c>
      <c r="P839">
        <f>IF(B869=0,0,O839/B869)</f>
        <v>0.10526039882684148</v>
      </c>
      <c r="S839">
        <f>IF(AND(Inputs!$B$4&lt;&gt;"pvp",Inputs!$B$35&gt;0),(INT(Inputs!$B$35/IF(Inputs!$B$4="pvp",15,MAX(0.1,Skills!E9-IF(Skills!F7=TRUE,Inputs!$B$31,0))))+1),0)</f>
        <v>0</v>
      </c>
      <c r="V839">
        <f>IFERROR(1/IF(Inputs!$B$4="pvp",15,MAX(0.1,Skills!E9-IF(Skills!F7=TRUE,Inputs!$B$31,0))),0)</f>
        <v>4.0816326530612242E-2</v>
      </c>
    </row>
    <row r="840" spans="1:22" x14ac:dyDescent="0.2">
      <c r="A840" t="str">
        <f>Skills!A10</f>
        <v>CREEPING_TOXIN</v>
      </c>
      <c r="B840" t="str">
        <f>Skills!B10</f>
        <v>Creeping Toxin</v>
      </c>
      <c r="C840" t="b">
        <f>TRUE</f>
        <v>1</v>
      </c>
      <c r="D840">
        <f>IF(Skills!C10=1,60+Inputs!$B$24+(Inputs!$B$28+1),IF(Skills!C10=2,90+Inputs!$B$25+(Inputs!$B$28+1),IF(Skills!C10=3,120+Inputs!$B$26+(Inputs!$B$28+1),MAX(0,(Inputs!$B$3-100)*3)+Inputs!$B$27+(Inputs!$B$28+1))))</f>
        <v>185</v>
      </c>
      <c r="E840">
        <f>INDEX(FactorTable!$B$2:$Y$301, MATCH(ROUND(MIN(300,MAX(1,D840)),0), FactorTable!$A$2:$A$301,0), Skills!M10+1)</f>
        <v>1925</v>
      </c>
      <c r="F840">
        <f>IF(Skills!N10=TRUE,(Skills!L10/10)*(E840/1000),Skills!L10/10)+Skills!O10</f>
        <v>281</v>
      </c>
      <c r="G840">
        <f>Calc!G10</f>
        <v>15</v>
      </c>
      <c r="H840">
        <f>Calc!H10</f>
        <v>1</v>
      </c>
      <c r="I840">
        <f>IF(Skills!X10&lt;&gt;"",1+(Skills!X10/10)*(R833/1000)/100,1)</f>
        <v>1.7530000000000001</v>
      </c>
      <c r="J840">
        <f>((Inputs!$B$5*(1+Inputs!$B$6/100))+((Inputs!$B$11*(1+Inputs!$B$12/100))-(Inputs!$B$11*(1+Inputs!$B$12/100)))*(1+Inputs!$B$6/100))*(F840/100)</f>
        <v>702025172.17967999</v>
      </c>
      <c r="K840">
        <f>J840*(1+((Inputs!$B$11*(1+Inputs!$B$12/100))*0.01+Inputs!$B$13*0.0025)/100)*(1+Inputs!$B$14/100)*(1+IF(Inputs!$B$4="pvp",0,(1-Summary!$B$56)*(Inputs!$B$19+Skills!P10)+Summary!$B$56*(Inputs!$B$20+Skills!Q10))/100)*(1+Inputs!$B$15/100)*(5000/(6000+Inputs!$B$7*(1-Inputs!$B$18/100)))*(1+Inputs!$B$23/100)*(1+F853/100)*(1+IF(Inputs!$B$3&gt;=120,F856,0)/100)^5*(1+(IF(Skills!A10="BASIC_ATTACK",Inputs!$B$16,Inputs!$B$17+IF(Inputs!$B$3&gt;=125,F857*5,0)))/100)*(B860*B861*B862*I840)</f>
        <v>11066248561408.98</v>
      </c>
      <c r="L840">
        <f>K840*(MIN(Inputs!$B$21+(F852-Calc!F22),Inputs!$B$22)/100+Inputs!$B$22/100)/2</f>
        <v>29875827897449.859</v>
      </c>
      <c r="M840">
        <f>L840*(1+(Inputs!$B$9+(F851-Calc!F21))/100)</f>
        <v>125220350016255.45</v>
      </c>
      <c r="N840">
        <f>L840*(1-MIN(Inputs!$B$8+(F850-Calc!F20),100)/100)+M840*(MIN(Inputs!$B$8+(F850-Calc!F20),100)/100)</f>
        <v>125220350016255.45</v>
      </c>
      <c r="O840">
        <f>IF(C840,H840*N840*IF(AND(Inputs!$B$4&lt;&gt;"pvp",Inputs!$B$35&gt;0),((Skills!G10*((S840-1)*IF(Skills!H10&gt;0,Skills!I10/Skills!H10,1)+IF(Skills!H10&gt;0,MIN(Skills!I10,MAX(0,Inputs!$B$35-((S840-1)*IF(Inputs!$B$4="pvp",15,MAX(0.1,Skills!E10-IF(Skills!F10=TRUE,Inputs!$B$31,0))))))/Skills!H10,1)))/Inputs!$B$35),G840*V840)*IF(Inputs!$B$4="pvp",1,(1-Summary!$B$56)*(1)+Summary!$B$56*(MIN(Skills!R10,Inputs!$B$37))),0)</f>
        <v>69566861120141.922</v>
      </c>
      <c r="P840">
        <f>IF(B869=0,0,O840/B869)</f>
        <v>8.3064842646102619E-3</v>
      </c>
      <c r="S840">
        <f>IF(AND(Inputs!$B$4&lt;&gt;"pvp",Inputs!$B$35&gt;0),(INT(Inputs!$B$35/IF(Inputs!$B$4="pvp",15,MAX(0.1,Skills!E10-IF(Skills!F10=TRUE,Inputs!$B$31,0))))+1),0)</f>
        <v>0</v>
      </c>
      <c r="V840">
        <f>IFERROR(1/IF(Inputs!$B$4="pvp",15,MAX(0.1,Skills!E10-IF(Skills!F10=TRUE,Inputs!$B$31,0))),0)</f>
        <v>3.7037037037037035E-2</v>
      </c>
    </row>
    <row r="841" spans="1:22" x14ac:dyDescent="0.2">
      <c r="A841" t="str">
        <f>Skills!A11</f>
        <v>BURNING_MAGIC</v>
      </c>
      <c r="B841" t="str">
        <f>Skills!B11</f>
        <v>Burning Magic</v>
      </c>
      <c r="C841" t="b">
        <f>TRUE</f>
        <v>1</v>
      </c>
      <c r="D841">
        <f>IF(Skills!C11=1,60+Inputs!$B$24+(Inputs!$B$28+1),IF(Skills!C11=2,90+Inputs!$B$25+(Inputs!$B$28+1),IF(Skills!C11=3,120+Inputs!$B$26+(Inputs!$B$28+1),MAX(0,(Inputs!$B$3-100)*3)+Inputs!$B$27+(Inputs!$B$28+1))))</f>
        <v>185</v>
      </c>
      <c r="E841">
        <f>INDEX(FactorTable!$B$2:$Y$301, MATCH(ROUND(MIN(300,MAX(1,D841)),0), FactorTable!$A$2:$A$301,0), Skills!M11+1)</f>
        <v>0</v>
      </c>
      <c r="F841">
        <f>IF(Skills!N11=TRUE,(Skills!L11/10)*(E841/1000),Skills!L11/10)+Skills!O11</f>
        <v>5</v>
      </c>
      <c r="G841">
        <f>Calc!G11</f>
        <v>1</v>
      </c>
      <c r="H841">
        <f>Calc!H11</f>
        <v>1</v>
      </c>
      <c r="I841">
        <f>IF(Skills!X11&lt;&gt;"",1+(Skills!X11/10)*(R833/1000)/100,1)</f>
        <v>1</v>
      </c>
      <c r="O841">
        <v>0</v>
      </c>
      <c r="P841">
        <f>IF(B869=0,0,O841/B869)</f>
        <v>0</v>
      </c>
      <c r="S841">
        <v>0</v>
      </c>
      <c r="V841">
        <f>IFERROR(1/IF(Inputs!$B$4="pvp",15,MAX(0.1,Skills!E11-IF(Skills!F11=TRUE,Inputs!$B$31,0))),0)</f>
        <v>10</v>
      </c>
    </row>
    <row r="842" spans="1:22" x14ac:dyDescent="0.2">
      <c r="A842" t="str">
        <f>Skills!A12</f>
        <v>ELEMENTAL_DECREASE</v>
      </c>
      <c r="B842" t="str">
        <f>Skills!B12</f>
        <v>Elemental Decrease</v>
      </c>
      <c r="C842" t="b">
        <f>TRUE</f>
        <v>1</v>
      </c>
      <c r="D842">
        <f>IF(Skills!C12=1,60+Inputs!$B$24+(Inputs!$B$28+1),IF(Skills!C12=2,90+Inputs!$B$25+(Inputs!$B$28+1),IF(Skills!C12=3,120+Inputs!$B$26+(Inputs!$B$28+1),MAX(0,(Inputs!$B$3-100)*3)+Inputs!$B$27+(Inputs!$B$28+1))))</f>
        <v>185</v>
      </c>
      <c r="E842">
        <f>INDEX(FactorTable!$B$2:$Y$301, MATCH(ROUND(MIN(300,MAX(1,D842)),0), FactorTable!$A$2:$A$301,0), Skills!M12+1)</f>
        <v>1555</v>
      </c>
      <c r="F842">
        <f>IF(Skills!N12=TRUE,(Skills!L12/10)*(E842/1000),Skills!L12/10)+Skills!O12</f>
        <v>18.66</v>
      </c>
      <c r="G842">
        <f>Calc!G12</f>
        <v>1</v>
      </c>
      <c r="H842">
        <f>Calc!H12</f>
        <v>0.5</v>
      </c>
      <c r="I842">
        <f>IF(Skills!X12&lt;&gt;"",1+(Skills!X12/10)*(R833/1000)/100,1)</f>
        <v>1</v>
      </c>
      <c r="O842">
        <v>0</v>
      </c>
      <c r="P842">
        <f>IF(B869=0,0,O842/B869)</f>
        <v>0</v>
      </c>
      <c r="S842">
        <v>0</v>
      </c>
      <c r="V842">
        <f>IFERROR(1/IF(Inputs!$B$4="pvp",15,MAX(0.1,Skills!E12-IF(Skills!F12=TRUE,Inputs!$B$31,0))),0)</f>
        <v>10</v>
      </c>
    </row>
    <row r="843" spans="1:22" x14ac:dyDescent="0.2">
      <c r="A843" t="str">
        <f>Skills!A13</f>
        <v>METEOR_SHOWER_BURST</v>
      </c>
      <c r="B843" t="str">
        <f>Skills!B13</f>
        <v>Meteor Shower (burst)</v>
      </c>
      <c r="C843" t="b">
        <f>Inputs!$B$3&gt;=105</f>
        <v>1</v>
      </c>
      <c r="D843">
        <f>IF(Skills!C13=1,60+Inputs!$B$24+(Inputs!$B$28+1),IF(Skills!C13=2,90+Inputs!$B$25+(Inputs!$B$28+1),IF(Skills!C13=3,120+Inputs!$B$26+(Inputs!$B$28+1),MAX(0,(Inputs!$B$3-100)*3)+Inputs!$B$27+(Inputs!$B$28+1))))</f>
        <v>173</v>
      </c>
      <c r="E843">
        <f>INDEX(FactorTable!$B$2:$Y$301, MATCH(ROUND(MIN(300,MAX(1,D843)),0), FactorTable!$A$2:$A$301,0), Skills!M13+1)</f>
        <v>1865</v>
      </c>
      <c r="F843">
        <f>IF(Skills!N13=TRUE,(Skills!L13/10)*(E843/1000),Skills!L13/10)+Skills!O13</f>
        <v>1119</v>
      </c>
      <c r="G843">
        <f>Calc!G13</f>
        <v>9</v>
      </c>
      <c r="H843">
        <f>Calc!H13</f>
        <v>1</v>
      </c>
      <c r="I843">
        <f>IF(Skills!X13&lt;&gt;"",1+(Skills!X13/10)*(R833/1000)/100,1)</f>
        <v>1</v>
      </c>
      <c r="J843">
        <f>((Inputs!$B$5*(1+Inputs!$B$6/100))+((Inputs!$B$11*(1+Inputs!$B$12/100))-(Inputs!$B$11*(1+Inputs!$B$12/100)))*(1+Inputs!$B$6/100))*(F843/100)</f>
        <v>2795609137.6123199</v>
      </c>
      <c r="K843">
        <f>J843*(1+((Inputs!$B$11*(1+Inputs!$B$12/100))*0.01+Inputs!$B$13*0.0025)/100)*(1+Inputs!$B$14/100)*(1+IF(Inputs!$B$4="pvp",0,(1-Summary!$B$56)*(Inputs!$B$19+Skills!P13)+Summary!$B$56*(Inputs!$B$20+Skills!Q13))/100)*(1+Inputs!$B$15/100)*(5000/(6000+Inputs!$B$7*(1-Inputs!$B$18/100)))*(1+Inputs!$B$23/100)*(1+F853/100)*(1+IF(Inputs!$B$3&gt;=120,F856,0)/100)^5*(1+(IF(Skills!A13="BASIC_ATTACK",Inputs!$B$16,Inputs!$B$17+IF(Inputs!$B$3&gt;=125,F857*5,0)))/100)*(B860*B861*B862*I843)</f>
        <v>21302656026127.859</v>
      </c>
      <c r="L843">
        <f>K843*(MIN(Inputs!$B$21+(F852-Calc!F22),Inputs!$B$22)/100+Inputs!$B$22/100)/2</f>
        <v>57511313040138.031</v>
      </c>
      <c r="M843">
        <f>L843*(1+(Inputs!$B$9+(F851-Calc!F21))/100)</f>
        <v>241050617023912.97</v>
      </c>
      <c r="N843">
        <f>L843*(1-MIN(Inputs!$B$8+(F850-Calc!F20),100)/100)+M843*(MIN(Inputs!$B$8+(F850-Calc!F20),100)/100)</f>
        <v>241050617023912.97</v>
      </c>
      <c r="O843">
        <f>IF(C843,H843*N843*IF(AND(Inputs!$B$4&lt;&gt;"pvp",Inputs!$B$35&gt;0),((Skills!G13*((S843-1)*IF(Skills!H13&gt;0,Skills!I13/Skills!H13,1)+IF(Skills!H13&gt;0,MIN(Skills!I13,MAX(0,Inputs!$B$35-((S843-1)*IF(Inputs!$B$4="pvp",15,MAX(0.1,Skills!E13-IF(Skills!F13=TRUE,Inputs!$B$31,0))))))/Skills!H13,1)))/Inputs!$B$35),G843*V843)*IF(Inputs!$B$4="pvp",1,(1-Summary!$B$56)*(1)+Summary!$B$56*(MIN(Skills!R13,Inputs!$B$37))),0)</f>
        <v>302408955902727.19</v>
      </c>
      <c r="P843">
        <f>IF(B869=0,0,O843/B869)</f>
        <v>3.6108503290741792E-2</v>
      </c>
      <c r="S843">
        <f>IF(AND(Inputs!$B$4&lt;&gt;"pvp",Inputs!$B$35&gt;0),(INT(Inputs!$B$35/IF(Inputs!$B$4="pvp",15,MAX(0.1,Skills!E13-IF(Skills!F13=TRUE,Inputs!$B$31,0))))+1),0)</f>
        <v>0</v>
      </c>
      <c r="V843">
        <f>IFERROR(1/IF(Inputs!$B$4="pvp",15,MAX(0.1,Skills!E13-IF(Skills!F13=TRUE,Inputs!$B$31,0))),0)</f>
        <v>3.0303030303030304E-2</v>
      </c>
    </row>
    <row r="844" spans="1:22" x14ac:dyDescent="0.2">
      <c r="A844" t="str">
        <f>Skills!A14</f>
        <v>METEOR_PROC</v>
      </c>
      <c r="B844" t="str">
        <f>Skills!B14</f>
        <v>Meteor Proc (30% on-hit, 1s ICD)</v>
      </c>
      <c r="C844" t="b">
        <f>Inputs!$B$3&gt;=113</f>
        <v>1</v>
      </c>
      <c r="D844">
        <f>IF(Skills!C14=1,60+Inputs!$B$24+(Inputs!$B$28+1),IF(Skills!C14=2,90+Inputs!$B$25+(Inputs!$B$28+1),IF(Skills!C14=3,120+Inputs!$B$26+(Inputs!$B$28+1),MAX(0,(Inputs!$B$3-100)*3)+Inputs!$B$27+(Inputs!$B$28+1))))</f>
        <v>173</v>
      </c>
      <c r="E844">
        <f>INDEX(FactorTable!$B$2:$Y$301, MATCH(ROUND(MIN(300,MAX(1,D844)),0), FactorTable!$A$2:$A$301,0), Skills!M14+1)</f>
        <v>1692</v>
      </c>
      <c r="F844">
        <f>IF(Skills!N14=TRUE,(Skills!L14/10)*(E844/1000),Skills!L14/10)+Skills!O14</f>
        <v>1607.3999999999999</v>
      </c>
      <c r="G844">
        <f>Calc!G14</f>
        <v>0</v>
      </c>
      <c r="H844">
        <f>Calc!H14</f>
        <v>0.30000000000000004</v>
      </c>
      <c r="I844">
        <f>IF(Skills!X14&lt;&gt;"",1+(Skills!X14/10)*(R833/1000)/100,1)</f>
        <v>1</v>
      </c>
      <c r="J844">
        <f>((Inputs!$B$5*(1+Inputs!$B$6/100))+((Inputs!$B$11*(1+Inputs!$B$12/100))-(Inputs!$B$11*(1+Inputs!$B$12/100)))*(1+Inputs!$B$6/100))*(F844/100)</f>
        <v>4015783849.6854715</v>
      </c>
      <c r="K844">
        <f>J844*(1+((Inputs!$B$11*(1+Inputs!$B$12/100))*0.01+Inputs!$B$13*0.0025)/100)*(1+Inputs!$B$14/100)*(1+IF(Inputs!$B$4="pvp",0,(1-Summary!$B$56)*(Inputs!$B$19+Skills!P14)+Summary!$B$56*(Inputs!$B$20+Skills!Q14))/100)*(1+Inputs!$B$15/100)*(5000/(6000+Inputs!$B$7*(1-Inputs!$B$18/100)))*(1+Inputs!$B$23/100)*(1+F853/100)*(1+IF(Inputs!$B$3&gt;=120,F856,0)/100)^5*(1+(IF(Skills!A14="BASIC_ATTACK",Inputs!$B$16,Inputs!$B$17+IF(Inputs!$B$3&gt;=125,F857*5,0)))/100)*(B860*B861*B862*I844)</f>
        <v>30600437262196.531</v>
      </c>
      <c r="L844">
        <f>K844*(MIN(Inputs!$B$21+(F852-Calc!F22),Inputs!$B$22)/100+Inputs!$B$22/100)/2</f>
        <v>82612765487683.531</v>
      </c>
      <c r="M844">
        <f>L844*(1+(Inputs!$B$9+(F851-Calc!F21))/100)</f>
        <v>346259840754457.25</v>
      </c>
      <c r="N844">
        <f>L844*(1-MIN(Inputs!$B$8+(F850-Calc!F20),100)/100)+M844*(MIN(Inputs!$B$8+(F850-Calc!F20),100)/100)</f>
        <v>346259840754457.25</v>
      </c>
      <c r="O844">
        <f>IF(C844,(H844*B867)/(1+Skills!H14*H844*B867)*N844*IF(Inputs!$B$4="pvp",1,(1-Summary!$B$56)*(1)+Summary!$B$56*(MIN(Skills!R14,Inputs!$B$37))),0)</f>
        <v>108920405337659.59</v>
      </c>
      <c r="P844">
        <f>IF(B869=0,0,O844/B869)</f>
        <v>1.3005411175153438E-2</v>
      </c>
      <c r="S844">
        <v>0</v>
      </c>
      <c r="V844">
        <f>IFERROR(1/IF(Inputs!$B$4="pvp",15,MAX(0.1,Skills!E14-IF(Skills!F14=TRUE,Inputs!$B$31,0))),0)</f>
        <v>10</v>
      </c>
    </row>
    <row r="845" spans="1:22" x14ac:dyDescent="0.2">
      <c r="A845" t="str">
        <f>Skills!A15</f>
        <v>FLAME_HAZE_BURST</v>
      </c>
      <c r="B845" t="str">
        <f>Skills!B15</f>
        <v>Flame Haze (burst)</v>
      </c>
      <c r="C845" t="b">
        <f>Inputs!$B$3&gt;=107</f>
        <v>1</v>
      </c>
      <c r="D845">
        <f>IF(Skills!C15=1,60+Inputs!$B$24+(Inputs!$B$28+1),IF(Skills!C15=2,90+Inputs!$B$25+(Inputs!$B$28+1),IF(Skills!C15=3,120+Inputs!$B$26+(Inputs!$B$28+1),MAX(0,(Inputs!$B$3-100)*3)+Inputs!$B$27+(Inputs!$B$28+1))))</f>
        <v>173</v>
      </c>
      <c r="E845">
        <f>INDEX(FactorTable!$B$2:$Y$301, MATCH(ROUND(MIN(300,MAX(1,D845)),0), FactorTable!$A$2:$A$301,0), Skills!M15+1)</f>
        <v>1865</v>
      </c>
      <c r="F845">
        <f>IF(Skills!N15=TRUE,(Skills!L15/10)*(E845/1000),Skills!L15/10)+Skills!O15</f>
        <v>2238</v>
      </c>
      <c r="G845">
        <f>Calc!G15</f>
        <v>3</v>
      </c>
      <c r="H845">
        <f>Calc!H15</f>
        <v>1</v>
      </c>
      <c r="I845">
        <f>IF(Skills!X15&lt;&gt;"",1+(Skills!X15/10)*(R833/1000)/100,1)</f>
        <v>1</v>
      </c>
      <c r="J845">
        <f>((Inputs!$B$5*(1+Inputs!$B$6/100))+((Inputs!$B$11*(1+Inputs!$B$12/100))-(Inputs!$B$11*(1+Inputs!$B$12/100)))*(1+Inputs!$B$6/100))*(F845/100)</f>
        <v>5591218275.2246399</v>
      </c>
      <c r="K845">
        <f>J845*(1+((Inputs!$B$11*(1+Inputs!$B$12/100))*0.01+Inputs!$B$13*0.0025)/100)*(1+Inputs!$B$14/100)*(1+IF(Inputs!$B$4="pvp",0,(1-Summary!$B$56)*(Inputs!$B$19+Skills!P15)+Summary!$B$56*(Inputs!$B$20+Skills!Q15))/100)*(1+Inputs!$B$15/100)*(5000/(6000+Inputs!$B$7*(1-Inputs!$B$18/100)))*(1+Inputs!$B$23/100)*(1+F853/100)*(1+IF(Inputs!$B$3&gt;=120,F856,0)/100)^5*(1+(IF(Skills!A15="BASIC_ATTACK",Inputs!$B$16,Inputs!$B$17+IF(Inputs!$B$3&gt;=125,F857*5,0)))/100)*(B860*B861*B862*I845)</f>
        <v>42605312052255.719</v>
      </c>
      <c r="L845">
        <f>K845*(MIN(Inputs!$B$21+(F852-Calc!F22),Inputs!$B$22)/100+Inputs!$B$22/100)/2</f>
        <v>115022626080276.06</v>
      </c>
      <c r="M845">
        <f>L845*(1+(Inputs!$B$9+(F851-Calc!F21))/100)</f>
        <v>482101234047825.94</v>
      </c>
      <c r="N845">
        <f>L845*(1-MIN(Inputs!$B$8+(F850-Calc!F20),100)/100)+M845*(MIN(Inputs!$B$8+(F850-Calc!F20),100)/100)</f>
        <v>482101234047825.94</v>
      </c>
      <c r="O845">
        <f>IF(C845,H845*N845*IF(AND(Inputs!$B$4&lt;&gt;"pvp",Inputs!$B$35&gt;0),((Skills!G15*((S845-1)*IF(Skills!H15&gt;0,Skills!I15/Skills!H15,1)+IF(Skills!H15&gt;0,MIN(Skills!I15,MAX(0,Inputs!$B$35-((S845-1)*IF(Inputs!$B$4="pvp",15,MAX(0.1,Skills!E15-IF(Skills!F15=TRUE,Inputs!$B$31,0))))))/Skills!H15,1)))/Inputs!$B$35),G845*V845)*IF(Inputs!$B$4="pvp",1,(1-Summary!$B$56)*(1)+Summary!$B$56*(MIN(Skills!R15,Inputs!$B$37))),0)</f>
        <v>370253747748730.31</v>
      </c>
      <c r="P845">
        <f>IF(B869=0,0,O845/B869)</f>
        <v>4.4209367507273431E-2</v>
      </c>
      <c r="S845">
        <f>IF(AND(Inputs!$B$4&lt;&gt;"pvp",Inputs!$B$35&gt;0),(INT(Inputs!$B$35/IF(Inputs!$B$4="pvp",15,MAX(0.1,Skills!E15-IF(Skills!F15=TRUE,Inputs!$B$31,0))))+1),0)</f>
        <v>0</v>
      </c>
      <c r="V845">
        <f>IFERROR(1/IF(Inputs!$B$4="pvp",15,MAX(0.1,Skills!E15-IF(Skills!F15=TRUE,Inputs!$B$31,0))),0)</f>
        <v>0.04</v>
      </c>
    </row>
    <row r="846" spans="1:22" x14ac:dyDescent="0.2">
      <c r="A846" t="str">
        <f>Skills!A16</f>
        <v>FLAME_HAZE_DOT</v>
      </c>
      <c r="B846" t="str">
        <f>Skills!B16</f>
        <v>Flame Haze (burn DoT)</v>
      </c>
      <c r="C846" t="b">
        <f>Inputs!$B$3&gt;=107</f>
        <v>1</v>
      </c>
      <c r="D846">
        <f>IF(Skills!C16=1,60+Inputs!$B$24+(Inputs!$B$28+1),IF(Skills!C16=2,90+Inputs!$B$25+(Inputs!$B$28+1),IF(Skills!C16=3,120+Inputs!$B$26+(Inputs!$B$28+1),MAX(0,(Inputs!$B$3-100)*3)+Inputs!$B$27+(Inputs!$B$28+1))))</f>
        <v>173</v>
      </c>
      <c r="E846">
        <f>INDEX(FactorTable!$B$2:$Y$301, MATCH(ROUND(MIN(300,MAX(1,D846)),0), FactorTable!$A$2:$A$301,0), Skills!M16+1)</f>
        <v>1865</v>
      </c>
      <c r="F846">
        <f>IF(Skills!N16=TRUE,(Skills!L16/10)*(E846/1000),Skills!L16/10)+Skills!O16</f>
        <v>279.75</v>
      </c>
      <c r="G846">
        <f>Calc!G16</f>
        <v>28</v>
      </c>
      <c r="H846">
        <f>Calc!H16</f>
        <v>1</v>
      </c>
      <c r="I846">
        <f>IF(Skills!X16&lt;&gt;"",1+(Skills!X16/10)*(R833/1000)/100,1)</f>
        <v>1</v>
      </c>
      <c r="J846">
        <f>((Inputs!$B$5*(1+Inputs!$B$6/100))+((Inputs!$B$11*(1+Inputs!$B$12/100))-(Inputs!$B$11*(1+Inputs!$B$12/100)))*(1+Inputs!$B$6/100))*(F846/100)</f>
        <v>698902284.40307999</v>
      </c>
      <c r="K846">
        <f>J846*(1+((Inputs!$B$11*(1+Inputs!$B$12/100))*0.01+Inputs!$B$13*0.0025)/100)*(1+Inputs!$B$14/100)*(1+IF(Inputs!$B$4="pvp",0,(1-Summary!$B$56)*(Inputs!$B$19+Skills!P16)+Summary!$B$56*(Inputs!$B$20+Skills!Q16))/100)*(1+Inputs!$B$15/100)*(5000/(6000+Inputs!$B$7*(1-Inputs!$B$18/100)))*(1+Inputs!$B$23/100)*(1+F853/100)*(1+IF(Inputs!$B$3&gt;=120,F856,0)/100)^5*(1+(IF(Skills!A16="BASIC_ATTACK",Inputs!$B$16,Inputs!$B$17+IF(Inputs!$B$3&gt;=125,F857*5,0)))/100)*(B860*B861*B862*I846)</f>
        <v>5325664006531.9648</v>
      </c>
      <c r="L846">
        <f>K846*(MIN(Inputs!$B$21+(F852-Calc!F22),Inputs!$B$22)/100+Inputs!$B$22/100)/2</f>
        <v>14377828260034.508</v>
      </c>
      <c r="M846">
        <f>L846*(1+(Inputs!$B$9+(F851-Calc!F21))/100)</f>
        <v>60262654255978.242</v>
      </c>
      <c r="N846">
        <f>L846*(1-MIN(Inputs!$B$8+(F850-Calc!F20),100)/100)+M846*(MIN(Inputs!$B$8+(F850-Calc!F20),100)/100)</f>
        <v>60262654255978.242</v>
      </c>
      <c r="O846">
        <f>IF(C846,H846*N846*IF(AND(Inputs!$B$4&lt;&gt;"pvp",Inputs!$B$35&gt;0),((Skills!G16*((S846-1)*IF(Skills!H16&gt;0,Skills!I16/Skills!H16,1)+IF(Skills!H16&gt;0,MIN(Skills!I16,MAX(0,Inputs!$B$35-((S846-1)*IF(Inputs!$B$4="pvp",15,MAX(0.1,Skills!E16-IF(Skills!F16=TRUE,Inputs!$B$31,0))))))/Skills!H16,1)))/Inputs!$B$35),G846*V846)*(1+IF(Inputs!$B$3&gt;=126,0.05*(B866+V843+(H844*B867)/(1+Skills!H14*H844*B867)+V854),0)*Skills!E15)*IF(Inputs!$B$4="pvp",1,(1-Summary!$B$56)*(1)+Summary!$B$56*(MIN(Skills!R16,Inputs!$B$37))),0)</f>
        <v>431962705706852.12</v>
      </c>
      <c r="P846">
        <f>IF(B869=0,0,O846/B869)</f>
        <v>5.1577595425152348E-2</v>
      </c>
      <c r="S846">
        <f>IF(AND(Inputs!$B$4&lt;&gt;"pvp",Inputs!$B$35&gt;0),(INT(Inputs!$B$35/IF(Inputs!$B$4="pvp",15,MAX(0.1,Skills!E16-IF(Skills!F16=TRUE,Inputs!$B$31,0))))+1),0)</f>
        <v>0</v>
      </c>
      <c r="V846">
        <f>IFERROR(1/IF(Inputs!$B$4="pvp",15,MAX(0.1,Skills!E16-IF(Skills!F16=TRUE,Inputs!$B$31,0))),0)</f>
        <v>0.04</v>
      </c>
    </row>
    <row r="847" spans="1:22" x14ac:dyDescent="0.2">
      <c r="A847" t="str">
        <f>Skills!A17</f>
        <v>MAGIC_GUARD</v>
      </c>
      <c r="B847" t="str">
        <f>Skills!B17</f>
        <v>Magic Guard</v>
      </c>
      <c r="C847" t="b">
        <f>TRUE</f>
        <v>1</v>
      </c>
      <c r="D847">
        <f>IF(Skills!C17=1,60+Inputs!$B$24+(Inputs!$B$28+1),IF(Skills!C17=2,90+Inputs!$B$25+(Inputs!$B$28+1),IF(Skills!C17=3,120+Inputs!$B$26+(Inputs!$B$28+1),MAX(0,(Inputs!$B$3-100)*3)+Inputs!$B$27+(Inputs!$B$28+1))))</f>
        <v>116</v>
      </c>
      <c r="E847">
        <f>INDEX(FactorTable!$B$2:$Y$301, MATCH(ROUND(MIN(300,MAX(1,D847)),0), FactorTable!$A$2:$A$301,0), Skills!M17+1)</f>
        <v>1464</v>
      </c>
      <c r="F847">
        <f>IF(Skills!N17=TRUE,(Skills!L17/10)*(E847/1000),Skills!L17/10)+Skills!O17</f>
        <v>17.567999999999998</v>
      </c>
      <c r="G847">
        <f>Calc!G17</f>
        <v>1</v>
      </c>
      <c r="H847">
        <f>Calc!H17</f>
        <v>1</v>
      </c>
      <c r="I847">
        <f>IF(Skills!X17&lt;&gt;"",1+(Skills!X17/10)*(R833/1000)/100,1)</f>
        <v>1</v>
      </c>
      <c r="O847">
        <v>0</v>
      </c>
      <c r="P847">
        <f>IF(B869=0,0,O847/B869)</f>
        <v>0</v>
      </c>
      <c r="S847">
        <f>IF(AND(Inputs!$B$4&lt;&gt;"pvp",Inputs!$B$35&gt;0),(INT(Inputs!$B$35/IF(Inputs!$B$4="pvp",15,MAX(0.1,Skills!E17-IF(Skills!F17=TRUE,Inputs!$B$31,0))))+1),0)</f>
        <v>0</v>
      </c>
      <c r="V847">
        <f>IFERROR(1/IF(Inputs!$B$4="pvp",15,MAX(0.1,Skills!E17-IF(Skills!F17=TRUE,Inputs!$B$31,0))),0)</f>
        <v>4.7619047619047616E-2</v>
      </c>
    </row>
    <row r="848" spans="1:22" x14ac:dyDescent="0.2">
      <c r="A848" t="str">
        <f>Skills!A18</f>
        <v>NIMBLE_FEET</v>
      </c>
      <c r="B848" t="str">
        <f>Skills!B18</f>
        <v>Nimble Feet</v>
      </c>
      <c r="C848" t="b">
        <f>TRUE</f>
        <v>1</v>
      </c>
      <c r="D848">
        <f>IF(Skills!C18=1,60+Inputs!$B$24+(Inputs!$B$28+1),IF(Skills!C18=2,90+Inputs!$B$25+(Inputs!$B$28+1),IF(Skills!C18=3,120+Inputs!$B$26+(Inputs!$B$28+1),MAX(0,(Inputs!$B$3-100)*3)+Inputs!$B$27+(Inputs!$B$28+1))))</f>
        <v>116</v>
      </c>
      <c r="E848">
        <f>INDEX(FactorTable!$B$2:$Y$301, MATCH(ROUND(MIN(300,MAX(1,D848)),0), FactorTable!$A$2:$A$301,0), Skills!M18+1)</f>
        <v>0</v>
      </c>
      <c r="F848">
        <f>IF(Skills!N18=TRUE,(Skills!L18/10)*(E848/1000),Skills!L18/10)+Skills!O18</f>
        <v>15</v>
      </c>
      <c r="G848">
        <f>Calc!G18</f>
        <v>1</v>
      </c>
      <c r="H848">
        <f>Calc!H18</f>
        <v>1</v>
      </c>
      <c r="I848">
        <f>IF(Skills!X18&lt;&gt;"",1+(Skills!X18/10)*(R833/1000)/100,1)</f>
        <v>1</v>
      </c>
      <c r="O848">
        <v>0</v>
      </c>
      <c r="P848">
        <f>IF(B869=0,0,O848/B869)</f>
        <v>0</v>
      </c>
      <c r="S848">
        <f>IF(AND(Inputs!$B$4&lt;&gt;"pvp",Inputs!$B$35&gt;0),(INT(Inputs!$B$35/IF(Inputs!$B$4="pvp",15,MAX(0.1,Skills!E18-IF(Skills!F18=TRUE,Inputs!$B$31,0))))+1),0)</f>
        <v>0</v>
      </c>
      <c r="V848">
        <f>IFERROR(1/IF(Inputs!$B$4="pvp",15,MAX(0.1,Skills!E18-IF(Skills!F18=TRUE,Inputs!$B$31,0))),0)</f>
        <v>1.6666666666666666E-2</v>
      </c>
    </row>
    <row r="849" spans="1:22" x14ac:dyDescent="0.2">
      <c r="A849" t="str">
        <f>Skills!A19</f>
        <v>INFINITY</v>
      </c>
      <c r="B849" t="str">
        <f>Skills!B19</f>
        <v>Infinity</v>
      </c>
      <c r="C849" t="b">
        <f>Inputs!$B$3&gt;=110</f>
        <v>1</v>
      </c>
      <c r="D849">
        <f>IF(Skills!C19=1,60+Inputs!$B$24+(Inputs!$B$28+1),IF(Skills!C19=2,90+Inputs!$B$25+(Inputs!$B$28+1),IF(Skills!C19=3,120+Inputs!$B$26+(Inputs!$B$28+1),MAX(0,(Inputs!$B$3-100)*3)+Inputs!$B$27+(Inputs!$B$28+1))))</f>
        <v>173</v>
      </c>
      <c r="E849">
        <f>INDEX(FactorTable!$B$2:$Y$301, MATCH(ROUND(MIN(300,MAX(1,D849)),0), FactorTable!$A$2:$A$301,0), Skills!M19+1)</f>
        <v>1692</v>
      </c>
      <c r="F849">
        <f>IF(Skills!N19=TRUE,(Skills!L19/10)*(E849/1000),Skills!L19/10)+Skills!O19</f>
        <v>36.660563999999994</v>
      </c>
      <c r="G849">
        <f>Calc!G19</f>
        <v>1</v>
      </c>
      <c r="H849">
        <f>Calc!H19</f>
        <v>1</v>
      </c>
      <c r="I849">
        <f>IF(Skills!X19&lt;&gt;"",1+(Skills!X19/10)*(R833/1000)/100,1)</f>
        <v>1</v>
      </c>
      <c r="O849">
        <v>0</v>
      </c>
      <c r="P849">
        <f>IF(B869=0,0,O849/B869)</f>
        <v>0</v>
      </c>
      <c r="S849">
        <f>IF(AND(Inputs!$B$4&lt;&gt;"pvp",Inputs!$B$35&gt;0),(INT(Inputs!$B$35/IF(Inputs!$B$4="pvp",15,MAX(0.1,Skills!E19-IF(Skills!F19=TRUE,Inputs!$B$31,0))))+1),0)</f>
        <v>0</v>
      </c>
      <c r="V849">
        <f>IFERROR(1/IF(Inputs!$B$4="pvp",15,MAX(0.1,Skills!E19-IF(Skills!F19=TRUE,Inputs!$B$31,0))),0)</f>
        <v>3.3333333333333333E-2</v>
      </c>
    </row>
    <row r="850" spans="1:22" x14ac:dyDescent="0.2">
      <c r="A850" t="str">
        <f>Skills!A20</f>
        <v>MAGIC_CRITICAL_RATE</v>
      </c>
      <c r="B850" t="str">
        <f>Skills!B20</f>
        <v>Magic Critical (Crit Rate)</v>
      </c>
      <c r="C850" t="b">
        <f>TRUE</f>
        <v>1</v>
      </c>
      <c r="D850">
        <f>IF(Skills!C20=1,60+Inputs!$B$24+(Inputs!$B$28+1),IF(Skills!C20=2,90+Inputs!$B$25+(Inputs!$B$28+1),IF(Skills!C20=3,120+Inputs!$B$26+(Inputs!$B$28+1),MAX(0,(Inputs!$B$3-100)*3)+Inputs!$B$27+(Inputs!$B$28+1))))</f>
        <v>185</v>
      </c>
      <c r="E850">
        <f>INDEX(FactorTable!$B$2:$Y$301, MATCH(ROUND(MIN(300,MAX(1,D850)),0), FactorTable!$A$2:$A$301,0), Skills!M20+1)</f>
        <v>1555</v>
      </c>
      <c r="F850">
        <f>IF(Skills!N20=TRUE,(Skills!L20/10)*(E850/1000),Skills!L20/10)+Skills!O20</f>
        <v>12.44</v>
      </c>
      <c r="G850">
        <f>Calc!G20</f>
        <v>1</v>
      </c>
      <c r="H850">
        <f>Calc!H20</f>
        <v>1</v>
      </c>
      <c r="I850">
        <f>IF(Skills!X20&lt;&gt;"",1+(Skills!X20/10)*(R833/1000)/100,1)</f>
        <v>1</v>
      </c>
      <c r="O850">
        <v>0</v>
      </c>
      <c r="P850">
        <f>IF(B869=0,0,O850/B869)</f>
        <v>0</v>
      </c>
      <c r="S850">
        <v>0</v>
      </c>
      <c r="V850">
        <f>IFERROR(1/IF(Inputs!$B$4="pvp",15,MAX(0.1,Skills!E20-IF(Skills!F20=TRUE,Inputs!$B$31,0))),0)</f>
        <v>10</v>
      </c>
    </row>
    <row r="851" spans="1:22" x14ac:dyDescent="0.2">
      <c r="A851" t="str">
        <f>Skills!A21</f>
        <v>MAGIC_CRITICAL_DAMAGE</v>
      </c>
      <c r="B851" t="str">
        <f>Skills!B21</f>
        <v>Magic Critical (Crit Damage)</v>
      </c>
      <c r="C851" t="b">
        <f>TRUE</f>
        <v>1</v>
      </c>
      <c r="D851">
        <f>IF(Skills!C21=1,60+Inputs!$B$24+(Inputs!$B$28+1),IF(Skills!C21=2,90+Inputs!$B$25+(Inputs!$B$28+1),IF(Skills!C21=3,120+Inputs!$B$26+(Inputs!$B$28+1),MAX(0,(Inputs!$B$3-100)*3)+Inputs!$B$27+(Inputs!$B$28+1))))</f>
        <v>185</v>
      </c>
      <c r="E851">
        <f>INDEX(FactorTable!$B$2:$Y$301, MATCH(ROUND(MIN(300,MAX(1,D851)),0), FactorTable!$A$2:$A$301,0), Skills!M21+1)</f>
        <v>1555</v>
      </c>
      <c r="F851">
        <f>IF(Skills!N21=TRUE,(Skills!L21/10)*(E851/1000),Skills!L21/10)+Skills!O21</f>
        <v>18.66</v>
      </c>
      <c r="G851">
        <f>Calc!G21</f>
        <v>1</v>
      </c>
      <c r="H851">
        <f>Calc!H21</f>
        <v>1</v>
      </c>
      <c r="I851">
        <f>IF(Skills!X21&lt;&gt;"",1+(Skills!X21/10)*(R833/1000)/100,1)</f>
        <v>1</v>
      </c>
      <c r="O851">
        <v>0</v>
      </c>
      <c r="P851">
        <f>IF(B869=0,0,O851/B869)</f>
        <v>0</v>
      </c>
      <c r="S851">
        <v>0</v>
      </c>
      <c r="V851">
        <f>IFERROR(1/IF(Inputs!$B$4="pvp",15,MAX(0.1,Skills!E21-IF(Skills!F21=TRUE,Inputs!$B$31,0))),0)</f>
        <v>10</v>
      </c>
    </row>
    <row r="852" spans="1:22" x14ac:dyDescent="0.2">
      <c r="A852" t="str">
        <f>Skills!A22</f>
        <v>SPELL_MASTERY</v>
      </c>
      <c r="B852" t="str">
        <f>Skills!B22</f>
        <v>Spell Mastery</v>
      </c>
      <c r="C852" t="b">
        <f>TRUE</f>
        <v>1</v>
      </c>
      <c r="D852">
        <f>IF(Skills!C22=1,60+Inputs!$B$24+(Inputs!$B$28+1),IF(Skills!C22=2,90+Inputs!$B$25+(Inputs!$B$28+1),IF(Skills!C22=3,120+Inputs!$B$26+(Inputs!$B$28+1),MAX(0,(Inputs!$B$3-100)*3)+Inputs!$B$27+(Inputs!$B$28+1))))</f>
        <v>165</v>
      </c>
      <c r="E852">
        <f>INDEX(FactorTable!$B$2:$Y$301, MATCH(ROUND(MIN(300,MAX(1,D852)),0), FactorTable!$A$2:$A$301,0), Skills!M22+1)</f>
        <v>1495</v>
      </c>
      <c r="F852">
        <f>IF(Skills!N22=TRUE,(Skills!L22/10)*(E852/1000),Skills!L22/10)+Skills!O22</f>
        <v>22.425000000000001</v>
      </c>
      <c r="G852">
        <f>Calc!G22</f>
        <v>1</v>
      </c>
      <c r="H852">
        <f>Calc!H22</f>
        <v>1</v>
      </c>
      <c r="I852">
        <f>IF(Skills!X22&lt;&gt;"",1+(Skills!X22/10)*(R833/1000)/100,1)</f>
        <v>1</v>
      </c>
      <c r="O852">
        <v>0</v>
      </c>
      <c r="P852">
        <f>IF(B869=0,0,O852/B869)</f>
        <v>0</v>
      </c>
      <c r="S852">
        <v>0</v>
      </c>
      <c r="V852">
        <f>IFERROR(1/IF(Inputs!$B$4="pvp",15,MAX(0.1,Skills!E22-IF(Skills!F22=TRUE,Inputs!$B$31,0))),0)</f>
        <v>10</v>
      </c>
    </row>
    <row r="853" spans="1:22" x14ac:dyDescent="0.2">
      <c r="A853" t="str">
        <f>Skills!A23</f>
        <v>ELEMENT_AMPLIFICATION</v>
      </c>
      <c r="B853" t="str">
        <f>Skills!B23</f>
        <v>Element Amplification</v>
      </c>
      <c r="C853" t="b">
        <f>TRUE</f>
        <v>1</v>
      </c>
      <c r="D853">
        <f>IF(Skills!C23=1,60+Inputs!$B$24+(Inputs!$B$28+1),IF(Skills!C23=2,90+Inputs!$B$25+(Inputs!$B$28+1),IF(Skills!C23=3,120+Inputs!$B$26+(Inputs!$B$28+1),MAX(0,(Inputs!$B$3-100)*3)+Inputs!$B$27+(Inputs!$B$28+1))))</f>
        <v>173</v>
      </c>
      <c r="E853">
        <f>INDEX(FactorTable!$B$2:$Y$301, MATCH(ROUND(MIN(300,MAX(1,D853)),0), FactorTable!$A$2:$A$301,0), Skills!M23+1)</f>
        <v>1519</v>
      </c>
      <c r="F853">
        <f>IF(Skills!N23=TRUE,(Skills!L23/10)*(E853/1000),Skills!L23/10)+Skills!O23</f>
        <v>22.785</v>
      </c>
      <c r="G853">
        <f>Calc!G23</f>
        <v>1</v>
      </c>
      <c r="H853">
        <f>Calc!H23</f>
        <v>1</v>
      </c>
      <c r="I853">
        <f>IF(Skills!X23&lt;&gt;"",1+(Skills!X23/10)*(R833/1000)/100,1)</f>
        <v>1</v>
      </c>
      <c r="O853">
        <v>0</v>
      </c>
      <c r="P853">
        <f>IF(B869=0,0,O853/B869)</f>
        <v>0</v>
      </c>
      <c r="S853">
        <v>0</v>
      </c>
      <c r="V853">
        <f>IFERROR(1/IF(Inputs!$B$4="pvp",15,MAX(0.1,Skills!E23-IF(Skills!F23=TRUE,Inputs!$B$31,0))),0)</f>
        <v>10</v>
      </c>
    </row>
    <row r="854" spans="1:22" x14ac:dyDescent="0.2">
      <c r="A854" t="str">
        <f>Skills!A24</f>
        <v>IFRIT</v>
      </c>
      <c r="B854" t="str">
        <f>Skills!B24</f>
        <v>Ifrit</v>
      </c>
      <c r="C854" t="b">
        <f>Inputs!$B$3&gt;=115</f>
        <v>0</v>
      </c>
      <c r="D854">
        <f>IF(Skills!C24=1,60+Inputs!$B$24+(Inputs!$B$28+1),IF(Skills!C24=2,90+Inputs!$B$25+(Inputs!$B$28+1),IF(Skills!C24=3,120+Inputs!$B$26+(Inputs!$B$28+1),MAX(0,(Inputs!$B$3-100)*3)+Inputs!$B$27+(Inputs!$B$28+1))))</f>
        <v>173</v>
      </c>
      <c r="E854">
        <f>INDEX(FactorTable!$B$2:$Y$301, MATCH(ROUND(MIN(300,MAX(1,D854)),0), FactorTable!$A$2:$A$301,0), Skills!M24+1)</f>
        <v>1865</v>
      </c>
      <c r="F854">
        <f>IF(Skills!N24=TRUE,(Skills!L24/10)*(E854/1000),Skills!L24/10)+Skills!O24</f>
        <v>6527.5</v>
      </c>
      <c r="G854">
        <f>Calc!G24</f>
        <v>7.5</v>
      </c>
      <c r="H854">
        <f>Calc!H24</f>
        <v>1</v>
      </c>
      <c r="I854">
        <f>IF(Skills!X24&lt;&gt;"",1+(Skills!X24/10)*(R833/1000)/100,1)</f>
        <v>1</v>
      </c>
      <c r="J854">
        <f>((Inputs!$B$5*(1+Inputs!$B$6/100))+((Inputs!$B$11*(1+Inputs!$B$12/100))-(Inputs!$B$11*(1+Inputs!$B$12/100)))*(1+Inputs!$B$6/100))*(F854/100)</f>
        <v>16307719969.405201</v>
      </c>
      <c r="K854">
        <f>J854*(1+((Inputs!$B$11*(1+Inputs!$B$12/100))*0.01+Inputs!$B$13*0.0025)/100)*(1+Inputs!$B$14/100)*(1+IF(Inputs!$B$4="pvp",0,(1-Summary!$B$56)*(Inputs!$B$19+Skills!P24)+Summary!$B$56*(Inputs!$B$20+Skills!Q24))/100)*(1+Inputs!$B$15/100)*(5000/(6000+Inputs!$B$7*(1-Inputs!$B$18/100)))*(1+Inputs!$B$23/100)*(1+F853/100)*(1+IF(Inputs!$B$3&gt;=120,F856,0)/100)^5*(1+(IF(Skills!A24="BASIC_ATTACK",Inputs!$B$16,Inputs!$B$17+IF(Inputs!$B$3&gt;=125,F857*5,0)))/100)*(B860*B861*B862*I854)</f>
        <v>124265493485745.86</v>
      </c>
      <c r="L854">
        <f>K854*(MIN(Inputs!$B$21+(F852-Calc!F22),Inputs!$B$22)/100+Inputs!$B$22/100)/2</f>
        <v>335482659400805.25</v>
      </c>
      <c r="M854">
        <f>L854*(1+(Inputs!$B$9+(F851-Calc!F21))/100)</f>
        <v>1406128599306159.2</v>
      </c>
      <c r="N854">
        <f>L854*(1-MIN(Inputs!$B$8+(F850-Calc!F20),100)/100)+M854*(MIN(Inputs!$B$8+(F850-Calc!F20),100)/100)</f>
        <v>1406128599306159.2</v>
      </c>
      <c r="O854">
        <f>IF(C854,H854*N854*IF(AND(Inputs!$B$4&lt;&gt;"pvp",Inputs!$B$35&gt;0),((Skills!G24*((S854-1)*IF(Skills!H24&gt;0,Skills!I24/Skills!H24,1)+IF(Skills!H24&gt;0,MIN(Skills!I24,MAX(0,Inputs!$B$35-((S854-1)*IF(Inputs!$B$4="pvp",15,MAX(0.1,Skills!E24-IF(Skills!F24=TRUE,Inputs!$B$31,0))))))/Skills!H24,1)))/Inputs!$B$35),G854*V854)*(1+IF(Inputs!$B$3&gt;=130,0.2*(Skills!I16/Skills!E15+IF(Inputs!$B$3&gt;=126,0.05*(B866+V843+(H844*B867)/(1+Skills!H14*H844*B867)+V854),0)*Skills!I16),0))*IF(Inputs!$B$4="pvp",1,(1-Summary!$B$56)*(1)+Summary!$B$56*(MIN(Skills!R24,Inputs!$B$37))),0)</f>
        <v>0</v>
      </c>
      <c r="P854">
        <f>IF(B869=0,0,O854/B869)</f>
        <v>0</v>
      </c>
      <c r="S854">
        <f>IF(AND(Inputs!$B$4&lt;&gt;"pvp",Inputs!$B$35&gt;0),(INT(Inputs!$B$35/IF(Inputs!$B$4="pvp",15,MAX(0.1,Skills!E24-IF(Skills!F24=TRUE,Inputs!$B$31,0))))+1),0)</f>
        <v>0</v>
      </c>
      <c r="V854">
        <f>IFERROR(1/IF(Inputs!$B$4="pvp",15,MAX(0.1,Skills!E24-IF(Skills!F24=TRUE,Inputs!$B$31,0))),0)</f>
        <v>1.2500000000000001E-2</v>
      </c>
    </row>
    <row r="855" spans="1:22" x14ac:dyDescent="0.2">
      <c r="A855" t="str">
        <f>Skills!A25</f>
        <v>BUFF_MASTERY</v>
      </c>
      <c r="B855" t="str">
        <f>Skills!B25</f>
        <v>Buff Mastery</v>
      </c>
      <c r="C855" t="b">
        <f>Inputs!$B$3&gt;=117</f>
        <v>0</v>
      </c>
      <c r="D855">
        <f>IF(Skills!C25=1,60+Inputs!$B$24+(Inputs!$B$28+1),IF(Skills!C25=2,90+Inputs!$B$25+(Inputs!$B$28+1),IF(Skills!C25=3,120+Inputs!$B$26+(Inputs!$B$28+1),MAX(0,(Inputs!$B$3-100)*3)+Inputs!$B$27+(Inputs!$B$28+1))))</f>
        <v>173</v>
      </c>
      <c r="E855">
        <f>INDEX(FactorTable!$B$2:$Y$301, MATCH(ROUND(MIN(300,MAX(1,D855)),0), FactorTable!$A$2:$A$301,0), Skills!M25+1)</f>
        <v>1519</v>
      </c>
      <c r="F855">
        <f>IF(Skills!N25=TRUE,(Skills!L25/10)*(E855/1000),Skills!L25/10)+Skills!O25</f>
        <v>15.19</v>
      </c>
      <c r="G855">
        <f>Calc!G25</f>
        <v>1</v>
      </c>
      <c r="H855">
        <f>Calc!H25</f>
        <v>1</v>
      </c>
      <c r="I855">
        <f>IF(Skills!X25&lt;&gt;"",1+(Skills!X25/10)*(R833/1000)/100,1)</f>
        <v>1</v>
      </c>
      <c r="O855">
        <v>0</v>
      </c>
      <c r="P855">
        <f>IF(B869=0,0,O855/B869)</f>
        <v>0</v>
      </c>
      <c r="S855">
        <v>0</v>
      </c>
      <c r="V855">
        <f>IFERROR(1/IF(Inputs!$B$4="pvp",15,MAX(0.1,Skills!E25-IF(Skills!F25=TRUE,Inputs!$B$31,0))),0)</f>
        <v>10</v>
      </c>
    </row>
    <row r="856" spans="1:22" x14ac:dyDescent="0.2">
      <c r="A856" t="str">
        <f>Skills!A26</f>
        <v>ARCANE_AIM</v>
      </c>
      <c r="B856" t="str">
        <f>Skills!B26</f>
        <v>Arcane Aim</v>
      </c>
      <c r="C856" t="b">
        <f>Inputs!$B$3&gt;=120</f>
        <v>0</v>
      </c>
      <c r="D856">
        <f>IF(Skills!C26=1,60+Inputs!$B$24+(Inputs!$B$28+1),IF(Skills!C26=2,90+Inputs!$B$25+(Inputs!$B$28+1),IF(Skills!C26=3,120+Inputs!$B$26+(Inputs!$B$28+1),MAX(0,(Inputs!$B$3-100)*3)+Inputs!$B$27+(Inputs!$B$28+1))))</f>
        <v>173</v>
      </c>
      <c r="E856">
        <f>INDEX(FactorTable!$B$2:$Y$301, MATCH(ROUND(MIN(300,MAX(1,D856)),0), FactorTable!$A$2:$A$301,0), Skills!M26+1)</f>
        <v>1519</v>
      </c>
      <c r="F856">
        <f>IF(Skills!N26=TRUE,(Skills!L26/10)*(E856/1000),Skills!L26/10)+Skills!O26</f>
        <v>4.5569999999999995</v>
      </c>
      <c r="G856">
        <f>Calc!G26</f>
        <v>1</v>
      </c>
      <c r="H856">
        <f>Calc!H26</f>
        <v>1</v>
      </c>
      <c r="I856">
        <f>IF(Skills!X26&lt;&gt;"",1+(Skills!X26/10)*(R833/1000)/100,1)</f>
        <v>1</v>
      </c>
      <c r="O856">
        <v>0</v>
      </c>
      <c r="P856">
        <f>IF(B869=0,0,O856/B869)</f>
        <v>0</v>
      </c>
      <c r="S856">
        <v>0</v>
      </c>
      <c r="V856">
        <f>IFERROR(1/IF(Inputs!$B$4="pvp",15,MAX(0.1,Skills!E26-IF(Skills!F26=TRUE,Inputs!$B$31,0))),0)</f>
        <v>10</v>
      </c>
    </row>
    <row r="857" spans="1:22" x14ac:dyDescent="0.2">
      <c r="A857" t="str">
        <f>Skills!A27</f>
        <v>FERVENT_DRAIN</v>
      </c>
      <c r="B857" t="str">
        <f>Skills!B27</f>
        <v>Fervent Drain</v>
      </c>
      <c r="C857" t="b">
        <f>Inputs!$B$3&gt;=125</f>
        <v>0</v>
      </c>
      <c r="D857">
        <f>IF(Skills!C27=1,60+Inputs!$B$24+(Inputs!$B$28+1),IF(Skills!C27=2,90+Inputs!$B$25+(Inputs!$B$28+1),IF(Skills!C27=3,120+Inputs!$B$26+(Inputs!$B$28+1),MAX(0,(Inputs!$B$3-100)*3)+Inputs!$B$27+(Inputs!$B$28+1))))</f>
        <v>173</v>
      </c>
      <c r="E857">
        <f>INDEX(FactorTable!$B$2:$Y$301, MATCH(ROUND(MIN(300,MAX(1,D857)),0), FactorTable!$A$2:$A$301,0), Skills!M27+1)</f>
        <v>1519</v>
      </c>
      <c r="F857">
        <f>IF(Skills!N27=TRUE,(Skills!L27/10)*(E857/1000),Skills!L27/10)+Skills!O27</f>
        <v>6.0759999999999996</v>
      </c>
      <c r="G857">
        <f>Calc!G27</f>
        <v>1</v>
      </c>
      <c r="H857">
        <f>Calc!H27</f>
        <v>1</v>
      </c>
      <c r="I857">
        <f>IF(Skills!X27&lt;&gt;"",1+(Skills!X27/10)*(R833/1000)/100,1)</f>
        <v>1</v>
      </c>
      <c r="O857">
        <v>0</v>
      </c>
      <c r="P857">
        <f>IF(B869=0,0,O857/B869)</f>
        <v>0</v>
      </c>
      <c r="S857">
        <v>0</v>
      </c>
      <c r="V857">
        <f>IFERROR(1/IF(Inputs!$B$4="pvp",15,MAX(0.1,Skills!E27-IF(Skills!F27=TRUE,Inputs!$B$31,0))),0)</f>
        <v>10</v>
      </c>
    </row>
    <row r="858" spans="1:22" x14ac:dyDescent="0.2">
      <c r="A858" t="str">
        <f>Skills!A28</f>
        <v>FLAME_HAZE_FOG</v>
      </c>
      <c r="B858" t="str">
        <f>Skills!B28</f>
        <v>Flame Haze (poison fog DoT)</v>
      </c>
      <c r="C858" t="b">
        <f>Inputs!$B$3&gt;=118</f>
        <v>0</v>
      </c>
      <c r="D858">
        <f>IF(Skills!C28=1,60+Inputs!$B$24+(Inputs!$B$28+1),IF(Skills!C28=2,90+Inputs!$B$25+(Inputs!$B$28+1),IF(Skills!C28=3,120+Inputs!$B$26+(Inputs!$B$28+1),MAX(0,(Inputs!$B$3-100)*3)+Inputs!$B$27+(Inputs!$B$28+1))))</f>
        <v>173</v>
      </c>
      <c r="E858">
        <f>INDEX(FactorTable!$B$2:$Y$301, MATCH(ROUND(MIN(300,MAX(1,D858)),0), FactorTable!$A$2:$A$301,0), Skills!M28+1)</f>
        <v>1865</v>
      </c>
      <c r="F858">
        <f>IF(Skills!N28=TRUE,(Skills!L28/10)*(E858/1000),Skills!L28/10)+Skills!O28</f>
        <v>130.55000000000001</v>
      </c>
      <c r="G858">
        <f>Calc!G28</f>
        <v>50</v>
      </c>
      <c r="H858">
        <f>Calc!H28</f>
        <v>1</v>
      </c>
      <c r="I858">
        <f>IF(Skills!X28&lt;&gt;"",1+(Skills!X28/10)*(R833/1000)/100,1)</f>
        <v>1</v>
      </c>
      <c r="J858">
        <f>((Inputs!$B$5*(1+Inputs!$B$6/100))+((Inputs!$B$11*(1+Inputs!$B$12/100))-(Inputs!$B$11*(1+Inputs!$B$12/100)))*(1+Inputs!$B$6/100))*(F858/100)</f>
        <v>326154399.38810402</v>
      </c>
      <c r="K858">
        <f>J858*(1+((Inputs!$B$11*(1+Inputs!$B$12/100))*0.01+Inputs!$B$13*0.0025)/100)*(1+Inputs!$B$14/100)*(1+IF(Inputs!$B$4="pvp",0,(1-Summary!$B$56)*(Inputs!$B$19+Skills!P28)+Summary!$B$56*(Inputs!$B$20+Skills!Q28))/100)*(1+Inputs!$B$15/100)*(5000/(6000+Inputs!$B$7*(1-Inputs!$B$18/100)))*(1+Inputs!$B$23/100)*(1+F853/100)*(1+IF(Inputs!$B$3&gt;=120,F856,0)/100)^5*(1+(IF(Skills!A28="BASIC_ATTACK",Inputs!$B$16,Inputs!$B$17+IF(Inputs!$B$3&gt;=125,F857*5,0)))/100)*(B860*B861*B862*I858)</f>
        <v>2485309869714.9175</v>
      </c>
      <c r="L858">
        <f>K858*(MIN(Inputs!$B$21+(F852-Calc!F22),Inputs!$B$22)/100+Inputs!$B$22/100)/2</f>
        <v>6709653188016.1055</v>
      </c>
      <c r="M858">
        <f>L858*(1+(Inputs!$B$9+(F851-Calc!F21))/100)</f>
        <v>28122571986123.188</v>
      </c>
      <c r="N858">
        <f>L858*(1-MIN(Inputs!$B$8+(F850-Calc!F20),100)/100)+M858*(MIN(Inputs!$B$8+(F850-Calc!F20),100)/100)</f>
        <v>28122571986123.188</v>
      </c>
      <c r="O858">
        <f>IF(C858,H858*N858*IF(AND(Inputs!$B$4&lt;&gt;"pvp",Inputs!$B$35&gt;0),((Skills!G28*((S858-1)*IF(Skills!H28&gt;0,Skills!I28/Skills!H28,1)+IF(Skills!H28&gt;0,MIN(Skills!I28,MAX(0,Inputs!$B$35-((S858-1)*IF(Inputs!$B$4="pvp",15,MAX(0.1,Skills!E28-IF(Skills!F28=TRUE,Inputs!$B$31,0))))))/Skills!H28,1)))/Inputs!$B$35),G858*V858)*IF(Inputs!$B$4="pvp",1,(1-Summary!$B$56)*(1)+Summary!$B$56*(MIN(Skills!R28,Inputs!$B$37))),0)</f>
        <v>0</v>
      </c>
      <c r="P858">
        <f>IF(B869=0,0,O858/B869)</f>
        <v>0</v>
      </c>
      <c r="S858">
        <f>IF(AND(Inputs!$B$4&lt;&gt;"pvp",Inputs!$B$35&gt;0),(INT(Inputs!$B$35/IF(Inputs!$B$4="pvp",15,MAX(0.1,Skills!E28-IF(Skills!F28=TRUE,Inputs!$B$31,0))))+1),0)</f>
        <v>0</v>
      </c>
      <c r="V858">
        <f>IFERROR(1/IF(Inputs!$B$4="pvp",15,MAX(0.1,Skills!E28-IF(Skills!F28=TRUE,Inputs!$B$31,0))),0)</f>
        <v>0.04</v>
      </c>
    </row>
    <row r="860" spans="1:22" x14ac:dyDescent="0.2">
      <c r="A860" t="s">
        <v>222</v>
      </c>
      <c r="B860">
        <f>1+(F841*Skills!Z11)/100</f>
        <v>1.25</v>
      </c>
    </row>
    <row r="861" spans="1:22" x14ac:dyDescent="0.2">
      <c r="A861" t="s">
        <v>223</v>
      </c>
      <c r="B861">
        <f>1+F842/100</f>
        <v>1.1865999999999999</v>
      </c>
    </row>
    <row r="862" spans="1:22" x14ac:dyDescent="0.2">
      <c r="A862" t="s">
        <v>224</v>
      </c>
      <c r="B862">
        <f>(1+(F836*IF(AND(Inputs!$B$4&lt;&gt;"pvp",Inputs!$B$35&gt;0),(((S836-1)*(Skills!T6*(1+(Inputs!$B$33+IF(Inputs!$B$3&gt;=117,F855,0))/100))+MIN((Skills!T6*(1+(Inputs!$B$33+IF(Inputs!$B$3&gt;=117,F855,0))/100)),MAX(0,Inputs!$B$35-((S836-1)*Skills!E6))))/Inputs!$B$35),IF(Inputs!$B$4="pvp",MIN((Skills!T6*(1+(Inputs!$B$33+IF(Inputs!$B$3&gt;=117,F855,0))/100)),15)/15,(Skills!T6*(1+(Inputs!$B$33+IF(Inputs!$B$3&gt;=117,F855,0))/100))/Skills!E6))+F847*IF(AND(Inputs!$B$4&lt;&gt;"pvp",Inputs!$B$35&gt;0),(((S847-1)*(Skills!T17*(1+(Inputs!$B$33+IF(Inputs!$B$3&gt;=117,F855,0))/100))+MIN((Skills!T17*(1+(Inputs!$B$33+IF(Inputs!$B$3&gt;=117,F855,0))/100)),MAX(0,Inputs!$B$35-((S847-1)*Skills!E17))))/Inputs!$B$35),IF(Inputs!$B$4="pvp",MIN((Skills!T17*(1+(Inputs!$B$33+IF(Inputs!$B$3&gt;=117,F855,0))/100)),15)/15,(Skills!T17*(1+(Inputs!$B$33+IF(Inputs!$B$3&gt;=117,F855,0))/100))/Skills!E17)))/100)*IF(C849=TRUE,(1+F849*IF(AND(Inputs!$B$4&lt;&gt;"pvp",Inputs!$B$35&gt;0),(((S849-1)*(Skills!T19*(1+(Inputs!$B$33+IF(Inputs!$B$3&gt;=117,F855,0))/100))+MIN((Skills!T19*(1+(Inputs!$B$33+IF(Inputs!$B$3&gt;=117,F855,0))/100)),MAX(0,Inputs!$B$35-((S849-1)*Skills!E19))))/Inputs!$B$35),IF(Inputs!$B$4="pvp",MIN((Skills!T19*(1+(Inputs!$B$33+IF(Inputs!$B$3&gt;=117,F855,0))/100)),15)/15,(Skills!T19*(1+(Inputs!$B$33+IF(Inputs!$B$3&gt;=117,F855,0))/100))/Skills!E19))/100),1)</f>
        <v>1.561765322651</v>
      </c>
    </row>
    <row r="863" spans="1:22" x14ac:dyDescent="0.2">
      <c r="A863" t="s">
        <v>225</v>
      </c>
      <c r="B863">
        <f>F848*IF(AND(Inputs!$B$4&lt;&gt;"pvp",Inputs!$B$35&gt;0),(((S848-1)*(Skills!T18*(1+(Inputs!$B$33+IF(Inputs!$B$3&gt;=117,F855,0))/100))+MIN((Skills!T18*(1+(Inputs!$B$33+IF(Inputs!$B$3&gt;=117,F855,0))/100)),MAX(0,Inputs!$B$35-((S848-1)*Skills!E18))))/Inputs!$B$35),IF(Inputs!$B$4="pvp",MIN((Skills!T18*(1+(Inputs!$B$33+IF(Inputs!$B$3&gt;=117,F855,0))/100)),15)/15,(Skills!T18*(1+(Inputs!$B$33+IF(Inputs!$B$3&gt;=117,F855,0))/100))/Skills!E18))</f>
        <v>3.75</v>
      </c>
    </row>
    <row r="864" spans="1:22" x14ac:dyDescent="0.2">
      <c r="A864" t="s">
        <v>253</v>
      </c>
      <c r="B864">
        <f>1+MIN(150,150*(1-(1-Inputs!$B$10/150)*(1-B863/150)))/100</f>
        <v>1.6371249999999999</v>
      </c>
    </row>
    <row r="865" spans="1:22" x14ac:dyDescent="0.2">
      <c r="A865" t="s">
        <v>254</v>
      </c>
      <c r="B865">
        <f>IF(AND(Inputs!$B$4&lt;&gt;"pvp",Inputs!$B$35&gt;0),SUMPRODUCT((Skills!F2:F28=TRUE)*(C832:C858=TRUE)*S832:S858)/Inputs!$B$35,SUMPRODUCT((Skills!F2:F28=TRUE)*(C832:C858=TRUE)*V832:V858))</f>
        <v>0.33466433037861604</v>
      </c>
    </row>
    <row r="866" spans="1:22" x14ac:dyDescent="0.2">
      <c r="A866" t="s">
        <v>228</v>
      </c>
      <c r="B866">
        <f>MAX(0,B864-B865)</f>
        <v>1.3024606696213838</v>
      </c>
    </row>
    <row r="867" spans="1:22" x14ac:dyDescent="0.2">
      <c r="A867" t="s">
        <v>255</v>
      </c>
      <c r="B867">
        <f>IF(AND(Inputs!$B$4&lt;&gt;"pvp",Inputs!$B$35&gt;0),SUMPRODUCT((Skills!V2:V28=TRUE)*(C832:C858=TRUE)*S832:S858*Skills!W2:W28)/Inputs!$B$35,SUMPRODUCT((Skills!V2:V28=TRUE)*(C832:C858=TRUE)*V832:V858*Skills!W2:W28))+B866</f>
        <v>1.5297416426166426</v>
      </c>
    </row>
    <row r="869" spans="1:22" x14ac:dyDescent="0.2">
      <c r="A869" s="5" t="s">
        <v>208</v>
      </c>
      <c r="B869" s="5">
        <f>SUM(O832:O858)</f>
        <v>8375006669973627</v>
      </c>
    </row>
    <row r="872" spans="1:22" x14ac:dyDescent="0.2">
      <c r="A872" s="5" t="s">
        <v>275</v>
      </c>
    </row>
    <row r="873" spans="1:22" x14ac:dyDescent="0.2">
      <c r="A873" s="8" t="s">
        <v>74</v>
      </c>
      <c r="B873" s="8" t="s">
        <v>75</v>
      </c>
      <c r="C873" s="8" t="s">
        <v>190</v>
      </c>
      <c r="D873" s="8" t="s">
        <v>191</v>
      </c>
      <c r="E873" s="8" t="s">
        <v>192</v>
      </c>
      <c r="F873" s="8" t="s">
        <v>193</v>
      </c>
      <c r="G873" s="8" t="s">
        <v>194</v>
      </c>
      <c r="H873" s="8" t="s">
        <v>195</v>
      </c>
      <c r="I873" s="8" t="s">
        <v>196</v>
      </c>
      <c r="J873" s="8" t="s">
        <v>197</v>
      </c>
      <c r="K873" s="8" t="s">
        <v>198</v>
      </c>
      <c r="L873" s="8" t="s">
        <v>199</v>
      </c>
      <c r="M873" s="8" t="s">
        <v>200</v>
      </c>
      <c r="N873" s="8" t="s">
        <v>201</v>
      </c>
      <c r="O873" s="8" t="s">
        <v>202</v>
      </c>
      <c r="P873" s="8" t="s">
        <v>203</v>
      </c>
      <c r="R873" t="s">
        <v>252</v>
      </c>
    </row>
    <row r="874" spans="1:22" x14ac:dyDescent="0.2">
      <c r="A874" t="str">
        <f>Skills!A2</f>
        <v>BASIC_ATTACK</v>
      </c>
      <c r="B874" t="str">
        <f>Skills!B2</f>
        <v>Basic Attack</v>
      </c>
      <c r="C874" t="b">
        <f>TRUE</f>
        <v>1</v>
      </c>
      <c r="F874">
        <f>T876+Skills!O2</f>
        <v>510.52</v>
      </c>
      <c r="G874">
        <f>Calc!G2</f>
        <v>5</v>
      </c>
      <c r="H874">
        <f>Calc!H2</f>
        <v>1</v>
      </c>
      <c r="I874">
        <f>IF(Skills!X2&lt;&gt;"",1+(Skills!X2/10)*(R875/1000)/100,1)</f>
        <v>1</v>
      </c>
      <c r="J874">
        <f>(((Inputs!$B$5+1)*(1+Inputs!$B$6/100))+((Inputs!$B$11*(1+Inputs!$B$12/100))-(Inputs!$B$11*(1+Inputs!$B$12/100)))*(1+Inputs!$B$6/100))*(F874/100)</f>
        <v>1275438748.349107</v>
      </c>
      <c r="K874">
        <f>J874*(1+((Inputs!$B$11*(1+Inputs!$B$12/100))*0.01+Inputs!$B$13*0.0025)/100)*(1+Inputs!$B$14/100)*(1+IF(Inputs!$B$4="pvp",0,(1-Summary!$B$56)*(Inputs!$B$19+Skills!P2)+Summary!$B$56*(Inputs!$B$20+Skills!Q2))/100)*(1+Inputs!$B$15/100)*(5000/(6000+Inputs!$B$7*(1-Inputs!$B$18/100)))*(1+Inputs!$B$23/100)*(1+F895/100)*(1+IF(Inputs!$B$3&gt;=120,F898,0)/100)^5*(1+(IF(Skills!A2="BASIC_ATTACK",Inputs!$B$16,Inputs!$B$17+IF(Inputs!$B$3&gt;=125,F899*5,0)))/100)*(B902*B903*B904*I874)</f>
        <v>6960960285705.5713</v>
      </c>
      <c r="L874">
        <f>K874*(MIN(Inputs!$B$21+(F894-Calc!F22),Inputs!$B$22)/100+Inputs!$B$22/100)/2</f>
        <v>18791112291262.188</v>
      </c>
      <c r="M874">
        <f>L874*(1+(Inputs!$B$9+(F893-Calc!F21))/100)</f>
        <v>78753551612679.844</v>
      </c>
      <c r="N874">
        <f>L874*(1-MIN(Inputs!$B$8+(F892-Calc!F20),100)/100)+M874*(MIN(Inputs!$B$8+(F892-Calc!F20),100)/100)</f>
        <v>78753551612679.844</v>
      </c>
      <c r="O874">
        <f>Skills!G2*N874*B908*IF(Inputs!$B$4="pvp",1,(1-Summary!$B$56)*(1)+Summary!$B$56*(MIN((6+Inputs!$B$32+IF(Inputs!$B$3&gt;=136,1,0)),Inputs!$B$37)))</f>
        <v>3897789335603502</v>
      </c>
      <c r="P874">
        <f>IF(B911=0,0,O874/B911)</f>
        <v>0.46738363090508694</v>
      </c>
      <c r="R874">
        <f>MAX(0,(Inputs!$B$3-100)*3)+Inputs!$B$27+Inputs!$B$28</f>
        <v>172</v>
      </c>
      <c r="S874">
        <v>0</v>
      </c>
      <c r="T874">
        <f>MAX(0,(Inputs!$B$3-100)*3)+Inputs!$B$27+Inputs!$B$28</f>
        <v>172</v>
      </c>
      <c r="V874">
        <f>IFERROR(1/IF(Inputs!$B$4="pvp",15,MAX(0.1,Skills!E2-IF(Skills!F2=TRUE,Inputs!$B$31,0))),0)</f>
        <v>10</v>
      </c>
    </row>
    <row r="875" spans="1:22" x14ac:dyDescent="0.2">
      <c r="A875" t="str">
        <f>Skills!A3</f>
        <v>IGNITE</v>
      </c>
      <c r="B875" t="str">
        <f>Skills!B3</f>
        <v>Ignite</v>
      </c>
      <c r="C875" t="b">
        <f>TRUE</f>
        <v>1</v>
      </c>
      <c r="D875">
        <f>IF(Skills!C3=1,60+Inputs!$B$24+Inputs!$B$28,IF(Skills!C3=2,90+Inputs!$B$25+Inputs!$B$28,IF(Skills!C3=3,120+Inputs!$B$26+Inputs!$B$28,MAX(0,(Inputs!$B$3-100)*3)+Inputs!$B$27+Inputs!$B$28)))</f>
        <v>164</v>
      </c>
      <c r="E875">
        <f>INDEX(FactorTable!$B$2:$Y$301, MATCH(ROUND(MIN(300,MAX(1,D875)),0), FactorTable!$A$2:$A$301,0), Skills!M3+1)</f>
        <v>1656</v>
      </c>
      <c r="F875">
        <f>IF(Skills!N3=TRUE,(Skills!L3/10)*(E875/1000),Skills!L3/10)+Skills!O3</f>
        <v>121.52799999999999</v>
      </c>
      <c r="G875">
        <f>Calc!G3</f>
        <v>3</v>
      </c>
      <c r="H875">
        <f>Calc!H3</f>
        <v>1</v>
      </c>
      <c r="I875">
        <f>IF(Skills!X3&lt;&gt;"",1+(Skills!X3/10)*(R875/1000)/100,1)</f>
        <v>4.76</v>
      </c>
      <c r="J875">
        <f>(((Inputs!$B$5+1)*(1+Inputs!$B$6/100))+((Inputs!$B$11*(1+Inputs!$B$12/100))-(Inputs!$B$11*(1+Inputs!$B$12/100)))*(1+Inputs!$B$6/100))*(F875/100)</f>
        <v>303614981.21399802</v>
      </c>
      <c r="K875">
        <f>J875*(1+((Inputs!$B$11*(1+Inputs!$B$12/100))*0.01+Inputs!$B$13*0.0025)/100)*(1+Inputs!$B$14/100)*(1+IF(Inputs!$B$4="pvp",0,(1-Summary!$B$56)*(Inputs!$B$19+Skills!P3)+Summary!$B$56*(Inputs!$B$20+Skills!Q3))/100)*(1+Inputs!$B$15/100)*(5000/(6000+Inputs!$B$7*(1-Inputs!$B$18/100)))*(1+Inputs!$B$23/100)*(1+F895/100)*(1+IF(Inputs!$B$3&gt;=120,F898,0)/100)^5*(1+(IF(Skills!A3="BASIC_ATTACK",Inputs!$B$16,Inputs!$B$17+IF(Inputs!$B$3&gt;=125,F899*5,0)))/100)*(B902*B903*B904*I875)</f>
        <v>10995024209230.232</v>
      </c>
      <c r="L875">
        <f>K875*(MIN(Inputs!$B$21+(F894-Calc!F22),Inputs!$B$22)/100+Inputs!$B$22/100)/2</f>
        <v>29681067852817.008</v>
      </c>
      <c r="M875">
        <f>L875*(1+(Inputs!$B$9+(F893-Calc!F21))/100)</f>
        <v>124393355371156.09</v>
      </c>
      <c r="N875">
        <f>L875*(1-MIN(Inputs!$B$8+(F892-Calc!F20),100)/100)+M875*(MIN(Inputs!$B$8+(F892-Calc!F20),100)/100)</f>
        <v>124393355371156.09</v>
      </c>
      <c r="O875">
        <f>IF(C875,H875*N875*IF(AND(Inputs!$B$4&lt;&gt;"pvp",Inputs!$B$35&gt;0),((Skills!G3*((S875-1)*IF(Skills!H3&gt;0,Skills!I3/Skills!H3,1)+IF(Skills!H3&gt;0,MIN(Skills!I3,MAX(0,Inputs!$B$35-((S875-1)*IF(Inputs!$B$4="pvp",15,MAX(0.1,Skills!E3-IF(Skills!F3=TRUE,Inputs!$B$31,0))))))/Skills!H3,1)))/Inputs!$B$35),G875*V875)*IF(Inputs!$B$4="pvp",1,(1-Summary!$B$56)*(1)+Summary!$B$56*(MIN(Skills!R3,Inputs!$B$37))),0)</f>
        <v>820996145449630</v>
      </c>
      <c r="P875">
        <f>IF(B911=0,0,O875/B911)</f>
        <v>9.8445587070168539E-2</v>
      </c>
      <c r="R875">
        <f>INDEX(FactorTable!$B$2:$Y$301, MATCH(ROUND(MIN(300,MAX(1,R874)),0), FactorTable!$A$2:$A$301,0), 24)</f>
        <v>7520</v>
      </c>
      <c r="S875">
        <f>IF(AND(Inputs!$B$4&lt;&gt;"pvp",Inputs!$B$35&gt;0),(INT(Inputs!$B$35/IF(Inputs!$B$4="pvp",15,MAX(0.1,Skills!E3-IF(Skills!F3=TRUE,Inputs!$B$31,0))))+1),0)</f>
        <v>0</v>
      </c>
      <c r="T875">
        <f>INDEX(FactorTable!$B$2:$Y$301, MATCH(ROUND(MIN(300,MAX(1,T874)),0), FactorTable!$A$2:$A$301,0), 22)</f>
        <v>1688</v>
      </c>
      <c r="V875">
        <f>IFERROR(1/IF(Inputs!$B$4="pvp",15,MAX(0.1,Skills!E3-IF(Skills!F3=TRUE,Inputs!$B$31,0))),0)</f>
        <v>1</v>
      </c>
    </row>
    <row r="876" spans="1:22" x14ac:dyDescent="0.2">
      <c r="A876" t="str">
        <f>Skills!A4</f>
        <v>POISON_BREATH</v>
      </c>
      <c r="B876" t="str">
        <f>Skills!B4</f>
        <v>Poison Breath</v>
      </c>
      <c r="C876" t="b">
        <f>TRUE</f>
        <v>1</v>
      </c>
      <c r="D876">
        <f>IF(Skills!C4=1,60+Inputs!$B$24+Inputs!$B$28,IF(Skills!C4=2,90+Inputs!$B$25+Inputs!$B$28,IF(Skills!C4=3,120+Inputs!$B$26+Inputs!$B$28,MAX(0,(Inputs!$B$3-100)*3)+Inputs!$B$27+Inputs!$B$28)))</f>
        <v>164</v>
      </c>
      <c r="E876">
        <f>INDEX(FactorTable!$B$2:$Y$301, MATCH(ROUND(MIN(300,MAX(1,D876)),0), FactorTable!$A$2:$A$301,0), Skills!M4+1)</f>
        <v>1820</v>
      </c>
      <c r="F876">
        <f>IF(Skills!N4=TRUE,(Skills!L4/10)*(E876/1000),Skills!L4/10)+Skills!O4</f>
        <v>434</v>
      </c>
      <c r="G876">
        <f>Calc!G4</f>
        <v>3</v>
      </c>
      <c r="H876">
        <f>Calc!H4</f>
        <v>1</v>
      </c>
      <c r="I876">
        <f>IF(Skills!X4&lt;&gt;"",1+(Skills!X4/10)*(R875/1000)/100,1)</f>
        <v>7.0159999999999991</v>
      </c>
      <c r="J876">
        <f>(((Inputs!$B$5+1)*(1+Inputs!$B$6/100))+((Inputs!$B$11*(1+Inputs!$B$12/100))-(Inputs!$B$11*(1+Inputs!$B$12/100)))*(1+Inputs!$B$6/100))*(F876/100)</f>
        <v>1084267838.2502398</v>
      </c>
      <c r="K876">
        <f>J876*(1+((Inputs!$B$11*(1+Inputs!$B$12/100))*0.01+Inputs!$B$13*0.0025)/100)*(1+Inputs!$B$14/100)*(1+IF(Inputs!$B$4="pvp",0,(1-Summary!$B$56)*(Inputs!$B$19+Skills!P4)+Summary!$B$56*(Inputs!$B$20+Skills!Q4))/100)*(1+Inputs!$B$15/100)*(5000/(6000+Inputs!$B$7*(1-Inputs!$B$18/100)))*(1+Inputs!$B$23/100)*(1+F895/100)*(1+IF(Inputs!$B$3&gt;=120,F898,0)/100)^5*(1+(IF(Skills!A4="BASIC_ATTACK",Inputs!$B$16,Inputs!$B$17+IF(Inputs!$B$3&gt;=125,F899*5,0)))/100)*(B902*B903*B904*I876)</f>
        <v>57875158893683.633</v>
      </c>
      <c r="L876">
        <f>K876*(MIN(Inputs!$B$21+(F894-Calc!F22),Inputs!$B$22)/100+Inputs!$B$22/100)/2</f>
        <v>156233991433498.94</v>
      </c>
      <c r="M876">
        <f>L876*(1+(Inputs!$B$9+(F893-Calc!F21))/100)</f>
        <v>654776658097794.12</v>
      </c>
      <c r="N876">
        <f>L876*(1-MIN(Inputs!$B$8+(F892-Calc!F20),100)/100)+M876*(MIN(Inputs!$B$8+(F892-Calc!F20),100)/100)</f>
        <v>654776658097794.12</v>
      </c>
      <c r="O876">
        <f>IF(C876,H876*N876*IF(AND(Inputs!$B$4&lt;&gt;"pvp",Inputs!$B$35&gt;0),((Skills!G4*((S876-1)*IF(Skills!H4&gt;0,Skills!I4/Skills!H4,1)+IF(Skills!H4&gt;0,MIN(Skills!I4,MAX(0,Inputs!$B$35-((S876-1)*IF(Inputs!$B$4="pvp",15,MAX(0.1,Skills!E4-IF(Skills!F4=TRUE,Inputs!$B$31,0))))))/Skills!H4,1)))/Inputs!$B$35),G876*V876)*IF(Inputs!$B$4="pvp",1,(1-Summary!$B$56)*(1)+Summary!$B$56*(MIN(Skills!R4,Inputs!$B$37))),0)</f>
        <v>436517772065196</v>
      </c>
      <c r="P876">
        <f>IF(B911=0,0,O876/B911)</f>
        <v>5.2342813758261116E-2</v>
      </c>
      <c r="S876">
        <f>IF(AND(Inputs!$B$4&lt;&gt;"pvp",Inputs!$B$35&gt;0),(INT(Inputs!$B$35/IF(Inputs!$B$4="pvp",15,MAX(0.1,Skills!E4-IF(Skills!F4=TRUE,Inputs!$B$31,0))))+1),0)</f>
        <v>0</v>
      </c>
      <c r="T876">
        <f>290*T875/1000</f>
        <v>489.52</v>
      </c>
      <c r="V876">
        <f>IFERROR(1/IF(Inputs!$B$4="pvp",15,MAX(0.1,Skills!E4-IF(Skills!F4=TRUE,Inputs!$B$31,0))),0)</f>
        <v>5.5555555555555552E-2</v>
      </c>
    </row>
    <row r="877" spans="1:22" x14ac:dyDescent="0.2">
      <c r="A877" t="str">
        <f>Skills!A5</f>
        <v>ELEMENTAL_DRAIN</v>
      </c>
      <c r="B877" t="str">
        <f>Skills!B5</f>
        <v>Elemental Drain</v>
      </c>
      <c r="C877" t="b">
        <f>TRUE</f>
        <v>1</v>
      </c>
      <c r="D877">
        <f>IF(Skills!C5=1,60+Inputs!$B$24+Inputs!$B$28,IF(Skills!C5=2,90+Inputs!$B$25+Inputs!$B$28,IF(Skills!C5=3,120+Inputs!$B$26+Inputs!$B$28,MAX(0,(Inputs!$B$3-100)*3)+Inputs!$B$27+Inputs!$B$28)))</f>
        <v>164</v>
      </c>
      <c r="E877">
        <f>INDEX(FactorTable!$B$2:$Y$301, MATCH(ROUND(MIN(300,MAX(1,D877)),0), FactorTable!$A$2:$A$301,0), Skills!M5+1)</f>
        <v>1656</v>
      </c>
      <c r="F877">
        <f>IF(Skills!N5=TRUE,(Skills!L5/10)*(E877/1000),Skills!L5/10)+Skills!O5</f>
        <v>19.872</v>
      </c>
      <c r="G877">
        <f>Calc!G5</f>
        <v>5</v>
      </c>
      <c r="H877">
        <f>Calc!H5</f>
        <v>1</v>
      </c>
      <c r="I877">
        <f>IF(Skills!X5&lt;&gt;"",1+(Skills!X5/10)*(R875/1000)/100,1)</f>
        <v>12.28</v>
      </c>
      <c r="J877">
        <f>(((Inputs!$B$5+1)*(1+Inputs!$B$6/100))+((Inputs!$B$11*(1+Inputs!$B$12/100))-(Inputs!$B$11*(1+Inputs!$B$12/100)))*(1+Inputs!$B$6/100))*(F877/100)</f>
        <v>49646475.764305919</v>
      </c>
      <c r="K877">
        <f>J877*(1+((Inputs!$B$11*(1+Inputs!$B$12/100))*0.01+Inputs!$B$13*0.0025)/100)*(1+Inputs!$B$14/100)*(1+IF(Inputs!$B$4="pvp",0,(1-Summary!$B$56)*(Inputs!$B$19+Skills!P5)+Summary!$B$56*(Inputs!$B$20+Skills!Q5))/100)*(1+Inputs!$B$15/100)*(5000/(6000+Inputs!$B$7*(1-Inputs!$B$18/100)))*(1+Inputs!$B$23/100)*(1+F895/100)*(1+IF(Inputs!$B$3&gt;=120,F898,0)/100)^5*(1+(IF(Skills!A5="BASIC_ATTACK",Inputs!$B$16,Inputs!$B$17+IF(Inputs!$B$3&gt;=125,F899*5,0)))/100)*(B902*B903*B904*I877)</f>
        <v>4638235886943.4902</v>
      </c>
      <c r="L877">
        <f>K877*(MIN(Inputs!$B$21+(F894-Calc!F22),Inputs!$B$22)/100+Inputs!$B$22/100)/2</f>
        <v>12520917776803.949</v>
      </c>
      <c r="M877">
        <f>L877*(1+(Inputs!$B$9+(F893-Calc!F21))/100)</f>
        <v>52475166402585.359</v>
      </c>
      <c r="N877">
        <f>L877*(1-MIN(Inputs!$B$8+(F892-Calc!F20),100)/100)+M877*(MIN(Inputs!$B$8+(F892-Calc!F20),100)/100)</f>
        <v>52475166402585.359</v>
      </c>
      <c r="O877">
        <f>IF(C877,H877*N877*IF(AND(Inputs!$B$4&lt;&gt;"pvp",Inputs!$B$35&gt;0),((Skills!G5*((S877-1)*IF(Skills!H5&gt;0,Skills!I5/Skills!H5,1)+IF(Skills!H5&gt;0,MIN(Skills!I5,MAX(0,Inputs!$B$35-((S877-1)*IF(Inputs!$B$4="pvp",15,MAX(0.1,Skills!E5-IF(Skills!F5=TRUE,Inputs!$B$31,0))))))/Skills!H5,1)))/Inputs!$B$35),G877*V877)*IF(Inputs!$B$4="pvp",1,(1-Summary!$B$56)*(1)+Summary!$B$56*(MIN(Skills!R5,Inputs!$B$37))),0)</f>
        <v>262375832012926.81</v>
      </c>
      <c r="P877">
        <f>IF(B911=0,0,O877/B911)</f>
        <v>3.1461466608214687E-2</v>
      </c>
      <c r="S877">
        <f>IF(AND(Inputs!$B$4&lt;&gt;"pvp",Inputs!$B$35&gt;0),(INT(Inputs!$B$35/IF(Inputs!$B$4="pvp",15,MAX(0.1,Skills!E5-IF(Skills!F5=TRUE,Inputs!$B$31,0))))+1),0)</f>
        <v>0</v>
      </c>
      <c r="V877">
        <f>IFERROR(1/IF(Inputs!$B$4="pvp",15,MAX(0.1,Skills!E5-IF(Skills!F5=TRUE,Inputs!$B$31,0))),0)</f>
        <v>1</v>
      </c>
    </row>
    <row r="878" spans="1:22" x14ac:dyDescent="0.2">
      <c r="A878" t="str">
        <f>Skills!A6</f>
        <v>MEDITATION</v>
      </c>
      <c r="B878" t="str">
        <f>Skills!B6</f>
        <v>Meditation</v>
      </c>
      <c r="C878" t="b">
        <f>TRUE</f>
        <v>1</v>
      </c>
      <c r="D878">
        <f>IF(Skills!C6=1,60+Inputs!$B$24+Inputs!$B$28,IF(Skills!C6=2,90+Inputs!$B$25+Inputs!$B$28,IF(Skills!C6=3,120+Inputs!$B$26+Inputs!$B$28,MAX(0,(Inputs!$B$3-100)*3)+Inputs!$B$27+Inputs!$B$28)))</f>
        <v>164</v>
      </c>
      <c r="E878">
        <f>INDEX(FactorTable!$B$2:$Y$301, MATCH(ROUND(MIN(300,MAX(1,D878)),0), FactorTable!$A$2:$A$301,0), Skills!M6+1)</f>
        <v>1492</v>
      </c>
      <c r="F878">
        <f>IF(Skills!N6=TRUE,(Skills!L6/10)*(E878/1000),Skills!L6/10)+Skills!O6</f>
        <v>29.84</v>
      </c>
      <c r="G878">
        <f>Calc!G6</f>
        <v>1</v>
      </c>
      <c r="H878">
        <f>Calc!H6</f>
        <v>1</v>
      </c>
      <c r="I878">
        <f>IF(Skills!X6&lt;&gt;"",1+(Skills!X6/10)*(R875/1000)/100,1)</f>
        <v>1</v>
      </c>
      <c r="O878">
        <v>0</v>
      </c>
      <c r="P878">
        <f>IF(B911=0,0,O878/B911)</f>
        <v>0</v>
      </c>
      <c r="S878">
        <f>IF(AND(Inputs!$B$4&lt;&gt;"pvp",Inputs!$B$35&gt;0),(INT(Inputs!$B$35/IF(Inputs!$B$4="pvp",15,MAX(0.1,Skills!E6-IF(Skills!F6=TRUE,Inputs!$B$31,0))))+1),0)</f>
        <v>0</v>
      </c>
      <c r="V878">
        <f>IFERROR(1/IF(Inputs!$B$4="pvp",15,MAX(0.1,Skills!E6-IF(Skills!F6=TRUE,Inputs!$B$31,0))),0)</f>
        <v>3.3333333333333333E-2</v>
      </c>
    </row>
    <row r="879" spans="1:22" x14ac:dyDescent="0.2">
      <c r="A879" t="str">
        <f>Skills!A7</f>
        <v>POISON_MIST_BURST</v>
      </c>
      <c r="B879" t="str">
        <f>Skills!B7</f>
        <v>Poison Mist (burst)</v>
      </c>
      <c r="C879" t="b">
        <f>TRUE</f>
        <v>1</v>
      </c>
      <c r="D879">
        <f>IF(Skills!C7=1,60+Inputs!$B$24+Inputs!$B$28,IF(Skills!C7=2,90+Inputs!$B$25+Inputs!$B$28,IF(Skills!C7=3,120+Inputs!$B$26+Inputs!$B$28,MAX(0,(Inputs!$B$3-100)*3)+Inputs!$B$27+Inputs!$B$28)))</f>
        <v>184</v>
      </c>
      <c r="E879">
        <f>INDEX(FactorTable!$B$2:$Y$301, MATCH(ROUND(MIN(300,MAX(1,D879)),0), FactorTable!$A$2:$A$301,0), Skills!M7+1)</f>
        <v>1920</v>
      </c>
      <c r="F879">
        <f>IF(Skills!N7=TRUE,(Skills!L7/10)*(E879/1000),Skills!L7/10)+Skills!O7</f>
        <v>357.2</v>
      </c>
      <c r="G879">
        <f>Calc!G7</f>
        <v>3</v>
      </c>
      <c r="H879">
        <f>Calc!H7</f>
        <v>1</v>
      </c>
      <c r="I879">
        <f>IF(Skills!X7&lt;&gt;"",1+(Skills!X7/10)*(R875/1000)/100,1)</f>
        <v>1.7519999999999998</v>
      </c>
      <c r="J879">
        <f>(((Inputs!$B$5+1)*(1+Inputs!$B$6/100))+((Inputs!$B$11*(1+Inputs!$B$12/100))-(Inputs!$B$11*(1+Inputs!$B$12/100)))*(1+Inputs!$B$6/100))*(F879/100)</f>
        <v>892397400.51379192</v>
      </c>
      <c r="K879">
        <f>J879*(1+((Inputs!$B$11*(1+Inputs!$B$12/100))*0.01+Inputs!$B$13*0.0025)/100)*(1+Inputs!$B$14/100)*(1+IF(Inputs!$B$4="pvp",0,(1-Summary!$B$56)*(Inputs!$B$19+Skills!P7)+Summary!$B$56*(Inputs!$B$20+Skills!Q7))/100)*(1+Inputs!$B$15/100)*(5000/(6000+Inputs!$B$7*(1-Inputs!$B$18/100)))*(1+Inputs!$B$23/100)*(1+F895/100)*(1+IF(Inputs!$B$3&gt;=120,F898,0)/100)^5*(1+(IF(Skills!A7="BASIC_ATTACK",Inputs!$B$16,Inputs!$B$17+IF(Inputs!$B$3&gt;=125,F899*5,0)))/100)*(B902*B903*B904*I879)</f>
        <v>11894835451146.32</v>
      </c>
      <c r="L879">
        <f>K879*(MIN(Inputs!$B$21+(F894-Calc!F22),Inputs!$B$22)/100+Inputs!$B$22/100)/2</f>
        <v>32110108300369.488</v>
      </c>
      <c r="M879">
        <f>L879*(1+(Inputs!$B$9+(F893-Calc!F21))/100)</f>
        <v>134573463886848.55</v>
      </c>
      <c r="N879">
        <f>L879*(1-MIN(Inputs!$B$8+(F892-Calc!F20),100)/100)+M879*(MIN(Inputs!$B$8+(F892-Calc!F20),100)/100)</f>
        <v>134573463886848.55</v>
      </c>
      <c r="O879">
        <f>IF(C879,H879*N879*IF(AND(Inputs!$B$4&lt;&gt;"pvp",Inputs!$B$35&gt;0),((Skills!G7*((S879-1)*IF(Skills!H7&gt;0,Skills!I7/Skills!H7,1)+IF(Skills!H7&gt;0,MIN(Skills!I7,MAX(0,Inputs!$B$35-((S879-1)*IF(Inputs!$B$4="pvp",15,MAX(0.1,Skills!E7-IF(Skills!F7=TRUE,Inputs!$B$31,0))))))/Skills!H7,1)))/Inputs!$B$35),G879*V879)*IF(Inputs!$B$4="pvp",1,(1-Summary!$B$56)*(1)+Summary!$B$56*(MIN(Skills!R7,Inputs!$B$37))),0)</f>
        <v>105461653331734.38</v>
      </c>
      <c r="P879">
        <f>IF(B911=0,0,O879/B911)</f>
        <v>1.2645899049802739E-2</v>
      </c>
      <c r="S879">
        <f>IF(AND(Inputs!$B$4&lt;&gt;"pvp",Inputs!$B$35&gt;0),(INT(Inputs!$B$35/IF(Inputs!$B$4="pvp",15,MAX(0.1,Skills!E7-IF(Skills!F7=TRUE,Inputs!$B$31,0))))+1),0)</f>
        <v>0</v>
      </c>
      <c r="V879">
        <f>IFERROR(1/IF(Inputs!$B$4="pvp",15,MAX(0.1,Skills!E7-IF(Skills!F7=TRUE,Inputs!$B$31,0))),0)</f>
        <v>4.0816326530612242E-2</v>
      </c>
    </row>
    <row r="880" spans="1:22" x14ac:dyDescent="0.2">
      <c r="A880" t="str">
        <f>Skills!A8</f>
        <v>POISON_MIST_DOT</v>
      </c>
      <c r="B880" t="str">
        <f>Skills!B8</f>
        <v>Poison Mist (fog DoT)</v>
      </c>
      <c r="C880" t="b">
        <f>TRUE</f>
        <v>1</v>
      </c>
      <c r="D880">
        <f>IF(Skills!C8=1,60+Inputs!$B$24+Inputs!$B$28,IF(Skills!C8=2,90+Inputs!$B$25+Inputs!$B$28,IF(Skills!C8=3,120+Inputs!$B$26+Inputs!$B$28,MAX(0,(Inputs!$B$3-100)*3)+Inputs!$B$27+Inputs!$B$28)))</f>
        <v>184</v>
      </c>
      <c r="E880">
        <f>INDEX(FactorTable!$B$2:$Y$301, MATCH(ROUND(MIN(300,MAX(1,D880)),0), FactorTable!$A$2:$A$301,0), Skills!M8+1)</f>
        <v>1920</v>
      </c>
      <c r="F880">
        <f>IF(Skills!N8=TRUE,(Skills!L8/10)*(E880/1000),Skills!L8/10)+Skills!O8</f>
        <v>134.4</v>
      </c>
      <c r="G880">
        <f>Calc!G8</f>
        <v>50</v>
      </c>
      <c r="H880">
        <f>Calc!H8</f>
        <v>1</v>
      </c>
      <c r="I880">
        <f>IF(Skills!X8&lt;&gt;"",1+(Skills!X8/10)*(R875/1000)/100,1)</f>
        <v>1.7519999999999998</v>
      </c>
      <c r="J880">
        <f>(((Inputs!$B$5+1)*(1+Inputs!$B$6/100))+((Inputs!$B$11*(1+Inputs!$B$12/100))-(Inputs!$B$11*(1+Inputs!$B$12/100)))*(1+Inputs!$B$6/100))*(F880/100)</f>
        <v>335773266.03878397</v>
      </c>
      <c r="K880">
        <f>J880*(1+((Inputs!$B$11*(1+Inputs!$B$12/100))*0.01+Inputs!$B$13*0.0025)/100)*(1+Inputs!$B$14/100)*(1+IF(Inputs!$B$4="pvp",0,(1-Summary!$B$56)*(Inputs!$B$19+Skills!P8)+Summary!$B$56*(Inputs!$B$20+Skills!Q8))/100)*(1+Inputs!$B$15/100)*(5000/(6000+Inputs!$B$7*(1-Inputs!$B$18/100)))*(1+Inputs!$B$23/100)*(1+F895/100)*(1+IF(Inputs!$B$3&gt;=120,F898,0)/100)^5*(1+(IF(Skills!A8="BASIC_ATTACK",Inputs!$B$16,Inputs!$B$17+IF(Inputs!$B$3&gt;=125,F899*5,0)))/100)*(B902*B903*B904*I880)</f>
        <v>4475548389233.1074</v>
      </c>
      <c r="L880">
        <f>K880*(MIN(Inputs!$B$21+(F894-Calc!F22),Inputs!$B$22)/100+Inputs!$B$22/100)/2</f>
        <v>12081742876734.771</v>
      </c>
      <c r="M880">
        <f>L880*(1+(Inputs!$B$9+(F893-Calc!F21))/100)</f>
        <v>50634584396395.438</v>
      </c>
      <c r="N880">
        <f>L880*(1-MIN(Inputs!$B$8+(F892-Calc!F20),100)/100)+M880*(MIN(Inputs!$B$8+(F892-Calc!F20),100)/100)</f>
        <v>50634584396395.438</v>
      </c>
      <c r="O880">
        <f>IF(C880,H880*N880*IF(AND(Inputs!$B$4&lt;&gt;"pvp",Inputs!$B$35&gt;0),((Skills!G8*((S880-1)*IF(Skills!H8&gt;0,Skills!I8/Skills!H8,1)+IF(Skills!H8&gt;0,MIN(Skills!I8,MAX(0,Inputs!$B$35-((S880-1)*IF(Inputs!$B$4="pvp",15,MAX(0.1,Skills!E8-IF(Skills!F8=TRUE,Inputs!$B$31,0))))))/Skills!H8,1)))/Inputs!$B$35),G880*V880)*IF(Inputs!$B$4="pvp",1,(1-Summary!$B$56)*(1)+Summary!$B$56*(MIN(Skills!R8,Inputs!$B$37))),0)</f>
        <v>661349673748838.38</v>
      </c>
      <c r="P880">
        <f>IF(B911=0,0,O880/B911)</f>
        <v>7.9302390457889532E-2</v>
      </c>
      <c r="S880">
        <f>IF(AND(Inputs!$B$4&lt;&gt;"pvp",Inputs!$B$35&gt;0),(INT(Inputs!$B$35/IF(Inputs!$B$4="pvp",15,MAX(0.1,Skills!E8-IF(Skills!F8=TRUE,Inputs!$B$31,0))))+1),0)</f>
        <v>0</v>
      </c>
      <c r="V880">
        <f>IFERROR(1/IF(Inputs!$B$4="pvp",15,MAX(0.1,Skills!E8-IF(Skills!F8=TRUE,Inputs!$B$31,0))),0)</f>
        <v>4.0816326530612242E-2</v>
      </c>
    </row>
    <row r="881" spans="1:22" x14ac:dyDescent="0.2">
      <c r="A881" t="str">
        <f>Skills!A9</f>
        <v>MIST_ERUPTION</v>
      </c>
      <c r="B881" t="str">
        <f>Skills!B9</f>
        <v>Mist Eruption</v>
      </c>
      <c r="C881" t="b">
        <f>Inputs!$B$3&gt;=103</f>
        <v>1</v>
      </c>
      <c r="D881">
        <f>IF(Skills!C9=1,60+Inputs!$B$24+Inputs!$B$28,IF(Skills!C9=2,90+Inputs!$B$25+Inputs!$B$28,IF(Skills!C9=3,120+Inputs!$B$26+Inputs!$B$28,MAX(0,(Inputs!$B$3-100)*3)+Inputs!$B$27+Inputs!$B$28)))</f>
        <v>172</v>
      </c>
      <c r="E881">
        <f>INDEX(FactorTable!$B$2:$Y$301, MATCH(ROUND(MIN(300,MAX(1,D881)),0), FactorTable!$A$2:$A$301,0), Skills!M9+1)</f>
        <v>1860</v>
      </c>
      <c r="F881">
        <f>IF(Skills!N9=TRUE,(Skills!L9/10)*(E881/1000),Skills!L9/10)+Skills!O9</f>
        <v>5580</v>
      </c>
      <c r="G881">
        <f>Calc!G9</f>
        <v>2.8</v>
      </c>
      <c r="H881">
        <f>Calc!H9</f>
        <v>1</v>
      </c>
      <c r="I881">
        <f>IF(Skills!X9&lt;&gt;"",1+(Skills!X9/10)*(R875/1000)/100,1)</f>
        <v>1</v>
      </c>
      <c r="J881">
        <f>(((Inputs!$B$5+1)*(1+Inputs!$B$6/100))+((Inputs!$B$11*(1+Inputs!$B$12/100))-(Inputs!$B$11*(1+Inputs!$B$12/100)))*(1+Inputs!$B$6/100))*(F881/100)</f>
        <v>13940586491.788797</v>
      </c>
      <c r="K881">
        <f>J881*(1+((Inputs!$B$11*(1+Inputs!$B$12/100))*0.01+Inputs!$B$13*0.0025)/100)*(1+Inputs!$B$14/100)*(1+IF(Inputs!$B$4="pvp",0,(1-Summary!$B$56)*(Inputs!$B$19+Skills!P9)+Summary!$B$56*(Inputs!$B$20+Skills!Q9))/100)*(1+Inputs!$B$15/100)*(5000/(6000+Inputs!$B$7*(1-Inputs!$B$18/100)))*(1+Inputs!$B$23/100)*(1+F895/100)*(1+IF(Inputs!$B$3&gt;=120,F898,0)/100)^5*(1+(IF(Skills!A9="BASIC_ATTACK",Inputs!$B$16,Inputs!$B$17+IF(Inputs!$B$3&gt;=125,F899*5,0)))/100)*(B902*B903*B904*I881)</f>
        <v>106058891929294.86</v>
      </c>
      <c r="L881">
        <f>K881*(MIN(Inputs!$B$21+(F894-Calc!F22),Inputs!$B$22)/100+Inputs!$B$22/100)/2</f>
        <v>286305978763131.44</v>
      </c>
      <c r="M881">
        <f>L881*(1+(Inputs!$B$9+(F893-Calc!F21))/100)</f>
        <v>1199908356996284</v>
      </c>
      <c r="N881">
        <f>L881*(1-MIN(Inputs!$B$8+(F892-Calc!F20),100)/100)+M881*(MIN(Inputs!$B$8+(F892-Calc!F20),100)/100)</f>
        <v>1199908356996284</v>
      </c>
      <c r="O881">
        <f>IF(C881,H881*N881*IF(AND(Inputs!$B$4&lt;&gt;"pvp",Inputs!$B$35&gt;0),((Skills!G9*((S881-1)*IF(Skills!H9&gt;0,Skills!I9/Skills!H9,1)+IF(Skills!H9&gt;0,MIN(Skills!I9,MAX(0,Inputs!$B$35-((S881-1)*IF(Inputs!$B$4="pvp",15,MAX(0.1,Skills!E9-IF(Skills!F7=TRUE,Inputs!$B$31,0))))))/Skills!H9,1)))/Inputs!$B$35),G881*V881)*IF(Inputs!$B$4="pvp",1,(1-Summary!$B$56)*(1)+Summary!$B$56*(MIN(Skills!R9,Inputs!$B$37))),0)</f>
        <v>877647255402996.25</v>
      </c>
      <c r="P881">
        <f>IF(B911=0,0,O881/B911)</f>
        <v>0.10523861747408288</v>
      </c>
      <c r="S881">
        <f>IF(AND(Inputs!$B$4&lt;&gt;"pvp",Inputs!$B$35&gt;0),(INT(Inputs!$B$35/IF(Inputs!$B$4="pvp",15,MAX(0.1,Skills!E9-IF(Skills!F7=TRUE,Inputs!$B$31,0))))+1),0)</f>
        <v>0</v>
      </c>
      <c r="V881">
        <f>IFERROR(1/IF(Inputs!$B$4="pvp",15,MAX(0.1,Skills!E9-IF(Skills!F7=TRUE,Inputs!$B$31,0))),0)</f>
        <v>4.0816326530612242E-2</v>
      </c>
    </row>
    <row r="882" spans="1:22" x14ac:dyDescent="0.2">
      <c r="A882" t="str">
        <f>Skills!A10</f>
        <v>CREEPING_TOXIN</v>
      </c>
      <c r="B882" t="str">
        <f>Skills!B10</f>
        <v>Creeping Toxin</v>
      </c>
      <c r="C882" t="b">
        <f>TRUE</f>
        <v>1</v>
      </c>
      <c r="D882">
        <f>IF(Skills!C10=1,60+Inputs!$B$24+Inputs!$B$28,IF(Skills!C10=2,90+Inputs!$B$25+Inputs!$B$28,IF(Skills!C10=3,120+Inputs!$B$26+Inputs!$B$28,MAX(0,(Inputs!$B$3-100)*3)+Inputs!$B$27+Inputs!$B$28)))</f>
        <v>184</v>
      </c>
      <c r="E882">
        <f>INDEX(FactorTable!$B$2:$Y$301, MATCH(ROUND(MIN(300,MAX(1,D882)),0), FactorTable!$A$2:$A$301,0), Skills!M10+1)</f>
        <v>1920</v>
      </c>
      <c r="F882">
        <f>IF(Skills!N10=TRUE,(Skills!L10/10)*(E882/1000),Skills!L10/10)+Skills!O10</f>
        <v>280.39999999999998</v>
      </c>
      <c r="G882">
        <f>Calc!G10</f>
        <v>15</v>
      </c>
      <c r="H882">
        <f>Calc!H10</f>
        <v>1</v>
      </c>
      <c r="I882">
        <f>IF(Skills!X10&lt;&gt;"",1+(Skills!X10/10)*(R875/1000)/100,1)</f>
        <v>1.7519999999999998</v>
      </c>
      <c r="J882">
        <f>(((Inputs!$B$5+1)*(1+Inputs!$B$6/100))+((Inputs!$B$11*(1+Inputs!$B$12/100))-(Inputs!$B$11*(1+Inputs!$B$12/100)))*(1+Inputs!$B$6/100))*(F882/100)</f>
        <v>700526962.77734387</v>
      </c>
      <c r="K882">
        <f>J882*(1+((Inputs!$B$11*(1+Inputs!$B$12/100))*0.01+Inputs!$B$13*0.0025)/100)*(1+Inputs!$B$14/100)*(1+IF(Inputs!$B$4="pvp",0,(1-Summary!$B$56)*(Inputs!$B$19+Skills!P10)+Summary!$B$56*(Inputs!$B$20+Skills!Q10))/100)*(1+Inputs!$B$15/100)*(5000/(6000+Inputs!$B$7*(1-Inputs!$B$18/100)))*(1+Inputs!$B$23/100)*(1+F895/100)*(1+IF(Inputs!$B$3&gt;=120,F898,0)/100)^5*(1+(IF(Skills!A10="BASIC_ATTACK",Inputs!$B$16,Inputs!$B$17+IF(Inputs!$B$3&gt;=125,F899*5,0)))/100)*(B902*B903*B904*I882)</f>
        <v>11018780050226.938</v>
      </c>
      <c r="L882">
        <f>K882*(MIN(Inputs!$B$21+(F894-Calc!F22),Inputs!$B$22)/100+Inputs!$B$22/100)/2</f>
        <v>29745196745587.613</v>
      </c>
      <c r="M882">
        <f>L882*(1+(Inputs!$B$9+(F893-Calc!F21))/100)</f>
        <v>124662119560757.7</v>
      </c>
      <c r="N882">
        <f>L882*(1-MIN(Inputs!$B$8+(F892-Calc!F20),100)/100)+M882*(MIN(Inputs!$B$8+(F892-Calc!F20),100)/100)</f>
        <v>124662119560757.7</v>
      </c>
      <c r="O882">
        <f>IF(C882,H882*N882*IF(AND(Inputs!$B$4&lt;&gt;"pvp",Inputs!$B$35&gt;0),((Skills!G10*((S882-1)*IF(Skills!H10&gt;0,Skills!I10/Skills!H10,1)+IF(Skills!H10&gt;0,MIN(Skills!I10,MAX(0,Inputs!$B$35-((S882-1)*IF(Inputs!$B$4="pvp",15,MAX(0.1,Skills!E10-IF(Skills!F10=TRUE,Inputs!$B$31,0))))))/Skills!H10,1)))/Inputs!$B$35),G882*V882)*IF(Inputs!$B$4="pvp",1,(1-Summary!$B$56)*(1)+Summary!$B$56*(MIN(Skills!R10,Inputs!$B$37))),0)</f>
        <v>69256733089309.836</v>
      </c>
      <c r="P882">
        <f>IF(B911=0,0,O882/B911)</f>
        <v>8.3045697416826367E-3</v>
      </c>
      <c r="S882">
        <f>IF(AND(Inputs!$B$4&lt;&gt;"pvp",Inputs!$B$35&gt;0),(INT(Inputs!$B$35/IF(Inputs!$B$4="pvp",15,MAX(0.1,Skills!E10-IF(Skills!F10=TRUE,Inputs!$B$31,0))))+1),0)</f>
        <v>0</v>
      </c>
      <c r="V882">
        <f>IFERROR(1/IF(Inputs!$B$4="pvp",15,MAX(0.1,Skills!E10-IF(Skills!F10=TRUE,Inputs!$B$31,0))),0)</f>
        <v>3.7037037037037035E-2</v>
      </c>
    </row>
    <row r="883" spans="1:22" x14ac:dyDescent="0.2">
      <c r="A883" t="str">
        <f>Skills!A11</f>
        <v>BURNING_MAGIC</v>
      </c>
      <c r="B883" t="str">
        <f>Skills!B11</f>
        <v>Burning Magic</v>
      </c>
      <c r="C883" t="b">
        <f>TRUE</f>
        <v>1</v>
      </c>
      <c r="D883">
        <f>IF(Skills!C11=1,60+Inputs!$B$24+Inputs!$B$28,IF(Skills!C11=2,90+Inputs!$B$25+Inputs!$B$28,IF(Skills!C11=3,120+Inputs!$B$26+Inputs!$B$28,MAX(0,(Inputs!$B$3-100)*3)+Inputs!$B$27+Inputs!$B$28)))</f>
        <v>184</v>
      </c>
      <c r="E883">
        <f>INDEX(FactorTable!$B$2:$Y$301, MATCH(ROUND(MIN(300,MAX(1,D883)),0), FactorTable!$A$2:$A$301,0), Skills!M11+1)</f>
        <v>0</v>
      </c>
      <c r="F883">
        <f>IF(Skills!N11=TRUE,(Skills!L11/10)*(E883/1000),Skills!L11/10)+Skills!O11</f>
        <v>5</v>
      </c>
      <c r="G883">
        <f>Calc!G11</f>
        <v>1</v>
      </c>
      <c r="H883">
        <f>Calc!H11</f>
        <v>1</v>
      </c>
      <c r="I883">
        <f>IF(Skills!X11&lt;&gt;"",1+(Skills!X11/10)*(R875/1000)/100,1)</f>
        <v>1</v>
      </c>
      <c r="O883">
        <v>0</v>
      </c>
      <c r="P883">
        <f>IF(B911=0,0,O883/B911)</f>
        <v>0</v>
      </c>
      <c r="S883">
        <v>0</v>
      </c>
      <c r="V883">
        <f>IFERROR(1/IF(Inputs!$B$4="pvp",15,MAX(0.1,Skills!E11-IF(Skills!F11=TRUE,Inputs!$B$31,0))),0)</f>
        <v>10</v>
      </c>
    </row>
    <row r="884" spans="1:22" x14ac:dyDescent="0.2">
      <c r="A884" t="str">
        <f>Skills!A12</f>
        <v>ELEMENTAL_DECREASE</v>
      </c>
      <c r="B884" t="str">
        <f>Skills!B12</f>
        <v>Elemental Decrease</v>
      </c>
      <c r="C884" t="b">
        <f>TRUE</f>
        <v>1</v>
      </c>
      <c r="D884">
        <f>IF(Skills!C12=1,60+Inputs!$B$24+Inputs!$B$28,IF(Skills!C12=2,90+Inputs!$B$25+Inputs!$B$28,IF(Skills!C12=3,120+Inputs!$B$26+Inputs!$B$28,MAX(0,(Inputs!$B$3-100)*3)+Inputs!$B$27+Inputs!$B$28)))</f>
        <v>184</v>
      </c>
      <c r="E884">
        <f>INDEX(FactorTable!$B$2:$Y$301, MATCH(ROUND(MIN(300,MAX(1,D884)),0), FactorTable!$A$2:$A$301,0), Skills!M12+1)</f>
        <v>1552</v>
      </c>
      <c r="F884">
        <f>IF(Skills!N12=TRUE,(Skills!L12/10)*(E884/1000),Skills!L12/10)+Skills!O12</f>
        <v>18.624000000000002</v>
      </c>
      <c r="G884">
        <f>Calc!G12</f>
        <v>1</v>
      </c>
      <c r="H884">
        <f>Calc!H12</f>
        <v>0.5</v>
      </c>
      <c r="I884">
        <f>IF(Skills!X12&lt;&gt;"",1+(Skills!X12/10)*(R875/1000)/100,1)</f>
        <v>1</v>
      </c>
      <c r="O884">
        <v>0</v>
      </c>
      <c r="P884">
        <f>IF(B911=0,0,O884/B911)</f>
        <v>0</v>
      </c>
      <c r="S884">
        <v>0</v>
      </c>
      <c r="V884">
        <f>IFERROR(1/IF(Inputs!$B$4="pvp",15,MAX(0.1,Skills!E12-IF(Skills!F12=TRUE,Inputs!$B$31,0))),0)</f>
        <v>10</v>
      </c>
    </row>
    <row r="885" spans="1:22" x14ac:dyDescent="0.2">
      <c r="A885" t="str">
        <f>Skills!A13</f>
        <v>METEOR_SHOWER_BURST</v>
      </c>
      <c r="B885" t="str">
        <f>Skills!B13</f>
        <v>Meteor Shower (burst)</v>
      </c>
      <c r="C885" t="b">
        <f>Inputs!$B$3&gt;=105</f>
        <v>1</v>
      </c>
      <c r="D885">
        <f>IF(Skills!C13=1,60+Inputs!$B$24+Inputs!$B$28,IF(Skills!C13=2,90+Inputs!$B$25+Inputs!$B$28,IF(Skills!C13=3,120+Inputs!$B$26+Inputs!$B$28,MAX(0,(Inputs!$B$3-100)*3)+Inputs!$B$27+Inputs!$B$28)))</f>
        <v>172</v>
      </c>
      <c r="E885">
        <f>INDEX(FactorTable!$B$2:$Y$301, MATCH(ROUND(MIN(300,MAX(1,D885)),0), FactorTable!$A$2:$A$301,0), Skills!M13+1)</f>
        <v>1860</v>
      </c>
      <c r="F885">
        <f>IF(Skills!N13=TRUE,(Skills!L13/10)*(E885/1000),Skills!L13/10)+Skills!O13</f>
        <v>1116</v>
      </c>
      <c r="G885">
        <f>Calc!G13</f>
        <v>9</v>
      </c>
      <c r="H885">
        <f>Calc!H13</f>
        <v>1</v>
      </c>
      <c r="I885">
        <f>IF(Skills!X13&lt;&gt;"",1+(Skills!X13/10)*(R875/1000)/100,1)</f>
        <v>1</v>
      </c>
      <c r="J885">
        <f>(((Inputs!$B$5+1)*(1+Inputs!$B$6/100))+((Inputs!$B$11*(1+Inputs!$B$12/100))-(Inputs!$B$11*(1+Inputs!$B$12/100)))*(1+Inputs!$B$6/100))*(F885/100)</f>
        <v>2788117298.35776</v>
      </c>
      <c r="K885">
        <f>J885*(1+((Inputs!$B$11*(1+Inputs!$B$12/100))*0.01+Inputs!$B$13*0.0025)/100)*(1+Inputs!$B$14/100)*(1+IF(Inputs!$B$4="pvp",0,(1-Summary!$B$56)*(Inputs!$B$19+Skills!P13)+Summary!$B$56*(Inputs!$B$20+Skills!Q13))/100)*(1+Inputs!$B$15/100)*(5000/(6000+Inputs!$B$7*(1-Inputs!$B$18/100)))*(1+Inputs!$B$23/100)*(1+F895/100)*(1+IF(Inputs!$B$3&gt;=120,F898,0)/100)^5*(1+(IF(Skills!A13="BASIC_ATTACK",Inputs!$B$16,Inputs!$B$17+IF(Inputs!$B$3&gt;=125,F899*5,0)))/100)*(B902*B903*B904*I885)</f>
        <v>21211778385858.969</v>
      </c>
      <c r="L885">
        <f>K885*(MIN(Inputs!$B$21+(F894-Calc!F22),Inputs!$B$22)/100+Inputs!$B$22/100)/2</f>
        <v>57261195752626.273</v>
      </c>
      <c r="M885">
        <f>L885*(1+(Inputs!$B$9+(F893-Calc!F21))/100)</f>
        <v>239981671399256.75</v>
      </c>
      <c r="N885">
        <f>L885*(1-MIN(Inputs!$B$8+(F892-Calc!F20),100)/100)+M885*(MIN(Inputs!$B$8+(F892-Calc!F20),100)/100)</f>
        <v>239981671399256.75</v>
      </c>
      <c r="O885">
        <f>IF(C885,H885*N885*IF(AND(Inputs!$B$4&lt;&gt;"pvp",Inputs!$B$35&gt;0),((Skills!G13*((S885-1)*IF(Skills!H13&gt;0,Skills!I13/Skills!H13,1)+IF(Skills!H13&gt;0,MIN(Skills!I13,MAX(0,Inputs!$B$35-((S885-1)*IF(Inputs!$B$4="pvp",15,MAX(0.1,Skills!E13-IF(Skills!F13=TRUE,Inputs!$B$31,0))))))/Skills!H13,1)))/Inputs!$B$35),G885*V885)*IF(Inputs!$B$4="pvp",1,(1-Summary!$B$56)*(1)+Summary!$B$56*(MIN(Skills!R13,Inputs!$B$37))),0)</f>
        <v>301067915028158.5</v>
      </c>
      <c r="P885">
        <f>IF(B911=0,0,O885/B911)</f>
        <v>3.6101031420441777E-2</v>
      </c>
      <c r="S885">
        <f>IF(AND(Inputs!$B$4&lt;&gt;"pvp",Inputs!$B$35&gt;0),(INT(Inputs!$B$35/IF(Inputs!$B$4="pvp",15,MAX(0.1,Skills!E13-IF(Skills!F13=TRUE,Inputs!$B$31,0))))+1),0)</f>
        <v>0</v>
      </c>
      <c r="V885">
        <f>IFERROR(1/IF(Inputs!$B$4="pvp",15,MAX(0.1,Skills!E13-IF(Skills!F13=TRUE,Inputs!$B$31,0))),0)</f>
        <v>3.0303030303030304E-2</v>
      </c>
    </row>
    <row r="886" spans="1:22" x14ac:dyDescent="0.2">
      <c r="A886" t="str">
        <f>Skills!A14</f>
        <v>METEOR_PROC</v>
      </c>
      <c r="B886" t="str">
        <f>Skills!B14</f>
        <v>Meteor Proc (30% on-hit, 1s ICD)</v>
      </c>
      <c r="C886" t="b">
        <f>Inputs!$B$3&gt;=113</f>
        <v>1</v>
      </c>
      <c r="D886">
        <f>IF(Skills!C14=1,60+Inputs!$B$24+Inputs!$B$28,IF(Skills!C14=2,90+Inputs!$B$25+Inputs!$B$28,IF(Skills!C14=3,120+Inputs!$B$26+Inputs!$B$28,MAX(0,(Inputs!$B$3-100)*3)+Inputs!$B$27+Inputs!$B$28)))</f>
        <v>172</v>
      </c>
      <c r="E886">
        <f>INDEX(FactorTable!$B$2:$Y$301, MATCH(ROUND(MIN(300,MAX(1,D886)),0), FactorTable!$A$2:$A$301,0), Skills!M14+1)</f>
        <v>1688</v>
      </c>
      <c r="F886">
        <f>IF(Skills!N14=TRUE,(Skills!L14/10)*(E886/1000),Skills!L14/10)+Skills!O14</f>
        <v>1603.6</v>
      </c>
      <c r="G886">
        <f>Calc!G14</f>
        <v>0</v>
      </c>
      <c r="H886">
        <f>Calc!H14</f>
        <v>0.30000000000000004</v>
      </c>
      <c r="I886">
        <f>IF(Skills!X14&lt;&gt;"",1+(Skills!X14/10)*(R875/1000)/100,1)</f>
        <v>1</v>
      </c>
      <c r="J886">
        <f>(((Inputs!$B$5+1)*(1+Inputs!$B$6/100))+((Inputs!$B$11*(1+Inputs!$B$12/100))-(Inputs!$B$11*(1+Inputs!$B$12/100)))*(1+Inputs!$B$6/100))*(F886/100)</f>
        <v>4006294712.9448953</v>
      </c>
      <c r="K886">
        <f>J886*(1+((Inputs!$B$11*(1+Inputs!$B$12/100))*0.01+Inputs!$B$13*0.0025)/100)*(1+Inputs!$B$14/100)*(1+IF(Inputs!$B$4="pvp",0,(1-Summary!$B$56)*(Inputs!$B$19+Skills!P14)+Summary!$B$56*(Inputs!$B$20+Skills!Q14))/100)*(1+Inputs!$B$15/100)*(5000/(6000+Inputs!$B$7*(1-Inputs!$B$18/100)))*(1+Inputs!$B$23/100)*(1+F895/100)*(1+IF(Inputs!$B$3&gt;=120,F898,0)/100)^5*(1+(IF(Skills!A14="BASIC_ATTACK",Inputs!$B$16,Inputs!$B$17+IF(Inputs!$B$3&gt;=125,F899*5,0)))/100)*(B902*B903*B904*I886)</f>
        <v>30479576899250.398</v>
      </c>
      <c r="L886">
        <f>K886*(MIN(Inputs!$B$21+(F894-Calc!F22),Inputs!$B$22)/100+Inputs!$B$22/100)/2</f>
        <v>82279617839526.438</v>
      </c>
      <c r="M886">
        <f>L886*(1+(Inputs!$B$9+(F893-Calc!F21))/100)</f>
        <v>344833878365455.38</v>
      </c>
      <c r="N886">
        <f>L886*(1-MIN(Inputs!$B$8+(F892-Calc!F20),100)/100)+M886*(MIN(Inputs!$B$8+(F892-Calc!F20),100)/100)</f>
        <v>344833878365455.38</v>
      </c>
      <c r="O886">
        <f>IF(C886,(H886*B909)/(1+Skills!H14*H886*B909)*N886*IF(Inputs!$B$4="pvp",1,(1-Summary!$B$56)*(1)+Summary!$B$56*(MIN(Skills!R14,Inputs!$B$37))),0)</f>
        <v>108471850861726.36</v>
      </c>
      <c r="P886">
        <f>IF(B911=0,0,O886/B911)</f>
        <v>1.3006851612953856E-2</v>
      </c>
      <c r="S886">
        <v>0</v>
      </c>
      <c r="V886">
        <f>IFERROR(1/IF(Inputs!$B$4="pvp",15,MAX(0.1,Skills!E14-IF(Skills!F14=TRUE,Inputs!$B$31,0))),0)</f>
        <v>10</v>
      </c>
    </row>
    <row r="887" spans="1:22" x14ac:dyDescent="0.2">
      <c r="A887" t="str">
        <f>Skills!A15</f>
        <v>FLAME_HAZE_BURST</v>
      </c>
      <c r="B887" t="str">
        <f>Skills!B15</f>
        <v>Flame Haze (burst)</v>
      </c>
      <c r="C887" t="b">
        <f>Inputs!$B$3&gt;=107</f>
        <v>1</v>
      </c>
      <c r="D887">
        <f>IF(Skills!C15=1,60+Inputs!$B$24+Inputs!$B$28,IF(Skills!C15=2,90+Inputs!$B$25+Inputs!$B$28,IF(Skills!C15=3,120+Inputs!$B$26+Inputs!$B$28,MAX(0,(Inputs!$B$3-100)*3)+Inputs!$B$27+Inputs!$B$28)))</f>
        <v>172</v>
      </c>
      <c r="E887">
        <f>INDEX(FactorTable!$B$2:$Y$301, MATCH(ROUND(MIN(300,MAX(1,D887)),0), FactorTable!$A$2:$A$301,0), Skills!M15+1)</f>
        <v>1860</v>
      </c>
      <c r="F887">
        <f>IF(Skills!N15=TRUE,(Skills!L15/10)*(E887/1000),Skills!L15/10)+Skills!O15</f>
        <v>2232</v>
      </c>
      <c r="G887">
        <f>Calc!G15</f>
        <v>3</v>
      </c>
      <c r="H887">
        <f>Calc!H15</f>
        <v>1</v>
      </c>
      <c r="I887">
        <f>IF(Skills!X15&lt;&gt;"",1+(Skills!X15/10)*(R875/1000)/100,1)</f>
        <v>1</v>
      </c>
      <c r="J887">
        <f>(((Inputs!$B$5+1)*(1+Inputs!$B$6/100))+((Inputs!$B$11*(1+Inputs!$B$12/100))-(Inputs!$B$11*(1+Inputs!$B$12/100)))*(1+Inputs!$B$6/100))*(F887/100)</f>
        <v>5576234596.7155199</v>
      </c>
      <c r="K887">
        <f>J887*(1+((Inputs!$B$11*(1+Inputs!$B$12/100))*0.01+Inputs!$B$13*0.0025)/100)*(1+Inputs!$B$14/100)*(1+IF(Inputs!$B$4="pvp",0,(1-Summary!$B$56)*(Inputs!$B$19+Skills!P15)+Summary!$B$56*(Inputs!$B$20+Skills!Q15))/100)*(1+Inputs!$B$15/100)*(5000/(6000+Inputs!$B$7*(1-Inputs!$B$18/100)))*(1+Inputs!$B$23/100)*(1+F895/100)*(1+IF(Inputs!$B$3&gt;=120,F898,0)/100)^5*(1+(IF(Skills!A15="BASIC_ATTACK",Inputs!$B$16,Inputs!$B$17+IF(Inputs!$B$3&gt;=125,F899*5,0)))/100)*(B902*B903*B904*I887)</f>
        <v>42423556771717.938</v>
      </c>
      <c r="L887">
        <f>K887*(MIN(Inputs!$B$21+(F894-Calc!F22),Inputs!$B$22)/100+Inputs!$B$22/100)/2</f>
        <v>114522391505252.55</v>
      </c>
      <c r="M887">
        <f>L887*(1+(Inputs!$B$9+(F893-Calc!F21))/100)</f>
        <v>479963342798513.5</v>
      </c>
      <c r="N887">
        <f>L887*(1-MIN(Inputs!$B$8+(F892-Calc!F20),100)/100)+M887*(MIN(Inputs!$B$8+(F892-Calc!F20),100)/100)</f>
        <v>479963342798513.5</v>
      </c>
      <c r="O887">
        <f>IF(C887,H887*N887*IF(AND(Inputs!$B$4&lt;&gt;"pvp",Inputs!$B$35&gt;0),((Skills!G15*((S887-1)*IF(Skills!H15&gt;0,Skills!I15/Skills!H15,1)+IF(Skills!H15&gt;0,MIN(Skills!I15,MAX(0,Inputs!$B$35-((S887-1)*IF(Inputs!$B$4="pvp",15,MAX(0.1,Skills!E15-IF(Skills!F15=TRUE,Inputs!$B$31,0))))))/Skills!H15,1)))/Inputs!$B$35),G887*V887)*IF(Inputs!$B$4="pvp",1,(1-Summary!$B$56)*(1)+Summary!$B$56*(MIN(Skills!R15,Inputs!$B$37))),0)</f>
        <v>368611847269258.38</v>
      </c>
      <c r="P887">
        <f>IF(B911=0,0,O887/B911)</f>
        <v>4.4200219339114798E-2</v>
      </c>
      <c r="S887">
        <f>IF(AND(Inputs!$B$4&lt;&gt;"pvp",Inputs!$B$35&gt;0),(INT(Inputs!$B$35/IF(Inputs!$B$4="pvp",15,MAX(0.1,Skills!E15-IF(Skills!F15=TRUE,Inputs!$B$31,0))))+1),0)</f>
        <v>0</v>
      </c>
      <c r="V887">
        <f>IFERROR(1/IF(Inputs!$B$4="pvp",15,MAX(0.1,Skills!E15-IF(Skills!F15=TRUE,Inputs!$B$31,0))),0)</f>
        <v>0.04</v>
      </c>
    </row>
    <row r="888" spans="1:22" x14ac:dyDescent="0.2">
      <c r="A888" t="str">
        <f>Skills!A16</f>
        <v>FLAME_HAZE_DOT</v>
      </c>
      <c r="B888" t="str">
        <f>Skills!B16</f>
        <v>Flame Haze (burn DoT)</v>
      </c>
      <c r="C888" t="b">
        <f>Inputs!$B$3&gt;=107</f>
        <v>1</v>
      </c>
      <c r="D888">
        <f>IF(Skills!C16=1,60+Inputs!$B$24+Inputs!$B$28,IF(Skills!C16=2,90+Inputs!$B$25+Inputs!$B$28,IF(Skills!C16=3,120+Inputs!$B$26+Inputs!$B$28,MAX(0,(Inputs!$B$3-100)*3)+Inputs!$B$27+Inputs!$B$28)))</f>
        <v>172</v>
      </c>
      <c r="E888">
        <f>INDEX(FactorTable!$B$2:$Y$301, MATCH(ROUND(MIN(300,MAX(1,D888)),0), FactorTable!$A$2:$A$301,0), Skills!M16+1)</f>
        <v>1860</v>
      </c>
      <c r="F888">
        <f>IF(Skills!N16=TRUE,(Skills!L16/10)*(E888/1000),Skills!L16/10)+Skills!O16</f>
        <v>279</v>
      </c>
      <c r="G888">
        <f>Calc!G16</f>
        <v>28</v>
      </c>
      <c r="H888">
        <f>Calc!H16</f>
        <v>1</v>
      </c>
      <c r="I888">
        <f>IF(Skills!X16&lt;&gt;"",1+(Skills!X16/10)*(R875/1000)/100,1)</f>
        <v>1</v>
      </c>
      <c r="J888">
        <f>(((Inputs!$B$5+1)*(1+Inputs!$B$6/100))+((Inputs!$B$11*(1+Inputs!$B$12/100))-(Inputs!$B$11*(1+Inputs!$B$12/100)))*(1+Inputs!$B$6/100))*(F888/100)</f>
        <v>697029324.58943999</v>
      </c>
      <c r="K888">
        <f>J888*(1+((Inputs!$B$11*(1+Inputs!$B$12/100))*0.01+Inputs!$B$13*0.0025)/100)*(1+Inputs!$B$14/100)*(1+IF(Inputs!$B$4="pvp",0,(1-Summary!$B$56)*(Inputs!$B$19+Skills!P16)+Summary!$B$56*(Inputs!$B$20+Skills!Q16))/100)*(1+Inputs!$B$15/100)*(5000/(6000+Inputs!$B$7*(1-Inputs!$B$18/100)))*(1+Inputs!$B$23/100)*(1+F895/100)*(1+IF(Inputs!$B$3&gt;=120,F898,0)/100)^5*(1+(IF(Skills!A16="BASIC_ATTACK",Inputs!$B$16,Inputs!$B$17+IF(Inputs!$B$3&gt;=125,F899*5,0)))/100)*(B902*B903*B904*I888)</f>
        <v>5302944596464.7422</v>
      </c>
      <c r="L888">
        <f>K888*(MIN(Inputs!$B$21+(F894-Calc!F22),Inputs!$B$22)/100+Inputs!$B$22/100)/2</f>
        <v>14315298938156.568</v>
      </c>
      <c r="M888">
        <f>L888*(1+(Inputs!$B$9+(F893-Calc!F21))/100)</f>
        <v>59995417849814.188</v>
      </c>
      <c r="N888">
        <f>L888*(1-MIN(Inputs!$B$8+(F892-Calc!F20),100)/100)+M888*(MIN(Inputs!$B$8+(F892-Calc!F20),100)/100)</f>
        <v>59995417849814.188</v>
      </c>
      <c r="O888">
        <f>IF(C888,H888*N888*IF(AND(Inputs!$B$4&lt;&gt;"pvp",Inputs!$B$35&gt;0),((Skills!G16*((S888-1)*IF(Skills!H16&gt;0,Skills!I16/Skills!H16,1)+IF(Skills!H16&gt;0,MIN(Skills!I16,MAX(0,Inputs!$B$35-((S888-1)*IF(Inputs!$B$4="pvp",15,MAX(0.1,Skills!E16-IF(Skills!F16=TRUE,Inputs!$B$31,0))))))/Skills!H16,1)))/Inputs!$B$35),G888*V888)*(1+IF(Inputs!$B$3&gt;=126,0.05*(B908+V885+(H886*B909)/(1+Skills!H14*H886*B909)+V896),0)*Skills!E15)*IF(Inputs!$B$4="pvp",1,(1-Summary!$B$56)*(1)+Summary!$B$56*(MIN(Skills!R16,Inputs!$B$37))),0)</f>
        <v>430047155147468.19</v>
      </c>
      <c r="P888">
        <f>IF(B911=0,0,O888/B911)</f>
        <v>5.156692256230061E-2</v>
      </c>
      <c r="S888">
        <f>IF(AND(Inputs!$B$4&lt;&gt;"pvp",Inputs!$B$35&gt;0),(INT(Inputs!$B$35/IF(Inputs!$B$4="pvp",15,MAX(0.1,Skills!E16-IF(Skills!F16=TRUE,Inputs!$B$31,0))))+1),0)</f>
        <v>0</v>
      </c>
      <c r="V888">
        <f>IFERROR(1/IF(Inputs!$B$4="pvp",15,MAX(0.1,Skills!E16-IF(Skills!F16=TRUE,Inputs!$B$31,0))),0)</f>
        <v>0.04</v>
      </c>
    </row>
    <row r="889" spans="1:22" x14ac:dyDescent="0.2">
      <c r="A889" t="str">
        <f>Skills!A17</f>
        <v>MAGIC_GUARD</v>
      </c>
      <c r="B889" t="str">
        <f>Skills!B17</f>
        <v>Magic Guard</v>
      </c>
      <c r="C889" t="b">
        <f>TRUE</f>
        <v>1</v>
      </c>
      <c r="D889">
        <f>IF(Skills!C17=1,60+Inputs!$B$24+Inputs!$B$28,IF(Skills!C17=2,90+Inputs!$B$25+Inputs!$B$28,IF(Skills!C17=3,120+Inputs!$B$26+Inputs!$B$28,MAX(0,(Inputs!$B$3-100)*3)+Inputs!$B$27+Inputs!$B$28)))</f>
        <v>115</v>
      </c>
      <c r="E889">
        <f>INDEX(FactorTable!$B$2:$Y$301, MATCH(ROUND(MIN(300,MAX(1,D889)),0), FactorTable!$A$2:$A$301,0), Skills!M17+1)</f>
        <v>1460</v>
      </c>
      <c r="F889">
        <f>IF(Skills!N17=TRUE,(Skills!L17/10)*(E889/1000),Skills!L17/10)+Skills!O17</f>
        <v>17.52</v>
      </c>
      <c r="G889">
        <f>Calc!G17</f>
        <v>1</v>
      </c>
      <c r="H889">
        <f>Calc!H17</f>
        <v>1</v>
      </c>
      <c r="I889">
        <f>IF(Skills!X17&lt;&gt;"",1+(Skills!X17/10)*(R875/1000)/100,1)</f>
        <v>1</v>
      </c>
      <c r="O889">
        <v>0</v>
      </c>
      <c r="P889">
        <f>IF(B911=0,0,O889/B911)</f>
        <v>0</v>
      </c>
      <c r="S889">
        <f>IF(AND(Inputs!$B$4&lt;&gt;"pvp",Inputs!$B$35&gt;0),(INT(Inputs!$B$35/IF(Inputs!$B$4="pvp",15,MAX(0.1,Skills!E17-IF(Skills!F17=TRUE,Inputs!$B$31,0))))+1),0)</f>
        <v>0</v>
      </c>
      <c r="V889">
        <f>IFERROR(1/IF(Inputs!$B$4="pvp",15,MAX(0.1,Skills!E17-IF(Skills!F17=TRUE,Inputs!$B$31,0))),0)</f>
        <v>4.7619047619047616E-2</v>
      </c>
    </row>
    <row r="890" spans="1:22" x14ac:dyDescent="0.2">
      <c r="A890" t="str">
        <f>Skills!A18</f>
        <v>NIMBLE_FEET</v>
      </c>
      <c r="B890" t="str">
        <f>Skills!B18</f>
        <v>Nimble Feet</v>
      </c>
      <c r="C890" t="b">
        <f>TRUE</f>
        <v>1</v>
      </c>
      <c r="D890">
        <f>IF(Skills!C18=1,60+Inputs!$B$24+Inputs!$B$28,IF(Skills!C18=2,90+Inputs!$B$25+Inputs!$B$28,IF(Skills!C18=3,120+Inputs!$B$26+Inputs!$B$28,MAX(0,(Inputs!$B$3-100)*3)+Inputs!$B$27+Inputs!$B$28)))</f>
        <v>115</v>
      </c>
      <c r="E890">
        <f>INDEX(FactorTable!$B$2:$Y$301, MATCH(ROUND(MIN(300,MAX(1,D890)),0), FactorTable!$A$2:$A$301,0), Skills!M18+1)</f>
        <v>0</v>
      </c>
      <c r="F890">
        <f>IF(Skills!N18=TRUE,(Skills!L18/10)*(E890/1000),Skills!L18/10)+Skills!O18</f>
        <v>15</v>
      </c>
      <c r="G890">
        <f>Calc!G18</f>
        <v>1</v>
      </c>
      <c r="H890">
        <f>Calc!H18</f>
        <v>1</v>
      </c>
      <c r="I890">
        <f>IF(Skills!X18&lt;&gt;"",1+(Skills!X18/10)*(R875/1000)/100,1)</f>
        <v>1</v>
      </c>
      <c r="O890">
        <v>0</v>
      </c>
      <c r="P890">
        <f>IF(B911=0,0,O890/B911)</f>
        <v>0</v>
      </c>
      <c r="S890">
        <f>IF(AND(Inputs!$B$4&lt;&gt;"pvp",Inputs!$B$35&gt;0),(INT(Inputs!$B$35/IF(Inputs!$B$4="pvp",15,MAX(0.1,Skills!E18-IF(Skills!F18=TRUE,Inputs!$B$31,0))))+1),0)</f>
        <v>0</v>
      </c>
      <c r="V890">
        <f>IFERROR(1/IF(Inputs!$B$4="pvp",15,MAX(0.1,Skills!E18-IF(Skills!F18=TRUE,Inputs!$B$31,0))),0)</f>
        <v>1.6666666666666666E-2</v>
      </c>
    </row>
    <row r="891" spans="1:22" x14ac:dyDescent="0.2">
      <c r="A891" t="str">
        <f>Skills!A19</f>
        <v>INFINITY</v>
      </c>
      <c r="B891" t="str">
        <f>Skills!B19</f>
        <v>Infinity</v>
      </c>
      <c r="C891" t="b">
        <f>Inputs!$B$3&gt;=110</f>
        <v>1</v>
      </c>
      <c r="D891">
        <f>IF(Skills!C19=1,60+Inputs!$B$24+Inputs!$B$28,IF(Skills!C19=2,90+Inputs!$B$25+Inputs!$B$28,IF(Skills!C19=3,120+Inputs!$B$26+Inputs!$B$28,MAX(0,(Inputs!$B$3-100)*3)+Inputs!$B$27+Inputs!$B$28)))</f>
        <v>172</v>
      </c>
      <c r="E891">
        <f>INDEX(FactorTable!$B$2:$Y$301, MATCH(ROUND(MIN(300,MAX(1,D891)),0), FactorTable!$A$2:$A$301,0), Skills!M19+1)</f>
        <v>1688</v>
      </c>
      <c r="F891">
        <f>IF(Skills!N19=TRUE,(Skills!L19/10)*(E891/1000),Skills!L19/10)+Skills!O19</f>
        <v>36.573895999999998</v>
      </c>
      <c r="G891">
        <f>Calc!G19</f>
        <v>1</v>
      </c>
      <c r="H891">
        <f>Calc!H19</f>
        <v>1</v>
      </c>
      <c r="I891">
        <f>IF(Skills!X19&lt;&gt;"",1+(Skills!X19/10)*(R875/1000)/100,1)</f>
        <v>1</v>
      </c>
      <c r="O891">
        <v>0</v>
      </c>
      <c r="P891">
        <f>IF(B911=0,0,O891/B911)</f>
        <v>0</v>
      </c>
      <c r="S891">
        <f>IF(AND(Inputs!$B$4&lt;&gt;"pvp",Inputs!$B$35&gt;0),(INT(Inputs!$B$35/IF(Inputs!$B$4="pvp",15,MAX(0.1,Skills!E19-IF(Skills!F19=TRUE,Inputs!$B$31,0))))+1),0)</f>
        <v>0</v>
      </c>
      <c r="V891">
        <f>IFERROR(1/IF(Inputs!$B$4="pvp",15,MAX(0.1,Skills!E19-IF(Skills!F19=TRUE,Inputs!$B$31,0))),0)</f>
        <v>3.3333333333333333E-2</v>
      </c>
    </row>
    <row r="892" spans="1:22" x14ac:dyDescent="0.2">
      <c r="A892" t="str">
        <f>Skills!A20</f>
        <v>MAGIC_CRITICAL_RATE</v>
      </c>
      <c r="B892" t="str">
        <f>Skills!B20</f>
        <v>Magic Critical (Crit Rate)</v>
      </c>
      <c r="C892" t="b">
        <f>TRUE</f>
        <v>1</v>
      </c>
      <c r="D892">
        <f>IF(Skills!C20=1,60+Inputs!$B$24+Inputs!$B$28,IF(Skills!C20=2,90+Inputs!$B$25+Inputs!$B$28,IF(Skills!C20=3,120+Inputs!$B$26+Inputs!$B$28,MAX(0,(Inputs!$B$3-100)*3)+Inputs!$B$27+Inputs!$B$28)))</f>
        <v>184</v>
      </c>
      <c r="E892">
        <f>INDEX(FactorTable!$B$2:$Y$301, MATCH(ROUND(MIN(300,MAX(1,D892)),0), FactorTable!$A$2:$A$301,0), Skills!M20+1)</f>
        <v>1552</v>
      </c>
      <c r="F892">
        <f>IF(Skills!N20=TRUE,(Skills!L20/10)*(E892/1000),Skills!L20/10)+Skills!O20</f>
        <v>12.416</v>
      </c>
      <c r="G892">
        <f>Calc!G20</f>
        <v>1</v>
      </c>
      <c r="H892">
        <f>Calc!H20</f>
        <v>1</v>
      </c>
      <c r="I892">
        <f>IF(Skills!X20&lt;&gt;"",1+(Skills!X20/10)*(R875/1000)/100,1)</f>
        <v>1</v>
      </c>
      <c r="O892">
        <v>0</v>
      </c>
      <c r="P892">
        <f>IF(B911=0,0,O892/B911)</f>
        <v>0</v>
      </c>
      <c r="S892">
        <v>0</v>
      </c>
      <c r="V892">
        <f>IFERROR(1/IF(Inputs!$B$4="pvp",15,MAX(0.1,Skills!E20-IF(Skills!F20=TRUE,Inputs!$B$31,0))),0)</f>
        <v>10</v>
      </c>
    </row>
    <row r="893" spans="1:22" x14ac:dyDescent="0.2">
      <c r="A893" t="str">
        <f>Skills!A21</f>
        <v>MAGIC_CRITICAL_DAMAGE</v>
      </c>
      <c r="B893" t="str">
        <f>Skills!B21</f>
        <v>Magic Critical (Crit Damage)</v>
      </c>
      <c r="C893" t="b">
        <f>TRUE</f>
        <v>1</v>
      </c>
      <c r="D893">
        <f>IF(Skills!C21=1,60+Inputs!$B$24+Inputs!$B$28,IF(Skills!C21=2,90+Inputs!$B$25+Inputs!$B$28,IF(Skills!C21=3,120+Inputs!$B$26+Inputs!$B$28,MAX(0,(Inputs!$B$3-100)*3)+Inputs!$B$27+Inputs!$B$28)))</f>
        <v>184</v>
      </c>
      <c r="E893">
        <f>INDEX(FactorTable!$B$2:$Y$301, MATCH(ROUND(MIN(300,MAX(1,D893)),0), FactorTable!$A$2:$A$301,0), Skills!M21+1)</f>
        <v>1552</v>
      </c>
      <c r="F893">
        <f>IF(Skills!N21=TRUE,(Skills!L21/10)*(E893/1000),Skills!L21/10)+Skills!O21</f>
        <v>18.624000000000002</v>
      </c>
      <c r="G893">
        <f>Calc!G21</f>
        <v>1</v>
      </c>
      <c r="H893">
        <f>Calc!H21</f>
        <v>1</v>
      </c>
      <c r="I893">
        <f>IF(Skills!X21&lt;&gt;"",1+(Skills!X21/10)*(R875/1000)/100,1)</f>
        <v>1</v>
      </c>
      <c r="O893">
        <v>0</v>
      </c>
      <c r="P893">
        <f>IF(B911=0,0,O893/B911)</f>
        <v>0</v>
      </c>
      <c r="S893">
        <v>0</v>
      </c>
      <c r="V893">
        <f>IFERROR(1/IF(Inputs!$B$4="pvp",15,MAX(0.1,Skills!E21-IF(Skills!F21=TRUE,Inputs!$B$31,0))),0)</f>
        <v>10</v>
      </c>
    </row>
    <row r="894" spans="1:22" x14ac:dyDescent="0.2">
      <c r="A894" t="str">
        <f>Skills!A22</f>
        <v>SPELL_MASTERY</v>
      </c>
      <c r="B894" t="str">
        <f>Skills!B22</f>
        <v>Spell Mastery</v>
      </c>
      <c r="C894" t="b">
        <f>TRUE</f>
        <v>1</v>
      </c>
      <c r="D894">
        <f>IF(Skills!C22=1,60+Inputs!$B$24+Inputs!$B$28,IF(Skills!C22=2,90+Inputs!$B$25+Inputs!$B$28,IF(Skills!C22=3,120+Inputs!$B$26+Inputs!$B$28,MAX(0,(Inputs!$B$3-100)*3)+Inputs!$B$27+Inputs!$B$28)))</f>
        <v>164</v>
      </c>
      <c r="E894">
        <f>INDEX(FactorTable!$B$2:$Y$301, MATCH(ROUND(MIN(300,MAX(1,D894)),0), FactorTable!$A$2:$A$301,0), Skills!M22+1)</f>
        <v>1492</v>
      </c>
      <c r="F894">
        <f>IF(Skills!N22=TRUE,(Skills!L22/10)*(E894/1000),Skills!L22/10)+Skills!O22</f>
        <v>22.38</v>
      </c>
      <c r="G894">
        <f>Calc!G22</f>
        <v>1</v>
      </c>
      <c r="H894">
        <f>Calc!H22</f>
        <v>1</v>
      </c>
      <c r="I894">
        <f>IF(Skills!X22&lt;&gt;"",1+(Skills!X22/10)*(R875/1000)/100,1)</f>
        <v>1</v>
      </c>
      <c r="O894">
        <v>0</v>
      </c>
      <c r="P894">
        <f>IF(B911=0,0,O894/B911)</f>
        <v>0</v>
      </c>
      <c r="S894">
        <v>0</v>
      </c>
      <c r="V894">
        <f>IFERROR(1/IF(Inputs!$B$4="pvp",15,MAX(0.1,Skills!E22-IF(Skills!F22=TRUE,Inputs!$B$31,0))),0)</f>
        <v>10</v>
      </c>
    </row>
    <row r="895" spans="1:22" x14ac:dyDescent="0.2">
      <c r="A895" t="str">
        <f>Skills!A23</f>
        <v>ELEMENT_AMPLIFICATION</v>
      </c>
      <c r="B895" t="str">
        <f>Skills!B23</f>
        <v>Element Amplification</v>
      </c>
      <c r="C895" t="b">
        <f>TRUE</f>
        <v>1</v>
      </c>
      <c r="D895">
        <f>IF(Skills!C23=1,60+Inputs!$B$24+Inputs!$B$28,IF(Skills!C23=2,90+Inputs!$B$25+Inputs!$B$28,IF(Skills!C23=3,120+Inputs!$B$26+Inputs!$B$28,MAX(0,(Inputs!$B$3-100)*3)+Inputs!$B$27+Inputs!$B$28)))</f>
        <v>172</v>
      </c>
      <c r="E895">
        <f>INDEX(FactorTable!$B$2:$Y$301, MATCH(ROUND(MIN(300,MAX(1,D895)),0), FactorTable!$A$2:$A$301,0), Skills!M23+1)</f>
        <v>1516</v>
      </c>
      <c r="F895">
        <f>IF(Skills!N23=TRUE,(Skills!L23/10)*(E895/1000),Skills!L23/10)+Skills!O23</f>
        <v>22.740000000000002</v>
      </c>
      <c r="G895">
        <f>Calc!G23</f>
        <v>1</v>
      </c>
      <c r="H895">
        <f>Calc!H23</f>
        <v>1</v>
      </c>
      <c r="I895">
        <f>IF(Skills!X23&lt;&gt;"",1+(Skills!X23/10)*(R875/1000)/100,1)</f>
        <v>1</v>
      </c>
      <c r="O895">
        <v>0</v>
      </c>
      <c r="P895">
        <f>IF(B911=0,0,O895/B911)</f>
        <v>0</v>
      </c>
      <c r="S895">
        <v>0</v>
      </c>
      <c r="V895">
        <f>IFERROR(1/IF(Inputs!$B$4="pvp",15,MAX(0.1,Skills!E23-IF(Skills!F23=TRUE,Inputs!$B$31,0))),0)</f>
        <v>10</v>
      </c>
    </row>
    <row r="896" spans="1:22" x14ac:dyDescent="0.2">
      <c r="A896" t="str">
        <f>Skills!A24</f>
        <v>IFRIT</v>
      </c>
      <c r="B896" t="str">
        <f>Skills!B24</f>
        <v>Ifrit</v>
      </c>
      <c r="C896" t="b">
        <f>Inputs!$B$3&gt;=115</f>
        <v>0</v>
      </c>
      <c r="D896">
        <f>IF(Skills!C24=1,60+Inputs!$B$24+Inputs!$B$28,IF(Skills!C24=2,90+Inputs!$B$25+Inputs!$B$28,IF(Skills!C24=3,120+Inputs!$B$26+Inputs!$B$28,MAX(0,(Inputs!$B$3-100)*3)+Inputs!$B$27+Inputs!$B$28)))</f>
        <v>172</v>
      </c>
      <c r="E896">
        <f>INDEX(FactorTable!$B$2:$Y$301, MATCH(ROUND(MIN(300,MAX(1,D896)),0), FactorTable!$A$2:$A$301,0), Skills!M24+1)</f>
        <v>1860</v>
      </c>
      <c r="F896">
        <f>IF(Skills!N24=TRUE,(Skills!L24/10)*(E896/1000),Skills!L24/10)+Skills!O24</f>
        <v>6510</v>
      </c>
      <c r="G896">
        <f>Calc!G24</f>
        <v>7.5</v>
      </c>
      <c r="H896">
        <f>Calc!H24</f>
        <v>1</v>
      </c>
      <c r="I896">
        <f>IF(Skills!X24&lt;&gt;"",1+(Skills!X24/10)*(R875/1000)/100,1)</f>
        <v>1</v>
      </c>
      <c r="J896">
        <f>(((Inputs!$B$5+1)*(1+Inputs!$B$6/100))+((Inputs!$B$11*(1+Inputs!$B$12/100))-(Inputs!$B$11*(1+Inputs!$B$12/100)))*(1+Inputs!$B$6/100))*(F896/100)</f>
        <v>16264017573.753597</v>
      </c>
      <c r="K896">
        <f>J896*(1+((Inputs!$B$11*(1+Inputs!$B$12/100))*0.01+Inputs!$B$13*0.0025)/100)*(1+Inputs!$B$14/100)*(1+IF(Inputs!$B$4="pvp",0,(1-Summary!$B$56)*(Inputs!$B$19+Skills!P24)+Summary!$B$56*(Inputs!$B$20+Skills!Q24))/100)*(1+Inputs!$B$15/100)*(5000/(6000+Inputs!$B$7*(1-Inputs!$B$18/100)))*(1+Inputs!$B$23/100)*(1+F895/100)*(1+IF(Inputs!$B$3&gt;=120,F898,0)/100)^5*(1+(IF(Skills!A24="BASIC_ATTACK",Inputs!$B$16,Inputs!$B$17+IF(Inputs!$B$3&gt;=125,F899*5,0)))/100)*(B902*B903*B904*I896)</f>
        <v>123735373917510.69</v>
      </c>
      <c r="L896">
        <f>K896*(MIN(Inputs!$B$21+(F894-Calc!F22),Inputs!$B$22)/100+Inputs!$B$22/100)/2</f>
        <v>334023641890320.06</v>
      </c>
      <c r="M896">
        <f>L896*(1+(Inputs!$B$9+(F893-Calc!F21))/100)</f>
        <v>1399893083162331.5</v>
      </c>
      <c r="N896">
        <f>L896*(1-MIN(Inputs!$B$8+(F892-Calc!F20),100)/100)+M896*(MIN(Inputs!$B$8+(F892-Calc!F20),100)/100)</f>
        <v>1399893083162331.5</v>
      </c>
      <c r="O896">
        <f>IF(C896,H896*N896*IF(AND(Inputs!$B$4&lt;&gt;"pvp",Inputs!$B$35&gt;0),((Skills!G24*((S896-1)*IF(Skills!H24&gt;0,Skills!I24/Skills!H24,1)+IF(Skills!H24&gt;0,MIN(Skills!I24,MAX(0,Inputs!$B$35-((S896-1)*IF(Inputs!$B$4="pvp",15,MAX(0.1,Skills!E24-IF(Skills!F24=TRUE,Inputs!$B$31,0))))))/Skills!H24,1)))/Inputs!$B$35),G896*V896)*(1+IF(Inputs!$B$3&gt;=130,0.2*(Skills!I16/Skills!E15+IF(Inputs!$B$3&gt;=126,0.05*(B908+V885+(H886*B909)/(1+Skills!H14*H886*B909)+V896),0)*Skills!I16),0))*IF(Inputs!$B$4="pvp",1,(1-Summary!$B$56)*(1)+Summary!$B$56*(MIN(Skills!R24,Inputs!$B$37))),0)</f>
        <v>0</v>
      </c>
      <c r="P896">
        <f>IF(B911=0,0,O896/B911)</f>
        <v>0</v>
      </c>
      <c r="S896">
        <f>IF(AND(Inputs!$B$4&lt;&gt;"pvp",Inputs!$B$35&gt;0),(INT(Inputs!$B$35/IF(Inputs!$B$4="pvp",15,MAX(0.1,Skills!E24-IF(Skills!F24=TRUE,Inputs!$B$31,0))))+1),0)</f>
        <v>0</v>
      </c>
      <c r="V896">
        <f>IFERROR(1/IF(Inputs!$B$4="pvp",15,MAX(0.1,Skills!E24-IF(Skills!F24=TRUE,Inputs!$B$31,0))),0)</f>
        <v>1.2500000000000001E-2</v>
      </c>
    </row>
    <row r="897" spans="1:22" x14ac:dyDescent="0.2">
      <c r="A897" t="str">
        <f>Skills!A25</f>
        <v>BUFF_MASTERY</v>
      </c>
      <c r="B897" t="str">
        <f>Skills!B25</f>
        <v>Buff Mastery</v>
      </c>
      <c r="C897" t="b">
        <f>Inputs!$B$3&gt;=117</f>
        <v>0</v>
      </c>
      <c r="D897">
        <f>IF(Skills!C25=1,60+Inputs!$B$24+Inputs!$B$28,IF(Skills!C25=2,90+Inputs!$B$25+Inputs!$B$28,IF(Skills!C25=3,120+Inputs!$B$26+Inputs!$B$28,MAX(0,(Inputs!$B$3-100)*3)+Inputs!$B$27+Inputs!$B$28)))</f>
        <v>172</v>
      </c>
      <c r="E897">
        <f>INDEX(FactorTable!$B$2:$Y$301, MATCH(ROUND(MIN(300,MAX(1,D897)),0), FactorTable!$A$2:$A$301,0), Skills!M25+1)</f>
        <v>1516</v>
      </c>
      <c r="F897">
        <f>IF(Skills!N25=TRUE,(Skills!L25/10)*(E897/1000),Skills!L25/10)+Skills!O25</f>
        <v>15.16</v>
      </c>
      <c r="G897">
        <f>Calc!G25</f>
        <v>1</v>
      </c>
      <c r="H897">
        <f>Calc!H25</f>
        <v>1</v>
      </c>
      <c r="I897">
        <f>IF(Skills!X25&lt;&gt;"",1+(Skills!X25/10)*(R875/1000)/100,1)</f>
        <v>1</v>
      </c>
      <c r="O897">
        <v>0</v>
      </c>
      <c r="P897">
        <f>IF(B911=0,0,O897/B911)</f>
        <v>0</v>
      </c>
      <c r="S897">
        <v>0</v>
      </c>
      <c r="V897">
        <f>IFERROR(1/IF(Inputs!$B$4="pvp",15,MAX(0.1,Skills!E25-IF(Skills!F25=TRUE,Inputs!$B$31,0))),0)</f>
        <v>10</v>
      </c>
    </row>
    <row r="898" spans="1:22" x14ac:dyDescent="0.2">
      <c r="A898" t="str">
        <f>Skills!A26</f>
        <v>ARCANE_AIM</v>
      </c>
      <c r="B898" t="str">
        <f>Skills!B26</f>
        <v>Arcane Aim</v>
      </c>
      <c r="C898" t="b">
        <f>Inputs!$B$3&gt;=120</f>
        <v>0</v>
      </c>
      <c r="D898">
        <f>IF(Skills!C26=1,60+Inputs!$B$24+Inputs!$B$28,IF(Skills!C26=2,90+Inputs!$B$25+Inputs!$B$28,IF(Skills!C26=3,120+Inputs!$B$26+Inputs!$B$28,MAX(0,(Inputs!$B$3-100)*3)+Inputs!$B$27+Inputs!$B$28)))</f>
        <v>172</v>
      </c>
      <c r="E898">
        <f>INDEX(FactorTable!$B$2:$Y$301, MATCH(ROUND(MIN(300,MAX(1,D898)),0), FactorTable!$A$2:$A$301,0), Skills!M26+1)</f>
        <v>1516</v>
      </c>
      <c r="F898">
        <f>IF(Skills!N26=TRUE,(Skills!L26/10)*(E898/1000),Skills!L26/10)+Skills!O26</f>
        <v>4.548</v>
      </c>
      <c r="G898">
        <f>Calc!G26</f>
        <v>1</v>
      </c>
      <c r="H898">
        <f>Calc!H26</f>
        <v>1</v>
      </c>
      <c r="I898">
        <f>IF(Skills!X26&lt;&gt;"",1+(Skills!X26/10)*(R875/1000)/100,1)</f>
        <v>1</v>
      </c>
      <c r="O898">
        <v>0</v>
      </c>
      <c r="P898">
        <f>IF(B911=0,0,O898/B911)</f>
        <v>0</v>
      </c>
      <c r="S898">
        <v>0</v>
      </c>
      <c r="V898">
        <f>IFERROR(1/IF(Inputs!$B$4="pvp",15,MAX(0.1,Skills!E26-IF(Skills!F26=TRUE,Inputs!$B$31,0))),0)</f>
        <v>10</v>
      </c>
    </row>
    <row r="899" spans="1:22" x14ac:dyDescent="0.2">
      <c r="A899" t="str">
        <f>Skills!A27</f>
        <v>FERVENT_DRAIN</v>
      </c>
      <c r="B899" t="str">
        <f>Skills!B27</f>
        <v>Fervent Drain</v>
      </c>
      <c r="C899" t="b">
        <f>Inputs!$B$3&gt;=125</f>
        <v>0</v>
      </c>
      <c r="D899">
        <f>IF(Skills!C27=1,60+Inputs!$B$24+Inputs!$B$28,IF(Skills!C27=2,90+Inputs!$B$25+Inputs!$B$28,IF(Skills!C27=3,120+Inputs!$B$26+Inputs!$B$28,MAX(0,(Inputs!$B$3-100)*3)+Inputs!$B$27+Inputs!$B$28)))</f>
        <v>172</v>
      </c>
      <c r="E899">
        <f>INDEX(FactorTable!$B$2:$Y$301, MATCH(ROUND(MIN(300,MAX(1,D899)),0), FactorTable!$A$2:$A$301,0), Skills!M27+1)</f>
        <v>1516</v>
      </c>
      <c r="F899">
        <f>IF(Skills!N27=TRUE,(Skills!L27/10)*(E899/1000),Skills!L27/10)+Skills!O27</f>
        <v>6.0640000000000001</v>
      </c>
      <c r="G899">
        <f>Calc!G27</f>
        <v>1</v>
      </c>
      <c r="H899">
        <f>Calc!H27</f>
        <v>1</v>
      </c>
      <c r="I899">
        <f>IF(Skills!X27&lt;&gt;"",1+(Skills!X27/10)*(R875/1000)/100,1)</f>
        <v>1</v>
      </c>
      <c r="O899">
        <v>0</v>
      </c>
      <c r="P899">
        <f>IF(B911=0,0,O899/B911)</f>
        <v>0</v>
      </c>
      <c r="S899">
        <v>0</v>
      </c>
      <c r="V899">
        <f>IFERROR(1/IF(Inputs!$B$4="pvp",15,MAX(0.1,Skills!E27-IF(Skills!F27=TRUE,Inputs!$B$31,0))),0)</f>
        <v>10</v>
      </c>
    </row>
    <row r="900" spans="1:22" x14ac:dyDescent="0.2">
      <c r="A900" t="str">
        <f>Skills!A28</f>
        <v>FLAME_HAZE_FOG</v>
      </c>
      <c r="B900" t="str">
        <f>Skills!B28</f>
        <v>Flame Haze (poison fog DoT)</v>
      </c>
      <c r="C900" t="b">
        <f>Inputs!$B$3&gt;=118</f>
        <v>0</v>
      </c>
      <c r="D900">
        <f>IF(Skills!C28=1,60+Inputs!$B$24+Inputs!$B$28,IF(Skills!C28=2,90+Inputs!$B$25+Inputs!$B$28,IF(Skills!C28=3,120+Inputs!$B$26+Inputs!$B$28,MAX(0,(Inputs!$B$3-100)*3)+Inputs!$B$27+Inputs!$B$28)))</f>
        <v>172</v>
      </c>
      <c r="E900">
        <f>INDEX(FactorTable!$B$2:$Y$301, MATCH(ROUND(MIN(300,MAX(1,D900)),0), FactorTable!$A$2:$A$301,0), Skills!M28+1)</f>
        <v>1860</v>
      </c>
      <c r="F900">
        <f>IF(Skills!N28=TRUE,(Skills!L28/10)*(E900/1000),Skills!L28/10)+Skills!O28</f>
        <v>130.20000000000002</v>
      </c>
      <c r="G900">
        <f>Calc!G28</f>
        <v>50</v>
      </c>
      <c r="H900">
        <f>Calc!H28</f>
        <v>1</v>
      </c>
      <c r="I900">
        <f>IF(Skills!X28&lt;&gt;"",1+(Skills!X28/10)*(R875/1000)/100,1)</f>
        <v>1</v>
      </c>
      <c r="J900">
        <f>(((Inputs!$B$5+1)*(1+Inputs!$B$6/100))+((Inputs!$B$11*(1+Inputs!$B$12/100))-(Inputs!$B$11*(1+Inputs!$B$12/100)))*(1+Inputs!$B$6/100))*(F900/100)</f>
        <v>325280351.47507203</v>
      </c>
      <c r="K900">
        <f>J900*(1+((Inputs!$B$11*(1+Inputs!$B$12/100))*0.01+Inputs!$B$13*0.0025)/100)*(1+Inputs!$B$14/100)*(1+IF(Inputs!$B$4="pvp",0,(1-Summary!$B$56)*(Inputs!$B$19+Skills!P28)+Summary!$B$56*(Inputs!$B$20+Skills!Q28))/100)*(1+Inputs!$B$15/100)*(5000/(6000+Inputs!$B$7*(1-Inputs!$B$18/100)))*(1+Inputs!$B$23/100)*(1+F895/100)*(1+IF(Inputs!$B$3&gt;=120,F898,0)/100)^5*(1+(IF(Skills!A28="BASIC_ATTACK",Inputs!$B$16,Inputs!$B$17+IF(Inputs!$B$3&gt;=125,F899*5,0)))/100)*(B902*B903*B904*I900)</f>
        <v>2474707478350.2134</v>
      </c>
      <c r="L900">
        <f>K900*(MIN(Inputs!$B$21+(F894-Calc!F22),Inputs!$B$22)/100+Inputs!$B$22/100)/2</f>
        <v>6680472837806.4004</v>
      </c>
      <c r="M900">
        <f>L900*(1+(Inputs!$B$9+(F893-Calc!F21))/100)</f>
        <v>27997861663246.629</v>
      </c>
      <c r="N900">
        <f>L900*(1-MIN(Inputs!$B$8+(F892-Calc!F20),100)/100)+M900*(MIN(Inputs!$B$8+(F892-Calc!F20),100)/100)</f>
        <v>27997861663246.629</v>
      </c>
      <c r="O900">
        <f>IF(C900,H900*N900*IF(AND(Inputs!$B$4&lt;&gt;"pvp",Inputs!$B$35&gt;0),((Skills!G28*((S900-1)*IF(Skills!H28&gt;0,Skills!I28/Skills!H28,1)+IF(Skills!H28&gt;0,MIN(Skills!I28,MAX(0,Inputs!$B$35-((S900-1)*IF(Inputs!$B$4="pvp",15,MAX(0.1,Skills!E28-IF(Skills!F28=TRUE,Inputs!$B$31,0))))))/Skills!H28,1)))/Inputs!$B$35),G900*V900)*IF(Inputs!$B$4="pvp",1,(1-Summary!$B$56)*(1)+Summary!$B$56*(MIN(Skills!R28,Inputs!$B$37))),0)</f>
        <v>0</v>
      </c>
      <c r="P900">
        <f>IF(B911=0,0,O900/B911)</f>
        <v>0</v>
      </c>
      <c r="S900">
        <f>IF(AND(Inputs!$B$4&lt;&gt;"pvp",Inputs!$B$35&gt;0),(INT(Inputs!$B$35/IF(Inputs!$B$4="pvp",15,MAX(0.1,Skills!E28-IF(Skills!F28=TRUE,Inputs!$B$31,0))))+1),0)</f>
        <v>0</v>
      </c>
      <c r="V900">
        <f>IFERROR(1/IF(Inputs!$B$4="pvp",15,MAX(0.1,Skills!E28-IF(Skills!F28=TRUE,Inputs!$B$31,0))),0)</f>
        <v>0.04</v>
      </c>
    </row>
    <row r="902" spans="1:22" x14ac:dyDescent="0.2">
      <c r="A902" t="s">
        <v>222</v>
      </c>
      <c r="B902">
        <f>1+(F883*Skills!Z11)/100</f>
        <v>1.25</v>
      </c>
    </row>
    <row r="903" spans="1:22" x14ac:dyDescent="0.2">
      <c r="A903" t="s">
        <v>223</v>
      </c>
      <c r="B903">
        <f>1+F884/100</f>
        <v>1.18624</v>
      </c>
    </row>
    <row r="904" spans="1:22" x14ac:dyDescent="0.2">
      <c r="A904" t="s">
        <v>224</v>
      </c>
      <c r="B904">
        <f>(1+(F878*IF(AND(Inputs!$B$4&lt;&gt;"pvp",Inputs!$B$35&gt;0),(((S878-1)*(Skills!T6*(1+(Inputs!$B$33+IF(Inputs!$B$3&gt;=117,F897,0))/100))+MIN((Skills!T6*(1+(Inputs!$B$33+IF(Inputs!$B$3&gt;=117,F897,0))/100)),MAX(0,Inputs!$B$35-((S878-1)*Skills!E6))))/Inputs!$B$35),IF(Inputs!$B$4="pvp",MIN((Skills!T6*(1+(Inputs!$B$33+IF(Inputs!$B$3&gt;=117,F897,0))/100)),15)/15,(Skills!T6*(1+(Inputs!$B$33+IF(Inputs!$B$3&gt;=117,F897,0))/100))/Skills!E6))+F889*IF(AND(Inputs!$B$4&lt;&gt;"pvp",Inputs!$B$35&gt;0),(((S889-1)*(Skills!T17*(1+(Inputs!$B$33+IF(Inputs!$B$3&gt;=117,F897,0))/100))+MIN((Skills!T17*(1+(Inputs!$B$33+IF(Inputs!$B$3&gt;=117,F897,0))/100)),MAX(0,Inputs!$B$35-((S889-1)*Skills!E17))))/Inputs!$B$35),IF(Inputs!$B$4="pvp",MIN((Skills!T17*(1+(Inputs!$B$33+IF(Inputs!$B$3&gt;=117,F897,0))/100)),15)/15,(Skills!T17*(1+(Inputs!$B$33+IF(Inputs!$B$3&gt;=117,F897,0))/100))/Skills!E17)))/100)*IF(C891=TRUE,(1+F891*IF(AND(Inputs!$B$4&lt;&gt;"pvp",Inputs!$B$35&gt;0),(((S891-1)*(Skills!T19*(1+(Inputs!$B$33+IF(Inputs!$B$3&gt;=117,F897,0))/100))+MIN((Skills!T19*(1+(Inputs!$B$33+IF(Inputs!$B$3&gt;=117,F897,0))/100)),MAX(0,Inputs!$B$35-((S891-1)*Skills!E19))))/Inputs!$B$35),IF(Inputs!$B$4="pvp",MIN((Skills!T19*(1+(Inputs!$B$33+IF(Inputs!$B$3&gt;=117,F897,0))/100)),15)/15,(Skills!T19*(1+(Inputs!$B$33+IF(Inputs!$B$3&gt;=117,F897,0))/100))/Skills!E19))/100),1)</f>
        <v>1.5603265106950857</v>
      </c>
    </row>
    <row r="905" spans="1:22" x14ac:dyDescent="0.2">
      <c r="A905" t="s">
        <v>225</v>
      </c>
      <c r="B905">
        <f>F890*IF(AND(Inputs!$B$4&lt;&gt;"pvp",Inputs!$B$35&gt;0),(((S890-1)*(Skills!T18*(1+(Inputs!$B$33+IF(Inputs!$B$3&gt;=117,F897,0))/100))+MIN((Skills!T18*(1+(Inputs!$B$33+IF(Inputs!$B$3&gt;=117,F897,0))/100)),MAX(0,Inputs!$B$35-((S890-1)*Skills!E18))))/Inputs!$B$35),IF(Inputs!$B$4="pvp",MIN((Skills!T18*(1+(Inputs!$B$33+IF(Inputs!$B$3&gt;=117,F897,0))/100)),15)/15,(Skills!T18*(1+(Inputs!$B$33+IF(Inputs!$B$3&gt;=117,F897,0))/100))/Skills!E18))</f>
        <v>3.75</v>
      </c>
    </row>
    <row r="906" spans="1:22" x14ac:dyDescent="0.2">
      <c r="A906" t="s">
        <v>253</v>
      </c>
      <c r="B906">
        <f>1+MIN(150,150*(1-(1-Inputs!$B$10/150)*(1-B905/150)))/100</f>
        <v>1.6371249999999999</v>
      </c>
    </row>
    <row r="907" spans="1:22" x14ac:dyDescent="0.2">
      <c r="A907" t="s">
        <v>254</v>
      </c>
      <c r="B907">
        <f>IF(AND(Inputs!$B$4&lt;&gt;"pvp",Inputs!$B$35&gt;0),SUMPRODUCT((Skills!F2:F28=TRUE)*(C874:C900=TRUE)*S874:S900)/Inputs!$B$35,SUMPRODUCT((Skills!F2:F28=TRUE)*(C874:C900=TRUE)*V874:V900))</f>
        <v>0.33466433037861604</v>
      </c>
    </row>
    <row r="908" spans="1:22" x14ac:dyDescent="0.2">
      <c r="A908" t="s">
        <v>228</v>
      </c>
      <c r="B908">
        <f>MAX(0,B906-B907)</f>
        <v>1.3024606696213838</v>
      </c>
    </row>
    <row r="909" spans="1:22" x14ac:dyDescent="0.2">
      <c r="A909" t="s">
        <v>255</v>
      </c>
      <c r="B909">
        <f>IF(AND(Inputs!$B$4&lt;&gt;"pvp",Inputs!$B$35&gt;0),SUMPRODUCT((Skills!V2:V28=TRUE)*(C874:C900=TRUE)*S874:S900*Skills!W2:W28)/Inputs!$B$35,SUMPRODUCT((Skills!V2:V28=TRUE)*(C874:C900=TRUE)*V874:V900*Skills!W2:W28))+B908</f>
        <v>1.5297416426166426</v>
      </c>
    </row>
    <row r="911" spans="1:22" x14ac:dyDescent="0.2">
      <c r="A911" s="5" t="s">
        <v>208</v>
      </c>
      <c r="B911" s="5">
        <f>SUM(O874:O900)</f>
        <v>8339593169010744</v>
      </c>
    </row>
    <row r="914" spans="1:22" x14ac:dyDescent="0.2">
      <c r="A914" s="5" t="s">
        <v>276</v>
      </c>
    </row>
    <row r="915" spans="1:22" x14ac:dyDescent="0.2">
      <c r="A915" s="8" t="s">
        <v>74</v>
      </c>
      <c r="B915" s="8" t="s">
        <v>75</v>
      </c>
      <c r="C915" s="8" t="s">
        <v>190</v>
      </c>
      <c r="D915" s="8" t="s">
        <v>191</v>
      </c>
      <c r="E915" s="8" t="s">
        <v>192</v>
      </c>
      <c r="F915" s="8" t="s">
        <v>193</v>
      </c>
      <c r="G915" s="8" t="s">
        <v>194</v>
      </c>
      <c r="H915" s="8" t="s">
        <v>195</v>
      </c>
      <c r="I915" s="8" t="s">
        <v>196</v>
      </c>
      <c r="J915" s="8" t="s">
        <v>197</v>
      </c>
      <c r="K915" s="8" t="s">
        <v>198</v>
      </c>
      <c r="L915" s="8" t="s">
        <v>199</v>
      </c>
      <c r="M915" s="8" t="s">
        <v>200</v>
      </c>
      <c r="N915" s="8" t="s">
        <v>201</v>
      </c>
      <c r="O915" s="8" t="s">
        <v>202</v>
      </c>
      <c r="P915" s="8" t="s">
        <v>203</v>
      </c>
      <c r="R915" t="s">
        <v>252</v>
      </c>
    </row>
    <row r="916" spans="1:22" x14ac:dyDescent="0.2">
      <c r="A916" t="str">
        <f>Skills!A2</f>
        <v>BASIC_ATTACK</v>
      </c>
      <c r="B916" t="str">
        <f>Skills!B2</f>
        <v>Basic Attack</v>
      </c>
      <c r="C916" t="b">
        <f>TRUE</f>
        <v>1</v>
      </c>
      <c r="F916">
        <f>T918+Skills!O2</f>
        <v>510.52</v>
      </c>
      <c r="G916">
        <f>Calc!G2</f>
        <v>5</v>
      </c>
      <c r="H916">
        <f>Calc!H2</f>
        <v>1</v>
      </c>
      <c r="I916">
        <f>IF(Skills!X2&lt;&gt;"",1+(Skills!X2/10)*(R917/1000)/100,1)</f>
        <v>1</v>
      </c>
      <c r="J916">
        <f>((Inputs!$B$5*(1+(Inputs!$B$6+1)/100))+((Inputs!$B$11*(1+Inputs!$B$12/100))-(Inputs!$B$11*(1+Inputs!$B$12/100)))*(1+(Inputs!$B$6+1)/100))*(F916/100)</f>
        <v>1275483377.5071976</v>
      </c>
      <c r="K916">
        <f>J916*(1+((Inputs!$B$11*(1+Inputs!$B$12/100))*0.01+Inputs!$B$13*0.0025)/100)*(1+Inputs!$B$14/100)*(1+IF(Inputs!$B$4="pvp",0,(1-Summary!$B$56)*(Inputs!$B$19+Skills!P2)+Summary!$B$56*(Inputs!$B$20+Skills!Q2))/100)*(1+Inputs!$B$15/100)*(5000/(6000+Inputs!$B$7*(1-Inputs!$B$18/100)))*(1+Inputs!$B$23/100)*(1+F937/100)*(1+IF(Inputs!$B$3&gt;=120,F940,0)/100)^5*(1+(IF(Skills!A2="BASIC_ATTACK",Inputs!$B$16,Inputs!$B$17+IF(Inputs!$B$3&gt;=125,F941*5,0)))/100)*(B944*B945*B946*I916)</f>
        <v>6961203858199.7051</v>
      </c>
      <c r="L916">
        <f>K916*(MIN(Inputs!$B$21+(F936-Calc!F22),Inputs!$B$22)/100+Inputs!$B$22/100)/2</f>
        <v>18791769815210.102</v>
      </c>
      <c r="M916">
        <f>L916*(1+(Inputs!$B$9+(F935-Calc!F21))/100)</f>
        <v>78756307295545.547</v>
      </c>
      <c r="N916">
        <f>L916*(1-MIN(Inputs!$B$8+(F934-Calc!F20),100)/100)+M916*(MIN(Inputs!$B$8+(F934-Calc!F20),100)/100)</f>
        <v>78756307295545.547</v>
      </c>
      <c r="O916">
        <f>Skills!G2*N916*B950*IF(Inputs!$B$4="pvp",1,(1-Summary!$B$56)*(1)+Summary!$B$56*(MIN((6+Inputs!$B$32+IF(Inputs!$B$3&gt;=136,1,0)),Inputs!$B$37)))</f>
        <v>3897925724008422</v>
      </c>
      <c r="P916">
        <f>IF(B953=0,0,O916/B953)</f>
        <v>0.46738363090508694</v>
      </c>
      <c r="R916">
        <f>MAX(0,(Inputs!$B$3-100)*3)+Inputs!$B$27+Inputs!$B$28</f>
        <v>172</v>
      </c>
      <c r="S916">
        <v>0</v>
      </c>
      <c r="T916">
        <f>MAX(0,(Inputs!$B$3-100)*3)+Inputs!$B$27+Inputs!$B$28</f>
        <v>172</v>
      </c>
      <c r="V916">
        <f>IFERROR(1/IF(Inputs!$B$4="pvp",15,MAX(0.1,Skills!E2-IF(Skills!F2=TRUE,Inputs!$B$31,0))),0)</f>
        <v>10</v>
      </c>
    </row>
    <row r="917" spans="1:22" x14ac:dyDescent="0.2">
      <c r="A917" t="str">
        <f>Skills!A3</f>
        <v>IGNITE</v>
      </c>
      <c r="B917" t="str">
        <f>Skills!B3</f>
        <v>Ignite</v>
      </c>
      <c r="C917" t="b">
        <f>TRUE</f>
        <v>1</v>
      </c>
      <c r="D917">
        <f>IF(Skills!C3=1,60+Inputs!$B$24+Inputs!$B$28,IF(Skills!C3=2,90+Inputs!$B$25+Inputs!$B$28,IF(Skills!C3=3,120+Inputs!$B$26+Inputs!$B$28,MAX(0,(Inputs!$B$3-100)*3)+Inputs!$B$27+Inputs!$B$28)))</f>
        <v>164</v>
      </c>
      <c r="E917">
        <f>INDEX(FactorTable!$B$2:$Y$301, MATCH(ROUND(MIN(300,MAX(1,D917)),0), FactorTable!$A$2:$A$301,0), Skills!M3+1)</f>
        <v>1656</v>
      </c>
      <c r="F917">
        <f>IF(Skills!N3=TRUE,(Skills!L3/10)*(E917/1000),Skills!L3/10)+Skills!O3</f>
        <v>121.52799999999999</v>
      </c>
      <c r="G917">
        <f>Calc!G3</f>
        <v>3</v>
      </c>
      <c r="H917">
        <f>Calc!H3</f>
        <v>1</v>
      </c>
      <c r="I917">
        <f>IF(Skills!X3&lt;&gt;"",1+(Skills!X3/10)*(R917/1000)/100,1)</f>
        <v>4.76</v>
      </c>
      <c r="J917">
        <f>((Inputs!$B$5*(1+(Inputs!$B$6+1)/100))+((Inputs!$B$11*(1+Inputs!$B$12/100))-(Inputs!$B$11*(1+Inputs!$B$12/100)))*(1+(Inputs!$B$6+1)/100))*(F917/100)</f>
        <v>303625605.07266062</v>
      </c>
      <c r="K917">
        <f>J917*(1+((Inputs!$B$11*(1+Inputs!$B$12/100))*0.01+Inputs!$B$13*0.0025)/100)*(1+Inputs!$B$14/100)*(1+IF(Inputs!$B$4="pvp",0,(1-Summary!$B$56)*(Inputs!$B$19+Skills!P3)+Summary!$B$56*(Inputs!$B$20+Skills!Q3))/100)*(1+Inputs!$B$15/100)*(5000/(6000+Inputs!$B$7*(1-Inputs!$B$18/100)))*(1+Inputs!$B$23/100)*(1+F937/100)*(1+IF(Inputs!$B$3&gt;=120,F940,0)/100)^5*(1+(IF(Skills!A3="BASIC_ATTACK",Inputs!$B$16,Inputs!$B$17+IF(Inputs!$B$3&gt;=125,F941*5,0)))/100)*(B944*B945*B946*I917)</f>
        <v>10995408938543.402</v>
      </c>
      <c r="L917">
        <f>K917*(MIN(Inputs!$B$21+(F936-Calc!F22),Inputs!$B$22)/100+Inputs!$B$22/100)/2</f>
        <v>29682106429597.91</v>
      </c>
      <c r="M917">
        <f>L917*(1+(Inputs!$B$9+(F935-Calc!F21))/100)</f>
        <v>124397708046444.86</v>
      </c>
      <c r="N917">
        <f>L917*(1-MIN(Inputs!$B$8+(F934-Calc!F20),100)/100)+M917*(MIN(Inputs!$B$8+(F934-Calc!F20),100)/100)</f>
        <v>124397708046444.86</v>
      </c>
      <c r="O917">
        <f>IF(C917,H917*N917*IF(AND(Inputs!$B$4&lt;&gt;"pvp",Inputs!$B$35&gt;0),((Skills!G3*((S917-1)*IF(Skills!H3&gt;0,Skills!I3/Skills!H3,1)+IF(Skills!H3&gt;0,MIN(Skills!I3,MAX(0,Inputs!$B$35-((S917-1)*IF(Inputs!$B$4="pvp",15,MAX(0.1,Skills!E3-IF(Skills!F3=TRUE,Inputs!$B$31,0))))))/Skills!H3,1)))/Inputs!$B$35),G917*V917)*IF(Inputs!$B$4="pvp",1,(1-Summary!$B$56)*(1)+Summary!$B$56*(MIN(Skills!R3,Inputs!$B$37))),0)</f>
        <v>821024873106536</v>
      </c>
      <c r="P917">
        <f>IF(B953=0,0,O917/B953)</f>
        <v>9.8445587070168594E-2</v>
      </c>
      <c r="R917">
        <f>INDEX(FactorTable!$B$2:$Y$301, MATCH(ROUND(MIN(300,MAX(1,R916)),0), FactorTable!$A$2:$A$301,0), 24)</f>
        <v>7520</v>
      </c>
      <c r="S917">
        <f>IF(AND(Inputs!$B$4&lt;&gt;"pvp",Inputs!$B$35&gt;0),(INT(Inputs!$B$35/IF(Inputs!$B$4="pvp",15,MAX(0.1,Skills!E3-IF(Skills!F3=TRUE,Inputs!$B$31,0))))+1),0)</f>
        <v>0</v>
      </c>
      <c r="T917">
        <f>INDEX(FactorTable!$B$2:$Y$301, MATCH(ROUND(MIN(300,MAX(1,T916)),0), FactorTable!$A$2:$A$301,0), 22)</f>
        <v>1688</v>
      </c>
      <c r="V917">
        <f>IFERROR(1/IF(Inputs!$B$4="pvp",15,MAX(0.1,Skills!E3-IF(Skills!F3=TRUE,Inputs!$B$31,0))),0)</f>
        <v>1</v>
      </c>
    </row>
    <row r="918" spans="1:22" x14ac:dyDescent="0.2">
      <c r="A918" t="str">
        <f>Skills!A4</f>
        <v>POISON_BREATH</v>
      </c>
      <c r="B918" t="str">
        <f>Skills!B4</f>
        <v>Poison Breath</v>
      </c>
      <c r="C918" t="b">
        <f>TRUE</f>
        <v>1</v>
      </c>
      <c r="D918">
        <f>IF(Skills!C4=1,60+Inputs!$B$24+Inputs!$B$28,IF(Skills!C4=2,90+Inputs!$B$25+Inputs!$B$28,IF(Skills!C4=3,120+Inputs!$B$26+Inputs!$B$28,MAX(0,(Inputs!$B$3-100)*3)+Inputs!$B$27+Inputs!$B$28)))</f>
        <v>164</v>
      </c>
      <c r="E918">
        <f>INDEX(FactorTable!$B$2:$Y$301, MATCH(ROUND(MIN(300,MAX(1,D918)),0), FactorTable!$A$2:$A$301,0), Skills!M4+1)</f>
        <v>1820</v>
      </c>
      <c r="F918">
        <f>IF(Skills!N4=TRUE,(Skills!L4/10)*(E918/1000),Skills!L4/10)+Skills!O4</f>
        <v>434</v>
      </c>
      <c r="G918">
        <f>Calc!G4</f>
        <v>3</v>
      </c>
      <c r="H918">
        <f>Calc!H4</f>
        <v>1</v>
      </c>
      <c r="I918">
        <f>IF(Skills!X4&lt;&gt;"",1+(Skills!X4/10)*(R917/1000)/100,1)</f>
        <v>7.0159999999999991</v>
      </c>
      <c r="J918">
        <f>((Inputs!$B$5*(1+(Inputs!$B$6+1)/100))+((Inputs!$B$11*(1+Inputs!$B$12/100))-(Inputs!$B$11*(1+Inputs!$B$12/100)))*(1+(Inputs!$B$6+1)/100))*(F918/100)</f>
        <v>1084305778.1049199</v>
      </c>
      <c r="K918">
        <f>J918*(1+((Inputs!$B$11*(1+Inputs!$B$12/100))*0.01+Inputs!$B$13*0.0025)/100)*(1+Inputs!$B$14/100)*(1+IF(Inputs!$B$4="pvp",0,(1-Summary!$B$56)*(Inputs!$B$19+Skills!P4)+Summary!$B$56*(Inputs!$B$20+Skills!Q4))/100)*(1+Inputs!$B$15/100)*(5000/(6000+Inputs!$B$7*(1-Inputs!$B$18/100)))*(1+Inputs!$B$23/100)*(1+F937/100)*(1+IF(Inputs!$B$3&gt;=120,F940,0)/100)^5*(1+(IF(Skills!A4="BASIC_ATTACK",Inputs!$B$16,Inputs!$B$17+IF(Inputs!$B$3&gt;=125,F941*5,0)))/100)*(B944*B945*B946*I918)</f>
        <v>57877184016112.383</v>
      </c>
      <c r="L918">
        <f>K918*(MIN(Inputs!$B$21+(F936-Calc!F22),Inputs!$B$22)/100+Inputs!$B$22/100)/2</f>
        <v>156239458251495.34</v>
      </c>
      <c r="M918">
        <f>L918*(1+(Inputs!$B$9+(F935-Calc!F21))/100)</f>
        <v>654799569532017.12</v>
      </c>
      <c r="N918">
        <f>L918*(1-MIN(Inputs!$B$8+(F934-Calc!F20),100)/100)+M918*(MIN(Inputs!$B$8+(F934-Calc!F20),100)/100)</f>
        <v>654799569532017.12</v>
      </c>
      <c r="O918">
        <f>IF(C918,H918*N918*IF(AND(Inputs!$B$4&lt;&gt;"pvp",Inputs!$B$35&gt;0),((Skills!G4*((S918-1)*IF(Skills!H4&gt;0,Skills!I4/Skills!H4,1)+IF(Skills!H4&gt;0,MIN(Skills!I4,MAX(0,Inputs!$B$35-((S918-1)*IF(Inputs!$B$4="pvp",15,MAX(0.1,Skills!E4-IF(Skills!F4=TRUE,Inputs!$B$31,0))))))/Skills!H4,1)))/Inputs!$B$35),G918*V918)*IF(Inputs!$B$4="pvp",1,(1-Summary!$B$56)*(1)+Summary!$B$56*(MIN(Skills!R4,Inputs!$B$37))),0)</f>
        <v>436533046354678</v>
      </c>
      <c r="P918">
        <f>IF(B953=0,0,O918/B953)</f>
        <v>5.2342813758261136E-2</v>
      </c>
      <c r="S918">
        <f>IF(AND(Inputs!$B$4&lt;&gt;"pvp",Inputs!$B$35&gt;0),(INT(Inputs!$B$35/IF(Inputs!$B$4="pvp",15,MAX(0.1,Skills!E4-IF(Skills!F4=TRUE,Inputs!$B$31,0))))+1),0)</f>
        <v>0</v>
      </c>
      <c r="T918">
        <f>290*T917/1000</f>
        <v>489.52</v>
      </c>
      <c r="V918">
        <f>IFERROR(1/IF(Inputs!$B$4="pvp",15,MAX(0.1,Skills!E4-IF(Skills!F4=TRUE,Inputs!$B$31,0))),0)</f>
        <v>5.5555555555555552E-2</v>
      </c>
    </row>
    <row r="919" spans="1:22" x14ac:dyDescent="0.2">
      <c r="A919" t="str">
        <f>Skills!A5</f>
        <v>ELEMENTAL_DRAIN</v>
      </c>
      <c r="B919" t="str">
        <f>Skills!B5</f>
        <v>Elemental Drain</v>
      </c>
      <c r="C919" t="b">
        <f>TRUE</f>
        <v>1</v>
      </c>
      <c r="D919">
        <f>IF(Skills!C5=1,60+Inputs!$B$24+Inputs!$B$28,IF(Skills!C5=2,90+Inputs!$B$25+Inputs!$B$28,IF(Skills!C5=3,120+Inputs!$B$26+Inputs!$B$28,MAX(0,(Inputs!$B$3-100)*3)+Inputs!$B$27+Inputs!$B$28)))</f>
        <v>164</v>
      </c>
      <c r="E919">
        <f>INDEX(FactorTable!$B$2:$Y$301, MATCH(ROUND(MIN(300,MAX(1,D919)),0), FactorTable!$A$2:$A$301,0), Skills!M5+1)</f>
        <v>1656</v>
      </c>
      <c r="F919">
        <f>IF(Skills!N5=TRUE,(Skills!L5/10)*(E919/1000),Skills!L5/10)+Skills!O5</f>
        <v>19.872</v>
      </c>
      <c r="G919">
        <f>Calc!G5</f>
        <v>5</v>
      </c>
      <c r="H919">
        <f>Calc!H5</f>
        <v>1</v>
      </c>
      <c r="I919">
        <f>IF(Skills!X5&lt;&gt;"",1+(Skills!X5/10)*(R917/1000)/100,1)</f>
        <v>12.28</v>
      </c>
      <c r="J919">
        <f>((Inputs!$B$5*(1+(Inputs!$B$6+1)/100))+((Inputs!$B$11*(1+Inputs!$B$12/100))-(Inputs!$B$11*(1+Inputs!$B$12/100)))*(1+(Inputs!$B$6+1)/100))*(F919/100)</f>
        <v>49648212.95507136</v>
      </c>
      <c r="K919">
        <f>J919*(1+((Inputs!$B$11*(1+Inputs!$B$12/100))*0.01+Inputs!$B$13*0.0025)/100)*(1+Inputs!$B$14/100)*(1+IF(Inputs!$B$4="pvp",0,(1-Summary!$B$56)*(Inputs!$B$19+Skills!P5)+Summary!$B$56*(Inputs!$B$20+Skills!Q5))/100)*(1+Inputs!$B$15/100)*(5000/(6000+Inputs!$B$7*(1-Inputs!$B$18/100)))*(1+Inputs!$B$23/100)*(1+F937/100)*(1+IF(Inputs!$B$3&gt;=120,F940,0)/100)^5*(1+(IF(Skills!A5="BASIC_ATTACK",Inputs!$B$16,Inputs!$B$17+IF(Inputs!$B$3&gt;=125,F941*5,0)))/100)*(B944*B945*B946*I919)</f>
        <v>4638398184476.7324</v>
      </c>
      <c r="L919">
        <f>K919*(MIN(Inputs!$B$21+(F936-Calc!F22),Inputs!$B$22)/100+Inputs!$B$22/100)/2</f>
        <v>12521355898994.938</v>
      </c>
      <c r="M919">
        <f>L919*(1+(Inputs!$B$9+(F935-Calc!F21))/100)</f>
        <v>52477002572687.789</v>
      </c>
      <c r="N919">
        <f>L919*(1-MIN(Inputs!$B$8+(F934-Calc!F20),100)/100)+M919*(MIN(Inputs!$B$8+(F934-Calc!F20),100)/100)</f>
        <v>52477002572687.789</v>
      </c>
      <c r="O919">
        <f>IF(C919,H919*N919*IF(AND(Inputs!$B$4&lt;&gt;"pvp",Inputs!$B$35&gt;0),((Skills!G5*((S919-1)*IF(Skills!H5&gt;0,Skills!I5/Skills!H5,1)+IF(Skills!H5&gt;0,MIN(Skills!I5,MAX(0,Inputs!$B$35-((S919-1)*IF(Inputs!$B$4="pvp",15,MAX(0.1,Skills!E5-IF(Skills!F5=TRUE,Inputs!$B$31,0))))))/Skills!H5,1)))/Inputs!$B$35),G919*V919)*IF(Inputs!$B$4="pvp",1,(1-Summary!$B$56)*(1)+Summary!$B$56*(MIN(Skills!R5,Inputs!$B$37))),0)</f>
        <v>262385012863438.94</v>
      </c>
      <c r="P919">
        <f>IF(B953=0,0,O919/B953)</f>
        <v>3.1461466608214687E-2</v>
      </c>
      <c r="S919">
        <f>IF(AND(Inputs!$B$4&lt;&gt;"pvp",Inputs!$B$35&gt;0),(INT(Inputs!$B$35/IF(Inputs!$B$4="pvp",15,MAX(0.1,Skills!E5-IF(Skills!F5=TRUE,Inputs!$B$31,0))))+1),0)</f>
        <v>0</v>
      </c>
      <c r="V919">
        <f>IFERROR(1/IF(Inputs!$B$4="pvp",15,MAX(0.1,Skills!E5-IF(Skills!F5=TRUE,Inputs!$B$31,0))),0)</f>
        <v>1</v>
      </c>
    </row>
    <row r="920" spans="1:22" x14ac:dyDescent="0.2">
      <c r="A920" t="str">
        <f>Skills!A6</f>
        <v>MEDITATION</v>
      </c>
      <c r="B920" t="str">
        <f>Skills!B6</f>
        <v>Meditation</v>
      </c>
      <c r="C920" t="b">
        <f>TRUE</f>
        <v>1</v>
      </c>
      <c r="D920">
        <f>IF(Skills!C6=1,60+Inputs!$B$24+Inputs!$B$28,IF(Skills!C6=2,90+Inputs!$B$25+Inputs!$B$28,IF(Skills!C6=3,120+Inputs!$B$26+Inputs!$B$28,MAX(0,(Inputs!$B$3-100)*3)+Inputs!$B$27+Inputs!$B$28)))</f>
        <v>164</v>
      </c>
      <c r="E920">
        <f>INDEX(FactorTable!$B$2:$Y$301, MATCH(ROUND(MIN(300,MAX(1,D920)),0), FactorTable!$A$2:$A$301,0), Skills!M6+1)</f>
        <v>1492</v>
      </c>
      <c r="F920">
        <f>IF(Skills!N6=TRUE,(Skills!L6/10)*(E920/1000),Skills!L6/10)+Skills!O6</f>
        <v>29.84</v>
      </c>
      <c r="G920">
        <f>Calc!G6</f>
        <v>1</v>
      </c>
      <c r="H920">
        <f>Calc!H6</f>
        <v>1</v>
      </c>
      <c r="I920">
        <f>IF(Skills!X6&lt;&gt;"",1+(Skills!X6/10)*(R917/1000)/100,1)</f>
        <v>1</v>
      </c>
      <c r="O920">
        <v>0</v>
      </c>
      <c r="P920">
        <f>IF(B953=0,0,O920/B953)</f>
        <v>0</v>
      </c>
      <c r="S920">
        <f>IF(AND(Inputs!$B$4&lt;&gt;"pvp",Inputs!$B$35&gt;0),(INT(Inputs!$B$35/IF(Inputs!$B$4="pvp",15,MAX(0.1,Skills!E6-IF(Skills!F6=TRUE,Inputs!$B$31,0))))+1),0)</f>
        <v>0</v>
      </c>
      <c r="V920">
        <f>IFERROR(1/IF(Inputs!$B$4="pvp",15,MAX(0.1,Skills!E6-IF(Skills!F6=TRUE,Inputs!$B$31,0))),0)</f>
        <v>3.3333333333333333E-2</v>
      </c>
    </row>
    <row r="921" spans="1:22" x14ac:dyDescent="0.2">
      <c r="A921" t="str">
        <f>Skills!A7</f>
        <v>POISON_MIST_BURST</v>
      </c>
      <c r="B921" t="str">
        <f>Skills!B7</f>
        <v>Poison Mist (burst)</v>
      </c>
      <c r="C921" t="b">
        <f>TRUE</f>
        <v>1</v>
      </c>
      <c r="D921">
        <f>IF(Skills!C7=1,60+Inputs!$B$24+Inputs!$B$28,IF(Skills!C7=2,90+Inputs!$B$25+Inputs!$B$28,IF(Skills!C7=3,120+Inputs!$B$26+Inputs!$B$28,MAX(0,(Inputs!$B$3-100)*3)+Inputs!$B$27+Inputs!$B$28)))</f>
        <v>184</v>
      </c>
      <c r="E921">
        <f>INDEX(FactorTable!$B$2:$Y$301, MATCH(ROUND(MIN(300,MAX(1,D921)),0), FactorTable!$A$2:$A$301,0), Skills!M7+1)</f>
        <v>1920</v>
      </c>
      <c r="F921">
        <f>IF(Skills!N7=TRUE,(Skills!L7/10)*(E921/1000),Skills!L7/10)+Skills!O7</f>
        <v>357.2</v>
      </c>
      <c r="G921">
        <f>Calc!G7</f>
        <v>3</v>
      </c>
      <c r="H921">
        <f>Calc!H7</f>
        <v>1</v>
      </c>
      <c r="I921">
        <f>IF(Skills!X7&lt;&gt;"",1+(Skills!X7/10)*(R917/1000)/100,1)</f>
        <v>1.7519999999999998</v>
      </c>
      <c r="J921">
        <f>((Inputs!$B$5*(1+(Inputs!$B$6+1)/100))+((Inputs!$B$11*(1+Inputs!$B$12/100))-(Inputs!$B$11*(1+Inputs!$B$12/100)))*(1+(Inputs!$B$6+1)/100))*(F921/100)</f>
        <v>892428626.58773601</v>
      </c>
      <c r="K921">
        <f>J921*(1+((Inputs!$B$11*(1+Inputs!$B$12/100))*0.01+Inputs!$B$13*0.0025)/100)*(1+Inputs!$B$14/100)*(1+IF(Inputs!$B$4="pvp",0,(1-Summary!$B$56)*(Inputs!$B$19+Skills!P7)+Summary!$B$56*(Inputs!$B$20+Skills!Q7))/100)*(1+Inputs!$B$15/100)*(5000/(6000+Inputs!$B$7*(1-Inputs!$B$18/100)))*(1+Inputs!$B$23/100)*(1+F937/100)*(1+IF(Inputs!$B$3&gt;=120,F940,0)/100)^5*(1+(IF(Skills!A7="BASIC_ATTACK",Inputs!$B$16,Inputs!$B$17+IF(Inputs!$B$3&gt;=125,F941*5,0)))/100)*(B944*B945*B946*I921)</f>
        <v>11895251665952.795</v>
      </c>
      <c r="L921">
        <f>K921*(MIN(Inputs!$B$21+(F936-Calc!F22),Inputs!$B$22)/100+Inputs!$B$22/100)/2</f>
        <v>32111231872239.566</v>
      </c>
      <c r="M921">
        <f>L921*(1+(Inputs!$B$9+(F935-Calc!F21))/100)</f>
        <v>134578172776556.05</v>
      </c>
      <c r="N921">
        <f>L921*(1-MIN(Inputs!$B$8+(F934-Calc!F20),100)/100)+M921*(MIN(Inputs!$B$8+(F934-Calc!F20),100)/100)</f>
        <v>134578172776556.05</v>
      </c>
      <c r="O921">
        <f>IF(C921,H921*N921*IF(AND(Inputs!$B$4&lt;&gt;"pvp",Inputs!$B$35&gt;0),((Skills!G7*((S921-1)*IF(Skills!H7&gt;0,Skills!I7/Skills!H7,1)+IF(Skills!H7&gt;0,MIN(Skills!I7,MAX(0,Inputs!$B$35-((S921-1)*IF(Inputs!$B$4="pvp",15,MAX(0.1,Skills!E7-IF(Skills!F7=TRUE,Inputs!$B$31,0))))))/Skills!H7,1)))/Inputs!$B$35),G921*V921)*IF(Inputs!$B$4="pvp",1,(1-Summary!$B$56)*(1)+Summary!$B$56*(MIN(Skills!R7,Inputs!$B$37))),0)</f>
        <v>105465343563668.42</v>
      </c>
      <c r="P921">
        <f>IF(B953=0,0,O921/B953)</f>
        <v>1.2645899049802747E-2</v>
      </c>
      <c r="S921">
        <f>IF(AND(Inputs!$B$4&lt;&gt;"pvp",Inputs!$B$35&gt;0),(INT(Inputs!$B$35/IF(Inputs!$B$4="pvp",15,MAX(0.1,Skills!E7-IF(Skills!F7=TRUE,Inputs!$B$31,0))))+1),0)</f>
        <v>0</v>
      </c>
      <c r="V921">
        <f>IFERROR(1/IF(Inputs!$B$4="pvp",15,MAX(0.1,Skills!E7-IF(Skills!F7=TRUE,Inputs!$B$31,0))),0)</f>
        <v>4.0816326530612242E-2</v>
      </c>
    </row>
    <row r="922" spans="1:22" x14ac:dyDescent="0.2">
      <c r="A922" t="str">
        <f>Skills!A8</f>
        <v>POISON_MIST_DOT</v>
      </c>
      <c r="B922" t="str">
        <f>Skills!B8</f>
        <v>Poison Mist (fog DoT)</v>
      </c>
      <c r="C922" t="b">
        <f>TRUE</f>
        <v>1</v>
      </c>
      <c r="D922">
        <f>IF(Skills!C8=1,60+Inputs!$B$24+Inputs!$B$28,IF(Skills!C8=2,90+Inputs!$B$25+Inputs!$B$28,IF(Skills!C8=3,120+Inputs!$B$26+Inputs!$B$28,MAX(0,(Inputs!$B$3-100)*3)+Inputs!$B$27+Inputs!$B$28)))</f>
        <v>184</v>
      </c>
      <c r="E922">
        <f>INDEX(FactorTable!$B$2:$Y$301, MATCH(ROUND(MIN(300,MAX(1,D922)),0), FactorTable!$A$2:$A$301,0), Skills!M8+1)</f>
        <v>1920</v>
      </c>
      <c r="F922">
        <f>IF(Skills!N8=TRUE,(Skills!L8/10)*(E922/1000),Skills!L8/10)+Skills!O8</f>
        <v>134.4</v>
      </c>
      <c r="G922">
        <f>Calc!G8</f>
        <v>50</v>
      </c>
      <c r="H922">
        <f>Calc!H8</f>
        <v>1</v>
      </c>
      <c r="I922">
        <f>IF(Skills!X8&lt;&gt;"",1+(Skills!X8/10)*(R917/1000)/100,1)</f>
        <v>1.7519999999999998</v>
      </c>
      <c r="J922">
        <f>((Inputs!$B$5*(1+(Inputs!$B$6+1)/100))+((Inputs!$B$11*(1+Inputs!$B$12/100))-(Inputs!$B$11*(1+Inputs!$B$12/100)))*(1+(Inputs!$B$6+1)/100))*(F922/100)</f>
        <v>335785015.15507203</v>
      </c>
      <c r="K922">
        <f>J922*(1+((Inputs!$B$11*(1+Inputs!$B$12/100))*0.01+Inputs!$B$13*0.0025)/100)*(1+Inputs!$B$14/100)*(1+IF(Inputs!$B$4="pvp",0,(1-Summary!$B$56)*(Inputs!$B$19+Skills!P8)+Summary!$B$56*(Inputs!$B$20+Skills!Q8))/100)*(1+Inputs!$B$15/100)*(5000/(6000+Inputs!$B$7*(1-Inputs!$B$18/100)))*(1+Inputs!$B$23/100)*(1+F937/100)*(1+IF(Inputs!$B$3&gt;=120,F940,0)/100)^5*(1+(IF(Skills!A8="BASIC_ATTACK",Inputs!$B$16,Inputs!$B$17+IF(Inputs!$B$3&gt;=125,F941*5,0)))/100)*(B944*B945*B946*I922)</f>
        <v>4475704994132.2939</v>
      </c>
      <c r="L922">
        <f>K922*(MIN(Inputs!$B$21+(F936-Calc!F22),Inputs!$B$22)/100+Inputs!$B$22/100)/2</f>
        <v>12082165631660.125</v>
      </c>
      <c r="M922">
        <f>L922*(1+(Inputs!$B$9+(F935-Calc!F21))/100)</f>
        <v>50636356162287.594</v>
      </c>
      <c r="N922">
        <f>L922*(1-MIN(Inputs!$B$8+(F934-Calc!F20),100)/100)+M922*(MIN(Inputs!$B$8+(F934-Calc!F20),100)/100)</f>
        <v>50636356162287.594</v>
      </c>
      <c r="O922">
        <f>IF(C922,H922*N922*IF(AND(Inputs!$B$4&lt;&gt;"pvp",Inputs!$B$35&gt;0),((Skills!G8*((S922-1)*IF(Skills!H8&gt;0,Skills!I8/Skills!H8,1)+IF(Skills!H8&gt;0,MIN(Skills!I8,MAX(0,Inputs!$B$35-((S922-1)*IF(Inputs!$B$4="pvp",15,MAX(0.1,Skills!E8-IF(Skills!F8=TRUE,Inputs!$B$31,0))))))/Skills!H8,1)))/Inputs!$B$35),G922*V922)*IF(Inputs!$B$4="pvp",1,(1-Summary!$B$56)*(1)+Summary!$B$56*(MIN(Skills!R8,Inputs!$B$37))),0)</f>
        <v>661372815180899.25</v>
      </c>
      <c r="P922">
        <f>IF(B953=0,0,O922/B953)</f>
        <v>7.9302390457889546E-2</v>
      </c>
      <c r="S922">
        <f>IF(AND(Inputs!$B$4&lt;&gt;"pvp",Inputs!$B$35&gt;0),(INT(Inputs!$B$35/IF(Inputs!$B$4="pvp",15,MAX(0.1,Skills!E8-IF(Skills!F8=TRUE,Inputs!$B$31,0))))+1),0)</f>
        <v>0</v>
      </c>
      <c r="V922">
        <f>IFERROR(1/IF(Inputs!$B$4="pvp",15,MAX(0.1,Skills!E8-IF(Skills!F8=TRUE,Inputs!$B$31,0))),0)</f>
        <v>4.0816326530612242E-2</v>
      </c>
    </row>
    <row r="923" spans="1:22" x14ac:dyDescent="0.2">
      <c r="A923" t="str">
        <f>Skills!A9</f>
        <v>MIST_ERUPTION</v>
      </c>
      <c r="B923" t="str">
        <f>Skills!B9</f>
        <v>Mist Eruption</v>
      </c>
      <c r="C923" t="b">
        <f>Inputs!$B$3&gt;=103</f>
        <v>1</v>
      </c>
      <c r="D923">
        <f>IF(Skills!C9=1,60+Inputs!$B$24+Inputs!$B$28,IF(Skills!C9=2,90+Inputs!$B$25+Inputs!$B$28,IF(Skills!C9=3,120+Inputs!$B$26+Inputs!$B$28,MAX(0,(Inputs!$B$3-100)*3)+Inputs!$B$27+Inputs!$B$28)))</f>
        <v>172</v>
      </c>
      <c r="E923">
        <f>INDEX(FactorTable!$B$2:$Y$301, MATCH(ROUND(MIN(300,MAX(1,D923)),0), FactorTable!$A$2:$A$301,0), Skills!M9+1)</f>
        <v>1860</v>
      </c>
      <c r="F923">
        <f>IF(Skills!N9=TRUE,(Skills!L9/10)*(E923/1000),Skills!L9/10)+Skills!O9</f>
        <v>5580</v>
      </c>
      <c r="G923">
        <f>Calc!G9</f>
        <v>2.8</v>
      </c>
      <c r="H923">
        <f>Calc!H9</f>
        <v>1</v>
      </c>
      <c r="I923">
        <f>IF(Skills!X9&lt;&gt;"",1+(Skills!X9/10)*(R917/1000)/100,1)</f>
        <v>1</v>
      </c>
      <c r="J923">
        <f>((Inputs!$B$5*(1+(Inputs!$B$6+1)/100))+((Inputs!$B$11*(1+Inputs!$B$12/100))-(Inputs!$B$11*(1+Inputs!$B$12/100)))*(1+(Inputs!$B$6+1)/100))*(F923/100)</f>
        <v>13941074289.920399</v>
      </c>
      <c r="K923">
        <f>J923*(1+((Inputs!$B$11*(1+Inputs!$B$12/100))*0.01+Inputs!$B$13*0.0025)/100)*(1+Inputs!$B$14/100)*(1+IF(Inputs!$B$4="pvp",0,(1-Summary!$B$56)*(Inputs!$B$19+Skills!P9)+Summary!$B$56*(Inputs!$B$20+Skills!Q9))/100)*(1+Inputs!$B$15/100)*(5000/(6000+Inputs!$B$7*(1-Inputs!$B$18/100)))*(1+Inputs!$B$23/100)*(1+F937/100)*(1+IF(Inputs!$B$3&gt;=120,F940,0)/100)^5*(1+(IF(Skills!A9="BASIC_ATTACK",Inputs!$B$16,Inputs!$B$17+IF(Inputs!$B$3&gt;=125,F941*5,0)))/100)*(B944*B945*B946*I923)</f>
        <v>106062603059336.09</v>
      </c>
      <c r="L923">
        <f>K923*(MIN(Inputs!$B$21+(F936-Calc!F22),Inputs!$B$22)/100+Inputs!$B$22/100)/2</f>
        <v>286315996958677.75</v>
      </c>
      <c r="M923">
        <f>L923*(1+(Inputs!$B$9+(F935-Calc!F21))/100)</f>
        <v>1199950343253818.8</v>
      </c>
      <c r="N923">
        <f>L923*(1-MIN(Inputs!$B$8+(F934-Calc!F20),100)/100)+M923*(MIN(Inputs!$B$8+(F934-Calc!F20),100)/100)</f>
        <v>1199950343253818.8</v>
      </c>
      <c r="O923">
        <f>IF(C923,H923*N923*IF(AND(Inputs!$B$4&lt;&gt;"pvp",Inputs!$B$35&gt;0),((Skills!G9*((S923-1)*IF(Skills!H9&gt;0,Skills!I9/Skills!H9,1)+IF(Skills!H9&gt;0,MIN(Skills!I9,MAX(0,Inputs!$B$35-((S923-1)*IF(Inputs!$B$4="pvp",15,MAX(0.1,Skills!E9-IF(Skills!F7=TRUE,Inputs!$B$31,0))))))/Skills!H9,1)))/Inputs!$B$35),G923*V923)*IF(Inputs!$B$4="pvp",1,(1-Summary!$B$56)*(1)+Summary!$B$56*(MIN(Skills!R9,Inputs!$B$37))),0)</f>
        <v>877677965351364.5</v>
      </c>
      <c r="P923">
        <f>IF(B953=0,0,O923/B953)</f>
        <v>0.10523861747408286</v>
      </c>
      <c r="S923">
        <f>IF(AND(Inputs!$B$4&lt;&gt;"pvp",Inputs!$B$35&gt;0),(INT(Inputs!$B$35/IF(Inputs!$B$4="pvp",15,MAX(0.1,Skills!E9-IF(Skills!F7=TRUE,Inputs!$B$31,0))))+1),0)</f>
        <v>0</v>
      </c>
      <c r="V923">
        <f>IFERROR(1/IF(Inputs!$B$4="pvp",15,MAX(0.1,Skills!E9-IF(Skills!F7=TRUE,Inputs!$B$31,0))),0)</f>
        <v>4.0816326530612242E-2</v>
      </c>
    </row>
    <row r="924" spans="1:22" x14ac:dyDescent="0.2">
      <c r="A924" t="str">
        <f>Skills!A10</f>
        <v>CREEPING_TOXIN</v>
      </c>
      <c r="B924" t="str">
        <f>Skills!B10</f>
        <v>Creeping Toxin</v>
      </c>
      <c r="C924" t="b">
        <f>TRUE</f>
        <v>1</v>
      </c>
      <c r="D924">
        <f>IF(Skills!C10=1,60+Inputs!$B$24+Inputs!$B$28,IF(Skills!C10=2,90+Inputs!$B$25+Inputs!$B$28,IF(Skills!C10=3,120+Inputs!$B$26+Inputs!$B$28,MAX(0,(Inputs!$B$3-100)*3)+Inputs!$B$27+Inputs!$B$28)))</f>
        <v>184</v>
      </c>
      <c r="E924">
        <f>INDEX(FactorTable!$B$2:$Y$301, MATCH(ROUND(MIN(300,MAX(1,D924)),0), FactorTable!$A$2:$A$301,0), Skills!M10+1)</f>
        <v>1920</v>
      </c>
      <c r="F924">
        <f>IF(Skills!N10=TRUE,(Skills!L10/10)*(E924/1000),Skills!L10/10)+Skills!O10</f>
        <v>280.39999999999998</v>
      </c>
      <c r="G924">
        <f>Calc!G10</f>
        <v>15</v>
      </c>
      <c r="H924">
        <f>Calc!H10</f>
        <v>1</v>
      </c>
      <c r="I924">
        <f>IF(Skills!X10&lt;&gt;"",1+(Skills!X10/10)*(R917/1000)/100,1)</f>
        <v>1.7519999999999998</v>
      </c>
      <c r="J924">
        <f>((Inputs!$B$5*(1+(Inputs!$B$6+1)/100))+((Inputs!$B$11*(1+Inputs!$B$12/100))-(Inputs!$B$11*(1+Inputs!$B$12/100)))*(1+(Inputs!$B$6+1)/100))*(F924/100)</f>
        <v>700551475.07055187</v>
      </c>
      <c r="K924">
        <f>J924*(1+((Inputs!$B$11*(1+Inputs!$B$12/100))*0.01+Inputs!$B$13*0.0025)/100)*(1+Inputs!$B$14/100)*(1+IF(Inputs!$B$4="pvp",0,(1-Summary!$B$56)*(Inputs!$B$19+Skills!P10)+Summary!$B$56*(Inputs!$B$20+Skills!Q10))/100)*(1+Inputs!$B$15/100)*(5000/(6000+Inputs!$B$7*(1-Inputs!$B$18/100)))*(1+Inputs!$B$23/100)*(1+F937/100)*(1+IF(Inputs!$B$3&gt;=120,F940,0)/100)^5*(1+(IF(Skills!A10="BASIC_ATTACK",Inputs!$B$16,Inputs!$B$17+IF(Inputs!$B$3&gt;=125,F941*5,0)))/100)*(B944*B945*B946*I924)</f>
        <v>11019165610785.969</v>
      </c>
      <c r="L924">
        <f>K924*(MIN(Inputs!$B$21+(F936-Calc!F22),Inputs!$B$22)/100+Inputs!$B$22/100)/2</f>
        <v>29746237566316.719</v>
      </c>
      <c r="M924">
        <f>L924*(1+(Inputs!$B$9+(F935-Calc!F21))/100)</f>
        <v>124666481640433.39</v>
      </c>
      <c r="N924">
        <f>L924*(1-MIN(Inputs!$B$8+(F934-Calc!F20),100)/100)+M924*(MIN(Inputs!$B$8+(F934-Calc!F20),100)/100)</f>
        <v>124666481640433.39</v>
      </c>
      <c r="O924">
        <f>IF(C924,H924*N924*IF(AND(Inputs!$B$4&lt;&gt;"pvp",Inputs!$B$35&gt;0),((Skills!G10*((S924-1)*IF(Skills!H10&gt;0,Skills!I10/Skills!H10,1)+IF(Skills!H10&gt;0,MIN(Skills!I10,MAX(0,Inputs!$B$35-((S924-1)*IF(Inputs!$B$4="pvp",15,MAX(0.1,Skills!E10-IF(Skills!F10=TRUE,Inputs!$B$31,0))))))/Skills!H10,1)))/Inputs!$B$35),G924*V924)*IF(Inputs!$B$4="pvp",1,(1-Summary!$B$56)*(1)+Summary!$B$56*(MIN(Skills!R10,Inputs!$B$37))),0)</f>
        <v>69259156466907.445</v>
      </c>
      <c r="P924">
        <f>IF(B953=0,0,O924/B953)</f>
        <v>8.3045697416826384E-3</v>
      </c>
      <c r="S924">
        <f>IF(AND(Inputs!$B$4&lt;&gt;"pvp",Inputs!$B$35&gt;0),(INT(Inputs!$B$35/IF(Inputs!$B$4="pvp",15,MAX(0.1,Skills!E10-IF(Skills!F10=TRUE,Inputs!$B$31,0))))+1),0)</f>
        <v>0</v>
      </c>
      <c r="V924">
        <f>IFERROR(1/IF(Inputs!$B$4="pvp",15,MAX(0.1,Skills!E10-IF(Skills!F10=TRUE,Inputs!$B$31,0))),0)</f>
        <v>3.7037037037037035E-2</v>
      </c>
    </row>
    <row r="925" spans="1:22" x14ac:dyDescent="0.2">
      <c r="A925" t="str">
        <f>Skills!A11</f>
        <v>BURNING_MAGIC</v>
      </c>
      <c r="B925" t="str">
        <f>Skills!B11</f>
        <v>Burning Magic</v>
      </c>
      <c r="C925" t="b">
        <f>TRUE</f>
        <v>1</v>
      </c>
      <c r="D925">
        <f>IF(Skills!C11=1,60+Inputs!$B$24+Inputs!$B$28,IF(Skills!C11=2,90+Inputs!$B$25+Inputs!$B$28,IF(Skills!C11=3,120+Inputs!$B$26+Inputs!$B$28,MAX(0,(Inputs!$B$3-100)*3)+Inputs!$B$27+Inputs!$B$28)))</f>
        <v>184</v>
      </c>
      <c r="E925">
        <f>INDEX(FactorTable!$B$2:$Y$301, MATCH(ROUND(MIN(300,MAX(1,D925)),0), FactorTable!$A$2:$A$301,0), Skills!M11+1)</f>
        <v>0</v>
      </c>
      <c r="F925">
        <f>IF(Skills!N11=TRUE,(Skills!L11/10)*(E925/1000),Skills!L11/10)+Skills!O11</f>
        <v>5</v>
      </c>
      <c r="G925">
        <f>Calc!G11</f>
        <v>1</v>
      </c>
      <c r="H925">
        <f>Calc!H11</f>
        <v>1</v>
      </c>
      <c r="I925">
        <f>IF(Skills!X11&lt;&gt;"",1+(Skills!X11/10)*(R917/1000)/100,1)</f>
        <v>1</v>
      </c>
      <c r="O925">
        <v>0</v>
      </c>
      <c r="P925">
        <f>IF(B953=0,0,O925/B953)</f>
        <v>0</v>
      </c>
      <c r="S925">
        <v>0</v>
      </c>
      <c r="V925">
        <f>IFERROR(1/IF(Inputs!$B$4="pvp",15,MAX(0.1,Skills!E11-IF(Skills!F11=TRUE,Inputs!$B$31,0))),0)</f>
        <v>10</v>
      </c>
    </row>
    <row r="926" spans="1:22" x14ac:dyDescent="0.2">
      <c r="A926" t="str">
        <f>Skills!A12</f>
        <v>ELEMENTAL_DECREASE</v>
      </c>
      <c r="B926" t="str">
        <f>Skills!B12</f>
        <v>Elemental Decrease</v>
      </c>
      <c r="C926" t="b">
        <f>TRUE</f>
        <v>1</v>
      </c>
      <c r="D926">
        <f>IF(Skills!C12=1,60+Inputs!$B$24+Inputs!$B$28,IF(Skills!C12=2,90+Inputs!$B$25+Inputs!$B$28,IF(Skills!C12=3,120+Inputs!$B$26+Inputs!$B$28,MAX(0,(Inputs!$B$3-100)*3)+Inputs!$B$27+Inputs!$B$28)))</f>
        <v>184</v>
      </c>
      <c r="E926">
        <f>INDEX(FactorTable!$B$2:$Y$301, MATCH(ROUND(MIN(300,MAX(1,D926)),0), FactorTable!$A$2:$A$301,0), Skills!M12+1)</f>
        <v>1552</v>
      </c>
      <c r="F926">
        <f>IF(Skills!N12=TRUE,(Skills!L12/10)*(E926/1000),Skills!L12/10)+Skills!O12</f>
        <v>18.624000000000002</v>
      </c>
      <c r="G926">
        <f>Calc!G12</f>
        <v>1</v>
      </c>
      <c r="H926">
        <f>Calc!H12</f>
        <v>0.5</v>
      </c>
      <c r="I926">
        <f>IF(Skills!X12&lt;&gt;"",1+(Skills!X12/10)*(R917/1000)/100,1)</f>
        <v>1</v>
      </c>
      <c r="O926">
        <v>0</v>
      </c>
      <c r="P926">
        <f>IF(B953=0,0,O926/B953)</f>
        <v>0</v>
      </c>
      <c r="S926">
        <v>0</v>
      </c>
      <c r="V926">
        <f>IFERROR(1/IF(Inputs!$B$4="pvp",15,MAX(0.1,Skills!E12-IF(Skills!F12=TRUE,Inputs!$B$31,0))),0)</f>
        <v>10</v>
      </c>
    </row>
    <row r="927" spans="1:22" x14ac:dyDescent="0.2">
      <c r="A927" t="str">
        <f>Skills!A13</f>
        <v>METEOR_SHOWER_BURST</v>
      </c>
      <c r="B927" t="str">
        <f>Skills!B13</f>
        <v>Meteor Shower (burst)</v>
      </c>
      <c r="C927" t="b">
        <f>Inputs!$B$3&gt;=105</f>
        <v>1</v>
      </c>
      <c r="D927">
        <f>IF(Skills!C13=1,60+Inputs!$B$24+Inputs!$B$28,IF(Skills!C13=2,90+Inputs!$B$25+Inputs!$B$28,IF(Skills!C13=3,120+Inputs!$B$26+Inputs!$B$28,MAX(0,(Inputs!$B$3-100)*3)+Inputs!$B$27+Inputs!$B$28)))</f>
        <v>172</v>
      </c>
      <c r="E927">
        <f>INDEX(FactorTable!$B$2:$Y$301, MATCH(ROUND(MIN(300,MAX(1,D927)),0), FactorTable!$A$2:$A$301,0), Skills!M13+1)</f>
        <v>1860</v>
      </c>
      <c r="F927">
        <f>IF(Skills!N13=TRUE,(Skills!L13/10)*(E927/1000),Skills!L13/10)+Skills!O13</f>
        <v>1116</v>
      </c>
      <c r="G927">
        <f>Calc!G13</f>
        <v>9</v>
      </c>
      <c r="H927">
        <f>Calc!H13</f>
        <v>1</v>
      </c>
      <c r="I927">
        <f>IF(Skills!X13&lt;&gt;"",1+(Skills!X13/10)*(R917/1000)/100,1)</f>
        <v>1</v>
      </c>
      <c r="J927">
        <f>((Inputs!$B$5*(1+(Inputs!$B$6+1)/100))+((Inputs!$B$11*(1+Inputs!$B$12/100))-(Inputs!$B$11*(1+Inputs!$B$12/100)))*(1+(Inputs!$B$6+1)/100))*(F927/100)</f>
        <v>2788214857.9840798</v>
      </c>
      <c r="K927">
        <f>J927*(1+((Inputs!$B$11*(1+Inputs!$B$12/100))*0.01+Inputs!$B$13*0.0025)/100)*(1+Inputs!$B$14/100)*(1+IF(Inputs!$B$4="pvp",0,(1-Summary!$B$56)*(Inputs!$B$19+Skills!P13)+Summary!$B$56*(Inputs!$B$20+Skills!Q13))/100)*(1+Inputs!$B$15/100)*(5000/(6000+Inputs!$B$7*(1-Inputs!$B$18/100)))*(1+Inputs!$B$23/100)*(1+F937/100)*(1+IF(Inputs!$B$3&gt;=120,F940,0)/100)^5*(1+(IF(Skills!A13="BASIC_ATTACK",Inputs!$B$16,Inputs!$B$17+IF(Inputs!$B$3&gt;=125,F941*5,0)))/100)*(B944*B945*B946*I927)</f>
        <v>21212520611867.223</v>
      </c>
      <c r="L927">
        <f>K927*(MIN(Inputs!$B$21+(F936-Calc!F22),Inputs!$B$22)/100+Inputs!$B$22/100)/2</f>
        <v>57263199391735.555</v>
      </c>
      <c r="M927">
        <f>L927*(1+(Inputs!$B$9+(F935-Calc!F21))/100)</f>
        <v>239990068650763.75</v>
      </c>
      <c r="N927">
        <f>L927*(1-MIN(Inputs!$B$8+(F934-Calc!F20),100)/100)+M927*(MIN(Inputs!$B$8+(F934-Calc!F20),100)/100)</f>
        <v>239990068650763.75</v>
      </c>
      <c r="O927">
        <f>IF(C927,H927*N927*IF(AND(Inputs!$B$4&lt;&gt;"pvp",Inputs!$B$35&gt;0),((Skills!G13*((S927-1)*IF(Skills!H13&gt;0,Skills!I13/Skills!H13,1)+IF(Skills!H13&gt;0,MIN(Skills!I13,MAX(0,Inputs!$B$35-((S927-1)*IF(Inputs!$B$4="pvp",15,MAX(0.1,Skills!E13-IF(Skills!F13=TRUE,Inputs!$B$31,0))))))/Skills!H13,1)))/Inputs!$B$35),G927*V927)*IF(Inputs!$B$4="pvp",1,(1-Summary!$B$56)*(1)+Summary!$B$56*(MIN(Skills!R13,Inputs!$B$37))),0)</f>
        <v>301078449761867.25</v>
      </c>
      <c r="P927">
        <f>IF(B953=0,0,O927/B953)</f>
        <v>3.6101031420441777E-2</v>
      </c>
      <c r="S927">
        <f>IF(AND(Inputs!$B$4&lt;&gt;"pvp",Inputs!$B$35&gt;0),(INT(Inputs!$B$35/IF(Inputs!$B$4="pvp",15,MAX(0.1,Skills!E13-IF(Skills!F13=TRUE,Inputs!$B$31,0))))+1),0)</f>
        <v>0</v>
      </c>
      <c r="V927">
        <f>IFERROR(1/IF(Inputs!$B$4="pvp",15,MAX(0.1,Skills!E13-IF(Skills!F13=TRUE,Inputs!$B$31,0))),0)</f>
        <v>3.0303030303030304E-2</v>
      </c>
    </row>
    <row r="928" spans="1:22" x14ac:dyDescent="0.2">
      <c r="A928" t="str">
        <f>Skills!A14</f>
        <v>METEOR_PROC</v>
      </c>
      <c r="B928" t="str">
        <f>Skills!B14</f>
        <v>Meteor Proc (30% on-hit, 1s ICD)</v>
      </c>
      <c r="C928" t="b">
        <f>Inputs!$B$3&gt;=113</f>
        <v>1</v>
      </c>
      <c r="D928">
        <f>IF(Skills!C14=1,60+Inputs!$B$24+Inputs!$B$28,IF(Skills!C14=2,90+Inputs!$B$25+Inputs!$B$28,IF(Skills!C14=3,120+Inputs!$B$26+Inputs!$B$28,MAX(0,(Inputs!$B$3-100)*3)+Inputs!$B$27+Inputs!$B$28)))</f>
        <v>172</v>
      </c>
      <c r="E928">
        <f>INDEX(FactorTable!$B$2:$Y$301, MATCH(ROUND(MIN(300,MAX(1,D928)),0), FactorTable!$A$2:$A$301,0), Skills!M14+1)</f>
        <v>1688</v>
      </c>
      <c r="F928">
        <f>IF(Skills!N14=TRUE,(Skills!L14/10)*(E928/1000),Skills!L14/10)+Skills!O14</f>
        <v>1603.6</v>
      </c>
      <c r="G928">
        <f>Calc!G14</f>
        <v>0</v>
      </c>
      <c r="H928">
        <f>Calc!H14</f>
        <v>0.30000000000000004</v>
      </c>
      <c r="I928">
        <f>IF(Skills!X14&lt;&gt;"",1+(Skills!X14/10)*(R917/1000)/100,1)</f>
        <v>1</v>
      </c>
      <c r="J928">
        <f>((Inputs!$B$5*(1+(Inputs!$B$6+1)/100))+((Inputs!$B$11*(1+Inputs!$B$12/100))-(Inputs!$B$11*(1+Inputs!$B$12/100)))*(1+(Inputs!$B$6+1)/100))*(F928/100)</f>
        <v>4006434898.0853672</v>
      </c>
      <c r="K928">
        <f>J928*(1+((Inputs!$B$11*(1+Inputs!$B$12/100))*0.01+Inputs!$B$13*0.0025)/100)*(1+Inputs!$B$14/100)*(1+IF(Inputs!$B$4="pvp",0,(1-Summary!$B$56)*(Inputs!$B$19+Skills!P14)+Summary!$B$56*(Inputs!$B$20+Skills!Q14))/100)*(1+Inputs!$B$15/100)*(5000/(6000+Inputs!$B$7*(1-Inputs!$B$18/100)))*(1+Inputs!$B$23/100)*(1+F937/100)*(1+IF(Inputs!$B$3&gt;=120,F940,0)/100)^5*(1+(IF(Skills!A14="BASIC_ATTACK",Inputs!$B$16,Inputs!$B$17+IF(Inputs!$B$3&gt;=125,F941*5,0)))/100)*(B944*B945*B946*I928)</f>
        <v>30480643416837.156</v>
      </c>
      <c r="L928">
        <f>K928*(MIN(Inputs!$B$21+(F936-Calc!F22),Inputs!$B$22)/100+Inputs!$B$22/100)/2</f>
        <v>82282496903751.891</v>
      </c>
      <c r="M928">
        <f>L928*(1+(Inputs!$B$9+(F935-Calc!F21))/100)</f>
        <v>344845944523624.25</v>
      </c>
      <c r="N928">
        <f>L928*(1-MIN(Inputs!$B$8+(F934-Calc!F20),100)/100)+M928*(MIN(Inputs!$B$8+(F934-Calc!F20),100)/100)</f>
        <v>344845944523624.25</v>
      </c>
      <c r="O928">
        <f>IF(C928,(H928*B951)/(1+Skills!H14*H928*B951)*N928*IF(Inputs!$B$4="pvp",1,(1-Summary!$B$56)*(1)+Summary!$B$56*(MIN(Skills!R14,Inputs!$B$37))),0)</f>
        <v>108475646424144.91</v>
      </c>
      <c r="P928">
        <f>IF(B953=0,0,O928/B953)</f>
        <v>1.3006851612953852E-2</v>
      </c>
      <c r="S928">
        <v>0</v>
      </c>
      <c r="V928">
        <f>IFERROR(1/IF(Inputs!$B$4="pvp",15,MAX(0.1,Skills!E14-IF(Skills!F14=TRUE,Inputs!$B$31,0))),0)</f>
        <v>10</v>
      </c>
    </row>
    <row r="929" spans="1:22" x14ac:dyDescent="0.2">
      <c r="A929" t="str">
        <f>Skills!A15</f>
        <v>FLAME_HAZE_BURST</v>
      </c>
      <c r="B929" t="str">
        <f>Skills!B15</f>
        <v>Flame Haze (burst)</v>
      </c>
      <c r="C929" t="b">
        <f>Inputs!$B$3&gt;=107</f>
        <v>1</v>
      </c>
      <c r="D929">
        <f>IF(Skills!C15=1,60+Inputs!$B$24+Inputs!$B$28,IF(Skills!C15=2,90+Inputs!$B$25+Inputs!$B$28,IF(Skills!C15=3,120+Inputs!$B$26+Inputs!$B$28,MAX(0,(Inputs!$B$3-100)*3)+Inputs!$B$27+Inputs!$B$28)))</f>
        <v>172</v>
      </c>
      <c r="E929">
        <f>INDEX(FactorTable!$B$2:$Y$301, MATCH(ROUND(MIN(300,MAX(1,D929)),0), FactorTable!$A$2:$A$301,0), Skills!M15+1)</f>
        <v>1860</v>
      </c>
      <c r="F929">
        <f>IF(Skills!N15=TRUE,(Skills!L15/10)*(E929/1000),Skills!L15/10)+Skills!O15</f>
        <v>2232</v>
      </c>
      <c r="G929">
        <f>Calc!G15</f>
        <v>3</v>
      </c>
      <c r="H929">
        <f>Calc!H15</f>
        <v>1</v>
      </c>
      <c r="I929">
        <f>IF(Skills!X15&lt;&gt;"",1+(Skills!X15/10)*(R917/1000)/100,1)</f>
        <v>1</v>
      </c>
      <c r="J929">
        <f>((Inputs!$B$5*(1+(Inputs!$B$6+1)/100))+((Inputs!$B$11*(1+Inputs!$B$12/100))-(Inputs!$B$11*(1+Inputs!$B$12/100)))*(1+(Inputs!$B$6+1)/100))*(F929/100)</f>
        <v>5576429715.9681597</v>
      </c>
      <c r="K929">
        <f>J929*(1+((Inputs!$B$11*(1+Inputs!$B$12/100))*0.01+Inputs!$B$13*0.0025)/100)*(1+Inputs!$B$14/100)*(1+IF(Inputs!$B$4="pvp",0,(1-Summary!$B$56)*(Inputs!$B$19+Skills!P15)+Summary!$B$56*(Inputs!$B$20+Skills!Q15))/100)*(1+Inputs!$B$15/100)*(5000/(6000+Inputs!$B$7*(1-Inputs!$B$18/100)))*(1+Inputs!$B$23/100)*(1+F937/100)*(1+IF(Inputs!$B$3&gt;=120,F940,0)/100)^5*(1+(IF(Skills!A15="BASIC_ATTACK",Inputs!$B$16,Inputs!$B$17+IF(Inputs!$B$3&gt;=125,F941*5,0)))/100)*(B944*B945*B946*I929)</f>
        <v>42425041223734.445</v>
      </c>
      <c r="L929">
        <f>K929*(MIN(Inputs!$B$21+(F936-Calc!F22),Inputs!$B$22)/100+Inputs!$B$22/100)/2</f>
        <v>114526398783471.11</v>
      </c>
      <c r="M929">
        <f>L929*(1+(Inputs!$B$9+(F935-Calc!F21))/100)</f>
        <v>479980137301527.5</v>
      </c>
      <c r="N929">
        <f>L929*(1-MIN(Inputs!$B$8+(F934-Calc!F20),100)/100)+M929*(MIN(Inputs!$B$8+(F934-Calc!F20),100)/100)</f>
        <v>479980137301527.5</v>
      </c>
      <c r="O929">
        <f>IF(C929,H929*N929*IF(AND(Inputs!$B$4&lt;&gt;"pvp",Inputs!$B$35&gt;0),((Skills!G15*((S929-1)*IF(Skills!H15&gt;0,Skills!I15/Skills!H15,1)+IF(Skills!H15&gt;0,MIN(Skills!I15,MAX(0,Inputs!$B$35-((S929-1)*IF(Inputs!$B$4="pvp",15,MAX(0.1,Skills!E15-IF(Skills!F15=TRUE,Inputs!$B$31,0))))))/Skills!H15,1)))/Inputs!$B$35),G929*V929)*IF(Inputs!$B$4="pvp",1,(1-Summary!$B$56)*(1)+Summary!$B$56*(MIN(Skills!R15,Inputs!$B$37))),0)</f>
        <v>368624745447573.12</v>
      </c>
      <c r="P929">
        <f>IF(B953=0,0,O929/B953)</f>
        <v>4.4200219339114805E-2</v>
      </c>
      <c r="S929">
        <f>IF(AND(Inputs!$B$4&lt;&gt;"pvp",Inputs!$B$35&gt;0),(INT(Inputs!$B$35/IF(Inputs!$B$4="pvp",15,MAX(0.1,Skills!E15-IF(Skills!F15=TRUE,Inputs!$B$31,0))))+1),0)</f>
        <v>0</v>
      </c>
      <c r="V929">
        <f>IFERROR(1/IF(Inputs!$B$4="pvp",15,MAX(0.1,Skills!E15-IF(Skills!F15=TRUE,Inputs!$B$31,0))),0)</f>
        <v>0.04</v>
      </c>
    </row>
    <row r="930" spans="1:22" x14ac:dyDescent="0.2">
      <c r="A930" t="str">
        <f>Skills!A16</f>
        <v>FLAME_HAZE_DOT</v>
      </c>
      <c r="B930" t="str">
        <f>Skills!B16</f>
        <v>Flame Haze (burn DoT)</v>
      </c>
      <c r="C930" t="b">
        <f>Inputs!$B$3&gt;=107</f>
        <v>1</v>
      </c>
      <c r="D930">
        <f>IF(Skills!C16=1,60+Inputs!$B$24+Inputs!$B$28,IF(Skills!C16=2,90+Inputs!$B$25+Inputs!$B$28,IF(Skills!C16=3,120+Inputs!$B$26+Inputs!$B$28,MAX(0,(Inputs!$B$3-100)*3)+Inputs!$B$27+Inputs!$B$28)))</f>
        <v>172</v>
      </c>
      <c r="E930">
        <f>INDEX(FactorTable!$B$2:$Y$301, MATCH(ROUND(MIN(300,MAX(1,D930)),0), FactorTable!$A$2:$A$301,0), Skills!M16+1)</f>
        <v>1860</v>
      </c>
      <c r="F930">
        <f>IF(Skills!N16=TRUE,(Skills!L16/10)*(E930/1000),Skills!L16/10)+Skills!O16</f>
        <v>279</v>
      </c>
      <c r="G930">
        <f>Calc!G16</f>
        <v>28</v>
      </c>
      <c r="H930">
        <f>Calc!H16</f>
        <v>1</v>
      </c>
      <c r="I930">
        <f>IF(Skills!X16&lt;&gt;"",1+(Skills!X16/10)*(R917/1000)/100,1)</f>
        <v>1</v>
      </c>
      <c r="J930">
        <f>((Inputs!$B$5*(1+(Inputs!$B$6+1)/100))+((Inputs!$B$11*(1+Inputs!$B$12/100))-(Inputs!$B$11*(1+Inputs!$B$12/100)))*(1+(Inputs!$B$6+1)/100))*(F930/100)</f>
        <v>697053714.49601996</v>
      </c>
      <c r="K930">
        <f>J930*(1+((Inputs!$B$11*(1+Inputs!$B$12/100))*0.01+Inputs!$B$13*0.0025)/100)*(1+Inputs!$B$14/100)*(1+IF(Inputs!$B$4="pvp",0,(1-Summary!$B$56)*(Inputs!$B$19+Skills!P16)+Summary!$B$56*(Inputs!$B$20+Skills!Q16))/100)*(1+Inputs!$B$15/100)*(5000/(6000+Inputs!$B$7*(1-Inputs!$B$18/100)))*(1+Inputs!$B$23/100)*(1+F937/100)*(1+IF(Inputs!$B$3&gt;=120,F940,0)/100)^5*(1+(IF(Skills!A16="BASIC_ATTACK",Inputs!$B$16,Inputs!$B$17+IF(Inputs!$B$3&gt;=125,F941*5,0)))/100)*(B944*B945*B946*I930)</f>
        <v>5303130152966.8057</v>
      </c>
      <c r="L930">
        <f>K930*(MIN(Inputs!$B$21+(F936-Calc!F22),Inputs!$B$22)/100+Inputs!$B$22/100)/2</f>
        <v>14315799847933.889</v>
      </c>
      <c r="M930">
        <f>L930*(1+(Inputs!$B$9+(F935-Calc!F21))/100)</f>
        <v>59997517162690.938</v>
      </c>
      <c r="N930">
        <f>L930*(1-MIN(Inputs!$B$8+(F934-Calc!F20),100)/100)+M930*(MIN(Inputs!$B$8+(F934-Calc!F20),100)/100)</f>
        <v>59997517162690.938</v>
      </c>
      <c r="O930">
        <f>IF(C930,H930*N930*IF(AND(Inputs!$B$4&lt;&gt;"pvp",Inputs!$B$35&gt;0),((Skills!G16*((S930-1)*IF(Skills!H16&gt;0,Skills!I16/Skills!H16,1)+IF(Skills!H16&gt;0,MIN(Skills!I16,MAX(0,Inputs!$B$35-((S930-1)*IF(Inputs!$B$4="pvp",15,MAX(0.1,Skills!E16-IF(Skills!F16=TRUE,Inputs!$B$31,0))))))/Skills!H16,1)))/Inputs!$B$35),G930*V930)*(1+IF(Inputs!$B$3&gt;=126,0.05*(B950+V927+(H928*B951)/(1+Skills!H14*H928*B951)+V938),0)*Skills!E15)*IF(Inputs!$B$4="pvp",1,(1-Summary!$B$56)*(1)+Summary!$B$56*(MIN(Skills!R16,Inputs!$B$37))),0)</f>
        <v>430062203022168.75</v>
      </c>
      <c r="P930">
        <f>IF(B953=0,0,O930/B953)</f>
        <v>5.1566922562300617E-2</v>
      </c>
      <c r="S930">
        <f>IF(AND(Inputs!$B$4&lt;&gt;"pvp",Inputs!$B$35&gt;0),(INT(Inputs!$B$35/IF(Inputs!$B$4="pvp",15,MAX(0.1,Skills!E16-IF(Skills!F16=TRUE,Inputs!$B$31,0))))+1),0)</f>
        <v>0</v>
      </c>
      <c r="V930">
        <f>IFERROR(1/IF(Inputs!$B$4="pvp",15,MAX(0.1,Skills!E16-IF(Skills!F16=TRUE,Inputs!$B$31,0))),0)</f>
        <v>0.04</v>
      </c>
    </row>
    <row r="931" spans="1:22" x14ac:dyDescent="0.2">
      <c r="A931" t="str">
        <f>Skills!A17</f>
        <v>MAGIC_GUARD</v>
      </c>
      <c r="B931" t="str">
        <f>Skills!B17</f>
        <v>Magic Guard</v>
      </c>
      <c r="C931" t="b">
        <f>TRUE</f>
        <v>1</v>
      </c>
      <c r="D931">
        <f>IF(Skills!C17=1,60+Inputs!$B$24+Inputs!$B$28,IF(Skills!C17=2,90+Inputs!$B$25+Inputs!$B$28,IF(Skills!C17=3,120+Inputs!$B$26+Inputs!$B$28,MAX(0,(Inputs!$B$3-100)*3)+Inputs!$B$27+Inputs!$B$28)))</f>
        <v>115</v>
      </c>
      <c r="E931">
        <f>INDEX(FactorTable!$B$2:$Y$301, MATCH(ROUND(MIN(300,MAX(1,D931)),0), FactorTable!$A$2:$A$301,0), Skills!M17+1)</f>
        <v>1460</v>
      </c>
      <c r="F931">
        <f>IF(Skills!N17=TRUE,(Skills!L17/10)*(E931/1000),Skills!L17/10)+Skills!O17</f>
        <v>17.52</v>
      </c>
      <c r="G931">
        <f>Calc!G17</f>
        <v>1</v>
      </c>
      <c r="H931">
        <f>Calc!H17</f>
        <v>1</v>
      </c>
      <c r="I931">
        <f>IF(Skills!X17&lt;&gt;"",1+(Skills!X17/10)*(R917/1000)/100,1)</f>
        <v>1</v>
      </c>
      <c r="O931">
        <v>0</v>
      </c>
      <c r="P931">
        <f>IF(B953=0,0,O931/B953)</f>
        <v>0</v>
      </c>
      <c r="S931">
        <f>IF(AND(Inputs!$B$4&lt;&gt;"pvp",Inputs!$B$35&gt;0),(INT(Inputs!$B$35/IF(Inputs!$B$4="pvp",15,MAX(0.1,Skills!E17-IF(Skills!F17=TRUE,Inputs!$B$31,0))))+1),0)</f>
        <v>0</v>
      </c>
      <c r="V931">
        <f>IFERROR(1/IF(Inputs!$B$4="pvp",15,MAX(0.1,Skills!E17-IF(Skills!F17=TRUE,Inputs!$B$31,0))),0)</f>
        <v>4.7619047619047616E-2</v>
      </c>
    </row>
    <row r="932" spans="1:22" x14ac:dyDescent="0.2">
      <c r="A932" t="str">
        <f>Skills!A18</f>
        <v>NIMBLE_FEET</v>
      </c>
      <c r="B932" t="str">
        <f>Skills!B18</f>
        <v>Nimble Feet</v>
      </c>
      <c r="C932" t="b">
        <f>TRUE</f>
        <v>1</v>
      </c>
      <c r="D932">
        <f>IF(Skills!C18=1,60+Inputs!$B$24+Inputs!$B$28,IF(Skills!C18=2,90+Inputs!$B$25+Inputs!$B$28,IF(Skills!C18=3,120+Inputs!$B$26+Inputs!$B$28,MAX(0,(Inputs!$B$3-100)*3)+Inputs!$B$27+Inputs!$B$28)))</f>
        <v>115</v>
      </c>
      <c r="E932">
        <f>INDEX(FactorTable!$B$2:$Y$301, MATCH(ROUND(MIN(300,MAX(1,D932)),0), FactorTable!$A$2:$A$301,0), Skills!M18+1)</f>
        <v>0</v>
      </c>
      <c r="F932">
        <f>IF(Skills!N18=TRUE,(Skills!L18/10)*(E932/1000),Skills!L18/10)+Skills!O18</f>
        <v>15</v>
      </c>
      <c r="G932">
        <f>Calc!G18</f>
        <v>1</v>
      </c>
      <c r="H932">
        <f>Calc!H18</f>
        <v>1</v>
      </c>
      <c r="I932">
        <f>IF(Skills!X18&lt;&gt;"",1+(Skills!X18/10)*(R917/1000)/100,1)</f>
        <v>1</v>
      </c>
      <c r="O932">
        <v>0</v>
      </c>
      <c r="P932">
        <f>IF(B953=0,0,O932/B953)</f>
        <v>0</v>
      </c>
      <c r="S932">
        <f>IF(AND(Inputs!$B$4&lt;&gt;"pvp",Inputs!$B$35&gt;0),(INT(Inputs!$B$35/IF(Inputs!$B$4="pvp",15,MAX(0.1,Skills!E18-IF(Skills!F18=TRUE,Inputs!$B$31,0))))+1),0)</f>
        <v>0</v>
      </c>
      <c r="V932">
        <f>IFERROR(1/IF(Inputs!$B$4="pvp",15,MAX(0.1,Skills!E18-IF(Skills!F18=TRUE,Inputs!$B$31,0))),0)</f>
        <v>1.6666666666666666E-2</v>
      </c>
    </row>
    <row r="933" spans="1:22" x14ac:dyDescent="0.2">
      <c r="A933" t="str">
        <f>Skills!A19</f>
        <v>INFINITY</v>
      </c>
      <c r="B933" t="str">
        <f>Skills!B19</f>
        <v>Infinity</v>
      </c>
      <c r="C933" t="b">
        <f>Inputs!$B$3&gt;=110</f>
        <v>1</v>
      </c>
      <c r="D933">
        <f>IF(Skills!C19=1,60+Inputs!$B$24+Inputs!$B$28,IF(Skills!C19=2,90+Inputs!$B$25+Inputs!$B$28,IF(Skills!C19=3,120+Inputs!$B$26+Inputs!$B$28,MAX(0,(Inputs!$B$3-100)*3)+Inputs!$B$27+Inputs!$B$28)))</f>
        <v>172</v>
      </c>
      <c r="E933">
        <f>INDEX(FactorTable!$B$2:$Y$301, MATCH(ROUND(MIN(300,MAX(1,D933)),0), FactorTable!$A$2:$A$301,0), Skills!M19+1)</f>
        <v>1688</v>
      </c>
      <c r="F933">
        <f>IF(Skills!N19=TRUE,(Skills!L19/10)*(E933/1000),Skills!L19/10)+Skills!O19</f>
        <v>36.573895999999998</v>
      </c>
      <c r="G933">
        <f>Calc!G19</f>
        <v>1</v>
      </c>
      <c r="H933">
        <f>Calc!H19</f>
        <v>1</v>
      </c>
      <c r="I933">
        <f>IF(Skills!X19&lt;&gt;"",1+(Skills!X19/10)*(R917/1000)/100,1)</f>
        <v>1</v>
      </c>
      <c r="O933">
        <v>0</v>
      </c>
      <c r="P933">
        <f>IF(B953=0,0,O933/B953)</f>
        <v>0</v>
      </c>
      <c r="S933">
        <f>IF(AND(Inputs!$B$4&lt;&gt;"pvp",Inputs!$B$35&gt;0),(INT(Inputs!$B$35/IF(Inputs!$B$4="pvp",15,MAX(0.1,Skills!E19-IF(Skills!F19=TRUE,Inputs!$B$31,0))))+1),0)</f>
        <v>0</v>
      </c>
      <c r="V933">
        <f>IFERROR(1/IF(Inputs!$B$4="pvp",15,MAX(0.1,Skills!E19-IF(Skills!F19=TRUE,Inputs!$B$31,0))),0)</f>
        <v>3.3333333333333333E-2</v>
      </c>
    </row>
    <row r="934" spans="1:22" x14ac:dyDescent="0.2">
      <c r="A934" t="str">
        <f>Skills!A20</f>
        <v>MAGIC_CRITICAL_RATE</v>
      </c>
      <c r="B934" t="str">
        <f>Skills!B20</f>
        <v>Magic Critical (Crit Rate)</v>
      </c>
      <c r="C934" t="b">
        <f>TRUE</f>
        <v>1</v>
      </c>
      <c r="D934">
        <f>IF(Skills!C20=1,60+Inputs!$B$24+Inputs!$B$28,IF(Skills!C20=2,90+Inputs!$B$25+Inputs!$B$28,IF(Skills!C20=3,120+Inputs!$B$26+Inputs!$B$28,MAX(0,(Inputs!$B$3-100)*3)+Inputs!$B$27+Inputs!$B$28)))</f>
        <v>184</v>
      </c>
      <c r="E934">
        <f>INDEX(FactorTable!$B$2:$Y$301, MATCH(ROUND(MIN(300,MAX(1,D934)),0), FactorTable!$A$2:$A$301,0), Skills!M20+1)</f>
        <v>1552</v>
      </c>
      <c r="F934">
        <f>IF(Skills!N20=TRUE,(Skills!L20/10)*(E934/1000),Skills!L20/10)+Skills!O20</f>
        <v>12.416</v>
      </c>
      <c r="G934">
        <f>Calc!G20</f>
        <v>1</v>
      </c>
      <c r="H934">
        <f>Calc!H20</f>
        <v>1</v>
      </c>
      <c r="I934">
        <f>IF(Skills!X20&lt;&gt;"",1+(Skills!X20/10)*(R917/1000)/100,1)</f>
        <v>1</v>
      </c>
      <c r="O934">
        <v>0</v>
      </c>
      <c r="P934">
        <f>IF(B953=0,0,O934/B953)</f>
        <v>0</v>
      </c>
      <c r="S934">
        <v>0</v>
      </c>
      <c r="V934">
        <f>IFERROR(1/IF(Inputs!$B$4="pvp",15,MAX(0.1,Skills!E20-IF(Skills!F20=TRUE,Inputs!$B$31,0))),0)</f>
        <v>10</v>
      </c>
    </row>
    <row r="935" spans="1:22" x14ac:dyDescent="0.2">
      <c r="A935" t="str">
        <f>Skills!A21</f>
        <v>MAGIC_CRITICAL_DAMAGE</v>
      </c>
      <c r="B935" t="str">
        <f>Skills!B21</f>
        <v>Magic Critical (Crit Damage)</v>
      </c>
      <c r="C935" t="b">
        <f>TRUE</f>
        <v>1</v>
      </c>
      <c r="D935">
        <f>IF(Skills!C21=1,60+Inputs!$B$24+Inputs!$B$28,IF(Skills!C21=2,90+Inputs!$B$25+Inputs!$B$28,IF(Skills!C21=3,120+Inputs!$B$26+Inputs!$B$28,MAX(0,(Inputs!$B$3-100)*3)+Inputs!$B$27+Inputs!$B$28)))</f>
        <v>184</v>
      </c>
      <c r="E935">
        <f>INDEX(FactorTable!$B$2:$Y$301, MATCH(ROUND(MIN(300,MAX(1,D935)),0), FactorTable!$A$2:$A$301,0), Skills!M21+1)</f>
        <v>1552</v>
      </c>
      <c r="F935">
        <f>IF(Skills!N21=TRUE,(Skills!L21/10)*(E935/1000),Skills!L21/10)+Skills!O21</f>
        <v>18.624000000000002</v>
      </c>
      <c r="G935">
        <f>Calc!G21</f>
        <v>1</v>
      </c>
      <c r="H935">
        <f>Calc!H21</f>
        <v>1</v>
      </c>
      <c r="I935">
        <f>IF(Skills!X21&lt;&gt;"",1+(Skills!X21/10)*(R917/1000)/100,1)</f>
        <v>1</v>
      </c>
      <c r="O935">
        <v>0</v>
      </c>
      <c r="P935">
        <f>IF(B953=0,0,O935/B953)</f>
        <v>0</v>
      </c>
      <c r="S935">
        <v>0</v>
      </c>
      <c r="V935">
        <f>IFERROR(1/IF(Inputs!$B$4="pvp",15,MAX(0.1,Skills!E21-IF(Skills!F21=TRUE,Inputs!$B$31,0))),0)</f>
        <v>10</v>
      </c>
    </row>
    <row r="936" spans="1:22" x14ac:dyDescent="0.2">
      <c r="A936" t="str">
        <f>Skills!A22</f>
        <v>SPELL_MASTERY</v>
      </c>
      <c r="B936" t="str">
        <f>Skills!B22</f>
        <v>Spell Mastery</v>
      </c>
      <c r="C936" t="b">
        <f>TRUE</f>
        <v>1</v>
      </c>
      <c r="D936">
        <f>IF(Skills!C22=1,60+Inputs!$B$24+Inputs!$B$28,IF(Skills!C22=2,90+Inputs!$B$25+Inputs!$B$28,IF(Skills!C22=3,120+Inputs!$B$26+Inputs!$B$28,MAX(0,(Inputs!$B$3-100)*3)+Inputs!$B$27+Inputs!$B$28)))</f>
        <v>164</v>
      </c>
      <c r="E936">
        <f>INDEX(FactorTable!$B$2:$Y$301, MATCH(ROUND(MIN(300,MAX(1,D936)),0), FactorTable!$A$2:$A$301,0), Skills!M22+1)</f>
        <v>1492</v>
      </c>
      <c r="F936">
        <f>IF(Skills!N22=TRUE,(Skills!L22/10)*(E936/1000),Skills!L22/10)+Skills!O22</f>
        <v>22.38</v>
      </c>
      <c r="G936">
        <f>Calc!G22</f>
        <v>1</v>
      </c>
      <c r="H936">
        <f>Calc!H22</f>
        <v>1</v>
      </c>
      <c r="I936">
        <f>IF(Skills!X22&lt;&gt;"",1+(Skills!X22/10)*(R917/1000)/100,1)</f>
        <v>1</v>
      </c>
      <c r="O936">
        <v>0</v>
      </c>
      <c r="P936">
        <f>IF(B953=0,0,O936/B953)</f>
        <v>0</v>
      </c>
      <c r="S936">
        <v>0</v>
      </c>
      <c r="V936">
        <f>IFERROR(1/IF(Inputs!$B$4="pvp",15,MAX(0.1,Skills!E22-IF(Skills!F22=TRUE,Inputs!$B$31,0))),0)</f>
        <v>10</v>
      </c>
    </row>
    <row r="937" spans="1:22" x14ac:dyDescent="0.2">
      <c r="A937" t="str">
        <f>Skills!A23</f>
        <v>ELEMENT_AMPLIFICATION</v>
      </c>
      <c r="B937" t="str">
        <f>Skills!B23</f>
        <v>Element Amplification</v>
      </c>
      <c r="C937" t="b">
        <f>TRUE</f>
        <v>1</v>
      </c>
      <c r="D937">
        <f>IF(Skills!C23=1,60+Inputs!$B$24+Inputs!$B$28,IF(Skills!C23=2,90+Inputs!$B$25+Inputs!$B$28,IF(Skills!C23=3,120+Inputs!$B$26+Inputs!$B$28,MAX(0,(Inputs!$B$3-100)*3)+Inputs!$B$27+Inputs!$B$28)))</f>
        <v>172</v>
      </c>
      <c r="E937">
        <f>INDEX(FactorTable!$B$2:$Y$301, MATCH(ROUND(MIN(300,MAX(1,D937)),0), FactorTable!$A$2:$A$301,0), Skills!M23+1)</f>
        <v>1516</v>
      </c>
      <c r="F937">
        <f>IF(Skills!N23=TRUE,(Skills!L23/10)*(E937/1000),Skills!L23/10)+Skills!O23</f>
        <v>22.740000000000002</v>
      </c>
      <c r="G937">
        <f>Calc!G23</f>
        <v>1</v>
      </c>
      <c r="H937">
        <f>Calc!H23</f>
        <v>1</v>
      </c>
      <c r="I937">
        <f>IF(Skills!X23&lt;&gt;"",1+(Skills!X23/10)*(R917/1000)/100,1)</f>
        <v>1</v>
      </c>
      <c r="O937">
        <v>0</v>
      </c>
      <c r="P937">
        <f>IF(B953=0,0,O937/B953)</f>
        <v>0</v>
      </c>
      <c r="S937">
        <v>0</v>
      </c>
      <c r="V937">
        <f>IFERROR(1/IF(Inputs!$B$4="pvp",15,MAX(0.1,Skills!E23-IF(Skills!F23=TRUE,Inputs!$B$31,0))),0)</f>
        <v>10</v>
      </c>
    </row>
    <row r="938" spans="1:22" x14ac:dyDescent="0.2">
      <c r="A938" t="str">
        <f>Skills!A24</f>
        <v>IFRIT</v>
      </c>
      <c r="B938" t="str">
        <f>Skills!B24</f>
        <v>Ifrit</v>
      </c>
      <c r="C938" t="b">
        <f>Inputs!$B$3&gt;=115</f>
        <v>0</v>
      </c>
      <c r="D938">
        <f>IF(Skills!C24=1,60+Inputs!$B$24+Inputs!$B$28,IF(Skills!C24=2,90+Inputs!$B$25+Inputs!$B$28,IF(Skills!C24=3,120+Inputs!$B$26+Inputs!$B$28,MAX(0,(Inputs!$B$3-100)*3)+Inputs!$B$27+Inputs!$B$28)))</f>
        <v>172</v>
      </c>
      <c r="E938">
        <f>INDEX(FactorTable!$B$2:$Y$301, MATCH(ROUND(MIN(300,MAX(1,D938)),0), FactorTable!$A$2:$A$301,0), Skills!M24+1)</f>
        <v>1860</v>
      </c>
      <c r="F938">
        <f>IF(Skills!N24=TRUE,(Skills!L24/10)*(E938/1000),Skills!L24/10)+Skills!O24</f>
        <v>6510</v>
      </c>
      <c r="G938">
        <f>Calc!G24</f>
        <v>7.5</v>
      </c>
      <c r="H938">
        <f>Calc!H24</f>
        <v>1</v>
      </c>
      <c r="I938">
        <f>IF(Skills!X24&lt;&gt;"",1+(Skills!X24/10)*(R917/1000)/100,1)</f>
        <v>1</v>
      </c>
      <c r="J938">
        <f>((Inputs!$B$5*(1+(Inputs!$B$6+1)/100))+((Inputs!$B$11*(1+Inputs!$B$12/100))-(Inputs!$B$11*(1+Inputs!$B$12/100)))*(1+(Inputs!$B$6+1)/100))*(F938/100)</f>
        <v>16264586671.573797</v>
      </c>
      <c r="K938">
        <f>J938*(1+((Inputs!$B$11*(1+Inputs!$B$12/100))*0.01+Inputs!$B$13*0.0025)/100)*(1+Inputs!$B$14/100)*(1+IF(Inputs!$B$4="pvp",0,(1-Summary!$B$56)*(Inputs!$B$19+Skills!P24)+Summary!$B$56*(Inputs!$B$20+Skills!Q24))/100)*(1+Inputs!$B$15/100)*(5000/(6000+Inputs!$B$7*(1-Inputs!$B$18/100)))*(1+Inputs!$B$23/100)*(1+F937/100)*(1+IF(Inputs!$B$3&gt;=120,F940,0)/100)^5*(1+(IF(Skills!A24="BASIC_ATTACK",Inputs!$B$16,Inputs!$B$17+IF(Inputs!$B$3&gt;=125,F941*5,0)))/100)*(B944*B945*B946*I938)</f>
        <v>123739703569225.48</v>
      </c>
      <c r="L938">
        <f>K938*(MIN(Inputs!$B$21+(F936-Calc!F22),Inputs!$B$22)/100+Inputs!$B$22/100)/2</f>
        <v>334035329785124.12</v>
      </c>
      <c r="M938">
        <f>L938*(1+(Inputs!$B$9+(F935-Calc!F21))/100)</f>
        <v>1399942067129455.5</v>
      </c>
      <c r="N938">
        <f>L938*(1-MIN(Inputs!$B$8+(F934-Calc!F20),100)/100)+M938*(MIN(Inputs!$B$8+(F934-Calc!F20),100)/100)</f>
        <v>1399942067129455.5</v>
      </c>
      <c r="O938">
        <f>IF(C938,H938*N938*IF(AND(Inputs!$B$4&lt;&gt;"pvp",Inputs!$B$35&gt;0),((Skills!G24*((S938-1)*IF(Skills!H24&gt;0,Skills!I24/Skills!H24,1)+IF(Skills!H24&gt;0,MIN(Skills!I24,MAX(0,Inputs!$B$35-((S938-1)*IF(Inputs!$B$4="pvp",15,MAX(0.1,Skills!E24-IF(Skills!F24=TRUE,Inputs!$B$31,0))))))/Skills!H24,1)))/Inputs!$B$35),G938*V938)*(1+IF(Inputs!$B$3&gt;=130,0.2*(Skills!I16/Skills!E15+IF(Inputs!$B$3&gt;=126,0.05*(B950+V927+(H928*B951)/(1+Skills!H14*H928*B951)+V938),0)*Skills!I16),0))*IF(Inputs!$B$4="pvp",1,(1-Summary!$B$56)*(1)+Summary!$B$56*(MIN(Skills!R24,Inputs!$B$37))),0)</f>
        <v>0</v>
      </c>
      <c r="P938">
        <f>IF(B953=0,0,O938/B953)</f>
        <v>0</v>
      </c>
      <c r="S938">
        <f>IF(AND(Inputs!$B$4&lt;&gt;"pvp",Inputs!$B$35&gt;0),(INT(Inputs!$B$35/IF(Inputs!$B$4="pvp",15,MAX(0.1,Skills!E24-IF(Skills!F24=TRUE,Inputs!$B$31,0))))+1),0)</f>
        <v>0</v>
      </c>
      <c r="V938">
        <f>IFERROR(1/IF(Inputs!$B$4="pvp",15,MAX(0.1,Skills!E24-IF(Skills!F24=TRUE,Inputs!$B$31,0))),0)</f>
        <v>1.2500000000000001E-2</v>
      </c>
    </row>
    <row r="939" spans="1:22" x14ac:dyDescent="0.2">
      <c r="A939" t="str">
        <f>Skills!A25</f>
        <v>BUFF_MASTERY</v>
      </c>
      <c r="B939" t="str">
        <f>Skills!B25</f>
        <v>Buff Mastery</v>
      </c>
      <c r="C939" t="b">
        <f>Inputs!$B$3&gt;=117</f>
        <v>0</v>
      </c>
      <c r="D939">
        <f>IF(Skills!C25=1,60+Inputs!$B$24+Inputs!$B$28,IF(Skills!C25=2,90+Inputs!$B$25+Inputs!$B$28,IF(Skills!C25=3,120+Inputs!$B$26+Inputs!$B$28,MAX(0,(Inputs!$B$3-100)*3)+Inputs!$B$27+Inputs!$B$28)))</f>
        <v>172</v>
      </c>
      <c r="E939">
        <f>INDEX(FactorTable!$B$2:$Y$301, MATCH(ROUND(MIN(300,MAX(1,D939)),0), FactorTable!$A$2:$A$301,0), Skills!M25+1)</f>
        <v>1516</v>
      </c>
      <c r="F939">
        <f>IF(Skills!N25=TRUE,(Skills!L25/10)*(E939/1000),Skills!L25/10)+Skills!O25</f>
        <v>15.16</v>
      </c>
      <c r="G939">
        <f>Calc!G25</f>
        <v>1</v>
      </c>
      <c r="H939">
        <f>Calc!H25</f>
        <v>1</v>
      </c>
      <c r="I939">
        <f>IF(Skills!X25&lt;&gt;"",1+(Skills!X25/10)*(R917/1000)/100,1)</f>
        <v>1</v>
      </c>
      <c r="O939">
        <v>0</v>
      </c>
      <c r="P939">
        <f>IF(B953=0,0,O939/B953)</f>
        <v>0</v>
      </c>
      <c r="S939">
        <v>0</v>
      </c>
      <c r="V939">
        <f>IFERROR(1/IF(Inputs!$B$4="pvp",15,MAX(0.1,Skills!E25-IF(Skills!F25=TRUE,Inputs!$B$31,0))),0)</f>
        <v>10</v>
      </c>
    </row>
    <row r="940" spans="1:22" x14ac:dyDescent="0.2">
      <c r="A940" t="str">
        <f>Skills!A26</f>
        <v>ARCANE_AIM</v>
      </c>
      <c r="B940" t="str">
        <f>Skills!B26</f>
        <v>Arcane Aim</v>
      </c>
      <c r="C940" t="b">
        <f>Inputs!$B$3&gt;=120</f>
        <v>0</v>
      </c>
      <c r="D940">
        <f>IF(Skills!C26=1,60+Inputs!$B$24+Inputs!$B$28,IF(Skills!C26=2,90+Inputs!$B$25+Inputs!$B$28,IF(Skills!C26=3,120+Inputs!$B$26+Inputs!$B$28,MAX(0,(Inputs!$B$3-100)*3)+Inputs!$B$27+Inputs!$B$28)))</f>
        <v>172</v>
      </c>
      <c r="E940">
        <f>INDEX(FactorTable!$B$2:$Y$301, MATCH(ROUND(MIN(300,MAX(1,D940)),0), FactorTable!$A$2:$A$301,0), Skills!M26+1)</f>
        <v>1516</v>
      </c>
      <c r="F940">
        <f>IF(Skills!N26=TRUE,(Skills!L26/10)*(E940/1000),Skills!L26/10)+Skills!O26</f>
        <v>4.548</v>
      </c>
      <c r="G940">
        <f>Calc!G26</f>
        <v>1</v>
      </c>
      <c r="H940">
        <f>Calc!H26</f>
        <v>1</v>
      </c>
      <c r="I940">
        <f>IF(Skills!X26&lt;&gt;"",1+(Skills!X26/10)*(R917/1000)/100,1)</f>
        <v>1</v>
      </c>
      <c r="O940">
        <v>0</v>
      </c>
      <c r="P940">
        <f>IF(B953=0,0,O940/B953)</f>
        <v>0</v>
      </c>
      <c r="S940">
        <v>0</v>
      </c>
      <c r="V940">
        <f>IFERROR(1/IF(Inputs!$B$4="pvp",15,MAX(0.1,Skills!E26-IF(Skills!F26=TRUE,Inputs!$B$31,0))),0)</f>
        <v>10</v>
      </c>
    </row>
    <row r="941" spans="1:22" x14ac:dyDescent="0.2">
      <c r="A941" t="str">
        <f>Skills!A27</f>
        <v>FERVENT_DRAIN</v>
      </c>
      <c r="B941" t="str">
        <f>Skills!B27</f>
        <v>Fervent Drain</v>
      </c>
      <c r="C941" t="b">
        <f>Inputs!$B$3&gt;=125</f>
        <v>0</v>
      </c>
      <c r="D941">
        <f>IF(Skills!C27=1,60+Inputs!$B$24+Inputs!$B$28,IF(Skills!C27=2,90+Inputs!$B$25+Inputs!$B$28,IF(Skills!C27=3,120+Inputs!$B$26+Inputs!$B$28,MAX(0,(Inputs!$B$3-100)*3)+Inputs!$B$27+Inputs!$B$28)))</f>
        <v>172</v>
      </c>
      <c r="E941">
        <f>INDEX(FactorTable!$B$2:$Y$301, MATCH(ROUND(MIN(300,MAX(1,D941)),0), FactorTable!$A$2:$A$301,0), Skills!M27+1)</f>
        <v>1516</v>
      </c>
      <c r="F941">
        <f>IF(Skills!N27=TRUE,(Skills!L27/10)*(E941/1000),Skills!L27/10)+Skills!O27</f>
        <v>6.0640000000000001</v>
      </c>
      <c r="G941">
        <f>Calc!G27</f>
        <v>1</v>
      </c>
      <c r="H941">
        <f>Calc!H27</f>
        <v>1</v>
      </c>
      <c r="I941">
        <f>IF(Skills!X27&lt;&gt;"",1+(Skills!X27/10)*(R917/1000)/100,1)</f>
        <v>1</v>
      </c>
      <c r="O941">
        <v>0</v>
      </c>
      <c r="P941">
        <f>IF(B953=0,0,O941/B953)</f>
        <v>0</v>
      </c>
      <c r="S941">
        <v>0</v>
      </c>
      <c r="V941">
        <f>IFERROR(1/IF(Inputs!$B$4="pvp",15,MAX(0.1,Skills!E27-IF(Skills!F27=TRUE,Inputs!$B$31,0))),0)</f>
        <v>10</v>
      </c>
    </row>
    <row r="942" spans="1:22" x14ac:dyDescent="0.2">
      <c r="A942" t="str">
        <f>Skills!A28</f>
        <v>FLAME_HAZE_FOG</v>
      </c>
      <c r="B942" t="str">
        <f>Skills!B28</f>
        <v>Flame Haze (poison fog DoT)</v>
      </c>
      <c r="C942" t="b">
        <f>Inputs!$B$3&gt;=118</f>
        <v>0</v>
      </c>
      <c r="D942">
        <f>IF(Skills!C28=1,60+Inputs!$B$24+Inputs!$B$28,IF(Skills!C28=2,90+Inputs!$B$25+Inputs!$B$28,IF(Skills!C28=3,120+Inputs!$B$26+Inputs!$B$28,MAX(0,(Inputs!$B$3-100)*3)+Inputs!$B$27+Inputs!$B$28)))</f>
        <v>172</v>
      </c>
      <c r="E942">
        <f>INDEX(FactorTable!$B$2:$Y$301, MATCH(ROUND(MIN(300,MAX(1,D942)),0), FactorTable!$A$2:$A$301,0), Skills!M28+1)</f>
        <v>1860</v>
      </c>
      <c r="F942">
        <f>IF(Skills!N28=TRUE,(Skills!L28/10)*(E942/1000),Skills!L28/10)+Skills!O28</f>
        <v>130.20000000000002</v>
      </c>
      <c r="G942">
        <f>Calc!G28</f>
        <v>50</v>
      </c>
      <c r="H942">
        <f>Calc!H28</f>
        <v>1</v>
      </c>
      <c r="I942">
        <f>IF(Skills!X28&lt;&gt;"",1+(Skills!X28/10)*(R917/1000)/100,1)</f>
        <v>1</v>
      </c>
      <c r="J942">
        <f>((Inputs!$B$5*(1+(Inputs!$B$6+1)/100))+((Inputs!$B$11*(1+Inputs!$B$12/100))-(Inputs!$B$11*(1+Inputs!$B$12/100)))*(1+(Inputs!$B$6+1)/100))*(F942/100)</f>
        <v>325291733.43147606</v>
      </c>
      <c r="K942">
        <f>J942*(1+((Inputs!$B$11*(1+Inputs!$B$12/100))*0.01+Inputs!$B$13*0.0025)/100)*(1+Inputs!$B$14/100)*(1+IF(Inputs!$B$4="pvp",0,(1-Summary!$B$56)*(Inputs!$B$19+Skills!P28)+Summary!$B$56*(Inputs!$B$20+Skills!Q28))/100)*(1+Inputs!$B$15/100)*(5000/(6000+Inputs!$B$7*(1-Inputs!$B$18/100)))*(1+Inputs!$B$23/100)*(1+F937/100)*(1+IF(Inputs!$B$3&gt;=120,F940,0)/100)^5*(1+(IF(Skills!A28="BASIC_ATTACK",Inputs!$B$16,Inputs!$B$17+IF(Inputs!$B$3&gt;=125,F941*5,0)))/100)*(B944*B945*B946*I942)</f>
        <v>2474794071384.5098</v>
      </c>
      <c r="L942">
        <f>K942*(MIN(Inputs!$B$21+(F936-Calc!F22),Inputs!$B$22)/100+Inputs!$B$22/100)/2</f>
        <v>6680706595702.4834</v>
      </c>
      <c r="M942">
        <f>L942*(1+(Inputs!$B$9+(F935-Calc!F21))/100)</f>
        <v>27998841342589.113</v>
      </c>
      <c r="N942">
        <f>L942*(1-MIN(Inputs!$B$8+(F934-Calc!F20),100)/100)+M942*(MIN(Inputs!$B$8+(F934-Calc!F20),100)/100)</f>
        <v>27998841342589.113</v>
      </c>
      <c r="O942">
        <f>IF(C942,H942*N942*IF(AND(Inputs!$B$4&lt;&gt;"pvp",Inputs!$B$35&gt;0),((Skills!G28*((S942-1)*IF(Skills!H28&gt;0,Skills!I28/Skills!H28,1)+IF(Skills!H28&gt;0,MIN(Skills!I28,MAX(0,Inputs!$B$35-((S942-1)*IF(Inputs!$B$4="pvp",15,MAX(0.1,Skills!E28-IF(Skills!F28=TRUE,Inputs!$B$31,0))))))/Skills!H28,1)))/Inputs!$B$35),G942*V942)*IF(Inputs!$B$4="pvp",1,(1-Summary!$B$56)*(1)+Summary!$B$56*(MIN(Skills!R28,Inputs!$B$37))),0)</f>
        <v>0</v>
      </c>
      <c r="P942">
        <f>IF(B953=0,0,O942/B953)</f>
        <v>0</v>
      </c>
      <c r="S942">
        <f>IF(AND(Inputs!$B$4&lt;&gt;"pvp",Inputs!$B$35&gt;0),(INT(Inputs!$B$35/IF(Inputs!$B$4="pvp",15,MAX(0.1,Skills!E28-IF(Skills!F28=TRUE,Inputs!$B$31,0))))+1),0)</f>
        <v>0</v>
      </c>
      <c r="V942">
        <f>IFERROR(1/IF(Inputs!$B$4="pvp",15,MAX(0.1,Skills!E28-IF(Skills!F28=TRUE,Inputs!$B$31,0))),0)</f>
        <v>0.04</v>
      </c>
    </row>
    <row r="944" spans="1:22" x14ac:dyDescent="0.2">
      <c r="A944" t="s">
        <v>222</v>
      </c>
      <c r="B944">
        <f>1+(F925*Skills!Z11)/100</f>
        <v>1.25</v>
      </c>
    </row>
    <row r="945" spans="1:22" x14ac:dyDescent="0.2">
      <c r="A945" t="s">
        <v>223</v>
      </c>
      <c r="B945">
        <f>1+F926/100</f>
        <v>1.18624</v>
      </c>
    </row>
    <row r="946" spans="1:22" x14ac:dyDescent="0.2">
      <c r="A946" t="s">
        <v>224</v>
      </c>
      <c r="B946">
        <f>(1+(F920*IF(AND(Inputs!$B$4&lt;&gt;"pvp",Inputs!$B$35&gt;0),(((S920-1)*(Skills!T6*(1+(Inputs!$B$33+IF(Inputs!$B$3&gt;=117,F939,0))/100))+MIN((Skills!T6*(1+(Inputs!$B$33+IF(Inputs!$B$3&gt;=117,F939,0))/100)),MAX(0,Inputs!$B$35-((S920-1)*Skills!E6))))/Inputs!$B$35),IF(Inputs!$B$4="pvp",MIN((Skills!T6*(1+(Inputs!$B$33+IF(Inputs!$B$3&gt;=117,F939,0))/100)),15)/15,(Skills!T6*(1+(Inputs!$B$33+IF(Inputs!$B$3&gt;=117,F939,0))/100))/Skills!E6))+F931*IF(AND(Inputs!$B$4&lt;&gt;"pvp",Inputs!$B$35&gt;0),(((S931-1)*(Skills!T17*(1+(Inputs!$B$33+IF(Inputs!$B$3&gt;=117,F939,0))/100))+MIN((Skills!T17*(1+(Inputs!$B$33+IF(Inputs!$B$3&gt;=117,F939,0))/100)),MAX(0,Inputs!$B$35-((S931-1)*Skills!E17))))/Inputs!$B$35),IF(Inputs!$B$4="pvp",MIN((Skills!T17*(1+(Inputs!$B$33+IF(Inputs!$B$3&gt;=117,F939,0))/100)),15)/15,(Skills!T17*(1+(Inputs!$B$33+IF(Inputs!$B$3&gt;=117,F939,0))/100))/Skills!E17)))/100)*IF(C933=TRUE,(1+F933*IF(AND(Inputs!$B$4&lt;&gt;"pvp",Inputs!$B$35&gt;0),(((S933-1)*(Skills!T19*(1+(Inputs!$B$33+IF(Inputs!$B$3&gt;=117,F939,0))/100))+MIN((Skills!T19*(1+(Inputs!$B$33+IF(Inputs!$B$3&gt;=117,F939,0))/100)),MAX(0,Inputs!$B$35-((S933-1)*Skills!E19))))/Inputs!$B$35),IF(Inputs!$B$4="pvp",MIN((Skills!T19*(1+(Inputs!$B$33+IF(Inputs!$B$3&gt;=117,F939,0))/100)),15)/15,(Skills!T19*(1+(Inputs!$B$33+IF(Inputs!$B$3&gt;=117,F939,0))/100))/Skills!E19))/100),1)</f>
        <v>1.5603265106950857</v>
      </c>
    </row>
    <row r="947" spans="1:22" x14ac:dyDescent="0.2">
      <c r="A947" t="s">
        <v>225</v>
      </c>
      <c r="B947">
        <f>F932*IF(AND(Inputs!$B$4&lt;&gt;"pvp",Inputs!$B$35&gt;0),(((S932-1)*(Skills!T18*(1+(Inputs!$B$33+IF(Inputs!$B$3&gt;=117,F939,0))/100))+MIN((Skills!T18*(1+(Inputs!$B$33+IF(Inputs!$B$3&gt;=117,F939,0))/100)),MAX(0,Inputs!$B$35-((S932-1)*Skills!E18))))/Inputs!$B$35),IF(Inputs!$B$4="pvp",MIN((Skills!T18*(1+(Inputs!$B$33+IF(Inputs!$B$3&gt;=117,F939,0))/100)),15)/15,(Skills!T18*(1+(Inputs!$B$33+IF(Inputs!$B$3&gt;=117,F939,0))/100))/Skills!E18))</f>
        <v>3.75</v>
      </c>
    </row>
    <row r="948" spans="1:22" x14ac:dyDescent="0.2">
      <c r="A948" t="s">
        <v>253</v>
      </c>
      <c r="B948">
        <f>1+MIN(150,150*(1-(1-Inputs!$B$10/150)*(1-B947/150)))/100</f>
        <v>1.6371249999999999</v>
      </c>
    </row>
    <row r="949" spans="1:22" x14ac:dyDescent="0.2">
      <c r="A949" t="s">
        <v>254</v>
      </c>
      <c r="B949">
        <f>IF(AND(Inputs!$B$4&lt;&gt;"pvp",Inputs!$B$35&gt;0),SUMPRODUCT((Skills!F2:F28=TRUE)*(C916:C942=TRUE)*S916:S942)/Inputs!$B$35,SUMPRODUCT((Skills!F2:F28=TRUE)*(C916:C942=TRUE)*V916:V942))</f>
        <v>0.33466433037861604</v>
      </c>
    </row>
    <row r="950" spans="1:22" x14ac:dyDescent="0.2">
      <c r="A950" t="s">
        <v>228</v>
      </c>
      <c r="B950">
        <f>MAX(0,B948-B949)</f>
        <v>1.3024606696213838</v>
      </c>
    </row>
    <row r="951" spans="1:22" x14ac:dyDescent="0.2">
      <c r="A951" t="s">
        <v>255</v>
      </c>
      <c r="B951">
        <f>IF(AND(Inputs!$B$4&lt;&gt;"pvp",Inputs!$B$35&gt;0),SUMPRODUCT((Skills!V2:V28=TRUE)*(C916:C942=TRUE)*S916:S942*Skills!W2:W28)/Inputs!$B$35,SUMPRODUCT((Skills!V2:V28=TRUE)*(C916:C942=TRUE)*V916:V942*Skills!W2:W28))+B950</f>
        <v>1.5297416426166426</v>
      </c>
    </row>
    <row r="953" spans="1:22" x14ac:dyDescent="0.2">
      <c r="A953" s="5" t="s">
        <v>208</v>
      </c>
      <c r="B953" s="5">
        <f>SUM(O916:O942)</f>
        <v>8339884981551667</v>
      </c>
    </row>
    <row r="956" spans="1:22" x14ac:dyDescent="0.2">
      <c r="A956" s="5" t="s">
        <v>277</v>
      </c>
    </row>
    <row r="957" spans="1:22" x14ac:dyDescent="0.2">
      <c r="A957" s="8" t="s">
        <v>74</v>
      </c>
      <c r="B957" s="8" t="s">
        <v>75</v>
      </c>
      <c r="C957" s="8" t="s">
        <v>190</v>
      </c>
      <c r="D957" s="8" t="s">
        <v>191</v>
      </c>
      <c r="E957" s="8" t="s">
        <v>192</v>
      </c>
      <c r="F957" s="8" t="s">
        <v>193</v>
      </c>
      <c r="G957" s="8" t="s">
        <v>194</v>
      </c>
      <c r="H957" s="8" t="s">
        <v>195</v>
      </c>
      <c r="I957" s="8" t="s">
        <v>196</v>
      </c>
      <c r="J957" s="8" t="s">
        <v>197</v>
      </c>
      <c r="K957" s="8" t="s">
        <v>198</v>
      </c>
      <c r="L957" s="8" t="s">
        <v>199</v>
      </c>
      <c r="M957" s="8" t="s">
        <v>200</v>
      </c>
      <c r="N957" s="8" t="s">
        <v>201</v>
      </c>
      <c r="O957" s="8" t="s">
        <v>202</v>
      </c>
      <c r="P957" s="8" t="s">
        <v>203</v>
      </c>
      <c r="R957" t="s">
        <v>252</v>
      </c>
    </row>
    <row r="958" spans="1:22" x14ac:dyDescent="0.2">
      <c r="A958" t="str">
        <f>Skills!A2</f>
        <v>BASIC_ATTACK</v>
      </c>
      <c r="B958" t="str">
        <f>Skills!B2</f>
        <v>Basic Attack</v>
      </c>
      <c r="C958" t="b">
        <f>TRUE</f>
        <v>1</v>
      </c>
      <c r="F958">
        <f>T960+Skills!O2</f>
        <v>510.52</v>
      </c>
      <c r="G958">
        <f>Calc!G2</f>
        <v>5</v>
      </c>
      <c r="H958">
        <f>Calc!H2</f>
        <v>1</v>
      </c>
      <c r="I958">
        <f>IF(Skills!X2&lt;&gt;"",1+(Skills!X2/10)*(R959/1000)/100,1)</f>
        <v>1</v>
      </c>
      <c r="J958">
        <f>((Inputs!$B$5*(1+Inputs!$B$6/100))+((Inputs!$B$11*(1+Inputs!$B$12/100))-(Inputs!$B$11*(1+Inputs!$B$12/100)))*(1+Inputs!$B$6/100))*(F958/100)</f>
        <v>1275437334.1678655</v>
      </c>
      <c r="K958">
        <f>J958*(1+((Inputs!$B$11*(1+Inputs!$B$12/100))*0.01+Inputs!$B$13*0.0025)/100)*(1+Inputs!$B$14/100)*(1+IF(Inputs!$B$4="pvp",0,(1-Summary!$B$56)*(Inputs!$B$19+Skills!P2)+Summary!$B$56*(Inputs!$B$20+Skills!Q2))/100)*(1+Inputs!$B$15/100)*(5000/(6000+Inputs!$B$7*(1-Inputs!$B$18/100)))*(1+Inputs!$B$23/100)*(1+F979/100)*(1+IF(Inputs!$B$3&gt;=120,F982,0)/100)^5*(1+(IF(Skills!A2="BASIC_ATTACK",Inputs!$B$16,Inputs!$B$17+IF(Inputs!$B$3&gt;=125,F983*5,0)))/100)*(B986*B987*B988*I958)</f>
        <v>6960952567530.5723</v>
      </c>
      <c r="L958">
        <f>K958*(MIN(Inputs!$B$21+(F978-Calc!F22),Inputs!$B$22)/100+Inputs!$B$22/100)/2</f>
        <v>18791091456048.777</v>
      </c>
      <c r="M958">
        <f>L958*(1+(Inputs!$B$9+(F977-Calc!F21))/100)</f>
        <v>78753464292300.438</v>
      </c>
      <c r="N958">
        <f>L958*(1-MIN(Inputs!$B$8+(F976-Calc!F20),100)/100)+M958*(MIN(Inputs!$B$8+(F976-Calc!F20),100)/100)</f>
        <v>78753464292300.438</v>
      </c>
      <c r="O958">
        <f>Skills!G2*N958*B992*IF(Inputs!$B$4="pvp",1,(1-Summary!$B$56)*(1)+Summary!$B$56*(MIN((6+Inputs!$B$32+IF(Inputs!$B$3&gt;=136,1,0)),Inputs!$B$37)))</f>
        <v>3855872413302521.5</v>
      </c>
      <c r="P958">
        <f>IF(B995=0,0,O958/B995)</f>
        <v>0.45944836742949402</v>
      </c>
      <c r="R958">
        <f>MAX(0,(Inputs!$B$3-100)*3)+Inputs!$B$27+Inputs!$B$28</f>
        <v>172</v>
      </c>
      <c r="S958">
        <v>0</v>
      </c>
      <c r="T958">
        <f>MAX(0,(Inputs!$B$3-100)*3)+Inputs!$B$27+Inputs!$B$28</f>
        <v>172</v>
      </c>
      <c r="V958">
        <f>IFERROR(1/IF(Inputs!$B$4="pvp",15,MAX(0.1,Skills!E2-IF(Skills!F2=TRUE,(Inputs!$B$31+1),0))),0)</f>
        <v>10</v>
      </c>
    </row>
    <row r="959" spans="1:22" x14ac:dyDescent="0.2">
      <c r="A959" t="str">
        <f>Skills!A3</f>
        <v>IGNITE</v>
      </c>
      <c r="B959" t="str">
        <f>Skills!B3</f>
        <v>Ignite</v>
      </c>
      <c r="C959" t="b">
        <f>TRUE</f>
        <v>1</v>
      </c>
      <c r="D959">
        <f>IF(Skills!C3=1,60+Inputs!$B$24+Inputs!$B$28,IF(Skills!C3=2,90+Inputs!$B$25+Inputs!$B$28,IF(Skills!C3=3,120+Inputs!$B$26+Inputs!$B$28,MAX(0,(Inputs!$B$3-100)*3)+Inputs!$B$27+Inputs!$B$28)))</f>
        <v>164</v>
      </c>
      <c r="E959">
        <f>INDEX(FactorTable!$B$2:$Y$301, MATCH(ROUND(MIN(300,MAX(1,D959)),0), FactorTable!$A$2:$A$301,0), Skills!M3+1)</f>
        <v>1656</v>
      </c>
      <c r="F959">
        <f>IF(Skills!N3=TRUE,(Skills!L3/10)*(E959/1000),Skills!L3/10)+Skills!O3</f>
        <v>121.52799999999999</v>
      </c>
      <c r="G959">
        <f>Calc!G3</f>
        <v>3</v>
      </c>
      <c r="H959">
        <f>Calc!H3</f>
        <v>1</v>
      </c>
      <c r="I959">
        <f>IF(Skills!X3&lt;&gt;"",1+(Skills!X3/10)*(R959/1000)/100,1)</f>
        <v>4.76</v>
      </c>
      <c r="J959">
        <f>((Inputs!$B$5*(1+Inputs!$B$6/100))+((Inputs!$B$11*(1+Inputs!$B$12/100))-(Inputs!$B$11*(1+Inputs!$B$12/100)))*(1+Inputs!$B$6/100))*(F959/100)</f>
        <v>303614644.57171583</v>
      </c>
      <c r="K959">
        <f>J959*(1+((Inputs!$B$11*(1+Inputs!$B$12/100))*0.01+Inputs!$B$13*0.0025)/100)*(1+Inputs!$B$14/100)*(1+IF(Inputs!$B$4="pvp",0,(1-Summary!$B$56)*(Inputs!$B$19+Skills!P3)+Summary!$B$56*(Inputs!$B$20+Skills!Q3))/100)*(1+Inputs!$B$15/100)*(5000/(6000+Inputs!$B$7*(1-Inputs!$B$18/100)))*(1+Inputs!$B$23/100)*(1+F979/100)*(1+IF(Inputs!$B$3&gt;=120,F982,0)/100)^5*(1+(IF(Skills!A3="BASIC_ATTACK",Inputs!$B$16,Inputs!$B$17+IF(Inputs!$B$3&gt;=125,F983*5,0)))/100)*(B986*B987*B988*I959)</f>
        <v>10995012018164.998</v>
      </c>
      <c r="L959">
        <f>K959*(MIN(Inputs!$B$21+(F978-Calc!F22),Inputs!$B$22)/100+Inputs!$B$22/100)/2</f>
        <v>29681034943036.406</v>
      </c>
      <c r="M959">
        <f>L959*(1+(Inputs!$B$9+(F977-Calc!F21))/100)</f>
        <v>124393217446265.59</v>
      </c>
      <c r="N959">
        <f>L959*(1-MIN(Inputs!$B$8+(F976-Calc!F20),100)/100)+M959*(MIN(Inputs!$B$8+(F976-Calc!F20),100)/100)</f>
        <v>124393217446265.59</v>
      </c>
      <c r="O959">
        <f>IF(C959,H959*N959*IF(AND(Inputs!$B$4&lt;&gt;"pvp",Inputs!$B$35&gt;0),((Skills!G3*((S959-1)*IF(Skills!H3&gt;0,Skills!I3/Skills!H3,1)+IF(Skills!H3&gt;0,MIN(Skills!I3,MAX(0,Inputs!$B$35-((S959-1)*IF(Inputs!$B$4="pvp",15,MAX(0.1,Skills!E3-IF(Skills!F3=TRUE,(Inputs!$B$31+1),0))))))/Skills!H3,1)))/Inputs!$B$35),G959*V959)*IF(Inputs!$B$4="pvp",1,(1-Summary!$B$56)*(1)+Summary!$B$56*(MIN(Skills!R3,Inputs!$B$37))),0)</f>
        <v>820995235145352.75</v>
      </c>
      <c r="P959">
        <f>IF(B995=0,0,O959/B995)</f>
        <v>9.7826089668732866E-2</v>
      </c>
      <c r="R959">
        <f>INDEX(FactorTable!$B$2:$Y$301, MATCH(ROUND(MIN(300,MAX(1,R958)),0), FactorTable!$A$2:$A$301,0), 24)</f>
        <v>7520</v>
      </c>
      <c r="S959">
        <f>IF(AND(Inputs!$B$4&lt;&gt;"pvp",Inputs!$B$35&gt;0),(INT(Inputs!$B$35/IF(Inputs!$B$4="pvp",15,MAX(0.1,Skills!E3-IF(Skills!F3=TRUE,(Inputs!$B$31+1),0))))+1),0)</f>
        <v>0</v>
      </c>
      <c r="T959">
        <f>INDEX(FactorTable!$B$2:$Y$301, MATCH(ROUND(MIN(300,MAX(1,T958)),0), FactorTable!$A$2:$A$301,0), 22)</f>
        <v>1688</v>
      </c>
      <c r="V959">
        <f>IFERROR(1/IF(Inputs!$B$4="pvp",15,MAX(0.1,Skills!E3-IF(Skills!F3=TRUE,(Inputs!$B$31+1),0))),0)</f>
        <v>1</v>
      </c>
    </row>
    <row r="960" spans="1:22" x14ac:dyDescent="0.2">
      <c r="A960" t="str">
        <f>Skills!A4</f>
        <v>POISON_BREATH</v>
      </c>
      <c r="B960" t="str">
        <f>Skills!B4</f>
        <v>Poison Breath</v>
      </c>
      <c r="C960" t="b">
        <f>TRUE</f>
        <v>1</v>
      </c>
      <c r="D960">
        <f>IF(Skills!C4=1,60+Inputs!$B$24+Inputs!$B$28,IF(Skills!C4=2,90+Inputs!$B$25+Inputs!$B$28,IF(Skills!C4=3,120+Inputs!$B$26+Inputs!$B$28,MAX(0,(Inputs!$B$3-100)*3)+Inputs!$B$27+Inputs!$B$28)))</f>
        <v>164</v>
      </c>
      <c r="E960">
        <f>INDEX(FactorTable!$B$2:$Y$301, MATCH(ROUND(MIN(300,MAX(1,D960)),0), FactorTable!$A$2:$A$301,0), Skills!M4+1)</f>
        <v>1820</v>
      </c>
      <c r="F960">
        <f>IF(Skills!N4=TRUE,(Skills!L4/10)*(E960/1000),Skills!L4/10)+Skills!O4</f>
        <v>434</v>
      </c>
      <c r="G960">
        <f>Calc!G4</f>
        <v>3</v>
      </c>
      <c r="H960">
        <f>Calc!H4</f>
        <v>1</v>
      </c>
      <c r="I960">
        <f>IF(Skills!X4&lt;&gt;"",1+(Skills!X4/10)*(R959/1000)/100,1)</f>
        <v>7.0159999999999991</v>
      </c>
      <c r="J960">
        <f>((Inputs!$B$5*(1+Inputs!$B$6/100))+((Inputs!$B$11*(1+Inputs!$B$12/100))-(Inputs!$B$11*(1+Inputs!$B$12/100)))*(1+Inputs!$B$6/100))*(F960/100)</f>
        <v>1084266636.0355198</v>
      </c>
      <c r="K960">
        <f>J960*(1+((Inputs!$B$11*(1+Inputs!$B$12/100))*0.01+Inputs!$B$13*0.0025)/100)*(1+Inputs!$B$14/100)*(1+IF(Inputs!$B$4="pvp",0,(1-Summary!$B$56)*(Inputs!$B$19+Skills!P4)+Summary!$B$56*(Inputs!$B$20+Skills!Q4))/100)*(1+Inputs!$B$15/100)*(5000/(6000+Inputs!$B$7*(1-Inputs!$B$18/100)))*(1+Inputs!$B$23/100)*(1+F979/100)*(1+IF(Inputs!$B$3&gt;=120,F982,0)/100)^5*(1+(IF(Skills!A4="BASIC_ATTACK",Inputs!$B$16,Inputs!$B$17+IF(Inputs!$B$3&gt;=125,F983*5,0)))/100)*(B986*B987*B988*I960)</f>
        <v>57875094722852.875</v>
      </c>
      <c r="L960">
        <f>K960*(MIN(Inputs!$B$21+(F978-Calc!F22),Inputs!$B$22)/100+Inputs!$B$22/100)/2</f>
        <v>156233818204341.31</v>
      </c>
      <c r="M960">
        <f>L960*(1+(Inputs!$B$9+(F977-Calc!F21))/100)</f>
        <v>654775932094394.5</v>
      </c>
      <c r="N960">
        <f>L960*(1-MIN(Inputs!$B$8+(F976-Calc!F20),100)/100)+M960*(MIN(Inputs!$B$8+(F976-Calc!F20),100)/100)</f>
        <v>654775932094394.5</v>
      </c>
      <c r="O960">
        <f>IF(C960,H960*N960*IF(AND(Inputs!$B$4&lt;&gt;"pvp",Inputs!$B$35&gt;0),((Skills!G4*((S960-1)*IF(Skills!H4&gt;0,Skills!I4/Skills!H4,1)+IF(Skills!H4&gt;0,MIN(Skills!I4,MAX(0,Inputs!$B$35-((S960-1)*IF(Inputs!$B$4="pvp",15,MAX(0.1,Skills!E4-IF(Skills!F4=TRUE,(Inputs!$B$31+1),0))))))/Skills!H4,1)))/Inputs!$B$35),G960*V960)*IF(Inputs!$B$4="pvp",1,(1-Summary!$B$56)*(1)+Summary!$B$56*(MIN(Skills!R4,Inputs!$B$37))),0)</f>
        <v>462194775596043.06</v>
      </c>
      <c r="P960">
        <f>IF(B995=0,0,O960/B995)</f>
        <v>5.5073045038895208E-2</v>
      </c>
      <c r="S960">
        <f>IF(AND(Inputs!$B$4&lt;&gt;"pvp",Inputs!$B$35&gt;0),(INT(Inputs!$B$35/IF(Inputs!$B$4="pvp",15,MAX(0.1,Skills!E4-IF(Skills!F4=TRUE,(Inputs!$B$31+1),0))))+1),0)</f>
        <v>0</v>
      </c>
      <c r="T960">
        <f>290*T959/1000</f>
        <v>489.52</v>
      </c>
      <c r="V960">
        <f>IFERROR(1/IF(Inputs!$B$4="pvp",15,MAX(0.1,Skills!E4-IF(Skills!F4=TRUE,(Inputs!$B$31+1),0))),0)</f>
        <v>5.8823529411764705E-2</v>
      </c>
    </row>
    <row r="961" spans="1:22" x14ac:dyDescent="0.2">
      <c r="A961" t="str">
        <f>Skills!A5</f>
        <v>ELEMENTAL_DRAIN</v>
      </c>
      <c r="B961" t="str">
        <f>Skills!B5</f>
        <v>Elemental Drain</v>
      </c>
      <c r="C961" t="b">
        <f>TRUE</f>
        <v>1</v>
      </c>
      <c r="D961">
        <f>IF(Skills!C5=1,60+Inputs!$B$24+Inputs!$B$28,IF(Skills!C5=2,90+Inputs!$B$25+Inputs!$B$28,IF(Skills!C5=3,120+Inputs!$B$26+Inputs!$B$28,MAX(0,(Inputs!$B$3-100)*3)+Inputs!$B$27+Inputs!$B$28)))</f>
        <v>164</v>
      </c>
      <c r="E961">
        <f>INDEX(FactorTable!$B$2:$Y$301, MATCH(ROUND(MIN(300,MAX(1,D961)),0), FactorTable!$A$2:$A$301,0), Skills!M5+1)</f>
        <v>1656</v>
      </c>
      <c r="F961">
        <f>IF(Skills!N5=TRUE,(Skills!L5/10)*(E961/1000),Skills!L5/10)+Skills!O5</f>
        <v>19.872</v>
      </c>
      <c r="G961">
        <f>Calc!G5</f>
        <v>5</v>
      </c>
      <c r="H961">
        <f>Calc!H5</f>
        <v>1</v>
      </c>
      <c r="I961">
        <f>IF(Skills!X5&lt;&gt;"",1+(Skills!X5/10)*(R959/1000)/100,1)</f>
        <v>12.28</v>
      </c>
      <c r="J961">
        <f>((Inputs!$B$5*(1+Inputs!$B$6/100))+((Inputs!$B$11*(1+Inputs!$B$12/100))-(Inputs!$B$11*(1+Inputs!$B$12/100)))*(1+Inputs!$B$6/100))*(F961/100)</f>
        <v>49646420.717276163</v>
      </c>
      <c r="K961">
        <f>J961*(1+((Inputs!$B$11*(1+Inputs!$B$12/100))*0.01+Inputs!$B$13*0.0025)/100)*(1+Inputs!$B$14/100)*(1+IF(Inputs!$B$4="pvp",0,(1-Summary!$B$56)*(Inputs!$B$19+Skills!P5)+Summary!$B$56*(Inputs!$B$20+Skills!Q5))/100)*(1+Inputs!$B$15/100)*(5000/(6000+Inputs!$B$7*(1-Inputs!$B$18/100)))*(1+Inputs!$B$23/100)*(1+F979/100)*(1+IF(Inputs!$B$3&gt;=120,F982,0)/100)^5*(1+(IF(Skills!A5="BASIC_ATTACK",Inputs!$B$16,Inputs!$B$17+IF(Inputs!$B$3&gt;=125,F983*5,0)))/100)*(B986*B987*B988*I961)</f>
        <v>4638230744159.3359</v>
      </c>
      <c r="L961">
        <f>K961*(MIN(Inputs!$B$21+(F978-Calc!F22),Inputs!$B$22)/100+Inputs!$B$22/100)/2</f>
        <v>12520903893858.125</v>
      </c>
      <c r="M961">
        <f>L961*(1+(Inputs!$B$9+(F977-Calc!F21))/100)</f>
        <v>52475108219159.414</v>
      </c>
      <c r="N961">
        <f>L961*(1-MIN(Inputs!$B$8+(F976-Calc!F20),100)/100)+M961*(MIN(Inputs!$B$8+(F976-Calc!F20),100)/100)</f>
        <v>52475108219159.414</v>
      </c>
      <c r="O961">
        <f>IF(C961,H961*N961*IF(AND(Inputs!$B$4&lt;&gt;"pvp",Inputs!$B$35&gt;0),((Skills!G5*((S961-1)*IF(Skills!H5&gt;0,Skills!I5/Skills!H5,1)+IF(Skills!H5&gt;0,MIN(Skills!I5,MAX(0,Inputs!$B$35-((S961-1)*IF(Inputs!$B$4="pvp",15,MAX(0.1,Skills!E5-IF(Skills!F5=TRUE,(Inputs!$B$31+1),0))))))/Skills!H5,1)))/Inputs!$B$35),G961*V961)*IF(Inputs!$B$4="pvp",1,(1-Summary!$B$56)*(1)+Summary!$B$56*(MIN(Skills!R5,Inputs!$B$37))),0)</f>
        <v>262375541095797.06</v>
      </c>
      <c r="P961">
        <f>IF(B995=0,0,O961/B995)</f>
        <v>3.1263486207170878E-2</v>
      </c>
      <c r="S961">
        <f>IF(AND(Inputs!$B$4&lt;&gt;"pvp",Inputs!$B$35&gt;0),(INT(Inputs!$B$35/IF(Inputs!$B$4="pvp",15,MAX(0.1,Skills!E5-IF(Skills!F5=TRUE,(Inputs!$B$31+1),0))))+1),0)</f>
        <v>0</v>
      </c>
      <c r="V961">
        <f>IFERROR(1/IF(Inputs!$B$4="pvp",15,MAX(0.1,Skills!E5-IF(Skills!F5=TRUE,(Inputs!$B$31+1),0))),0)</f>
        <v>1</v>
      </c>
    </row>
    <row r="962" spans="1:22" x14ac:dyDescent="0.2">
      <c r="A962" t="str">
        <f>Skills!A6</f>
        <v>MEDITATION</v>
      </c>
      <c r="B962" t="str">
        <f>Skills!B6</f>
        <v>Meditation</v>
      </c>
      <c r="C962" t="b">
        <f>TRUE</f>
        <v>1</v>
      </c>
      <c r="D962">
        <f>IF(Skills!C6=1,60+Inputs!$B$24+Inputs!$B$28,IF(Skills!C6=2,90+Inputs!$B$25+Inputs!$B$28,IF(Skills!C6=3,120+Inputs!$B$26+Inputs!$B$28,MAX(0,(Inputs!$B$3-100)*3)+Inputs!$B$27+Inputs!$B$28)))</f>
        <v>164</v>
      </c>
      <c r="E962">
        <f>INDEX(FactorTable!$B$2:$Y$301, MATCH(ROUND(MIN(300,MAX(1,D962)),0), FactorTable!$A$2:$A$301,0), Skills!M6+1)</f>
        <v>1492</v>
      </c>
      <c r="F962">
        <f>IF(Skills!N6=TRUE,(Skills!L6/10)*(E962/1000),Skills!L6/10)+Skills!O6</f>
        <v>29.84</v>
      </c>
      <c r="G962">
        <f>Calc!G6</f>
        <v>1</v>
      </c>
      <c r="H962">
        <f>Calc!H6</f>
        <v>1</v>
      </c>
      <c r="I962">
        <f>IF(Skills!X6&lt;&gt;"",1+(Skills!X6/10)*(R959/1000)/100,1)</f>
        <v>1</v>
      </c>
      <c r="O962">
        <v>0</v>
      </c>
      <c r="P962">
        <f>IF(B995=0,0,O962/B995)</f>
        <v>0</v>
      </c>
      <c r="S962">
        <f>IF(AND(Inputs!$B$4&lt;&gt;"pvp",Inputs!$B$35&gt;0),(INT(Inputs!$B$35/IF(Inputs!$B$4="pvp",15,MAX(0.1,Skills!E6-IF(Skills!F6=TRUE,(Inputs!$B$31+1),0))))+1),0)</f>
        <v>0</v>
      </c>
      <c r="V962">
        <f>IFERROR(1/IF(Inputs!$B$4="pvp",15,MAX(0.1,Skills!E6-IF(Skills!F6=TRUE,(Inputs!$B$31+1),0))),0)</f>
        <v>3.4482758620689655E-2</v>
      </c>
    </row>
    <row r="963" spans="1:22" x14ac:dyDescent="0.2">
      <c r="A963" t="str">
        <f>Skills!A7</f>
        <v>POISON_MIST_BURST</v>
      </c>
      <c r="B963" t="str">
        <f>Skills!B7</f>
        <v>Poison Mist (burst)</v>
      </c>
      <c r="C963" t="b">
        <f>TRUE</f>
        <v>1</v>
      </c>
      <c r="D963">
        <f>IF(Skills!C7=1,60+Inputs!$B$24+Inputs!$B$28,IF(Skills!C7=2,90+Inputs!$B$25+Inputs!$B$28,IF(Skills!C7=3,120+Inputs!$B$26+Inputs!$B$28,MAX(0,(Inputs!$B$3-100)*3)+Inputs!$B$27+Inputs!$B$28)))</f>
        <v>184</v>
      </c>
      <c r="E963">
        <f>INDEX(FactorTable!$B$2:$Y$301, MATCH(ROUND(MIN(300,MAX(1,D963)),0), FactorTable!$A$2:$A$301,0), Skills!M7+1)</f>
        <v>1920</v>
      </c>
      <c r="F963">
        <f>IF(Skills!N7=TRUE,(Skills!L7/10)*(E963/1000),Skills!L7/10)+Skills!O7</f>
        <v>357.2</v>
      </c>
      <c r="G963">
        <f>Calc!G7</f>
        <v>3</v>
      </c>
      <c r="H963">
        <f>Calc!H7</f>
        <v>1</v>
      </c>
      <c r="I963">
        <f>IF(Skills!X7&lt;&gt;"",1+(Skills!X7/10)*(R959/1000)/100,1)</f>
        <v>1.7519999999999998</v>
      </c>
      <c r="J963">
        <f>((Inputs!$B$5*(1+Inputs!$B$6/100))+((Inputs!$B$11*(1+Inputs!$B$12/100))-(Inputs!$B$11*(1+Inputs!$B$12/100)))*(1+Inputs!$B$6/100))*(F963/100)</f>
        <v>892396411.04121602</v>
      </c>
      <c r="K963">
        <f>J963*(1+((Inputs!$B$11*(1+Inputs!$B$12/100))*0.01+Inputs!$B$13*0.0025)/100)*(1+Inputs!$B$14/100)*(1+IF(Inputs!$B$4="pvp",0,(1-Summary!$B$56)*(Inputs!$B$19+Skills!P7)+Summary!$B$56*(Inputs!$B$20+Skills!Q7))/100)*(1+Inputs!$B$15/100)*(5000/(6000+Inputs!$B$7*(1-Inputs!$B$18/100)))*(1+Inputs!$B$23/100)*(1+F979/100)*(1+IF(Inputs!$B$3&gt;=120,F982,0)/100)^5*(1+(IF(Skills!A7="BASIC_ATTACK",Inputs!$B$16,Inputs!$B$17+IF(Inputs!$B$3&gt;=125,F983*5,0)))/100)*(B986*B987*B988*I963)</f>
        <v>11894822262388.189</v>
      </c>
      <c r="L963">
        <f>K963*(MIN(Inputs!$B$21+(F978-Calc!F22),Inputs!$B$22)/100+Inputs!$B$22/100)/2</f>
        <v>32110072697316.914</v>
      </c>
      <c r="M963">
        <f>L963*(1+(Inputs!$B$9+(F977-Calc!F21))/100)</f>
        <v>134573314674455.2</v>
      </c>
      <c r="N963">
        <f>L963*(1-MIN(Inputs!$B$8+(F976-Calc!F20),100)/100)+M963*(MIN(Inputs!$B$8+(F976-Calc!F20),100)/100)</f>
        <v>134573314674455.2</v>
      </c>
      <c r="O963">
        <f>IF(C963,H963*N963*IF(AND(Inputs!$B$4&lt;&gt;"pvp",Inputs!$B$35&gt;0),((Skills!G7*((S963-1)*IF(Skills!H7&gt;0,Skills!I7/Skills!H7,1)+IF(Skills!H7&gt;0,MIN(Skills!I7,MAX(0,Inputs!$B$35-((S963-1)*IF(Inputs!$B$4="pvp",15,MAX(0.1,Skills!E7-IF(Skills!F7=TRUE,(Inputs!$B$31+1),0))))))/Skills!H7,1)))/Inputs!$B$35),G963*V963)*IF(Inputs!$B$4="pvp",1,(1-Summary!$B$56)*(1)+Summary!$B$56*(MIN(Skills!R7,Inputs!$B$37))),0)</f>
        <v>109949261351044.25</v>
      </c>
      <c r="P963">
        <f>IF(B995=0,0,O963/B995)</f>
        <v>1.3101058129812319E-2</v>
      </c>
      <c r="S963">
        <f>IF(AND(Inputs!$B$4&lt;&gt;"pvp",Inputs!$B$35&gt;0),(INT(Inputs!$B$35/IF(Inputs!$B$4="pvp",15,MAX(0.1,Skills!E7-IF(Skills!F7=TRUE,(Inputs!$B$31+1),0))))+1),0)</f>
        <v>0</v>
      </c>
      <c r="V963">
        <f>IFERROR(1/IF(Inputs!$B$4="pvp",15,MAX(0.1,Skills!E7-IF(Skills!F7=TRUE,(Inputs!$B$31+1),0))),0)</f>
        <v>4.2553191489361701E-2</v>
      </c>
    </row>
    <row r="964" spans="1:22" x14ac:dyDescent="0.2">
      <c r="A964" t="str">
        <f>Skills!A8</f>
        <v>POISON_MIST_DOT</v>
      </c>
      <c r="B964" t="str">
        <f>Skills!B8</f>
        <v>Poison Mist (fog DoT)</v>
      </c>
      <c r="C964" t="b">
        <f>TRUE</f>
        <v>1</v>
      </c>
      <c r="D964">
        <f>IF(Skills!C8=1,60+Inputs!$B$24+Inputs!$B$28,IF(Skills!C8=2,90+Inputs!$B$25+Inputs!$B$28,IF(Skills!C8=3,120+Inputs!$B$26+Inputs!$B$28,MAX(0,(Inputs!$B$3-100)*3)+Inputs!$B$27+Inputs!$B$28)))</f>
        <v>184</v>
      </c>
      <c r="E964">
        <f>INDEX(FactorTable!$B$2:$Y$301, MATCH(ROUND(MIN(300,MAX(1,D964)),0), FactorTable!$A$2:$A$301,0), Skills!M8+1)</f>
        <v>1920</v>
      </c>
      <c r="F964">
        <f>IF(Skills!N8=TRUE,(Skills!L8/10)*(E964/1000),Skills!L8/10)+Skills!O8</f>
        <v>134.4</v>
      </c>
      <c r="G964">
        <f>Calc!G8</f>
        <v>50</v>
      </c>
      <c r="H964">
        <f>Calc!H8</f>
        <v>1</v>
      </c>
      <c r="I964">
        <f>IF(Skills!X8&lt;&gt;"",1+(Skills!X8/10)*(R959/1000)/100,1)</f>
        <v>1.7519999999999998</v>
      </c>
      <c r="J964">
        <f>((Inputs!$B$5*(1+Inputs!$B$6/100))+((Inputs!$B$11*(1+Inputs!$B$12/100))-(Inputs!$B$11*(1+Inputs!$B$12/100)))*(1+Inputs!$B$6/100))*(F964/100)</f>
        <v>335772893.74003202</v>
      </c>
      <c r="K964">
        <f>J964*(1+((Inputs!$B$11*(1+Inputs!$B$12/100))*0.01+Inputs!$B$13*0.0025)/100)*(1+Inputs!$B$14/100)*(1+IF(Inputs!$B$4="pvp",0,(1-Summary!$B$56)*(Inputs!$B$19+Skills!P8)+Summary!$B$56*(Inputs!$B$20+Skills!Q8))/100)*(1+Inputs!$B$15/100)*(5000/(6000+Inputs!$B$7*(1-Inputs!$B$18/100)))*(1+Inputs!$B$23/100)*(1+F979/100)*(1+IF(Inputs!$B$3&gt;=120,F982,0)/100)^5*(1+(IF(Skills!A8="BASIC_ATTACK",Inputs!$B$16,Inputs!$B$17+IF(Inputs!$B$3&gt;=125,F983*5,0)))/100)*(B986*B987*B988*I964)</f>
        <v>4475543426833.6309</v>
      </c>
      <c r="L964">
        <f>K964*(MIN(Inputs!$B$21+(F978-Calc!F22),Inputs!$B$22)/100+Inputs!$B$22/100)/2</f>
        <v>12081729480737.385</v>
      </c>
      <c r="M964">
        <f>L964*(1+(Inputs!$B$9+(F977-Calc!F21))/100)</f>
        <v>50634528253770.391</v>
      </c>
      <c r="N964">
        <f>L964*(1-MIN(Inputs!$B$8+(F976-Calc!F20),100)/100)+M964*(MIN(Inputs!$B$8+(F976-Calc!F20),100)/100)</f>
        <v>50634528253770.391</v>
      </c>
      <c r="O964">
        <f>IF(C964,H964*N964*IF(AND(Inputs!$B$4&lt;&gt;"pvp",Inputs!$B$35&gt;0),((Skills!G8*((S964-1)*IF(Skills!H8&gt;0,Skills!I8/Skills!H8,1)+IF(Skills!H8&gt;0,MIN(Skills!I8,MAX(0,Inputs!$B$35-((S964-1)*IF(Inputs!$B$4="pvp",15,MAX(0.1,Skills!E8-IF(Skills!F8=TRUE,(Inputs!$B$31+1),0))))))/Skills!H8,1)))/Inputs!$B$35),G964*V964)*IF(Inputs!$B$4="pvp",1,(1-Summary!$B$56)*(1)+Summary!$B$56*(MIN(Skills!R8,Inputs!$B$37))),0)</f>
        <v>661348940457409.25</v>
      </c>
      <c r="P964">
        <f>IF(B995=0,0,O964/B995)</f>
        <v>7.8803357171803451E-2</v>
      </c>
      <c r="S964">
        <f>IF(AND(Inputs!$B$4&lt;&gt;"pvp",Inputs!$B$35&gt;0),(INT(Inputs!$B$35/IF(Inputs!$B$4="pvp",15,MAX(0.1,Skills!E8-IF(Skills!F8=TRUE,(Inputs!$B$31+1),0))))+1),0)</f>
        <v>0</v>
      </c>
      <c r="V964">
        <f>IFERROR(1/IF(Inputs!$B$4="pvp",15,MAX(0.1,Skills!E8-IF(Skills!F8=TRUE,(Inputs!$B$31+1),0))),0)</f>
        <v>4.0816326530612242E-2</v>
      </c>
    </row>
    <row r="965" spans="1:22" x14ac:dyDescent="0.2">
      <c r="A965" t="str">
        <f>Skills!A9</f>
        <v>MIST_ERUPTION</v>
      </c>
      <c r="B965" t="str">
        <f>Skills!B9</f>
        <v>Mist Eruption</v>
      </c>
      <c r="C965" t="b">
        <f>Inputs!$B$3&gt;=103</f>
        <v>1</v>
      </c>
      <c r="D965">
        <f>IF(Skills!C9=1,60+Inputs!$B$24+Inputs!$B$28,IF(Skills!C9=2,90+Inputs!$B$25+Inputs!$B$28,IF(Skills!C9=3,120+Inputs!$B$26+Inputs!$B$28,MAX(0,(Inputs!$B$3-100)*3)+Inputs!$B$27+Inputs!$B$28)))</f>
        <v>172</v>
      </c>
      <c r="E965">
        <f>INDEX(FactorTable!$B$2:$Y$301, MATCH(ROUND(MIN(300,MAX(1,D965)),0), FactorTable!$A$2:$A$301,0), Skills!M9+1)</f>
        <v>1860</v>
      </c>
      <c r="F965">
        <f>IF(Skills!N9=TRUE,(Skills!L9/10)*(E965/1000),Skills!L9/10)+Skills!O9</f>
        <v>5580</v>
      </c>
      <c r="G965">
        <f>Calc!G9</f>
        <v>2.8</v>
      </c>
      <c r="H965">
        <f>Calc!H9</f>
        <v>1</v>
      </c>
      <c r="I965">
        <f>IF(Skills!X9&lt;&gt;"",1+(Skills!X9/10)*(R959/1000)/100,1)</f>
        <v>1</v>
      </c>
      <c r="J965">
        <f>((Inputs!$B$5*(1+Inputs!$B$6/100))+((Inputs!$B$11*(1+Inputs!$B$12/100))-(Inputs!$B$11*(1+Inputs!$B$12/100)))*(1+Inputs!$B$6/100))*(F965/100)</f>
        <v>13940571034.742399</v>
      </c>
      <c r="K965">
        <f>J965*(1+((Inputs!$B$11*(1+Inputs!$B$12/100))*0.01+Inputs!$B$13*0.0025)/100)*(1+Inputs!$B$14/100)*(1+IF(Inputs!$B$4="pvp",0,(1-Summary!$B$56)*(Inputs!$B$19+Skills!P9)+Summary!$B$56*(Inputs!$B$20+Skills!Q9))/100)*(1+Inputs!$B$15/100)*(5000/(6000+Inputs!$B$7*(1-Inputs!$B$18/100)))*(1+Inputs!$B$23/100)*(1+F979/100)*(1+IF(Inputs!$B$3&gt;=120,F982,0)/100)^5*(1+(IF(Skills!A9="BASIC_ATTACK",Inputs!$B$16,Inputs!$B$17+IF(Inputs!$B$3&gt;=125,F983*5,0)))/100)*(B986*B987*B988*I965)</f>
        <v>106058774333294.53</v>
      </c>
      <c r="L965">
        <f>K965*(MIN(Inputs!$B$21+(F978-Calc!F22),Inputs!$B$22)/100+Inputs!$B$22/100)/2</f>
        <v>286305661312728.56</v>
      </c>
      <c r="M965">
        <f>L965*(1+(Inputs!$B$9+(F977-Calc!F21))/100)</f>
        <v>1199907026561645.5</v>
      </c>
      <c r="N965">
        <f>L965*(1-MIN(Inputs!$B$8+(F976-Calc!F20),100)/100)+M965*(MIN(Inputs!$B$8+(F976-Calc!F20),100)/100)</f>
        <v>1199907026561645.5</v>
      </c>
      <c r="O965">
        <f>IF(C965,H965*N965*IF(AND(Inputs!$B$4&lt;&gt;"pvp",Inputs!$B$35&gt;0),((Skills!G9*((S965-1)*IF(Skills!H9&gt;0,Skills!I9/Skills!H9,1)+IF(Skills!H9&gt;0,MIN(Skills!I9,MAX(0,Inputs!$B$35-((S965-1)*IF(Inputs!$B$4="pvp",15,MAX(0.1,Skills!E9-IF(Skills!F7=TRUE,(Inputs!$B$31+1),0))))))/Skills!H9,1)))/Inputs!$B$35),G965*V965)*IF(Inputs!$B$4="pvp",1,(1-Summary!$B$56)*(1)+Summary!$B$56*(MIN(Skills!R9,Inputs!$B$37))),0)</f>
        <v>914992932595093</v>
      </c>
      <c r="P965">
        <f>IF(B995=0,0,O965/B995)</f>
        <v>0.10902643138295087</v>
      </c>
      <c r="S965">
        <f>IF(AND(Inputs!$B$4&lt;&gt;"pvp",Inputs!$B$35&gt;0),(INT(Inputs!$B$35/IF(Inputs!$B$4="pvp",15,MAX(0.1,Skills!E9-IF(Skills!F7=TRUE,(Inputs!$B$31+1),0))))+1),0)</f>
        <v>0</v>
      </c>
      <c r="V965">
        <f>IFERROR(1/IF(Inputs!$B$4="pvp",15,MAX(0.1,Skills!E9-IF(Skills!F7=TRUE,(Inputs!$B$31+1),0))),0)</f>
        <v>4.2553191489361701E-2</v>
      </c>
    </row>
    <row r="966" spans="1:22" x14ac:dyDescent="0.2">
      <c r="A966" t="str">
        <f>Skills!A10</f>
        <v>CREEPING_TOXIN</v>
      </c>
      <c r="B966" t="str">
        <f>Skills!B10</f>
        <v>Creeping Toxin</v>
      </c>
      <c r="C966" t="b">
        <f>TRUE</f>
        <v>1</v>
      </c>
      <c r="D966">
        <f>IF(Skills!C10=1,60+Inputs!$B$24+Inputs!$B$28,IF(Skills!C10=2,90+Inputs!$B$25+Inputs!$B$28,IF(Skills!C10=3,120+Inputs!$B$26+Inputs!$B$28,MAX(0,(Inputs!$B$3-100)*3)+Inputs!$B$27+Inputs!$B$28)))</f>
        <v>184</v>
      </c>
      <c r="E966">
        <f>INDEX(FactorTable!$B$2:$Y$301, MATCH(ROUND(MIN(300,MAX(1,D966)),0), FactorTable!$A$2:$A$301,0), Skills!M10+1)</f>
        <v>1920</v>
      </c>
      <c r="F966">
        <f>IF(Skills!N10=TRUE,(Skills!L10/10)*(E966/1000),Skills!L10/10)+Skills!O10</f>
        <v>280.39999999999998</v>
      </c>
      <c r="G966">
        <f>Calc!G10</f>
        <v>15</v>
      </c>
      <c r="H966">
        <f>Calc!H10</f>
        <v>1</v>
      </c>
      <c r="I966">
        <f>IF(Skills!X10&lt;&gt;"",1+(Skills!X10/10)*(R959/1000)/100,1)</f>
        <v>1.7519999999999998</v>
      </c>
      <c r="J966">
        <f>((Inputs!$B$5*(1+Inputs!$B$6/100))+((Inputs!$B$11*(1+Inputs!$B$12/100))-(Inputs!$B$11*(1+Inputs!$B$12/100)))*(1+Inputs!$B$6/100))*(F966/100)</f>
        <v>700526186.04691195</v>
      </c>
      <c r="K966">
        <f>J966*(1+((Inputs!$B$11*(1+Inputs!$B$12/100))*0.01+Inputs!$B$13*0.0025)/100)*(1+Inputs!$B$14/100)*(1+IF(Inputs!$B$4="pvp",0,(1-Summary!$B$56)*(Inputs!$B$19+Skills!P10)+Summary!$B$56*(Inputs!$B$20+Skills!Q10))/100)*(1+Inputs!$B$15/100)*(5000/(6000+Inputs!$B$7*(1-Inputs!$B$18/100)))*(1+Inputs!$B$23/100)*(1+F979/100)*(1+IF(Inputs!$B$3&gt;=120,F982,0)/100)^5*(1+(IF(Skills!A10="BASIC_ATTACK",Inputs!$B$16,Inputs!$B$17+IF(Inputs!$B$3&gt;=125,F983*5,0)))/100)*(B986*B987*B988*I966)</f>
        <v>11018767832821.695</v>
      </c>
      <c r="L966">
        <f>K966*(MIN(Inputs!$B$21+(F978-Calc!F22),Inputs!$B$22)/100+Inputs!$B$22/100)/2</f>
        <v>29745163764702.16</v>
      </c>
      <c r="M966">
        <f>L966*(1+(Inputs!$B$9+(F977-Calc!F21))/100)</f>
        <v>124661981337866.78</v>
      </c>
      <c r="N966">
        <f>L966*(1-MIN(Inputs!$B$8+(F976-Calc!F20),100)/100)+M966*(MIN(Inputs!$B$8+(F976-Calc!F20),100)/100)</f>
        <v>124661981337866.78</v>
      </c>
      <c r="O966">
        <f>IF(C966,H966*N966*IF(AND(Inputs!$B$4&lt;&gt;"pvp",Inputs!$B$35&gt;0),((Skills!G10*((S966-1)*IF(Skills!H10&gt;0,Skills!I10/Skills!H10,1)+IF(Skills!H10&gt;0,MIN(Skills!I10,MAX(0,Inputs!$B$35-((S966-1)*IF(Inputs!$B$4="pvp",15,MAX(0.1,Skills!E10-IF(Skills!F10=TRUE,(Inputs!$B$31+1),0))))))/Skills!H10,1)))/Inputs!$B$35),G966*V966)*IF(Inputs!$B$4="pvp",1,(1-Summary!$B$56)*(1)+Summary!$B$56*(MIN(Skills!R10,Inputs!$B$37))),0)</f>
        <v>71920373848769.297</v>
      </c>
      <c r="P966">
        <f>IF(B995=0,0,O966/B995)</f>
        <v>8.5697073989629974E-3</v>
      </c>
      <c r="S966">
        <f>IF(AND(Inputs!$B$4&lt;&gt;"pvp",Inputs!$B$35&gt;0),(INT(Inputs!$B$35/IF(Inputs!$B$4="pvp",15,MAX(0.1,Skills!E10-IF(Skills!F10=TRUE,(Inputs!$B$31+1),0))))+1),0)</f>
        <v>0</v>
      </c>
      <c r="V966">
        <f>IFERROR(1/IF(Inputs!$B$4="pvp",15,MAX(0.1,Skills!E10-IF(Skills!F10=TRUE,(Inputs!$B$31+1),0))),0)</f>
        <v>3.8461538461538464E-2</v>
      </c>
    </row>
    <row r="967" spans="1:22" x14ac:dyDescent="0.2">
      <c r="A967" t="str">
        <f>Skills!A11</f>
        <v>BURNING_MAGIC</v>
      </c>
      <c r="B967" t="str">
        <f>Skills!B11</f>
        <v>Burning Magic</v>
      </c>
      <c r="C967" t="b">
        <f>TRUE</f>
        <v>1</v>
      </c>
      <c r="D967">
        <f>IF(Skills!C11=1,60+Inputs!$B$24+Inputs!$B$28,IF(Skills!C11=2,90+Inputs!$B$25+Inputs!$B$28,IF(Skills!C11=3,120+Inputs!$B$26+Inputs!$B$28,MAX(0,(Inputs!$B$3-100)*3)+Inputs!$B$27+Inputs!$B$28)))</f>
        <v>184</v>
      </c>
      <c r="E967">
        <f>INDEX(FactorTable!$B$2:$Y$301, MATCH(ROUND(MIN(300,MAX(1,D967)),0), FactorTable!$A$2:$A$301,0), Skills!M11+1)</f>
        <v>0</v>
      </c>
      <c r="F967">
        <f>IF(Skills!N11=TRUE,(Skills!L11/10)*(E967/1000),Skills!L11/10)+Skills!O11</f>
        <v>5</v>
      </c>
      <c r="G967">
        <f>Calc!G11</f>
        <v>1</v>
      </c>
      <c r="H967">
        <f>Calc!H11</f>
        <v>1</v>
      </c>
      <c r="I967">
        <f>IF(Skills!X11&lt;&gt;"",1+(Skills!X11/10)*(R959/1000)/100,1)</f>
        <v>1</v>
      </c>
      <c r="O967">
        <v>0</v>
      </c>
      <c r="P967">
        <f>IF(B995=0,0,O967/B995)</f>
        <v>0</v>
      </c>
      <c r="S967">
        <v>0</v>
      </c>
      <c r="V967">
        <f>IFERROR(1/IF(Inputs!$B$4="pvp",15,MAX(0.1,Skills!E11-IF(Skills!F11=TRUE,(Inputs!$B$31+1),0))),0)</f>
        <v>10</v>
      </c>
    </row>
    <row r="968" spans="1:22" x14ac:dyDescent="0.2">
      <c r="A968" t="str">
        <f>Skills!A12</f>
        <v>ELEMENTAL_DECREASE</v>
      </c>
      <c r="B968" t="str">
        <f>Skills!B12</f>
        <v>Elemental Decrease</v>
      </c>
      <c r="C968" t="b">
        <f>TRUE</f>
        <v>1</v>
      </c>
      <c r="D968">
        <f>IF(Skills!C12=1,60+Inputs!$B$24+Inputs!$B$28,IF(Skills!C12=2,90+Inputs!$B$25+Inputs!$B$28,IF(Skills!C12=3,120+Inputs!$B$26+Inputs!$B$28,MAX(0,(Inputs!$B$3-100)*3)+Inputs!$B$27+Inputs!$B$28)))</f>
        <v>184</v>
      </c>
      <c r="E968">
        <f>INDEX(FactorTable!$B$2:$Y$301, MATCH(ROUND(MIN(300,MAX(1,D968)),0), FactorTable!$A$2:$A$301,0), Skills!M12+1)</f>
        <v>1552</v>
      </c>
      <c r="F968">
        <f>IF(Skills!N12=TRUE,(Skills!L12/10)*(E968/1000),Skills!L12/10)+Skills!O12</f>
        <v>18.624000000000002</v>
      </c>
      <c r="G968">
        <f>Calc!G12</f>
        <v>1</v>
      </c>
      <c r="H968">
        <f>Calc!H12</f>
        <v>0.5</v>
      </c>
      <c r="I968">
        <f>IF(Skills!X12&lt;&gt;"",1+(Skills!X12/10)*(R959/1000)/100,1)</f>
        <v>1</v>
      </c>
      <c r="O968">
        <v>0</v>
      </c>
      <c r="P968">
        <f>IF(B995=0,0,O968/B995)</f>
        <v>0</v>
      </c>
      <c r="S968">
        <v>0</v>
      </c>
      <c r="V968">
        <f>IFERROR(1/IF(Inputs!$B$4="pvp",15,MAX(0.1,Skills!E12-IF(Skills!F12=TRUE,(Inputs!$B$31+1),0))),0)</f>
        <v>10</v>
      </c>
    </row>
    <row r="969" spans="1:22" x14ac:dyDescent="0.2">
      <c r="A969" t="str">
        <f>Skills!A13</f>
        <v>METEOR_SHOWER_BURST</v>
      </c>
      <c r="B969" t="str">
        <f>Skills!B13</f>
        <v>Meteor Shower (burst)</v>
      </c>
      <c r="C969" t="b">
        <f>Inputs!$B$3&gt;=105</f>
        <v>1</v>
      </c>
      <c r="D969">
        <f>IF(Skills!C13=1,60+Inputs!$B$24+Inputs!$B$28,IF(Skills!C13=2,90+Inputs!$B$25+Inputs!$B$28,IF(Skills!C13=3,120+Inputs!$B$26+Inputs!$B$28,MAX(0,(Inputs!$B$3-100)*3)+Inputs!$B$27+Inputs!$B$28)))</f>
        <v>172</v>
      </c>
      <c r="E969">
        <f>INDEX(FactorTable!$B$2:$Y$301, MATCH(ROUND(MIN(300,MAX(1,D969)),0), FactorTable!$A$2:$A$301,0), Skills!M13+1)</f>
        <v>1860</v>
      </c>
      <c r="F969">
        <f>IF(Skills!N13=TRUE,(Skills!L13/10)*(E969/1000),Skills!L13/10)+Skills!O13</f>
        <v>1116</v>
      </c>
      <c r="G969">
        <f>Calc!G13</f>
        <v>9</v>
      </c>
      <c r="H969">
        <f>Calc!H13</f>
        <v>1</v>
      </c>
      <c r="I969">
        <f>IF(Skills!X13&lt;&gt;"",1+(Skills!X13/10)*(R959/1000)/100,1)</f>
        <v>1</v>
      </c>
      <c r="J969">
        <f>((Inputs!$B$5*(1+Inputs!$B$6/100))+((Inputs!$B$11*(1+Inputs!$B$12/100))-(Inputs!$B$11*(1+Inputs!$B$12/100)))*(1+Inputs!$B$6/100))*(F969/100)</f>
        <v>2788114206.9484801</v>
      </c>
      <c r="K969">
        <f>J969*(1+((Inputs!$B$11*(1+Inputs!$B$12/100))*0.01+Inputs!$B$13*0.0025)/100)*(1+Inputs!$B$14/100)*(1+IF(Inputs!$B$4="pvp",0,(1-Summary!$B$56)*(Inputs!$B$19+Skills!P13)+Summary!$B$56*(Inputs!$B$20+Skills!Q13))/100)*(1+Inputs!$B$15/100)*(5000/(6000+Inputs!$B$7*(1-Inputs!$B$18/100)))*(1+Inputs!$B$23/100)*(1+F979/100)*(1+IF(Inputs!$B$3&gt;=120,F982,0)/100)^5*(1+(IF(Skills!A13="BASIC_ATTACK",Inputs!$B$16,Inputs!$B$17+IF(Inputs!$B$3&gt;=125,F983*5,0)))/100)*(B986*B987*B988*I969)</f>
        <v>21211754866658.902</v>
      </c>
      <c r="L969">
        <f>K969*(MIN(Inputs!$B$21+(F978-Calc!F22),Inputs!$B$22)/100+Inputs!$B$22/100)/2</f>
        <v>57261132262545.695</v>
      </c>
      <c r="M969">
        <f>L969*(1+(Inputs!$B$9+(F977-Calc!F21))/100)</f>
        <v>239981405312329.06</v>
      </c>
      <c r="N969">
        <f>L969*(1-MIN(Inputs!$B$8+(F976-Calc!F20),100)/100)+M969*(MIN(Inputs!$B$8+(F976-Calc!F20),100)/100)</f>
        <v>239981405312329.06</v>
      </c>
      <c r="O969">
        <f>IF(C969,H969*N969*IF(AND(Inputs!$B$4&lt;&gt;"pvp",Inputs!$B$35&gt;0),((Skills!G13*((S969-1)*IF(Skills!H13&gt;0,Skills!I13/Skills!H13,1)+IF(Skills!H13&gt;0,MIN(Skills!I13,MAX(0,Inputs!$B$35-((S969-1)*IF(Inputs!$B$4="pvp",15,MAX(0.1,Skills!E13-IF(Skills!F13=TRUE,(Inputs!$B$31+1),0))))))/Skills!H13,1)))/Inputs!$B$35),G969*V969)*IF(Inputs!$B$4="pvp",1,(1-Summary!$B$56)*(1)+Summary!$B$56*(MIN(Skills!R13,Inputs!$B$37))),0)</f>
        <v>310475943122825.75</v>
      </c>
      <c r="P969">
        <f>IF(B995=0,0,O969/B995)</f>
        <v>3.6994913187943956E-2</v>
      </c>
      <c r="S969">
        <f>IF(AND(Inputs!$B$4&lt;&gt;"pvp",Inputs!$B$35&gt;0),(INT(Inputs!$B$35/IF(Inputs!$B$4="pvp",15,MAX(0.1,Skills!E13-IF(Skills!F13=TRUE,(Inputs!$B$31+1),0))))+1),0)</f>
        <v>0</v>
      </c>
      <c r="V969">
        <f>IFERROR(1/IF(Inputs!$B$4="pvp",15,MAX(0.1,Skills!E13-IF(Skills!F13=TRUE,(Inputs!$B$31+1),0))),0)</f>
        <v>3.125E-2</v>
      </c>
    </row>
    <row r="970" spans="1:22" x14ac:dyDescent="0.2">
      <c r="A970" t="str">
        <f>Skills!A14</f>
        <v>METEOR_PROC</v>
      </c>
      <c r="B970" t="str">
        <f>Skills!B14</f>
        <v>Meteor Proc (30% on-hit, 1s ICD)</v>
      </c>
      <c r="C970" t="b">
        <f>Inputs!$B$3&gt;=113</f>
        <v>1</v>
      </c>
      <c r="D970">
        <f>IF(Skills!C14=1,60+Inputs!$B$24+Inputs!$B$28,IF(Skills!C14=2,90+Inputs!$B$25+Inputs!$B$28,IF(Skills!C14=3,120+Inputs!$B$26+Inputs!$B$28,MAX(0,(Inputs!$B$3-100)*3)+Inputs!$B$27+Inputs!$B$28)))</f>
        <v>172</v>
      </c>
      <c r="E970">
        <f>INDEX(FactorTable!$B$2:$Y$301, MATCH(ROUND(MIN(300,MAX(1,D970)),0), FactorTable!$A$2:$A$301,0), Skills!M14+1)</f>
        <v>1688</v>
      </c>
      <c r="F970">
        <f>IF(Skills!N14=TRUE,(Skills!L14/10)*(E970/1000),Skills!L14/10)+Skills!O14</f>
        <v>1603.6</v>
      </c>
      <c r="G970">
        <f>Calc!G14</f>
        <v>0</v>
      </c>
      <c r="H970">
        <f>Calc!H14</f>
        <v>0.30000000000000004</v>
      </c>
      <c r="I970">
        <f>IF(Skills!X14&lt;&gt;"",1+(Skills!X14/10)*(R959/1000)/100,1)</f>
        <v>1</v>
      </c>
      <c r="J970">
        <f>((Inputs!$B$5*(1+Inputs!$B$6/100))+((Inputs!$B$11*(1+Inputs!$B$12/100))-(Inputs!$B$11*(1+Inputs!$B$12/100)))*(1+Inputs!$B$6/100))*(F970/100)</f>
        <v>4006290270.8446074</v>
      </c>
      <c r="K970">
        <f>J970*(1+((Inputs!$B$11*(1+Inputs!$B$12/100))*0.01+Inputs!$B$13*0.0025)/100)*(1+Inputs!$B$14/100)*(1+IF(Inputs!$B$4="pvp",0,(1-Summary!$B$56)*(Inputs!$B$19+Skills!P14)+Summary!$B$56*(Inputs!$B$20+Skills!Q14))/100)*(1+Inputs!$B$15/100)*(5000/(6000+Inputs!$B$7*(1-Inputs!$B$18/100)))*(1+Inputs!$B$23/100)*(1+F979/100)*(1+IF(Inputs!$B$3&gt;=120,F982,0)/100)^5*(1+(IF(Skills!A14="BASIC_ATTACK",Inputs!$B$16,Inputs!$B$17+IF(Inputs!$B$3&gt;=125,F983*5,0)))/100)*(B986*B987*B988*I970)</f>
        <v>30479543104098.766</v>
      </c>
      <c r="L970">
        <f>K970*(MIN(Inputs!$B$21+(F978-Calc!F22),Inputs!$B$22)/100+Inputs!$B$22/100)/2</f>
        <v>82279526609514.609</v>
      </c>
      <c r="M970">
        <f>L970*(1+(Inputs!$B$9+(F977-Calc!F21))/100)</f>
        <v>344833496020475.81</v>
      </c>
      <c r="N970">
        <f>L970*(1-MIN(Inputs!$B$8+(F976-Calc!F20),100)/100)+M970*(MIN(Inputs!$B$8+(F976-Calc!F20),100)/100)</f>
        <v>344833496020475.81</v>
      </c>
      <c r="O970">
        <f>IF(C970,(H970*B993)/(1+Skills!H14*H970*B993)*N970*IF(Inputs!$B$4="pvp",1,(1-Summary!$B$56)*(1)+Summary!$B$56*(MIN(Skills!R14,Inputs!$B$37))),0)</f>
        <v>108253161029412.92</v>
      </c>
      <c r="P970">
        <f>IF(B995=0,0,O970/B995)</f>
        <v>1.2898958464615484E-2</v>
      </c>
      <c r="S970">
        <v>0</v>
      </c>
      <c r="V970">
        <f>IFERROR(1/IF(Inputs!$B$4="pvp",15,MAX(0.1,Skills!E14-IF(Skills!F14=TRUE,(Inputs!$B$31+1),0))),0)</f>
        <v>10</v>
      </c>
    </row>
    <row r="971" spans="1:22" x14ac:dyDescent="0.2">
      <c r="A971" t="str">
        <f>Skills!A15</f>
        <v>FLAME_HAZE_BURST</v>
      </c>
      <c r="B971" t="str">
        <f>Skills!B15</f>
        <v>Flame Haze (burst)</v>
      </c>
      <c r="C971" t="b">
        <f>Inputs!$B$3&gt;=107</f>
        <v>1</v>
      </c>
      <c r="D971">
        <f>IF(Skills!C15=1,60+Inputs!$B$24+Inputs!$B$28,IF(Skills!C15=2,90+Inputs!$B$25+Inputs!$B$28,IF(Skills!C15=3,120+Inputs!$B$26+Inputs!$B$28,MAX(0,(Inputs!$B$3-100)*3)+Inputs!$B$27+Inputs!$B$28)))</f>
        <v>172</v>
      </c>
      <c r="E971">
        <f>INDEX(FactorTable!$B$2:$Y$301, MATCH(ROUND(MIN(300,MAX(1,D971)),0), FactorTable!$A$2:$A$301,0), Skills!M15+1)</f>
        <v>1860</v>
      </c>
      <c r="F971">
        <f>IF(Skills!N15=TRUE,(Skills!L15/10)*(E971/1000),Skills!L15/10)+Skills!O15</f>
        <v>2232</v>
      </c>
      <c r="G971">
        <f>Calc!G15</f>
        <v>3</v>
      </c>
      <c r="H971">
        <f>Calc!H15</f>
        <v>1</v>
      </c>
      <c r="I971">
        <f>IF(Skills!X15&lt;&gt;"",1+(Skills!X15/10)*(R959/1000)/100,1)</f>
        <v>1</v>
      </c>
      <c r="J971">
        <f>((Inputs!$B$5*(1+Inputs!$B$6/100))+((Inputs!$B$11*(1+Inputs!$B$12/100))-(Inputs!$B$11*(1+Inputs!$B$12/100)))*(1+Inputs!$B$6/100))*(F971/100)</f>
        <v>5576228413.8969603</v>
      </c>
      <c r="K971">
        <f>J971*(1+((Inputs!$B$11*(1+Inputs!$B$12/100))*0.01+Inputs!$B$13*0.0025)/100)*(1+Inputs!$B$14/100)*(1+IF(Inputs!$B$4="pvp",0,(1-Summary!$B$56)*(Inputs!$B$19+Skills!P15)+Summary!$B$56*(Inputs!$B$20+Skills!Q15))/100)*(1+Inputs!$B$15/100)*(5000/(6000+Inputs!$B$7*(1-Inputs!$B$18/100)))*(1+Inputs!$B$23/100)*(1+F979/100)*(1+IF(Inputs!$B$3&gt;=120,F982,0)/100)^5*(1+(IF(Skills!A15="BASIC_ATTACK",Inputs!$B$16,Inputs!$B$17+IF(Inputs!$B$3&gt;=125,F983*5,0)))/100)*(B986*B987*B988*I971)</f>
        <v>42423509733317.805</v>
      </c>
      <c r="L971">
        <f>K971*(MIN(Inputs!$B$21+(F978-Calc!F22),Inputs!$B$22)/100+Inputs!$B$22/100)/2</f>
        <v>114522264525091.39</v>
      </c>
      <c r="M971">
        <f>L971*(1+(Inputs!$B$9+(F977-Calc!F21))/100)</f>
        <v>479962810624658.12</v>
      </c>
      <c r="N971">
        <f>L971*(1-MIN(Inputs!$B$8+(F976-Calc!F20),100)/100)+M971*(MIN(Inputs!$B$8+(F976-Calc!F20),100)/100)</f>
        <v>479962810624658.12</v>
      </c>
      <c r="O971">
        <f>IF(C971,H971*N971*IF(AND(Inputs!$B$4&lt;&gt;"pvp",Inputs!$B$35&gt;0),((Skills!G15*((S971-1)*IF(Skills!H15&gt;0,Skills!I15/Skills!H15,1)+IF(Skills!H15&gt;0,MIN(Skills!I15,MAX(0,Inputs!$B$35-((S971-1)*IF(Inputs!$B$4="pvp",15,MAX(0.1,Skills!E15-IF(Skills!F15=TRUE,(Inputs!$B$31+1),0))))))/Skills!H15,1)))/Inputs!$B$35),G971*V971)*IF(Inputs!$B$4="pvp",1,(1-Summary!$B$56)*(1)+Summary!$B$56*(MIN(Skills!R15,Inputs!$B$37))),0)</f>
        <v>383970248499726.5</v>
      </c>
      <c r="P971">
        <f>IF(B995=0,0,O971/B995)</f>
        <v>4.5752163169631169E-2</v>
      </c>
      <c r="S971">
        <f>IF(AND(Inputs!$B$4&lt;&gt;"pvp",Inputs!$B$35&gt;0),(INT(Inputs!$B$35/IF(Inputs!$B$4="pvp",15,MAX(0.1,Skills!E15-IF(Skills!F15=TRUE,(Inputs!$B$31+1),0))))+1),0)</f>
        <v>0</v>
      </c>
      <c r="V971">
        <f>IFERROR(1/IF(Inputs!$B$4="pvp",15,MAX(0.1,Skills!E15-IF(Skills!F15=TRUE,(Inputs!$B$31+1),0))),0)</f>
        <v>4.1666666666666664E-2</v>
      </c>
    </row>
    <row r="972" spans="1:22" x14ac:dyDescent="0.2">
      <c r="A972" t="str">
        <f>Skills!A16</f>
        <v>FLAME_HAZE_DOT</v>
      </c>
      <c r="B972" t="str">
        <f>Skills!B16</f>
        <v>Flame Haze (burn DoT)</v>
      </c>
      <c r="C972" t="b">
        <f>Inputs!$B$3&gt;=107</f>
        <v>1</v>
      </c>
      <c r="D972">
        <f>IF(Skills!C16=1,60+Inputs!$B$24+Inputs!$B$28,IF(Skills!C16=2,90+Inputs!$B$25+Inputs!$B$28,IF(Skills!C16=3,120+Inputs!$B$26+Inputs!$B$28,MAX(0,(Inputs!$B$3-100)*3)+Inputs!$B$27+Inputs!$B$28)))</f>
        <v>172</v>
      </c>
      <c r="E972">
        <f>INDEX(FactorTable!$B$2:$Y$301, MATCH(ROUND(MIN(300,MAX(1,D972)),0), FactorTable!$A$2:$A$301,0), Skills!M16+1)</f>
        <v>1860</v>
      </c>
      <c r="F972">
        <f>IF(Skills!N16=TRUE,(Skills!L16/10)*(E972/1000),Skills!L16/10)+Skills!O16</f>
        <v>279</v>
      </c>
      <c r="G972">
        <f>Calc!G16</f>
        <v>28</v>
      </c>
      <c r="H972">
        <f>Calc!H16</f>
        <v>1</v>
      </c>
      <c r="I972">
        <f>IF(Skills!X16&lt;&gt;"",1+(Skills!X16/10)*(R959/1000)/100,1)</f>
        <v>1</v>
      </c>
      <c r="J972">
        <f>((Inputs!$B$5*(1+Inputs!$B$6/100))+((Inputs!$B$11*(1+Inputs!$B$12/100))-(Inputs!$B$11*(1+Inputs!$B$12/100)))*(1+Inputs!$B$6/100))*(F972/100)</f>
        <v>697028551.73712003</v>
      </c>
      <c r="K972">
        <f>J972*(1+((Inputs!$B$11*(1+Inputs!$B$12/100))*0.01+Inputs!$B$13*0.0025)/100)*(1+Inputs!$B$14/100)*(1+IF(Inputs!$B$4="pvp",0,(1-Summary!$B$56)*(Inputs!$B$19+Skills!P16)+Summary!$B$56*(Inputs!$B$20+Skills!Q16))/100)*(1+Inputs!$B$15/100)*(5000/(6000+Inputs!$B$7*(1-Inputs!$B$18/100)))*(1+Inputs!$B$23/100)*(1+F979/100)*(1+IF(Inputs!$B$3&gt;=120,F982,0)/100)^5*(1+(IF(Skills!A16="BASIC_ATTACK",Inputs!$B$16,Inputs!$B$17+IF(Inputs!$B$3&gt;=125,F983*5,0)))/100)*(B986*B987*B988*I972)</f>
        <v>5302938716664.7256</v>
      </c>
      <c r="L972">
        <f>K972*(MIN(Inputs!$B$21+(F978-Calc!F22),Inputs!$B$22)/100+Inputs!$B$22/100)/2</f>
        <v>14315283065636.424</v>
      </c>
      <c r="M972">
        <f>L972*(1+(Inputs!$B$9+(F977-Calc!F21))/100)</f>
        <v>59995351328082.266</v>
      </c>
      <c r="N972">
        <f>L972*(1-MIN(Inputs!$B$8+(F976-Calc!F20),100)/100)+M972*(MIN(Inputs!$B$8+(F976-Calc!F20),100)/100)</f>
        <v>59995351328082.266</v>
      </c>
      <c r="O972">
        <f>IF(C972,H972*N972*IF(AND(Inputs!$B$4&lt;&gt;"pvp",Inputs!$B$35&gt;0),((Skills!G16*((S972-1)*IF(Skills!H16&gt;0,Skills!I16/Skills!H16,1)+IF(Skills!H16&gt;0,MIN(Skills!I16,MAX(0,Inputs!$B$35-((S972-1)*IF(Inputs!$B$4="pvp",15,MAX(0.1,Skills!E16-IF(Skills!F16=TRUE,(Inputs!$B$31+1),0))))))/Skills!H16,1)))/Inputs!$B$35),G972*V972)*(1+IF(Inputs!$B$3&gt;=126,0.05*(B992+V969+(H970*B993)/(1+Skills!H14*H970*B993)+V980),0)*Skills!E15)*IF(Inputs!$B$4="pvp",1,(1-Summary!$B$56)*(1)+Summary!$B$56*(MIN(Skills!R16,Inputs!$B$37))),0)</f>
        <v>430046678319693.75</v>
      </c>
      <c r="P972">
        <f>IF(B995=0,0,O972/B995)</f>
        <v>5.1242422749986916E-2</v>
      </c>
      <c r="S972">
        <f>IF(AND(Inputs!$B$4&lt;&gt;"pvp",Inputs!$B$35&gt;0),(INT(Inputs!$B$35/IF(Inputs!$B$4="pvp",15,MAX(0.1,Skills!E16-IF(Skills!F16=TRUE,(Inputs!$B$31+1),0))))+1),0)</f>
        <v>0</v>
      </c>
      <c r="V972">
        <f>IFERROR(1/IF(Inputs!$B$4="pvp",15,MAX(0.1,Skills!E16-IF(Skills!F16=TRUE,(Inputs!$B$31+1),0))),0)</f>
        <v>0.04</v>
      </c>
    </row>
    <row r="973" spans="1:22" x14ac:dyDescent="0.2">
      <c r="A973" t="str">
        <f>Skills!A17</f>
        <v>MAGIC_GUARD</v>
      </c>
      <c r="B973" t="str">
        <f>Skills!B17</f>
        <v>Magic Guard</v>
      </c>
      <c r="C973" t="b">
        <f>TRUE</f>
        <v>1</v>
      </c>
      <c r="D973">
        <f>IF(Skills!C17=1,60+Inputs!$B$24+Inputs!$B$28,IF(Skills!C17=2,90+Inputs!$B$25+Inputs!$B$28,IF(Skills!C17=3,120+Inputs!$B$26+Inputs!$B$28,MAX(0,(Inputs!$B$3-100)*3)+Inputs!$B$27+Inputs!$B$28)))</f>
        <v>115</v>
      </c>
      <c r="E973">
        <f>INDEX(FactorTable!$B$2:$Y$301, MATCH(ROUND(MIN(300,MAX(1,D973)),0), FactorTable!$A$2:$A$301,0), Skills!M17+1)</f>
        <v>1460</v>
      </c>
      <c r="F973">
        <f>IF(Skills!N17=TRUE,(Skills!L17/10)*(E973/1000),Skills!L17/10)+Skills!O17</f>
        <v>17.52</v>
      </c>
      <c r="G973">
        <f>Calc!G17</f>
        <v>1</v>
      </c>
      <c r="H973">
        <f>Calc!H17</f>
        <v>1</v>
      </c>
      <c r="I973">
        <f>IF(Skills!X17&lt;&gt;"",1+(Skills!X17/10)*(R959/1000)/100,1)</f>
        <v>1</v>
      </c>
      <c r="O973">
        <v>0</v>
      </c>
      <c r="P973">
        <f>IF(B995=0,0,O973/B995)</f>
        <v>0</v>
      </c>
      <c r="S973">
        <f>IF(AND(Inputs!$B$4&lt;&gt;"pvp",Inputs!$B$35&gt;0),(INT(Inputs!$B$35/IF(Inputs!$B$4="pvp",15,MAX(0.1,Skills!E17-IF(Skills!F17=TRUE,(Inputs!$B$31+1),0))))+1),0)</f>
        <v>0</v>
      </c>
      <c r="V973">
        <f>IFERROR(1/IF(Inputs!$B$4="pvp",15,MAX(0.1,Skills!E17-IF(Skills!F17=TRUE,(Inputs!$B$31+1),0))),0)</f>
        <v>0.05</v>
      </c>
    </row>
    <row r="974" spans="1:22" x14ac:dyDescent="0.2">
      <c r="A974" t="str">
        <f>Skills!A18</f>
        <v>NIMBLE_FEET</v>
      </c>
      <c r="B974" t="str">
        <f>Skills!B18</f>
        <v>Nimble Feet</v>
      </c>
      <c r="C974" t="b">
        <f>TRUE</f>
        <v>1</v>
      </c>
      <c r="D974">
        <f>IF(Skills!C18=1,60+Inputs!$B$24+Inputs!$B$28,IF(Skills!C18=2,90+Inputs!$B$25+Inputs!$B$28,IF(Skills!C18=3,120+Inputs!$B$26+Inputs!$B$28,MAX(0,(Inputs!$B$3-100)*3)+Inputs!$B$27+Inputs!$B$28)))</f>
        <v>115</v>
      </c>
      <c r="E974">
        <f>INDEX(FactorTable!$B$2:$Y$301, MATCH(ROUND(MIN(300,MAX(1,D974)),0), FactorTable!$A$2:$A$301,0), Skills!M18+1)</f>
        <v>0</v>
      </c>
      <c r="F974">
        <f>IF(Skills!N18=TRUE,(Skills!L18/10)*(E974/1000),Skills!L18/10)+Skills!O18</f>
        <v>15</v>
      </c>
      <c r="G974">
        <f>Calc!G18</f>
        <v>1</v>
      </c>
      <c r="H974">
        <f>Calc!H18</f>
        <v>1</v>
      </c>
      <c r="I974">
        <f>IF(Skills!X18&lt;&gt;"",1+(Skills!X18/10)*(R959/1000)/100,1)</f>
        <v>1</v>
      </c>
      <c r="O974">
        <v>0</v>
      </c>
      <c r="P974">
        <f>IF(B995=0,0,O974/B995)</f>
        <v>0</v>
      </c>
      <c r="S974">
        <f>IF(AND(Inputs!$B$4&lt;&gt;"pvp",Inputs!$B$35&gt;0),(INT(Inputs!$B$35/IF(Inputs!$B$4="pvp",15,MAX(0.1,Skills!E18-IF(Skills!F18=TRUE,(Inputs!$B$31+1),0))))+1),0)</f>
        <v>0</v>
      </c>
      <c r="V974">
        <f>IFERROR(1/IF(Inputs!$B$4="pvp",15,MAX(0.1,Skills!E18-IF(Skills!F18=TRUE,(Inputs!$B$31+1),0))),0)</f>
        <v>1.6949152542372881E-2</v>
      </c>
    </row>
    <row r="975" spans="1:22" x14ac:dyDescent="0.2">
      <c r="A975" t="str">
        <f>Skills!A19</f>
        <v>INFINITY</v>
      </c>
      <c r="B975" t="str">
        <f>Skills!B19</f>
        <v>Infinity</v>
      </c>
      <c r="C975" t="b">
        <f>Inputs!$B$3&gt;=110</f>
        <v>1</v>
      </c>
      <c r="D975">
        <f>IF(Skills!C19=1,60+Inputs!$B$24+Inputs!$B$28,IF(Skills!C19=2,90+Inputs!$B$25+Inputs!$B$28,IF(Skills!C19=3,120+Inputs!$B$26+Inputs!$B$28,MAX(0,(Inputs!$B$3-100)*3)+Inputs!$B$27+Inputs!$B$28)))</f>
        <v>172</v>
      </c>
      <c r="E975">
        <f>INDEX(FactorTable!$B$2:$Y$301, MATCH(ROUND(MIN(300,MAX(1,D975)),0), FactorTable!$A$2:$A$301,0), Skills!M19+1)</f>
        <v>1688</v>
      </c>
      <c r="F975">
        <f>IF(Skills!N19=TRUE,(Skills!L19/10)*(E975/1000),Skills!L19/10)+Skills!O19</f>
        <v>36.573895999999998</v>
      </c>
      <c r="G975">
        <f>Calc!G19</f>
        <v>1</v>
      </c>
      <c r="H975">
        <f>Calc!H19</f>
        <v>1</v>
      </c>
      <c r="I975">
        <f>IF(Skills!X19&lt;&gt;"",1+(Skills!X19/10)*(R959/1000)/100,1)</f>
        <v>1</v>
      </c>
      <c r="O975">
        <v>0</v>
      </c>
      <c r="P975">
        <f>IF(B995=0,0,O975/B995)</f>
        <v>0</v>
      </c>
      <c r="S975">
        <f>IF(AND(Inputs!$B$4&lt;&gt;"pvp",Inputs!$B$35&gt;0),(INT(Inputs!$B$35/IF(Inputs!$B$4="pvp",15,MAX(0.1,Skills!E19-IF(Skills!F19=TRUE,(Inputs!$B$31+1),0))))+1),0)</f>
        <v>0</v>
      </c>
      <c r="V975">
        <f>IFERROR(1/IF(Inputs!$B$4="pvp",15,MAX(0.1,Skills!E19-IF(Skills!F19=TRUE,(Inputs!$B$31+1),0))),0)</f>
        <v>3.4482758620689655E-2</v>
      </c>
    </row>
    <row r="976" spans="1:22" x14ac:dyDescent="0.2">
      <c r="A976" t="str">
        <f>Skills!A20</f>
        <v>MAGIC_CRITICAL_RATE</v>
      </c>
      <c r="B976" t="str">
        <f>Skills!B20</f>
        <v>Magic Critical (Crit Rate)</v>
      </c>
      <c r="C976" t="b">
        <f>TRUE</f>
        <v>1</v>
      </c>
      <c r="D976">
        <f>IF(Skills!C20=1,60+Inputs!$B$24+Inputs!$B$28,IF(Skills!C20=2,90+Inputs!$B$25+Inputs!$B$28,IF(Skills!C20=3,120+Inputs!$B$26+Inputs!$B$28,MAX(0,(Inputs!$B$3-100)*3)+Inputs!$B$27+Inputs!$B$28)))</f>
        <v>184</v>
      </c>
      <c r="E976">
        <f>INDEX(FactorTable!$B$2:$Y$301, MATCH(ROUND(MIN(300,MAX(1,D976)),0), FactorTable!$A$2:$A$301,0), Skills!M20+1)</f>
        <v>1552</v>
      </c>
      <c r="F976">
        <f>IF(Skills!N20=TRUE,(Skills!L20/10)*(E976/1000),Skills!L20/10)+Skills!O20</f>
        <v>12.416</v>
      </c>
      <c r="G976">
        <f>Calc!G20</f>
        <v>1</v>
      </c>
      <c r="H976">
        <f>Calc!H20</f>
        <v>1</v>
      </c>
      <c r="I976">
        <f>IF(Skills!X20&lt;&gt;"",1+(Skills!X20/10)*(R959/1000)/100,1)</f>
        <v>1</v>
      </c>
      <c r="O976">
        <v>0</v>
      </c>
      <c r="P976">
        <f>IF(B995=0,0,O976/B995)</f>
        <v>0</v>
      </c>
      <c r="S976">
        <v>0</v>
      </c>
      <c r="V976">
        <f>IFERROR(1/IF(Inputs!$B$4="pvp",15,MAX(0.1,Skills!E20-IF(Skills!F20=TRUE,(Inputs!$B$31+1),0))),0)</f>
        <v>10</v>
      </c>
    </row>
    <row r="977" spans="1:22" x14ac:dyDescent="0.2">
      <c r="A977" t="str">
        <f>Skills!A21</f>
        <v>MAGIC_CRITICAL_DAMAGE</v>
      </c>
      <c r="B977" t="str">
        <f>Skills!B21</f>
        <v>Magic Critical (Crit Damage)</v>
      </c>
      <c r="C977" t="b">
        <f>TRUE</f>
        <v>1</v>
      </c>
      <c r="D977">
        <f>IF(Skills!C21=1,60+Inputs!$B$24+Inputs!$B$28,IF(Skills!C21=2,90+Inputs!$B$25+Inputs!$B$28,IF(Skills!C21=3,120+Inputs!$B$26+Inputs!$B$28,MAX(0,(Inputs!$B$3-100)*3)+Inputs!$B$27+Inputs!$B$28)))</f>
        <v>184</v>
      </c>
      <c r="E977">
        <f>INDEX(FactorTable!$B$2:$Y$301, MATCH(ROUND(MIN(300,MAX(1,D977)),0), FactorTable!$A$2:$A$301,0), Skills!M21+1)</f>
        <v>1552</v>
      </c>
      <c r="F977">
        <f>IF(Skills!N21=TRUE,(Skills!L21/10)*(E977/1000),Skills!L21/10)+Skills!O21</f>
        <v>18.624000000000002</v>
      </c>
      <c r="G977">
        <f>Calc!G21</f>
        <v>1</v>
      </c>
      <c r="H977">
        <f>Calc!H21</f>
        <v>1</v>
      </c>
      <c r="I977">
        <f>IF(Skills!X21&lt;&gt;"",1+(Skills!X21/10)*(R959/1000)/100,1)</f>
        <v>1</v>
      </c>
      <c r="O977">
        <v>0</v>
      </c>
      <c r="P977">
        <f>IF(B995=0,0,O977/B995)</f>
        <v>0</v>
      </c>
      <c r="S977">
        <v>0</v>
      </c>
      <c r="V977">
        <f>IFERROR(1/IF(Inputs!$B$4="pvp",15,MAX(0.1,Skills!E21-IF(Skills!F21=TRUE,(Inputs!$B$31+1),0))),0)</f>
        <v>10</v>
      </c>
    </row>
    <row r="978" spans="1:22" x14ac:dyDescent="0.2">
      <c r="A978" t="str">
        <f>Skills!A22</f>
        <v>SPELL_MASTERY</v>
      </c>
      <c r="B978" t="str">
        <f>Skills!B22</f>
        <v>Spell Mastery</v>
      </c>
      <c r="C978" t="b">
        <f>TRUE</f>
        <v>1</v>
      </c>
      <c r="D978">
        <f>IF(Skills!C22=1,60+Inputs!$B$24+Inputs!$B$28,IF(Skills!C22=2,90+Inputs!$B$25+Inputs!$B$28,IF(Skills!C22=3,120+Inputs!$B$26+Inputs!$B$28,MAX(0,(Inputs!$B$3-100)*3)+Inputs!$B$27+Inputs!$B$28)))</f>
        <v>164</v>
      </c>
      <c r="E978">
        <f>INDEX(FactorTable!$B$2:$Y$301, MATCH(ROUND(MIN(300,MAX(1,D978)),0), FactorTable!$A$2:$A$301,0), Skills!M22+1)</f>
        <v>1492</v>
      </c>
      <c r="F978">
        <f>IF(Skills!N22=TRUE,(Skills!L22/10)*(E978/1000),Skills!L22/10)+Skills!O22</f>
        <v>22.38</v>
      </c>
      <c r="G978">
        <f>Calc!G22</f>
        <v>1</v>
      </c>
      <c r="H978">
        <f>Calc!H22</f>
        <v>1</v>
      </c>
      <c r="I978">
        <f>IF(Skills!X22&lt;&gt;"",1+(Skills!X22/10)*(R959/1000)/100,1)</f>
        <v>1</v>
      </c>
      <c r="O978">
        <v>0</v>
      </c>
      <c r="P978">
        <f>IF(B995=0,0,O978/B995)</f>
        <v>0</v>
      </c>
      <c r="S978">
        <v>0</v>
      </c>
      <c r="V978">
        <f>IFERROR(1/IF(Inputs!$B$4="pvp",15,MAX(0.1,Skills!E22-IF(Skills!F22=TRUE,(Inputs!$B$31+1),0))),0)</f>
        <v>10</v>
      </c>
    </row>
    <row r="979" spans="1:22" x14ac:dyDescent="0.2">
      <c r="A979" t="str">
        <f>Skills!A23</f>
        <v>ELEMENT_AMPLIFICATION</v>
      </c>
      <c r="B979" t="str">
        <f>Skills!B23</f>
        <v>Element Amplification</v>
      </c>
      <c r="C979" t="b">
        <f>TRUE</f>
        <v>1</v>
      </c>
      <c r="D979">
        <f>IF(Skills!C23=1,60+Inputs!$B$24+Inputs!$B$28,IF(Skills!C23=2,90+Inputs!$B$25+Inputs!$B$28,IF(Skills!C23=3,120+Inputs!$B$26+Inputs!$B$28,MAX(0,(Inputs!$B$3-100)*3)+Inputs!$B$27+Inputs!$B$28)))</f>
        <v>172</v>
      </c>
      <c r="E979">
        <f>INDEX(FactorTable!$B$2:$Y$301, MATCH(ROUND(MIN(300,MAX(1,D979)),0), FactorTable!$A$2:$A$301,0), Skills!M23+1)</f>
        <v>1516</v>
      </c>
      <c r="F979">
        <f>IF(Skills!N23=TRUE,(Skills!L23/10)*(E979/1000),Skills!L23/10)+Skills!O23</f>
        <v>22.740000000000002</v>
      </c>
      <c r="G979">
        <f>Calc!G23</f>
        <v>1</v>
      </c>
      <c r="H979">
        <f>Calc!H23</f>
        <v>1</v>
      </c>
      <c r="I979">
        <f>IF(Skills!X23&lt;&gt;"",1+(Skills!X23/10)*(R959/1000)/100,1)</f>
        <v>1</v>
      </c>
      <c r="O979">
        <v>0</v>
      </c>
      <c r="P979">
        <f>IF(B995=0,0,O979/B995)</f>
        <v>0</v>
      </c>
      <c r="S979">
        <v>0</v>
      </c>
      <c r="V979">
        <f>IFERROR(1/IF(Inputs!$B$4="pvp",15,MAX(0.1,Skills!E23-IF(Skills!F23=TRUE,(Inputs!$B$31+1),0))),0)</f>
        <v>10</v>
      </c>
    </row>
    <row r="980" spans="1:22" x14ac:dyDescent="0.2">
      <c r="A980" t="str">
        <f>Skills!A24</f>
        <v>IFRIT</v>
      </c>
      <c r="B980" t="str">
        <f>Skills!B24</f>
        <v>Ifrit</v>
      </c>
      <c r="C980" t="b">
        <f>Inputs!$B$3&gt;=115</f>
        <v>0</v>
      </c>
      <c r="D980">
        <f>IF(Skills!C24=1,60+Inputs!$B$24+Inputs!$B$28,IF(Skills!C24=2,90+Inputs!$B$25+Inputs!$B$28,IF(Skills!C24=3,120+Inputs!$B$26+Inputs!$B$28,MAX(0,(Inputs!$B$3-100)*3)+Inputs!$B$27+Inputs!$B$28)))</f>
        <v>172</v>
      </c>
      <c r="E980">
        <f>INDEX(FactorTable!$B$2:$Y$301, MATCH(ROUND(MIN(300,MAX(1,D980)),0), FactorTable!$A$2:$A$301,0), Skills!M24+1)</f>
        <v>1860</v>
      </c>
      <c r="F980">
        <f>IF(Skills!N24=TRUE,(Skills!L24/10)*(E980/1000),Skills!L24/10)+Skills!O24</f>
        <v>6510</v>
      </c>
      <c r="G980">
        <f>Calc!G24</f>
        <v>7.5</v>
      </c>
      <c r="H980">
        <f>Calc!H24</f>
        <v>1</v>
      </c>
      <c r="I980">
        <f>IF(Skills!X24&lt;&gt;"",1+(Skills!X24/10)*(R959/1000)/100,1)</f>
        <v>1</v>
      </c>
      <c r="J980">
        <f>((Inputs!$B$5*(1+Inputs!$B$6/100))+((Inputs!$B$11*(1+Inputs!$B$12/100))-(Inputs!$B$11*(1+Inputs!$B$12/100)))*(1+Inputs!$B$6/100))*(F980/100)</f>
        <v>16263999540.532799</v>
      </c>
      <c r="K980">
        <f>J980*(1+((Inputs!$B$11*(1+Inputs!$B$12/100))*0.01+Inputs!$B$13*0.0025)/100)*(1+Inputs!$B$14/100)*(1+IF(Inputs!$B$4="pvp",0,(1-Summary!$B$56)*(Inputs!$B$19+Skills!P24)+Summary!$B$56*(Inputs!$B$20+Skills!Q24))/100)*(1+Inputs!$B$15/100)*(5000/(6000+Inputs!$B$7*(1-Inputs!$B$18/100)))*(1+Inputs!$B$23/100)*(1+F979/100)*(1+IF(Inputs!$B$3&gt;=120,F982,0)/100)^5*(1+(IF(Skills!A24="BASIC_ATTACK",Inputs!$B$16,Inputs!$B$17+IF(Inputs!$B$3&gt;=125,F983*5,0)))/100)*(B986*B987*B988*I980)</f>
        <v>123735236722176.92</v>
      </c>
      <c r="L980">
        <f>K980*(MIN(Inputs!$B$21+(F978-Calc!F22),Inputs!$B$22)/100+Inputs!$B$22/100)/2</f>
        <v>334023271531516.56</v>
      </c>
      <c r="M980">
        <f>L980*(1+(Inputs!$B$9+(F977-Calc!F21))/100)</f>
        <v>1399891530988586.2</v>
      </c>
      <c r="N980">
        <f>L980*(1-MIN(Inputs!$B$8+(F976-Calc!F20),100)/100)+M980*(MIN(Inputs!$B$8+(F976-Calc!F20),100)/100)</f>
        <v>1399891530988586.2</v>
      </c>
      <c r="O980">
        <f>IF(C980,H980*N980*IF(AND(Inputs!$B$4&lt;&gt;"pvp",Inputs!$B$35&gt;0),((Skills!G24*((S980-1)*IF(Skills!H24&gt;0,Skills!I24/Skills!H24,1)+IF(Skills!H24&gt;0,MIN(Skills!I24,MAX(0,Inputs!$B$35-((S980-1)*IF(Inputs!$B$4="pvp",15,MAX(0.1,Skills!E24-IF(Skills!F24=TRUE,(Inputs!$B$31+1),0))))))/Skills!H24,1)))/Inputs!$B$35),G980*V980)*(1+IF(Inputs!$B$3&gt;=130,0.2*(Skills!I16/Skills!E15+IF(Inputs!$B$3&gt;=126,0.05*(B992+V969+(H970*B993)/(1+Skills!H14*H970*B993)+V980),0)*Skills!I16),0))*IF(Inputs!$B$4="pvp",1,(1-Summary!$B$56)*(1)+Summary!$B$56*(MIN(Skills!R24,Inputs!$B$37))),0)</f>
        <v>0</v>
      </c>
      <c r="P980">
        <f>IF(B995=0,0,O980/B995)</f>
        <v>0</v>
      </c>
      <c r="S980">
        <f>IF(AND(Inputs!$B$4&lt;&gt;"pvp",Inputs!$B$35&gt;0),(INT(Inputs!$B$35/IF(Inputs!$B$4="pvp",15,MAX(0.1,Skills!E24-IF(Skills!F24=TRUE,(Inputs!$B$31+1),0))))+1),0)</f>
        <v>0</v>
      </c>
      <c r="V980">
        <f>IFERROR(1/IF(Inputs!$B$4="pvp",15,MAX(0.1,Skills!E24-IF(Skills!F24=TRUE,(Inputs!$B$31+1),0))),0)</f>
        <v>1.2658227848101266E-2</v>
      </c>
    </row>
    <row r="981" spans="1:22" x14ac:dyDescent="0.2">
      <c r="A981" t="str">
        <f>Skills!A25</f>
        <v>BUFF_MASTERY</v>
      </c>
      <c r="B981" t="str">
        <f>Skills!B25</f>
        <v>Buff Mastery</v>
      </c>
      <c r="C981" t="b">
        <f>Inputs!$B$3&gt;=117</f>
        <v>0</v>
      </c>
      <c r="D981">
        <f>IF(Skills!C25=1,60+Inputs!$B$24+Inputs!$B$28,IF(Skills!C25=2,90+Inputs!$B$25+Inputs!$B$28,IF(Skills!C25=3,120+Inputs!$B$26+Inputs!$B$28,MAX(0,(Inputs!$B$3-100)*3)+Inputs!$B$27+Inputs!$B$28)))</f>
        <v>172</v>
      </c>
      <c r="E981">
        <f>INDEX(FactorTable!$B$2:$Y$301, MATCH(ROUND(MIN(300,MAX(1,D981)),0), FactorTable!$A$2:$A$301,0), Skills!M25+1)</f>
        <v>1516</v>
      </c>
      <c r="F981">
        <f>IF(Skills!N25=TRUE,(Skills!L25/10)*(E981/1000),Skills!L25/10)+Skills!O25</f>
        <v>15.16</v>
      </c>
      <c r="G981">
        <f>Calc!G25</f>
        <v>1</v>
      </c>
      <c r="H981">
        <f>Calc!H25</f>
        <v>1</v>
      </c>
      <c r="I981">
        <f>IF(Skills!X25&lt;&gt;"",1+(Skills!X25/10)*(R959/1000)/100,1)</f>
        <v>1</v>
      </c>
      <c r="O981">
        <v>0</v>
      </c>
      <c r="P981">
        <f>IF(B995=0,0,O981/B995)</f>
        <v>0</v>
      </c>
      <c r="S981">
        <v>0</v>
      </c>
      <c r="V981">
        <f>IFERROR(1/IF(Inputs!$B$4="pvp",15,MAX(0.1,Skills!E25-IF(Skills!F25=TRUE,(Inputs!$B$31+1),0))),0)</f>
        <v>10</v>
      </c>
    </row>
    <row r="982" spans="1:22" x14ac:dyDescent="0.2">
      <c r="A982" t="str">
        <f>Skills!A26</f>
        <v>ARCANE_AIM</v>
      </c>
      <c r="B982" t="str">
        <f>Skills!B26</f>
        <v>Arcane Aim</v>
      </c>
      <c r="C982" t="b">
        <f>Inputs!$B$3&gt;=120</f>
        <v>0</v>
      </c>
      <c r="D982">
        <f>IF(Skills!C26=1,60+Inputs!$B$24+Inputs!$B$28,IF(Skills!C26=2,90+Inputs!$B$25+Inputs!$B$28,IF(Skills!C26=3,120+Inputs!$B$26+Inputs!$B$28,MAX(0,(Inputs!$B$3-100)*3)+Inputs!$B$27+Inputs!$B$28)))</f>
        <v>172</v>
      </c>
      <c r="E982">
        <f>INDEX(FactorTable!$B$2:$Y$301, MATCH(ROUND(MIN(300,MAX(1,D982)),0), FactorTable!$A$2:$A$301,0), Skills!M26+1)</f>
        <v>1516</v>
      </c>
      <c r="F982">
        <f>IF(Skills!N26=TRUE,(Skills!L26/10)*(E982/1000),Skills!L26/10)+Skills!O26</f>
        <v>4.548</v>
      </c>
      <c r="G982">
        <f>Calc!G26</f>
        <v>1</v>
      </c>
      <c r="H982">
        <f>Calc!H26</f>
        <v>1</v>
      </c>
      <c r="I982">
        <f>IF(Skills!X26&lt;&gt;"",1+(Skills!X26/10)*(R959/1000)/100,1)</f>
        <v>1</v>
      </c>
      <c r="O982">
        <v>0</v>
      </c>
      <c r="P982">
        <f>IF(B995=0,0,O982/B995)</f>
        <v>0</v>
      </c>
      <c r="S982">
        <v>0</v>
      </c>
      <c r="V982">
        <f>IFERROR(1/IF(Inputs!$B$4="pvp",15,MAX(0.1,Skills!E26-IF(Skills!F26=TRUE,(Inputs!$B$31+1),0))),0)</f>
        <v>10</v>
      </c>
    </row>
    <row r="983" spans="1:22" x14ac:dyDescent="0.2">
      <c r="A983" t="str">
        <f>Skills!A27</f>
        <v>FERVENT_DRAIN</v>
      </c>
      <c r="B983" t="str">
        <f>Skills!B27</f>
        <v>Fervent Drain</v>
      </c>
      <c r="C983" t="b">
        <f>Inputs!$B$3&gt;=125</f>
        <v>0</v>
      </c>
      <c r="D983">
        <f>IF(Skills!C27=1,60+Inputs!$B$24+Inputs!$B$28,IF(Skills!C27=2,90+Inputs!$B$25+Inputs!$B$28,IF(Skills!C27=3,120+Inputs!$B$26+Inputs!$B$28,MAX(0,(Inputs!$B$3-100)*3)+Inputs!$B$27+Inputs!$B$28)))</f>
        <v>172</v>
      </c>
      <c r="E983">
        <f>INDEX(FactorTable!$B$2:$Y$301, MATCH(ROUND(MIN(300,MAX(1,D983)),0), FactorTable!$A$2:$A$301,0), Skills!M27+1)</f>
        <v>1516</v>
      </c>
      <c r="F983">
        <f>IF(Skills!N27=TRUE,(Skills!L27/10)*(E983/1000),Skills!L27/10)+Skills!O27</f>
        <v>6.0640000000000001</v>
      </c>
      <c r="G983">
        <f>Calc!G27</f>
        <v>1</v>
      </c>
      <c r="H983">
        <f>Calc!H27</f>
        <v>1</v>
      </c>
      <c r="I983">
        <f>IF(Skills!X27&lt;&gt;"",1+(Skills!X27/10)*(R959/1000)/100,1)</f>
        <v>1</v>
      </c>
      <c r="O983">
        <v>0</v>
      </c>
      <c r="P983">
        <f>IF(B995=0,0,O983/B995)</f>
        <v>0</v>
      </c>
      <c r="S983">
        <v>0</v>
      </c>
      <c r="V983">
        <f>IFERROR(1/IF(Inputs!$B$4="pvp",15,MAX(0.1,Skills!E27-IF(Skills!F27=TRUE,(Inputs!$B$31+1),0))),0)</f>
        <v>10</v>
      </c>
    </row>
    <row r="984" spans="1:22" x14ac:dyDescent="0.2">
      <c r="A984" t="str">
        <f>Skills!A28</f>
        <v>FLAME_HAZE_FOG</v>
      </c>
      <c r="B984" t="str">
        <f>Skills!B28</f>
        <v>Flame Haze (poison fog DoT)</v>
      </c>
      <c r="C984" t="b">
        <f>Inputs!$B$3&gt;=118</f>
        <v>0</v>
      </c>
      <c r="D984">
        <f>IF(Skills!C28=1,60+Inputs!$B$24+Inputs!$B$28,IF(Skills!C28=2,90+Inputs!$B$25+Inputs!$B$28,IF(Skills!C28=3,120+Inputs!$B$26+Inputs!$B$28,MAX(0,(Inputs!$B$3-100)*3)+Inputs!$B$27+Inputs!$B$28)))</f>
        <v>172</v>
      </c>
      <c r="E984">
        <f>INDEX(FactorTable!$B$2:$Y$301, MATCH(ROUND(MIN(300,MAX(1,D984)),0), FactorTable!$A$2:$A$301,0), Skills!M28+1)</f>
        <v>1860</v>
      </c>
      <c r="F984">
        <f>IF(Skills!N28=TRUE,(Skills!L28/10)*(E984/1000),Skills!L28/10)+Skills!O28</f>
        <v>130.20000000000002</v>
      </c>
      <c r="G984">
        <f>Calc!G28</f>
        <v>50</v>
      </c>
      <c r="H984">
        <f>Calc!H28</f>
        <v>1</v>
      </c>
      <c r="I984">
        <f>IF(Skills!X28&lt;&gt;"",1+(Skills!X28/10)*(R959/1000)/100,1)</f>
        <v>1</v>
      </c>
      <c r="J984">
        <f>((Inputs!$B$5*(1+Inputs!$B$6/100))+((Inputs!$B$11*(1+Inputs!$B$12/100))-(Inputs!$B$11*(1+Inputs!$B$12/100)))*(1+Inputs!$B$6/100))*(F984/100)</f>
        <v>325279990.81065607</v>
      </c>
      <c r="K984">
        <f>J984*(1+((Inputs!$B$11*(1+Inputs!$B$12/100))*0.01+Inputs!$B$13*0.0025)/100)*(1+Inputs!$B$14/100)*(1+IF(Inputs!$B$4="pvp",0,(1-Summary!$B$56)*(Inputs!$B$19+Skills!P28)+Summary!$B$56*(Inputs!$B$20+Skills!Q28))/100)*(1+Inputs!$B$15/100)*(5000/(6000+Inputs!$B$7*(1-Inputs!$B$18/100)))*(1+Inputs!$B$23/100)*(1+F979/100)*(1+IF(Inputs!$B$3&gt;=120,F982,0)/100)^5*(1+(IF(Skills!A28="BASIC_ATTACK",Inputs!$B$16,Inputs!$B$17+IF(Inputs!$B$3&gt;=125,F983*5,0)))/100)*(B986*B987*B988*I984)</f>
        <v>2474704734443.54</v>
      </c>
      <c r="L984">
        <f>K984*(MIN(Inputs!$B$21+(F978-Calc!F22),Inputs!$B$22)/100+Inputs!$B$22/100)/2</f>
        <v>6680465430630.335</v>
      </c>
      <c r="M984">
        <f>L984*(1+(Inputs!$B$9+(F977-Calc!F21))/100)</f>
        <v>27997830619771.738</v>
      </c>
      <c r="N984">
        <f>L984*(1-MIN(Inputs!$B$8+(F976-Calc!F20),100)/100)+M984*(MIN(Inputs!$B$8+(F976-Calc!F20),100)/100)</f>
        <v>27997830619771.738</v>
      </c>
      <c r="O984">
        <f>IF(C984,H984*N984*IF(AND(Inputs!$B$4&lt;&gt;"pvp",Inputs!$B$35&gt;0),((Skills!G28*((S984-1)*IF(Skills!H28&gt;0,Skills!I28/Skills!H28,1)+IF(Skills!H28&gt;0,MIN(Skills!I28,MAX(0,Inputs!$B$35-((S984-1)*IF(Inputs!$B$4="pvp",15,MAX(0.1,Skills!E28-IF(Skills!F28=TRUE,(Inputs!$B$31+1),0))))))/Skills!H28,1)))/Inputs!$B$35),G984*V984)*IF(Inputs!$B$4="pvp",1,(1-Summary!$B$56)*(1)+Summary!$B$56*(MIN(Skills!R28,Inputs!$B$37))),0)</f>
        <v>0</v>
      </c>
      <c r="P984">
        <f>IF(B995=0,0,O984/B995)</f>
        <v>0</v>
      </c>
      <c r="S984">
        <f>IF(AND(Inputs!$B$4&lt;&gt;"pvp",Inputs!$B$35&gt;0),(INT(Inputs!$B$35/IF(Inputs!$B$4="pvp",15,MAX(0.1,Skills!E28-IF(Skills!F28=TRUE,(Inputs!$B$31+1),0))))+1),0)</f>
        <v>0</v>
      </c>
      <c r="V984">
        <f>IFERROR(1/IF(Inputs!$B$4="pvp",15,MAX(0.1,Skills!E28-IF(Skills!F28=TRUE,(Inputs!$B$31+1),0))),0)</f>
        <v>0.04</v>
      </c>
    </row>
    <row r="986" spans="1:22" x14ac:dyDescent="0.2">
      <c r="A986" t="s">
        <v>222</v>
      </c>
      <c r="B986">
        <f>1+(F967*Skills!Z11)/100</f>
        <v>1.25</v>
      </c>
    </row>
    <row r="987" spans="1:22" x14ac:dyDescent="0.2">
      <c r="A987" t="s">
        <v>223</v>
      </c>
      <c r="B987">
        <f>1+F968/100</f>
        <v>1.18624</v>
      </c>
    </row>
    <row r="988" spans="1:22" x14ac:dyDescent="0.2">
      <c r="A988" t="s">
        <v>224</v>
      </c>
      <c r="B988">
        <f>(1+(F962*IF(AND(Inputs!$B$4&lt;&gt;"pvp",Inputs!$B$35&gt;0),(((S962-1)*(Skills!T6*(1+(Inputs!$B$33+IF(Inputs!$B$3&gt;=117,F981,0))/100))+MIN((Skills!T6*(1+(Inputs!$B$33+IF(Inputs!$B$3&gt;=117,F981,0))/100)),MAX(0,Inputs!$B$35-((S962-1)*Skills!E6))))/Inputs!$B$35),IF(Inputs!$B$4="pvp",MIN((Skills!T6*(1+(Inputs!$B$33+IF(Inputs!$B$3&gt;=117,F981,0))/100)),15)/15,(Skills!T6*(1+(Inputs!$B$33+IF(Inputs!$B$3&gt;=117,F981,0))/100))/Skills!E6))+F973*IF(AND(Inputs!$B$4&lt;&gt;"pvp",Inputs!$B$35&gt;0),(((S973-1)*(Skills!T17*(1+(Inputs!$B$33+IF(Inputs!$B$3&gt;=117,F981,0))/100))+MIN((Skills!T17*(1+(Inputs!$B$33+IF(Inputs!$B$3&gt;=117,F981,0))/100)),MAX(0,Inputs!$B$35-((S973-1)*Skills!E17))))/Inputs!$B$35),IF(Inputs!$B$4="pvp",MIN((Skills!T17*(1+(Inputs!$B$33+IF(Inputs!$B$3&gt;=117,F981,0))/100)),15)/15,(Skills!T17*(1+(Inputs!$B$33+IF(Inputs!$B$3&gt;=117,F981,0))/100))/Skills!E17)))/100)*IF(C975=TRUE,(1+F975*IF(AND(Inputs!$B$4&lt;&gt;"pvp",Inputs!$B$35&gt;0),(((S975-1)*(Skills!T19*(1+(Inputs!$B$33+IF(Inputs!$B$3&gt;=117,F981,0))/100))+MIN((Skills!T19*(1+(Inputs!$B$33+IF(Inputs!$B$3&gt;=117,F981,0))/100)),MAX(0,Inputs!$B$35-((S975-1)*Skills!E19))))/Inputs!$B$35),IF(Inputs!$B$4="pvp",MIN((Skills!T19*(1+(Inputs!$B$33+IF(Inputs!$B$3&gt;=117,F981,0))/100)),15)/15,(Skills!T19*(1+(Inputs!$B$33+IF(Inputs!$B$3&gt;=117,F981,0))/100))/Skills!E19))/100),1)</f>
        <v>1.5603265106950857</v>
      </c>
    </row>
    <row r="989" spans="1:22" x14ac:dyDescent="0.2">
      <c r="A989" t="s">
        <v>225</v>
      </c>
      <c r="B989">
        <f>F974*IF(AND(Inputs!$B$4&lt;&gt;"pvp",Inputs!$B$35&gt;0),(((S974-1)*(Skills!T18*(1+(Inputs!$B$33+IF(Inputs!$B$3&gt;=117,F981,0))/100))+MIN((Skills!T18*(1+(Inputs!$B$33+IF(Inputs!$B$3&gt;=117,F981,0))/100)),MAX(0,Inputs!$B$35-((S974-1)*Skills!E18))))/Inputs!$B$35),IF(Inputs!$B$4="pvp",MIN((Skills!T18*(1+(Inputs!$B$33+IF(Inputs!$B$3&gt;=117,F981,0))/100)),15)/15,(Skills!T18*(1+(Inputs!$B$33+IF(Inputs!$B$3&gt;=117,F981,0))/100))/Skills!E18))</f>
        <v>3.75</v>
      </c>
    </row>
    <row r="990" spans="1:22" x14ac:dyDescent="0.2">
      <c r="A990" t="s">
        <v>253</v>
      </c>
      <c r="B990">
        <f>1+MIN(150,150*(1-(1-Inputs!$B$10/150)*(1-B989/150)))/100</f>
        <v>1.6371249999999999</v>
      </c>
    </row>
    <row r="991" spans="1:22" x14ac:dyDescent="0.2">
      <c r="A991" t="s">
        <v>254</v>
      </c>
      <c r="B991">
        <f>IF(AND(Inputs!$B$4&lt;&gt;"pvp",Inputs!$B$35&gt;0),SUMPRODUCT((Skills!F2:F28=TRUE)*(C958:C984=TRUE)*S958:S984)/Inputs!$B$35,SUMPRODUCT((Skills!F2:F28=TRUE)*(C958:C984=TRUE)*V958:V984))</f>
        <v>0.34866959581308377</v>
      </c>
    </row>
    <row r="992" spans="1:22" x14ac:dyDescent="0.2">
      <c r="A992" t="s">
        <v>228</v>
      </c>
      <c r="B992">
        <f>MAX(0,B990-B991)</f>
        <v>1.2884554041869163</v>
      </c>
    </row>
    <row r="993" spans="1:22" x14ac:dyDescent="0.2">
      <c r="A993" t="s">
        <v>255</v>
      </c>
      <c r="B993">
        <f>IF(AND(Inputs!$B$4&lt;&gt;"pvp",Inputs!$B$35&gt;0),SUMPRODUCT((Skills!V2:V28=TRUE)*(C958:C984=TRUE)*S958:S984*Skills!W2:W28)/Inputs!$B$35,SUMPRODUCT((Skills!V2:V28=TRUE)*(C958:C984=TRUE)*V958:V984*Skills!W2:W28))+B992</f>
        <v>1.5252487917547093</v>
      </c>
    </row>
    <row r="995" spans="1:22" x14ac:dyDescent="0.2">
      <c r="A995" s="5" t="s">
        <v>208</v>
      </c>
      <c r="B995" s="5">
        <f>SUM(O958:O984)</f>
        <v>8392395504363688</v>
      </c>
    </row>
    <row r="998" spans="1:22" x14ac:dyDescent="0.2">
      <c r="A998" s="5" t="s">
        <v>278</v>
      </c>
    </row>
    <row r="999" spans="1:22" x14ac:dyDescent="0.2">
      <c r="A999" s="8" t="s">
        <v>74</v>
      </c>
      <c r="B999" s="8" t="s">
        <v>75</v>
      </c>
      <c r="C999" s="8" t="s">
        <v>190</v>
      </c>
      <c r="D999" s="8" t="s">
        <v>191</v>
      </c>
      <c r="E999" s="8" t="s">
        <v>192</v>
      </c>
      <c r="F999" s="8" t="s">
        <v>193</v>
      </c>
      <c r="G999" s="8" t="s">
        <v>194</v>
      </c>
      <c r="H999" s="8" t="s">
        <v>195</v>
      </c>
      <c r="I999" s="8" t="s">
        <v>196</v>
      </c>
      <c r="J999" s="8" t="s">
        <v>197</v>
      </c>
      <c r="K999" s="8" t="s">
        <v>198</v>
      </c>
      <c r="L999" s="8" t="s">
        <v>199</v>
      </c>
      <c r="M999" s="8" t="s">
        <v>200</v>
      </c>
      <c r="N999" s="8" t="s">
        <v>201</v>
      </c>
      <c r="O999" s="8" t="s">
        <v>202</v>
      </c>
      <c r="P999" s="8" t="s">
        <v>203</v>
      </c>
      <c r="R999" t="s">
        <v>252</v>
      </c>
    </row>
    <row r="1000" spans="1:22" x14ac:dyDescent="0.2">
      <c r="A1000" t="str">
        <f>Skills!A2</f>
        <v>BASIC_ATTACK</v>
      </c>
      <c r="B1000" t="str">
        <f>Skills!B2</f>
        <v>Basic Attack</v>
      </c>
      <c r="C1000" t="b">
        <f>TRUE</f>
        <v>1</v>
      </c>
      <c r="F1000">
        <f>T1002+Skills!O2</f>
        <v>510.52</v>
      </c>
      <c r="G1000">
        <f>Calc!G2</f>
        <v>5</v>
      </c>
      <c r="H1000">
        <f>Calc!H2</f>
        <v>1</v>
      </c>
      <c r="I1000">
        <f>IF(Skills!X2&lt;&gt;"",1+(Skills!X2/10)*(R1001/1000)/100,1)</f>
        <v>1</v>
      </c>
      <c r="J1000">
        <f>((Inputs!$B$5*(1+Inputs!$B$6/100))+((Inputs!$B$11*(1+Inputs!$B$12/100))-(Inputs!$B$11*(1+Inputs!$B$12/100)))*(1+Inputs!$B$6/100))*(F1000/100)</f>
        <v>1275437334.1678655</v>
      </c>
      <c r="K1000">
        <f>J1000*(1+((Inputs!$B$11*(1+Inputs!$B$12/100))*0.01+Inputs!$B$13*0.0025)/100)*(1+Inputs!$B$14/100)*(1+IF(Inputs!$B$4="pvp",0,(1-Summary!$B$56)*(Inputs!$B$19+Skills!P2)+Summary!$B$56*(Inputs!$B$20+Skills!Q2))/100)*(1+Inputs!$B$15/100)*(5000/(6000+Inputs!$B$7*(1-Inputs!$B$18/100)))*(1+Inputs!$B$23/100)*(1+F1021/100)*(1+IF(Inputs!$B$3&gt;=120,F1024,0)/100)^5*(1+(IF(Skills!A2="BASIC_ATTACK",Inputs!$B$16,Inputs!$B$17+IF(Inputs!$B$3&gt;=125,F1025*5,0)))/100)*(B1028*B1029*B1030*I1000)</f>
        <v>6960952567530.5723</v>
      </c>
      <c r="L1000">
        <f>K1000*(MIN(Inputs!$B$21+(F1020-Calc!F22),Inputs!$B$22)/100+Inputs!$B$22/100)/2</f>
        <v>18791091456048.777</v>
      </c>
      <c r="M1000">
        <f>L1000*(1+(Inputs!$B$9+(F1019-Calc!F21))/100)</f>
        <v>78753464292300.438</v>
      </c>
      <c r="N1000">
        <f>L1000*(1-MIN(Inputs!$B$8+(F1018-Calc!F20),100)/100)+M1000*(MIN(Inputs!$B$8+(F1018-Calc!F20),100)/100)</f>
        <v>78753464292300.438</v>
      </c>
      <c r="O1000">
        <f>Skills!G2*N1000*B1034*IF(Inputs!$B$4="pvp",1,(1-Summary!$B$56)*(1)+Summary!$B$56*(MIN((6+(Inputs!$B$32+1)+IF(Inputs!$B$3&gt;=136,1,0)),Inputs!$B$37)))</f>
        <v>4205504883323288</v>
      </c>
      <c r="P1000">
        <f>IF(B1037=0,0,O1000/B1037)</f>
        <v>0.4863371271097639</v>
      </c>
      <c r="R1000">
        <f>MAX(0,(Inputs!$B$3-100)*3)+Inputs!$B$27+Inputs!$B$28</f>
        <v>172</v>
      </c>
      <c r="S1000">
        <v>0</v>
      </c>
      <c r="T1000">
        <f>MAX(0,(Inputs!$B$3-100)*3)+Inputs!$B$27+Inputs!$B$28</f>
        <v>172</v>
      </c>
      <c r="V1000">
        <f>IFERROR(1/IF(Inputs!$B$4="pvp",15,MAX(0.1,Skills!E2-IF(Skills!F2=TRUE,Inputs!$B$31,0))),0)</f>
        <v>10</v>
      </c>
    </row>
    <row r="1001" spans="1:22" x14ac:dyDescent="0.2">
      <c r="A1001" t="str">
        <f>Skills!A3</f>
        <v>IGNITE</v>
      </c>
      <c r="B1001" t="str">
        <f>Skills!B3</f>
        <v>Ignite</v>
      </c>
      <c r="C1001" t="b">
        <f>TRUE</f>
        <v>1</v>
      </c>
      <c r="D1001">
        <f>IF(Skills!C3=1,60+Inputs!$B$24+Inputs!$B$28,IF(Skills!C3=2,90+Inputs!$B$25+Inputs!$B$28,IF(Skills!C3=3,120+Inputs!$B$26+Inputs!$B$28,MAX(0,(Inputs!$B$3-100)*3)+Inputs!$B$27+Inputs!$B$28)))</f>
        <v>164</v>
      </c>
      <c r="E1001">
        <f>INDEX(FactorTable!$B$2:$Y$301, MATCH(ROUND(MIN(300,MAX(1,D1001)),0), FactorTable!$A$2:$A$301,0), Skills!M3+1)</f>
        <v>1656</v>
      </c>
      <c r="F1001">
        <f>IF(Skills!N3=TRUE,(Skills!L3/10)*(E1001/1000),Skills!L3/10)+Skills!O3</f>
        <v>121.52799999999999</v>
      </c>
      <c r="G1001">
        <f>Calc!G3</f>
        <v>3</v>
      </c>
      <c r="H1001">
        <f>Calc!H3</f>
        <v>1</v>
      </c>
      <c r="I1001">
        <f>IF(Skills!X3&lt;&gt;"",1+(Skills!X3/10)*(R1001/1000)/100,1)</f>
        <v>4.76</v>
      </c>
      <c r="J1001">
        <f>((Inputs!$B$5*(1+Inputs!$B$6/100))+((Inputs!$B$11*(1+Inputs!$B$12/100))-(Inputs!$B$11*(1+Inputs!$B$12/100)))*(1+Inputs!$B$6/100))*(F1001/100)</f>
        <v>303614644.57171583</v>
      </c>
      <c r="K1001">
        <f>J1001*(1+((Inputs!$B$11*(1+Inputs!$B$12/100))*0.01+Inputs!$B$13*0.0025)/100)*(1+Inputs!$B$14/100)*(1+IF(Inputs!$B$4="pvp",0,(1-Summary!$B$56)*(Inputs!$B$19+Skills!P3)+Summary!$B$56*(Inputs!$B$20+Skills!Q3))/100)*(1+Inputs!$B$15/100)*(5000/(6000+Inputs!$B$7*(1-Inputs!$B$18/100)))*(1+Inputs!$B$23/100)*(1+F1021/100)*(1+IF(Inputs!$B$3&gt;=120,F1024,0)/100)^5*(1+(IF(Skills!A3="BASIC_ATTACK",Inputs!$B$16,Inputs!$B$17+IF(Inputs!$B$3&gt;=125,F1025*5,0)))/100)*(B1028*B1029*B1030*I1001)</f>
        <v>10995012018164.998</v>
      </c>
      <c r="L1001">
        <f>K1001*(MIN(Inputs!$B$21+(F1020-Calc!F22),Inputs!$B$22)/100+Inputs!$B$22/100)/2</f>
        <v>29681034943036.406</v>
      </c>
      <c r="M1001">
        <f>L1001*(1+(Inputs!$B$9+(F1019-Calc!F21))/100)</f>
        <v>124393217446265.59</v>
      </c>
      <c r="N1001">
        <f>L1001*(1-MIN(Inputs!$B$8+(F1018-Calc!F20),100)/100)+M1001*(MIN(Inputs!$B$8+(F1018-Calc!F20),100)/100)</f>
        <v>124393217446265.59</v>
      </c>
      <c r="O1001">
        <f>IF(C1001,H1001*N1001*IF(AND(Inputs!$B$4&lt;&gt;"pvp",Inputs!$B$35&gt;0),((Skills!G3*((S1001-1)*IF(Skills!H3&gt;0,Skills!I3/Skills!H3,1)+IF(Skills!H3&gt;0,MIN(Skills!I3,MAX(0,Inputs!$B$35-((S1001-1)*IF(Inputs!$B$4="pvp",15,MAX(0.1,Skills!E3-IF(Skills!F3=TRUE,Inputs!$B$31,0))))))/Skills!H3,1)))/Inputs!$B$35),G1001*V1001)*IF(Inputs!$B$4="pvp",1,(1-Summary!$B$56)*(1)+Summary!$B$56*(MIN(Skills!R3,Inputs!$B$37))),0)</f>
        <v>820995235145352.75</v>
      </c>
      <c r="P1001">
        <f>IF(B1037=0,0,O1001/B1037)</f>
        <v>9.4942337509753449E-2</v>
      </c>
      <c r="R1001">
        <f>INDEX(FactorTable!$B$2:$Y$301, MATCH(ROUND(MIN(300,MAX(1,R1000)),0), FactorTable!$A$2:$A$301,0), 24)</f>
        <v>7520</v>
      </c>
      <c r="S1001">
        <f>IF(AND(Inputs!$B$4&lt;&gt;"pvp",Inputs!$B$35&gt;0),(INT(Inputs!$B$35/IF(Inputs!$B$4="pvp",15,MAX(0.1,Skills!E3-IF(Skills!F3=TRUE,Inputs!$B$31,0))))+1),0)</f>
        <v>0</v>
      </c>
      <c r="T1001">
        <f>INDEX(FactorTable!$B$2:$Y$301, MATCH(ROUND(MIN(300,MAX(1,T1000)),0), FactorTable!$A$2:$A$301,0), 22)</f>
        <v>1688</v>
      </c>
      <c r="V1001">
        <f>IFERROR(1/IF(Inputs!$B$4="pvp",15,MAX(0.1,Skills!E3-IF(Skills!F3=TRUE,Inputs!$B$31,0))),0)</f>
        <v>1</v>
      </c>
    </row>
    <row r="1002" spans="1:22" x14ac:dyDescent="0.2">
      <c r="A1002" t="str">
        <f>Skills!A4</f>
        <v>POISON_BREATH</v>
      </c>
      <c r="B1002" t="str">
        <f>Skills!B4</f>
        <v>Poison Breath</v>
      </c>
      <c r="C1002" t="b">
        <f>TRUE</f>
        <v>1</v>
      </c>
      <c r="D1002">
        <f>IF(Skills!C4=1,60+Inputs!$B$24+Inputs!$B$28,IF(Skills!C4=2,90+Inputs!$B$25+Inputs!$B$28,IF(Skills!C4=3,120+Inputs!$B$26+Inputs!$B$28,MAX(0,(Inputs!$B$3-100)*3)+Inputs!$B$27+Inputs!$B$28)))</f>
        <v>164</v>
      </c>
      <c r="E1002">
        <f>INDEX(FactorTable!$B$2:$Y$301, MATCH(ROUND(MIN(300,MAX(1,D1002)),0), FactorTable!$A$2:$A$301,0), Skills!M4+1)</f>
        <v>1820</v>
      </c>
      <c r="F1002">
        <f>IF(Skills!N4=TRUE,(Skills!L4/10)*(E1002/1000),Skills!L4/10)+Skills!O4</f>
        <v>434</v>
      </c>
      <c r="G1002">
        <f>Calc!G4</f>
        <v>3</v>
      </c>
      <c r="H1002">
        <f>Calc!H4</f>
        <v>1</v>
      </c>
      <c r="I1002">
        <f>IF(Skills!X4&lt;&gt;"",1+(Skills!X4/10)*(R1001/1000)/100,1)</f>
        <v>7.0159999999999991</v>
      </c>
      <c r="J1002">
        <f>((Inputs!$B$5*(1+Inputs!$B$6/100))+((Inputs!$B$11*(1+Inputs!$B$12/100))-(Inputs!$B$11*(1+Inputs!$B$12/100)))*(1+Inputs!$B$6/100))*(F1002/100)</f>
        <v>1084266636.0355198</v>
      </c>
      <c r="K1002">
        <f>J1002*(1+((Inputs!$B$11*(1+Inputs!$B$12/100))*0.01+Inputs!$B$13*0.0025)/100)*(1+Inputs!$B$14/100)*(1+IF(Inputs!$B$4="pvp",0,(1-Summary!$B$56)*(Inputs!$B$19+Skills!P4)+Summary!$B$56*(Inputs!$B$20+Skills!Q4))/100)*(1+Inputs!$B$15/100)*(5000/(6000+Inputs!$B$7*(1-Inputs!$B$18/100)))*(1+Inputs!$B$23/100)*(1+F1021/100)*(1+IF(Inputs!$B$3&gt;=120,F1024,0)/100)^5*(1+(IF(Skills!A4="BASIC_ATTACK",Inputs!$B$16,Inputs!$B$17+IF(Inputs!$B$3&gt;=125,F1025*5,0)))/100)*(B1028*B1029*B1030*I1002)</f>
        <v>57875094722852.875</v>
      </c>
      <c r="L1002">
        <f>K1002*(MIN(Inputs!$B$21+(F1020-Calc!F22),Inputs!$B$22)/100+Inputs!$B$22/100)/2</f>
        <v>156233818204341.31</v>
      </c>
      <c r="M1002">
        <f>L1002*(1+(Inputs!$B$9+(F1019-Calc!F21))/100)</f>
        <v>654775932094394.5</v>
      </c>
      <c r="N1002">
        <f>L1002*(1-MIN(Inputs!$B$8+(F1018-Calc!F20),100)/100)+M1002*(MIN(Inputs!$B$8+(F1018-Calc!F20),100)/100)</f>
        <v>654775932094394.5</v>
      </c>
      <c r="O1002">
        <f>IF(C1002,H1002*N1002*IF(AND(Inputs!$B$4&lt;&gt;"pvp",Inputs!$B$35&gt;0),((Skills!G4*((S1002-1)*IF(Skills!H4&gt;0,Skills!I4/Skills!H4,1)+IF(Skills!H4&gt;0,MIN(Skills!I4,MAX(0,Inputs!$B$35-((S1002-1)*IF(Inputs!$B$4="pvp",15,MAX(0.1,Skills!E4-IF(Skills!F4=TRUE,Inputs!$B$31,0))))))/Skills!H4,1)))/Inputs!$B$35),G1002*V1002)*IF(Inputs!$B$4="pvp",1,(1-Summary!$B$56)*(1)+Summary!$B$56*(MIN(Skills!R4,Inputs!$B$37))),0)</f>
        <v>436517288062929.56</v>
      </c>
      <c r="P1002">
        <f>IF(B1037=0,0,O1002/B1037)</f>
        <v>5.0480161050843977E-2</v>
      </c>
      <c r="S1002">
        <f>IF(AND(Inputs!$B$4&lt;&gt;"pvp",Inputs!$B$35&gt;0),(INT(Inputs!$B$35/IF(Inputs!$B$4="pvp",15,MAX(0.1,Skills!E4-IF(Skills!F4=TRUE,Inputs!$B$31,0))))+1),0)</f>
        <v>0</v>
      </c>
      <c r="T1002">
        <f>290*T1001/1000</f>
        <v>489.52</v>
      </c>
      <c r="V1002">
        <f>IFERROR(1/IF(Inputs!$B$4="pvp",15,MAX(0.1,Skills!E4-IF(Skills!F4=TRUE,Inputs!$B$31,0))),0)</f>
        <v>5.5555555555555552E-2</v>
      </c>
    </row>
    <row r="1003" spans="1:22" x14ac:dyDescent="0.2">
      <c r="A1003" t="str">
        <f>Skills!A5</f>
        <v>ELEMENTAL_DRAIN</v>
      </c>
      <c r="B1003" t="str">
        <f>Skills!B5</f>
        <v>Elemental Drain</v>
      </c>
      <c r="C1003" t="b">
        <f>TRUE</f>
        <v>1</v>
      </c>
      <c r="D1003">
        <f>IF(Skills!C5=1,60+Inputs!$B$24+Inputs!$B$28,IF(Skills!C5=2,90+Inputs!$B$25+Inputs!$B$28,IF(Skills!C5=3,120+Inputs!$B$26+Inputs!$B$28,MAX(0,(Inputs!$B$3-100)*3)+Inputs!$B$27+Inputs!$B$28)))</f>
        <v>164</v>
      </c>
      <c r="E1003">
        <f>INDEX(FactorTable!$B$2:$Y$301, MATCH(ROUND(MIN(300,MAX(1,D1003)),0), FactorTable!$A$2:$A$301,0), Skills!M5+1)</f>
        <v>1656</v>
      </c>
      <c r="F1003">
        <f>IF(Skills!N5=TRUE,(Skills!L5/10)*(E1003/1000),Skills!L5/10)+Skills!O5</f>
        <v>19.872</v>
      </c>
      <c r="G1003">
        <f>Calc!G5</f>
        <v>5</v>
      </c>
      <c r="H1003">
        <f>Calc!H5</f>
        <v>1</v>
      </c>
      <c r="I1003">
        <f>IF(Skills!X5&lt;&gt;"",1+(Skills!X5/10)*(R1001/1000)/100,1)</f>
        <v>12.28</v>
      </c>
      <c r="J1003">
        <f>((Inputs!$B$5*(1+Inputs!$B$6/100))+((Inputs!$B$11*(1+Inputs!$B$12/100))-(Inputs!$B$11*(1+Inputs!$B$12/100)))*(1+Inputs!$B$6/100))*(F1003/100)</f>
        <v>49646420.717276163</v>
      </c>
      <c r="K1003">
        <f>J1003*(1+((Inputs!$B$11*(1+Inputs!$B$12/100))*0.01+Inputs!$B$13*0.0025)/100)*(1+Inputs!$B$14/100)*(1+IF(Inputs!$B$4="pvp",0,(1-Summary!$B$56)*(Inputs!$B$19+Skills!P5)+Summary!$B$56*(Inputs!$B$20+Skills!Q5))/100)*(1+Inputs!$B$15/100)*(5000/(6000+Inputs!$B$7*(1-Inputs!$B$18/100)))*(1+Inputs!$B$23/100)*(1+F1021/100)*(1+IF(Inputs!$B$3&gt;=120,F1024,0)/100)^5*(1+(IF(Skills!A5="BASIC_ATTACK",Inputs!$B$16,Inputs!$B$17+IF(Inputs!$B$3&gt;=125,F1025*5,0)))/100)*(B1028*B1029*B1030*I1003)</f>
        <v>4638230744159.3359</v>
      </c>
      <c r="L1003">
        <f>K1003*(MIN(Inputs!$B$21+(F1020-Calc!F22),Inputs!$B$22)/100+Inputs!$B$22/100)/2</f>
        <v>12520903893858.125</v>
      </c>
      <c r="M1003">
        <f>L1003*(1+(Inputs!$B$9+(F1019-Calc!F21))/100)</f>
        <v>52475108219159.414</v>
      </c>
      <c r="N1003">
        <f>L1003*(1-MIN(Inputs!$B$8+(F1018-Calc!F20),100)/100)+M1003*(MIN(Inputs!$B$8+(F1018-Calc!F20),100)/100)</f>
        <v>52475108219159.414</v>
      </c>
      <c r="O1003">
        <f>IF(C1003,H1003*N1003*IF(AND(Inputs!$B$4&lt;&gt;"pvp",Inputs!$B$35&gt;0),((Skills!G5*((S1003-1)*IF(Skills!H5&gt;0,Skills!I5/Skills!H5,1)+IF(Skills!H5&gt;0,MIN(Skills!I5,MAX(0,Inputs!$B$35-((S1003-1)*IF(Inputs!$B$4="pvp",15,MAX(0.1,Skills!E5-IF(Skills!F5=TRUE,Inputs!$B$31,0))))))/Skills!H5,1)))/Inputs!$B$35),G1003*V1003)*IF(Inputs!$B$4="pvp",1,(1-Summary!$B$56)*(1)+Summary!$B$56*(MIN(Skills!R5,Inputs!$B$37))),0)</f>
        <v>262375541095797.06</v>
      </c>
      <c r="P1003">
        <f>IF(B1037=0,0,O1003/B1037)</f>
        <v>3.0341890075173305E-2</v>
      </c>
      <c r="S1003">
        <f>IF(AND(Inputs!$B$4&lt;&gt;"pvp",Inputs!$B$35&gt;0),(INT(Inputs!$B$35/IF(Inputs!$B$4="pvp",15,MAX(0.1,Skills!E5-IF(Skills!F5=TRUE,Inputs!$B$31,0))))+1),0)</f>
        <v>0</v>
      </c>
      <c r="V1003">
        <f>IFERROR(1/IF(Inputs!$B$4="pvp",15,MAX(0.1,Skills!E5-IF(Skills!F5=TRUE,Inputs!$B$31,0))),0)</f>
        <v>1</v>
      </c>
    </row>
    <row r="1004" spans="1:22" x14ac:dyDescent="0.2">
      <c r="A1004" t="str">
        <f>Skills!A6</f>
        <v>MEDITATION</v>
      </c>
      <c r="B1004" t="str">
        <f>Skills!B6</f>
        <v>Meditation</v>
      </c>
      <c r="C1004" t="b">
        <f>TRUE</f>
        <v>1</v>
      </c>
      <c r="D1004">
        <f>IF(Skills!C6=1,60+Inputs!$B$24+Inputs!$B$28,IF(Skills!C6=2,90+Inputs!$B$25+Inputs!$B$28,IF(Skills!C6=3,120+Inputs!$B$26+Inputs!$B$28,MAX(0,(Inputs!$B$3-100)*3)+Inputs!$B$27+Inputs!$B$28)))</f>
        <v>164</v>
      </c>
      <c r="E1004">
        <f>INDEX(FactorTable!$B$2:$Y$301, MATCH(ROUND(MIN(300,MAX(1,D1004)),0), FactorTable!$A$2:$A$301,0), Skills!M6+1)</f>
        <v>1492</v>
      </c>
      <c r="F1004">
        <f>IF(Skills!N6=TRUE,(Skills!L6/10)*(E1004/1000),Skills!L6/10)+Skills!O6</f>
        <v>29.84</v>
      </c>
      <c r="G1004">
        <f>Calc!G6</f>
        <v>1</v>
      </c>
      <c r="H1004">
        <f>Calc!H6</f>
        <v>1</v>
      </c>
      <c r="I1004">
        <f>IF(Skills!X6&lt;&gt;"",1+(Skills!X6/10)*(R1001/1000)/100,1)</f>
        <v>1</v>
      </c>
      <c r="O1004">
        <v>0</v>
      </c>
      <c r="P1004">
        <f>IF(B1037=0,0,O1004/B1037)</f>
        <v>0</v>
      </c>
      <c r="S1004">
        <f>IF(AND(Inputs!$B$4&lt;&gt;"pvp",Inputs!$B$35&gt;0),(INT(Inputs!$B$35/IF(Inputs!$B$4="pvp",15,MAX(0.1,Skills!E6-IF(Skills!F6=TRUE,Inputs!$B$31,0))))+1),0)</f>
        <v>0</v>
      </c>
      <c r="V1004">
        <f>IFERROR(1/IF(Inputs!$B$4="pvp",15,MAX(0.1,Skills!E6-IF(Skills!F6=TRUE,Inputs!$B$31,0))),0)</f>
        <v>3.3333333333333333E-2</v>
      </c>
    </row>
    <row r="1005" spans="1:22" x14ac:dyDescent="0.2">
      <c r="A1005" t="str">
        <f>Skills!A7</f>
        <v>POISON_MIST_BURST</v>
      </c>
      <c r="B1005" t="str">
        <f>Skills!B7</f>
        <v>Poison Mist (burst)</v>
      </c>
      <c r="C1005" t="b">
        <f>TRUE</f>
        <v>1</v>
      </c>
      <c r="D1005">
        <f>IF(Skills!C7=1,60+Inputs!$B$24+Inputs!$B$28,IF(Skills!C7=2,90+Inputs!$B$25+Inputs!$B$28,IF(Skills!C7=3,120+Inputs!$B$26+Inputs!$B$28,MAX(0,(Inputs!$B$3-100)*3)+Inputs!$B$27+Inputs!$B$28)))</f>
        <v>184</v>
      </c>
      <c r="E1005">
        <f>INDEX(FactorTable!$B$2:$Y$301, MATCH(ROUND(MIN(300,MAX(1,D1005)),0), FactorTable!$A$2:$A$301,0), Skills!M7+1)</f>
        <v>1920</v>
      </c>
      <c r="F1005">
        <f>IF(Skills!N7=TRUE,(Skills!L7/10)*(E1005/1000),Skills!L7/10)+Skills!O7</f>
        <v>357.2</v>
      </c>
      <c r="G1005">
        <f>Calc!G7</f>
        <v>3</v>
      </c>
      <c r="H1005">
        <f>Calc!H7</f>
        <v>1</v>
      </c>
      <c r="I1005">
        <f>IF(Skills!X7&lt;&gt;"",1+(Skills!X7/10)*(R1001/1000)/100,1)</f>
        <v>1.7519999999999998</v>
      </c>
      <c r="J1005">
        <f>((Inputs!$B$5*(1+Inputs!$B$6/100))+((Inputs!$B$11*(1+Inputs!$B$12/100))-(Inputs!$B$11*(1+Inputs!$B$12/100)))*(1+Inputs!$B$6/100))*(F1005/100)</f>
        <v>892396411.04121602</v>
      </c>
      <c r="K1005">
        <f>J1005*(1+((Inputs!$B$11*(1+Inputs!$B$12/100))*0.01+Inputs!$B$13*0.0025)/100)*(1+Inputs!$B$14/100)*(1+IF(Inputs!$B$4="pvp",0,(1-Summary!$B$56)*(Inputs!$B$19+Skills!P7)+Summary!$B$56*(Inputs!$B$20+Skills!Q7))/100)*(1+Inputs!$B$15/100)*(5000/(6000+Inputs!$B$7*(1-Inputs!$B$18/100)))*(1+Inputs!$B$23/100)*(1+F1021/100)*(1+IF(Inputs!$B$3&gt;=120,F1024,0)/100)^5*(1+(IF(Skills!A7="BASIC_ATTACK",Inputs!$B$16,Inputs!$B$17+IF(Inputs!$B$3&gt;=125,F1025*5,0)))/100)*(B1028*B1029*B1030*I1005)</f>
        <v>11894822262388.189</v>
      </c>
      <c r="L1005">
        <f>K1005*(MIN(Inputs!$B$21+(F1020-Calc!F22),Inputs!$B$22)/100+Inputs!$B$22/100)/2</f>
        <v>32110072697316.914</v>
      </c>
      <c r="M1005">
        <f>L1005*(1+(Inputs!$B$9+(F1019-Calc!F21))/100)</f>
        <v>134573314674455.2</v>
      </c>
      <c r="N1005">
        <f>L1005*(1-MIN(Inputs!$B$8+(F1018-Calc!F20),100)/100)+M1005*(MIN(Inputs!$B$8+(F1018-Calc!F20),100)/100)</f>
        <v>134573314674455.2</v>
      </c>
      <c r="O1005">
        <f>IF(C1005,H1005*N1005*IF(AND(Inputs!$B$4&lt;&gt;"pvp",Inputs!$B$35&gt;0),((Skills!G7*((S1005-1)*IF(Skills!H7&gt;0,Skills!I7/Skills!H7,1)+IF(Skills!H7&gt;0,MIN(Skills!I7,MAX(0,Inputs!$B$35-((S1005-1)*IF(Inputs!$B$4="pvp",15,MAX(0.1,Skills!E7-IF(Skills!F7=TRUE,Inputs!$B$31,0))))))/Skills!H7,1)))/Inputs!$B$35),G1005*V1005)*IF(Inputs!$B$4="pvp",1,(1-Summary!$B$56)*(1)+Summary!$B$56*(MIN(Skills!R7,Inputs!$B$37))),0)</f>
        <v>105461536397940.41</v>
      </c>
      <c r="P1005">
        <f>IF(B1037=0,0,O1005/B1037)</f>
        <v>1.2195886595148997E-2</v>
      </c>
      <c r="S1005">
        <f>IF(AND(Inputs!$B$4&lt;&gt;"pvp",Inputs!$B$35&gt;0),(INT(Inputs!$B$35/IF(Inputs!$B$4="pvp",15,MAX(0.1,Skills!E7-IF(Skills!F7=TRUE,Inputs!$B$31,0))))+1),0)</f>
        <v>0</v>
      </c>
      <c r="V1005">
        <f>IFERROR(1/IF(Inputs!$B$4="pvp",15,MAX(0.1,Skills!E7-IF(Skills!F7=TRUE,Inputs!$B$31,0))),0)</f>
        <v>4.0816326530612242E-2</v>
      </c>
    </row>
    <row r="1006" spans="1:22" x14ac:dyDescent="0.2">
      <c r="A1006" t="str">
        <f>Skills!A8</f>
        <v>POISON_MIST_DOT</v>
      </c>
      <c r="B1006" t="str">
        <f>Skills!B8</f>
        <v>Poison Mist (fog DoT)</v>
      </c>
      <c r="C1006" t="b">
        <f>TRUE</f>
        <v>1</v>
      </c>
      <c r="D1006">
        <f>IF(Skills!C8=1,60+Inputs!$B$24+Inputs!$B$28,IF(Skills!C8=2,90+Inputs!$B$25+Inputs!$B$28,IF(Skills!C8=3,120+Inputs!$B$26+Inputs!$B$28,MAX(0,(Inputs!$B$3-100)*3)+Inputs!$B$27+Inputs!$B$28)))</f>
        <v>184</v>
      </c>
      <c r="E1006">
        <f>INDEX(FactorTable!$B$2:$Y$301, MATCH(ROUND(MIN(300,MAX(1,D1006)),0), FactorTable!$A$2:$A$301,0), Skills!M8+1)</f>
        <v>1920</v>
      </c>
      <c r="F1006">
        <f>IF(Skills!N8=TRUE,(Skills!L8/10)*(E1006/1000),Skills!L8/10)+Skills!O8</f>
        <v>134.4</v>
      </c>
      <c r="G1006">
        <f>Calc!G8</f>
        <v>50</v>
      </c>
      <c r="H1006">
        <f>Calc!H8</f>
        <v>1</v>
      </c>
      <c r="I1006">
        <f>IF(Skills!X8&lt;&gt;"",1+(Skills!X8/10)*(R1001/1000)/100,1)</f>
        <v>1.7519999999999998</v>
      </c>
      <c r="J1006">
        <f>((Inputs!$B$5*(1+Inputs!$B$6/100))+((Inputs!$B$11*(1+Inputs!$B$12/100))-(Inputs!$B$11*(1+Inputs!$B$12/100)))*(1+Inputs!$B$6/100))*(F1006/100)</f>
        <v>335772893.74003202</v>
      </c>
      <c r="K1006">
        <f>J1006*(1+((Inputs!$B$11*(1+Inputs!$B$12/100))*0.01+Inputs!$B$13*0.0025)/100)*(1+Inputs!$B$14/100)*(1+IF(Inputs!$B$4="pvp",0,(1-Summary!$B$56)*(Inputs!$B$19+Skills!P8)+Summary!$B$56*(Inputs!$B$20+Skills!Q8))/100)*(1+Inputs!$B$15/100)*(5000/(6000+Inputs!$B$7*(1-Inputs!$B$18/100)))*(1+Inputs!$B$23/100)*(1+F1021/100)*(1+IF(Inputs!$B$3&gt;=120,F1024,0)/100)^5*(1+(IF(Skills!A8="BASIC_ATTACK",Inputs!$B$16,Inputs!$B$17+IF(Inputs!$B$3&gt;=125,F1025*5,0)))/100)*(B1028*B1029*B1030*I1006)</f>
        <v>4475543426833.6309</v>
      </c>
      <c r="L1006">
        <f>K1006*(MIN(Inputs!$B$21+(F1020-Calc!F22),Inputs!$B$22)/100+Inputs!$B$22/100)/2</f>
        <v>12081729480737.385</v>
      </c>
      <c r="M1006">
        <f>L1006*(1+(Inputs!$B$9+(F1019-Calc!F21))/100)</f>
        <v>50634528253770.391</v>
      </c>
      <c r="N1006">
        <f>L1006*(1-MIN(Inputs!$B$8+(F1018-Calc!F20),100)/100)+M1006*(MIN(Inputs!$B$8+(F1018-Calc!F20),100)/100)</f>
        <v>50634528253770.391</v>
      </c>
      <c r="O1006">
        <f>IF(C1006,H1006*N1006*IF(AND(Inputs!$B$4&lt;&gt;"pvp",Inputs!$B$35&gt;0),((Skills!G8*((S1006-1)*IF(Skills!H8&gt;0,Skills!I8/Skills!H8,1)+IF(Skills!H8&gt;0,MIN(Skills!I8,MAX(0,Inputs!$B$35-((S1006-1)*IF(Inputs!$B$4="pvp",15,MAX(0.1,Skills!E8-IF(Skills!F8=TRUE,Inputs!$B$31,0))))))/Skills!H8,1)))/Inputs!$B$35),G1006*V1006)*IF(Inputs!$B$4="pvp",1,(1-Summary!$B$56)*(1)+Summary!$B$56*(MIN(Skills!R8,Inputs!$B$37))),0)</f>
        <v>661348940457409.25</v>
      </c>
      <c r="P1006">
        <f>IF(B1037=0,0,O1006/B1037)</f>
        <v>7.6480363866555892E-2</v>
      </c>
      <c r="S1006">
        <f>IF(AND(Inputs!$B$4&lt;&gt;"pvp",Inputs!$B$35&gt;0),(INT(Inputs!$B$35/IF(Inputs!$B$4="pvp",15,MAX(0.1,Skills!E8-IF(Skills!F8=TRUE,Inputs!$B$31,0))))+1),0)</f>
        <v>0</v>
      </c>
      <c r="V1006">
        <f>IFERROR(1/IF(Inputs!$B$4="pvp",15,MAX(0.1,Skills!E8-IF(Skills!F8=TRUE,Inputs!$B$31,0))),0)</f>
        <v>4.0816326530612242E-2</v>
      </c>
    </row>
    <row r="1007" spans="1:22" x14ac:dyDescent="0.2">
      <c r="A1007" t="str">
        <f>Skills!A9</f>
        <v>MIST_ERUPTION</v>
      </c>
      <c r="B1007" t="str">
        <f>Skills!B9</f>
        <v>Mist Eruption</v>
      </c>
      <c r="C1007" t="b">
        <f>Inputs!$B$3&gt;=103</f>
        <v>1</v>
      </c>
      <c r="D1007">
        <f>IF(Skills!C9=1,60+Inputs!$B$24+Inputs!$B$28,IF(Skills!C9=2,90+Inputs!$B$25+Inputs!$B$28,IF(Skills!C9=3,120+Inputs!$B$26+Inputs!$B$28,MAX(0,(Inputs!$B$3-100)*3)+Inputs!$B$27+Inputs!$B$28)))</f>
        <v>172</v>
      </c>
      <c r="E1007">
        <f>INDEX(FactorTable!$B$2:$Y$301, MATCH(ROUND(MIN(300,MAX(1,D1007)),0), FactorTable!$A$2:$A$301,0), Skills!M9+1)</f>
        <v>1860</v>
      </c>
      <c r="F1007">
        <f>IF(Skills!N9=TRUE,(Skills!L9/10)*(E1007/1000),Skills!L9/10)+Skills!O9</f>
        <v>5580</v>
      </c>
      <c r="G1007">
        <f>Calc!G9</f>
        <v>2.8</v>
      </c>
      <c r="H1007">
        <f>Calc!H9</f>
        <v>1</v>
      </c>
      <c r="I1007">
        <f>IF(Skills!X9&lt;&gt;"",1+(Skills!X9/10)*(R1001/1000)/100,1)</f>
        <v>1</v>
      </c>
      <c r="J1007">
        <f>((Inputs!$B$5*(1+Inputs!$B$6/100))+((Inputs!$B$11*(1+Inputs!$B$12/100))-(Inputs!$B$11*(1+Inputs!$B$12/100)))*(1+Inputs!$B$6/100))*(F1007/100)</f>
        <v>13940571034.742399</v>
      </c>
      <c r="K1007">
        <f>J1007*(1+((Inputs!$B$11*(1+Inputs!$B$12/100))*0.01+Inputs!$B$13*0.0025)/100)*(1+Inputs!$B$14/100)*(1+IF(Inputs!$B$4="pvp",0,(1-Summary!$B$56)*(Inputs!$B$19+Skills!P9)+Summary!$B$56*(Inputs!$B$20+Skills!Q9))/100)*(1+Inputs!$B$15/100)*(5000/(6000+Inputs!$B$7*(1-Inputs!$B$18/100)))*(1+Inputs!$B$23/100)*(1+F1021/100)*(1+IF(Inputs!$B$3&gt;=120,F1024,0)/100)^5*(1+(IF(Skills!A9="BASIC_ATTACK",Inputs!$B$16,Inputs!$B$17+IF(Inputs!$B$3&gt;=125,F1025*5,0)))/100)*(B1028*B1029*B1030*I1007)</f>
        <v>106058774333294.53</v>
      </c>
      <c r="L1007">
        <f>K1007*(MIN(Inputs!$B$21+(F1020-Calc!F22),Inputs!$B$22)/100+Inputs!$B$22/100)/2</f>
        <v>286305661312728.56</v>
      </c>
      <c r="M1007">
        <f>L1007*(1+(Inputs!$B$9+(F1019-Calc!F21))/100)</f>
        <v>1199907026561645.5</v>
      </c>
      <c r="N1007">
        <f>L1007*(1-MIN(Inputs!$B$8+(F1018-Calc!F20),100)/100)+M1007*(MIN(Inputs!$B$8+(F1018-Calc!F20),100)/100)</f>
        <v>1199907026561645.5</v>
      </c>
      <c r="O1007">
        <f>IF(C1007,H1007*N1007*IF(AND(Inputs!$B$4&lt;&gt;"pvp",Inputs!$B$35&gt;0),((Skills!G9*((S1007-1)*IF(Skills!H9&gt;0,Skills!I9/Skills!H9,1)+IF(Skills!H9&gt;0,MIN(Skills!I9,MAX(0,Inputs!$B$35-((S1007-1)*IF(Inputs!$B$4="pvp",15,MAX(0.1,Skills!E9-IF(Skills!F7=TRUE,Inputs!$B$31,0))))))/Skills!H9,1)))/Inputs!$B$35),G1007*V1007)*IF(Inputs!$B$4="pvp",1,(1-Summary!$B$56)*(1)+Summary!$B$56*(MIN(Skills!R9,Inputs!$B$37))),0)</f>
        <v>877646282285089.12</v>
      </c>
      <c r="P1007">
        <f>IF(B1037=0,0,O1007/B1037)</f>
        <v>0.10149363355578904</v>
      </c>
      <c r="S1007">
        <f>IF(AND(Inputs!$B$4&lt;&gt;"pvp",Inputs!$B$35&gt;0),(INT(Inputs!$B$35/IF(Inputs!$B$4="pvp",15,MAX(0.1,Skills!E9-IF(Skills!F7=TRUE,Inputs!$B$31,0))))+1),0)</f>
        <v>0</v>
      </c>
      <c r="V1007">
        <f>IFERROR(1/IF(Inputs!$B$4="pvp",15,MAX(0.1,Skills!E9-IF(Skills!F7=TRUE,Inputs!$B$31,0))),0)</f>
        <v>4.0816326530612242E-2</v>
      </c>
    </row>
    <row r="1008" spans="1:22" x14ac:dyDescent="0.2">
      <c r="A1008" t="str">
        <f>Skills!A10</f>
        <v>CREEPING_TOXIN</v>
      </c>
      <c r="B1008" t="str">
        <f>Skills!B10</f>
        <v>Creeping Toxin</v>
      </c>
      <c r="C1008" t="b">
        <f>TRUE</f>
        <v>1</v>
      </c>
      <c r="D1008">
        <f>IF(Skills!C10=1,60+Inputs!$B$24+Inputs!$B$28,IF(Skills!C10=2,90+Inputs!$B$25+Inputs!$B$28,IF(Skills!C10=3,120+Inputs!$B$26+Inputs!$B$28,MAX(0,(Inputs!$B$3-100)*3)+Inputs!$B$27+Inputs!$B$28)))</f>
        <v>184</v>
      </c>
      <c r="E1008">
        <f>INDEX(FactorTable!$B$2:$Y$301, MATCH(ROUND(MIN(300,MAX(1,D1008)),0), FactorTable!$A$2:$A$301,0), Skills!M10+1)</f>
        <v>1920</v>
      </c>
      <c r="F1008">
        <f>IF(Skills!N10=TRUE,(Skills!L10/10)*(E1008/1000),Skills!L10/10)+Skills!O10</f>
        <v>280.39999999999998</v>
      </c>
      <c r="G1008">
        <f>Calc!G10</f>
        <v>15</v>
      </c>
      <c r="H1008">
        <f>Calc!H10</f>
        <v>1</v>
      </c>
      <c r="I1008">
        <f>IF(Skills!X10&lt;&gt;"",1+(Skills!X10/10)*(R1001/1000)/100,1)</f>
        <v>1.7519999999999998</v>
      </c>
      <c r="J1008">
        <f>((Inputs!$B$5*(1+Inputs!$B$6/100))+((Inputs!$B$11*(1+Inputs!$B$12/100))-(Inputs!$B$11*(1+Inputs!$B$12/100)))*(1+Inputs!$B$6/100))*(F1008/100)</f>
        <v>700526186.04691195</v>
      </c>
      <c r="K1008">
        <f>J1008*(1+((Inputs!$B$11*(1+Inputs!$B$12/100))*0.01+Inputs!$B$13*0.0025)/100)*(1+Inputs!$B$14/100)*(1+IF(Inputs!$B$4="pvp",0,(1-Summary!$B$56)*(Inputs!$B$19+Skills!P10)+Summary!$B$56*(Inputs!$B$20+Skills!Q10))/100)*(1+Inputs!$B$15/100)*(5000/(6000+Inputs!$B$7*(1-Inputs!$B$18/100)))*(1+Inputs!$B$23/100)*(1+F1021/100)*(1+IF(Inputs!$B$3&gt;=120,F1024,0)/100)^5*(1+(IF(Skills!A10="BASIC_ATTACK",Inputs!$B$16,Inputs!$B$17+IF(Inputs!$B$3&gt;=125,F1025*5,0)))/100)*(B1028*B1029*B1030*I1008)</f>
        <v>11018767832821.695</v>
      </c>
      <c r="L1008">
        <f>K1008*(MIN(Inputs!$B$21+(F1020-Calc!F22),Inputs!$B$22)/100+Inputs!$B$22/100)/2</f>
        <v>29745163764702.16</v>
      </c>
      <c r="M1008">
        <f>L1008*(1+(Inputs!$B$9+(F1019-Calc!F21))/100)</f>
        <v>124661981337866.78</v>
      </c>
      <c r="N1008">
        <f>L1008*(1-MIN(Inputs!$B$8+(F1018-Calc!F20),100)/100)+M1008*(MIN(Inputs!$B$8+(F1018-Calc!F20),100)/100)</f>
        <v>124661981337866.78</v>
      </c>
      <c r="O1008">
        <f>IF(C1008,H1008*N1008*IF(AND(Inputs!$B$4&lt;&gt;"pvp",Inputs!$B$35&gt;0),((Skills!G10*((S1008-1)*IF(Skills!H10&gt;0,Skills!I10/Skills!H10,1)+IF(Skills!H10&gt;0,MIN(Skills!I10,MAX(0,Inputs!$B$35-((S1008-1)*IF(Inputs!$B$4="pvp",15,MAX(0.1,Skills!E10-IF(Skills!F10=TRUE,Inputs!$B$31,0))))))/Skills!H10,1)))/Inputs!$B$35),G1008*V1008)*IF(Inputs!$B$4="pvp",1,(1-Summary!$B$56)*(1)+Summary!$B$56*(MIN(Skills!R10,Inputs!$B$37))),0)</f>
        <v>69256656298814.883</v>
      </c>
      <c r="P1008">
        <f>IF(B1037=0,0,O1008/B1037)</f>
        <v>8.0090462838739111E-3</v>
      </c>
      <c r="S1008">
        <f>IF(AND(Inputs!$B$4&lt;&gt;"pvp",Inputs!$B$35&gt;0),(INT(Inputs!$B$35/IF(Inputs!$B$4="pvp",15,MAX(0.1,Skills!E10-IF(Skills!F10=TRUE,Inputs!$B$31,0))))+1),0)</f>
        <v>0</v>
      </c>
      <c r="V1008">
        <f>IFERROR(1/IF(Inputs!$B$4="pvp",15,MAX(0.1,Skills!E10-IF(Skills!F10=TRUE,Inputs!$B$31,0))),0)</f>
        <v>3.7037037037037035E-2</v>
      </c>
    </row>
    <row r="1009" spans="1:22" x14ac:dyDescent="0.2">
      <c r="A1009" t="str">
        <f>Skills!A11</f>
        <v>BURNING_MAGIC</v>
      </c>
      <c r="B1009" t="str">
        <f>Skills!B11</f>
        <v>Burning Magic</v>
      </c>
      <c r="C1009" t="b">
        <f>TRUE</f>
        <v>1</v>
      </c>
      <c r="D1009">
        <f>IF(Skills!C11=1,60+Inputs!$B$24+Inputs!$B$28,IF(Skills!C11=2,90+Inputs!$B$25+Inputs!$B$28,IF(Skills!C11=3,120+Inputs!$B$26+Inputs!$B$28,MAX(0,(Inputs!$B$3-100)*3)+Inputs!$B$27+Inputs!$B$28)))</f>
        <v>184</v>
      </c>
      <c r="E1009">
        <f>INDEX(FactorTable!$B$2:$Y$301, MATCH(ROUND(MIN(300,MAX(1,D1009)),0), FactorTable!$A$2:$A$301,0), Skills!M11+1)</f>
        <v>0</v>
      </c>
      <c r="F1009">
        <f>IF(Skills!N11=TRUE,(Skills!L11/10)*(E1009/1000),Skills!L11/10)+Skills!O11</f>
        <v>5</v>
      </c>
      <c r="G1009">
        <f>Calc!G11</f>
        <v>1</v>
      </c>
      <c r="H1009">
        <f>Calc!H11</f>
        <v>1</v>
      </c>
      <c r="I1009">
        <f>IF(Skills!X11&lt;&gt;"",1+(Skills!X11/10)*(R1001/1000)/100,1)</f>
        <v>1</v>
      </c>
      <c r="O1009">
        <v>0</v>
      </c>
      <c r="P1009">
        <f>IF(B1037=0,0,O1009/B1037)</f>
        <v>0</v>
      </c>
      <c r="S1009">
        <v>0</v>
      </c>
      <c r="V1009">
        <f>IFERROR(1/IF(Inputs!$B$4="pvp",15,MAX(0.1,Skills!E11-IF(Skills!F11=TRUE,Inputs!$B$31,0))),0)</f>
        <v>10</v>
      </c>
    </row>
    <row r="1010" spans="1:22" x14ac:dyDescent="0.2">
      <c r="A1010" t="str">
        <f>Skills!A12</f>
        <v>ELEMENTAL_DECREASE</v>
      </c>
      <c r="B1010" t="str">
        <f>Skills!B12</f>
        <v>Elemental Decrease</v>
      </c>
      <c r="C1010" t="b">
        <f>TRUE</f>
        <v>1</v>
      </c>
      <c r="D1010">
        <f>IF(Skills!C12=1,60+Inputs!$B$24+Inputs!$B$28,IF(Skills!C12=2,90+Inputs!$B$25+Inputs!$B$28,IF(Skills!C12=3,120+Inputs!$B$26+Inputs!$B$28,MAX(0,(Inputs!$B$3-100)*3)+Inputs!$B$27+Inputs!$B$28)))</f>
        <v>184</v>
      </c>
      <c r="E1010">
        <f>INDEX(FactorTable!$B$2:$Y$301, MATCH(ROUND(MIN(300,MAX(1,D1010)),0), FactorTable!$A$2:$A$301,0), Skills!M12+1)</f>
        <v>1552</v>
      </c>
      <c r="F1010">
        <f>IF(Skills!N12=TRUE,(Skills!L12/10)*(E1010/1000),Skills!L12/10)+Skills!O12</f>
        <v>18.624000000000002</v>
      </c>
      <c r="G1010">
        <f>Calc!G12</f>
        <v>1</v>
      </c>
      <c r="H1010">
        <f>Calc!H12</f>
        <v>0.5</v>
      </c>
      <c r="I1010">
        <f>IF(Skills!X12&lt;&gt;"",1+(Skills!X12/10)*(R1001/1000)/100,1)</f>
        <v>1</v>
      </c>
      <c r="O1010">
        <v>0</v>
      </c>
      <c r="P1010">
        <f>IF(B1037=0,0,O1010/B1037)</f>
        <v>0</v>
      </c>
      <c r="S1010">
        <v>0</v>
      </c>
      <c r="V1010">
        <f>IFERROR(1/IF(Inputs!$B$4="pvp",15,MAX(0.1,Skills!E12-IF(Skills!F12=TRUE,Inputs!$B$31,0))),0)</f>
        <v>10</v>
      </c>
    </row>
    <row r="1011" spans="1:22" x14ac:dyDescent="0.2">
      <c r="A1011" t="str">
        <f>Skills!A13</f>
        <v>METEOR_SHOWER_BURST</v>
      </c>
      <c r="B1011" t="str">
        <f>Skills!B13</f>
        <v>Meteor Shower (burst)</v>
      </c>
      <c r="C1011" t="b">
        <f>Inputs!$B$3&gt;=105</f>
        <v>1</v>
      </c>
      <c r="D1011">
        <f>IF(Skills!C13=1,60+Inputs!$B$24+Inputs!$B$28,IF(Skills!C13=2,90+Inputs!$B$25+Inputs!$B$28,IF(Skills!C13=3,120+Inputs!$B$26+Inputs!$B$28,MAX(0,(Inputs!$B$3-100)*3)+Inputs!$B$27+Inputs!$B$28)))</f>
        <v>172</v>
      </c>
      <c r="E1011">
        <f>INDEX(FactorTable!$B$2:$Y$301, MATCH(ROUND(MIN(300,MAX(1,D1011)),0), FactorTable!$A$2:$A$301,0), Skills!M13+1)</f>
        <v>1860</v>
      </c>
      <c r="F1011">
        <f>IF(Skills!N13=TRUE,(Skills!L13/10)*(E1011/1000),Skills!L13/10)+Skills!O13</f>
        <v>1116</v>
      </c>
      <c r="G1011">
        <f>Calc!G13</f>
        <v>9</v>
      </c>
      <c r="H1011">
        <f>Calc!H13</f>
        <v>1</v>
      </c>
      <c r="I1011">
        <f>IF(Skills!X13&lt;&gt;"",1+(Skills!X13/10)*(R1001/1000)/100,1)</f>
        <v>1</v>
      </c>
      <c r="J1011">
        <f>((Inputs!$B$5*(1+Inputs!$B$6/100))+((Inputs!$B$11*(1+Inputs!$B$12/100))-(Inputs!$B$11*(1+Inputs!$B$12/100)))*(1+Inputs!$B$6/100))*(F1011/100)</f>
        <v>2788114206.9484801</v>
      </c>
      <c r="K1011">
        <f>J1011*(1+((Inputs!$B$11*(1+Inputs!$B$12/100))*0.01+Inputs!$B$13*0.0025)/100)*(1+Inputs!$B$14/100)*(1+IF(Inputs!$B$4="pvp",0,(1-Summary!$B$56)*(Inputs!$B$19+Skills!P13)+Summary!$B$56*(Inputs!$B$20+Skills!Q13))/100)*(1+Inputs!$B$15/100)*(5000/(6000+Inputs!$B$7*(1-Inputs!$B$18/100)))*(1+Inputs!$B$23/100)*(1+F1021/100)*(1+IF(Inputs!$B$3&gt;=120,F1024,0)/100)^5*(1+(IF(Skills!A13="BASIC_ATTACK",Inputs!$B$16,Inputs!$B$17+IF(Inputs!$B$3&gt;=125,F1025*5,0)))/100)*(B1028*B1029*B1030*I1011)</f>
        <v>21211754866658.902</v>
      </c>
      <c r="L1011">
        <f>K1011*(MIN(Inputs!$B$21+(F1020-Calc!F22),Inputs!$B$22)/100+Inputs!$B$22/100)/2</f>
        <v>57261132262545.695</v>
      </c>
      <c r="M1011">
        <f>L1011*(1+(Inputs!$B$9+(F1019-Calc!F21))/100)</f>
        <v>239981405312329.06</v>
      </c>
      <c r="N1011">
        <f>L1011*(1-MIN(Inputs!$B$8+(F1018-Calc!F20),100)/100)+M1011*(MIN(Inputs!$B$8+(F1018-Calc!F20),100)/100)</f>
        <v>239981405312329.06</v>
      </c>
      <c r="O1011">
        <f>IF(C1011,H1011*N1011*IF(AND(Inputs!$B$4&lt;&gt;"pvp",Inputs!$B$35&gt;0),((Skills!G13*((S1011-1)*IF(Skills!H13&gt;0,Skills!I13/Skills!H13,1)+IF(Skills!H13&gt;0,MIN(Skills!I13,MAX(0,Inputs!$B$35-((S1011-1)*IF(Inputs!$B$4="pvp",15,MAX(0.1,Skills!E13-IF(Skills!F13=TRUE,Inputs!$B$31,0))))))/Skills!H13,1)))/Inputs!$B$35),G1011*V1011)*IF(Inputs!$B$4="pvp",1,(1-Summary!$B$56)*(1)+Summary!$B$56*(MIN(Skills!R13,Inputs!$B$37))),0)</f>
        <v>301067581210012.88</v>
      </c>
      <c r="P1011">
        <f>IF(B1037=0,0,O1011/B1037)</f>
        <v>3.4816352988242982E-2</v>
      </c>
      <c r="S1011">
        <f>IF(AND(Inputs!$B$4&lt;&gt;"pvp",Inputs!$B$35&gt;0),(INT(Inputs!$B$35/IF(Inputs!$B$4="pvp",15,MAX(0.1,Skills!E13-IF(Skills!F13=TRUE,Inputs!$B$31,0))))+1),0)</f>
        <v>0</v>
      </c>
      <c r="V1011">
        <f>IFERROR(1/IF(Inputs!$B$4="pvp",15,MAX(0.1,Skills!E13-IF(Skills!F13=TRUE,Inputs!$B$31,0))),0)</f>
        <v>3.0303030303030304E-2</v>
      </c>
    </row>
    <row r="1012" spans="1:22" x14ac:dyDescent="0.2">
      <c r="A1012" t="str">
        <f>Skills!A14</f>
        <v>METEOR_PROC</v>
      </c>
      <c r="B1012" t="str">
        <f>Skills!B14</f>
        <v>Meteor Proc (30% on-hit, 1s ICD)</v>
      </c>
      <c r="C1012" t="b">
        <f>Inputs!$B$3&gt;=113</f>
        <v>1</v>
      </c>
      <c r="D1012">
        <f>IF(Skills!C14=1,60+Inputs!$B$24+Inputs!$B$28,IF(Skills!C14=2,90+Inputs!$B$25+Inputs!$B$28,IF(Skills!C14=3,120+Inputs!$B$26+Inputs!$B$28,MAX(0,(Inputs!$B$3-100)*3)+Inputs!$B$27+Inputs!$B$28)))</f>
        <v>172</v>
      </c>
      <c r="E1012">
        <f>INDEX(FactorTable!$B$2:$Y$301, MATCH(ROUND(MIN(300,MAX(1,D1012)),0), FactorTable!$A$2:$A$301,0), Skills!M14+1)</f>
        <v>1688</v>
      </c>
      <c r="F1012">
        <f>IF(Skills!N14=TRUE,(Skills!L14/10)*(E1012/1000),Skills!L14/10)+Skills!O14</f>
        <v>1603.6</v>
      </c>
      <c r="G1012">
        <f>Calc!G14</f>
        <v>0</v>
      </c>
      <c r="H1012">
        <f>Calc!H14</f>
        <v>0.30000000000000004</v>
      </c>
      <c r="I1012">
        <f>IF(Skills!X14&lt;&gt;"",1+(Skills!X14/10)*(R1001/1000)/100,1)</f>
        <v>1</v>
      </c>
      <c r="J1012">
        <f>((Inputs!$B$5*(1+Inputs!$B$6/100))+((Inputs!$B$11*(1+Inputs!$B$12/100))-(Inputs!$B$11*(1+Inputs!$B$12/100)))*(1+Inputs!$B$6/100))*(F1012/100)</f>
        <v>4006290270.8446074</v>
      </c>
      <c r="K1012">
        <f>J1012*(1+((Inputs!$B$11*(1+Inputs!$B$12/100))*0.01+Inputs!$B$13*0.0025)/100)*(1+Inputs!$B$14/100)*(1+IF(Inputs!$B$4="pvp",0,(1-Summary!$B$56)*(Inputs!$B$19+Skills!P14)+Summary!$B$56*(Inputs!$B$20+Skills!Q14))/100)*(1+Inputs!$B$15/100)*(5000/(6000+Inputs!$B$7*(1-Inputs!$B$18/100)))*(1+Inputs!$B$23/100)*(1+F1021/100)*(1+IF(Inputs!$B$3&gt;=120,F1024,0)/100)^5*(1+(IF(Skills!A14="BASIC_ATTACK",Inputs!$B$16,Inputs!$B$17+IF(Inputs!$B$3&gt;=125,F1025*5,0)))/100)*(B1028*B1029*B1030*I1012)</f>
        <v>30479543104098.766</v>
      </c>
      <c r="L1012">
        <f>K1012*(MIN(Inputs!$B$21+(F1020-Calc!F22),Inputs!$B$22)/100+Inputs!$B$22/100)/2</f>
        <v>82279526609514.609</v>
      </c>
      <c r="M1012">
        <f>L1012*(1+(Inputs!$B$9+(F1019-Calc!F21))/100)</f>
        <v>344833496020475.81</v>
      </c>
      <c r="N1012">
        <f>L1012*(1-MIN(Inputs!$B$8+(F1018-Calc!F20),100)/100)+M1012*(MIN(Inputs!$B$8+(F1018-Calc!F20),100)/100)</f>
        <v>344833496020475.81</v>
      </c>
      <c r="O1012">
        <f>IF(C1012,(H1012*B1035)/(1+Skills!H14*H1012*B1035)*N1012*IF(Inputs!$B$4="pvp",1,(1-Summary!$B$56)*(1)+Summary!$B$56*(MIN(Skills!R14,Inputs!$B$37))),0)</f>
        <v>108471730590284.94</v>
      </c>
      <c r="P1012">
        <f>IF(B1037=0,0,O1012/B1037)</f>
        <v>1.2543994429086517E-2</v>
      </c>
      <c r="S1012">
        <v>0</v>
      </c>
      <c r="V1012">
        <f>IFERROR(1/IF(Inputs!$B$4="pvp",15,MAX(0.1,Skills!E14-IF(Skills!F14=TRUE,Inputs!$B$31,0))),0)</f>
        <v>10</v>
      </c>
    </row>
    <row r="1013" spans="1:22" x14ac:dyDescent="0.2">
      <c r="A1013" t="str">
        <f>Skills!A15</f>
        <v>FLAME_HAZE_BURST</v>
      </c>
      <c r="B1013" t="str">
        <f>Skills!B15</f>
        <v>Flame Haze (burst)</v>
      </c>
      <c r="C1013" t="b">
        <f>Inputs!$B$3&gt;=107</f>
        <v>1</v>
      </c>
      <c r="D1013">
        <f>IF(Skills!C15=1,60+Inputs!$B$24+Inputs!$B$28,IF(Skills!C15=2,90+Inputs!$B$25+Inputs!$B$28,IF(Skills!C15=3,120+Inputs!$B$26+Inputs!$B$28,MAX(0,(Inputs!$B$3-100)*3)+Inputs!$B$27+Inputs!$B$28)))</f>
        <v>172</v>
      </c>
      <c r="E1013">
        <f>INDEX(FactorTable!$B$2:$Y$301, MATCH(ROUND(MIN(300,MAX(1,D1013)),0), FactorTable!$A$2:$A$301,0), Skills!M15+1)</f>
        <v>1860</v>
      </c>
      <c r="F1013">
        <f>IF(Skills!N15=TRUE,(Skills!L15/10)*(E1013/1000),Skills!L15/10)+Skills!O15</f>
        <v>2232</v>
      </c>
      <c r="G1013">
        <f>Calc!G15</f>
        <v>3</v>
      </c>
      <c r="H1013">
        <f>Calc!H15</f>
        <v>1</v>
      </c>
      <c r="I1013">
        <f>IF(Skills!X15&lt;&gt;"",1+(Skills!X15/10)*(R1001/1000)/100,1)</f>
        <v>1</v>
      </c>
      <c r="J1013">
        <f>((Inputs!$B$5*(1+Inputs!$B$6/100))+((Inputs!$B$11*(1+Inputs!$B$12/100))-(Inputs!$B$11*(1+Inputs!$B$12/100)))*(1+Inputs!$B$6/100))*(F1013/100)</f>
        <v>5576228413.8969603</v>
      </c>
      <c r="K1013">
        <f>J1013*(1+((Inputs!$B$11*(1+Inputs!$B$12/100))*0.01+Inputs!$B$13*0.0025)/100)*(1+Inputs!$B$14/100)*(1+IF(Inputs!$B$4="pvp",0,(1-Summary!$B$56)*(Inputs!$B$19+Skills!P15)+Summary!$B$56*(Inputs!$B$20+Skills!Q15))/100)*(1+Inputs!$B$15/100)*(5000/(6000+Inputs!$B$7*(1-Inputs!$B$18/100)))*(1+Inputs!$B$23/100)*(1+F1021/100)*(1+IF(Inputs!$B$3&gt;=120,F1024,0)/100)^5*(1+(IF(Skills!A15="BASIC_ATTACK",Inputs!$B$16,Inputs!$B$17+IF(Inputs!$B$3&gt;=125,F1025*5,0)))/100)*(B1028*B1029*B1030*I1013)</f>
        <v>42423509733317.805</v>
      </c>
      <c r="L1013">
        <f>K1013*(MIN(Inputs!$B$21+(F1020-Calc!F22),Inputs!$B$22)/100+Inputs!$B$22/100)/2</f>
        <v>114522264525091.39</v>
      </c>
      <c r="M1013">
        <f>L1013*(1+(Inputs!$B$9+(F1019-Calc!F21))/100)</f>
        <v>479962810624658.12</v>
      </c>
      <c r="N1013">
        <f>L1013*(1-MIN(Inputs!$B$8+(F1018-Calc!F20),100)/100)+M1013*(MIN(Inputs!$B$8+(F1018-Calc!F20),100)/100)</f>
        <v>479962810624658.12</v>
      </c>
      <c r="O1013">
        <f>IF(C1013,H1013*N1013*IF(AND(Inputs!$B$4&lt;&gt;"pvp",Inputs!$B$35&gt;0),((Skills!G15*((S1013-1)*IF(Skills!H15&gt;0,Skills!I15/Skills!H15,1)+IF(Skills!H15&gt;0,MIN(Skills!I15,MAX(0,Inputs!$B$35-((S1013-1)*IF(Inputs!$B$4="pvp",15,MAX(0.1,Skills!E15-IF(Skills!F15=TRUE,Inputs!$B$31,0))))))/Skills!H15,1)))/Inputs!$B$35),G1013*V1013)*IF(Inputs!$B$4="pvp",1,(1-Summary!$B$56)*(1)+Summary!$B$56*(MIN(Skills!R15,Inputs!$B$37))),0)</f>
        <v>368611438559737.5</v>
      </c>
      <c r="P1013">
        <f>IF(B1037=0,0,O1013/B1037)</f>
        <v>4.2627326093431402E-2</v>
      </c>
      <c r="S1013">
        <f>IF(AND(Inputs!$B$4&lt;&gt;"pvp",Inputs!$B$35&gt;0),(INT(Inputs!$B$35/IF(Inputs!$B$4="pvp",15,MAX(0.1,Skills!E15-IF(Skills!F15=TRUE,Inputs!$B$31,0))))+1),0)</f>
        <v>0</v>
      </c>
      <c r="V1013">
        <f>IFERROR(1/IF(Inputs!$B$4="pvp",15,MAX(0.1,Skills!E15-IF(Skills!F15=TRUE,Inputs!$B$31,0))),0)</f>
        <v>0.04</v>
      </c>
    </row>
    <row r="1014" spans="1:22" x14ac:dyDescent="0.2">
      <c r="A1014" t="str">
        <f>Skills!A16</f>
        <v>FLAME_HAZE_DOT</v>
      </c>
      <c r="B1014" t="str">
        <f>Skills!B16</f>
        <v>Flame Haze (burn DoT)</v>
      </c>
      <c r="C1014" t="b">
        <f>Inputs!$B$3&gt;=107</f>
        <v>1</v>
      </c>
      <c r="D1014">
        <f>IF(Skills!C16=1,60+Inputs!$B$24+Inputs!$B$28,IF(Skills!C16=2,90+Inputs!$B$25+Inputs!$B$28,IF(Skills!C16=3,120+Inputs!$B$26+Inputs!$B$28,MAX(0,(Inputs!$B$3-100)*3)+Inputs!$B$27+Inputs!$B$28)))</f>
        <v>172</v>
      </c>
      <c r="E1014">
        <f>INDEX(FactorTable!$B$2:$Y$301, MATCH(ROUND(MIN(300,MAX(1,D1014)),0), FactorTable!$A$2:$A$301,0), Skills!M16+1)</f>
        <v>1860</v>
      </c>
      <c r="F1014">
        <f>IF(Skills!N16=TRUE,(Skills!L16/10)*(E1014/1000),Skills!L16/10)+Skills!O16</f>
        <v>279</v>
      </c>
      <c r="G1014">
        <f>Calc!G16</f>
        <v>28</v>
      </c>
      <c r="H1014">
        <f>Calc!H16</f>
        <v>1</v>
      </c>
      <c r="I1014">
        <f>IF(Skills!X16&lt;&gt;"",1+(Skills!X16/10)*(R1001/1000)/100,1)</f>
        <v>1</v>
      </c>
      <c r="J1014">
        <f>((Inputs!$B$5*(1+Inputs!$B$6/100))+((Inputs!$B$11*(1+Inputs!$B$12/100))-(Inputs!$B$11*(1+Inputs!$B$12/100)))*(1+Inputs!$B$6/100))*(F1014/100)</f>
        <v>697028551.73712003</v>
      </c>
      <c r="K1014">
        <f>J1014*(1+((Inputs!$B$11*(1+Inputs!$B$12/100))*0.01+Inputs!$B$13*0.0025)/100)*(1+Inputs!$B$14/100)*(1+IF(Inputs!$B$4="pvp",0,(1-Summary!$B$56)*(Inputs!$B$19+Skills!P16)+Summary!$B$56*(Inputs!$B$20+Skills!Q16))/100)*(1+Inputs!$B$15/100)*(5000/(6000+Inputs!$B$7*(1-Inputs!$B$18/100)))*(1+Inputs!$B$23/100)*(1+F1021/100)*(1+IF(Inputs!$B$3&gt;=120,F1024,0)/100)^5*(1+(IF(Skills!A16="BASIC_ATTACK",Inputs!$B$16,Inputs!$B$17+IF(Inputs!$B$3&gt;=125,F1025*5,0)))/100)*(B1028*B1029*B1030*I1014)</f>
        <v>5302938716664.7256</v>
      </c>
      <c r="L1014">
        <f>K1014*(MIN(Inputs!$B$21+(F1020-Calc!F22),Inputs!$B$22)/100+Inputs!$B$22/100)/2</f>
        <v>14315283065636.424</v>
      </c>
      <c r="M1014">
        <f>L1014*(1+(Inputs!$B$9+(F1019-Calc!F21))/100)</f>
        <v>59995351328082.266</v>
      </c>
      <c r="N1014">
        <f>L1014*(1-MIN(Inputs!$B$8+(F1018-Calc!F20),100)/100)+M1014*(MIN(Inputs!$B$8+(F1018-Calc!F20),100)/100)</f>
        <v>59995351328082.266</v>
      </c>
      <c r="O1014">
        <f>IF(C1014,H1014*N1014*IF(AND(Inputs!$B$4&lt;&gt;"pvp",Inputs!$B$35&gt;0),((Skills!G16*((S1014-1)*IF(Skills!H16&gt;0,Skills!I16/Skills!H16,1)+IF(Skills!H16&gt;0,MIN(Skills!I16,MAX(0,Inputs!$B$35-((S1014-1)*IF(Inputs!$B$4="pvp",15,MAX(0.1,Skills!E16-IF(Skills!F16=TRUE,Inputs!$B$31,0))))))/Skills!H16,1)))/Inputs!$B$35),G1014*V1014)*(1+IF(Inputs!$B$3&gt;=126,0.05*(B1034+V1011+(H1012*B1035)/(1+Skills!H14*H1012*B1035)+V1022),0)*Skills!E15)*IF(Inputs!$B$4="pvp",1,(1-Summary!$B$56)*(1)+Summary!$B$56*(MIN(Skills!R16,Inputs!$B$37))),0)</f>
        <v>430046678319693.75</v>
      </c>
      <c r="P1014">
        <f>IF(B1037=0,0,O1014/B1037)</f>
        <v>4.9731880442336639E-2</v>
      </c>
      <c r="S1014">
        <f>IF(AND(Inputs!$B$4&lt;&gt;"pvp",Inputs!$B$35&gt;0),(INT(Inputs!$B$35/IF(Inputs!$B$4="pvp",15,MAX(0.1,Skills!E16-IF(Skills!F16=TRUE,Inputs!$B$31,0))))+1),0)</f>
        <v>0</v>
      </c>
      <c r="V1014">
        <f>IFERROR(1/IF(Inputs!$B$4="pvp",15,MAX(0.1,Skills!E16-IF(Skills!F16=TRUE,Inputs!$B$31,0))),0)</f>
        <v>0.04</v>
      </c>
    </row>
    <row r="1015" spans="1:22" x14ac:dyDescent="0.2">
      <c r="A1015" t="str">
        <f>Skills!A17</f>
        <v>MAGIC_GUARD</v>
      </c>
      <c r="B1015" t="str">
        <f>Skills!B17</f>
        <v>Magic Guard</v>
      </c>
      <c r="C1015" t="b">
        <f>TRUE</f>
        <v>1</v>
      </c>
      <c r="D1015">
        <f>IF(Skills!C17=1,60+Inputs!$B$24+Inputs!$B$28,IF(Skills!C17=2,90+Inputs!$B$25+Inputs!$B$28,IF(Skills!C17=3,120+Inputs!$B$26+Inputs!$B$28,MAX(0,(Inputs!$B$3-100)*3)+Inputs!$B$27+Inputs!$B$28)))</f>
        <v>115</v>
      </c>
      <c r="E1015">
        <f>INDEX(FactorTable!$B$2:$Y$301, MATCH(ROUND(MIN(300,MAX(1,D1015)),0), FactorTable!$A$2:$A$301,0), Skills!M17+1)</f>
        <v>1460</v>
      </c>
      <c r="F1015">
        <f>IF(Skills!N17=TRUE,(Skills!L17/10)*(E1015/1000),Skills!L17/10)+Skills!O17</f>
        <v>17.52</v>
      </c>
      <c r="G1015">
        <f>Calc!G17</f>
        <v>1</v>
      </c>
      <c r="H1015">
        <f>Calc!H17</f>
        <v>1</v>
      </c>
      <c r="I1015">
        <f>IF(Skills!X17&lt;&gt;"",1+(Skills!X17/10)*(R1001/1000)/100,1)</f>
        <v>1</v>
      </c>
      <c r="O1015">
        <v>0</v>
      </c>
      <c r="P1015">
        <f>IF(B1037=0,0,O1015/B1037)</f>
        <v>0</v>
      </c>
      <c r="S1015">
        <f>IF(AND(Inputs!$B$4&lt;&gt;"pvp",Inputs!$B$35&gt;0),(INT(Inputs!$B$35/IF(Inputs!$B$4="pvp",15,MAX(0.1,Skills!E17-IF(Skills!F17=TRUE,Inputs!$B$31,0))))+1),0)</f>
        <v>0</v>
      </c>
      <c r="V1015">
        <f>IFERROR(1/IF(Inputs!$B$4="pvp",15,MAX(0.1,Skills!E17-IF(Skills!F17=TRUE,Inputs!$B$31,0))),0)</f>
        <v>4.7619047619047616E-2</v>
      </c>
    </row>
    <row r="1016" spans="1:22" x14ac:dyDescent="0.2">
      <c r="A1016" t="str">
        <f>Skills!A18</f>
        <v>NIMBLE_FEET</v>
      </c>
      <c r="B1016" t="str">
        <f>Skills!B18</f>
        <v>Nimble Feet</v>
      </c>
      <c r="C1016" t="b">
        <f>TRUE</f>
        <v>1</v>
      </c>
      <c r="D1016">
        <f>IF(Skills!C18=1,60+Inputs!$B$24+Inputs!$B$28,IF(Skills!C18=2,90+Inputs!$B$25+Inputs!$B$28,IF(Skills!C18=3,120+Inputs!$B$26+Inputs!$B$28,MAX(0,(Inputs!$B$3-100)*3)+Inputs!$B$27+Inputs!$B$28)))</f>
        <v>115</v>
      </c>
      <c r="E1016">
        <f>INDEX(FactorTable!$B$2:$Y$301, MATCH(ROUND(MIN(300,MAX(1,D1016)),0), FactorTable!$A$2:$A$301,0), Skills!M18+1)</f>
        <v>0</v>
      </c>
      <c r="F1016">
        <f>IF(Skills!N18=TRUE,(Skills!L18/10)*(E1016/1000),Skills!L18/10)+Skills!O18</f>
        <v>15</v>
      </c>
      <c r="G1016">
        <f>Calc!G18</f>
        <v>1</v>
      </c>
      <c r="H1016">
        <f>Calc!H18</f>
        <v>1</v>
      </c>
      <c r="I1016">
        <f>IF(Skills!X18&lt;&gt;"",1+(Skills!X18/10)*(R1001/1000)/100,1)</f>
        <v>1</v>
      </c>
      <c r="O1016">
        <v>0</v>
      </c>
      <c r="P1016">
        <f>IF(B1037=0,0,O1016/B1037)</f>
        <v>0</v>
      </c>
      <c r="S1016">
        <f>IF(AND(Inputs!$B$4&lt;&gt;"pvp",Inputs!$B$35&gt;0),(INT(Inputs!$B$35/IF(Inputs!$B$4="pvp",15,MAX(0.1,Skills!E18-IF(Skills!F18=TRUE,Inputs!$B$31,0))))+1),0)</f>
        <v>0</v>
      </c>
      <c r="V1016">
        <f>IFERROR(1/IF(Inputs!$B$4="pvp",15,MAX(0.1,Skills!E18-IF(Skills!F18=TRUE,Inputs!$B$31,0))),0)</f>
        <v>1.6666666666666666E-2</v>
      </c>
    </row>
    <row r="1017" spans="1:22" x14ac:dyDescent="0.2">
      <c r="A1017" t="str">
        <f>Skills!A19</f>
        <v>INFINITY</v>
      </c>
      <c r="B1017" t="str">
        <f>Skills!B19</f>
        <v>Infinity</v>
      </c>
      <c r="C1017" t="b">
        <f>Inputs!$B$3&gt;=110</f>
        <v>1</v>
      </c>
      <c r="D1017">
        <f>IF(Skills!C19=1,60+Inputs!$B$24+Inputs!$B$28,IF(Skills!C19=2,90+Inputs!$B$25+Inputs!$B$28,IF(Skills!C19=3,120+Inputs!$B$26+Inputs!$B$28,MAX(0,(Inputs!$B$3-100)*3)+Inputs!$B$27+Inputs!$B$28)))</f>
        <v>172</v>
      </c>
      <c r="E1017">
        <f>INDEX(FactorTable!$B$2:$Y$301, MATCH(ROUND(MIN(300,MAX(1,D1017)),0), FactorTable!$A$2:$A$301,0), Skills!M19+1)</f>
        <v>1688</v>
      </c>
      <c r="F1017">
        <f>IF(Skills!N19=TRUE,(Skills!L19/10)*(E1017/1000),Skills!L19/10)+Skills!O19</f>
        <v>36.573895999999998</v>
      </c>
      <c r="G1017">
        <f>Calc!G19</f>
        <v>1</v>
      </c>
      <c r="H1017">
        <f>Calc!H19</f>
        <v>1</v>
      </c>
      <c r="I1017">
        <f>IF(Skills!X19&lt;&gt;"",1+(Skills!X19/10)*(R1001/1000)/100,1)</f>
        <v>1</v>
      </c>
      <c r="O1017">
        <v>0</v>
      </c>
      <c r="P1017">
        <f>IF(B1037=0,0,O1017/B1037)</f>
        <v>0</v>
      </c>
      <c r="S1017">
        <f>IF(AND(Inputs!$B$4&lt;&gt;"pvp",Inputs!$B$35&gt;0),(INT(Inputs!$B$35/IF(Inputs!$B$4="pvp",15,MAX(0.1,Skills!E19-IF(Skills!F19=TRUE,Inputs!$B$31,0))))+1),0)</f>
        <v>0</v>
      </c>
      <c r="V1017">
        <f>IFERROR(1/IF(Inputs!$B$4="pvp",15,MAX(0.1,Skills!E19-IF(Skills!F19=TRUE,Inputs!$B$31,0))),0)</f>
        <v>3.3333333333333333E-2</v>
      </c>
    </row>
    <row r="1018" spans="1:22" x14ac:dyDescent="0.2">
      <c r="A1018" t="str">
        <f>Skills!A20</f>
        <v>MAGIC_CRITICAL_RATE</v>
      </c>
      <c r="B1018" t="str">
        <f>Skills!B20</f>
        <v>Magic Critical (Crit Rate)</v>
      </c>
      <c r="C1018" t="b">
        <f>TRUE</f>
        <v>1</v>
      </c>
      <c r="D1018">
        <f>IF(Skills!C20=1,60+Inputs!$B$24+Inputs!$B$28,IF(Skills!C20=2,90+Inputs!$B$25+Inputs!$B$28,IF(Skills!C20=3,120+Inputs!$B$26+Inputs!$B$28,MAX(0,(Inputs!$B$3-100)*3)+Inputs!$B$27+Inputs!$B$28)))</f>
        <v>184</v>
      </c>
      <c r="E1018">
        <f>INDEX(FactorTable!$B$2:$Y$301, MATCH(ROUND(MIN(300,MAX(1,D1018)),0), FactorTable!$A$2:$A$301,0), Skills!M20+1)</f>
        <v>1552</v>
      </c>
      <c r="F1018">
        <f>IF(Skills!N20=TRUE,(Skills!L20/10)*(E1018/1000),Skills!L20/10)+Skills!O20</f>
        <v>12.416</v>
      </c>
      <c r="G1018">
        <f>Calc!G20</f>
        <v>1</v>
      </c>
      <c r="H1018">
        <f>Calc!H20</f>
        <v>1</v>
      </c>
      <c r="I1018">
        <f>IF(Skills!X20&lt;&gt;"",1+(Skills!X20/10)*(R1001/1000)/100,1)</f>
        <v>1</v>
      </c>
      <c r="O1018">
        <v>0</v>
      </c>
      <c r="P1018">
        <f>IF(B1037=0,0,O1018/B1037)</f>
        <v>0</v>
      </c>
      <c r="S1018">
        <v>0</v>
      </c>
      <c r="V1018">
        <f>IFERROR(1/IF(Inputs!$B$4="pvp",15,MAX(0.1,Skills!E20-IF(Skills!F20=TRUE,Inputs!$B$31,0))),0)</f>
        <v>10</v>
      </c>
    </row>
    <row r="1019" spans="1:22" x14ac:dyDescent="0.2">
      <c r="A1019" t="str">
        <f>Skills!A21</f>
        <v>MAGIC_CRITICAL_DAMAGE</v>
      </c>
      <c r="B1019" t="str">
        <f>Skills!B21</f>
        <v>Magic Critical (Crit Damage)</v>
      </c>
      <c r="C1019" t="b">
        <f>TRUE</f>
        <v>1</v>
      </c>
      <c r="D1019">
        <f>IF(Skills!C21=1,60+Inputs!$B$24+Inputs!$B$28,IF(Skills!C21=2,90+Inputs!$B$25+Inputs!$B$28,IF(Skills!C21=3,120+Inputs!$B$26+Inputs!$B$28,MAX(0,(Inputs!$B$3-100)*3)+Inputs!$B$27+Inputs!$B$28)))</f>
        <v>184</v>
      </c>
      <c r="E1019">
        <f>INDEX(FactorTable!$B$2:$Y$301, MATCH(ROUND(MIN(300,MAX(1,D1019)),0), FactorTable!$A$2:$A$301,0), Skills!M21+1)</f>
        <v>1552</v>
      </c>
      <c r="F1019">
        <f>IF(Skills!N21=TRUE,(Skills!L21/10)*(E1019/1000),Skills!L21/10)+Skills!O21</f>
        <v>18.624000000000002</v>
      </c>
      <c r="G1019">
        <f>Calc!G21</f>
        <v>1</v>
      </c>
      <c r="H1019">
        <f>Calc!H21</f>
        <v>1</v>
      </c>
      <c r="I1019">
        <f>IF(Skills!X21&lt;&gt;"",1+(Skills!X21/10)*(R1001/1000)/100,1)</f>
        <v>1</v>
      </c>
      <c r="O1019">
        <v>0</v>
      </c>
      <c r="P1019">
        <f>IF(B1037=0,0,O1019/B1037)</f>
        <v>0</v>
      </c>
      <c r="S1019">
        <v>0</v>
      </c>
      <c r="V1019">
        <f>IFERROR(1/IF(Inputs!$B$4="pvp",15,MAX(0.1,Skills!E21-IF(Skills!F21=TRUE,Inputs!$B$31,0))),0)</f>
        <v>10</v>
      </c>
    </row>
    <row r="1020" spans="1:22" x14ac:dyDescent="0.2">
      <c r="A1020" t="str">
        <f>Skills!A22</f>
        <v>SPELL_MASTERY</v>
      </c>
      <c r="B1020" t="str">
        <f>Skills!B22</f>
        <v>Spell Mastery</v>
      </c>
      <c r="C1020" t="b">
        <f>TRUE</f>
        <v>1</v>
      </c>
      <c r="D1020">
        <f>IF(Skills!C22=1,60+Inputs!$B$24+Inputs!$B$28,IF(Skills!C22=2,90+Inputs!$B$25+Inputs!$B$28,IF(Skills!C22=3,120+Inputs!$B$26+Inputs!$B$28,MAX(0,(Inputs!$B$3-100)*3)+Inputs!$B$27+Inputs!$B$28)))</f>
        <v>164</v>
      </c>
      <c r="E1020">
        <f>INDEX(FactorTable!$B$2:$Y$301, MATCH(ROUND(MIN(300,MAX(1,D1020)),0), FactorTable!$A$2:$A$301,0), Skills!M22+1)</f>
        <v>1492</v>
      </c>
      <c r="F1020">
        <f>IF(Skills!N22=TRUE,(Skills!L22/10)*(E1020/1000),Skills!L22/10)+Skills!O22</f>
        <v>22.38</v>
      </c>
      <c r="G1020">
        <f>Calc!G22</f>
        <v>1</v>
      </c>
      <c r="H1020">
        <f>Calc!H22</f>
        <v>1</v>
      </c>
      <c r="I1020">
        <f>IF(Skills!X22&lt;&gt;"",1+(Skills!X22/10)*(R1001/1000)/100,1)</f>
        <v>1</v>
      </c>
      <c r="O1020">
        <v>0</v>
      </c>
      <c r="P1020">
        <f>IF(B1037=0,0,O1020/B1037)</f>
        <v>0</v>
      </c>
      <c r="S1020">
        <v>0</v>
      </c>
      <c r="V1020">
        <f>IFERROR(1/IF(Inputs!$B$4="pvp",15,MAX(0.1,Skills!E22-IF(Skills!F22=TRUE,Inputs!$B$31,0))),0)</f>
        <v>10</v>
      </c>
    </row>
    <row r="1021" spans="1:22" x14ac:dyDescent="0.2">
      <c r="A1021" t="str">
        <f>Skills!A23</f>
        <v>ELEMENT_AMPLIFICATION</v>
      </c>
      <c r="B1021" t="str">
        <f>Skills!B23</f>
        <v>Element Amplification</v>
      </c>
      <c r="C1021" t="b">
        <f>TRUE</f>
        <v>1</v>
      </c>
      <c r="D1021">
        <f>IF(Skills!C23=1,60+Inputs!$B$24+Inputs!$B$28,IF(Skills!C23=2,90+Inputs!$B$25+Inputs!$B$28,IF(Skills!C23=3,120+Inputs!$B$26+Inputs!$B$28,MAX(0,(Inputs!$B$3-100)*3)+Inputs!$B$27+Inputs!$B$28)))</f>
        <v>172</v>
      </c>
      <c r="E1021">
        <f>INDEX(FactorTable!$B$2:$Y$301, MATCH(ROUND(MIN(300,MAX(1,D1021)),0), FactorTable!$A$2:$A$301,0), Skills!M23+1)</f>
        <v>1516</v>
      </c>
      <c r="F1021">
        <f>IF(Skills!N23=TRUE,(Skills!L23/10)*(E1021/1000),Skills!L23/10)+Skills!O23</f>
        <v>22.740000000000002</v>
      </c>
      <c r="G1021">
        <f>Calc!G23</f>
        <v>1</v>
      </c>
      <c r="H1021">
        <f>Calc!H23</f>
        <v>1</v>
      </c>
      <c r="I1021">
        <f>IF(Skills!X23&lt;&gt;"",1+(Skills!X23/10)*(R1001/1000)/100,1)</f>
        <v>1</v>
      </c>
      <c r="O1021">
        <v>0</v>
      </c>
      <c r="P1021">
        <f>IF(B1037=0,0,O1021/B1037)</f>
        <v>0</v>
      </c>
      <c r="S1021">
        <v>0</v>
      </c>
      <c r="V1021">
        <f>IFERROR(1/IF(Inputs!$B$4="pvp",15,MAX(0.1,Skills!E23-IF(Skills!F23=TRUE,Inputs!$B$31,0))),0)</f>
        <v>10</v>
      </c>
    </row>
    <row r="1022" spans="1:22" x14ac:dyDescent="0.2">
      <c r="A1022" t="str">
        <f>Skills!A24</f>
        <v>IFRIT</v>
      </c>
      <c r="B1022" t="str">
        <f>Skills!B24</f>
        <v>Ifrit</v>
      </c>
      <c r="C1022" t="b">
        <f>Inputs!$B$3&gt;=115</f>
        <v>0</v>
      </c>
      <c r="D1022">
        <f>IF(Skills!C24=1,60+Inputs!$B$24+Inputs!$B$28,IF(Skills!C24=2,90+Inputs!$B$25+Inputs!$B$28,IF(Skills!C24=3,120+Inputs!$B$26+Inputs!$B$28,MAX(0,(Inputs!$B$3-100)*3)+Inputs!$B$27+Inputs!$B$28)))</f>
        <v>172</v>
      </c>
      <c r="E1022">
        <f>INDEX(FactorTable!$B$2:$Y$301, MATCH(ROUND(MIN(300,MAX(1,D1022)),0), FactorTable!$A$2:$A$301,0), Skills!M24+1)</f>
        <v>1860</v>
      </c>
      <c r="F1022">
        <f>IF(Skills!N24=TRUE,(Skills!L24/10)*(E1022/1000),Skills!L24/10)+Skills!O24</f>
        <v>6510</v>
      </c>
      <c r="G1022">
        <f>Calc!G24</f>
        <v>7.5</v>
      </c>
      <c r="H1022">
        <f>Calc!H24</f>
        <v>1</v>
      </c>
      <c r="I1022">
        <f>IF(Skills!X24&lt;&gt;"",1+(Skills!X24/10)*(R1001/1000)/100,1)</f>
        <v>1</v>
      </c>
      <c r="J1022">
        <f>((Inputs!$B$5*(1+Inputs!$B$6/100))+((Inputs!$B$11*(1+Inputs!$B$12/100))-(Inputs!$B$11*(1+Inputs!$B$12/100)))*(1+Inputs!$B$6/100))*(F1022/100)</f>
        <v>16263999540.532799</v>
      </c>
      <c r="K1022">
        <f>J1022*(1+((Inputs!$B$11*(1+Inputs!$B$12/100))*0.01+Inputs!$B$13*0.0025)/100)*(1+Inputs!$B$14/100)*(1+IF(Inputs!$B$4="pvp",0,(1-Summary!$B$56)*(Inputs!$B$19+Skills!P24)+Summary!$B$56*(Inputs!$B$20+Skills!Q24))/100)*(1+Inputs!$B$15/100)*(5000/(6000+Inputs!$B$7*(1-Inputs!$B$18/100)))*(1+Inputs!$B$23/100)*(1+F1021/100)*(1+IF(Inputs!$B$3&gt;=120,F1024,0)/100)^5*(1+(IF(Skills!A24="BASIC_ATTACK",Inputs!$B$16,Inputs!$B$17+IF(Inputs!$B$3&gt;=125,F1025*5,0)))/100)*(B1028*B1029*B1030*I1022)</f>
        <v>123735236722176.92</v>
      </c>
      <c r="L1022">
        <f>K1022*(MIN(Inputs!$B$21+(F1020-Calc!F22),Inputs!$B$22)/100+Inputs!$B$22/100)/2</f>
        <v>334023271531516.56</v>
      </c>
      <c r="M1022">
        <f>L1022*(1+(Inputs!$B$9+(F1019-Calc!F21))/100)</f>
        <v>1399891530988586.2</v>
      </c>
      <c r="N1022">
        <f>L1022*(1-MIN(Inputs!$B$8+(F1018-Calc!F20),100)/100)+M1022*(MIN(Inputs!$B$8+(F1018-Calc!F20),100)/100)</f>
        <v>1399891530988586.2</v>
      </c>
      <c r="O1022">
        <f>IF(C1022,H1022*N1022*IF(AND(Inputs!$B$4&lt;&gt;"pvp",Inputs!$B$35&gt;0),((Skills!G24*((S1022-1)*IF(Skills!H24&gt;0,Skills!I24/Skills!H24,1)+IF(Skills!H24&gt;0,MIN(Skills!I24,MAX(0,Inputs!$B$35-((S1022-1)*IF(Inputs!$B$4="pvp",15,MAX(0.1,Skills!E24-IF(Skills!F24=TRUE,Inputs!$B$31,0))))))/Skills!H24,1)))/Inputs!$B$35),G1022*V1022)*(1+IF(Inputs!$B$3&gt;=130,0.2*(Skills!I16/Skills!E15+IF(Inputs!$B$3&gt;=126,0.05*(B1034+V1011+(H1012*B1035)/(1+Skills!H14*H1012*B1035)+V1022),0)*Skills!I16),0))*IF(Inputs!$B$4="pvp",1,(1-Summary!$B$56)*(1)+Summary!$B$56*(MIN(Skills!R24,Inputs!$B$37))),0)</f>
        <v>0</v>
      </c>
      <c r="P1022">
        <f>IF(B1037=0,0,O1022/B1037)</f>
        <v>0</v>
      </c>
      <c r="S1022">
        <f>IF(AND(Inputs!$B$4&lt;&gt;"pvp",Inputs!$B$35&gt;0),(INT(Inputs!$B$35/IF(Inputs!$B$4="pvp",15,MAX(0.1,Skills!E24-IF(Skills!F24=TRUE,Inputs!$B$31,0))))+1),0)</f>
        <v>0</v>
      </c>
      <c r="V1022">
        <f>IFERROR(1/IF(Inputs!$B$4="pvp",15,MAX(0.1,Skills!E24-IF(Skills!F24=TRUE,Inputs!$B$31,0))),0)</f>
        <v>1.2500000000000001E-2</v>
      </c>
    </row>
    <row r="1023" spans="1:22" x14ac:dyDescent="0.2">
      <c r="A1023" t="str">
        <f>Skills!A25</f>
        <v>BUFF_MASTERY</v>
      </c>
      <c r="B1023" t="str">
        <f>Skills!B25</f>
        <v>Buff Mastery</v>
      </c>
      <c r="C1023" t="b">
        <f>Inputs!$B$3&gt;=117</f>
        <v>0</v>
      </c>
      <c r="D1023">
        <f>IF(Skills!C25=1,60+Inputs!$B$24+Inputs!$B$28,IF(Skills!C25=2,90+Inputs!$B$25+Inputs!$B$28,IF(Skills!C25=3,120+Inputs!$B$26+Inputs!$B$28,MAX(0,(Inputs!$B$3-100)*3)+Inputs!$B$27+Inputs!$B$28)))</f>
        <v>172</v>
      </c>
      <c r="E1023">
        <f>INDEX(FactorTable!$B$2:$Y$301, MATCH(ROUND(MIN(300,MAX(1,D1023)),0), FactorTable!$A$2:$A$301,0), Skills!M25+1)</f>
        <v>1516</v>
      </c>
      <c r="F1023">
        <f>IF(Skills!N25=TRUE,(Skills!L25/10)*(E1023/1000),Skills!L25/10)+Skills!O25</f>
        <v>15.16</v>
      </c>
      <c r="G1023">
        <f>Calc!G25</f>
        <v>1</v>
      </c>
      <c r="H1023">
        <f>Calc!H25</f>
        <v>1</v>
      </c>
      <c r="I1023">
        <f>IF(Skills!X25&lt;&gt;"",1+(Skills!X25/10)*(R1001/1000)/100,1)</f>
        <v>1</v>
      </c>
      <c r="O1023">
        <v>0</v>
      </c>
      <c r="P1023">
        <f>IF(B1037=0,0,O1023/B1037)</f>
        <v>0</v>
      </c>
      <c r="S1023">
        <v>0</v>
      </c>
      <c r="V1023">
        <f>IFERROR(1/IF(Inputs!$B$4="pvp",15,MAX(0.1,Skills!E25-IF(Skills!F25=TRUE,Inputs!$B$31,0))),0)</f>
        <v>10</v>
      </c>
    </row>
    <row r="1024" spans="1:22" x14ac:dyDescent="0.2">
      <c r="A1024" t="str">
        <f>Skills!A26</f>
        <v>ARCANE_AIM</v>
      </c>
      <c r="B1024" t="str">
        <f>Skills!B26</f>
        <v>Arcane Aim</v>
      </c>
      <c r="C1024" t="b">
        <f>Inputs!$B$3&gt;=120</f>
        <v>0</v>
      </c>
      <c r="D1024">
        <f>IF(Skills!C26=1,60+Inputs!$B$24+Inputs!$B$28,IF(Skills!C26=2,90+Inputs!$B$25+Inputs!$B$28,IF(Skills!C26=3,120+Inputs!$B$26+Inputs!$B$28,MAX(0,(Inputs!$B$3-100)*3)+Inputs!$B$27+Inputs!$B$28)))</f>
        <v>172</v>
      </c>
      <c r="E1024">
        <f>INDEX(FactorTable!$B$2:$Y$301, MATCH(ROUND(MIN(300,MAX(1,D1024)),0), FactorTable!$A$2:$A$301,0), Skills!M26+1)</f>
        <v>1516</v>
      </c>
      <c r="F1024">
        <f>IF(Skills!N26=TRUE,(Skills!L26/10)*(E1024/1000),Skills!L26/10)+Skills!O26</f>
        <v>4.548</v>
      </c>
      <c r="G1024">
        <f>Calc!G26</f>
        <v>1</v>
      </c>
      <c r="H1024">
        <f>Calc!H26</f>
        <v>1</v>
      </c>
      <c r="I1024">
        <f>IF(Skills!X26&lt;&gt;"",1+(Skills!X26/10)*(R1001/1000)/100,1)</f>
        <v>1</v>
      </c>
      <c r="O1024">
        <v>0</v>
      </c>
      <c r="P1024">
        <f>IF(B1037=0,0,O1024/B1037)</f>
        <v>0</v>
      </c>
      <c r="S1024">
        <v>0</v>
      </c>
      <c r="V1024">
        <f>IFERROR(1/IF(Inputs!$B$4="pvp",15,MAX(0.1,Skills!E26-IF(Skills!F26=TRUE,Inputs!$B$31,0))),0)</f>
        <v>10</v>
      </c>
    </row>
    <row r="1025" spans="1:22" x14ac:dyDescent="0.2">
      <c r="A1025" t="str">
        <f>Skills!A27</f>
        <v>FERVENT_DRAIN</v>
      </c>
      <c r="B1025" t="str">
        <f>Skills!B27</f>
        <v>Fervent Drain</v>
      </c>
      <c r="C1025" t="b">
        <f>Inputs!$B$3&gt;=125</f>
        <v>0</v>
      </c>
      <c r="D1025">
        <f>IF(Skills!C27=1,60+Inputs!$B$24+Inputs!$B$28,IF(Skills!C27=2,90+Inputs!$B$25+Inputs!$B$28,IF(Skills!C27=3,120+Inputs!$B$26+Inputs!$B$28,MAX(0,(Inputs!$B$3-100)*3)+Inputs!$B$27+Inputs!$B$28)))</f>
        <v>172</v>
      </c>
      <c r="E1025">
        <f>INDEX(FactorTable!$B$2:$Y$301, MATCH(ROUND(MIN(300,MAX(1,D1025)),0), FactorTable!$A$2:$A$301,0), Skills!M27+1)</f>
        <v>1516</v>
      </c>
      <c r="F1025">
        <f>IF(Skills!N27=TRUE,(Skills!L27/10)*(E1025/1000),Skills!L27/10)+Skills!O27</f>
        <v>6.0640000000000001</v>
      </c>
      <c r="G1025">
        <f>Calc!G27</f>
        <v>1</v>
      </c>
      <c r="H1025">
        <f>Calc!H27</f>
        <v>1</v>
      </c>
      <c r="I1025">
        <f>IF(Skills!X27&lt;&gt;"",1+(Skills!X27/10)*(R1001/1000)/100,1)</f>
        <v>1</v>
      </c>
      <c r="O1025">
        <v>0</v>
      </c>
      <c r="P1025">
        <f>IF(B1037=0,0,O1025/B1037)</f>
        <v>0</v>
      </c>
      <c r="S1025">
        <v>0</v>
      </c>
      <c r="V1025">
        <f>IFERROR(1/IF(Inputs!$B$4="pvp",15,MAX(0.1,Skills!E27-IF(Skills!F27=TRUE,Inputs!$B$31,0))),0)</f>
        <v>10</v>
      </c>
    </row>
    <row r="1026" spans="1:22" x14ac:dyDescent="0.2">
      <c r="A1026" t="str">
        <f>Skills!A28</f>
        <v>FLAME_HAZE_FOG</v>
      </c>
      <c r="B1026" t="str">
        <f>Skills!B28</f>
        <v>Flame Haze (poison fog DoT)</v>
      </c>
      <c r="C1026" t="b">
        <f>Inputs!$B$3&gt;=118</f>
        <v>0</v>
      </c>
      <c r="D1026">
        <f>IF(Skills!C28=1,60+Inputs!$B$24+Inputs!$B$28,IF(Skills!C28=2,90+Inputs!$B$25+Inputs!$B$28,IF(Skills!C28=3,120+Inputs!$B$26+Inputs!$B$28,MAX(0,(Inputs!$B$3-100)*3)+Inputs!$B$27+Inputs!$B$28)))</f>
        <v>172</v>
      </c>
      <c r="E1026">
        <f>INDEX(FactorTable!$B$2:$Y$301, MATCH(ROUND(MIN(300,MAX(1,D1026)),0), FactorTable!$A$2:$A$301,0), Skills!M28+1)</f>
        <v>1860</v>
      </c>
      <c r="F1026">
        <f>IF(Skills!N28=TRUE,(Skills!L28/10)*(E1026/1000),Skills!L28/10)+Skills!O28</f>
        <v>130.20000000000002</v>
      </c>
      <c r="G1026">
        <f>Calc!G28</f>
        <v>50</v>
      </c>
      <c r="H1026">
        <f>Calc!H28</f>
        <v>1</v>
      </c>
      <c r="I1026">
        <f>IF(Skills!X28&lt;&gt;"",1+(Skills!X28/10)*(R1001/1000)/100,1)</f>
        <v>1</v>
      </c>
      <c r="J1026">
        <f>((Inputs!$B$5*(1+Inputs!$B$6/100))+((Inputs!$B$11*(1+Inputs!$B$12/100))-(Inputs!$B$11*(1+Inputs!$B$12/100)))*(1+Inputs!$B$6/100))*(F1026/100)</f>
        <v>325279990.81065607</v>
      </c>
      <c r="K1026">
        <f>J1026*(1+((Inputs!$B$11*(1+Inputs!$B$12/100))*0.01+Inputs!$B$13*0.0025)/100)*(1+Inputs!$B$14/100)*(1+IF(Inputs!$B$4="pvp",0,(1-Summary!$B$56)*(Inputs!$B$19+Skills!P28)+Summary!$B$56*(Inputs!$B$20+Skills!Q28))/100)*(1+Inputs!$B$15/100)*(5000/(6000+Inputs!$B$7*(1-Inputs!$B$18/100)))*(1+Inputs!$B$23/100)*(1+F1021/100)*(1+IF(Inputs!$B$3&gt;=120,F1024,0)/100)^5*(1+(IF(Skills!A28="BASIC_ATTACK",Inputs!$B$16,Inputs!$B$17+IF(Inputs!$B$3&gt;=125,F1025*5,0)))/100)*(B1028*B1029*B1030*I1026)</f>
        <v>2474704734443.54</v>
      </c>
      <c r="L1026">
        <f>K1026*(MIN(Inputs!$B$21+(F1020-Calc!F22),Inputs!$B$22)/100+Inputs!$B$22/100)/2</f>
        <v>6680465430630.335</v>
      </c>
      <c r="M1026">
        <f>L1026*(1+(Inputs!$B$9+(F1019-Calc!F21))/100)</f>
        <v>27997830619771.738</v>
      </c>
      <c r="N1026">
        <f>L1026*(1-MIN(Inputs!$B$8+(F1018-Calc!F20),100)/100)+M1026*(MIN(Inputs!$B$8+(F1018-Calc!F20),100)/100)</f>
        <v>27997830619771.738</v>
      </c>
      <c r="O1026">
        <f>IF(C1026,H1026*N1026*IF(AND(Inputs!$B$4&lt;&gt;"pvp",Inputs!$B$35&gt;0),((Skills!G28*((S1026-1)*IF(Skills!H28&gt;0,Skills!I28/Skills!H28,1)+IF(Skills!H28&gt;0,MIN(Skills!I28,MAX(0,Inputs!$B$35-((S1026-1)*IF(Inputs!$B$4="pvp",15,MAX(0.1,Skills!E28-IF(Skills!F28=TRUE,Inputs!$B$31,0))))))/Skills!H28,1)))/Inputs!$B$35),G1026*V1026)*IF(Inputs!$B$4="pvp",1,(1-Summary!$B$56)*(1)+Summary!$B$56*(MIN(Skills!R28,Inputs!$B$37))),0)</f>
        <v>0</v>
      </c>
      <c r="P1026">
        <f>IF(B1037=0,0,O1026/B1037)</f>
        <v>0</v>
      </c>
      <c r="S1026">
        <f>IF(AND(Inputs!$B$4&lt;&gt;"pvp",Inputs!$B$35&gt;0),(INT(Inputs!$B$35/IF(Inputs!$B$4="pvp",15,MAX(0.1,Skills!E28-IF(Skills!F28=TRUE,Inputs!$B$31,0))))+1),0)</f>
        <v>0</v>
      </c>
      <c r="V1026">
        <f>IFERROR(1/IF(Inputs!$B$4="pvp",15,MAX(0.1,Skills!E28-IF(Skills!F28=TRUE,Inputs!$B$31,0))),0)</f>
        <v>0.04</v>
      </c>
    </row>
    <row r="1028" spans="1:22" x14ac:dyDescent="0.2">
      <c r="A1028" t="s">
        <v>222</v>
      </c>
      <c r="B1028">
        <f>1+(F1009*Skills!Z11)/100</f>
        <v>1.25</v>
      </c>
    </row>
    <row r="1029" spans="1:22" x14ac:dyDescent="0.2">
      <c r="A1029" t="s">
        <v>223</v>
      </c>
      <c r="B1029">
        <f>1+F1010/100</f>
        <v>1.18624</v>
      </c>
    </row>
    <row r="1030" spans="1:22" x14ac:dyDescent="0.2">
      <c r="A1030" t="s">
        <v>224</v>
      </c>
      <c r="B1030">
        <f>(1+(F1004*IF(AND(Inputs!$B$4&lt;&gt;"pvp",Inputs!$B$35&gt;0),(((S1004-1)*(Skills!T6*(1+(Inputs!$B$33+IF(Inputs!$B$3&gt;=117,F1023,0))/100))+MIN((Skills!T6*(1+(Inputs!$B$33+IF(Inputs!$B$3&gt;=117,F1023,0))/100)),MAX(0,Inputs!$B$35-((S1004-1)*Skills!E6))))/Inputs!$B$35),IF(Inputs!$B$4="pvp",MIN((Skills!T6*(1+(Inputs!$B$33+IF(Inputs!$B$3&gt;=117,F1023,0))/100)),15)/15,(Skills!T6*(1+(Inputs!$B$33+IF(Inputs!$B$3&gt;=117,F1023,0))/100))/Skills!E6))+F1015*IF(AND(Inputs!$B$4&lt;&gt;"pvp",Inputs!$B$35&gt;0),(((S1015-1)*(Skills!T17*(1+(Inputs!$B$33+IF(Inputs!$B$3&gt;=117,F1023,0))/100))+MIN((Skills!T17*(1+(Inputs!$B$33+IF(Inputs!$B$3&gt;=117,F1023,0))/100)),MAX(0,Inputs!$B$35-((S1015-1)*Skills!E17))))/Inputs!$B$35),IF(Inputs!$B$4="pvp",MIN((Skills!T17*(1+(Inputs!$B$33+IF(Inputs!$B$3&gt;=117,F1023,0))/100)),15)/15,(Skills!T17*(1+(Inputs!$B$33+IF(Inputs!$B$3&gt;=117,F1023,0))/100))/Skills!E17)))/100)*IF(C1017=TRUE,(1+F1017*IF(AND(Inputs!$B$4&lt;&gt;"pvp",Inputs!$B$35&gt;0),(((S1017-1)*(Skills!T19*(1+(Inputs!$B$33+IF(Inputs!$B$3&gt;=117,F1023,0))/100))+MIN((Skills!T19*(1+(Inputs!$B$33+IF(Inputs!$B$3&gt;=117,F1023,0))/100)),MAX(0,Inputs!$B$35-((S1017-1)*Skills!E19))))/Inputs!$B$35),IF(Inputs!$B$4="pvp",MIN((Skills!T19*(1+(Inputs!$B$33+IF(Inputs!$B$3&gt;=117,F1023,0))/100)),15)/15,(Skills!T19*(1+(Inputs!$B$33+IF(Inputs!$B$3&gt;=117,F1023,0))/100))/Skills!E19))/100),1)</f>
        <v>1.5603265106950857</v>
      </c>
    </row>
    <row r="1031" spans="1:22" x14ac:dyDescent="0.2">
      <c r="A1031" t="s">
        <v>225</v>
      </c>
      <c r="B1031">
        <f>F1016*IF(AND(Inputs!$B$4&lt;&gt;"pvp",Inputs!$B$35&gt;0),(((S1016-1)*(Skills!T18*(1+(Inputs!$B$33+IF(Inputs!$B$3&gt;=117,F1023,0))/100))+MIN((Skills!T18*(1+(Inputs!$B$33+IF(Inputs!$B$3&gt;=117,F1023,0))/100)),MAX(0,Inputs!$B$35-((S1016-1)*Skills!E18))))/Inputs!$B$35),IF(Inputs!$B$4="pvp",MIN((Skills!T18*(1+(Inputs!$B$33+IF(Inputs!$B$3&gt;=117,F1023,0))/100)),15)/15,(Skills!T18*(1+(Inputs!$B$33+IF(Inputs!$B$3&gt;=117,F1023,0))/100))/Skills!E18))</f>
        <v>3.75</v>
      </c>
    </row>
    <row r="1032" spans="1:22" x14ac:dyDescent="0.2">
      <c r="A1032" t="s">
        <v>253</v>
      </c>
      <c r="B1032">
        <f>1+MIN(150,150*(1-(1-Inputs!$B$10/150)*(1-B1031/150)))/100</f>
        <v>1.6371249999999999</v>
      </c>
    </row>
    <row r="1033" spans="1:22" x14ac:dyDescent="0.2">
      <c r="A1033" t="s">
        <v>254</v>
      </c>
      <c r="B1033">
        <f>IF(AND(Inputs!$B$4&lt;&gt;"pvp",Inputs!$B$35&gt;0),SUMPRODUCT((Skills!F2:F28=TRUE)*(C1000:C1026=TRUE)*S1000:S1026)/Inputs!$B$35,SUMPRODUCT((Skills!F2:F28=TRUE)*(C1000:C1026=TRUE)*V1000:V1026))</f>
        <v>0.33466433037861604</v>
      </c>
    </row>
    <row r="1034" spans="1:22" x14ac:dyDescent="0.2">
      <c r="A1034" t="s">
        <v>228</v>
      </c>
      <c r="B1034">
        <f>MAX(0,B1032-B1033)</f>
        <v>1.3024606696213838</v>
      </c>
    </row>
    <row r="1035" spans="1:22" x14ac:dyDescent="0.2">
      <c r="A1035" t="s">
        <v>255</v>
      </c>
      <c r="B1035">
        <f>IF(AND(Inputs!$B$4&lt;&gt;"pvp",Inputs!$B$35&gt;0),SUMPRODUCT((Skills!V2:V28=TRUE)*(C1000:C1026=TRUE)*S1000:S1026*Skills!W2:W28)/Inputs!$B$35,SUMPRODUCT((Skills!V2:V28=TRUE)*(C1000:C1026=TRUE)*V1000:V1026*Skills!W2:W28))+B1034</f>
        <v>1.5297416426166426</v>
      </c>
    </row>
    <row r="1037" spans="1:22" x14ac:dyDescent="0.2">
      <c r="A1037" s="5" t="s">
        <v>208</v>
      </c>
      <c r="B1037" s="5">
        <f>SUM(O1000:O1026)</f>
        <v>8647303791746350</v>
      </c>
    </row>
    <row r="1040" spans="1:22" x14ac:dyDescent="0.2">
      <c r="A1040" s="5" t="s">
        <v>279</v>
      </c>
    </row>
    <row r="1041" spans="1:22" x14ac:dyDescent="0.2">
      <c r="A1041" s="8" t="s">
        <v>74</v>
      </c>
      <c r="B1041" s="8" t="s">
        <v>75</v>
      </c>
      <c r="C1041" s="8" t="s">
        <v>190</v>
      </c>
      <c r="D1041" s="8" t="s">
        <v>191</v>
      </c>
      <c r="E1041" s="8" t="s">
        <v>192</v>
      </c>
      <c r="F1041" s="8" t="s">
        <v>193</v>
      </c>
      <c r="G1041" s="8" t="s">
        <v>194</v>
      </c>
      <c r="H1041" s="8" t="s">
        <v>195</v>
      </c>
      <c r="I1041" s="8" t="s">
        <v>196</v>
      </c>
      <c r="J1041" s="8" t="s">
        <v>197</v>
      </c>
      <c r="K1041" s="8" t="s">
        <v>198</v>
      </c>
      <c r="L1041" s="8" t="s">
        <v>199</v>
      </c>
      <c r="M1041" s="8" t="s">
        <v>200</v>
      </c>
      <c r="N1041" s="8" t="s">
        <v>201</v>
      </c>
      <c r="O1041" s="8" t="s">
        <v>202</v>
      </c>
      <c r="P1041" s="8" t="s">
        <v>203</v>
      </c>
      <c r="R1041" t="s">
        <v>252</v>
      </c>
    </row>
    <row r="1042" spans="1:22" x14ac:dyDescent="0.2">
      <c r="A1042" t="str">
        <f>Skills!A2</f>
        <v>BASIC_ATTACK</v>
      </c>
      <c r="B1042" t="str">
        <f>Skills!B2</f>
        <v>Basic Attack</v>
      </c>
      <c r="C1042" t="b">
        <f>TRUE</f>
        <v>1</v>
      </c>
      <c r="F1042">
        <f>T1044+Skills!O2</f>
        <v>510.52</v>
      </c>
      <c r="G1042">
        <f>Calc!G2</f>
        <v>5</v>
      </c>
      <c r="H1042">
        <f>Calc!H2</f>
        <v>1</v>
      </c>
      <c r="I1042">
        <f>IF(Skills!X2&lt;&gt;"",1+(Skills!X2/10)*(R1043/1000)/100,1)</f>
        <v>1</v>
      </c>
      <c r="J1042">
        <f>((Inputs!$B$5*(1+Inputs!$B$6/100))+((Inputs!$B$11*(1+Inputs!$B$12/100))-(Inputs!$B$11*(1+Inputs!$B$12/100)))*(1+Inputs!$B$6/100))*(F1042/100)</f>
        <v>1275437334.1678655</v>
      </c>
      <c r="K1042">
        <f>J1042*(1+((Inputs!$B$11*(1+Inputs!$B$12/100))*0.01+Inputs!$B$13*0.0025)/100)*(1+Inputs!$B$14/100)*(1+IF(Inputs!$B$4="pvp",0,(1-Summary!$B$56)*(Inputs!$B$19+Skills!P2)+Summary!$B$56*(Inputs!$B$20+Skills!Q2))/100)*(1+Inputs!$B$15/100)*(5000/(6000+Inputs!$B$7*(1-Inputs!$B$18/100)))*(1+Inputs!$B$23/100)*(1+F1063/100)*(1+IF(Inputs!$B$3&gt;=120,F1066,0)/100)^5*(1+(IF(Skills!A2="BASIC_ATTACK",Inputs!$B$16,Inputs!$B$17+IF(Inputs!$B$3&gt;=125,F1067*5,0)))/100)*(B1070*B1071*B1072*I1042)</f>
        <v>6988579278185.6055</v>
      </c>
      <c r="L1042">
        <f>K1042*(MIN(Inputs!$B$21+(F1062-Calc!F22),Inputs!$B$22)/100+Inputs!$B$22/100)/2</f>
        <v>18865669761462.039</v>
      </c>
      <c r="M1042">
        <f>L1042*(1+(Inputs!$B$9+(F1061-Calc!F21))/100)</f>
        <v>79066021970287.422</v>
      </c>
      <c r="N1042">
        <f>L1042*(1-MIN(Inputs!$B$8+(F1060-Calc!F20),100)/100)+M1042*(MIN(Inputs!$B$8+(F1060-Calc!F20),100)/100)</f>
        <v>79066021970287.422</v>
      </c>
      <c r="O1042">
        <f>Skills!G2*N1042*B1076*IF(Inputs!$B$4="pvp",1,(1-Summary!$B$56)*(1)+Summary!$B$56*(MIN((6+Inputs!$B$32+IF(Inputs!$B$3&gt;=136,1,0)),Inputs!$B$37)))</f>
        <v>3913919336529060</v>
      </c>
      <c r="P1042">
        <f>IF(B1079=0,0,O1042/B1079)</f>
        <v>0.46742531188068515</v>
      </c>
      <c r="R1042">
        <f>MAX(0,(Inputs!$B$3-100)*3)+Inputs!$B$27+Inputs!$B$28</f>
        <v>172</v>
      </c>
      <c r="S1042">
        <v>0</v>
      </c>
      <c r="T1042">
        <f>MAX(0,(Inputs!$B$3-100)*3)+Inputs!$B$27+Inputs!$B$28</f>
        <v>172</v>
      </c>
      <c r="V1042">
        <f>IFERROR(1/IF(Inputs!$B$4="pvp",15,MAX(0.1,Skills!E2-IF(Skills!F2=TRUE,Inputs!$B$31,0))),0)</f>
        <v>10</v>
      </c>
    </row>
    <row r="1043" spans="1:22" x14ac:dyDescent="0.2">
      <c r="A1043" t="str">
        <f>Skills!A3</f>
        <v>IGNITE</v>
      </c>
      <c r="B1043" t="str">
        <f>Skills!B3</f>
        <v>Ignite</v>
      </c>
      <c r="C1043" t="b">
        <f>TRUE</f>
        <v>1</v>
      </c>
      <c r="D1043">
        <f>IF(Skills!C3=1,60+Inputs!$B$24+Inputs!$B$28,IF(Skills!C3=2,90+Inputs!$B$25+Inputs!$B$28,IF(Skills!C3=3,120+Inputs!$B$26+Inputs!$B$28,MAX(0,(Inputs!$B$3-100)*3)+Inputs!$B$27+Inputs!$B$28)))</f>
        <v>164</v>
      </c>
      <c r="E1043">
        <f>INDEX(FactorTable!$B$2:$Y$301, MATCH(ROUND(MIN(300,MAX(1,D1043)),0), FactorTable!$A$2:$A$301,0), Skills!M3+1)</f>
        <v>1656</v>
      </c>
      <c r="F1043">
        <f>IF(Skills!N3=TRUE,(Skills!L3/10)*(E1043/1000),Skills!L3/10)+Skills!O3</f>
        <v>121.52799999999999</v>
      </c>
      <c r="G1043">
        <f>Calc!G3</f>
        <v>3</v>
      </c>
      <c r="H1043">
        <f>Calc!H3</f>
        <v>1</v>
      </c>
      <c r="I1043">
        <f>IF(Skills!X3&lt;&gt;"",1+(Skills!X3/10)*(R1043/1000)/100,1)</f>
        <v>4.76</v>
      </c>
      <c r="J1043">
        <f>((Inputs!$B$5*(1+Inputs!$B$6/100))+((Inputs!$B$11*(1+Inputs!$B$12/100))-(Inputs!$B$11*(1+Inputs!$B$12/100)))*(1+Inputs!$B$6/100))*(F1043/100)</f>
        <v>303614644.57171583</v>
      </c>
      <c r="K1043">
        <f>J1043*(1+((Inputs!$B$11*(1+Inputs!$B$12/100))*0.01+Inputs!$B$13*0.0025)/100)*(1+Inputs!$B$14/100)*(1+IF(Inputs!$B$4="pvp",0,(1-Summary!$B$56)*(Inputs!$B$19+Skills!P3)+Summary!$B$56*(Inputs!$B$20+Skills!Q3))/100)*(1+Inputs!$B$15/100)*(5000/(6000+Inputs!$B$7*(1-Inputs!$B$18/100)))*(1+Inputs!$B$23/100)*(1+F1063/100)*(1+IF(Inputs!$B$3&gt;=120,F1066,0)/100)^5*(1+(IF(Skills!A3="BASIC_ATTACK",Inputs!$B$16,Inputs!$B$17+IF(Inputs!$B$3&gt;=125,F1067*5,0)))/100)*(B1070*B1071*B1072*I1043)</f>
        <v>11038649151549.777</v>
      </c>
      <c r="L1043">
        <f>K1043*(MIN(Inputs!$B$21+(F1062-Calc!F22),Inputs!$B$22)/100+Inputs!$B$22/100)/2</f>
        <v>29798833384608.621</v>
      </c>
      <c r="M1043">
        <f>L1043*(1+(Inputs!$B$9+(F1061-Calc!F21))/100)</f>
        <v>124886910714894.75</v>
      </c>
      <c r="N1043">
        <f>L1043*(1-MIN(Inputs!$B$8+(F1060-Calc!F20),100)/100)+M1043*(MIN(Inputs!$B$8+(F1060-Calc!F20),100)/100)</f>
        <v>124886910714894.75</v>
      </c>
      <c r="O1043">
        <f>IF(C1043,H1043*N1043*IF(AND(Inputs!$B$4&lt;&gt;"pvp",Inputs!$B$35&gt;0),((Skills!G3*((S1043-1)*IF(Skills!H3&gt;0,Skills!I3/Skills!H3,1)+IF(Skills!H3&gt;0,MIN(Skills!I3,MAX(0,Inputs!$B$35-((S1043-1)*IF(Inputs!$B$4="pvp",15,MAX(0.1,Skills!E3-IF(Skills!F3=TRUE,Inputs!$B$31,0))))))/Skills!H3,1)))/Inputs!$B$35),G1043*V1043)*IF(Inputs!$B$4="pvp",1,(1-Summary!$B$56)*(1)+Summary!$B$56*(MIN(Skills!R3,Inputs!$B$37))),0)</f>
        <v>824253610718305.25</v>
      </c>
      <c r="P1043">
        <f>IF(B1079=0,0,O1043/B1079)</f>
        <v>9.8437644706407215E-2</v>
      </c>
      <c r="R1043">
        <f>INDEX(FactorTable!$B$2:$Y$301, MATCH(ROUND(MIN(300,MAX(1,R1042)),0), FactorTable!$A$2:$A$301,0), 24)</f>
        <v>7520</v>
      </c>
      <c r="S1043">
        <f>IF(AND(Inputs!$B$4&lt;&gt;"pvp",Inputs!$B$35&gt;0),(INT(Inputs!$B$35/IF(Inputs!$B$4="pvp",15,MAX(0.1,Skills!E3-IF(Skills!F3=TRUE,Inputs!$B$31,0))))+1),0)</f>
        <v>0</v>
      </c>
      <c r="T1043">
        <f>INDEX(FactorTable!$B$2:$Y$301, MATCH(ROUND(MIN(300,MAX(1,T1042)),0), FactorTable!$A$2:$A$301,0), 22)</f>
        <v>1688</v>
      </c>
      <c r="V1043">
        <f>IFERROR(1/IF(Inputs!$B$4="pvp",15,MAX(0.1,Skills!E3-IF(Skills!F3=TRUE,Inputs!$B$31,0))),0)</f>
        <v>1</v>
      </c>
    </row>
    <row r="1044" spans="1:22" x14ac:dyDescent="0.2">
      <c r="A1044" t="str">
        <f>Skills!A4</f>
        <v>POISON_BREATH</v>
      </c>
      <c r="B1044" t="str">
        <f>Skills!B4</f>
        <v>Poison Breath</v>
      </c>
      <c r="C1044" t="b">
        <f>TRUE</f>
        <v>1</v>
      </c>
      <c r="D1044">
        <f>IF(Skills!C4=1,60+Inputs!$B$24+Inputs!$B$28,IF(Skills!C4=2,90+Inputs!$B$25+Inputs!$B$28,IF(Skills!C4=3,120+Inputs!$B$26+Inputs!$B$28,MAX(0,(Inputs!$B$3-100)*3)+Inputs!$B$27+Inputs!$B$28)))</f>
        <v>164</v>
      </c>
      <c r="E1044">
        <f>INDEX(FactorTable!$B$2:$Y$301, MATCH(ROUND(MIN(300,MAX(1,D1044)),0), FactorTable!$A$2:$A$301,0), Skills!M4+1)</f>
        <v>1820</v>
      </c>
      <c r="F1044">
        <f>IF(Skills!N4=TRUE,(Skills!L4/10)*(E1044/1000),Skills!L4/10)+Skills!O4</f>
        <v>434</v>
      </c>
      <c r="G1044">
        <f>Calc!G4</f>
        <v>3</v>
      </c>
      <c r="H1044">
        <f>Calc!H4</f>
        <v>1</v>
      </c>
      <c r="I1044">
        <f>IF(Skills!X4&lt;&gt;"",1+(Skills!X4/10)*(R1043/1000)/100,1)</f>
        <v>7.0159999999999991</v>
      </c>
      <c r="J1044">
        <f>((Inputs!$B$5*(1+Inputs!$B$6/100))+((Inputs!$B$11*(1+Inputs!$B$12/100))-(Inputs!$B$11*(1+Inputs!$B$12/100)))*(1+Inputs!$B$6/100))*(F1044/100)</f>
        <v>1084266636.0355198</v>
      </c>
      <c r="K1044">
        <f>J1044*(1+((Inputs!$B$11*(1+Inputs!$B$12/100))*0.01+Inputs!$B$13*0.0025)/100)*(1+Inputs!$B$14/100)*(1+IF(Inputs!$B$4="pvp",0,(1-Summary!$B$56)*(Inputs!$B$19+Skills!P4)+Summary!$B$56*(Inputs!$B$20+Skills!Q4))/100)*(1+Inputs!$B$15/100)*(5000/(6000+Inputs!$B$7*(1-Inputs!$B$18/100)))*(1+Inputs!$B$23/100)*(1+F1063/100)*(1+IF(Inputs!$B$3&gt;=120,F1066,0)/100)^5*(1+(IF(Skills!A4="BASIC_ATTACK",Inputs!$B$16,Inputs!$B$17+IF(Inputs!$B$3&gt;=125,F1067*5,0)))/100)*(B1070*B1071*B1072*I1044)</f>
        <v>58104790081430.523</v>
      </c>
      <c r="L1044">
        <f>K1044*(MIN(Inputs!$B$21+(F1062-Calc!F22),Inputs!$B$22)/100+Inputs!$B$22/100)/2</f>
        <v>156853880824821.69</v>
      </c>
      <c r="M1044">
        <f>L1044*(1+(Inputs!$B$9+(F1061-Calc!F21))/100)</f>
        <v>657374614536827.75</v>
      </c>
      <c r="N1044">
        <f>L1044*(1-MIN(Inputs!$B$8+(F1060-Calc!F20),100)/100)+M1044*(MIN(Inputs!$B$8+(F1060-Calc!F20),100)/100)</f>
        <v>657374614536827.75</v>
      </c>
      <c r="O1044">
        <f>IF(C1044,H1044*N1044*IF(AND(Inputs!$B$4&lt;&gt;"pvp",Inputs!$B$35&gt;0),((Skills!G4*((S1044-1)*IF(Skills!H4&gt;0,Skills!I4/Skills!H4,1)+IF(Skills!H4&gt;0,MIN(Skills!I4,MAX(0,Inputs!$B$35-((S1044-1)*IF(Inputs!$B$4="pvp",15,MAX(0.1,Skills!E4-IF(Skills!F4=TRUE,Inputs!$B$31,0))))))/Skills!H4,1)))/Inputs!$B$35),G1044*V1044)*IF(Inputs!$B$4="pvp",1,(1-Summary!$B$56)*(1)+Summary!$B$56*(MIN(Skills!R4,Inputs!$B$37))),0)</f>
        <v>438249743024551.75</v>
      </c>
      <c r="P1044">
        <f>IF(B1079=0,0,O1044/B1079)</f>
        <v>5.2338590860317863E-2</v>
      </c>
      <c r="S1044">
        <f>IF(AND(Inputs!$B$4&lt;&gt;"pvp",Inputs!$B$35&gt;0),(INT(Inputs!$B$35/IF(Inputs!$B$4="pvp",15,MAX(0.1,Skills!E4-IF(Skills!F4=TRUE,Inputs!$B$31,0))))+1),0)</f>
        <v>0</v>
      </c>
      <c r="T1044">
        <f>290*T1043/1000</f>
        <v>489.52</v>
      </c>
      <c r="V1044">
        <f>IFERROR(1/IF(Inputs!$B$4="pvp",15,MAX(0.1,Skills!E4-IF(Skills!F4=TRUE,Inputs!$B$31,0))),0)</f>
        <v>5.5555555555555552E-2</v>
      </c>
    </row>
    <row r="1045" spans="1:22" x14ac:dyDescent="0.2">
      <c r="A1045" t="str">
        <f>Skills!A5</f>
        <v>ELEMENTAL_DRAIN</v>
      </c>
      <c r="B1045" t="str">
        <f>Skills!B5</f>
        <v>Elemental Drain</v>
      </c>
      <c r="C1045" t="b">
        <f>TRUE</f>
        <v>1</v>
      </c>
      <c r="D1045">
        <f>IF(Skills!C5=1,60+Inputs!$B$24+Inputs!$B$28,IF(Skills!C5=2,90+Inputs!$B$25+Inputs!$B$28,IF(Skills!C5=3,120+Inputs!$B$26+Inputs!$B$28,MAX(0,(Inputs!$B$3-100)*3)+Inputs!$B$27+Inputs!$B$28)))</f>
        <v>164</v>
      </c>
      <c r="E1045">
        <f>INDEX(FactorTable!$B$2:$Y$301, MATCH(ROUND(MIN(300,MAX(1,D1045)),0), FactorTable!$A$2:$A$301,0), Skills!M5+1)</f>
        <v>1656</v>
      </c>
      <c r="F1045">
        <f>IF(Skills!N5=TRUE,(Skills!L5/10)*(E1045/1000),Skills!L5/10)+Skills!O5</f>
        <v>19.872</v>
      </c>
      <c r="G1045">
        <f>Calc!G5</f>
        <v>5</v>
      </c>
      <c r="H1045">
        <f>Calc!H5</f>
        <v>1</v>
      </c>
      <c r="I1045">
        <f>IF(Skills!X5&lt;&gt;"",1+(Skills!X5/10)*(R1043/1000)/100,1)</f>
        <v>12.28</v>
      </c>
      <c r="J1045">
        <f>((Inputs!$B$5*(1+Inputs!$B$6/100))+((Inputs!$B$11*(1+Inputs!$B$12/100))-(Inputs!$B$11*(1+Inputs!$B$12/100)))*(1+Inputs!$B$6/100))*(F1045/100)</f>
        <v>49646420.717276163</v>
      </c>
      <c r="K1045">
        <f>J1045*(1+((Inputs!$B$11*(1+Inputs!$B$12/100))*0.01+Inputs!$B$13*0.0025)/100)*(1+Inputs!$B$14/100)*(1+IF(Inputs!$B$4="pvp",0,(1-Summary!$B$56)*(Inputs!$B$19+Skills!P5)+Summary!$B$56*(Inputs!$B$20+Skills!Q5))/100)*(1+Inputs!$B$15/100)*(5000/(6000+Inputs!$B$7*(1-Inputs!$B$18/100)))*(1+Inputs!$B$23/100)*(1+F1063/100)*(1+IF(Inputs!$B$3&gt;=120,F1066,0)/100)^5*(1+(IF(Skills!A5="BASIC_ATTACK",Inputs!$B$16,Inputs!$B$17+IF(Inputs!$B$3&gt;=125,F1067*5,0)))/100)*(B1070*B1071*B1072*I1045)</f>
        <v>4656639009045.0752</v>
      </c>
      <c r="L1045">
        <f>K1045*(MIN(Inputs!$B$21+(F1062-Calc!F22),Inputs!$B$22)/100+Inputs!$B$22/100)/2</f>
        <v>12570597004917.178</v>
      </c>
      <c r="M1045">
        <f>L1045*(1+(Inputs!$B$9+(F1061-Calc!F21))/100)</f>
        <v>52683372047607.898</v>
      </c>
      <c r="N1045">
        <f>L1045*(1-MIN(Inputs!$B$8+(F1060-Calc!F20),100)/100)+M1045*(MIN(Inputs!$B$8+(F1060-Calc!F20),100)/100)</f>
        <v>52683372047607.898</v>
      </c>
      <c r="O1045">
        <f>IF(C1045,H1045*N1045*IF(AND(Inputs!$B$4&lt;&gt;"pvp",Inputs!$B$35&gt;0),((Skills!G5*((S1045-1)*IF(Skills!H5&gt;0,Skills!I5/Skills!H5,1)+IF(Skills!H5&gt;0,MIN(Skills!I5,MAX(0,Inputs!$B$35-((S1045-1)*IF(Inputs!$B$4="pvp",15,MAX(0.1,Skills!E5-IF(Skills!F5=TRUE,Inputs!$B$31,0))))))/Skills!H5,1)))/Inputs!$B$35),G1045*V1045)*IF(Inputs!$B$4="pvp",1,(1-Summary!$B$56)*(1)+Summary!$B$56*(MIN(Skills!R5,Inputs!$B$37))),0)</f>
        <v>263416860238039.5</v>
      </c>
      <c r="P1045">
        <f>IF(B1079=0,0,O1045/B1079)</f>
        <v>3.1458928369379351E-2</v>
      </c>
      <c r="S1045">
        <f>IF(AND(Inputs!$B$4&lt;&gt;"pvp",Inputs!$B$35&gt;0),(INT(Inputs!$B$35/IF(Inputs!$B$4="pvp",15,MAX(0.1,Skills!E5-IF(Skills!F5=TRUE,Inputs!$B$31,0))))+1),0)</f>
        <v>0</v>
      </c>
      <c r="V1045">
        <f>IFERROR(1/IF(Inputs!$B$4="pvp",15,MAX(0.1,Skills!E5-IF(Skills!F5=TRUE,Inputs!$B$31,0))),0)</f>
        <v>1</v>
      </c>
    </row>
    <row r="1046" spans="1:22" x14ac:dyDescent="0.2">
      <c r="A1046" t="str">
        <f>Skills!A6</f>
        <v>MEDITATION</v>
      </c>
      <c r="B1046" t="str">
        <f>Skills!B6</f>
        <v>Meditation</v>
      </c>
      <c r="C1046" t="b">
        <f>TRUE</f>
        <v>1</v>
      </c>
      <c r="D1046">
        <f>IF(Skills!C6=1,60+Inputs!$B$24+Inputs!$B$28,IF(Skills!C6=2,90+Inputs!$B$25+Inputs!$B$28,IF(Skills!C6=3,120+Inputs!$B$26+Inputs!$B$28,MAX(0,(Inputs!$B$3-100)*3)+Inputs!$B$27+Inputs!$B$28)))</f>
        <v>164</v>
      </c>
      <c r="E1046">
        <f>INDEX(FactorTable!$B$2:$Y$301, MATCH(ROUND(MIN(300,MAX(1,D1046)),0), FactorTable!$A$2:$A$301,0), Skills!M6+1)</f>
        <v>1492</v>
      </c>
      <c r="F1046">
        <f>IF(Skills!N6=TRUE,(Skills!L6/10)*(E1046/1000),Skills!L6/10)+Skills!O6</f>
        <v>29.84</v>
      </c>
      <c r="G1046">
        <f>Calc!G6</f>
        <v>1</v>
      </c>
      <c r="H1046">
        <f>Calc!H6</f>
        <v>1</v>
      </c>
      <c r="I1046">
        <f>IF(Skills!X6&lt;&gt;"",1+(Skills!X6/10)*(R1043/1000)/100,1)</f>
        <v>1</v>
      </c>
      <c r="O1046">
        <v>0</v>
      </c>
      <c r="P1046">
        <f>IF(B1079=0,0,O1046/B1079)</f>
        <v>0</v>
      </c>
      <c r="S1046">
        <f>IF(AND(Inputs!$B$4&lt;&gt;"pvp",Inputs!$B$35&gt;0),(INT(Inputs!$B$35/IF(Inputs!$B$4="pvp",15,MAX(0.1,Skills!E6-IF(Skills!F6=TRUE,Inputs!$B$31,0))))+1),0)</f>
        <v>0</v>
      </c>
      <c r="V1046">
        <f>IFERROR(1/IF(Inputs!$B$4="pvp",15,MAX(0.1,Skills!E6-IF(Skills!F6=TRUE,Inputs!$B$31,0))),0)</f>
        <v>3.3333333333333333E-2</v>
      </c>
    </row>
    <row r="1047" spans="1:22" x14ac:dyDescent="0.2">
      <c r="A1047" t="str">
        <f>Skills!A7</f>
        <v>POISON_MIST_BURST</v>
      </c>
      <c r="B1047" t="str">
        <f>Skills!B7</f>
        <v>Poison Mist (burst)</v>
      </c>
      <c r="C1047" t="b">
        <f>TRUE</f>
        <v>1</v>
      </c>
      <c r="D1047">
        <f>IF(Skills!C7=1,60+Inputs!$B$24+Inputs!$B$28,IF(Skills!C7=2,90+Inputs!$B$25+Inputs!$B$28,IF(Skills!C7=3,120+Inputs!$B$26+Inputs!$B$28,MAX(0,(Inputs!$B$3-100)*3)+Inputs!$B$27+Inputs!$B$28)))</f>
        <v>184</v>
      </c>
      <c r="E1047">
        <f>INDEX(FactorTable!$B$2:$Y$301, MATCH(ROUND(MIN(300,MAX(1,D1047)),0), FactorTable!$A$2:$A$301,0), Skills!M7+1)</f>
        <v>1920</v>
      </c>
      <c r="F1047">
        <f>IF(Skills!N7=TRUE,(Skills!L7/10)*(E1047/1000),Skills!L7/10)+Skills!O7</f>
        <v>357.2</v>
      </c>
      <c r="G1047">
        <f>Calc!G7</f>
        <v>3</v>
      </c>
      <c r="H1047">
        <f>Calc!H7</f>
        <v>1</v>
      </c>
      <c r="I1047">
        <f>IF(Skills!X7&lt;&gt;"",1+(Skills!X7/10)*(R1043/1000)/100,1)</f>
        <v>1.7519999999999998</v>
      </c>
      <c r="J1047">
        <f>((Inputs!$B$5*(1+Inputs!$B$6/100))+((Inputs!$B$11*(1+Inputs!$B$12/100))-(Inputs!$B$11*(1+Inputs!$B$12/100)))*(1+Inputs!$B$6/100))*(F1047/100)</f>
        <v>892396411.04121602</v>
      </c>
      <c r="K1047">
        <f>J1047*(1+((Inputs!$B$11*(1+Inputs!$B$12/100))*0.01+Inputs!$B$13*0.0025)/100)*(1+Inputs!$B$14/100)*(1+IF(Inputs!$B$4="pvp",0,(1-Summary!$B$56)*(Inputs!$B$19+Skills!P7)+Summary!$B$56*(Inputs!$B$20+Skills!Q7))/100)*(1+Inputs!$B$15/100)*(5000/(6000+Inputs!$B$7*(1-Inputs!$B$18/100)))*(1+Inputs!$B$23/100)*(1+F1063/100)*(1+IF(Inputs!$B$3&gt;=120,F1066,0)/100)^5*(1+(IF(Skills!A7="BASIC_ATTACK",Inputs!$B$16,Inputs!$B$17+IF(Inputs!$B$3&gt;=125,F1067*5,0)))/100)*(B1070*B1071*B1072*I1047)</f>
        <v>11942030573283.58</v>
      </c>
      <c r="L1047">
        <f>K1047*(MIN(Inputs!$B$21+(F1062-Calc!F22),Inputs!$B$22)/100+Inputs!$B$22/100)/2</f>
        <v>32237511532579.02</v>
      </c>
      <c r="M1047">
        <f>L1047*(1+(Inputs!$B$9+(F1061-Calc!F21))/100)</f>
        <v>135107410833038.69</v>
      </c>
      <c r="N1047">
        <f>L1047*(1-MIN(Inputs!$B$8+(F1060-Calc!F20),100)/100)+M1047*(MIN(Inputs!$B$8+(F1060-Calc!F20),100)/100)</f>
        <v>135107410833038.69</v>
      </c>
      <c r="O1047">
        <f>IF(C1047,H1047*N1047*IF(AND(Inputs!$B$4&lt;&gt;"pvp",Inputs!$B$35&gt;0),((Skills!G7*((S1047-1)*IF(Skills!H7&gt;0,Skills!I7/Skills!H7,1)+IF(Skills!H7&gt;0,MIN(Skills!I7,MAX(0,Inputs!$B$35-((S1047-1)*IF(Inputs!$B$4="pvp",15,MAX(0.1,Skills!E7-IF(Skills!F7=TRUE,Inputs!$B$31,0))))))/Skills!H7,1)))/Inputs!$B$35),G1047*V1047)*IF(Inputs!$B$4="pvp",1,(1-Summary!$B$56)*(1)+Summary!$B$56*(MIN(Skills!R7,Inputs!$B$37))),0)</f>
        <v>105880093387524.19</v>
      </c>
      <c r="P1047">
        <f>IF(B1079=0,0,O1047/B1079)</f>
        <v>1.264487880772453E-2</v>
      </c>
      <c r="S1047">
        <f>IF(AND(Inputs!$B$4&lt;&gt;"pvp",Inputs!$B$35&gt;0),(INT(Inputs!$B$35/IF(Inputs!$B$4="pvp",15,MAX(0.1,Skills!E7-IF(Skills!F7=TRUE,Inputs!$B$31,0))))+1),0)</f>
        <v>0</v>
      </c>
      <c r="V1047">
        <f>IFERROR(1/IF(Inputs!$B$4="pvp",15,MAX(0.1,Skills!E7-IF(Skills!F7=TRUE,Inputs!$B$31,0))),0)</f>
        <v>4.0816326530612242E-2</v>
      </c>
    </row>
    <row r="1048" spans="1:22" x14ac:dyDescent="0.2">
      <c r="A1048" t="str">
        <f>Skills!A8</f>
        <v>POISON_MIST_DOT</v>
      </c>
      <c r="B1048" t="str">
        <f>Skills!B8</f>
        <v>Poison Mist (fog DoT)</v>
      </c>
      <c r="C1048" t="b">
        <f>TRUE</f>
        <v>1</v>
      </c>
      <c r="D1048">
        <f>IF(Skills!C8=1,60+Inputs!$B$24+Inputs!$B$28,IF(Skills!C8=2,90+Inputs!$B$25+Inputs!$B$28,IF(Skills!C8=3,120+Inputs!$B$26+Inputs!$B$28,MAX(0,(Inputs!$B$3-100)*3)+Inputs!$B$27+Inputs!$B$28)))</f>
        <v>184</v>
      </c>
      <c r="E1048">
        <f>INDEX(FactorTable!$B$2:$Y$301, MATCH(ROUND(MIN(300,MAX(1,D1048)),0), FactorTable!$A$2:$A$301,0), Skills!M8+1)</f>
        <v>1920</v>
      </c>
      <c r="F1048">
        <f>IF(Skills!N8=TRUE,(Skills!L8/10)*(E1048/1000),Skills!L8/10)+Skills!O8</f>
        <v>134.4</v>
      </c>
      <c r="G1048">
        <f>Calc!G8</f>
        <v>50</v>
      </c>
      <c r="H1048">
        <f>Calc!H8</f>
        <v>1</v>
      </c>
      <c r="I1048">
        <f>IF(Skills!X8&lt;&gt;"",1+(Skills!X8/10)*(R1043/1000)/100,1)</f>
        <v>1.7519999999999998</v>
      </c>
      <c r="J1048">
        <f>((Inputs!$B$5*(1+Inputs!$B$6/100))+((Inputs!$B$11*(1+Inputs!$B$12/100))-(Inputs!$B$11*(1+Inputs!$B$12/100)))*(1+Inputs!$B$6/100))*(F1048/100)</f>
        <v>335772893.74003202</v>
      </c>
      <c r="K1048">
        <f>J1048*(1+((Inputs!$B$11*(1+Inputs!$B$12/100))*0.01+Inputs!$B$13*0.0025)/100)*(1+Inputs!$B$14/100)*(1+IF(Inputs!$B$4="pvp",0,(1-Summary!$B$56)*(Inputs!$B$19+Skills!P8)+Summary!$B$56*(Inputs!$B$20+Skills!Q8))/100)*(1+Inputs!$B$15/100)*(5000/(6000+Inputs!$B$7*(1-Inputs!$B$18/100)))*(1+Inputs!$B$23/100)*(1+F1063/100)*(1+IF(Inputs!$B$3&gt;=120,F1066,0)/100)^5*(1+(IF(Skills!A8="BASIC_ATTACK",Inputs!$B$16,Inputs!$B$17+IF(Inputs!$B$3&gt;=125,F1067*5,0)))/100)*(B1070*B1071*B1072*I1048)</f>
        <v>4493306016375.457</v>
      </c>
      <c r="L1048">
        <f>K1048*(MIN(Inputs!$B$21+(F1062-Calc!F22),Inputs!$B$22)/100+Inputs!$B$22/100)/2</f>
        <v>12129679591205.545</v>
      </c>
      <c r="M1048">
        <f>L1048*(1+(Inputs!$B$9+(F1061-Calc!F21))/100)</f>
        <v>50835487166742.445</v>
      </c>
      <c r="N1048">
        <f>L1048*(1-MIN(Inputs!$B$8+(F1060-Calc!F20),100)/100)+M1048*(MIN(Inputs!$B$8+(F1060-Calc!F20),100)/100)</f>
        <v>50835487166742.445</v>
      </c>
      <c r="O1048">
        <f>IF(C1048,H1048*N1048*IF(AND(Inputs!$B$4&lt;&gt;"pvp",Inputs!$B$35&gt;0),((Skills!G8*((S1048-1)*IF(Skills!H8&gt;0,Skills!I8/Skills!H8,1)+IF(Skills!H8&gt;0,MIN(Skills!I8,MAX(0,Inputs!$B$35-((S1048-1)*IF(Inputs!$B$4="pvp",15,MAX(0.1,Skills!E8-IF(Skills!F8=TRUE,Inputs!$B$31,0))))))/Skills!H8,1)))/Inputs!$B$35),G1048*V1048)*IF(Inputs!$B$4="pvp",1,(1-Summary!$B$56)*(1)+Summary!$B$56*(MIN(Skills!R8,Inputs!$B$37))),0)</f>
        <v>663973709932962.62</v>
      </c>
      <c r="P1048">
        <f>IF(B1079=0,0,O1048/B1079)</f>
        <v>7.9295992523244554E-2</v>
      </c>
      <c r="S1048">
        <f>IF(AND(Inputs!$B$4&lt;&gt;"pvp",Inputs!$B$35&gt;0),(INT(Inputs!$B$35/IF(Inputs!$B$4="pvp",15,MAX(0.1,Skills!E8-IF(Skills!F8=TRUE,Inputs!$B$31,0))))+1),0)</f>
        <v>0</v>
      </c>
      <c r="V1048">
        <f>IFERROR(1/IF(Inputs!$B$4="pvp",15,MAX(0.1,Skills!E8-IF(Skills!F8=TRUE,Inputs!$B$31,0))),0)</f>
        <v>4.0816326530612242E-2</v>
      </c>
    </row>
    <row r="1049" spans="1:22" x14ac:dyDescent="0.2">
      <c r="A1049" t="str">
        <f>Skills!A9</f>
        <v>MIST_ERUPTION</v>
      </c>
      <c r="B1049" t="str">
        <f>Skills!B9</f>
        <v>Mist Eruption</v>
      </c>
      <c r="C1049" t="b">
        <f>Inputs!$B$3&gt;=103</f>
        <v>1</v>
      </c>
      <c r="D1049">
        <f>IF(Skills!C9=1,60+Inputs!$B$24+Inputs!$B$28,IF(Skills!C9=2,90+Inputs!$B$25+Inputs!$B$28,IF(Skills!C9=3,120+Inputs!$B$26+Inputs!$B$28,MAX(0,(Inputs!$B$3-100)*3)+Inputs!$B$27+Inputs!$B$28)))</f>
        <v>172</v>
      </c>
      <c r="E1049">
        <f>INDEX(FactorTable!$B$2:$Y$301, MATCH(ROUND(MIN(300,MAX(1,D1049)),0), FactorTable!$A$2:$A$301,0), Skills!M9+1)</f>
        <v>1860</v>
      </c>
      <c r="F1049">
        <f>IF(Skills!N9=TRUE,(Skills!L9/10)*(E1049/1000),Skills!L9/10)+Skills!O9</f>
        <v>5580</v>
      </c>
      <c r="G1049">
        <f>Calc!G9</f>
        <v>2.8</v>
      </c>
      <c r="H1049">
        <f>Calc!H9</f>
        <v>1</v>
      </c>
      <c r="I1049">
        <f>IF(Skills!X9&lt;&gt;"",1+(Skills!X9/10)*(R1043/1000)/100,1)</f>
        <v>1</v>
      </c>
      <c r="J1049">
        <f>((Inputs!$B$5*(1+Inputs!$B$6/100))+((Inputs!$B$11*(1+Inputs!$B$12/100))-(Inputs!$B$11*(1+Inputs!$B$12/100)))*(1+Inputs!$B$6/100))*(F1049/100)</f>
        <v>13940571034.742399</v>
      </c>
      <c r="K1049">
        <f>J1049*(1+((Inputs!$B$11*(1+Inputs!$B$12/100))*0.01+Inputs!$B$13*0.0025)/100)*(1+Inputs!$B$14/100)*(1+IF(Inputs!$B$4="pvp",0,(1-Summary!$B$56)*(Inputs!$B$19+Skills!P9)+Summary!$B$56*(Inputs!$B$20+Skills!Q9))/100)*(1+Inputs!$B$15/100)*(5000/(6000+Inputs!$B$7*(1-Inputs!$B$18/100)))*(1+Inputs!$B$23/100)*(1+F1063/100)*(1+IF(Inputs!$B$3&gt;=120,F1066,0)/100)^5*(1+(IF(Skills!A9="BASIC_ATTACK",Inputs!$B$16,Inputs!$B$17+IF(Inputs!$B$3&gt;=125,F1067*5,0)))/100)*(B1070*B1071*B1072*I1049)</f>
        <v>106479701647840.62</v>
      </c>
      <c r="L1049">
        <f>K1049*(MIN(Inputs!$B$21+(F1062-Calc!F22),Inputs!$B$22)/100+Inputs!$B$22/100)/2</f>
        <v>287441954598345.75</v>
      </c>
      <c r="M1049">
        <f>L1049*(1+(Inputs!$B$9+(F1061-Calc!F21))/100)</f>
        <v>1204669231721667.2</v>
      </c>
      <c r="N1049">
        <f>L1049*(1-MIN(Inputs!$B$8+(F1060-Calc!F20),100)/100)+M1049*(MIN(Inputs!$B$8+(F1060-Calc!F20),100)/100)</f>
        <v>1204669231721667.2</v>
      </c>
      <c r="O1049">
        <f>IF(C1049,H1049*N1049*IF(AND(Inputs!$B$4&lt;&gt;"pvp",Inputs!$B$35&gt;0),((Skills!G9*((S1049-1)*IF(Skills!H9&gt;0,Skills!I9/Skills!H9,1)+IF(Skills!H9&gt;0,MIN(Skills!I9,MAX(0,Inputs!$B$35-((S1049-1)*IF(Inputs!$B$4="pvp",15,MAX(0.1,Skills!E9-IF(Skills!F7=TRUE,Inputs!$B$31,0))))))/Skills!H9,1)))/Inputs!$B$35),G1049*V1049)*IF(Inputs!$B$4="pvp",1,(1-Summary!$B$56)*(1)+Summary!$B$56*(MIN(Skills!R9,Inputs!$B$37))),0)</f>
        <v>881129495202133.62</v>
      </c>
      <c r="P1049">
        <f>IF(B1079=0,0,O1049/B1079)</f>
        <v>0.10523012706423721</v>
      </c>
      <c r="S1049">
        <f>IF(AND(Inputs!$B$4&lt;&gt;"pvp",Inputs!$B$35&gt;0),(INT(Inputs!$B$35/IF(Inputs!$B$4="pvp",15,MAX(0.1,Skills!E9-IF(Skills!F7=TRUE,Inputs!$B$31,0))))+1),0)</f>
        <v>0</v>
      </c>
      <c r="V1049">
        <f>IFERROR(1/IF(Inputs!$B$4="pvp",15,MAX(0.1,Skills!E9-IF(Skills!F7=TRUE,Inputs!$B$31,0))),0)</f>
        <v>4.0816326530612242E-2</v>
      </c>
    </row>
    <row r="1050" spans="1:22" x14ac:dyDescent="0.2">
      <c r="A1050" t="str">
        <f>Skills!A10</f>
        <v>CREEPING_TOXIN</v>
      </c>
      <c r="B1050" t="str">
        <f>Skills!B10</f>
        <v>Creeping Toxin</v>
      </c>
      <c r="C1050" t="b">
        <f>TRUE</f>
        <v>1</v>
      </c>
      <c r="D1050">
        <f>IF(Skills!C10=1,60+Inputs!$B$24+Inputs!$B$28,IF(Skills!C10=2,90+Inputs!$B$25+Inputs!$B$28,IF(Skills!C10=3,120+Inputs!$B$26+Inputs!$B$28,MAX(0,(Inputs!$B$3-100)*3)+Inputs!$B$27+Inputs!$B$28)))</f>
        <v>184</v>
      </c>
      <c r="E1050">
        <f>INDEX(FactorTable!$B$2:$Y$301, MATCH(ROUND(MIN(300,MAX(1,D1050)),0), FactorTable!$A$2:$A$301,0), Skills!M10+1)</f>
        <v>1920</v>
      </c>
      <c r="F1050">
        <f>IF(Skills!N10=TRUE,(Skills!L10/10)*(E1050/1000),Skills!L10/10)+Skills!O10</f>
        <v>280.39999999999998</v>
      </c>
      <c r="G1050">
        <f>Calc!G10</f>
        <v>15</v>
      </c>
      <c r="H1050">
        <f>Calc!H10</f>
        <v>1</v>
      </c>
      <c r="I1050">
        <f>IF(Skills!X10&lt;&gt;"",1+(Skills!X10/10)*(R1043/1000)/100,1)</f>
        <v>1.7519999999999998</v>
      </c>
      <c r="J1050">
        <f>((Inputs!$B$5*(1+Inputs!$B$6/100))+((Inputs!$B$11*(1+Inputs!$B$12/100))-(Inputs!$B$11*(1+Inputs!$B$12/100)))*(1+Inputs!$B$6/100))*(F1050/100)</f>
        <v>700526186.04691195</v>
      </c>
      <c r="K1050">
        <f>J1050*(1+((Inputs!$B$11*(1+Inputs!$B$12/100))*0.01+Inputs!$B$13*0.0025)/100)*(1+Inputs!$B$14/100)*(1+IF(Inputs!$B$4="pvp",0,(1-Summary!$B$56)*(Inputs!$B$19+Skills!P10)+Summary!$B$56*(Inputs!$B$20+Skills!Q10))/100)*(1+Inputs!$B$15/100)*(5000/(6000+Inputs!$B$7*(1-Inputs!$B$18/100)))*(1+Inputs!$B$23/100)*(1+F1063/100)*(1+IF(Inputs!$B$3&gt;=120,F1066,0)/100)^5*(1+(IF(Skills!A10="BASIC_ATTACK",Inputs!$B$16,Inputs!$B$17+IF(Inputs!$B$3&gt;=125,F1067*5,0)))/100)*(B1070*B1071*B1072*I1050)</f>
        <v>11062499248563.885</v>
      </c>
      <c r="L1050">
        <f>K1050*(MIN(Inputs!$B$21+(F1062-Calc!F22),Inputs!$B$22)/100+Inputs!$B$22/100)/2</f>
        <v>29863216721498.203</v>
      </c>
      <c r="M1050">
        <f>L1050*(1+(Inputs!$B$9+(F1061-Calc!F21))/100)</f>
        <v>125156741279798.98</v>
      </c>
      <c r="N1050">
        <f>L1050*(1-MIN(Inputs!$B$8+(F1060-Calc!F20),100)/100)+M1050*(MIN(Inputs!$B$8+(F1060-Calc!F20),100)/100)</f>
        <v>125156741279798.98</v>
      </c>
      <c r="O1050">
        <f>IF(C1050,H1050*N1050*IF(AND(Inputs!$B$4&lt;&gt;"pvp",Inputs!$B$35&gt;0),((Skills!G10*((S1050-1)*IF(Skills!H10&gt;0,Skills!I10/Skills!H10,1)+IF(Skills!H10&gt;0,MIN(Skills!I10,MAX(0,Inputs!$B$35-((S1050-1)*IF(Inputs!$B$4="pvp",15,MAX(0.1,Skills!E10-IF(Skills!F10=TRUE,Inputs!$B$31,0))))))/Skills!H10,1)))/Inputs!$B$35),G1050*V1050)*IF(Inputs!$B$4="pvp",1,(1-Summary!$B$56)*(1)+Summary!$B$56*(MIN(Skills!R10,Inputs!$B$37))),0)</f>
        <v>69531522933221.664</v>
      </c>
      <c r="P1050">
        <f>IF(B1079=0,0,O1050/B1079)</f>
        <v>8.3038997480777126E-3</v>
      </c>
      <c r="S1050">
        <f>IF(AND(Inputs!$B$4&lt;&gt;"pvp",Inputs!$B$35&gt;0),(INT(Inputs!$B$35/IF(Inputs!$B$4="pvp",15,MAX(0.1,Skills!E10-IF(Skills!F10=TRUE,Inputs!$B$31,0))))+1),0)</f>
        <v>0</v>
      </c>
      <c r="V1050">
        <f>IFERROR(1/IF(Inputs!$B$4="pvp",15,MAX(0.1,Skills!E10-IF(Skills!F10=TRUE,Inputs!$B$31,0))),0)</f>
        <v>3.7037037037037035E-2</v>
      </c>
    </row>
    <row r="1051" spans="1:22" x14ac:dyDescent="0.2">
      <c r="A1051" t="str">
        <f>Skills!A11</f>
        <v>BURNING_MAGIC</v>
      </c>
      <c r="B1051" t="str">
        <f>Skills!B11</f>
        <v>Burning Magic</v>
      </c>
      <c r="C1051" t="b">
        <f>TRUE</f>
        <v>1</v>
      </c>
      <c r="D1051">
        <f>IF(Skills!C11=1,60+Inputs!$B$24+Inputs!$B$28,IF(Skills!C11=2,90+Inputs!$B$25+Inputs!$B$28,IF(Skills!C11=3,120+Inputs!$B$26+Inputs!$B$28,MAX(0,(Inputs!$B$3-100)*3)+Inputs!$B$27+Inputs!$B$28)))</f>
        <v>184</v>
      </c>
      <c r="E1051">
        <f>INDEX(FactorTable!$B$2:$Y$301, MATCH(ROUND(MIN(300,MAX(1,D1051)),0), FactorTable!$A$2:$A$301,0), Skills!M11+1)</f>
        <v>0</v>
      </c>
      <c r="F1051">
        <f>IF(Skills!N11=TRUE,(Skills!L11/10)*(E1051/1000),Skills!L11/10)+Skills!O11</f>
        <v>5</v>
      </c>
      <c r="G1051">
        <f>Calc!G11</f>
        <v>1</v>
      </c>
      <c r="H1051">
        <f>Calc!H11</f>
        <v>1</v>
      </c>
      <c r="I1051">
        <f>IF(Skills!X11&lt;&gt;"",1+(Skills!X11/10)*(R1043/1000)/100,1)</f>
        <v>1</v>
      </c>
      <c r="O1051">
        <v>0</v>
      </c>
      <c r="P1051">
        <f>IF(B1079=0,0,O1051/B1079)</f>
        <v>0</v>
      </c>
      <c r="S1051">
        <v>0</v>
      </c>
      <c r="V1051">
        <f>IFERROR(1/IF(Inputs!$B$4="pvp",15,MAX(0.1,Skills!E11-IF(Skills!F11=TRUE,Inputs!$B$31,0))),0)</f>
        <v>10</v>
      </c>
    </row>
    <row r="1052" spans="1:22" x14ac:dyDescent="0.2">
      <c r="A1052" t="str">
        <f>Skills!A12</f>
        <v>ELEMENTAL_DECREASE</v>
      </c>
      <c r="B1052" t="str">
        <f>Skills!B12</f>
        <v>Elemental Decrease</v>
      </c>
      <c r="C1052" t="b">
        <f>TRUE</f>
        <v>1</v>
      </c>
      <c r="D1052">
        <f>IF(Skills!C12=1,60+Inputs!$B$24+Inputs!$B$28,IF(Skills!C12=2,90+Inputs!$B$25+Inputs!$B$28,IF(Skills!C12=3,120+Inputs!$B$26+Inputs!$B$28,MAX(0,(Inputs!$B$3-100)*3)+Inputs!$B$27+Inputs!$B$28)))</f>
        <v>184</v>
      </c>
      <c r="E1052">
        <f>INDEX(FactorTable!$B$2:$Y$301, MATCH(ROUND(MIN(300,MAX(1,D1052)),0), FactorTable!$A$2:$A$301,0), Skills!M12+1)</f>
        <v>1552</v>
      </c>
      <c r="F1052">
        <f>IF(Skills!N12=TRUE,(Skills!L12/10)*(E1052/1000),Skills!L12/10)+Skills!O12</f>
        <v>18.624000000000002</v>
      </c>
      <c r="G1052">
        <f>Calc!G12</f>
        <v>1</v>
      </c>
      <c r="H1052">
        <f>Calc!H12</f>
        <v>0.5</v>
      </c>
      <c r="I1052">
        <f>IF(Skills!X12&lt;&gt;"",1+(Skills!X12/10)*(R1043/1000)/100,1)</f>
        <v>1</v>
      </c>
      <c r="O1052">
        <v>0</v>
      </c>
      <c r="P1052">
        <f>IF(B1079=0,0,O1052/B1079)</f>
        <v>0</v>
      </c>
      <c r="S1052">
        <v>0</v>
      </c>
      <c r="V1052">
        <f>IFERROR(1/IF(Inputs!$B$4="pvp",15,MAX(0.1,Skills!E12-IF(Skills!F12=TRUE,Inputs!$B$31,0))),0)</f>
        <v>10</v>
      </c>
    </row>
    <row r="1053" spans="1:22" x14ac:dyDescent="0.2">
      <c r="A1053" t="str">
        <f>Skills!A13</f>
        <v>METEOR_SHOWER_BURST</v>
      </c>
      <c r="B1053" t="str">
        <f>Skills!B13</f>
        <v>Meteor Shower (burst)</v>
      </c>
      <c r="C1053" t="b">
        <f>Inputs!$B$3&gt;=105</f>
        <v>1</v>
      </c>
      <c r="D1053">
        <f>IF(Skills!C13=1,60+Inputs!$B$24+Inputs!$B$28,IF(Skills!C13=2,90+Inputs!$B$25+Inputs!$B$28,IF(Skills!C13=3,120+Inputs!$B$26+Inputs!$B$28,MAX(0,(Inputs!$B$3-100)*3)+Inputs!$B$27+Inputs!$B$28)))</f>
        <v>172</v>
      </c>
      <c r="E1053">
        <f>INDEX(FactorTable!$B$2:$Y$301, MATCH(ROUND(MIN(300,MAX(1,D1053)),0), FactorTable!$A$2:$A$301,0), Skills!M13+1)</f>
        <v>1860</v>
      </c>
      <c r="F1053">
        <f>IF(Skills!N13=TRUE,(Skills!L13/10)*(E1053/1000),Skills!L13/10)+Skills!O13</f>
        <v>1116</v>
      </c>
      <c r="G1053">
        <f>Calc!G13</f>
        <v>9</v>
      </c>
      <c r="H1053">
        <f>Calc!H13</f>
        <v>1</v>
      </c>
      <c r="I1053">
        <f>IF(Skills!X13&lt;&gt;"",1+(Skills!X13/10)*(R1043/1000)/100,1)</f>
        <v>1</v>
      </c>
      <c r="J1053">
        <f>((Inputs!$B$5*(1+Inputs!$B$6/100))+((Inputs!$B$11*(1+Inputs!$B$12/100))-(Inputs!$B$11*(1+Inputs!$B$12/100)))*(1+Inputs!$B$6/100))*(F1053/100)</f>
        <v>2788114206.9484801</v>
      </c>
      <c r="K1053">
        <f>J1053*(1+((Inputs!$B$11*(1+Inputs!$B$12/100))*0.01+Inputs!$B$13*0.0025)/100)*(1+Inputs!$B$14/100)*(1+IF(Inputs!$B$4="pvp",0,(1-Summary!$B$56)*(Inputs!$B$19+Skills!P13)+Summary!$B$56*(Inputs!$B$20+Skills!Q13))/100)*(1+Inputs!$B$15/100)*(5000/(6000+Inputs!$B$7*(1-Inputs!$B$18/100)))*(1+Inputs!$B$23/100)*(1+F1063/100)*(1+IF(Inputs!$B$3&gt;=120,F1066,0)/100)^5*(1+(IF(Skills!A13="BASIC_ATTACK",Inputs!$B$16,Inputs!$B$17+IF(Inputs!$B$3&gt;=125,F1067*5,0)))/100)*(B1070*B1071*B1072*I1053)</f>
        <v>21295940329568.121</v>
      </c>
      <c r="L1053">
        <f>K1053*(MIN(Inputs!$B$21+(F1062-Calc!F22),Inputs!$B$22)/100+Inputs!$B$22/100)/2</f>
        <v>57488390919669.133</v>
      </c>
      <c r="M1053">
        <f>L1053*(1+(Inputs!$B$9+(F1061-Calc!F21))/100)</f>
        <v>240933846344333.38</v>
      </c>
      <c r="N1053">
        <f>L1053*(1-MIN(Inputs!$B$8+(F1060-Calc!F20),100)/100)+M1053*(MIN(Inputs!$B$8+(F1060-Calc!F20),100)/100)</f>
        <v>240933846344333.38</v>
      </c>
      <c r="O1053">
        <f>IF(C1053,H1053*N1053*IF(AND(Inputs!$B$4&lt;&gt;"pvp",Inputs!$B$35&gt;0),((Skills!G13*((S1053-1)*IF(Skills!H13&gt;0,Skills!I13/Skills!H13,1)+IF(Skills!H13&gt;0,MIN(Skills!I13,MAX(0,Inputs!$B$35-((S1053-1)*IF(Inputs!$B$4="pvp",15,MAX(0.1,Skills!E13-IF(Skills!F13=TRUE,Inputs!$B$31,0))))))/Skills!H13,1)))/Inputs!$B$35),G1053*V1053)*IF(Inputs!$B$4="pvp",1,(1-Summary!$B$56)*(1)+Summary!$B$56*(MIN(Skills!R13,Inputs!$B$37))),0)</f>
        <v>302262461777436.44</v>
      </c>
      <c r="P1053">
        <f>IF(B1079=0,0,O1053/B1079)</f>
        <v>3.609811887217796E-2</v>
      </c>
      <c r="S1053">
        <f>IF(AND(Inputs!$B$4&lt;&gt;"pvp",Inputs!$B$35&gt;0),(INT(Inputs!$B$35/IF(Inputs!$B$4="pvp",15,MAX(0.1,Skills!E13-IF(Skills!F13=TRUE,Inputs!$B$31,0))))+1),0)</f>
        <v>0</v>
      </c>
      <c r="V1053">
        <f>IFERROR(1/IF(Inputs!$B$4="pvp",15,MAX(0.1,Skills!E13-IF(Skills!F13=TRUE,Inputs!$B$31,0))),0)</f>
        <v>3.0303030303030304E-2</v>
      </c>
    </row>
    <row r="1054" spans="1:22" x14ac:dyDescent="0.2">
      <c r="A1054" t="str">
        <f>Skills!A14</f>
        <v>METEOR_PROC</v>
      </c>
      <c r="B1054" t="str">
        <f>Skills!B14</f>
        <v>Meteor Proc (30% on-hit, 1s ICD)</v>
      </c>
      <c r="C1054" t="b">
        <f>Inputs!$B$3&gt;=113</f>
        <v>1</v>
      </c>
      <c r="D1054">
        <f>IF(Skills!C14=1,60+Inputs!$B$24+Inputs!$B$28,IF(Skills!C14=2,90+Inputs!$B$25+Inputs!$B$28,IF(Skills!C14=3,120+Inputs!$B$26+Inputs!$B$28,MAX(0,(Inputs!$B$3-100)*3)+Inputs!$B$27+Inputs!$B$28)))</f>
        <v>172</v>
      </c>
      <c r="E1054">
        <f>INDEX(FactorTable!$B$2:$Y$301, MATCH(ROUND(MIN(300,MAX(1,D1054)),0), FactorTable!$A$2:$A$301,0), Skills!M14+1)</f>
        <v>1688</v>
      </c>
      <c r="F1054">
        <f>IF(Skills!N14=TRUE,(Skills!L14/10)*(E1054/1000),Skills!L14/10)+Skills!O14</f>
        <v>1603.6</v>
      </c>
      <c r="G1054">
        <f>Calc!G14</f>
        <v>0</v>
      </c>
      <c r="H1054">
        <f>Calc!H14</f>
        <v>0.30000000000000004</v>
      </c>
      <c r="I1054">
        <f>IF(Skills!X14&lt;&gt;"",1+(Skills!X14/10)*(R1043/1000)/100,1)</f>
        <v>1</v>
      </c>
      <c r="J1054">
        <f>((Inputs!$B$5*(1+Inputs!$B$6/100))+((Inputs!$B$11*(1+Inputs!$B$12/100))-(Inputs!$B$11*(1+Inputs!$B$12/100)))*(1+Inputs!$B$6/100))*(F1054/100)</f>
        <v>4006290270.8446074</v>
      </c>
      <c r="K1054">
        <f>J1054*(1+((Inputs!$B$11*(1+Inputs!$B$12/100))*0.01+Inputs!$B$13*0.0025)/100)*(1+Inputs!$B$14/100)*(1+IF(Inputs!$B$4="pvp",0,(1-Summary!$B$56)*(Inputs!$B$19+Skills!P14)+Summary!$B$56*(Inputs!$B$20+Skills!Q14))/100)*(1+Inputs!$B$15/100)*(5000/(6000+Inputs!$B$7*(1-Inputs!$B$18/100)))*(1+Inputs!$B$23/100)*(1+F1063/100)*(1+IF(Inputs!$B$3&gt;=120,F1066,0)/100)^5*(1+(IF(Skills!A14="BASIC_ATTACK",Inputs!$B$16,Inputs!$B$17+IF(Inputs!$B$3&gt;=125,F1067*5,0)))/100)*(B1070*B1071*B1072*I1054)</f>
        <v>30600510674279.074</v>
      </c>
      <c r="L1054">
        <f>K1054*(MIN(Inputs!$B$21+(F1062-Calc!F22),Inputs!$B$22)/100+Inputs!$B$22/100)/2</f>
        <v>82606078565216.344</v>
      </c>
      <c r="M1054">
        <f>L1054*(1+(Inputs!$B$9+(F1061-Calc!F21))/100)</f>
        <v>346202075266821.75</v>
      </c>
      <c r="N1054">
        <f>L1054*(1-MIN(Inputs!$B$8+(F1060-Calc!F20),100)/100)+M1054*(MIN(Inputs!$B$8+(F1060-Calc!F20),100)/100)</f>
        <v>346202075266821.75</v>
      </c>
      <c r="O1054">
        <f>IF(C1054,(H1054*B1077)/(1+Skills!H14*H1054*B1077)*N1054*IF(Inputs!$B$4="pvp",1,(1-Summary!$B$56)*(1)+Summary!$B$56*(MIN(Skills!R14,Inputs!$B$37))),0)</f>
        <v>108913030154079.59</v>
      </c>
      <c r="P1054">
        <f>IF(B1079=0,0,O1054/B1079)</f>
        <v>1.300709153929267E-2</v>
      </c>
      <c r="S1054">
        <v>0</v>
      </c>
      <c r="V1054">
        <f>IFERROR(1/IF(Inputs!$B$4="pvp",15,MAX(0.1,Skills!E14-IF(Skills!F14=TRUE,Inputs!$B$31,0))),0)</f>
        <v>10</v>
      </c>
    </row>
    <row r="1055" spans="1:22" x14ac:dyDescent="0.2">
      <c r="A1055" t="str">
        <f>Skills!A15</f>
        <v>FLAME_HAZE_BURST</v>
      </c>
      <c r="B1055" t="str">
        <f>Skills!B15</f>
        <v>Flame Haze (burst)</v>
      </c>
      <c r="C1055" t="b">
        <f>Inputs!$B$3&gt;=107</f>
        <v>1</v>
      </c>
      <c r="D1055">
        <f>IF(Skills!C15=1,60+Inputs!$B$24+Inputs!$B$28,IF(Skills!C15=2,90+Inputs!$B$25+Inputs!$B$28,IF(Skills!C15=3,120+Inputs!$B$26+Inputs!$B$28,MAX(0,(Inputs!$B$3-100)*3)+Inputs!$B$27+Inputs!$B$28)))</f>
        <v>172</v>
      </c>
      <c r="E1055">
        <f>INDEX(FactorTable!$B$2:$Y$301, MATCH(ROUND(MIN(300,MAX(1,D1055)),0), FactorTable!$A$2:$A$301,0), Skills!M15+1)</f>
        <v>1860</v>
      </c>
      <c r="F1055">
        <f>IF(Skills!N15=TRUE,(Skills!L15/10)*(E1055/1000),Skills!L15/10)+Skills!O15</f>
        <v>2232</v>
      </c>
      <c r="G1055">
        <f>Calc!G15</f>
        <v>3</v>
      </c>
      <c r="H1055">
        <f>Calc!H15</f>
        <v>1</v>
      </c>
      <c r="I1055">
        <f>IF(Skills!X15&lt;&gt;"",1+(Skills!X15/10)*(R1043/1000)/100,1)</f>
        <v>1</v>
      </c>
      <c r="J1055">
        <f>((Inputs!$B$5*(1+Inputs!$B$6/100))+((Inputs!$B$11*(1+Inputs!$B$12/100))-(Inputs!$B$11*(1+Inputs!$B$12/100)))*(1+Inputs!$B$6/100))*(F1055/100)</f>
        <v>5576228413.8969603</v>
      </c>
      <c r="K1055">
        <f>J1055*(1+((Inputs!$B$11*(1+Inputs!$B$12/100))*0.01+Inputs!$B$13*0.0025)/100)*(1+Inputs!$B$14/100)*(1+IF(Inputs!$B$4="pvp",0,(1-Summary!$B$56)*(Inputs!$B$19+Skills!P15)+Summary!$B$56*(Inputs!$B$20+Skills!Q15))/100)*(1+Inputs!$B$15/100)*(5000/(6000+Inputs!$B$7*(1-Inputs!$B$18/100)))*(1+Inputs!$B$23/100)*(1+F1063/100)*(1+IF(Inputs!$B$3&gt;=120,F1066,0)/100)^5*(1+(IF(Skills!A15="BASIC_ATTACK",Inputs!$B$16,Inputs!$B$17+IF(Inputs!$B$3&gt;=125,F1067*5,0)))/100)*(B1070*B1071*B1072*I1055)</f>
        <v>42591880659136.242</v>
      </c>
      <c r="L1055">
        <f>K1055*(MIN(Inputs!$B$21+(F1062-Calc!F22),Inputs!$B$22)/100+Inputs!$B$22/100)/2</f>
        <v>114976781839338.27</v>
      </c>
      <c r="M1055">
        <f>L1055*(1+(Inputs!$B$9+(F1061-Calc!F21))/100)</f>
        <v>481867692688666.75</v>
      </c>
      <c r="N1055">
        <f>L1055*(1-MIN(Inputs!$B$8+(F1060-Calc!F20),100)/100)+M1055*(MIN(Inputs!$B$8+(F1060-Calc!F20),100)/100)</f>
        <v>481867692688666.75</v>
      </c>
      <c r="O1055">
        <f>IF(C1055,H1055*N1055*IF(AND(Inputs!$B$4&lt;&gt;"pvp",Inputs!$B$35&gt;0),((Skills!G15*((S1055-1)*IF(Skills!H15&gt;0,Skills!I15/Skills!H15,1)+IF(Skills!H15&gt;0,MIN(Skills!I15,MAX(0,Inputs!$B$35-((S1055-1)*IF(Inputs!$B$4="pvp",15,MAX(0.1,Skills!E15-IF(Skills!F15=TRUE,Inputs!$B$31,0))))))/Skills!H15,1)))/Inputs!$B$35),G1055*V1055)*IF(Inputs!$B$4="pvp",1,(1-Summary!$B$56)*(1)+Summary!$B$56*(MIN(Skills!R15,Inputs!$B$37))),0)</f>
        <v>370074387984896.06</v>
      </c>
      <c r="P1055">
        <f>IF(B1079=0,0,O1055/B1079)</f>
        <v>4.4196653366979616E-2</v>
      </c>
      <c r="S1055">
        <f>IF(AND(Inputs!$B$4&lt;&gt;"pvp",Inputs!$B$35&gt;0),(INT(Inputs!$B$35/IF(Inputs!$B$4="pvp",15,MAX(0.1,Skills!E15-IF(Skills!F15=TRUE,Inputs!$B$31,0))))+1),0)</f>
        <v>0</v>
      </c>
      <c r="V1055">
        <f>IFERROR(1/IF(Inputs!$B$4="pvp",15,MAX(0.1,Skills!E15-IF(Skills!F15=TRUE,Inputs!$B$31,0))),0)</f>
        <v>0.04</v>
      </c>
    </row>
    <row r="1056" spans="1:22" x14ac:dyDescent="0.2">
      <c r="A1056" t="str">
        <f>Skills!A16</f>
        <v>FLAME_HAZE_DOT</v>
      </c>
      <c r="B1056" t="str">
        <f>Skills!B16</f>
        <v>Flame Haze (burn DoT)</v>
      </c>
      <c r="C1056" t="b">
        <f>Inputs!$B$3&gt;=107</f>
        <v>1</v>
      </c>
      <c r="D1056">
        <f>IF(Skills!C16=1,60+Inputs!$B$24+Inputs!$B$28,IF(Skills!C16=2,90+Inputs!$B$25+Inputs!$B$28,IF(Skills!C16=3,120+Inputs!$B$26+Inputs!$B$28,MAX(0,(Inputs!$B$3-100)*3)+Inputs!$B$27+Inputs!$B$28)))</f>
        <v>172</v>
      </c>
      <c r="E1056">
        <f>INDEX(FactorTable!$B$2:$Y$301, MATCH(ROUND(MIN(300,MAX(1,D1056)),0), FactorTable!$A$2:$A$301,0), Skills!M16+1)</f>
        <v>1860</v>
      </c>
      <c r="F1056">
        <f>IF(Skills!N16=TRUE,(Skills!L16/10)*(E1056/1000),Skills!L16/10)+Skills!O16</f>
        <v>279</v>
      </c>
      <c r="G1056">
        <f>Calc!G16</f>
        <v>28</v>
      </c>
      <c r="H1056">
        <f>Calc!H16</f>
        <v>1</v>
      </c>
      <c r="I1056">
        <f>IF(Skills!X16&lt;&gt;"",1+(Skills!X16/10)*(R1043/1000)/100,1)</f>
        <v>1</v>
      </c>
      <c r="J1056">
        <f>((Inputs!$B$5*(1+Inputs!$B$6/100))+((Inputs!$B$11*(1+Inputs!$B$12/100))-(Inputs!$B$11*(1+Inputs!$B$12/100)))*(1+Inputs!$B$6/100))*(F1056/100)</f>
        <v>697028551.73712003</v>
      </c>
      <c r="K1056">
        <f>J1056*(1+((Inputs!$B$11*(1+Inputs!$B$12/100))*0.01+Inputs!$B$13*0.0025)/100)*(1+Inputs!$B$14/100)*(1+IF(Inputs!$B$4="pvp",0,(1-Summary!$B$56)*(Inputs!$B$19+Skills!P16)+Summary!$B$56*(Inputs!$B$20+Skills!Q16))/100)*(1+Inputs!$B$15/100)*(5000/(6000+Inputs!$B$7*(1-Inputs!$B$18/100)))*(1+Inputs!$B$23/100)*(1+F1063/100)*(1+IF(Inputs!$B$3&gt;=120,F1066,0)/100)^5*(1+(IF(Skills!A16="BASIC_ATTACK",Inputs!$B$16,Inputs!$B$17+IF(Inputs!$B$3&gt;=125,F1067*5,0)))/100)*(B1070*B1071*B1072*I1056)</f>
        <v>5323985082392.0303</v>
      </c>
      <c r="L1056">
        <f>K1056*(MIN(Inputs!$B$21+(F1062-Calc!F22),Inputs!$B$22)/100+Inputs!$B$22/100)/2</f>
        <v>14372097729917.283</v>
      </c>
      <c r="M1056">
        <f>L1056*(1+(Inputs!$B$9+(F1061-Calc!F21))/100)</f>
        <v>60233461586083.344</v>
      </c>
      <c r="N1056">
        <f>L1056*(1-MIN(Inputs!$B$8+(F1060-Calc!F20),100)/100)+M1056*(MIN(Inputs!$B$8+(F1060-Calc!F20),100)/100)</f>
        <v>60233461586083.344</v>
      </c>
      <c r="O1056">
        <f>IF(C1056,H1056*N1056*IF(AND(Inputs!$B$4&lt;&gt;"pvp",Inputs!$B$35&gt;0),((Skills!G16*((S1056-1)*IF(Skills!H16&gt;0,Skills!I16/Skills!H16,1)+IF(Skills!H16&gt;0,MIN(Skills!I16,MAX(0,Inputs!$B$35-((S1056-1)*IF(Inputs!$B$4="pvp",15,MAX(0.1,Skills!E16-IF(Skills!F16=TRUE,Inputs!$B$31,0))))))/Skills!H16,1)))/Inputs!$B$35),G1056*V1056)*(1+IF(Inputs!$B$3&gt;=126,0.05*(B1076+V1053+(H1054*B1077)/(1+Skills!H14*H1054*B1077)+V1064),0)*Skills!E15)*IF(Inputs!$B$4="pvp",1,(1-Summary!$B$56)*(1)+Summary!$B$56*(MIN(Skills!R16,Inputs!$B$37))),0)</f>
        <v>431753452649045.5</v>
      </c>
      <c r="P1056">
        <f>IF(B1079=0,0,O1056/B1079)</f>
        <v>5.1562762261476235E-2</v>
      </c>
      <c r="S1056">
        <f>IF(AND(Inputs!$B$4&lt;&gt;"pvp",Inputs!$B$35&gt;0),(INT(Inputs!$B$35/IF(Inputs!$B$4="pvp",15,MAX(0.1,Skills!E16-IF(Skills!F16=TRUE,Inputs!$B$31,0))))+1),0)</f>
        <v>0</v>
      </c>
      <c r="V1056">
        <f>IFERROR(1/IF(Inputs!$B$4="pvp",15,MAX(0.1,Skills!E16-IF(Skills!F16=TRUE,Inputs!$B$31,0))),0)</f>
        <v>0.04</v>
      </c>
    </row>
    <row r="1057" spans="1:22" x14ac:dyDescent="0.2">
      <c r="A1057" t="str">
        <f>Skills!A17</f>
        <v>MAGIC_GUARD</v>
      </c>
      <c r="B1057" t="str">
        <f>Skills!B17</f>
        <v>Magic Guard</v>
      </c>
      <c r="C1057" t="b">
        <f>TRUE</f>
        <v>1</v>
      </c>
      <c r="D1057">
        <f>IF(Skills!C17=1,60+Inputs!$B$24+Inputs!$B$28,IF(Skills!C17=2,90+Inputs!$B$25+Inputs!$B$28,IF(Skills!C17=3,120+Inputs!$B$26+Inputs!$B$28,MAX(0,(Inputs!$B$3-100)*3)+Inputs!$B$27+Inputs!$B$28)))</f>
        <v>115</v>
      </c>
      <c r="E1057">
        <f>INDEX(FactorTable!$B$2:$Y$301, MATCH(ROUND(MIN(300,MAX(1,D1057)),0), FactorTable!$A$2:$A$301,0), Skills!M17+1)</f>
        <v>1460</v>
      </c>
      <c r="F1057">
        <f>IF(Skills!N17=TRUE,(Skills!L17/10)*(E1057/1000),Skills!L17/10)+Skills!O17</f>
        <v>17.52</v>
      </c>
      <c r="G1057">
        <f>Calc!G17</f>
        <v>1</v>
      </c>
      <c r="H1057">
        <f>Calc!H17</f>
        <v>1</v>
      </c>
      <c r="I1057">
        <f>IF(Skills!X17&lt;&gt;"",1+(Skills!X17/10)*(R1043/1000)/100,1)</f>
        <v>1</v>
      </c>
      <c r="O1057">
        <v>0</v>
      </c>
      <c r="P1057">
        <f>IF(B1079=0,0,O1057/B1079)</f>
        <v>0</v>
      </c>
      <c r="S1057">
        <f>IF(AND(Inputs!$B$4&lt;&gt;"pvp",Inputs!$B$35&gt;0),(INT(Inputs!$B$35/IF(Inputs!$B$4="pvp",15,MAX(0.1,Skills!E17-IF(Skills!F17=TRUE,Inputs!$B$31,0))))+1),0)</f>
        <v>0</v>
      </c>
      <c r="V1057">
        <f>IFERROR(1/IF(Inputs!$B$4="pvp",15,MAX(0.1,Skills!E17-IF(Skills!F17=TRUE,Inputs!$B$31,0))),0)</f>
        <v>4.7619047619047616E-2</v>
      </c>
    </row>
    <row r="1058" spans="1:22" x14ac:dyDescent="0.2">
      <c r="A1058" t="str">
        <f>Skills!A18</f>
        <v>NIMBLE_FEET</v>
      </c>
      <c r="B1058" t="str">
        <f>Skills!B18</f>
        <v>Nimble Feet</v>
      </c>
      <c r="C1058" t="b">
        <f>TRUE</f>
        <v>1</v>
      </c>
      <c r="D1058">
        <f>IF(Skills!C18=1,60+Inputs!$B$24+Inputs!$B$28,IF(Skills!C18=2,90+Inputs!$B$25+Inputs!$B$28,IF(Skills!C18=3,120+Inputs!$B$26+Inputs!$B$28,MAX(0,(Inputs!$B$3-100)*3)+Inputs!$B$27+Inputs!$B$28)))</f>
        <v>115</v>
      </c>
      <c r="E1058">
        <f>INDEX(FactorTable!$B$2:$Y$301, MATCH(ROUND(MIN(300,MAX(1,D1058)),0), FactorTable!$A$2:$A$301,0), Skills!M18+1)</f>
        <v>0</v>
      </c>
      <c r="F1058">
        <f>IF(Skills!N18=TRUE,(Skills!L18/10)*(E1058/1000),Skills!L18/10)+Skills!O18</f>
        <v>15</v>
      </c>
      <c r="G1058">
        <f>Calc!G18</f>
        <v>1</v>
      </c>
      <c r="H1058">
        <f>Calc!H18</f>
        <v>1</v>
      </c>
      <c r="I1058">
        <f>IF(Skills!X18&lt;&gt;"",1+(Skills!X18/10)*(R1043/1000)/100,1)</f>
        <v>1</v>
      </c>
      <c r="O1058">
        <v>0</v>
      </c>
      <c r="P1058">
        <f>IF(B1079=0,0,O1058/B1079)</f>
        <v>0</v>
      </c>
      <c r="S1058">
        <f>IF(AND(Inputs!$B$4&lt;&gt;"pvp",Inputs!$B$35&gt;0),(INT(Inputs!$B$35/IF(Inputs!$B$4="pvp",15,MAX(0.1,Skills!E18-IF(Skills!F18=TRUE,Inputs!$B$31,0))))+1),0)</f>
        <v>0</v>
      </c>
      <c r="V1058">
        <f>IFERROR(1/IF(Inputs!$B$4="pvp",15,MAX(0.1,Skills!E18-IF(Skills!F18=TRUE,Inputs!$B$31,0))),0)</f>
        <v>1.6666666666666666E-2</v>
      </c>
    </row>
    <row r="1059" spans="1:22" x14ac:dyDescent="0.2">
      <c r="A1059" t="str">
        <f>Skills!A19</f>
        <v>INFINITY</v>
      </c>
      <c r="B1059" t="str">
        <f>Skills!B19</f>
        <v>Infinity</v>
      </c>
      <c r="C1059" t="b">
        <f>Inputs!$B$3&gt;=110</f>
        <v>1</v>
      </c>
      <c r="D1059">
        <f>IF(Skills!C19=1,60+Inputs!$B$24+Inputs!$B$28,IF(Skills!C19=2,90+Inputs!$B$25+Inputs!$B$28,IF(Skills!C19=3,120+Inputs!$B$26+Inputs!$B$28,MAX(0,(Inputs!$B$3-100)*3)+Inputs!$B$27+Inputs!$B$28)))</f>
        <v>172</v>
      </c>
      <c r="E1059">
        <f>INDEX(FactorTable!$B$2:$Y$301, MATCH(ROUND(MIN(300,MAX(1,D1059)),0), FactorTable!$A$2:$A$301,0), Skills!M19+1)</f>
        <v>1688</v>
      </c>
      <c r="F1059">
        <f>IF(Skills!N19=TRUE,(Skills!L19/10)*(E1059/1000),Skills!L19/10)+Skills!O19</f>
        <v>36.573895999999998</v>
      </c>
      <c r="G1059">
        <f>Calc!G19</f>
        <v>1</v>
      </c>
      <c r="H1059">
        <f>Calc!H19</f>
        <v>1</v>
      </c>
      <c r="I1059">
        <f>IF(Skills!X19&lt;&gt;"",1+(Skills!X19/10)*(R1043/1000)/100,1)</f>
        <v>1</v>
      </c>
      <c r="O1059">
        <v>0</v>
      </c>
      <c r="P1059">
        <f>IF(B1079=0,0,O1059/B1079)</f>
        <v>0</v>
      </c>
      <c r="S1059">
        <f>IF(AND(Inputs!$B$4&lt;&gt;"pvp",Inputs!$B$35&gt;0),(INT(Inputs!$B$35/IF(Inputs!$B$4="pvp",15,MAX(0.1,Skills!E19-IF(Skills!F19=TRUE,Inputs!$B$31,0))))+1),0)</f>
        <v>0</v>
      </c>
      <c r="V1059">
        <f>IFERROR(1/IF(Inputs!$B$4="pvp",15,MAX(0.1,Skills!E19-IF(Skills!F19=TRUE,Inputs!$B$31,0))),0)</f>
        <v>3.3333333333333333E-2</v>
      </c>
    </row>
    <row r="1060" spans="1:22" x14ac:dyDescent="0.2">
      <c r="A1060" t="str">
        <f>Skills!A20</f>
        <v>MAGIC_CRITICAL_RATE</v>
      </c>
      <c r="B1060" t="str">
        <f>Skills!B20</f>
        <v>Magic Critical (Crit Rate)</v>
      </c>
      <c r="C1060" t="b">
        <f>TRUE</f>
        <v>1</v>
      </c>
      <c r="D1060">
        <f>IF(Skills!C20=1,60+Inputs!$B$24+Inputs!$B$28,IF(Skills!C20=2,90+Inputs!$B$25+Inputs!$B$28,IF(Skills!C20=3,120+Inputs!$B$26+Inputs!$B$28,MAX(0,(Inputs!$B$3-100)*3)+Inputs!$B$27+Inputs!$B$28)))</f>
        <v>184</v>
      </c>
      <c r="E1060">
        <f>INDEX(FactorTable!$B$2:$Y$301, MATCH(ROUND(MIN(300,MAX(1,D1060)),0), FactorTable!$A$2:$A$301,0), Skills!M20+1)</f>
        <v>1552</v>
      </c>
      <c r="F1060">
        <f>IF(Skills!N20=TRUE,(Skills!L20/10)*(E1060/1000),Skills!L20/10)+Skills!O20</f>
        <v>12.416</v>
      </c>
      <c r="G1060">
        <f>Calc!G20</f>
        <v>1</v>
      </c>
      <c r="H1060">
        <f>Calc!H20</f>
        <v>1</v>
      </c>
      <c r="I1060">
        <f>IF(Skills!X20&lt;&gt;"",1+(Skills!X20/10)*(R1043/1000)/100,1)</f>
        <v>1</v>
      </c>
      <c r="O1060">
        <v>0</v>
      </c>
      <c r="P1060">
        <f>IF(B1079=0,0,O1060/B1079)</f>
        <v>0</v>
      </c>
      <c r="S1060">
        <v>0</v>
      </c>
      <c r="V1060">
        <f>IFERROR(1/IF(Inputs!$B$4="pvp",15,MAX(0.1,Skills!E20-IF(Skills!F20=TRUE,Inputs!$B$31,0))),0)</f>
        <v>10</v>
      </c>
    </row>
    <row r="1061" spans="1:22" x14ac:dyDescent="0.2">
      <c r="A1061" t="str">
        <f>Skills!A21</f>
        <v>MAGIC_CRITICAL_DAMAGE</v>
      </c>
      <c r="B1061" t="str">
        <f>Skills!B21</f>
        <v>Magic Critical (Crit Damage)</v>
      </c>
      <c r="C1061" t="b">
        <f>TRUE</f>
        <v>1</v>
      </c>
      <c r="D1061">
        <f>IF(Skills!C21=1,60+Inputs!$B$24+Inputs!$B$28,IF(Skills!C21=2,90+Inputs!$B$25+Inputs!$B$28,IF(Skills!C21=3,120+Inputs!$B$26+Inputs!$B$28,MAX(0,(Inputs!$B$3-100)*3)+Inputs!$B$27+Inputs!$B$28)))</f>
        <v>184</v>
      </c>
      <c r="E1061">
        <f>INDEX(FactorTable!$B$2:$Y$301, MATCH(ROUND(MIN(300,MAX(1,D1061)),0), FactorTable!$A$2:$A$301,0), Skills!M21+1)</f>
        <v>1552</v>
      </c>
      <c r="F1061">
        <f>IF(Skills!N21=TRUE,(Skills!L21/10)*(E1061/1000),Skills!L21/10)+Skills!O21</f>
        <v>18.624000000000002</v>
      </c>
      <c r="G1061">
        <f>Calc!G21</f>
        <v>1</v>
      </c>
      <c r="H1061">
        <f>Calc!H21</f>
        <v>1</v>
      </c>
      <c r="I1061">
        <f>IF(Skills!X21&lt;&gt;"",1+(Skills!X21/10)*(R1043/1000)/100,1)</f>
        <v>1</v>
      </c>
      <c r="O1061">
        <v>0</v>
      </c>
      <c r="P1061">
        <f>IF(B1079=0,0,O1061/B1079)</f>
        <v>0</v>
      </c>
      <c r="S1061">
        <v>0</v>
      </c>
      <c r="V1061">
        <f>IFERROR(1/IF(Inputs!$B$4="pvp",15,MAX(0.1,Skills!E21-IF(Skills!F21=TRUE,Inputs!$B$31,0))),0)</f>
        <v>10</v>
      </c>
    </row>
    <row r="1062" spans="1:22" x14ac:dyDescent="0.2">
      <c r="A1062" t="str">
        <f>Skills!A22</f>
        <v>SPELL_MASTERY</v>
      </c>
      <c r="B1062" t="str">
        <f>Skills!B22</f>
        <v>Spell Mastery</v>
      </c>
      <c r="C1062" t="b">
        <f>TRUE</f>
        <v>1</v>
      </c>
      <c r="D1062">
        <f>IF(Skills!C22=1,60+Inputs!$B$24+Inputs!$B$28,IF(Skills!C22=2,90+Inputs!$B$25+Inputs!$B$28,IF(Skills!C22=3,120+Inputs!$B$26+Inputs!$B$28,MAX(0,(Inputs!$B$3-100)*3)+Inputs!$B$27+Inputs!$B$28)))</f>
        <v>164</v>
      </c>
      <c r="E1062">
        <f>INDEX(FactorTable!$B$2:$Y$301, MATCH(ROUND(MIN(300,MAX(1,D1062)),0), FactorTable!$A$2:$A$301,0), Skills!M22+1)</f>
        <v>1492</v>
      </c>
      <c r="F1062">
        <f>IF(Skills!N22=TRUE,(Skills!L22/10)*(E1062/1000),Skills!L22/10)+Skills!O22</f>
        <v>22.38</v>
      </c>
      <c r="G1062">
        <f>Calc!G22</f>
        <v>1</v>
      </c>
      <c r="H1062">
        <f>Calc!H22</f>
        <v>1</v>
      </c>
      <c r="I1062">
        <f>IF(Skills!X22&lt;&gt;"",1+(Skills!X22/10)*(R1043/1000)/100,1)</f>
        <v>1</v>
      </c>
      <c r="O1062">
        <v>0</v>
      </c>
      <c r="P1062">
        <f>IF(B1079=0,0,O1062/B1079)</f>
        <v>0</v>
      </c>
      <c r="S1062">
        <v>0</v>
      </c>
      <c r="V1062">
        <f>IFERROR(1/IF(Inputs!$B$4="pvp",15,MAX(0.1,Skills!E22-IF(Skills!F22=TRUE,Inputs!$B$31,0))),0)</f>
        <v>10</v>
      </c>
    </row>
    <row r="1063" spans="1:22" x14ac:dyDescent="0.2">
      <c r="A1063" t="str">
        <f>Skills!A23</f>
        <v>ELEMENT_AMPLIFICATION</v>
      </c>
      <c r="B1063" t="str">
        <f>Skills!B23</f>
        <v>Element Amplification</v>
      </c>
      <c r="C1063" t="b">
        <f>TRUE</f>
        <v>1</v>
      </c>
      <c r="D1063">
        <f>IF(Skills!C23=1,60+Inputs!$B$24+Inputs!$B$28,IF(Skills!C23=2,90+Inputs!$B$25+Inputs!$B$28,IF(Skills!C23=3,120+Inputs!$B$26+Inputs!$B$28,MAX(0,(Inputs!$B$3-100)*3)+Inputs!$B$27+Inputs!$B$28)))</f>
        <v>172</v>
      </c>
      <c r="E1063">
        <f>INDEX(FactorTable!$B$2:$Y$301, MATCH(ROUND(MIN(300,MAX(1,D1063)),0), FactorTable!$A$2:$A$301,0), Skills!M23+1)</f>
        <v>1516</v>
      </c>
      <c r="F1063">
        <f>IF(Skills!N23=TRUE,(Skills!L23/10)*(E1063/1000),Skills!L23/10)+Skills!O23</f>
        <v>22.740000000000002</v>
      </c>
      <c r="G1063">
        <f>Calc!G23</f>
        <v>1</v>
      </c>
      <c r="H1063">
        <f>Calc!H23</f>
        <v>1</v>
      </c>
      <c r="I1063">
        <f>IF(Skills!X23&lt;&gt;"",1+(Skills!X23/10)*(R1043/1000)/100,1)</f>
        <v>1</v>
      </c>
      <c r="O1063">
        <v>0</v>
      </c>
      <c r="P1063">
        <f>IF(B1079=0,0,O1063/B1079)</f>
        <v>0</v>
      </c>
      <c r="S1063">
        <v>0</v>
      </c>
      <c r="V1063">
        <f>IFERROR(1/IF(Inputs!$B$4="pvp",15,MAX(0.1,Skills!E23-IF(Skills!F23=TRUE,Inputs!$B$31,0))),0)</f>
        <v>10</v>
      </c>
    </row>
    <row r="1064" spans="1:22" x14ac:dyDescent="0.2">
      <c r="A1064" t="str">
        <f>Skills!A24</f>
        <v>IFRIT</v>
      </c>
      <c r="B1064" t="str">
        <f>Skills!B24</f>
        <v>Ifrit</v>
      </c>
      <c r="C1064" t="b">
        <f>Inputs!$B$3&gt;=115</f>
        <v>0</v>
      </c>
      <c r="D1064">
        <f>IF(Skills!C24=1,60+Inputs!$B$24+Inputs!$B$28,IF(Skills!C24=2,90+Inputs!$B$25+Inputs!$B$28,IF(Skills!C24=3,120+Inputs!$B$26+Inputs!$B$28,MAX(0,(Inputs!$B$3-100)*3)+Inputs!$B$27+Inputs!$B$28)))</f>
        <v>172</v>
      </c>
      <c r="E1064">
        <f>INDEX(FactorTable!$B$2:$Y$301, MATCH(ROUND(MIN(300,MAX(1,D1064)),0), FactorTable!$A$2:$A$301,0), Skills!M24+1)</f>
        <v>1860</v>
      </c>
      <c r="F1064">
        <f>IF(Skills!N24=TRUE,(Skills!L24/10)*(E1064/1000),Skills!L24/10)+Skills!O24</f>
        <v>6510</v>
      </c>
      <c r="G1064">
        <f>Calc!G24</f>
        <v>7.5</v>
      </c>
      <c r="H1064">
        <f>Calc!H24</f>
        <v>1</v>
      </c>
      <c r="I1064">
        <f>IF(Skills!X24&lt;&gt;"",1+(Skills!X24/10)*(R1043/1000)/100,1)</f>
        <v>1</v>
      </c>
      <c r="J1064">
        <f>((Inputs!$B$5*(1+Inputs!$B$6/100))+((Inputs!$B$11*(1+Inputs!$B$12/100))-(Inputs!$B$11*(1+Inputs!$B$12/100)))*(1+Inputs!$B$6/100))*(F1064/100)</f>
        <v>16263999540.532799</v>
      </c>
      <c r="K1064">
        <f>J1064*(1+((Inputs!$B$11*(1+Inputs!$B$12/100))*0.01+Inputs!$B$13*0.0025)/100)*(1+Inputs!$B$14/100)*(1+IF(Inputs!$B$4="pvp",0,(1-Summary!$B$56)*(Inputs!$B$19+Skills!P24)+Summary!$B$56*(Inputs!$B$20+Skills!Q24))/100)*(1+Inputs!$B$15/100)*(5000/(6000+Inputs!$B$7*(1-Inputs!$B$18/100)))*(1+Inputs!$B$23/100)*(1+F1063/100)*(1+IF(Inputs!$B$3&gt;=120,F1066,0)/100)^5*(1+(IF(Skills!A24="BASIC_ATTACK",Inputs!$B$16,Inputs!$B$17+IF(Inputs!$B$3&gt;=125,F1067*5,0)))/100)*(B1070*B1071*B1072*I1064)</f>
        <v>124226318589147.38</v>
      </c>
      <c r="L1064">
        <f>K1064*(MIN(Inputs!$B$21+(F1062-Calc!F22),Inputs!$B$22)/100+Inputs!$B$22/100)/2</f>
        <v>335348947031403.31</v>
      </c>
      <c r="M1064">
        <f>L1064*(1+(Inputs!$B$9+(F1061-Calc!F21))/100)</f>
        <v>1405447437008611.5</v>
      </c>
      <c r="N1064">
        <f>L1064*(1-MIN(Inputs!$B$8+(F1060-Calc!F20),100)/100)+M1064*(MIN(Inputs!$B$8+(F1060-Calc!F20),100)/100)</f>
        <v>1405447437008611.5</v>
      </c>
      <c r="O1064">
        <f>IF(C1064,H1064*N1064*IF(AND(Inputs!$B$4&lt;&gt;"pvp",Inputs!$B$35&gt;0),((Skills!G24*((S1064-1)*IF(Skills!H24&gt;0,Skills!I24/Skills!H24,1)+IF(Skills!H24&gt;0,MIN(Skills!I24,MAX(0,Inputs!$B$35-((S1064-1)*IF(Inputs!$B$4="pvp",15,MAX(0.1,Skills!E24-IF(Skills!F24=TRUE,Inputs!$B$31,0))))))/Skills!H24,1)))/Inputs!$B$35),G1064*V1064)*(1+IF(Inputs!$B$3&gt;=130,0.2*(Skills!I16/Skills!E15+IF(Inputs!$B$3&gt;=126,0.05*(B1076+V1053+(H1054*B1077)/(1+Skills!H14*H1054*B1077)+V1064),0)*Skills!I16),0))*IF(Inputs!$B$4="pvp",1,(1-Summary!$B$56)*(1)+Summary!$B$56*(MIN(Skills!R24,Inputs!$B$37))),0)</f>
        <v>0</v>
      </c>
      <c r="P1064">
        <f>IF(B1079=0,0,O1064/B1079)</f>
        <v>0</v>
      </c>
      <c r="S1064">
        <f>IF(AND(Inputs!$B$4&lt;&gt;"pvp",Inputs!$B$35&gt;0),(INT(Inputs!$B$35/IF(Inputs!$B$4="pvp",15,MAX(0.1,Skills!E24-IF(Skills!F24=TRUE,Inputs!$B$31,0))))+1),0)</f>
        <v>0</v>
      </c>
      <c r="V1064">
        <f>IFERROR(1/IF(Inputs!$B$4="pvp",15,MAX(0.1,Skills!E24-IF(Skills!F24=TRUE,Inputs!$B$31,0))),0)</f>
        <v>1.2500000000000001E-2</v>
      </c>
    </row>
    <row r="1065" spans="1:22" x14ac:dyDescent="0.2">
      <c r="A1065" t="str">
        <f>Skills!A25</f>
        <v>BUFF_MASTERY</v>
      </c>
      <c r="B1065" t="str">
        <f>Skills!B25</f>
        <v>Buff Mastery</v>
      </c>
      <c r="C1065" t="b">
        <f>Inputs!$B$3&gt;=117</f>
        <v>0</v>
      </c>
      <c r="D1065">
        <f>IF(Skills!C25=1,60+Inputs!$B$24+Inputs!$B$28,IF(Skills!C25=2,90+Inputs!$B$25+Inputs!$B$28,IF(Skills!C25=3,120+Inputs!$B$26+Inputs!$B$28,MAX(0,(Inputs!$B$3-100)*3)+Inputs!$B$27+Inputs!$B$28)))</f>
        <v>172</v>
      </c>
      <c r="E1065">
        <f>INDEX(FactorTable!$B$2:$Y$301, MATCH(ROUND(MIN(300,MAX(1,D1065)),0), FactorTable!$A$2:$A$301,0), Skills!M25+1)</f>
        <v>1516</v>
      </c>
      <c r="F1065">
        <f>IF(Skills!N25=TRUE,(Skills!L25/10)*(E1065/1000),Skills!L25/10)+Skills!O25</f>
        <v>15.16</v>
      </c>
      <c r="G1065">
        <f>Calc!G25</f>
        <v>1</v>
      </c>
      <c r="H1065">
        <f>Calc!H25</f>
        <v>1</v>
      </c>
      <c r="I1065">
        <f>IF(Skills!X25&lt;&gt;"",1+(Skills!X25/10)*(R1043/1000)/100,1)</f>
        <v>1</v>
      </c>
      <c r="O1065">
        <v>0</v>
      </c>
      <c r="P1065">
        <f>IF(B1079=0,0,O1065/B1079)</f>
        <v>0</v>
      </c>
      <c r="S1065">
        <v>0</v>
      </c>
      <c r="V1065">
        <f>IFERROR(1/IF(Inputs!$B$4="pvp",15,MAX(0.1,Skills!E25-IF(Skills!F25=TRUE,Inputs!$B$31,0))),0)</f>
        <v>10</v>
      </c>
    </row>
    <row r="1066" spans="1:22" x14ac:dyDescent="0.2">
      <c r="A1066" t="str">
        <f>Skills!A26</f>
        <v>ARCANE_AIM</v>
      </c>
      <c r="B1066" t="str">
        <f>Skills!B26</f>
        <v>Arcane Aim</v>
      </c>
      <c r="C1066" t="b">
        <f>Inputs!$B$3&gt;=120</f>
        <v>0</v>
      </c>
      <c r="D1066">
        <f>IF(Skills!C26=1,60+Inputs!$B$24+Inputs!$B$28,IF(Skills!C26=2,90+Inputs!$B$25+Inputs!$B$28,IF(Skills!C26=3,120+Inputs!$B$26+Inputs!$B$28,MAX(0,(Inputs!$B$3-100)*3)+Inputs!$B$27+Inputs!$B$28)))</f>
        <v>172</v>
      </c>
      <c r="E1066">
        <f>INDEX(FactorTable!$B$2:$Y$301, MATCH(ROUND(MIN(300,MAX(1,D1066)),0), FactorTable!$A$2:$A$301,0), Skills!M26+1)</f>
        <v>1516</v>
      </c>
      <c r="F1066">
        <f>IF(Skills!N26=TRUE,(Skills!L26/10)*(E1066/1000),Skills!L26/10)+Skills!O26</f>
        <v>4.548</v>
      </c>
      <c r="G1066">
        <f>Calc!G26</f>
        <v>1</v>
      </c>
      <c r="H1066">
        <f>Calc!H26</f>
        <v>1</v>
      </c>
      <c r="I1066">
        <f>IF(Skills!X26&lt;&gt;"",1+(Skills!X26/10)*(R1043/1000)/100,1)</f>
        <v>1</v>
      </c>
      <c r="O1066">
        <v>0</v>
      </c>
      <c r="P1066">
        <f>IF(B1079=0,0,O1066/B1079)</f>
        <v>0</v>
      </c>
      <c r="S1066">
        <v>0</v>
      </c>
      <c r="V1066">
        <f>IFERROR(1/IF(Inputs!$B$4="pvp",15,MAX(0.1,Skills!E26-IF(Skills!F26=TRUE,Inputs!$B$31,0))),0)</f>
        <v>10</v>
      </c>
    </row>
    <row r="1067" spans="1:22" x14ac:dyDescent="0.2">
      <c r="A1067" t="str">
        <f>Skills!A27</f>
        <v>FERVENT_DRAIN</v>
      </c>
      <c r="B1067" t="str">
        <f>Skills!B27</f>
        <v>Fervent Drain</v>
      </c>
      <c r="C1067" t="b">
        <f>Inputs!$B$3&gt;=125</f>
        <v>0</v>
      </c>
      <c r="D1067">
        <f>IF(Skills!C27=1,60+Inputs!$B$24+Inputs!$B$28,IF(Skills!C27=2,90+Inputs!$B$25+Inputs!$B$28,IF(Skills!C27=3,120+Inputs!$B$26+Inputs!$B$28,MAX(0,(Inputs!$B$3-100)*3)+Inputs!$B$27+Inputs!$B$28)))</f>
        <v>172</v>
      </c>
      <c r="E1067">
        <f>INDEX(FactorTable!$B$2:$Y$301, MATCH(ROUND(MIN(300,MAX(1,D1067)),0), FactorTable!$A$2:$A$301,0), Skills!M27+1)</f>
        <v>1516</v>
      </c>
      <c r="F1067">
        <f>IF(Skills!N27=TRUE,(Skills!L27/10)*(E1067/1000),Skills!L27/10)+Skills!O27</f>
        <v>6.0640000000000001</v>
      </c>
      <c r="G1067">
        <f>Calc!G27</f>
        <v>1</v>
      </c>
      <c r="H1067">
        <f>Calc!H27</f>
        <v>1</v>
      </c>
      <c r="I1067">
        <f>IF(Skills!X27&lt;&gt;"",1+(Skills!X27/10)*(R1043/1000)/100,1)</f>
        <v>1</v>
      </c>
      <c r="O1067">
        <v>0</v>
      </c>
      <c r="P1067">
        <f>IF(B1079=0,0,O1067/B1079)</f>
        <v>0</v>
      </c>
      <c r="S1067">
        <v>0</v>
      </c>
      <c r="V1067">
        <f>IFERROR(1/IF(Inputs!$B$4="pvp",15,MAX(0.1,Skills!E27-IF(Skills!F27=TRUE,Inputs!$B$31,0))),0)</f>
        <v>10</v>
      </c>
    </row>
    <row r="1068" spans="1:22" x14ac:dyDescent="0.2">
      <c r="A1068" t="str">
        <f>Skills!A28</f>
        <v>FLAME_HAZE_FOG</v>
      </c>
      <c r="B1068" t="str">
        <f>Skills!B28</f>
        <v>Flame Haze (poison fog DoT)</v>
      </c>
      <c r="C1068" t="b">
        <f>Inputs!$B$3&gt;=118</f>
        <v>0</v>
      </c>
      <c r="D1068">
        <f>IF(Skills!C28=1,60+Inputs!$B$24+Inputs!$B$28,IF(Skills!C28=2,90+Inputs!$B$25+Inputs!$B$28,IF(Skills!C28=3,120+Inputs!$B$26+Inputs!$B$28,MAX(0,(Inputs!$B$3-100)*3)+Inputs!$B$27+Inputs!$B$28)))</f>
        <v>172</v>
      </c>
      <c r="E1068">
        <f>INDEX(FactorTable!$B$2:$Y$301, MATCH(ROUND(MIN(300,MAX(1,D1068)),0), FactorTable!$A$2:$A$301,0), Skills!M28+1)</f>
        <v>1860</v>
      </c>
      <c r="F1068">
        <f>IF(Skills!N28=TRUE,(Skills!L28/10)*(E1068/1000),Skills!L28/10)+Skills!O28</f>
        <v>130.20000000000002</v>
      </c>
      <c r="G1068">
        <f>Calc!G28</f>
        <v>50</v>
      </c>
      <c r="H1068">
        <f>Calc!H28</f>
        <v>1</v>
      </c>
      <c r="I1068">
        <f>IF(Skills!X28&lt;&gt;"",1+(Skills!X28/10)*(R1043/1000)/100,1)</f>
        <v>1</v>
      </c>
      <c r="J1068">
        <f>((Inputs!$B$5*(1+Inputs!$B$6/100))+((Inputs!$B$11*(1+Inputs!$B$12/100))-(Inputs!$B$11*(1+Inputs!$B$12/100)))*(1+Inputs!$B$6/100))*(F1068/100)</f>
        <v>325279990.81065607</v>
      </c>
      <c r="K1068">
        <f>J1068*(1+((Inputs!$B$11*(1+Inputs!$B$12/100))*0.01+Inputs!$B$13*0.0025)/100)*(1+Inputs!$B$14/100)*(1+IF(Inputs!$B$4="pvp",0,(1-Summary!$B$56)*(Inputs!$B$19+Skills!P28)+Summary!$B$56*(Inputs!$B$20+Skills!Q28))/100)*(1+Inputs!$B$15/100)*(5000/(6000+Inputs!$B$7*(1-Inputs!$B$18/100)))*(1+Inputs!$B$23/100)*(1+F1063/100)*(1+IF(Inputs!$B$3&gt;=120,F1066,0)/100)^5*(1+(IF(Skills!A28="BASIC_ATTACK",Inputs!$B$16,Inputs!$B$17+IF(Inputs!$B$3&gt;=125,F1067*5,0)))/100)*(B1070*B1071*B1072*I1068)</f>
        <v>2484526371782.9492</v>
      </c>
      <c r="L1068">
        <f>K1068*(MIN(Inputs!$B$21+(F1062-Calc!F22),Inputs!$B$22)/100+Inputs!$B$22/100)/2</f>
        <v>6706978940628.0703</v>
      </c>
      <c r="M1068">
        <f>L1068*(1+(Inputs!$B$9+(F1061-Calc!F21))/100)</f>
        <v>28108948740172.246</v>
      </c>
      <c r="N1068">
        <f>L1068*(1-MIN(Inputs!$B$8+(F1060-Calc!F20),100)/100)+M1068*(MIN(Inputs!$B$8+(F1060-Calc!F20),100)/100)</f>
        <v>28108948740172.246</v>
      </c>
      <c r="O1068">
        <f>IF(C1068,H1068*N1068*IF(AND(Inputs!$B$4&lt;&gt;"pvp",Inputs!$B$35&gt;0),((Skills!G28*((S1068-1)*IF(Skills!H28&gt;0,Skills!I28/Skills!H28,1)+IF(Skills!H28&gt;0,MIN(Skills!I28,MAX(0,Inputs!$B$35-((S1068-1)*IF(Inputs!$B$4="pvp",15,MAX(0.1,Skills!E28-IF(Skills!F28=TRUE,Inputs!$B$31,0))))))/Skills!H28,1)))/Inputs!$B$35),G1068*V1068)*IF(Inputs!$B$4="pvp",1,(1-Summary!$B$56)*(1)+Summary!$B$56*(MIN(Skills!R28,Inputs!$B$37))),0)</f>
        <v>0</v>
      </c>
      <c r="P1068">
        <f>IF(B1079=0,0,O1068/B1079)</f>
        <v>0</v>
      </c>
      <c r="S1068">
        <f>IF(AND(Inputs!$B$4&lt;&gt;"pvp",Inputs!$B$35&gt;0),(INT(Inputs!$B$35/IF(Inputs!$B$4="pvp",15,MAX(0.1,Skills!E28-IF(Skills!F28=TRUE,Inputs!$B$31,0))))+1),0)</f>
        <v>0</v>
      </c>
      <c r="V1068">
        <f>IFERROR(1/IF(Inputs!$B$4="pvp",15,MAX(0.1,Skills!E28-IF(Skills!F28=TRUE,Inputs!$B$31,0))),0)</f>
        <v>0.04</v>
      </c>
    </row>
    <row r="1070" spans="1:22" x14ac:dyDescent="0.2">
      <c r="A1070" t="s">
        <v>222</v>
      </c>
      <c r="B1070">
        <f>1+(F1051*Skills!Z11)/100</f>
        <v>1.25</v>
      </c>
    </row>
    <row r="1071" spans="1:22" x14ac:dyDescent="0.2">
      <c r="A1071" t="s">
        <v>223</v>
      </c>
      <c r="B1071">
        <f>1+F1052/100</f>
        <v>1.18624</v>
      </c>
    </row>
    <row r="1072" spans="1:22" x14ac:dyDescent="0.2">
      <c r="A1072" t="s">
        <v>224</v>
      </c>
      <c r="B1072">
        <f>(1+(F1046*IF(AND(Inputs!$B$4&lt;&gt;"pvp",Inputs!$B$35&gt;0),(((S1046-1)*(Skills!T6*(1+((Inputs!$B$33+1)+IF(Inputs!$B$3&gt;=117,F1065,0))/100))+MIN((Skills!T6*(1+((Inputs!$B$33+1)+IF(Inputs!$B$3&gt;=117,F1065,0))/100)),MAX(0,Inputs!$B$35-((S1046-1)*Skills!E6))))/Inputs!$B$35),IF(Inputs!$B$4="pvp",MIN((Skills!T6*(1+((Inputs!$B$33+1)+IF(Inputs!$B$3&gt;=117,F1065,0))/100)),15)/15,(Skills!T6*(1+((Inputs!$B$33+1)+IF(Inputs!$B$3&gt;=117,F1065,0))/100))/Skills!E6))+F1057*IF(AND(Inputs!$B$4&lt;&gt;"pvp",Inputs!$B$35&gt;0),(((S1057-1)*(Skills!T17*(1+((Inputs!$B$33+1)+IF(Inputs!$B$3&gt;=117,F1065,0))/100))+MIN((Skills!T17*(1+((Inputs!$B$33+1)+IF(Inputs!$B$3&gt;=117,F1065,0))/100)),MAX(0,Inputs!$B$35-((S1057-1)*Skills!E17))))/Inputs!$B$35),IF(Inputs!$B$4="pvp",MIN((Skills!T17*(1+((Inputs!$B$33+1)+IF(Inputs!$B$3&gt;=117,F1065,0))/100)),15)/15,(Skills!T17*(1+((Inputs!$B$33+1)+IF(Inputs!$B$3&gt;=117,F1065,0))/100))/Skills!E17)))/100)*IF(C1059=TRUE,(1+F1059*IF(AND(Inputs!$B$4&lt;&gt;"pvp",Inputs!$B$35&gt;0),(((S1059-1)*(Skills!T19*(1+((Inputs!$B$33+1)+IF(Inputs!$B$3&gt;=117,F1065,0))/100))+MIN((Skills!T19*(1+((Inputs!$B$33+1)+IF(Inputs!$B$3&gt;=117,F1065,0))/100)),MAX(0,Inputs!$B$35-((S1059-1)*Skills!E19))))/Inputs!$B$35),IF(Inputs!$B$4="pvp",MIN((Skills!T19*(1+((Inputs!$B$33+1)+IF(Inputs!$B$3&gt;=117,F1065,0))/100)),15)/15,(Skills!T19*(1+((Inputs!$B$33+1)+IF(Inputs!$B$3&gt;=117,F1065,0))/100))/Skills!E19))/100),1)</f>
        <v>1.5665191529549141</v>
      </c>
    </row>
    <row r="1073" spans="1:2" x14ac:dyDescent="0.2">
      <c r="A1073" t="s">
        <v>225</v>
      </c>
      <c r="B1073">
        <f>F1058*IF(AND(Inputs!$B$4&lt;&gt;"pvp",Inputs!$B$35&gt;0),(((S1058-1)*(Skills!T18*(1+((Inputs!$B$33+1)+IF(Inputs!$B$3&gt;=117,F1065,0))/100))+MIN((Skills!T18*(1+((Inputs!$B$33+1)+IF(Inputs!$B$3&gt;=117,F1065,0))/100)),MAX(0,Inputs!$B$35-((S1058-1)*Skills!E18))))/Inputs!$B$35),IF(Inputs!$B$4="pvp",MIN((Skills!T18*(1+((Inputs!$B$33+1)+IF(Inputs!$B$3&gt;=117,F1065,0))/100)),15)/15,(Skills!T18*(1+((Inputs!$B$33+1)+IF(Inputs!$B$3&gt;=117,F1065,0))/100))/Skills!E18))</f>
        <v>3.7875000000000001</v>
      </c>
    </row>
    <row r="1074" spans="1:2" x14ac:dyDescent="0.2">
      <c r="A1074" t="s">
        <v>253</v>
      </c>
      <c r="B1074">
        <f>1+MIN(150,150*(1-(1-Inputs!$B$10/150)*(1-B1073/150)))/100</f>
        <v>1.6373462499999998</v>
      </c>
    </row>
    <row r="1075" spans="1:2" x14ac:dyDescent="0.2">
      <c r="A1075" t="s">
        <v>254</v>
      </c>
      <c r="B1075">
        <f>IF(AND(Inputs!$B$4&lt;&gt;"pvp",Inputs!$B$35&gt;0),SUMPRODUCT((Skills!F2:F28=TRUE)*(C1042:C1068=TRUE)*S1042:S1068)/Inputs!$B$35,SUMPRODUCT((Skills!F2:F28=TRUE)*(C1042:C1068=TRUE)*V1042:V1068))</f>
        <v>0.33466433037861604</v>
      </c>
    </row>
    <row r="1076" spans="1:2" x14ac:dyDescent="0.2">
      <c r="A1076" t="s">
        <v>228</v>
      </c>
      <c r="B1076">
        <f>MAX(0,B1074-B1075)</f>
        <v>1.3026819196213837</v>
      </c>
    </row>
    <row r="1077" spans="1:2" x14ac:dyDescent="0.2">
      <c r="A1077" t="s">
        <v>255</v>
      </c>
      <c r="B1077">
        <f>IF(AND(Inputs!$B$4&lt;&gt;"pvp",Inputs!$B$35&gt;0),SUMPRODUCT((Skills!V2:V28=TRUE)*(C1042:C1068=TRUE)*S1042:S1068*Skills!W2:W28)/Inputs!$B$35,SUMPRODUCT((Skills!V2:V28=TRUE)*(C1042:C1068=TRUE)*V1042:V1068*Skills!W2:W28))+B1076</f>
        <v>1.5299628926166424</v>
      </c>
    </row>
    <row r="1079" spans="1:2" x14ac:dyDescent="0.2">
      <c r="A1079" s="5" t="s">
        <v>208</v>
      </c>
      <c r="B1079" s="5">
        <f>SUM(O1042:O1068)</f>
        <v>8373357704531256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709"/>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12" customWidth="1"/>
    <col min="3" max="3" width="6" customWidth="1"/>
    <col min="4" max="4" width="26" customWidth="1"/>
    <col min="5" max="6" width="9" customWidth="1"/>
    <col min="7" max="7" width="8" customWidth="1"/>
    <col min="8" max="8" width="13" customWidth="1"/>
    <col min="9" max="9" width="2" customWidth="1"/>
    <col min="10" max="10" width="26" customWidth="1"/>
    <col min="11" max="11" width="13" customWidth="1"/>
    <col min="12" max="12" width="2" customWidth="1"/>
    <col min="13" max="13" width="12" customWidth="1"/>
    <col min="14" max="14" width="10" customWidth="1"/>
    <col min="15" max="15" width="9" customWidth="1"/>
    <col min="16" max="16" width="2" customWidth="1"/>
    <col min="17" max="17" width="14" customWidth="1"/>
  </cols>
  <sheetData>
    <row r="1" spans="1:17" x14ac:dyDescent="0.2">
      <c r="A1" s="8" t="s">
        <v>280</v>
      </c>
      <c r="B1" s="8" t="s">
        <v>281</v>
      </c>
      <c r="C1" s="8" t="s">
        <v>282</v>
      </c>
      <c r="D1" s="8" t="s">
        <v>212</v>
      </c>
      <c r="E1" s="8" t="s">
        <v>283</v>
      </c>
      <c r="F1" s="8" t="s">
        <v>284</v>
      </c>
      <c r="G1" s="8" t="s">
        <v>285</v>
      </c>
      <c r="H1" s="8" t="s">
        <v>286</v>
      </c>
      <c r="J1" s="10" t="s">
        <v>212</v>
      </c>
      <c r="K1" s="10" t="s">
        <v>286</v>
      </c>
      <c r="M1" s="10" t="s">
        <v>281</v>
      </c>
      <c r="N1" s="10" t="s">
        <v>287</v>
      </c>
      <c r="O1" s="10" t="s">
        <v>288</v>
      </c>
      <c r="Q1" s="10" t="s">
        <v>289</v>
      </c>
    </row>
    <row r="2" spans="1:17" x14ac:dyDescent="0.2">
      <c r="A2" t="s">
        <v>290</v>
      </c>
      <c r="B2" t="s">
        <v>291</v>
      </c>
      <c r="C2">
        <v>1</v>
      </c>
      <c r="D2" t="s">
        <v>292</v>
      </c>
      <c r="E2">
        <v>3</v>
      </c>
      <c r="F2">
        <v>2.5</v>
      </c>
      <c r="G2" t="b">
        <v>0</v>
      </c>
      <c r="H2">
        <f>IF(Inputs!$B$8&gt;=100,Sensitivity!H15,Sensitivity!H14)</f>
        <v>19898792465366</v>
      </c>
      <c r="J2" t="s">
        <v>293</v>
      </c>
      <c r="K2">
        <v>0</v>
      </c>
      <c r="M2" t="s">
        <v>291</v>
      </c>
      <c r="N2">
        <v>0.06</v>
      </c>
      <c r="O2">
        <v>30</v>
      </c>
      <c r="Q2" t="s">
        <v>294</v>
      </c>
    </row>
    <row r="3" spans="1:17" x14ac:dyDescent="0.2">
      <c r="A3" t="s">
        <v>290</v>
      </c>
      <c r="B3" t="s">
        <v>291</v>
      </c>
      <c r="C3">
        <v>1</v>
      </c>
      <c r="D3" t="s">
        <v>295</v>
      </c>
      <c r="E3">
        <v>3</v>
      </c>
      <c r="F3">
        <v>2.5</v>
      </c>
      <c r="G3" t="b">
        <v>0</v>
      </c>
      <c r="H3">
        <f>Sensitivity!H16</f>
        <v>17494373998280</v>
      </c>
      <c r="J3" t="s">
        <v>296</v>
      </c>
      <c r="K3">
        <f>Sensitivity!H24</f>
        <v>35422747738737</v>
      </c>
      <c r="M3" t="s">
        <v>297</v>
      </c>
      <c r="N3">
        <v>3.3329999999999999E-2</v>
      </c>
      <c r="O3">
        <v>60</v>
      </c>
      <c r="Q3" t="s">
        <v>298</v>
      </c>
    </row>
    <row r="4" spans="1:17" x14ac:dyDescent="0.2">
      <c r="A4" t="s">
        <v>290</v>
      </c>
      <c r="B4" t="s">
        <v>291</v>
      </c>
      <c r="C4">
        <v>1</v>
      </c>
      <c r="D4" t="s">
        <v>299</v>
      </c>
      <c r="E4">
        <v>5</v>
      </c>
      <c r="F4">
        <v>4</v>
      </c>
      <c r="G4" t="b">
        <v>0</v>
      </c>
      <c r="H4">
        <f>Sensitivity!H7</f>
        <v>8104551916653</v>
      </c>
      <c r="J4" t="s">
        <v>295</v>
      </c>
      <c r="K4">
        <f>Sensitivity!H16</f>
        <v>17494373998280</v>
      </c>
      <c r="M4" t="s">
        <v>300</v>
      </c>
      <c r="N4">
        <v>1.67E-2</v>
      </c>
      <c r="O4">
        <v>120</v>
      </c>
      <c r="Q4" t="s">
        <v>301</v>
      </c>
    </row>
    <row r="5" spans="1:17" x14ac:dyDescent="0.2">
      <c r="A5" t="s">
        <v>290</v>
      </c>
      <c r="B5" t="s">
        <v>291</v>
      </c>
      <c r="C5">
        <v>1</v>
      </c>
      <c r="D5" t="s">
        <v>302</v>
      </c>
      <c r="E5">
        <v>3</v>
      </c>
      <c r="F5">
        <v>4</v>
      </c>
      <c r="G5" t="b">
        <v>0</v>
      </c>
      <c r="H5">
        <f>Sensitivity!H12</f>
        <v>15446534399400</v>
      </c>
      <c r="J5" t="s">
        <v>303</v>
      </c>
      <c r="K5">
        <f>Sensitivity!H18</f>
        <v>26770501468488</v>
      </c>
      <c r="M5" t="s">
        <v>304</v>
      </c>
      <c r="N5">
        <v>6.0000000000000001E-3</v>
      </c>
      <c r="O5">
        <v>333</v>
      </c>
      <c r="Q5" t="s">
        <v>305</v>
      </c>
    </row>
    <row r="6" spans="1:17" x14ac:dyDescent="0.2">
      <c r="A6" t="s">
        <v>290</v>
      </c>
      <c r="B6" t="s">
        <v>291</v>
      </c>
      <c r="C6">
        <v>1</v>
      </c>
      <c r="D6" t="s">
        <v>306</v>
      </c>
      <c r="E6">
        <v>3</v>
      </c>
      <c r="F6">
        <v>4</v>
      </c>
      <c r="G6" t="b">
        <v>0</v>
      </c>
      <c r="H6">
        <f>Sensitivity!H13</f>
        <v>15446534399400</v>
      </c>
      <c r="J6" t="s">
        <v>307</v>
      </c>
      <c r="K6">
        <f>Sensitivity!H28</f>
        <v>307719869511460</v>
      </c>
      <c r="M6" t="s">
        <v>308</v>
      </c>
      <c r="N6">
        <v>2.0999999999999999E-3</v>
      </c>
      <c r="O6">
        <v>714</v>
      </c>
      <c r="Q6" t="s">
        <v>309</v>
      </c>
    </row>
    <row r="7" spans="1:17" x14ac:dyDescent="0.2">
      <c r="A7" t="s">
        <v>290</v>
      </c>
      <c r="B7" t="s">
        <v>291</v>
      </c>
      <c r="C7">
        <v>1</v>
      </c>
      <c r="D7" t="s">
        <v>310</v>
      </c>
      <c r="E7">
        <v>3</v>
      </c>
      <c r="F7">
        <v>4.5</v>
      </c>
      <c r="G7" t="b">
        <v>0</v>
      </c>
      <c r="H7" t="s">
        <v>311</v>
      </c>
      <c r="J7" t="s">
        <v>44</v>
      </c>
      <c r="K7">
        <f>Sensitivity!H29</f>
        <v>33773782296366</v>
      </c>
      <c r="M7" t="s">
        <v>312</v>
      </c>
      <c r="N7">
        <v>0</v>
      </c>
      <c r="O7">
        <v>0</v>
      </c>
      <c r="Q7" t="s">
        <v>313</v>
      </c>
    </row>
    <row r="8" spans="1:17" x14ac:dyDescent="0.2">
      <c r="A8" t="s">
        <v>290</v>
      </c>
      <c r="B8" t="s">
        <v>291</v>
      </c>
      <c r="C8">
        <v>1</v>
      </c>
      <c r="D8" t="s">
        <v>314</v>
      </c>
      <c r="E8">
        <v>3</v>
      </c>
      <c r="F8">
        <v>4.5</v>
      </c>
      <c r="G8" t="b">
        <v>0</v>
      </c>
      <c r="H8" t="s">
        <v>311</v>
      </c>
      <c r="J8" t="s">
        <v>315</v>
      </c>
      <c r="K8">
        <f>Sensitivity!H15</f>
        <v>19898792465366</v>
      </c>
      <c r="Q8" t="s">
        <v>316</v>
      </c>
    </row>
    <row r="9" spans="1:17" x14ac:dyDescent="0.2">
      <c r="A9" t="s">
        <v>290</v>
      </c>
      <c r="B9" t="s">
        <v>291</v>
      </c>
      <c r="C9">
        <v>1</v>
      </c>
      <c r="D9" t="s">
        <v>317</v>
      </c>
      <c r="E9">
        <v>3</v>
      </c>
      <c r="F9">
        <v>4.5</v>
      </c>
      <c r="G9" t="b">
        <v>0</v>
      </c>
      <c r="H9">
        <f>Sensitivity!H6</f>
        <v>29416469501559</v>
      </c>
      <c r="J9" t="s">
        <v>318</v>
      </c>
      <c r="K9">
        <f>Sensitivity!H15</f>
        <v>19898792465366</v>
      </c>
      <c r="Q9" t="s">
        <v>319</v>
      </c>
    </row>
    <row r="10" spans="1:17" x14ac:dyDescent="0.2">
      <c r="A10" t="s">
        <v>290</v>
      </c>
      <c r="B10" t="s">
        <v>291</v>
      </c>
      <c r="C10">
        <v>1</v>
      </c>
      <c r="D10" t="s">
        <v>320</v>
      </c>
      <c r="E10">
        <v>3</v>
      </c>
      <c r="F10">
        <v>4.5</v>
      </c>
      <c r="G10" t="b">
        <v>0</v>
      </c>
      <c r="H10" t="s">
        <v>311</v>
      </c>
      <c r="J10" t="s">
        <v>292</v>
      </c>
      <c r="K10">
        <f>IF(Inputs!$B$8&gt;=100,Sensitivity!H15,Sensitivity!H14)</f>
        <v>19898792465366</v>
      </c>
      <c r="Q10" t="s">
        <v>321</v>
      </c>
    </row>
    <row r="11" spans="1:17" x14ac:dyDescent="0.2">
      <c r="A11" t="s">
        <v>290</v>
      </c>
      <c r="B11" t="s">
        <v>291</v>
      </c>
      <c r="C11">
        <v>1</v>
      </c>
      <c r="D11" t="s">
        <v>322</v>
      </c>
      <c r="E11">
        <v>3</v>
      </c>
      <c r="F11">
        <v>9</v>
      </c>
      <c r="G11" t="b">
        <v>0</v>
      </c>
      <c r="H11" t="s">
        <v>311</v>
      </c>
      <c r="J11" t="s">
        <v>299</v>
      </c>
      <c r="K11">
        <f>Sensitivity!H7</f>
        <v>8104551916653</v>
      </c>
      <c r="Q11" t="s">
        <v>323</v>
      </c>
    </row>
    <row r="12" spans="1:17" x14ac:dyDescent="0.2">
      <c r="A12" t="s">
        <v>290</v>
      </c>
      <c r="B12" t="s">
        <v>291</v>
      </c>
      <c r="C12">
        <v>1</v>
      </c>
      <c r="D12" t="s">
        <v>324</v>
      </c>
      <c r="E12">
        <v>6</v>
      </c>
      <c r="F12">
        <v>9</v>
      </c>
      <c r="G12" t="b">
        <v>0</v>
      </c>
      <c r="H12" t="s">
        <v>311</v>
      </c>
      <c r="J12" t="s">
        <v>322</v>
      </c>
      <c r="K12" t="s">
        <v>311</v>
      </c>
      <c r="Q12" t="s">
        <v>325</v>
      </c>
    </row>
    <row r="13" spans="1:17" x14ac:dyDescent="0.2">
      <c r="A13" t="s">
        <v>290</v>
      </c>
      <c r="B13" t="s">
        <v>291</v>
      </c>
      <c r="C13">
        <v>1</v>
      </c>
      <c r="D13" t="s">
        <v>326</v>
      </c>
      <c r="E13">
        <v>3</v>
      </c>
      <c r="F13">
        <v>9</v>
      </c>
      <c r="G13" t="b">
        <v>0</v>
      </c>
      <c r="H13" t="s">
        <v>311</v>
      </c>
      <c r="J13" t="s">
        <v>327</v>
      </c>
      <c r="K13">
        <f>Sensitivity!H17</f>
        <v>21917900923646</v>
      </c>
      <c r="Q13" t="s">
        <v>328</v>
      </c>
    </row>
    <row r="14" spans="1:17" x14ac:dyDescent="0.2">
      <c r="A14" t="s">
        <v>290</v>
      </c>
      <c r="B14" t="s">
        <v>291</v>
      </c>
      <c r="C14">
        <v>1</v>
      </c>
      <c r="D14" t="s">
        <v>329</v>
      </c>
      <c r="E14">
        <v>50</v>
      </c>
      <c r="F14">
        <v>9.5</v>
      </c>
      <c r="G14" t="b">
        <v>0</v>
      </c>
      <c r="H14" t="s">
        <v>311</v>
      </c>
      <c r="J14" t="s">
        <v>330</v>
      </c>
      <c r="K14" t="s">
        <v>311</v>
      </c>
      <c r="Q14" t="s">
        <v>331</v>
      </c>
    </row>
    <row r="15" spans="1:17" x14ac:dyDescent="0.2">
      <c r="A15" t="s">
        <v>290</v>
      </c>
      <c r="B15" t="s">
        <v>291</v>
      </c>
      <c r="C15">
        <v>1</v>
      </c>
      <c r="D15" t="s">
        <v>330</v>
      </c>
      <c r="E15">
        <v>50</v>
      </c>
      <c r="F15">
        <v>9.5</v>
      </c>
      <c r="G15" t="b">
        <v>0</v>
      </c>
      <c r="H15" t="s">
        <v>311</v>
      </c>
      <c r="J15" t="s">
        <v>314</v>
      </c>
      <c r="K15" t="s">
        <v>311</v>
      </c>
      <c r="Q15" t="s">
        <v>332</v>
      </c>
    </row>
    <row r="16" spans="1:17" x14ac:dyDescent="0.2">
      <c r="A16" t="s">
        <v>290</v>
      </c>
      <c r="B16" t="s">
        <v>291</v>
      </c>
      <c r="C16">
        <v>1</v>
      </c>
      <c r="D16" t="s">
        <v>333</v>
      </c>
      <c r="E16">
        <v>50</v>
      </c>
      <c r="F16">
        <v>9.5</v>
      </c>
      <c r="G16" t="b">
        <v>0</v>
      </c>
      <c r="H16">
        <f>Sensitivity!H5</f>
        <v>166957805663</v>
      </c>
      <c r="J16" t="s">
        <v>334</v>
      </c>
      <c r="K16">
        <f>Sensitivity!H11</f>
        <v>83395839222349</v>
      </c>
      <c r="Q16" t="s">
        <v>335</v>
      </c>
    </row>
    <row r="17" spans="1:11" x14ac:dyDescent="0.2">
      <c r="A17" t="s">
        <v>290</v>
      </c>
      <c r="B17" t="s">
        <v>291</v>
      </c>
      <c r="C17">
        <v>1</v>
      </c>
      <c r="D17" t="s">
        <v>336</v>
      </c>
      <c r="E17">
        <v>50</v>
      </c>
      <c r="F17">
        <v>9.5</v>
      </c>
      <c r="G17" t="b">
        <v>0</v>
      </c>
      <c r="H17" t="s">
        <v>311</v>
      </c>
      <c r="J17" t="s">
        <v>333</v>
      </c>
      <c r="K17">
        <f>Sensitivity!H5</f>
        <v>166957805663</v>
      </c>
    </row>
    <row r="18" spans="1:11" x14ac:dyDescent="0.2">
      <c r="A18" t="s">
        <v>290</v>
      </c>
      <c r="B18" t="s">
        <v>291</v>
      </c>
      <c r="C18">
        <v>2</v>
      </c>
      <c r="D18" t="s">
        <v>292</v>
      </c>
      <c r="E18">
        <v>3</v>
      </c>
      <c r="F18">
        <v>2.5</v>
      </c>
      <c r="G18" t="b">
        <v>0</v>
      </c>
      <c r="H18">
        <f>IF(Inputs!$B$8&gt;=100,Sensitivity!H15,Sensitivity!H14)</f>
        <v>19898792465366</v>
      </c>
      <c r="J18" t="s">
        <v>317</v>
      </c>
      <c r="K18">
        <f>Sensitivity!H6</f>
        <v>29416469501559</v>
      </c>
    </row>
    <row r="19" spans="1:11" x14ac:dyDescent="0.2">
      <c r="A19" t="s">
        <v>290</v>
      </c>
      <c r="B19" t="s">
        <v>291</v>
      </c>
      <c r="C19">
        <v>2</v>
      </c>
      <c r="D19" t="s">
        <v>295</v>
      </c>
      <c r="E19">
        <v>3</v>
      </c>
      <c r="F19">
        <v>2.5</v>
      </c>
      <c r="G19" t="b">
        <v>0</v>
      </c>
      <c r="H19">
        <f>Sensitivity!H16</f>
        <v>17494373998280</v>
      </c>
      <c r="J19" t="s">
        <v>336</v>
      </c>
      <c r="K19" t="s">
        <v>311</v>
      </c>
    </row>
    <row r="20" spans="1:11" x14ac:dyDescent="0.2">
      <c r="A20" t="s">
        <v>290</v>
      </c>
      <c r="B20" t="s">
        <v>291</v>
      </c>
      <c r="C20">
        <v>2</v>
      </c>
      <c r="D20" t="s">
        <v>299</v>
      </c>
      <c r="E20">
        <v>5</v>
      </c>
      <c r="F20">
        <v>4</v>
      </c>
      <c r="G20" t="b">
        <v>0</v>
      </c>
      <c r="H20">
        <f>Sensitivity!H7</f>
        <v>8104551916653</v>
      </c>
      <c r="J20" t="s">
        <v>320</v>
      </c>
      <c r="K20" t="s">
        <v>311</v>
      </c>
    </row>
    <row r="21" spans="1:11" x14ac:dyDescent="0.2">
      <c r="A21" t="s">
        <v>290</v>
      </c>
      <c r="B21" t="s">
        <v>291</v>
      </c>
      <c r="C21">
        <v>2</v>
      </c>
      <c r="D21" t="s">
        <v>302</v>
      </c>
      <c r="E21">
        <v>3</v>
      </c>
      <c r="F21">
        <v>4</v>
      </c>
      <c r="G21" t="b">
        <v>0</v>
      </c>
      <c r="H21">
        <f>Sensitivity!H12</f>
        <v>15446534399400</v>
      </c>
      <c r="J21" t="s">
        <v>337</v>
      </c>
      <c r="K21">
        <f>Sensitivity!H6*INT(Inputs!$B$3/4)</f>
        <v>823661146043652</v>
      </c>
    </row>
    <row r="22" spans="1:11" x14ac:dyDescent="0.2">
      <c r="A22" t="s">
        <v>290</v>
      </c>
      <c r="B22" t="s">
        <v>291</v>
      </c>
      <c r="C22">
        <v>2</v>
      </c>
      <c r="D22" t="s">
        <v>306</v>
      </c>
      <c r="E22">
        <v>3</v>
      </c>
      <c r="F22">
        <v>4</v>
      </c>
      <c r="G22" t="b">
        <v>0</v>
      </c>
      <c r="H22">
        <f>Sensitivity!H13</f>
        <v>15446534399400</v>
      </c>
      <c r="J22" t="s">
        <v>338</v>
      </c>
      <c r="K22">
        <f>Sensitivity!H5*Inputs!$B$3</f>
        <v>19033189845582</v>
      </c>
    </row>
    <row r="23" spans="1:11" x14ac:dyDescent="0.2">
      <c r="A23" t="s">
        <v>290</v>
      </c>
      <c r="B23" t="s">
        <v>291</v>
      </c>
      <c r="C23">
        <v>2</v>
      </c>
      <c r="D23" t="s">
        <v>310</v>
      </c>
      <c r="E23">
        <v>3</v>
      </c>
      <c r="F23">
        <v>4.5</v>
      </c>
      <c r="G23" t="b">
        <v>0</v>
      </c>
      <c r="H23" t="s">
        <v>311</v>
      </c>
      <c r="J23" t="s">
        <v>306</v>
      </c>
      <c r="K23">
        <f>Sensitivity!H13</f>
        <v>15446534399400</v>
      </c>
    </row>
    <row r="24" spans="1:11" x14ac:dyDescent="0.2">
      <c r="A24" t="s">
        <v>290</v>
      </c>
      <c r="B24" t="s">
        <v>291</v>
      </c>
      <c r="C24">
        <v>2</v>
      </c>
      <c r="D24" t="s">
        <v>314</v>
      </c>
      <c r="E24">
        <v>3</v>
      </c>
      <c r="F24">
        <v>4.5</v>
      </c>
      <c r="G24" t="b">
        <v>0</v>
      </c>
      <c r="H24" t="s">
        <v>311</v>
      </c>
      <c r="J24" t="s">
        <v>324</v>
      </c>
      <c r="K24" t="s">
        <v>311</v>
      </c>
    </row>
    <row r="25" spans="1:11" x14ac:dyDescent="0.2">
      <c r="A25" t="s">
        <v>290</v>
      </c>
      <c r="B25" t="s">
        <v>291</v>
      </c>
      <c r="C25">
        <v>2</v>
      </c>
      <c r="D25" t="s">
        <v>317</v>
      </c>
      <c r="E25">
        <v>3</v>
      </c>
      <c r="F25">
        <v>4.5</v>
      </c>
      <c r="G25" t="b">
        <v>0</v>
      </c>
      <c r="H25">
        <f>Sensitivity!H6</f>
        <v>29416469501559</v>
      </c>
      <c r="J25" t="s">
        <v>326</v>
      </c>
      <c r="K25" t="s">
        <v>311</v>
      </c>
    </row>
    <row r="26" spans="1:11" x14ac:dyDescent="0.2">
      <c r="A26" t="s">
        <v>290</v>
      </c>
      <c r="B26" t="s">
        <v>291</v>
      </c>
      <c r="C26">
        <v>2</v>
      </c>
      <c r="D26" t="s">
        <v>320</v>
      </c>
      <c r="E26">
        <v>3</v>
      </c>
      <c r="F26">
        <v>4.5</v>
      </c>
      <c r="G26" t="b">
        <v>0</v>
      </c>
      <c r="H26" t="s">
        <v>311</v>
      </c>
      <c r="J26" t="s">
        <v>302</v>
      </c>
      <c r="K26">
        <f>Sensitivity!H12</f>
        <v>15446534399400</v>
      </c>
    </row>
    <row r="27" spans="1:11" x14ac:dyDescent="0.2">
      <c r="A27" t="s">
        <v>290</v>
      </c>
      <c r="B27" t="s">
        <v>291</v>
      </c>
      <c r="C27">
        <v>2</v>
      </c>
      <c r="D27" t="s">
        <v>322</v>
      </c>
      <c r="E27">
        <v>3</v>
      </c>
      <c r="F27">
        <v>9</v>
      </c>
      <c r="G27" t="b">
        <v>0</v>
      </c>
      <c r="H27" t="s">
        <v>311</v>
      </c>
      <c r="J27" t="s">
        <v>249</v>
      </c>
      <c r="K27">
        <f>Sensitivity!H27</f>
        <v>52811582128798</v>
      </c>
    </row>
    <row r="28" spans="1:11" x14ac:dyDescent="0.2">
      <c r="A28" t="s">
        <v>290</v>
      </c>
      <c r="B28" t="s">
        <v>291</v>
      </c>
      <c r="C28">
        <v>2</v>
      </c>
      <c r="D28" t="s">
        <v>324</v>
      </c>
      <c r="E28">
        <v>6</v>
      </c>
      <c r="F28">
        <v>9</v>
      </c>
      <c r="G28" t="b">
        <v>0</v>
      </c>
      <c r="H28" t="s">
        <v>311</v>
      </c>
      <c r="J28" t="s">
        <v>339</v>
      </c>
      <c r="K28">
        <f>Sensitivity!H19</f>
        <v>21625116399331</v>
      </c>
    </row>
    <row r="29" spans="1:11" x14ac:dyDescent="0.2">
      <c r="A29" t="s">
        <v>290</v>
      </c>
      <c r="B29" t="s">
        <v>291</v>
      </c>
      <c r="C29">
        <v>2</v>
      </c>
      <c r="D29" t="s">
        <v>326</v>
      </c>
      <c r="E29">
        <v>3</v>
      </c>
      <c r="F29">
        <v>9</v>
      </c>
      <c r="G29" t="b">
        <v>0</v>
      </c>
      <c r="H29" t="s">
        <v>311</v>
      </c>
      <c r="J29" t="s">
        <v>329</v>
      </c>
      <c r="K29" t="s">
        <v>311</v>
      </c>
    </row>
    <row r="30" spans="1:11" x14ac:dyDescent="0.2">
      <c r="A30" t="s">
        <v>290</v>
      </c>
      <c r="B30" t="s">
        <v>291</v>
      </c>
      <c r="C30">
        <v>2</v>
      </c>
      <c r="D30" t="s">
        <v>329</v>
      </c>
      <c r="E30">
        <v>50</v>
      </c>
      <c r="F30">
        <v>9.5</v>
      </c>
      <c r="G30" t="b">
        <v>0</v>
      </c>
      <c r="H30" t="s">
        <v>311</v>
      </c>
      <c r="J30" t="s">
        <v>310</v>
      </c>
      <c r="K30" t="s">
        <v>311</v>
      </c>
    </row>
    <row r="31" spans="1:11" x14ac:dyDescent="0.2">
      <c r="A31" t="s">
        <v>290</v>
      </c>
      <c r="B31" t="s">
        <v>291</v>
      </c>
      <c r="C31">
        <v>2</v>
      </c>
      <c r="D31" t="s">
        <v>330</v>
      </c>
      <c r="E31">
        <v>50</v>
      </c>
      <c r="F31">
        <v>9.5</v>
      </c>
      <c r="G31" t="b">
        <v>0</v>
      </c>
      <c r="H31" t="s">
        <v>311</v>
      </c>
    </row>
    <row r="32" spans="1:11" x14ac:dyDescent="0.2">
      <c r="A32" t="s">
        <v>290</v>
      </c>
      <c r="B32" t="s">
        <v>291</v>
      </c>
      <c r="C32">
        <v>2</v>
      </c>
      <c r="D32" t="s">
        <v>333</v>
      </c>
      <c r="E32">
        <v>50</v>
      </c>
      <c r="F32">
        <v>9.5</v>
      </c>
      <c r="G32" t="b">
        <v>0</v>
      </c>
      <c r="H32">
        <f>Sensitivity!H5</f>
        <v>166957805663</v>
      </c>
    </row>
    <row r="33" spans="1:8" x14ac:dyDescent="0.2">
      <c r="A33" t="s">
        <v>290</v>
      </c>
      <c r="B33" t="s">
        <v>291</v>
      </c>
      <c r="C33">
        <v>2</v>
      </c>
      <c r="D33" t="s">
        <v>336</v>
      </c>
      <c r="E33">
        <v>50</v>
      </c>
      <c r="F33">
        <v>9.5</v>
      </c>
      <c r="G33" t="b">
        <v>0</v>
      </c>
      <c r="H33" t="s">
        <v>311</v>
      </c>
    </row>
    <row r="34" spans="1:8" x14ac:dyDescent="0.2">
      <c r="A34" t="s">
        <v>290</v>
      </c>
      <c r="B34" t="s">
        <v>291</v>
      </c>
      <c r="C34">
        <v>3</v>
      </c>
      <c r="D34" t="s">
        <v>292</v>
      </c>
      <c r="E34">
        <v>3</v>
      </c>
      <c r="F34">
        <v>2.5</v>
      </c>
      <c r="G34" t="b">
        <v>0</v>
      </c>
      <c r="H34">
        <f>IF(Inputs!$B$8&gt;=100,Sensitivity!H15,Sensitivity!H14)</f>
        <v>19898792465366</v>
      </c>
    </row>
    <row r="35" spans="1:8" x14ac:dyDescent="0.2">
      <c r="A35" t="s">
        <v>290</v>
      </c>
      <c r="B35" t="s">
        <v>291</v>
      </c>
      <c r="C35">
        <v>3</v>
      </c>
      <c r="D35" t="s">
        <v>295</v>
      </c>
      <c r="E35">
        <v>3</v>
      </c>
      <c r="F35">
        <v>2.5</v>
      </c>
      <c r="G35" t="b">
        <v>0</v>
      </c>
      <c r="H35">
        <f>Sensitivity!H16</f>
        <v>17494373998280</v>
      </c>
    </row>
    <row r="36" spans="1:8" x14ac:dyDescent="0.2">
      <c r="A36" t="s">
        <v>290</v>
      </c>
      <c r="B36" t="s">
        <v>291</v>
      </c>
      <c r="C36">
        <v>3</v>
      </c>
      <c r="D36" t="s">
        <v>299</v>
      </c>
      <c r="E36">
        <v>5</v>
      </c>
      <c r="F36">
        <v>4</v>
      </c>
      <c r="G36" t="b">
        <v>0</v>
      </c>
      <c r="H36">
        <f>Sensitivity!H7</f>
        <v>8104551916653</v>
      </c>
    </row>
    <row r="37" spans="1:8" x14ac:dyDescent="0.2">
      <c r="A37" t="s">
        <v>290</v>
      </c>
      <c r="B37" t="s">
        <v>291</v>
      </c>
      <c r="C37">
        <v>3</v>
      </c>
      <c r="D37" t="s">
        <v>302</v>
      </c>
      <c r="E37">
        <v>3</v>
      </c>
      <c r="F37">
        <v>4</v>
      </c>
      <c r="G37" t="b">
        <v>0</v>
      </c>
      <c r="H37">
        <f>Sensitivity!H12</f>
        <v>15446534399400</v>
      </c>
    </row>
    <row r="38" spans="1:8" x14ac:dyDescent="0.2">
      <c r="A38" t="s">
        <v>290</v>
      </c>
      <c r="B38" t="s">
        <v>291</v>
      </c>
      <c r="C38">
        <v>3</v>
      </c>
      <c r="D38" t="s">
        <v>306</v>
      </c>
      <c r="E38">
        <v>3</v>
      </c>
      <c r="F38">
        <v>4</v>
      </c>
      <c r="G38" t="b">
        <v>0</v>
      </c>
      <c r="H38">
        <f>Sensitivity!H13</f>
        <v>15446534399400</v>
      </c>
    </row>
    <row r="39" spans="1:8" x14ac:dyDescent="0.2">
      <c r="A39" t="s">
        <v>290</v>
      </c>
      <c r="B39" t="s">
        <v>291</v>
      </c>
      <c r="C39">
        <v>3</v>
      </c>
      <c r="D39" t="s">
        <v>310</v>
      </c>
      <c r="E39">
        <v>3</v>
      </c>
      <c r="F39">
        <v>4.5</v>
      </c>
      <c r="G39" t="b">
        <v>0</v>
      </c>
      <c r="H39" t="s">
        <v>311</v>
      </c>
    </row>
    <row r="40" spans="1:8" x14ac:dyDescent="0.2">
      <c r="A40" t="s">
        <v>290</v>
      </c>
      <c r="B40" t="s">
        <v>291</v>
      </c>
      <c r="C40">
        <v>3</v>
      </c>
      <c r="D40" t="s">
        <v>314</v>
      </c>
      <c r="E40">
        <v>3</v>
      </c>
      <c r="F40">
        <v>4.5</v>
      </c>
      <c r="G40" t="b">
        <v>0</v>
      </c>
      <c r="H40" t="s">
        <v>311</v>
      </c>
    </row>
    <row r="41" spans="1:8" x14ac:dyDescent="0.2">
      <c r="A41" t="s">
        <v>290</v>
      </c>
      <c r="B41" t="s">
        <v>291</v>
      </c>
      <c r="C41">
        <v>3</v>
      </c>
      <c r="D41" t="s">
        <v>317</v>
      </c>
      <c r="E41">
        <v>3</v>
      </c>
      <c r="F41">
        <v>4.5</v>
      </c>
      <c r="G41" t="b">
        <v>0</v>
      </c>
      <c r="H41">
        <f>Sensitivity!H6</f>
        <v>29416469501559</v>
      </c>
    </row>
    <row r="42" spans="1:8" x14ac:dyDescent="0.2">
      <c r="A42" t="s">
        <v>290</v>
      </c>
      <c r="B42" t="s">
        <v>291</v>
      </c>
      <c r="C42">
        <v>3</v>
      </c>
      <c r="D42" t="s">
        <v>320</v>
      </c>
      <c r="E42">
        <v>3</v>
      </c>
      <c r="F42">
        <v>4.5</v>
      </c>
      <c r="G42" t="b">
        <v>0</v>
      </c>
      <c r="H42" t="s">
        <v>311</v>
      </c>
    </row>
    <row r="43" spans="1:8" x14ac:dyDescent="0.2">
      <c r="A43" t="s">
        <v>290</v>
      </c>
      <c r="B43" t="s">
        <v>291</v>
      </c>
      <c r="C43">
        <v>3</v>
      </c>
      <c r="D43" t="s">
        <v>322</v>
      </c>
      <c r="E43">
        <v>3</v>
      </c>
      <c r="F43">
        <v>9</v>
      </c>
      <c r="G43" t="b">
        <v>0</v>
      </c>
      <c r="H43" t="s">
        <v>311</v>
      </c>
    </row>
    <row r="44" spans="1:8" x14ac:dyDescent="0.2">
      <c r="A44" t="s">
        <v>290</v>
      </c>
      <c r="B44" t="s">
        <v>291</v>
      </c>
      <c r="C44">
        <v>3</v>
      </c>
      <c r="D44" t="s">
        <v>324</v>
      </c>
      <c r="E44">
        <v>6</v>
      </c>
      <c r="F44">
        <v>9</v>
      </c>
      <c r="G44" t="b">
        <v>0</v>
      </c>
      <c r="H44" t="s">
        <v>311</v>
      </c>
    </row>
    <row r="45" spans="1:8" x14ac:dyDescent="0.2">
      <c r="A45" t="s">
        <v>290</v>
      </c>
      <c r="B45" t="s">
        <v>291</v>
      </c>
      <c r="C45">
        <v>3</v>
      </c>
      <c r="D45" t="s">
        <v>326</v>
      </c>
      <c r="E45">
        <v>3</v>
      </c>
      <c r="F45">
        <v>9</v>
      </c>
      <c r="G45" t="b">
        <v>0</v>
      </c>
      <c r="H45" t="s">
        <v>311</v>
      </c>
    </row>
    <row r="46" spans="1:8" x14ac:dyDescent="0.2">
      <c r="A46" t="s">
        <v>290</v>
      </c>
      <c r="B46" t="s">
        <v>291</v>
      </c>
      <c r="C46">
        <v>3</v>
      </c>
      <c r="D46" t="s">
        <v>329</v>
      </c>
      <c r="E46">
        <v>50</v>
      </c>
      <c r="F46">
        <v>9.5</v>
      </c>
      <c r="G46" t="b">
        <v>0</v>
      </c>
      <c r="H46" t="s">
        <v>311</v>
      </c>
    </row>
    <row r="47" spans="1:8" x14ac:dyDescent="0.2">
      <c r="A47" t="s">
        <v>290</v>
      </c>
      <c r="B47" t="s">
        <v>291</v>
      </c>
      <c r="C47">
        <v>3</v>
      </c>
      <c r="D47" t="s">
        <v>330</v>
      </c>
      <c r="E47">
        <v>50</v>
      </c>
      <c r="F47">
        <v>9.5</v>
      </c>
      <c r="G47" t="b">
        <v>0</v>
      </c>
      <c r="H47" t="s">
        <v>311</v>
      </c>
    </row>
    <row r="48" spans="1:8" x14ac:dyDescent="0.2">
      <c r="A48" t="s">
        <v>290</v>
      </c>
      <c r="B48" t="s">
        <v>291</v>
      </c>
      <c r="C48">
        <v>3</v>
      </c>
      <c r="D48" t="s">
        <v>333</v>
      </c>
      <c r="E48">
        <v>50</v>
      </c>
      <c r="F48">
        <v>9.5</v>
      </c>
      <c r="G48" t="b">
        <v>0</v>
      </c>
      <c r="H48">
        <f>Sensitivity!H5</f>
        <v>166957805663</v>
      </c>
    </row>
    <row r="49" spans="1:8" x14ac:dyDescent="0.2">
      <c r="A49" t="s">
        <v>290</v>
      </c>
      <c r="B49" t="s">
        <v>291</v>
      </c>
      <c r="C49">
        <v>3</v>
      </c>
      <c r="D49" t="s">
        <v>336</v>
      </c>
      <c r="E49">
        <v>50</v>
      </c>
      <c r="F49">
        <v>9.5</v>
      </c>
      <c r="G49" t="b">
        <v>0</v>
      </c>
      <c r="H49" t="s">
        <v>311</v>
      </c>
    </row>
    <row r="50" spans="1:8" x14ac:dyDescent="0.2">
      <c r="A50" t="s">
        <v>290</v>
      </c>
      <c r="B50" t="s">
        <v>297</v>
      </c>
      <c r="C50">
        <v>1</v>
      </c>
      <c r="D50" t="s">
        <v>292</v>
      </c>
      <c r="E50">
        <v>4.5</v>
      </c>
      <c r="F50">
        <v>2.5</v>
      </c>
      <c r="G50" t="b">
        <v>1</v>
      </c>
      <c r="H50">
        <f>IF(Inputs!$B$8&gt;=100,Sensitivity!H15,Sensitivity!H14)</f>
        <v>19898792465366</v>
      </c>
    </row>
    <row r="51" spans="1:8" x14ac:dyDescent="0.2">
      <c r="A51" t="s">
        <v>290</v>
      </c>
      <c r="B51" t="s">
        <v>297</v>
      </c>
      <c r="C51">
        <v>1</v>
      </c>
      <c r="D51" t="s">
        <v>295</v>
      </c>
      <c r="E51">
        <v>3.5</v>
      </c>
      <c r="F51">
        <v>2.5</v>
      </c>
      <c r="G51" t="b">
        <v>1</v>
      </c>
      <c r="H51">
        <f>Sensitivity!H16</f>
        <v>17494373998280</v>
      </c>
    </row>
    <row r="52" spans="1:8" x14ac:dyDescent="0.2">
      <c r="A52" t="s">
        <v>290</v>
      </c>
      <c r="B52" t="s">
        <v>297</v>
      </c>
      <c r="C52">
        <v>1</v>
      </c>
      <c r="D52" t="s">
        <v>299</v>
      </c>
      <c r="E52">
        <v>8</v>
      </c>
      <c r="F52">
        <v>4</v>
      </c>
      <c r="G52" t="b">
        <v>1</v>
      </c>
      <c r="H52">
        <f>Sensitivity!H7</f>
        <v>8104551916653</v>
      </c>
    </row>
    <row r="53" spans="1:8" x14ac:dyDescent="0.2">
      <c r="A53" t="s">
        <v>290</v>
      </c>
      <c r="B53" t="s">
        <v>297</v>
      </c>
      <c r="C53">
        <v>1</v>
      </c>
      <c r="D53" t="s">
        <v>302</v>
      </c>
      <c r="E53">
        <v>6</v>
      </c>
      <c r="F53">
        <v>4</v>
      </c>
      <c r="G53" t="b">
        <v>1</v>
      </c>
      <c r="H53">
        <f>Sensitivity!H12</f>
        <v>15446534399400</v>
      </c>
    </row>
    <row r="54" spans="1:8" x14ac:dyDescent="0.2">
      <c r="A54" t="s">
        <v>290</v>
      </c>
      <c r="B54" t="s">
        <v>297</v>
      </c>
      <c r="C54">
        <v>1</v>
      </c>
      <c r="D54" t="s">
        <v>306</v>
      </c>
      <c r="E54">
        <v>6</v>
      </c>
      <c r="F54">
        <v>4</v>
      </c>
      <c r="G54" t="b">
        <v>1</v>
      </c>
      <c r="H54">
        <f>Sensitivity!H13</f>
        <v>15446534399400</v>
      </c>
    </row>
    <row r="55" spans="1:8" x14ac:dyDescent="0.2">
      <c r="A55" t="s">
        <v>290</v>
      </c>
      <c r="B55" t="s">
        <v>297</v>
      </c>
      <c r="C55">
        <v>1</v>
      </c>
      <c r="D55" t="s">
        <v>310</v>
      </c>
      <c r="E55">
        <v>4.5</v>
      </c>
      <c r="F55">
        <v>4.5</v>
      </c>
      <c r="G55" t="b">
        <v>1</v>
      </c>
      <c r="H55" t="s">
        <v>311</v>
      </c>
    </row>
    <row r="56" spans="1:8" x14ac:dyDescent="0.2">
      <c r="A56" t="s">
        <v>290</v>
      </c>
      <c r="B56" t="s">
        <v>297</v>
      </c>
      <c r="C56">
        <v>1</v>
      </c>
      <c r="D56" t="s">
        <v>314</v>
      </c>
      <c r="E56">
        <v>4.5</v>
      </c>
      <c r="F56">
        <v>4.5</v>
      </c>
      <c r="G56" t="b">
        <v>1</v>
      </c>
      <c r="H56" t="s">
        <v>311</v>
      </c>
    </row>
    <row r="57" spans="1:8" x14ac:dyDescent="0.2">
      <c r="A57" t="s">
        <v>290</v>
      </c>
      <c r="B57" t="s">
        <v>297</v>
      </c>
      <c r="C57">
        <v>1</v>
      </c>
      <c r="D57" t="s">
        <v>317</v>
      </c>
      <c r="E57">
        <v>4.5</v>
      </c>
      <c r="F57">
        <v>4.5</v>
      </c>
      <c r="G57" t="b">
        <v>1</v>
      </c>
      <c r="H57">
        <f>Sensitivity!H6</f>
        <v>29416469501559</v>
      </c>
    </row>
    <row r="58" spans="1:8" x14ac:dyDescent="0.2">
      <c r="A58" t="s">
        <v>290</v>
      </c>
      <c r="B58" t="s">
        <v>297</v>
      </c>
      <c r="C58">
        <v>1</v>
      </c>
      <c r="D58" t="s">
        <v>320</v>
      </c>
      <c r="E58">
        <v>4.5</v>
      </c>
      <c r="F58">
        <v>4.5</v>
      </c>
      <c r="G58" t="b">
        <v>1</v>
      </c>
      <c r="H58" t="s">
        <v>311</v>
      </c>
    </row>
    <row r="59" spans="1:8" x14ac:dyDescent="0.2">
      <c r="A59" t="s">
        <v>290</v>
      </c>
      <c r="B59" t="s">
        <v>297</v>
      </c>
      <c r="C59">
        <v>1</v>
      </c>
      <c r="D59" t="s">
        <v>322</v>
      </c>
      <c r="E59">
        <v>4.5</v>
      </c>
      <c r="F59">
        <v>9</v>
      </c>
      <c r="G59" t="b">
        <v>1</v>
      </c>
      <c r="H59" t="s">
        <v>311</v>
      </c>
    </row>
    <row r="60" spans="1:8" x14ac:dyDescent="0.2">
      <c r="A60" t="s">
        <v>290</v>
      </c>
      <c r="B60" t="s">
        <v>297</v>
      </c>
      <c r="C60">
        <v>1</v>
      </c>
      <c r="D60" t="s">
        <v>324</v>
      </c>
      <c r="E60">
        <v>9</v>
      </c>
      <c r="F60">
        <v>9</v>
      </c>
      <c r="G60" t="b">
        <v>1</v>
      </c>
      <c r="H60" t="s">
        <v>311</v>
      </c>
    </row>
    <row r="61" spans="1:8" x14ac:dyDescent="0.2">
      <c r="A61" t="s">
        <v>290</v>
      </c>
      <c r="B61" t="s">
        <v>297</v>
      </c>
      <c r="C61">
        <v>1</v>
      </c>
      <c r="D61" t="s">
        <v>326</v>
      </c>
      <c r="E61">
        <v>4.5</v>
      </c>
      <c r="F61">
        <v>9</v>
      </c>
      <c r="G61" t="b">
        <v>1</v>
      </c>
      <c r="H61" t="s">
        <v>311</v>
      </c>
    </row>
    <row r="62" spans="1:8" x14ac:dyDescent="0.2">
      <c r="A62" t="s">
        <v>290</v>
      </c>
      <c r="B62" t="s">
        <v>297</v>
      </c>
      <c r="C62">
        <v>1</v>
      </c>
      <c r="D62" t="s">
        <v>329</v>
      </c>
      <c r="E62">
        <v>100</v>
      </c>
      <c r="F62">
        <v>9.5</v>
      </c>
      <c r="G62" t="b">
        <v>1</v>
      </c>
      <c r="H62" t="s">
        <v>311</v>
      </c>
    </row>
    <row r="63" spans="1:8" x14ac:dyDescent="0.2">
      <c r="A63" t="s">
        <v>290</v>
      </c>
      <c r="B63" t="s">
        <v>297</v>
      </c>
      <c r="C63">
        <v>1</v>
      </c>
      <c r="D63" t="s">
        <v>330</v>
      </c>
      <c r="E63">
        <v>100</v>
      </c>
      <c r="F63">
        <v>9.5</v>
      </c>
      <c r="G63" t="b">
        <v>1</v>
      </c>
      <c r="H63" t="s">
        <v>311</v>
      </c>
    </row>
    <row r="64" spans="1:8" x14ac:dyDescent="0.2">
      <c r="A64" t="s">
        <v>290</v>
      </c>
      <c r="B64" t="s">
        <v>297</v>
      </c>
      <c r="C64">
        <v>1</v>
      </c>
      <c r="D64" t="s">
        <v>333</v>
      </c>
      <c r="E64">
        <v>100</v>
      </c>
      <c r="F64">
        <v>9.5</v>
      </c>
      <c r="G64" t="b">
        <v>1</v>
      </c>
      <c r="H64">
        <f>Sensitivity!H5</f>
        <v>166957805663</v>
      </c>
    </row>
    <row r="65" spans="1:8" x14ac:dyDescent="0.2">
      <c r="A65" t="s">
        <v>290</v>
      </c>
      <c r="B65" t="s">
        <v>297</v>
      </c>
      <c r="C65">
        <v>1</v>
      </c>
      <c r="D65" t="s">
        <v>336</v>
      </c>
      <c r="E65">
        <v>100</v>
      </c>
      <c r="F65">
        <v>9.5</v>
      </c>
      <c r="G65" t="b">
        <v>1</v>
      </c>
      <c r="H65" t="s">
        <v>311</v>
      </c>
    </row>
    <row r="66" spans="1:8" x14ac:dyDescent="0.2">
      <c r="A66" t="s">
        <v>290</v>
      </c>
      <c r="B66" t="s">
        <v>297</v>
      </c>
      <c r="C66">
        <v>2</v>
      </c>
      <c r="D66" t="s">
        <v>292</v>
      </c>
      <c r="E66">
        <v>3</v>
      </c>
      <c r="F66">
        <v>1.9</v>
      </c>
      <c r="G66" t="b">
        <v>0</v>
      </c>
      <c r="H66">
        <f>IF(Inputs!$B$8&gt;=100,Sensitivity!H15,Sensitivity!H14)</f>
        <v>19898792465366</v>
      </c>
    </row>
    <row r="67" spans="1:8" x14ac:dyDescent="0.2">
      <c r="A67" t="s">
        <v>290</v>
      </c>
      <c r="B67" t="s">
        <v>297</v>
      </c>
      <c r="C67">
        <v>2</v>
      </c>
      <c r="D67" t="s">
        <v>292</v>
      </c>
      <c r="E67">
        <v>4.5</v>
      </c>
      <c r="F67">
        <v>0.6</v>
      </c>
      <c r="G67" t="b">
        <v>1</v>
      </c>
      <c r="H67">
        <f>IF(Inputs!$B$8&gt;=100,Sensitivity!H15,Sensitivity!H14)</f>
        <v>19898792465366</v>
      </c>
    </row>
    <row r="68" spans="1:8" x14ac:dyDescent="0.2">
      <c r="A68" t="s">
        <v>290</v>
      </c>
      <c r="B68" t="s">
        <v>297</v>
      </c>
      <c r="C68">
        <v>2</v>
      </c>
      <c r="D68" t="s">
        <v>295</v>
      </c>
      <c r="E68">
        <v>3</v>
      </c>
      <c r="F68">
        <v>1.9</v>
      </c>
      <c r="G68" t="b">
        <v>0</v>
      </c>
      <c r="H68">
        <f>Sensitivity!H16</f>
        <v>17494373998280</v>
      </c>
    </row>
    <row r="69" spans="1:8" x14ac:dyDescent="0.2">
      <c r="A69" t="s">
        <v>290</v>
      </c>
      <c r="B69" t="s">
        <v>297</v>
      </c>
      <c r="C69">
        <v>2</v>
      </c>
      <c r="D69" t="s">
        <v>295</v>
      </c>
      <c r="E69">
        <v>3.5</v>
      </c>
      <c r="F69">
        <v>0.6</v>
      </c>
      <c r="G69" t="b">
        <v>1</v>
      </c>
      <c r="H69">
        <f>Sensitivity!H16</f>
        <v>17494373998280</v>
      </c>
    </row>
    <row r="70" spans="1:8" x14ac:dyDescent="0.2">
      <c r="A70" t="s">
        <v>290</v>
      </c>
      <c r="B70" t="s">
        <v>297</v>
      </c>
      <c r="C70">
        <v>2</v>
      </c>
      <c r="D70" t="s">
        <v>299</v>
      </c>
      <c r="E70">
        <v>5</v>
      </c>
      <c r="F70">
        <v>3.04</v>
      </c>
      <c r="G70" t="b">
        <v>0</v>
      </c>
      <c r="H70">
        <f>Sensitivity!H7</f>
        <v>8104551916653</v>
      </c>
    </row>
    <row r="71" spans="1:8" x14ac:dyDescent="0.2">
      <c r="A71" t="s">
        <v>290</v>
      </c>
      <c r="B71" t="s">
        <v>297</v>
      </c>
      <c r="C71">
        <v>2</v>
      </c>
      <c r="D71" t="s">
        <v>299</v>
      </c>
      <c r="E71">
        <v>8</v>
      </c>
      <c r="F71">
        <v>0.96</v>
      </c>
      <c r="G71" t="b">
        <v>1</v>
      </c>
      <c r="H71">
        <f>Sensitivity!H7</f>
        <v>8104551916653</v>
      </c>
    </row>
    <row r="72" spans="1:8" x14ac:dyDescent="0.2">
      <c r="A72" t="s">
        <v>290</v>
      </c>
      <c r="B72" t="s">
        <v>297</v>
      </c>
      <c r="C72">
        <v>2</v>
      </c>
      <c r="D72" t="s">
        <v>302</v>
      </c>
      <c r="E72">
        <v>3</v>
      </c>
      <c r="F72">
        <v>3.04</v>
      </c>
      <c r="G72" t="b">
        <v>0</v>
      </c>
      <c r="H72">
        <f>Sensitivity!H12</f>
        <v>15446534399400</v>
      </c>
    </row>
    <row r="73" spans="1:8" x14ac:dyDescent="0.2">
      <c r="A73" t="s">
        <v>290</v>
      </c>
      <c r="B73" t="s">
        <v>297</v>
      </c>
      <c r="C73">
        <v>2</v>
      </c>
      <c r="D73" t="s">
        <v>302</v>
      </c>
      <c r="E73">
        <v>6</v>
      </c>
      <c r="F73">
        <v>0.96</v>
      </c>
      <c r="G73" t="b">
        <v>1</v>
      </c>
      <c r="H73">
        <f>Sensitivity!H12</f>
        <v>15446534399400</v>
      </c>
    </row>
    <row r="74" spans="1:8" x14ac:dyDescent="0.2">
      <c r="A74" t="s">
        <v>290</v>
      </c>
      <c r="B74" t="s">
        <v>297</v>
      </c>
      <c r="C74">
        <v>2</v>
      </c>
      <c r="D74" t="s">
        <v>306</v>
      </c>
      <c r="E74">
        <v>3</v>
      </c>
      <c r="F74">
        <v>3.04</v>
      </c>
      <c r="G74" t="b">
        <v>0</v>
      </c>
      <c r="H74">
        <f>Sensitivity!H13</f>
        <v>15446534399400</v>
      </c>
    </row>
    <row r="75" spans="1:8" x14ac:dyDescent="0.2">
      <c r="A75" t="s">
        <v>290</v>
      </c>
      <c r="B75" t="s">
        <v>297</v>
      </c>
      <c r="C75">
        <v>2</v>
      </c>
      <c r="D75" t="s">
        <v>306</v>
      </c>
      <c r="E75">
        <v>6</v>
      </c>
      <c r="F75">
        <v>0.96</v>
      </c>
      <c r="G75" t="b">
        <v>1</v>
      </c>
      <c r="H75">
        <f>Sensitivity!H13</f>
        <v>15446534399400</v>
      </c>
    </row>
    <row r="76" spans="1:8" x14ac:dyDescent="0.2">
      <c r="A76" t="s">
        <v>290</v>
      </c>
      <c r="B76" t="s">
        <v>297</v>
      </c>
      <c r="C76">
        <v>2</v>
      </c>
      <c r="D76" t="s">
        <v>310</v>
      </c>
      <c r="E76">
        <v>3</v>
      </c>
      <c r="F76">
        <v>3.42</v>
      </c>
      <c r="G76" t="b">
        <v>0</v>
      </c>
      <c r="H76" t="s">
        <v>311</v>
      </c>
    </row>
    <row r="77" spans="1:8" x14ac:dyDescent="0.2">
      <c r="A77" t="s">
        <v>290</v>
      </c>
      <c r="B77" t="s">
        <v>297</v>
      </c>
      <c r="C77">
        <v>2</v>
      </c>
      <c r="D77" t="s">
        <v>310</v>
      </c>
      <c r="E77">
        <v>4.5</v>
      </c>
      <c r="F77">
        <v>1.08</v>
      </c>
      <c r="G77" t="b">
        <v>1</v>
      </c>
      <c r="H77" t="s">
        <v>311</v>
      </c>
    </row>
    <row r="78" spans="1:8" x14ac:dyDescent="0.2">
      <c r="A78" t="s">
        <v>290</v>
      </c>
      <c r="B78" t="s">
        <v>297</v>
      </c>
      <c r="C78">
        <v>2</v>
      </c>
      <c r="D78" t="s">
        <v>314</v>
      </c>
      <c r="E78">
        <v>3</v>
      </c>
      <c r="F78">
        <v>3.42</v>
      </c>
      <c r="G78" t="b">
        <v>0</v>
      </c>
      <c r="H78" t="s">
        <v>311</v>
      </c>
    </row>
    <row r="79" spans="1:8" x14ac:dyDescent="0.2">
      <c r="A79" t="s">
        <v>290</v>
      </c>
      <c r="B79" t="s">
        <v>297</v>
      </c>
      <c r="C79">
        <v>2</v>
      </c>
      <c r="D79" t="s">
        <v>314</v>
      </c>
      <c r="E79">
        <v>4.5</v>
      </c>
      <c r="F79">
        <v>1.08</v>
      </c>
      <c r="G79" t="b">
        <v>1</v>
      </c>
      <c r="H79" t="s">
        <v>311</v>
      </c>
    </row>
    <row r="80" spans="1:8" x14ac:dyDescent="0.2">
      <c r="A80" t="s">
        <v>290</v>
      </c>
      <c r="B80" t="s">
        <v>297</v>
      </c>
      <c r="C80">
        <v>2</v>
      </c>
      <c r="D80" t="s">
        <v>317</v>
      </c>
      <c r="E80">
        <v>3</v>
      </c>
      <c r="F80">
        <v>3.42</v>
      </c>
      <c r="G80" t="b">
        <v>0</v>
      </c>
      <c r="H80">
        <f>Sensitivity!H6</f>
        <v>29416469501559</v>
      </c>
    </row>
    <row r="81" spans="1:8" x14ac:dyDescent="0.2">
      <c r="A81" t="s">
        <v>290</v>
      </c>
      <c r="B81" t="s">
        <v>297</v>
      </c>
      <c r="C81">
        <v>2</v>
      </c>
      <c r="D81" t="s">
        <v>317</v>
      </c>
      <c r="E81">
        <v>4.5</v>
      </c>
      <c r="F81">
        <v>1.08</v>
      </c>
      <c r="G81" t="b">
        <v>1</v>
      </c>
      <c r="H81">
        <f>Sensitivity!H6</f>
        <v>29416469501559</v>
      </c>
    </row>
    <row r="82" spans="1:8" x14ac:dyDescent="0.2">
      <c r="A82" t="s">
        <v>290</v>
      </c>
      <c r="B82" t="s">
        <v>297</v>
      </c>
      <c r="C82">
        <v>2</v>
      </c>
      <c r="D82" t="s">
        <v>320</v>
      </c>
      <c r="E82">
        <v>3</v>
      </c>
      <c r="F82">
        <v>3.42</v>
      </c>
      <c r="G82" t="b">
        <v>0</v>
      </c>
      <c r="H82" t="s">
        <v>311</v>
      </c>
    </row>
    <row r="83" spans="1:8" x14ac:dyDescent="0.2">
      <c r="A83" t="s">
        <v>290</v>
      </c>
      <c r="B83" t="s">
        <v>297</v>
      </c>
      <c r="C83">
        <v>2</v>
      </c>
      <c r="D83" t="s">
        <v>320</v>
      </c>
      <c r="E83">
        <v>4.5</v>
      </c>
      <c r="F83">
        <v>1.08</v>
      </c>
      <c r="G83" t="b">
        <v>1</v>
      </c>
      <c r="H83" t="s">
        <v>311</v>
      </c>
    </row>
    <row r="84" spans="1:8" x14ac:dyDescent="0.2">
      <c r="A84" t="s">
        <v>290</v>
      </c>
      <c r="B84" t="s">
        <v>297</v>
      </c>
      <c r="C84">
        <v>2</v>
      </c>
      <c r="D84" t="s">
        <v>322</v>
      </c>
      <c r="E84">
        <v>3</v>
      </c>
      <c r="F84">
        <v>6.84</v>
      </c>
      <c r="G84" t="b">
        <v>0</v>
      </c>
      <c r="H84" t="s">
        <v>311</v>
      </c>
    </row>
    <row r="85" spans="1:8" x14ac:dyDescent="0.2">
      <c r="A85" t="s">
        <v>290</v>
      </c>
      <c r="B85" t="s">
        <v>297</v>
      </c>
      <c r="C85">
        <v>2</v>
      </c>
      <c r="D85" t="s">
        <v>322</v>
      </c>
      <c r="E85">
        <v>4.5</v>
      </c>
      <c r="F85">
        <v>2.16</v>
      </c>
      <c r="G85" t="b">
        <v>1</v>
      </c>
      <c r="H85" t="s">
        <v>311</v>
      </c>
    </row>
    <row r="86" spans="1:8" x14ac:dyDescent="0.2">
      <c r="A86" t="s">
        <v>290</v>
      </c>
      <c r="B86" t="s">
        <v>297</v>
      </c>
      <c r="C86">
        <v>2</v>
      </c>
      <c r="D86" t="s">
        <v>324</v>
      </c>
      <c r="E86">
        <v>6</v>
      </c>
      <c r="F86">
        <v>6.84</v>
      </c>
      <c r="G86" t="b">
        <v>0</v>
      </c>
      <c r="H86" t="s">
        <v>311</v>
      </c>
    </row>
    <row r="87" spans="1:8" x14ac:dyDescent="0.2">
      <c r="A87" t="s">
        <v>290</v>
      </c>
      <c r="B87" t="s">
        <v>297</v>
      </c>
      <c r="C87">
        <v>2</v>
      </c>
      <c r="D87" t="s">
        <v>324</v>
      </c>
      <c r="E87">
        <v>9</v>
      </c>
      <c r="F87">
        <v>2.16</v>
      </c>
      <c r="G87" t="b">
        <v>1</v>
      </c>
      <c r="H87" t="s">
        <v>311</v>
      </c>
    </row>
    <row r="88" spans="1:8" x14ac:dyDescent="0.2">
      <c r="A88" t="s">
        <v>290</v>
      </c>
      <c r="B88" t="s">
        <v>297</v>
      </c>
      <c r="C88">
        <v>2</v>
      </c>
      <c r="D88" t="s">
        <v>326</v>
      </c>
      <c r="E88">
        <v>3</v>
      </c>
      <c r="F88">
        <v>6.84</v>
      </c>
      <c r="G88" t="b">
        <v>0</v>
      </c>
      <c r="H88" t="s">
        <v>311</v>
      </c>
    </row>
    <row r="89" spans="1:8" x14ac:dyDescent="0.2">
      <c r="A89" t="s">
        <v>290</v>
      </c>
      <c r="B89" t="s">
        <v>297</v>
      </c>
      <c r="C89">
        <v>2</v>
      </c>
      <c r="D89" t="s">
        <v>326</v>
      </c>
      <c r="E89">
        <v>4.5</v>
      </c>
      <c r="F89">
        <v>2.16</v>
      </c>
      <c r="G89" t="b">
        <v>1</v>
      </c>
      <c r="H89" t="s">
        <v>311</v>
      </c>
    </row>
    <row r="90" spans="1:8" x14ac:dyDescent="0.2">
      <c r="A90" t="s">
        <v>290</v>
      </c>
      <c r="B90" t="s">
        <v>297</v>
      </c>
      <c r="C90">
        <v>2</v>
      </c>
      <c r="D90" t="s">
        <v>329</v>
      </c>
      <c r="E90">
        <v>50</v>
      </c>
      <c r="F90">
        <v>7.22</v>
      </c>
      <c r="G90" t="b">
        <v>0</v>
      </c>
      <c r="H90" t="s">
        <v>311</v>
      </c>
    </row>
    <row r="91" spans="1:8" x14ac:dyDescent="0.2">
      <c r="A91" t="s">
        <v>290</v>
      </c>
      <c r="B91" t="s">
        <v>297</v>
      </c>
      <c r="C91">
        <v>2</v>
      </c>
      <c r="D91" t="s">
        <v>329</v>
      </c>
      <c r="E91">
        <v>100</v>
      </c>
      <c r="F91">
        <v>2.2799999999999998</v>
      </c>
      <c r="G91" t="b">
        <v>1</v>
      </c>
      <c r="H91" t="s">
        <v>311</v>
      </c>
    </row>
    <row r="92" spans="1:8" x14ac:dyDescent="0.2">
      <c r="A92" t="s">
        <v>290</v>
      </c>
      <c r="B92" t="s">
        <v>297</v>
      </c>
      <c r="C92">
        <v>2</v>
      </c>
      <c r="D92" t="s">
        <v>330</v>
      </c>
      <c r="E92">
        <v>50</v>
      </c>
      <c r="F92">
        <v>7.22</v>
      </c>
      <c r="G92" t="b">
        <v>0</v>
      </c>
      <c r="H92" t="s">
        <v>311</v>
      </c>
    </row>
    <row r="93" spans="1:8" x14ac:dyDescent="0.2">
      <c r="A93" t="s">
        <v>290</v>
      </c>
      <c r="B93" t="s">
        <v>297</v>
      </c>
      <c r="C93">
        <v>2</v>
      </c>
      <c r="D93" t="s">
        <v>330</v>
      </c>
      <c r="E93">
        <v>100</v>
      </c>
      <c r="F93">
        <v>2.2799999999999998</v>
      </c>
      <c r="G93" t="b">
        <v>1</v>
      </c>
      <c r="H93" t="s">
        <v>311</v>
      </c>
    </row>
    <row r="94" spans="1:8" x14ac:dyDescent="0.2">
      <c r="A94" t="s">
        <v>290</v>
      </c>
      <c r="B94" t="s">
        <v>297</v>
      </c>
      <c r="C94">
        <v>2</v>
      </c>
      <c r="D94" t="s">
        <v>333</v>
      </c>
      <c r="E94">
        <v>50</v>
      </c>
      <c r="F94">
        <v>7.22</v>
      </c>
      <c r="G94" t="b">
        <v>0</v>
      </c>
      <c r="H94">
        <f>Sensitivity!H5</f>
        <v>166957805663</v>
      </c>
    </row>
    <row r="95" spans="1:8" x14ac:dyDescent="0.2">
      <c r="A95" t="s">
        <v>290</v>
      </c>
      <c r="B95" t="s">
        <v>297</v>
      </c>
      <c r="C95">
        <v>2</v>
      </c>
      <c r="D95" t="s">
        <v>333</v>
      </c>
      <c r="E95">
        <v>100</v>
      </c>
      <c r="F95">
        <v>2.2799999999999998</v>
      </c>
      <c r="G95" t="b">
        <v>1</v>
      </c>
      <c r="H95">
        <f>Sensitivity!H5</f>
        <v>166957805663</v>
      </c>
    </row>
    <row r="96" spans="1:8" x14ac:dyDescent="0.2">
      <c r="A96" t="s">
        <v>290</v>
      </c>
      <c r="B96" t="s">
        <v>297</v>
      </c>
      <c r="C96">
        <v>2</v>
      </c>
      <c r="D96" t="s">
        <v>336</v>
      </c>
      <c r="E96">
        <v>50</v>
      </c>
      <c r="F96">
        <v>7.22</v>
      </c>
      <c r="G96" t="b">
        <v>0</v>
      </c>
      <c r="H96" t="s">
        <v>311</v>
      </c>
    </row>
    <row r="97" spans="1:8" x14ac:dyDescent="0.2">
      <c r="A97" t="s">
        <v>290</v>
      </c>
      <c r="B97" t="s">
        <v>297</v>
      </c>
      <c r="C97">
        <v>2</v>
      </c>
      <c r="D97" t="s">
        <v>336</v>
      </c>
      <c r="E97">
        <v>100</v>
      </c>
      <c r="F97">
        <v>2.2799999999999998</v>
      </c>
      <c r="G97" t="b">
        <v>1</v>
      </c>
      <c r="H97" t="s">
        <v>311</v>
      </c>
    </row>
    <row r="98" spans="1:8" x14ac:dyDescent="0.2">
      <c r="A98" t="s">
        <v>290</v>
      </c>
      <c r="B98" t="s">
        <v>297</v>
      </c>
      <c r="C98">
        <v>3</v>
      </c>
      <c r="D98" t="s">
        <v>292</v>
      </c>
      <c r="E98">
        <v>3</v>
      </c>
      <c r="F98">
        <v>2.2999999999999998</v>
      </c>
      <c r="G98" t="b">
        <v>0</v>
      </c>
      <c r="H98">
        <f>IF(Inputs!$B$8&gt;=100,Sensitivity!H15,Sensitivity!H14)</f>
        <v>19898792465366</v>
      </c>
    </row>
    <row r="99" spans="1:8" x14ac:dyDescent="0.2">
      <c r="A99" t="s">
        <v>290</v>
      </c>
      <c r="B99" t="s">
        <v>297</v>
      </c>
      <c r="C99">
        <v>3</v>
      </c>
      <c r="D99" t="s">
        <v>292</v>
      </c>
      <c r="E99">
        <v>4.5</v>
      </c>
      <c r="F99">
        <v>0.2</v>
      </c>
      <c r="G99" t="b">
        <v>1</v>
      </c>
      <c r="H99">
        <f>IF(Inputs!$B$8&gt;=100,Sensitivity!H15,Sensitivity!H14)</f>
        <v>19898792465366</v>
      </c>
    </row>
    <row r="100" spans="1:8" x14ac:dyDescent="0.2">
      <c r="A100" t="s">
        <v>290</v>
      </c>
      <c r="B100" t="s">
        <v>297</v>
      </c>
      <c r="C100">
        <v>3</v>
      </c>
      <c r="D100" t="s">
        <v>295</v>
      </c>
      <c r="E100">
        <v>3</v>
      </c>
      <c r="F100">
        <v>2.2999999999999998</v>
      </c>
      <c r="G100" t="b">
        <v>0</v>
      </c>
      <c r="H100">
        <f>Sensitivity!H16</f>
        <v>17494373998280</v>
      </c>
    </row>
    <row r="101" spans="1:8" x14ac:dyDescent="0.2">
      <c r="A101" t="s">
        <v>290</v>
      </c>
      <c r="B101" t="s">
        <v>297</v>
      </c>
      <c r="C101">
        <v>3</v>
      </c>
      <c r="D101" t="s">
        <v>295</v>
      </c>
      <c r="E101">
        <v>3.5</v>
      </c>
      <c r="F101">
        <v>0.2</v>
      </c>
      <c r="G101" t="b">
        <v>1</v>
      </c>
      <c r="H101">
        <f>Sensitivity!H16</f>
        <v>17494373998280</v>
      </c>
    </row>
    <row r="102" spans="1:8" x14ac:dyDescent="0.2">
      <c r="A102" t="s">
        <v>290</v>
      </c>
      <c r="B102" t="s">
        <v>297</v>
      </c>
      <c r="C102">
        <v>3</v>
      </c>
      <c r="D102" t="s">
        <v>299</v>
      </c>
      <c r="E102">
        <v>5</v>
      </c>
      <c r="F102">
        <v>3.68</v>
      </c>
      <c r="G102" t="b">
        <v>0</v>
      </c>
      <c r="H102">
        <f>Sensitivity!H7</f>
        <v>8104551916653</v>
      </c>
    </row>
    <row r="103" spans="1:8" x14ac:dyDescent="0.2">
      <c r="A103" t="s">
        <v>290</v>
      </c>
      <c r="B103" t="s">
        <v>297</v>
      </c>
      <c r="C103">
        <v>3</v>
      </c>
      <c r="D103" t="s">
        <v>299</v>
      </c>
      <c r="E103">
        <v>8</v>
      </c>
      <c r="F103">
        <v>0.32</v>
      </c>
      <c r="G103" t="b">
        <v>1</v>
      </c>
      <c r="H103">
        <f>Sensitivity!H7</f>
        <v>8104551916653</v>
      </c>
    </row>
    <row r="104" spans="1:8" x14ac:dyDescent="0.2">
      <c r="A104" t="s">
        <v>290</v>
      </c>
      <c r="B104" t="s">
        <v>297</v>
      </c>
      <c r="C104">
        <v>3</v>
      </c>
      <c r="D104" t="s">
        <v>302</v>
      </c>
      <c r="E104">
        <v>3</v>
      </c>
      <c r="F104">
        <v>3.68</v>
      </c>
      <c r="G104" t="b">
        <v>0</v>
      </c>
      <c r="H104">
        <f>Sensitivity!H12</f>
        <v>15446534399400</v>
      </c>
    </row>
    <row r="105" spans="1:8" x14ac:dyDescent="0.2">
      <c r="A105" t="s">
        <v>290</v>
      </c>
      <c r="B105" t="s">
        <v>297</v>
      </c>
      <c r="C105">
        <v>3</v>
      </c>
      <c r="D105" t="s">
        <v>302</v>
      </c>
      <c r="E105">
        <v>6</v>
      </c>
      <c r="F105">
        <v>0.32</v>
      </c>
      <c r="G105" t="b">
        <v>1</v>
      </c>
      <c r="H105">
        <f>Sensitivity!H12</f>
        <v>15446534399400</v>
      </c>
    </row>
    <row r="106" spans="1:8" x14ac:dyDescent="0.2">
      <c r="A106" t="s">
        <v>290</v>
      </c>
      <c r="B106" t="s">
        <v>297</v>
      </c>
      <c r="C106">
        <v>3</v>
      </c>
      <c r="D106" t="s">
        <v>306</v>
      </c>
      <c r="E106">
        <v>3</v>
      </c>
      <c r="F106">
        <v>3.68</v>
      </c>
      <c r="G106" t="b">
        <v>0</v>
      </c>
      <c r="H106">
        <f>Sensitivity!H13</f>
        <v>15446534399400</v>
      </c>
    </row>
    <row r="107" spans="1:8" x14ac:dyDescent="0.2">
      <c r="A107" t="s">
        <v>290</v>
      </c>
      <c r="B107" t="s">
        <v>297</v>
      </c>
      <c r="C107">
        <v>3</v>
      </c>
      <c r="D107" t="s">
        <v>306</v>
      </c>
      <c r="E107">
        <v>6</v>
      </c>
      <c r="F107">
        <v>0.32</v>
      </c>
      <c r="G107" t="b">
        <v>1</v>
      </c>
      <c r="H107">
        <f>Sensitivity!H13</f>
        <v>15446534399400</v>
      </c>
    </row>
    <row r="108" spans="1:8" x14ac:dyDescent="0.2">
      <c r="A108" t="s">
        <v>290</v>
      </c>
      <c r="B108" t="s">
        <v>297</v>
      </c>
      <c r="C108">
        <v>3</v>
      </c>
      <c r="D108" t="s">
        <v>310</v>
      </c>
      <c r="E108">
        <v>3</v>
      </c>
      <c r="F108">
        <v>4.1399999999999997</v>
      </c>
      <c r="G108" t="b">
        <v>0</v>
      </c>
      <c r="H108" t="s">
        <v>311</v>
      </c>
    </row>
    <row r="109" spans="1:8" x14ac:dyDescent="0.2">
      <c r="A109" t="s">
        <v>290</v>
      </c>
      <c r="B109" t="s">
        <v>297</v>
      </c>
      <c r="C109">
        <v>3</v>
      </c>
      <c r="D109" t="s">
        <v>310</v>
      </c>
      <c r="E109">
        <v>4.5</v>
      </c>
      <c r="F109">
        <v>0.36</v>
      </c>
      <c r="G109" t="b">
        <v>1</v>
      </c>
      <c r="H109" t="s">
        <v>311</v>
      </c>
    </row>
    <row r="110" spans="1:8" x14ac:dyDescent="0.2">
      <c r="A110" t="s">
        <v>290</v>
      </c>
      <c r="B110" t="s">
        <v>297</v>
      </c>
      <c r="C110">
        <v>3</v>
      </c>
      <c r="D110" t="s">
        <v>314</v>
      </c>
      <c r="E110">
        <v>3</v>
      </c>
      <c r="F110">
        <v>4.1399999999999997</v>
      </c>
      <c r="G110" t="b">
        <v>0</v>
      </c>
      <c r="H110" t="s">
        <v>311</v>
      </c>
    </row>
    <row r="111" spans="1:8" x14ac:dyDescent="0.2">
      <c r="A111" t="s">
        <v>290</v>
      </c>
      <c r="B111" t="s">
        <v>297</v>
      </c>
      <c r="C111">
        <v>3</v>
      </c>
      <c r="D111" t="s">
        <v>314</v>
      </c>
      <c r="E111">
        <v>4.5</v>
      </c>
      <c r="F111">
        <v>0.36</v>
      </c>
      <c r="G111" t="b">
        <v>1</v>
      </c>
      <c r="H111" t="s">
        <v>311</v>
      </c>
    </row>
    <row r="112" spans="1:8" x14ac:dyDescent="0.2">
      <c r="A112" t="s">
        <v>290</v>
      </c>
      <c r="B112" t="s">
        <v>297</v>
      </c>
      <c r="C112">
        <v>3</v>
      </c>
      <c r="D112" t="s">
        <v>317</v>
      </c>
      <c r="E112">
        <v>3</v>
      </c>
      <c r="F112">
        <v>4.1399999999999997</v>
      </c>
      <c r="G112" t="b">
        <v>0</v>
      </c>
      <c r="H112">
        <f>Sensitivity!H6</f>
        <v>29416469501559</v>
      </c>
    </row>
    <row r="113" spans="1:8" x14ac:dyDescent="0.2">
      <c r="A113" t="s">
        <v>290</v>
      </c>
      <c r="B113" t="s">
        <v>297</v>
      </c>
      <c r="C113">
        <v>3</v>
      </c>
      <c r="D113" t="s">
        <v>317</v>
      </c>
      <c r="E113">
        <v>4.5</v>
      </c>
      <c r="F113">
        <v>0.36</v>
      </c>
      <c r="G113" t="b">
        <v>1</v>
      </c>
      <c r="H113">
        <f>Sensitivity!H6</f>
        <v>29416469501559</v>
      </c>
    </row>
    <row r="114" spans="1:8" x14ac:dyDescent="0.2">
      <c r="A114" t="s">
        <v>290</v>
      </c>
      <c r="B114" t="s">
        <v>297</v>
      </c>
      <c r="C114">
        <v>3</v>
      </c>
      <c r="D114" t="s">
        <v>320</v>
      </c>
      <c r="E114">
        <v>3</v>
      </c>
      <c r="F114">
        <v>4.1399999999999997</v>
      </c>
      <c r="G114" t="b">
        <v>0</v>
      </c>
      <c r="H114" t="s">
        <v>311</v>
      </c>
    </row>
    <row r="115" spans="1:8" x14ac:dyDescent="0.2">
      <c r="A115" t="s">
        <v>290</v>
      </c>
      <c r="B115" t="s">
        <v>297</v>
      </c>
      <c r="C115">
        <v>3</v>
      </c>
      <c r="D115" t="s">
        <v>320</v>
      </c>
      <c r="E115">
        <v>4.5</v>
      </c>
      <c r="F115">
        <v>0.36</v>
      </c>
      <c r="G115" t="b">
        <v>1</v>
      </c>
      <c r="H115" t="s">
        <v>311</v>
      </c>
    </row>
    <row r="116" spans="1:8" x14ac:dyDescent="0.2">
      <c r="A116" t="s">
        <v>290</v>
      </c>
      <c r="B116" t="s">
        <v>297</v>
      </c>
      <c r="C116">
        <v>3</v>
      </c>
      <c r="D116" t="s">
        <v>322</v>
      </c>
      <c r="E116">
        <v>3</v>
      </c>
      <c r="F116">
        <v>8.2799999999999994</v>
      </c>
      <c r="G116" t="b">
        <v>0</v>
      </c>
      <c r="H116" t="s">
        <v>311</v>
      </c>
    </row>
    <row r="117" spans="1:8" x14ac:dyDescent="0.2">
      <c r="A117" t="s">
        <v>290</v>
      </c>
      <c r="B117" t="s">
        <v>297</v>
      </c>
      <c r="C117">
        <v>3</v>
      </c>
      <c r="D117" t="s">
        <v>322</v>
      </c>
      <c r="E117">
        <v>4.5</v>
      </c>
      <c r="F117">
        <v>0.72</v>
      </c>
      <c r="G117" t="b">
        <v>1</v>
      </c>
      <c r="H117" t="s">
        <v>311</v>
      </c>
    </row>
    <row r="118" spans="1:8" x14ac:dyDescent="0.2">
      <c r="A118" t="s">
        <v>290</v>
      </c>
      <c r="B118" t="s">
        <v>297</v>
      </c>
      <c r="C118">
        <v>3</v>
      </c>
      <c r="D118" t="s">
        <v>324</v>
      </c>
      <c r="E118">
        <v>6</v>
      </c>
      <c r="F118">
        <v>8.2799999999999994</v>
      </c>
      <c r="G118" t="b">
        <v>0</v>
      </c>
      <c r="H118" t="s">
        <v>311</v>
      </c>
    </row>
    <row r="119" spans="1:8" x14ac:dyDescent="0.2">
      <c r="A119" t="s">
        <v>290</v>
      </c>
      <c r="B119" t="s">
        <v>297</v>
      </c>
      <c r="C119">
        <v>3</v>
      </c>
      <c r="D119" t="s">
        <v>324</v>
      </c>
      <c r="E119">
        <v>9</v>
      </c>
      <c r="F119">
        <v>0.72</v>
      </c>
      <c r="G119" t="b">
        <v>1</v>
      </c>
      <c r="H119" t="s">
        <v>311</v>
      </c>
    </row>
    <row r="120" spans="1:8" x14ac:dyDescent="0.2">
      <c r="A120" t="s">
        <v>290</v>
      </c>
      <c r="B120" t="s">
        <v>297</v>
      </c>
      <c r="C120">
        <v>3</v>
      </c>
      <c r="D120" t="s">
        <v>326</v>
      </c>
      <c r="E120">
        <v>3</v>
      </c>
      <c r="F120">
        <v>8.2799999999999994</v>
      </c>
      <c r="G120" t="b">
        <v>0</v>
      </c>
      <c r="H120" t="s">
        <v>311</v>
      </c>
    </row>
    <row r="121" spans="1:8" x14ac:dyDescent="0.2">
      <c r="A121" t="s">
        <v>290</v>
      </c>
      <c r="B121" t="s">
        <v>297</v>
      </c>
      <c r="C121">
        <v>3</v>
      </c>
      <c r="D121" t="s">
        <v>326</v>
      </c>
      <c r="E121">
        <v>4.5</v>
      </c>
      <c r="F121">
        <v>0.72</v>
      </c>
      <c r="G121" t="b">
        <v>1</v>
      </c>
      <c r="H121" t="s">
        <v>311</v>
      </c>
    </row>
    <row r="122" spans="1:8" x14ac:dyDescent="0.2">
      <c r="A122" t="s">
        <v>290</v>
      </c>
      <c r="B122" t="s">
        <v>297</v>
      </c>
      <c r="C122">
        <v>3</v>
      </c>
      <c r="D122" t="s">
        <v>329</v>
      </c>
      <c r="E122">
        <v>50</v>
      </c>
      <c r="F122">
        <v>8.74</v>
      </c>
      <c r="G122" t="b">
        <v>0</v>
      </c>
      <c r="H122" t="s">
        <v>311</v>
      </c>
    </row>
    <row r="123" spans="1:8" x14ac:dyDescent="0.2">
      <c r="A123" t="s">
        <v>290</v>
      </c>
      <c r="B123" t="s">
        <v>297</v>
      </c>
      <c r="C123">
        <v>3</v>
      </c>
      <c r="D123" t="s">
        <v>329</v>
      </c>
      <c r="E123">
        <v>100</v>
      </c>
      <c r="F123">
        <v>0.76</v>
      </c>
      <c r="G123" t="b">
        <v>1</v>
      </c>
      <c r="H123" t="s">
        <v>311</v>
      </c>
    </row>
    <row r="124" spans="1:8" x14ac:dyDescent="0.2">
      <c r="A124" t="s">
        <v>290</v>
      </c>
      <c r="B124" t="s">
        <v>297</v>
      </c>
      <c r="C124">
        <v>3</v>
      </c>
      <c r="D124" t="s">
        <v>330</v>
      </c>
      <c r="E124">
        <v>50</v>
      </c>
      <c r="F124">
        <v>8.74</v>
      </c>
      <c r="G124" t="b">
        <v>0</v>
      </c>
      <c r="H124" t="s">
        <v>311</v>
      </c>
    </row>
    <row r="125" spans="1:8" x14ac:dyDescent="0.2">
      <c r="A125" t="s">
        <v>290</v>
      </c>
      <c r="B125" t="s">
        <v>297</v>
      </c>
      <c r="C125">
        <v>3</v>
      </c>
      <c r="D125" t="s">
        <v>330</v>
      </c>
      <c r="E125">
        <v>100</v>
      </c>
      <c r="F125">
        <v>0.76</v>
      </c>
      <c r="G125" t="b">
        <v>1</v>
      </c>
      <c r="H125" t="s">
        <v>311</v>
      </c>
    </row>
    <row r="126" spans="1:8" x14ac:dyDescent="0.2">
      <c r="A126" t="s">
        <v>290</v>
      </c>
      <c r="B126" t="s">
        <v>297</v>
      </c>
      <c r="C126">
        <v>3</v>
      </c>
      <c r="D126" t="s">
        <v>333</v>
      </c>
      <c r="E126">
        <v>50</v>
      </c>
      <c r="F126">
        <v>8.74</v>
      </c>
      <c r="G126" t="b">
        <v>0</v>
      </c>
      <c r="H126">
        <f>Sensitivity!H5</f>
        <v>166957805663</v>
      </c>
    </row>
    <row r="127" spans="1:8" x14ac:dyDescent="0.2">
      <c r="A127" t="s">
        <v>290</v>
      </c>
      <c r="B127" t="s">
        <v>297</v>
      </c>
      <c r="C127">
        <v>3</v>
      </c>
      <c r="D127" t="s">
        <v>333</v>
      </c>
      <c r="E127">
        <v>100</v>
      </c>
      <c r="F127">
        <v>0.76</v>
      </c>
      <c r="G127" t="b">
        <v>1</v>
      </c>
      <c r="H127">
        <f>Sensitivity!H5</f>
        <v>166957805663</v>
      </c>
    </row>
    <row r="128" spans="1:8" x14ac:dyDescent="0.2">
      <c r="A128" t="s">
        <v>290</v>
      </c>
      <c r="B128" t="s">
        <v>297</v>
      </c>
      <c r="C128">
        <v>3</v>
      </c>
      <c r="D128" t="s">
        <v>336</v>
      </c>
      <c r="E128">
        <v>50</v>
      </c>
      <c r="F128">
        <v>8.74</v>
      </c>
      <c r="G128" t="b">
        <v>0</v>
      </c>
      <c r="H128" t="s">
        <v>311</v>
      </c>
    </row>
    <row r="129" spans="1:8" x14ac:dyDescent="0.2">
      <c r="A129" t="s">
        <v>290</v>
      </c>
      <c r="B129" t="s">
        <v>297</v>
      </c>
      <c r="C129">
        <v>3</v>
      </c>
      <c r="D129" t="s">
        <v>336</v>
      </c>
      <c r="E129">
        <v>100</v>
      </c>
      <c r="F129">
        <v>0.76</v>
      </c>
      <c r="G129" t="b">
        <v>1</v>
      </c>
      <c r="H129" t="s">
        <v>311</v>
      </c>
    </row>
    <row r="130" spans="1:8" x14ac:dyDescent="0.2">
      <c r="A130" t="s">
        <v>290</v>
      </c>
      <c r="B130" t="s">
        <v>300</v>
      </c>
      <c r="C130">
        <v>1</v>
      </c>
      <c r="D130" t="s">
        <v>292</v>
      </c>
      <c r="E130">
        <v>6</v>
      </c>
      <c r="F130">
        <v>2.5</v>
      </c>
      <c r="G130" t="b">
        <v>1</v>
      </c>
      <c r="H130">
        <f>IF(Inputs!$B$8&gt;=100,Sensitivity!H15,Sensitivity!H14)</f>
        <v>19898792465366</v>
      </c>
    </row>
    <row r="131" spans="1:8" x14ac:dyDescent="0.2">
      <c r="A131" t="s">
        <v>290</v>
      </c>
      <c r="B131" t="s">
        <v>300</v>
      </c>
      <c r="C131">
        <v>1</v>
      </c>
      <c r="D131" t="s">
        <v>295</v>
      </c>
      <c r="E131">
        <v>4</v>
      </c>
      <c r="F131">
        <v>2.5</v>
      </c>
      <c r="G131" t="b">
        <v>1</v>
      </c>
      <c r="H131">
        <f>Sensitivity!H16</f>
        <v>17494373998280</v>
      </c>
    </row>
    <row r="132" spans="1:8" x14ac:dyDescent="0.2">
      <c r="A132" t="s">
        <v>290</v>
      </c>
      <c r="B132" t="s">
        <v>300</v>
      </c>
      <c r="C132">
        <v>1</v>
      </c>
      <c r="D132" t="s">
        <v>299</v>
      </c>
      <c r="E132">
        <v>12</v>
      </c>
      <c r="F132">
        <v>4</v>
      </c>
      <c r="G132" t="b">
        <v>1</v>
      </c>
      <c r="H132">
        <f>Sensitivity!H7</f>
        <v>8104551916653</v>
      </c>
    </row>
    <row r="133" spans="1:8" x14ac:dyDescent="0.2">
      <c r="A133" t="s">
        <v>290</v>
      </c>
      <c r="B133" t="s">
        <v>300</v>
      </c>
      <c r="C133">
        <v>1</v>
      </c>
      <c r="D133" t="s">
        <v>302</v>
      </c>
      <c r="E133">
        <v>8</v>
      </c>
      <c r="F133">
        <v>4</v>
      </c>
      <c r="G133" t="b">
        <v>1</v>
      </c>
      <c r="H133">
        <f>Sensitivity!H12</f>
        <v>15446534399400</v>
      </c>
    </row>
    <row r="134" spans="1:8" x14ac:dyDescent="0.2">
      <c r="A134" t="s">
        <v>290</v>
      </c>
      <c r="B134" t="s">
        <v>300</v>
      </c>
      <c r="C134">
        <v>1</v>
      </c>
      <c r="D134" t="s">
        <v>306</v>
      </c>
      <c r="E134">
        <v>8</v>
      </c>
      <c r="F134">
        <v>4</v>
      </c>
      <c r="G134" t="b">
        <v>1</v>
      </c>
      <c r="H134">
        <f>Sensitivity!H13</f>
        <v>15446534399400</v>
      </c>
    </row>
    <row r="135" spans="1:8" x14ac:dyDescent="0.2">
      <c r="A135" t="s">
        <v>290</v>
      </c>
      <c r="B135" t="s">
        <v>300</v>
      </c>
      <c r="C135">
        <v>1</v>
      </c>
      <c r="D135" t="s">
        <v>310</v>
      </c>
      <c r="E135">
        <v>6</v>
      </c>
      <c r="F135">
        <v>4.5</v>
      </c>
      <c r="G135" t="b">
        <v>1</v>
      </c>
      <c r="H135" t="s">
        <v>311</v>
      </c>
    </row>
    <row r="136" spans="1:8" x14ac:dyDescent="0.2">
      <c r="A136" t="s">
        <v>290</v>
      </c>
      <c r="B136" t="s">
        <v>300</v>
      </c>
      <c r="C136">
        <v>1</v>
      </c>
      <c r="D136" t="s">
        <v>314</v>
      </c>
      <c r="E136">
        <v>6</v>
      </c>
      <c r="F136">
        <v>4.5</v>
      </c>
      <c r="G136" t="b">
        <v>1</v>
      </c>
      <c r="H136" t="s">
        <v>311</v>
      </c>
    </row>
    <row r="137" spans="1:8" x14ac:dyDescent="0.2">
      <c r="A137" t="s">
        <v>290</v>
      </c>
      <c r="B137" t="s">
        <v>300</v>
      </c>
      <c r="C137">
        <v>1</v>
      </c>
      <c r="D137" t="s">
        <v>317</v>
      </c>
      <c r="E137">
        <v>6</v>
      </c>
      <c r="F137">
        <v>4.5</v>
      </c>
      <c r="G137" t="b">
        <v>1</v>
      </c>
      <c r="H137">
        <f>Sensitivity!H6</f>
        <v>29416469501559</v>
      </c>
    </row>
    <row r="138" spans="1:8" x14ac:dyDescent="0.2">
      <c r="A138" t="s">
        <v>290</v>
      </c>
      <c r="B138" t="s">
        <v>300</v>
      </c>
      <c r="C138">
        <v>1</v>
      </c>
      <c r="D138" t="s">
        <v>320</v>
      </c>
      <c r="E138">
        <v>6</v>
      </c>
      <c r="F138">
        <v>4.5</v>
      </c>
      <c r="G138" t="b">
        <v>1</v>
      </c>
      <c r="H138" t="s">
        <v>311</v>
      </c>
    </row>
    <row r="139" spans="1:8" x14ac:dyDescent="0.2">
      <c r="A139" t="s">
        <v>290</v>
      </c>
      <c r="B139" t="s">
        <v>300</v>
      </c>
      <c r="C139">
        <v>1</v>
      </c>
      <c r="D139" t="s">
        <v>322</v>
      </c>
      <c r="E139">
        <v>6</v>
      </c>
      <c r="F139">
        <v>9</v>
      </c>
      <c r="G139" t="b">
        <v>1</v>
      </c>
      <c r="H139" t="s">
        <v>311</v>
      </c>
    </row>
    <row r="140" spans="1:8" x14ac:dyDescent="0.2">
      <c r="A140" t="s">
        <v>290</v>
      </c>
      <c r="B140" t="s">
        <v>300</v>
      </c>
      <c r="C140">
        <v>1</v>
      </c>
      <c r="D140" t="s">
        <v>324</v>
      </c>
      <c r="E140">
        <v>12</v>
      </c>
      <c r="F140">
        <v>9</v>
      </c>
      <c r="G140" t="b">
        <v>1</v>
      </c>
      <c r="H140" t="s">
        <v>311</v>
      </c>
    </row>
    <row r="141" spans="1:8" x14ac:dyDescent="0.2">
      <c r="A141" t="s">
        <v>290</v>
      </c>
      <c r="B141" t="s">
        <v>300</v>
      </c>
      <c r="C141">
        <v>1</v>
      </c>
      <c r="D141" t="s">
        <v>326</v>
      </c>
      <c r="E141">
        <v>6</v>
      </c>
      <c r="F141">
        <v>9</v>
      </c>
      <c r="G141" t="b">
        <v>1</v>
      </c>
      <c r="H141" t="s">
        <v>311</v>
      </c>
    </row>
    <row r="142" spans="1:8" x14ac:dyDescent="0.2">
      <c r="A142" t="s">
        <v>290</v>
      </c>
      <c r="B142" t="s">
        <v>300</v>
      </c>
      <c r="C142">
        <v>1</v>
      </c>
      <c r="D142" t="s">
        <v>329</v>
      </c>
      <c r="E142">
        <v>200</v>
      </c>
      <c r="F142">
        <v>9.25</v>
      </c>
      <c r="G142" t="b">
        <v>1</v>
      </c>
      <c r="H142" t="s">
        <v>311</v>
      </c>
    </row>
    <row r="143" spans="1:8" x14ac:dyDescent="0.2">
      <c r="A143" t="s">
        <v>290</v>
      </c>
      <c r="B143" t="s">
        <v>300</v>
      </c>
      <c r="C143">
        <v>1</v>
      </c>
      <c r="D143" t="s">
        <v>330</v>
      </c>
      <c r="E143">
        <v>200</v>
      </c>
      <c r="F143">
        <v>9.25</v>
      </c>
      <c r="G143" t="b">
        <v>1</v>
      </c>
      <c r="H143" t="s">
        <v>311</v>
      </c>
    </row>
    <row r="144" spans="1:8" x14ac:dyDescent="0.2">
      <c r="A144" t="s">
        <v>290</v>
      </c>
      <c r="B144" t="s">
        <v>300</v>
      </c>
      <c r="C144">
        <v>1</v>
      </c>
      <c r="D144" t="s">
        <v>333</v>
      </c>
      <c r="E144">
        <v>200</v>
      </c>
      <c r="F144">
        <v>9.25</v>
      </c>
      <c r="G144" t="b">
        <v>1</v>
      </c>
      <c r="H144">
        <f>Sensitivity!H5</f>
        <v>166957805663</v>
      </c>
    </row>
    <row r="145" spans="1:8" x14ac:dyDescent="0.2">
      <c r="A145" t="s">
        <v>290</v>
      </c>
      <c r="B145" t="s">
        <v>300</v>
      </c>
      <c r="C145">
        <v>1</v>
      </c>
      <c r="D145" t="s">
        <v>336</v>
      </c>
      <c r="E145">
        <v>200</v>
      </c>
      <c r="F145">
        <v>9.25</v>
      </c>
      <c r="G145" t="b">
        <v>1</v>
      </c>
      <c r="H145" t="s">
        <v>311</v>
      </c>
    </row>
    <row r="146" spans="1:8" x14ac:dyDescent="0.2">
      <c r="A146" t="s">
        <v>290</v>
      </c>
      <c r="B146" t="s">
        <v>300</v>
      </c>
      <c r="C146">
        <v>2</v>
      </c>
      <c r="D146" t="s">
        <v>292</v>
      </c>
      <c r="E146">
        <v>4.5</v>
      </c>
      <c r="F146">
        <v>1.9</v>
      </c>
      <c r="G146" t="b">
        <v>0</v>
      </c>
      <c r="H146">
        <f>IF(Inputs!$B$8&gt;=100,Sensitivity!H15,Sensitivity!H14)</f>
        <v>19898792465366</v>
      </c>
    </row>
    <row r="147" spans="1:8" x14ac:dyDescent="0.2">
      <c r="A147" t="s">
        <v>290</v>
      </c>
      <c r="B147" t="s">
        <v>300</v>
      </c>
      <c r="C147">
        <v>2</v>
      </c>
      <c r="D147" t="s">
        <v>292</v>
      </c>
      <c r="E147">
        <v>6</v>
      </c>
      <c r="F147">
        <v>0.6</v>
      </c>
      <c r="G147" t="b">
        <v>1</v>
      </c>
      <c r="H147">
        <f>IF(Inputs!$B$8&gt;=100,Sensitivity!H15,Sensitivity!H14)</f>
        <v>19898792465366</v>
      </c>
    </row>
    <row r="148" spans="1:8" x14ac:dyDescent="0.2">
      <c r="A148" t="s">
        <v>290</v>
      </c>
      <c r="B148" t="s">
        <v>300</v>
      </c>
      <c r="C148">
        <v>2</v>
      </c>
      <c r="D148" t="s">
        <v>295</v>
      </c>
      <c r="E148">
        <v>3.5</v>
      </c>
      <c r="F148">
        <v>1.9</v>
      </c>
      <c r="G148" t="b">
        <v>0</v>
      </c>
      <c r="H148">
        <f>Sensitivity!H16</f>
        <v>17494373998280</v>
      </c>
    </row>
    <row r="149" spans="1:8" x14ac:dyDescent="0.2">
      <c r="A149" t="s">
        <v>290</v>
      </c>
      <c r="B149" t="s">
        <v>300</v>
      </c>
      <c r="C149">
        <v>2</v>
      </c>
      <c r="D149" t="s">
        <v>295</v>
      </c>
      <c r="E149">
        <v>4</v>
      </c>
      <c r="F149">
        <v>0.6</v>
      </c>
      <c r="G149" t="b">
        <v>1</v>
      </c>
      <c r="H149">
        <f>Sensitivity!H16</f>
        <v>17494373998280</v>
      </c>
    </row>
    <row r="150" spans="1:8" x14ac:dyDescent="0.2">
      <c r="A150" t="s">
        <v>290</v>
      </c>
      <c r="B150" t="s">
        <v>300</v>
      </c>
      <c r="C150">
        <v>2</v>
      </c>
      <c r="D150" t="s">
        <v>299</v>
      </c>
      <c r="E150">
        <v>8</v>
      </c>
      <c r="F150">
        <v>3.04</v>
      </c>
      <c r="G150" t="b">
        <v>0</v>
      </c>
      <c r="H150">
        <f>Sensitivity!H7</f>
        <v>8104551916653</v>
      </c>
    </row>
    <row r="151" spans="1:8" x14ac:dyDescent="0.2">
      <c r="A151" t="s">
        <v>290</v>
      </c>
      <c r="B151" t="s">
        <v>300</v>
      </c>
      <c r="C151">
        <v>2</v>
      </c>
      <c r="D151" t="s">
        <v>299</v>
      </c>
      <c r="E151">
        <v>12</v>
      </c>
      <c r="F151">
        <v>0.96</v>
      </c>
      <c r="G151" t="b">
        <v>1</v>
      </c>
      <c r="H151">
        <f>Sensitivity!H7</f>
        <v>8104551916653</v>
      </c>
    </row>
    <row r="152" spans="1:8" x14ac:dyDescent="0.2">
      <c r="A152" t="s">
        <v>290</v>
      </c>
      <c r="B152" t="s">
        <v>300</v>
      </c>
      <c r="C152">
        <v>2</v>
      </c>
      <c r="D152" t="s">
        <v>302</v>
      </c>
      <c r="E152">
        <v>6</v>
      </c>
      <c r="F152">
        <v>3.04</v>
      </c>
      <c r="G152" t="b">
        <v>0</v>
      </c>
      <c r="H152">
        <f>Sensitivity!H12</f>
        <v>15446534399400</v>
      </c>
    </row>
    <row r="153" spans="1:8" x14ac:dyDescent="0.2">
      <c r="A153" t="s">
        <v>290</v>
      </c>
      <c r="B153" t="s">
        <v>300</v>
      </c>
      <c r="C153">
        <v>2</v>
      </c>
      <c r="D153" t="s">
        <v>302</v>
      </c>
      <c r="E153">
        <v>8</v>
      </c>
      <c r="F153">
        <v>0.96</v>
      </c>
      <c r="G153" t="b">
        <v>1</v>
      </c>
      <c r="H153">
        <f>Sensitivity!H12</f>
        <v>15446534399400</v>
      </c>
    </row>
    <row r="154" spans="1:8" x14ac:dyDescent="0.2">
      <c r="A154" t="s">
        <v>290</v>
      </c>
      <c r="B154" t="s">
        <v>300</v>
      </c>
      <c r="C154">
        <v>2</v>
      </c>
      <c r="D154" t="s">
        <v>306</v>
      </c>
      <c r="E154">
        <v>6</v>
      </c>
      <c r="F154">
        <v>3.04</v>
      </c>
      <c r="G154" t="b">
        <v>0</v>
      </c>
      <c r="H154">
        <f>Sensitivity!H13</f>
        <v>15446534399400</v>
      </c>
    </row>
    <row r="155" spans="1:8" x14ac:dyDescent="0.2">
      <c r="A155" t="s">
        <v>290</v>
      </c>
      <c r="B155" t="s">
        <v>300</v>
      </c>
      <c r="C155">
        <v>2</v>
      </c>
      <c r="D155" t="s">
        <v>306</v>
      </c>
      <c r="E155">
        <v>8</v>
      </c>
      <c r="F155">
        <v>0.96</v>
      </c>
      <c r="G155" t="b">
        <v>1</v>
      </c>
      <c r="H155">
        <f>Sensitivity!H13</f>
        <v>15446534399400</v>
      </c>
    </row>
    <row r="156" spans="1:8" x14ac:dyDescent="0.2">
      <c r="A156" t="s">
        <v>290</v>
      </c>
      <c r="B156" t="s">
        <v>300</v>
      </c>
      <c r="C156">
        <v>2</v>
      </c>
      <c r="D156" t="s">
        <v>310</v>
      </c>
      <c r="E156">
        <v>4.5</v>
      </c>
      <c r="F156">
        <v>3.42</v>
      </c>
      <c r="G156" t="b">
        <v>0</v>
      </c>
      <c r="H156" t="s">
        <v>311</v>
      </c>
    </row>
    <row r="157" spans="1:8" x14ac:dyDescent="0.2">
      <c r="A157" t="s">
        <v>290</v>
      </c>
      <c r="B157" t="s">
        <v>300</v>
      </c>
      <c r="C157">
        <v>2</v>
      </c>
      <c r="D157" t="s">
        <v>310</v>
      </c>
      <c r="E157">
        <v>6</v>
      </c>
      <c r="F157">
        <v>1.08</v>
      </c>
      <c r="G157" t="b">
        <v>1</v>
      </c>
      <c r="H157" t="s">
        <v>311</v>
      </c>
    </row>
    <row r="158" spans="1:8" x14ac:dyDescent="0.2">
      <c r="A158" t="s">
        <v>290</v>
      </c>
      <c r="B158" t="s">
        <v>300</v>
      </c>
      <c r="C158">
        <v>2</v>
      </c>
      <c r="D158" t="s">
        <v>314</v>
      </c>
      <c r="E158">
        <v>4.5</v>
      </c>
      <c r="F158">
        <v>3.42</v>
      </c>
      <c r="G158" t="b">
        <v>0</v>
      </c>
      <c r="H158" t="s">
        <v>311</v>
      </c>
    </row>
    <row r="159" spans="1:8" x14ac:dyDescent="0.2">
      <c r="A159" t="s">
        <v>290</v>
      </c>
      <c r="B159" t="s">
        <v>300</v>
      </c>
      <c r="C159">
        <v>2</v>
      </c>
      <c r="D159" t="s">
        <v>314</v>
      </c>
      <c r="E159">
        <v>6</v>
      </c>
      <c r="F159">
        <v>1.08</v>
      </c>
      <c r="G159" t="b">
        <v>1</v>
      </c>
      <c r="H159" t="s">
        <v>311</v>
      </c>
    </row>
    <row r="160" spans="1:8" x14ac:dyDescent="0.2">
      <c r="A160" t="s">
        <v>290</v>
      </c>
      <c r="B160" t="s">
        <v>300</v>
      </c>
      <c r="C160">
        <v>2</v>
      </c>
      <c r="D160" t="s">
        <v>317</v>
      </c>
      <c r="E160">
        <v>4.5</v>
      </c>
      <c r="F160">
        <v>3.42</v>
      </c>
      <c r="G160" t="b">
        <v>0</v>
      </c>
      <c r="H160">
        <f>Sensitivity!H6</f>
        <v>29416469501559</v>
      </c>
    </row>
    <row r="161" spans="1:8" x14ac:dyDescent="0.2">
      <c r="A161" t="s">
        <v>290</v>
      </c>
      <c r="B161" t="s">
        <v>300</v>
      </c>
      <c r="C161">
        <v>2</v>
      </c>
      <c r="D161" t="s">
        <v>317</v>
      </c>
      <c r="E161">
        <v>6</v>
      </c>
      <c r="F161">
        <v>1.08</v>
      </c>
      <c r="G161" t="b">
        <v>1</v>
      </c>
      <c r="H161">
        <f>Sensitivity!H6</f>
        <v>29416469501559</v>
      </c>
    </row>
    <row r="162" spans="1:8" x14ac:dyDescent="0.2">
      <c r="A162" t="s">
        <v>290</v>
      </c>
      <c r="B162" t="s">
        <v>300</v>
      </c>
      <c r="C162">
        <v>2</v>
      </c>
      <c r="D162" t="s">
        <v>320</v>
      </c>
      <c r="E162">
        <v>4.5</v>
      </c>
      <c r="F162">
        <v>3.42</v>
      </c>
      <c r="G162" t="b">
        <v>0</v>
      </c>
      <c r="H162" t="s">
        <v>311</v>
      </c>
    </row>
    <row r="163" spans="1:8" x14ac:dyDescent="0.2">
      <c r="A163" t="s">
        <v>290</v>
      </c>
      <c r="B163" t="s">
        <v>300</v>
      </c>
      <c r="C163">
        <v>2</v>
      </c>
      <c r="D163" t="s">
        <v>320</v>
      </c>
      <c r="E163">
        <v>6</v>
      </c>
      <c r="F163">
        <v>1.08</v>
      </c>
      <c r="G163" t="b">
        <v>1</v>
      </c>
      <c r="H163" t="s">
        <v>311</v>
      </c>
    </row>
    <row r="164" spans="1:8" x14ac:dyDescent="0.2">
      <c r="A164" t="s">
        <v>290</v>
      </c>
      <c r="B164" t="s">
        <v>300</v>
      </c>
      <c r="C164">
        <v>2</v>
      </c>
      <c r="D164" t="s">
        <v>322</v>
      </c>
      <c r="E164">
        <v>4.5</v>
      </c>
      <c r="F164">
        <v>6.84</v>
      </c>
      <c r="G164" t="b">
        <v>0</v>
      </c>
      <c r="H164" t="s">
        <v>311</v>
      </c>
    </row>
    <row r="165" spans="1:8" x14ac:dyDescent="0.2">
      <c r="A165" t="s">
        <v>290</v>
      </c>
      <c r="B165" t="s">
        <v>300</v>
      </c>
      <c r="C165">
        <v>2</v>
      </c>
      <c r="D165" t="s">
        <v>322</v>
      </c>
      <c r="E165">
        <v>6</v>
      </c>
      <c r="F165">
        <v>2.16</v>
      </c>
      <c r="G165" t="b">
        <v>1</v>
      </c>
      <c r="H165" t="s">
        <v>311</v>
      </c>
    </row>
    <row r="166" spans="1:8" x14ac:dyDescent="0.2">
      <c r="A166" t="s">
        <v>290</v>
      </c>
      <c r="B166" t="s">
        <v>300</v>
      </c>
      <c r="C166">
        <v>2</v>
      </c>
      <c r="D166" t="s">
        <v>324</v>
      </c>
      <c r="E166">
        <v>9</v>
      </c>
      <c r="F166">
        <v>6.84</v>
      </c>
      <c r="G166" t="b">
        <v>0</v>
      </c>
      <c r="H166" t="s">
        <v>311</v>
      </c>
    </row>
    <row r="167" spans="1:8" x14ac:dyDescent="0.2">
      <c r="A167" t="s">
        <v>290</v>
      </c>
      <c r="B167" t="s">
        <v>300</v>
      </c>
      <c r="C167">
        <v>2</v>
      </c>
      <c r="D167" t="s">
        <v>324</v>
      </c>
      <c r="E167">
        <v>12</v>
      </c>
      <c r="F167">
        <v>2.16</v>
      </c>
      <c r="G167" t="b">
        <v>1</v>
      </c>
      <c r="H167" t="s">
        <v>311</v>
      </c>
    </row>
    <row r="168" spans="1:8" x14ac:dyDescent="0.2">
      <c r="A168" t="s">
        <v>290</v>
      </c>
      <c r="B168" t="s">
        <v>300</v>
      </c>
      <c r="C168">
        <v>2</v>
      </c>
      <c r="D168" t="s">
        <v>326</v>
      </c>
      <c r="E168">
        <v>4.5</v>
      </c>
      <c r="F168">
        <v>6.84</v>
      </c>
      <c r="G168" t="b">
        <v>0</v>
      </c>
      <c r="H168" t="s">
        <v>311</v>
      </c>
    </row>
    <row r="169" spans="1:8" x14ac:dyDescent="0.2">
      <c r="A169" t="s">
        <v>290</v>
      </c>
      <c r="B169" t="s">
        <v>300</v>
      </c>
      <c r="C169">
        <v>2</v>
      </c>
      <c r="D169" t="s">
        <v>326</v>
      </c>
      <c r="E169">
        <v>6</v>
      </c>
      <c r="F169">
        <v>2.16</v>
      </c>
      <c r="G169" t="b">
        <v>1</v>
      </c>
      <c r="H169" t="s">
        <v>311</v>
      </c>
    </row>
    <row r="170" spans="1:8" x14ac:dyDescent="0.2">
      <c r="A170" t="s">
        <v>290</v>
      </c>
      <c r="B170" t="s">
        <v>300</v>
      </c>
      <c r="C170">
        <v>2</v>
      </c>
      <c r="D170" t="s">
        <v>329</v>
      </c>
      <c r="E170">
        <v>100</v>
      </c>
      <c r="F170">
        <v>7.22</v>
      </c>
      <c r="G170" t="b">
        <v>0</v>
      </c>
      <c r="H170" t="s">
        <v>311</v>
      </c>
    </row>
    <row r="171" spans="1:8" x14ac:dyDescent="0.2">
      <c r="A171" t="s">
        <v>290</v>
      </c>
      <c r="B171" t="s">
        <v>300</v>
      </c>
      <c r="C171">
        <v>2</v>
      </c>
      <c r="D171" t="s">
        <v>329</v>
      </c>
      <c r="E171">
        <v>200</v>
      </c>
      <c r="F171">
        <v>2.2200000000000002</v>
      </c>
      <c r="G171" t="b">
        <v>1</v>
      </c>
      <c r="H171" t="s">
        <v>311</v>
      </c>
    </row>
    <row r="172" spans="1:8" x14ac:dyDescent="0.2">
      <c r="A172" t="s">
        <v>290</v>
      </c>
      <c r="B172" t="s">
        <v>300</v>
      </c>
      <c r="C172">
        <v>2</v>
      </c>
      <c r="D172" t="s">
        <v>330</v>
      </c>
      <c r="E172">
        <v>100</v>
      </c>
      <c r="F172">
        <v>7.22</v>
      </c>
      <c r="G172" t="b">
        <v>0</v>
      </c>
      <c r="H172" t="s">
        <v>311</v>
      </c>
    </row>
    <row r="173" spans="1:8" x14ac:dyDescent="0.2">
      <c r="A173" t="s">
        <v>290</v>
      </c>
      <c r="B173" t="s">
        <v>300</v>
      </c>
      <c r="C173">
        <v>2</v>
      </c>
      <c r="D173" t="s">
        <v>330</v>
      </c>
      <c r="E173">
        <v>200</v>
      </c>
      <c r="F173">
        <v>2.2200000000000002</v>
      </c>
      <c r="G173" t="b">
        <v>1</v>
      </c>
      <c r="H173" t="s">
        <v>311</v>
      </c>
    </row>
    <row r="174" spans="1:8" x14ac:dyDescent="0.2">
      <c r="A174" t="s">
        <v>290</v>
      </c>
      <c r="B174" t="s">
        <v>300</v>
      </c>
      <c r="C174">
        <v>2</v>
      </c>
      <c r="D174" t="s">
        <v>333</v>
      </c>
      <c r="E174">
        <v>100</v>
      </c>
      <c r="F174">
        <v>7.22</v>
      </c>
      <c r="G174" t="b">
        <v>0</v>
      </c>
      <c r="H174">
        <f>Sensitivity!H5</f>
        <v>166957805663</v>
      </c>
    </row>
    <row r="175" spans="1:8" x14ac:dyDescent="0.2">
      <c r="A175" t="s">
        <v>290</v>
      </c>
      <c r="B175" t="s">
        <v>300</v>
      </c>
      <c r="C175">
        <v>2</v>
      </c>
      <c r="D175" t="s">
        <v>333</v>
      </c>
      <c r="E175">
        <v>200</v>
      </c>
      <c r="F175">
        <v>2.2200000000000002</v>
      </c>
      <c r="G175" t="b">
        <v>1</v>
      </c>
      <c r="H175">
        <f>Sensitivity!H5</f>
        <v>166957805663</v>
      </c>
    </row>
    <row r="176" spans="1:8" x14ac:dyDescent="0.2">
      <c r="A176" t="s">
        <v>290</v>
      </c>
      <c r="B176" t="s">
        <v>300</v>
      </c>
      <c r="C176">
        <v>2</v>
      </c>
      <c r="D176" t="s">
        <v>336</v>
      </c>
      <c r="E176">
        <v>100</v>
      </c>
      <c r="F176">
        <v>7.22</v>
      </c>
      <c r="G176" t="b">
        <v>0</v>
      </c>
      <c r="H176" t="s">
        <v>311</v>
      </c>
    </row>
    <row r="177" spans="1:8" x14ac:dyDescent="0.2">
      <c r="A177" t="s">
        <v>290</v>
      </c>
      <c r="B177" t="s">
        <v>300</v>
      </c>
      <c r="C177">
        <v>2</v>
      </c>
      <c r="D177" t="s">
        <v>336</v>
      </c>
      <c r="E177">
        <v>200</v>
      </c>
      <c r="F177">
        <v>2.2200000000000002</v>
      </c>
      <c r="G177" t="b">
        <v>1</v>
      </c>
      <c r="H177" t="s">
        <v>311</v>
      </c>
    </row>
    <row r="178" spans="1:8" x14ac:dyDescent="0.2">
      <c r="A178" t="s">
        <v>290</v>
      </c>
      <c r="B178" t="s">
        <v>300</v>
      </c>
      <c r="C178">
        <v>3</v>
      </c>
      <c r="D178" t="s">
        <v>292</v>
      </c>
      <c r="E178">
        <v>4.5</v>
      </c>
      <c r="F178">
        <v>2.2999999999999998</v>
      </c>
      <c r="G178" t="b">
        <v>0</v>
      </c>
      <c r="H178">
        <f>IF(Inputs!$B$8&gt;=100,Sensitivity!H15,Sensitivity!H14)</f>
        <v>19898792465366</v>
      </c>
    </row>
    <row r="179" spans="1:8" x14ac:dyDescent="0.2">
      <c r="A179" t="s">
        <v>290</v>
      </c>
      <c r="B179" t="s">
        <v>300</v>
      </c>
      <c r="C179">
        <v>3</v>
      </c>
      <c r="D179" t="s">
        <v>292</v>
      </c>
      <c r="E179">
        <v>6</v>
      </c>
      <c r="F179">
        <v>0.2</v>
      </c>
      <c r="G179" t="b">
        <v>1</v>
      </c>
      <c r="H179">
        <f>IF(Inputs!$B$8&gt;=100,Sensitivity!H15,Sensitivity!H14)</f>
        <v>19898792465366</v>
      </c>
    </row>
    <row r="180" spans="1:8" x14ac:dyDescent="0.2">
      <c r="A180" t="s">
        <v>290</v>
      </c>
      <c r="B180" t="s">
        <v>300</v>
      </c>
      <c r="C180">
        <v>3</v>
      </c>
      <c r="D180" t="s">
        <v>295</v>
      </c>
      <c r="E180">
        <v>3.5</v>
      </c>
      <c r="F180">
        <v>2.2999999999999998</v>
      </c>
      <c r="G180" t="b">
        <v>0</v>
      </c>
      <c r="H180">
        <f>Sensitivity!H16</f>
        <v>17494373998280</v>
      </c>
    </row>
    <row r="181" spans="1:8" x14ac:dyDescent="0.2">
      <c r="A181" t="s">
        <v>290</v>
      </c>
      <c r="B181" t="s">
        <v>300</v>
      </c>
      <c r="C181">
        <v>3</v>
      </c>
      <c r="D181" t="s">
        <v>295</v>
      </c>
      <c r="E181">
        <v>4</v>
      </c>
      <c r="F181">
        <v>0.2</v>
      </c>
      <c r="G181" t="b">
        <v>1</v>
      </c>
      <c r="H181">
        <f>Sensitivity!H16</f>
        <v>17494373998280</v>
      </c>
    </row>
    <row r="182" spans="1:8" x14ac:dyDescent="0.2">
      <c r="A182" t="s">
        <v>290</v>
      </c>
      <c r="B182" t="s">
        <v>300</v>
      </c>
      <c r="C182">
        <v>3</v>
      </c>
      <c r="D182" t="s">
        <v>299</v>
      </c>
      <c r="E182">
        <v>8</v>
      </c>
      <c r="F182">
        <v>3.68</v>
      </c>
      <c r="G182" t="b">
        <v>0</v>
      </c>
      <c r="H182">
        <f>Sensitivity!H7</f>
        <v>8104551916653</v>
      </c>
    </row>
    <row r="183" spans="1:8" x14ac:dyDescent="0.2">
      <c r="A183" t="s">
        <v>290</v>
      </c>
      <c r="B183" t="s">
        <v>300</v>
      </c>
      <c r="C183">
        <v>3</v>
      </c>
      <c r="D183" t="s">
        <v>299</v>
      </c>
      <c r="E183">
        <v>12</v>
      </c>
      <c r="F183">
        <v>0.32</v>
      </c>
      <c r="G183" t="b">
        <v>1</v>
      </c>
      <c r="H183">
        <f>Sensitivity!H7</f>
        <v>8104551916653</v>
      </c>
    </row>
    <row r="184" spans="1:8" x14ac:dyDescent="0.2">
      <c r="A184" t="s">
        <v>290</v>
      </c>
      <c r="B184" t="s">
        <v>300</v>
      </c>
      <c r="C184">
        <v>3</v>
      </c>
      <c r="D184" t="s">
        <v>302</v>
      </c>
      <c r="E184">
        <v>6</v>
      </c>
      <c r="F184">
        <v>3.68</v>
      </c>
      <c r="G184" t="b">
        <v>0</v>
      </c>
      <c r="H184">
        <f>Sensitivity!H12</f>
        <v>15446534399400</v>
      </c>
    </row>
    <row r="185" spans="1:8" x14ac:dyDescent="0.2">
      <c r="A185" t="s">
        <v>290</v>
      </c>
      <c r="B185" t="s">
        <v>300</v>
      </c>
      <c r="C185">
        <v>3</v>
      </c>
      <c r="D185" t="s">
        <v>302</v>
      </c>
      <c r="E185">
        <v>8</v>
      </c>
      <c r="F185">
        <v>0.32</v>
      </c>
      <c r="G185" t="b">
        <v>1</v>
      </c>
      <c r="H185">
        <f>Sensitivity!H12</f>
        <v>15446534399400</v>
      </c>
    </row>
    <row r="186" spans="1:8" x14ac:dyDescent="0.2">
      <c r="A186" t="s">
        <v>290</v>
      </c>
      <c r="B186" t="s">
        <v>300</v>
      </c>
      <c r="C186">
        <v>3</v>
      </c>
      <c r="D186" t="s">
        <v>306</v>
      </c>
      <c r="E186">
        <v>6</v>
      </c>
      <c r="F186">
        <v>3.68</v>
      </c>
      <c r="G186" t="b">
        <v>0</v>
      </c>
      <c r="H186">
        <f>Sensitivity!H13</f>
        <v>15446534399400</v>
      </c>
    </row>
    <row r="187" spans="1:8" x14ac:dyDescent="0.2">
      <c r="A187" t="s">
        <v>290</v>
      </c>
      <c r="B187" t="s">
        <v>300</v>
      </c>
      <c r="C187">
        <v>3</v>
      </c>
      <c r="D187" t="s">
        <v>306</v>
      </c>
      <c r="E187">
        <v>8</v>
      </c>
      <c r="F187">
        <v>0.32</v>
      </c>
      <c r="G187" t="b">
        <v>1</v>
      </c>
      <c r="H187">
        <f>Sensitivity!H13</f>
        <v>15446534399400</v>
      </c>
    </row>
    <row r="188" spans="1:8" x14ac:dyDescent="0.2">
      <c r="A188" t="s">
        <v>290</v>
      </c>
      <c r="B188" t="s">
        <v>300</v>
      </c>
      <c r="C188">
        <v>3</v>
      </c>
      <c r="D188" t="s">
        <v>310</v>
      </c>
      <c r="E188">
        <v>4.5</v>
      </c>
      <c r="F188">
        <v>4.1399999999999997</v>
      </c>
      <c r="G188" t="b">
        <v>0</v>
      </c>
      <c r="H188" t="s">
        <v>311</v>
      </c>
    </row>
    <row r="189" spans="1:8" x14ac:dyDescent="0.2">
      <c r="A189" t="s">
        <v>290</v>
      </c>
      <c r="B189" t="s">
        <v>300</v>
      </c>
      <c r="C189">
        <v>3</v>
      </c>
      <c r="D189" t="s">
        <v>310</v>
      </c>
      <c r="E189">
        <v>6</v>
      </c>
      <c r="F189">
        <v>0.36</v>
      </c>
      <c r="G189" t="b">
        <v>1</v>
      </c>
      <c r="H189" t="s">
        <v>311</v>
      </c>
    </row>
    <row r="190" spans="1:8" x14ac:dyDescent="0.2">
      <c r="A190" t="s">
        <v>290</v>
      </c>
      <c r="B190" t="s">
        <v>300</v>
      </c>
      <c r="C190">
        <v>3</v>
      </c>
      <c r="D190" t="s">
        <v>314</v>
      </c>
      <c r="E190">
        <v>4.5</v>
      </c>
      <c r="F190">
        <v>4.1399999999999997</v>
      </c>
      <c r="G190" t="b">
        <v>0</v>
      </c>
      <c r="H190" t="s">
        <v>311</v>
      </c>
    </row>
    <row r="191" spans="1:8" x14ac:dyDescent="0.2">
      <c r="A191" t="s">
        <v>290</v>
      </c>
      <c r="B191" t="s">
        <v>300</v>
      </c>
      <c r="C191">
        <v>3</v>
      </c>
      <c r="D191" t="s">
        <v>314</v>
      </c>
      <c r="E191">
        <v>6</v>
      </c>
      <c r="F191">
        <v>0.36</v>
      </c>
      <c r="G191" t="b">
        <v>1</v>
      </c>
      <c r="H191" t="s">
        <v>311</v>
      </c>
    </row>
    <row r="192" spans="1:8" x14ac:dyDescent="0.2">
      <c r="A192" t="s">
        <v>290</v>
      </c>
      <c r="B192" t="s">
        <v>300</v>
      </c>
      <c r="C192">
        <v>3</v>
      </c>
      <c r="D192" t="s">
        <v>317</v>
      </c>
      <c r="E192">
        <v>4.5</v>
      </c>
      <c r="F192">
        <v>4.1399999999999997</v>
      </c>
      <c r="G192" t="b">
        <v>0</v>
      </c>
      <c r="H192">
        <f>Sensitivity!H6</f>
        <v>29416469501559</v>
      </c>
    </row>
    <row r="193" spans="1:8" x14ac:dyDescent="0.2">
      <c r="A193" t="s">
        <v>290</v>
      </c>
      <c r="B193" t="s">
        <v>300</v>
      </c>
      <c r="C193">
        <v>3</v>
      </c>
      <c r="D193" t="s">
        <v>317</v>
      </c>
      <c r="E193">
        <v>6</v>
      </c>
      <c r="F193">
        <v>0.36</v>
      </c>
      <c r="G193" t="b">
        <v>1</v>
      </c>
      <c r="H193">
        <f>Sensitivity!H6</f>
        <v>29416469501559</v>
      </c>
    </row>
    <row r="194" spans="1:8" x14ac:dyDescent="0.2">
      <c r="A194" t="s">
        <v>290</v>
      </c>
      <c r="B194" t="s">
        <v>300</v>
      </c>
      <c r="C194">
        <v>3</v>
      </c>
      <c r="D194" t="s">
        <v>320</v>
      </c>
      <c r="E194">
        <v>4.5</v>
      </c>
      <c r="F194">
        <v>4.1399999999999997</v>
      </c>
      <c r="G194" t="b">
        <v>0</v>
      </c>
      <c r="H194" t="s">
        <v>311</v>
      </c>
    </row>
    <row r="195" spans="1:8" x14ac:dyDescent="0.2">
      <c r="A195" t="s">
        <v>290</v>
      </c>
      <c r="B195" t="s">
        <v>300</v>
      </c>
      <c r="C195">
        <v>3</v>
      </c>
      <c r="D195" t="s">
        <v>320</v>
      </c>
      <c r="E195">
        <v>6</v>
      </c>
      <c r="F195">
        <v>0.36</v>
      </c>
      <c r="G195" t="b">
        <v>1</v>
      </c>
      <c r="H195" t="s">
        <v>311</v>
      </c>
    </row>
    <row r="196" spans="1:8" x14ac:dyDescent="0.2">
      <c r="A196" t="s">
        <v>290</v>
      </c>
      <c r="B196" t="s">
        <v>300</v>
      </c>
      <c r="C196">
        <v>3</v>
      </c>
      <c r="D196" t="s">
        <v>322</v>
      </c>
      <c r="E196">
        <v>4.5</v>
      </c>
      <c r="F196">
        <v>8.2799999999999994</v>
      </c>
      <c r="G196" t="b">
        <v>0</v>
      </c>
      <c r="H196" t="s">
        <v>311</v>
      </c>
    </row>
    <row r="197" spans="1:8" x14ac:dyDescent="0.2">
      <c r="A197" t="s">
        <v>290</v>
      </c>
      <c r="B197" t="s">
        <v>300</v>
      </c>
      <c r="C197">
        <v>3</v>
      </c>
      <c r="D197" t="s">
        <v>322</v>
      </c>
      <c r="E197">
        <v>6</v>
      </c>
      <c r="F197">
        <v>0.72</v>
      </c>
      <c r="G197" t="b">
        <v>1</v>
      </c>
      <c r="H197" t="s">
        <v>311</v>
      </c>
    </row>
    <row r="198" spans="1:8" x14ac:dyDescent="0.2">
      <c r="A198" t="s">
        <v>290</v>
      </c>
      <c r="B198" t="s">
        <v>300</v>
      </c>
      <c r="C198">
        <v>3</v>
      </c>
      <c r="D198" t="s">
        <v>324</v>
      </c>
      <c r="E198">
        <v>9</v>
      </c>
      <c r="F198">
        <v>8.2799999999999994</v>
      </c>
      <c r="G198" t="b">
        <v>0</v>
      </c>
      <c r="H198" t="s">
        <v>311</v>
      </c>
    </row>
    <row r="199" spans="1:8" x14ac:dyDescent="0.2">
      <c r="A199" t="s">
        <v>290</v>
      </c>
      <c r="B199" t="s">
        <v>300</v>
      </c>
      <c r="C199">
        <v>3</v>
      </c>
      <c r="D199" t="s">
        <v>324</v>
      </c>
      <c r="E199">
        <v>12</v>
      </c>
      <c r="F199">
        <v>0.72</v>
      </c>
      <c r="G199" t="b">
        <v>1</v>
      </c>
      <c r="H199" t="s">
        <v>311</v>
      </c>
    </row>
    <row r="200" spans="1:8" x14ac:dyDescent="0.2">
      <c r="A200" t="s">
        <v>290</v>
      </c>
      <c r="B200" t="s">
        <v>300</v>
      </c>
      <c r="C200">
        <v>3</v>
      </c>
      <c r="D200" t="s">
        <v>326</v>
      </c>
      <c r="E200">
        <v>4.5</v>
      </c>
      <c r="F200">
        <v>8.2799999999999994</v>
      </c>
      <c r="G200" t="b">
        <v>0</v>
      </c>
      <c r="H200" t="s">
        <v>311</v>
      </c>
    </row>
    <row r="201" spans="1:8" x14ac:dyDescent="0.2">
      <c r="A201" t="s">
        <v>290</v>
      </c>
      <c r="B201" t="s">
        <v>300</v>
      </c>
      <c r="C201">
        <v>3</v>
      </c>
      <c r="D201" t="s">
        <v>326</v>
      </c>
      <c r="E201">
        <v>6</v>
      </c>
      <c r="F201">
        <v>0.72</v>
      </c>
      <c r="G201" t="b">
        <v>1</v>
      </c>
      <c r="H201" t="s">
        <v>311</v>
      </c>
    </row>
    <row r="202" spans="1:8" x14ac:dyDescent="0.2">
      <c r="A202" t="s">
        <v>290</v>
      </c>
      <c r="B202" t="s">
        <v>300</v>
      </c>
      <c r="C202">
        <v>3</v>
      </c>
      <c r="D202" t="s">
        <v>329</v>
      </c>
      <c r="E202">
        <v>100</v>
      </c>
      <c r="F202">
        <v>8.74</v>
      </c>
      <c r="G202" t="b">
        <v>0</v>
      </c>
      <c r="H202" t="s">
        <v>311</v>
      </c>
    </row>
    <row r="203" spans="1:8" x14ac:dyDescent="0.2">
      <c r="A203" t="s">
        <v>290</v>
      </c>
      <c r="B203" t="s">
        <v>300</v>
      </c>
      <c r="C203">
        <v>3</v>
      </c>
      <c r="D203" t="s">
        <v>329</v>
      </c>
      <c r="E203">
        <v>200</v>
      </c>
      <c r="F203">
        <v>0.74</v>
      </c>
      <c r="G203" t="b">
        <v>1</v>
      </c>
      <c r="H203" t="s">
        <v>311</v>
      </c>
    </row>
    <row r="204" spans="1:8" x14ac:dyDescent="0.2">
      <c r="A204" t="s">
        <v>290</v>
      </c>
      <c r="B204" t="s">
        <v>300</v>
      </c>
      <c r="C204">
        <v>3</v>
      </c>
      <c r="D204" t="s">
        <v>330</v>
      </c>
      <c r="E204">
        <v>100</v>
      </c>
      <c r="F204">
        <v>8.74</v>
      </c>
      <c r="G204" t="b">
        <v>0</v>
      </c>
      <c r="H204" t="s">
        <v>311</v>
      </c>
    </row>
    <row r="205" spans="1:8" x14ac:dyDescent="0.2">
      <c r="A205" t="s">
        <v>290</v>
      </c>
      <c r="B205" t="s">
        <v>300</v>
      </c>
      <c r="C205">
        <v>3</v>
      </c>
      <c r="D205" t="s">
        <v>330</v>
      </c>
      <c r="E205">
        <v>200</v>
      </c>
      <c r="F205">
        <v>0.74</v>
      </c>
      <c r="G205" t="b">
        <v>1</v>
      </c>
      <c r="H205" t="s">
        <v>311</v>
      </c>
    </row>
    <row r="206" spans="1:8" x14ac:dyDescent="0.2">
      <c r="A206" t="s">
        <v>290</v>
      </c>
      <c r="B206" t="s">
        <v>300</v>
      </c>
      <c r="C206">
        <v>3</v>
      </c>
      <c r="D206" t="s">
        <v>333</v>
      </c>
      <c r="E206">
        <v>100</v>
      </c>
      <c r="F206">
        <v>8.74</v>
      </c>
      <c r="G206" t="b">
        <v>0</v>
      </c>
      <c r="H206">
        <f>Sensitivity!H5</f>
        <v>166957805663</v>
      </c>
    </row>
    <row r="207" spans="1:8" x14ac:dyDescent="0.2">
      <c r="A207" t="s">
        <v>290</v>
      </c>
      <c r="B207" t="s">
        <v>300</v>
      </c>
      <c r="C207">
        <v>3</v>
      </c>
      <c r="D207" t="s">
        <v>333</v>
      </c>
      <c r="E207">
        <v>200</v>
      </c>
      <c r="F207">
        <v>0.74</v>
      </c>
      <c r="G207" t="b">
        <v>1</v>
      </c>
      <c r="H207">
        <f>Sensitivity!H5</f>
        <v>166957805663</v>
      </c>
    </row>
    <row r="208" spans="1:8" x14ac:dyDescent="0.2">
      <c r="A208" t="s">
        <v>290</v>
      </c>
      <c r="B208" t="s">
        <v>300</v>
      </c>
      <c r="C208">
        <v>3</v>
      </c>
      <c r="D208" t="s">
        <v>336</v>
      </c>
      <c r="E208">
        <v>100</v>
      </c>
      <c r="F208">
        <v>8.74</v>
      </c>
      <c r="G208" t="b">
        <v>0</v>
      </c>
      <c r="H208" t="s">
        <v>311</v>
      </c>
    </row>
    <row r="209" spans="1:8" x14ac:dyDescent="0.2">
      <c r="A209" t="s">
        <v>290</v>
      </c>
      <c r="B209" t="s">
        <v>300</v>
      </c>
      <c r="C209">
        <v>3</v>
      </c>
      <c r="D209" t="s">
        <v>336</v>
      </c>
      <c r="E209">
        <v>200</v>
      </c>
      <c r="F209">
        <v>0.74</v>
      </c>
      <c r="G209" t="b">
        <v>1</v>
      </c>
      <c r="H209" t="s">
        <v>311</v>
      </c>
    </row>
    <row r="210" spans="1:8" x14ac:dyDescent="0.2">
      <c r="A210" t="s">
        <v>290</v>
      </c>
      <c r="B210" t="s">
        <v>304</v>
      </c>
      <c r="C210">
        <v>1</v>
      </c>
      <c r="D210" t="s">
        <v>292</v>
      </c>
      <c r="E210">
        <v>9</v>
      </c>
      <c r="F210">
        <v>2.5</v>
      </c>
      <c r="G210" t="b">
        <v>1</v>
      </c>
      <c r="H210">
        <f>IF(Inputs!$B$8&gt;=100,Sensitivity!H15,Sensitivity!H14)</f>
        <v>19898792465366</v>
      </c>
    </row>
    <row r="211" spans="1:8" x14ac:dyDescent="0.2">
      <c r="A211" t="s">
        <v>290</v>
      </c>
      <c r="B211" t="s">
        <v>304</v>
      </c>
      <c r="C211">
        <v>1</v>
      </c>
      <c r="D211" t="s">
        <v>295</v>
      </c>
      <c r="E211">
        <v>5</v>
      </c>
      <c r="F211">
        <v>2.5</v>
      </c>
      <c r="G211" t="b">
        <v>1</v>
      </c>
      <c r="H211">
        <f>Sensitivity!H16</f>
        <v>17494373998280</v>
      </c>
    </row>
    <row r="212" spans="1:8" x14ac:dyDescent="0.2">
      <c r="A212" t="s">
        <v>290</v>
      </c>
      <c r="B212" t="s">
        <v>304</v>
      </c>
      <c r="C212">
        <v>1</v>
      </c>
      <c r="D212" t="s">
        <v>299</v>
      </c>
      <c r="E212">
        <v>18</v>
      </c>
      <c r="F212">
        <v>4</v>
      </c>
      <c r="G212" t="b">
        <v>1</v>
      </c>
      <c r="H212">
        <f>Sensitivity!H7</f>
        <v>8104551916653</v>
      </c>
    </row>
    <row r="213" spans="1:8" x14ac:dyDescent="0.2">
      <c r="A213" t="s">
        <v>290</v>
      </c>
      <c r="B213" t="s">
        <v>304</v>
      </c>
      <c r="C213">
        <v>1</v>
      </c>
      <c r="D213" t="s">
        <v>302</v>
      </c>
      <c r="E213">
        <v>10</v>
      </c>
      <c r="F213">
        <v>4</v>
      </c>
      <c r="G213" t="b">
        <v>1</v>
      </c>
      <c r="H213">
        <f>Sensitivity!H12</f>
        <v>15446534399400</v>
      </c>
    </row>
    <row r="214" spans="1:8" x14ac:dyDescent="0.2">
      <c r="A214" t="s">
        <v>290</v>
      </c>
      <c r="B214" t="s">
        <v>304</v>
      </c>
      <c r="C214">
        <v>1</v>
      </c>
      <c r="D214" t="s">
        <v>306</v>
      </c>
      <c r="E214">
        <v>10</v>
      </c>
      <c r="F214">
        <v>4</v>
      </c>
      <c r="G214" t="b">
        <v>1</v>
      </c>
      <c r="H214">
        <f>Sensitivity!H13</f>
        <v>15446534399400</v>
      </c>
    </row>
    <row r="215" spans="1:8" x14ac:dyDescent="0.2">
      <c r="A215" t="s">
        <v>290</v>
      </c>
      <c r="B215" t="s">
        <v>304</v>
      </c>
      <c r="C215">
        <v>1</v>
      </c>
      <c r="D215" t="s">
        <v>310</v>
      </c>
      <c r="E215">
        <v>9</v>
      </c>
      <c r="F215">
        <v>4.5</v>
      </c>
      <c r="G215" t="b">
        <v>1</v>
      </c>
      <c r="H215" t="s">
        <v>311</v>
      </c>
    </row>
    <row r="216" spans="1:8" x14ac:dyDescent="0.2">
      <c r="A216" t="s">
        <v>290</v>
      </c>
      <c r="B216" t="s">
        <v>304</v>
      </c>
      <c r="C216">
        <v>1</v>
      </c>
      <c r="D216" t="s">
        <v>314</v>
      </c>
      <c r="E216">
        <v>9</v>
      </c>
      <c r="F216">
        <v>4.5</v>
      </c>
      <c r="G216" t="b">
        <v>1</v>
      </c>
      <c r="H216" t="s">
        <v>311</v>
      </c>
    </row>
    <row r="217" spans="1:8" x14ac:dyDescent="0.2">
      <c r="A217" t="s">
        <v>290</v>
      </c>
      <c r="B217" t="s">
        <v>304</v>
      </c>
      <c r="C217">
        <v>1</v>
      </c>
      <c r="D217" t="s">
        <v>317</v>
      </c>
      <c r="E217">
        <v>9</v>
      </c>
      <c r="F217">
        <v>4.5</v>
      </c>
      <c r="G217" t="b">
        <v>1</v>
      </c>
      <c r="H217">
        <f>Sensitivity!H6</f>
        <v>29416469501559</v>
      </c>
    </row>
    <row r="218" spans="1:8" x14ac:dyDescent="0.2">
      <c r="A218" t="s">
        <v>290</v>
      </c>
      <c r="B218" t="s">
        <v>304</v>
      </c>
      <c r="C218">
        <v>1</v>
      </c>
      <c r="D218" t="s">
        <v>320</v>
      </c>
      <c r="E218">
        <v>9</v>
      </c>
      <c r="F218">
        <v>4.5</v>
      </c>
      <c r="G218" t="b">
        <v>1</v>
      </c>
      <c r="H218" t="s">
        <v>311</v>
      </c>
    </row>
    <row r="219" spans="1:8" x14ac:dyDescent="0.2">
      <c r="A219" t="s">
        <v>290</v>
      </c>
      <c r="B219" t="s">
        <v>304</v>
      </c>
      <c r="C219">
        <v>1</v>
      </c>
      <c r="D219" t="s">
        <v>322</v>
      </c>
      <c r="E219">
        <v>9</v>
      </c>
      <c r="F219">
        <v>9</v>
      </c>
      <c r="G219" t="b">
        <v>1</v>
      </c>
      <c r="H219" t="s">
        <v>311</v>
      </c>
    </row>
    <row r="220" spans="1:8" x14ac:dyDescent="0.2">
      <c r="A220" t="s">
        <v>290</v>
      </c>
      <c r="B220" t="s">
        <v>304</v>
      </c>
      <c r="C220">
        <v>1</v>
      </c>
      <c r="D220" t="s">
        <v>324</v>
      </c>
      <c r="E220">
        <v>15</v>
      </c>
      <c r="F220">
        <v>9</v>
      </c>
      <c r="G220" t="b">
        <v>1</v>
      </c>
      <c r="H220" t="s">
        <v>311</v>
      </c>
    </row>
    <row r="221" spans="1:8" x14ac:dyDescent="0.2">
      <c r="A221" t="s">
        <v>290</v>
      </c>
      <c r="B221" t="s">
        <v>304</v>
      </c>
      <c r="C221">
        <v>1</v>
      </c>
      <c r="D221" t="s">
        <v>326</v>
      </c>
      <c r="E221">
        <v>9</v>
      </c>
      <c r="F221">
        <v>9</v>
      </c>
      <c r="G221" t="b">
        <v>1</v>
      </c>
      <c r="H221" t="s">
        <v>311</v>
      </c>
    </row>
    <row r="222" spans="1:8" x14ac:dyDescent="0.2">
      <c r="A222" t="s">
        <v>290</v>
      </c>
      <c r="B222" t="s">
        <v>304</v>
      </c>
      <c r="C222">
        <v>1</v>
      </c>
      <c r="D222" t="s">
        <v>329</v>
      </c>
      <c r="E222">
        <v>400</v>
      </c>
      <c r="F222">
        <v>9.25</v>
      </c>
      <c r="G222" t="b">
        <v>1</v>
      </c>
      <c r="H222" t="s">
        <v>311</v>
      </c>
    </row>
    <row r="223" spans="1:8" x14ac:dyDescent="0.2">
      <c r="A223" t="s">
        <v>290</v>
      </c>
      <c r="B223" t="s">
        <v>304</v>
      </c>
      <c r="C223">
        <v>1</v>
      </c>
      <c r="D223" t="s">
        <v>330</v>
      </c>
      <c r="E223">
        <v>400</v>
      </c>
      <c r="F223">
        <v>9.25</v>
      </c>
      <c r="G223" t="b">
        <v>1</v>
      </c>
      <c r="H223" t="s">
        <v>311</v>
      </c>
    </row>
    <row r="224" spans="1:8" x14ac:dyDescent="0.2">
      <c r="A224" t="s">
        <v>290</v>
      </c>
      <c r="B224" t="s">
        <v>304</v>
      </c>
      <c r="C224">
        <v>1</v>
      </c>
      <c r="D224" t="s">
        <v>333</v>
      </c>
      <c r="E224">
        <v>400</v>
      </c>
      <c r="F224">
        <v>9.25</v>
      </c>
      <c r="G224" t="b">
        <v>1</v>
      </c>
      <c r="H224">
        <f>Sensitivity!H5</f>
        <v>166957805663</v>
      </c>
    </row>
    <row r="225" spans="1:8" x14ac:dyDescent="0.2">
      <c r="A225" t="s">
        <v>290</v>
      </c>
      <c r="B225" t="s">
        <v>304</v>
      </c>
      <c r="C225">
        <v>1</v>
      </c>
      <c r="D225" t="s">
        <v>336</v>
      </c>
      <c r="E225">
        <v>400</v>
      </c>
      <c r="F225">
        <v>9.25</v>
      </c>
      <c r="G225" t="b">
        <v>1</v>
      </c>
      <c r="H225" t="s">
        <v>311</v>
      </c>
    </row>
    <row r="226" spans="1:8" x14ac:dyDescent="0.2">
      <c r="A226" t="s">
        <v>290</v>
      </c>
      <c r="B226" t="s">
        <v>304</v>
      </c>
      <c r="C226">
        <v>2</v>
      </c>
      <c r="D226" t="s">
        <v>292</v>
      </c>
      <c r="E226">
        <v>6</v>
      </c>
      <c r="F226">
        <v>1.9</v>
      </c>
      <c r="G226" t="b">
        <v>0</v>
      </c>
      <c r="H226">
        <f>IF(Inputs!$B$8&gt;=100,Sensitivity!H15,Sensitivity!H14)</f>
        <v>19898792465366</v>
      </c>
    </row>
    <row r="227" spans="1:8" x14ac:dyDescent="0.2">
      <c r="A227" t="s">
        <v>290</v>
      </c>
      <c r="B227" t="s">
        <v>304</v>
      </c>
      <c r="C227">
        <v>2</v>
      </c>
      <c r="D227" t="s">
        <v>292</v>
      </c>
      <c r="E227">
        <v>9</v>
      </c>
      <c r="F227">
        <v>0.6</v>
      </c>
      <c r="G227" t="b">
        <v>1</v>
      </c>
      <c r="H227">
        <f>IF(Inputs!$B$8&gt;=100,Sensitivity!H15,Sensitivity!H14)</f>
        <v>19898792465366</v>
      </c>
    </row>
    <row r="228" spans="1:8" x14ac:dyDescent="0.2">
      <c r="A228" t="s">
        <v>290</v>
      </c>
      <c r="B228" t="s">
        <v>304</v>
      </c>
      <c r="C228">
        <v>2</v>
      </c>
      <c r="D228" t="s">
        <v>295</v>
      </c>
      <c r="E228">
        <v>4</v>
      </c>
      <c r="F228">
        <v>1.9</v>
      </c>
      <c r="G228" t="b">
        <v>0</v>
      </c>
      <c r="H228">
        <f>Sensitivity!H16</f>
        <v>17494373998280</v>
      </c>
    </row>
    <row r="229" spans="1:8" x14ac:dyDescent="0.2">
      <c r="A229" t="s">
        <v>290</v>
      </c>
      <c r="B229" t="s">
        <v>304</v>
      </c>
      <c r="C229">
        <v>2</v>
      </c>
      <c r="D229" t="s">
        <v>295</v>
      </c>
      <c r="E229">
        <v>5</v>
      </c>
      <c r="F229">
        <v>0.6</v>
      </c>
      <c r="G229" t="b">
        <v>1</v>
      </c>
      <c r="H229">
        <f>Sensitivity!H16</f>
        <v>17494373998280</v>
      </c>
    </row>
    <row r="230" spans="1:8" x14ac:dyDescent="0.2">
      <c r="A230" t="s">
        <v>290</v>
      </c>
      <c r="B230" t="s">
        <v>304</v>
      </c>
      <c r="C230">
        <v>2</v>
      </c>
      <c r="D230" t="s">
        <v>299</v>
      </c>
      <c r="E230">
        <v>12</v>
      </c>
      <c r="F230">
        <v>3.04</v>
      </c>
      <c r="G230" t="b">
        <v>0</v>
      </c>
      <c r="H230">
        <f>Sensitivity!H7</f>
        <v>8104551916653</v>
      </c>
    </row>
    <row r="231" spans="1:8" x14ac:dyDescent="0.2">
      <c r="A231" t="s">
        <v>290</v>
      </c>
      <c r="B231" t="s">
        <v>304</v>
      </c>
      <c r="C231">
        <v>2</v>
      </c>
      <c r="D231" t="s">
        <v>299</v>
      </c>
      <c r="E231">
        <v>18</v>
      </c>
      <c r="F231">
        <v>0.96</v>
      </c>
      <c r="G231" t="b">
        <v>1</v>
      </c>
      <c r="H231">
        <f>Sensitivity!H7</f>
        <v>8104551916653</v>
      </c>
    </row>
    <row r="232" spans="1:8" x14ac:dyDescent="0.2">
      <c r="A232" t="s">
        <v>290</v>
      </c>
      <c r="B232" t="s">
        <v>304</v>
      </c>
      <c r="C232">
        <v>2</v>
      </c>
      <c r="D232" t="s">
        <v>302</v>
      </c>
      <c r="E232">
        <v>8</v>
      </c>
      <c r="F232">
        <v>3.04</v>
      </c>
      <c r="G232" t="b">
        <v>0</v>
      </c>
      <c r="H232">
        <f>Sensitivity!H12</f>
        <v>15446534399400</v>
      </c>
    </row>
    <row r="233" spans="1:8" x14ac:dyDescent="0.2">
      <c r="A233" t="s">
        <v>290</v>
      </c>
      <c r="B233" t="s">
        <v>304</v>
      </c>
      <c r="C233">
        <v>2</v>
      </c>
      <c r="D233" t="s">
        <v>302</v>
      </c>
      <c r="E233">
        <v>10</v>
      </c>
      <c r="F233">
        <v>0.96</v>
      </c>
      <c r="G233" t="b">
        <v>1</v>
      </c>
      <c r="H233">
        <f>Sensitivity!H12</f>
        <v>15446534399400</v>
      </c>
    </row>
    <row r="234" spans="1:8" x14ac:dyDescent="0.2">
      <c r="A234" t="s">
        <v>290</v>
      </c>
      <c r="B234" t="s">
        <v>304</v>
      </c>
      <c r="C234">
        <v>2</v>
      </c>
      <c r="D234" t="s">
        <v>306</v>
      </c>
      <c r="E234">
        <v>8</v>
      </c>
      <c r="F234">
        <v>3.04</v>
      </c>
      <c r="G234" t="b">
        <v>0</v>
      </c>
      <c r="H234">
        <f>Sensitivity!H13</f>
        <v>15446534399400</v>
      </c>
    </row>
    <row r="235" spans="1:8" x14ac:dyDescent="0.2">
      <c r="A235" t="s">
        <v>290</v>
      </c>
      <c r="B235" t="s">
        <v>304</v>
      </c>
      <c r="C235">
        <v>2</v>
      </c>
      <c r="D235" t="s">
        <v>306</v>
      </c>
      <c r="E235">
        <v>10</v>
      </c>
      <c r="F235">
        <v>0.96</v>
      </c>
      <c r="G235" t="b">
        <v>1</v>
      </c>
      <c r="H235">
        <f>Sensitivity!H13</f>
        <v>15446534399400</v>
      </c>
    </row>
    <row r="236" spans="1:8" x14ac:dyDescent="0.2">
      <c r="A236" t="s">
        <v>290</v>
      </c>
      <c r="B236" t="s">
        <v>304</v>
      </c>
      <c r="C236">
        <v>2</v>
      </c>
      <c r="D236" t="s">
        <v>310</v>
      </c>
      <c r="E236">
        <v>6</v>
      </c>
      <c r="F236">
        <v>3.42</v>
      </c>
      <c r="G236" t="b">
        <v>0</v>
      </c>
      <c r="H236" t="s">
        <v>311</v>
      </c>
    </row>
    <row r="237" spans="1:8" x14ac:dyDescent="0.2">
      <c r="A237" t="s">
        <v>290</v>
      </c>
      <c r="B237" t="s">
        <v>304</v>
      </c>
      <c r="C237">
        <v>2</v>
      </c>
      <c r="D237" t="s">
        <v>310</v>
      </c>
      <c r="E237">
        <v>9</v>
      </c>
      <c r="F237">
        <v>1.08</v>
      </c>
      <c r="G237" t="b">
        <v>1</v>
      </c>
      <c r="H237" t="s">
        <v>311</v>
      </c>
    </row>
    <row r="238" spans="1:8" x14ac:dyDescent="0.2">
      <c r="A238" t="s">
        <v>290</v>
      </c>
      <c r="B238" t="s">
        <v>304</v>
      </c>
      <c r="C238">
        <v>2</v>
      </c>
      <c r="D238" t="s">
        <v>314</v>
      </c>
      <c r="E238">
        <v>6</v>
      </c>
      <c r="F238">
        <v>3.42</v>
      </c>
      <c r="G238" t="b">
        <v>0</v>
      </c>
      <c r="H238" t="s">
        <v>311</v>
      </c>
    </row>
    <row r="239" spans="1:8" x14ac:dyDescent="0.2">
      <c r="A239" t="s">
        <v>290</v>
      </c>
      <c r="B239" t="s">
        <v>304</v>
      </c>
      <c r="C239">
        <v>2</v>
      </c>
      <c r="D239" t="s">
        <v>314</v>
      </c>
      <c r="E239">
        <v>9</v>
      </c>
      <c r="F239">
        <v>1.08</v>
      </c>
      <c r="G239" t="b">
        <v>1</v>
      </c>
      <c r="H239" t="s">
        <v>311</v>
      </c>
    </row>
    <row r="240" spans="1:8" x14ac:dyDescent="0.2">
      <c r="A240" t="s">
        <v>290</v>
      </c>
      <c r="B240" t="s">
        <v>304</v>
      </c>
      <c r="C240">
        <v>2</v>
      </c>
      <c r="D240" t="s">
        <v>317</v>
      </c>
      <c r="E240">
        <v>6</v>
      </c>
      <c r="F240">
        <v>3.42</v>
      </c>
      <c r="G240" t="b">
        <v>0</v>
      </c>
      <c r="H240">
        <f>Sensitivity!H6</f>
        <v>29416469501559</v>
      </c>
    </row>
    <row r="241" spans="1:8" x14ac:dyDescent="0.2">
      <c r="A241" t="s">
        <v>290</v>
      </c>
      <c r="B241" t="s">
        <v>304</v>
      </c>
      <c r="C241">
        <v>2</v>
      </c>
      <c r="D241" t="s">
        <v>317</v>
      </c>
      <c r="E241">
        <v>9</v>
      </c>
      <c r="F241">
        <v>1.08</v>
      </c>
      <c r="G241" t="b">
        <v>1</v>
      </c>
      <c r="H241">
        <f>Sensitivity!H6</f>
        <v>29416469501559</v>
      </c>
    </row>
    <row r="242" spans="1:8" x14ac:dyDescent="0.2">
      <c r="A242" t="s">
        <v>290</v>
      </c>
      <c r="B242" t="s">
        <v>304</v>
      </c>
      <c r="C242">
        <v>2</v>
      </c>
      <c r="D242" t="s">
        <v>320</v>
      </c>
      <c r="E242">
        <v>6</v>
      </c>
      <c r="F242">
        <v>3.42</v>
      </c>
      <c r="G242" t="b">
        <v>0</v>
      </c>
      <c r="H242" t="s">
        <v>311</v>
      </c>
    </row>
    <row r="243" spans="1:8" x14ac:dyDescent="0.2">
      <c r="A243" t="s">
        <v>290</v>
      </c>
      <c r="B243" t="s">
        <v>304</v>
      </c>
      <c r="C243">
        <v>2</v>
      </c>
      <c r="D243" t="s">
        <v>320</v>
      </c>
      <c r="E243">
        <v>9</v>
      </c>
      <c r="F243">
        <v>1.08</v>
      </c>
      <c r="G243" t="b">
        <v>1</v>
      </c>
      <c r="H243" t="s">
        <v>311</v>
      </c>
    </row>
    <row r="244" spans="1:8" x14ac:dyDescent="0.2">
      <c r="A244" t="s">
        <v>290</v>
      </c>
      <c r="B244" t="s">
        <v>304</v>
      </c>
      <c r="C244">
        <v>2</v>
      </c>
      <c r="D244" t="s">
        <v>322</v>
      </c>
      <c r="E244">
        <v>6</v>
      </c>
      <c r="F244">
        <v>6.84</v>
      </c>
      <c r="G244" t="b">
        <v>0</v>
      </c>
      <c r="H244" t="s">
        <v>311</v>
      </c>
    </row>
    <row r="245" spans="1:8" x14ac:dyDescent="0.2">
      <c r="A245" t="s">
        <v>290</v>
      </c>
      <c r="B245" t="s">
        <v>304</v>
      </c>
      <c r="C245">
        <v>2</v>
      </c>
      <c r="D245" t="s">
        <v>322</v>
      </c>
      <c r="E245">
        <v>9</v>
      </c>
      <c r="F245">
        <v>2.16</v>
      </c>
      <c r="G245" t="b">
        <v>1</v>
      </c>
      <c r="H245" t="s">
        <v>311</v>
      </c>
    </row>
    <row r="246" spans="1:8" x14ac:dyDescent="0.2">
      <c r="A246" t="s">
        <v>290</v>
      </c>
      <c r="B246" t="s">
        <v>304</v>
      </c>
      <c r="C246">
        <v>2</v>
      </c>
      <c r="D246" t="s">
        <v>324</v>
      </c>
      <c r="E246">
        <v>12</v>
      </c>
      <c r="F246">
        <v>6.84</v>
      </c>
      <c r="G246" t="b">
        <v>0</v>
      </c>
      <c r="H246" t="s">
        <v>311</v>
      </c>
    </row>
    <row r="247" spans="1:8" x14ac:dyDescent="0.2">
      <c r="A247" t="s">
        <v>290</v>
      </c>
      <c r="B247" t="s">
        <v>304</v>
      </c>
      <c r="C247">
        <v>2</v>
      </c>
      <c r="D247" t="s">
        <v>324</v>
      </c>
      <c r="E247">
        <v>15</v>
      </c>
      <c r="F247">
        <v>2.16</v>
      </c>
      <c r="G247" t="b">
        <v>1</v>
      </c>
      <c r="H247" t="s">
        <v>311</v>
      </c>
    </row>
    <row r="248" spans="1:8" x14ac:dyDescent="0.2">
      <c r="A248" t="s">
        <v>290</v>
      </c>
      <c r="B248" t="s">
        <v>304</v>
      </c>
      <c r="C248">
        <v>2</v>
      </c>
      <c r="D248" t="s">
        <v>326</v>
      </c>
      <c r="E248">
        <v>6</v>
      </c>
      <c r="F248">
        <v>6.84</v>
      </c>
      <c r="G248" t="b">
        <v>0</v>
      </c>
      <c r="H248" t="s">
        <v>311</v>
      </c>
    </row>
    <row r="249" spans="1:8" x14ac:dyDescent="0.2">
      <c r="A249" t="s">
        <v>290</v>
      </c>
      <c r="B249" t="s">
        <v>304</v>
      </c>
      <c r="C249">
        <v>2</v>
      </c>
      <c r="D249" t="s">
        <v>326</v>
      </c>
      <c r="E249">
        <v>9</v>
      </c>
      <c r="F249">
        <v>2.16</v>
      </c>
      <c r="G249" t="b">
        <v>1</v>
      </c>
      <c r="H249" t="s">
        <v>311</v>
      </c>
    </row>
    <row r="250" spans="1:8" x14ac:dyDescent="0.2">
      <c r="A250" t="s">
        <v>290</v>
      </c>
      <c r="B250" t="s">
        <v>304</v>
      </c>
      <c r="C250">
        <v>2</v>
      </c>
      <c r="D250" t="s">
        <v>329</v>
      </c>
      <c r="E250">
        <v>200</v>
      </c>
      <c r="F250">
        <v>7.03</v>
      </c>
      <c r="G250" t="b">
        <v>0</v>
      </c>
      <c r="H250" t="s">
        <v>311</v>
      </c>
    </row>
    <row r="251" spans="1:8" x14ac:dyDescent="0.2">
      <c r="A251" t="s">
        <v>290</v>
      </c>
      <c r="B251" t="s">
        <v>304</v>
      </c>
      <c r="C251">
        <v>2</v>
      </c>
      <c r="D251" t="s">
        <v>329</v>
      </c>
      <c r="E251">
        <v>400</v>
      </c>
      <c r="F251">
        <v>2.2200000000000002</v>
      </c>
      <c r="G251" t="b">
        <v>1</v>
      </c>
      <c r="H251" t="s">
        <v>311</v>
      </c>
    </row>
    <row r="252" spans="1:8" x14ac:dyDescent="0.2">
      <c r="A252" t="s">
        <v>290</v>
      </c>
      <c r="B252" t="s">
        <v>304</v>
      </c>
      <c r="C252">
        <v>2</v>
      </c>
      <c r="D252" t="s">
        <v>330</v>
      </c>
      <c r="E252">
        <v>200</v>
      </c>
      <c r="F252">
        <v>7.03</v>
      </c>
      <c r="G252" t="b">
        <v>0</v>
      </c>
      <c r="H252" t="s">
        <v>311</v>
      </c>
    </row>
    <row r="253" spans="1:8" x14ac:dyDescent="0.2">
      <c r="A253" t="s">
        <v>290</v>
      </c>
      <c r="B253" t="s">
        <v>304</v>
      </c>
      <c r="C253">
        <v>2</v>
      </c>
      <c r="D253" t="s">
        <v>330</v>
      </c>
      <c r="E253">
        <v>400</v>
      </c>
      <c r="F253">
        <v>2.2200000000000002</v>
      </c>
      <c r="G253" t="b">
        <v>1</v>
      </c>
      <c r="H253" t="s">
        <v>311</v>
      </c>
    </row>
    <row r="254" spans="1:8" x14ac:dyDescent="0.2">
      <c r="A254" t="s">
        <v>290</v>
      </c>
      <c r="B254" t="s">
        <v>304</v>
      </c>
      <c r="C254">
        <v>2</v>
      </c>
      <c r="D254" t="s">
        <v>333</v>
      </c>
      <c r="E254">
        <v>200</v>
      </c>
      <c r="F254">
        <v>7.03</v>
      </c>
      <c r="G254" t="b">
        <v>0</v>
      </c>
      <c r="H254">
        <f>Sensitivity!H5</f>
        <v>166957805663</v>
      </c>
    </row>
    <row r="255" spans="1:8" x14ac:dyDescent="0.2">
      <c r="A255" t="s">
        <v>290</v>
      </c>
      <c r="B255" t="s">
        <v>304</v>
      </c>
      <c r="C255">
        <v>2</v>
      </c>
      <c r="D255" t="s">
        <v>333</v>
      </c>
      <c r="E255">
        <v>400</v>
      </c>
      <c r="F255">
        <v>2.2200000000000002</v>
      </c>
      <c r="G255" t="b">
        <v>1</v>
      </c>
      <c r="H255">
        <f>Sensitivity!H5</f>
        <v>166957805663</v>
      </c>
    </row>
    <row r="256" spans="1:8" x14ac:dyDescent="0.2">
      <c r="A256" t="s">
        <v>290</v>
      </c>
      <c r="B256" t="s">
        <v>304</v>
      </c>
      <c r="C256">
        <v>2</v>
      </c>
      <c r="D256" t="s">
        <v>336</v>
      </c>
      <c r="E256">
        <v>200</v>
      </c>
      <c r="F256">
        <v>7.03</v>
      </c>
      <c r="G256" t="b">
        <v>0</v>
      </c>
      <c r="H256" t="s">
        <v>311</v>
      </c>
    </row>
    <row r="257" spans="1:8" x14ac:dyDescent="0.2">
      <c r="A257" t="s">
        <v>290</v>
      </c>
      <c r="B257" t="s">
        <v>304</v>
      </c>
      <c r="C257">
        <v>2</v>
      </c>
      <c r="D257" t="s">
        <v>336</v>
      </c>
      <c r="E257">
        <v>400</v>
      </c>
      <c r="F257">
        <v>2.2200000000000002</v>
      </c>
      <c r="G257" t="b">
        <v>1</v>
      </c>
      <c r="H257" t="s">
        <v>311</v>
      </c>
    </row>
    <row r="258" spans="1:8" x14ac:dyDescent="0.2">
      <c r="A258" t="s">
        <v>290</v>
      </c>
      <c r="B258" t="s">
        <v>304</v>
      </c>
      <c r="C258">
        <v>3</v>
      </c>
      <c r="D258" t="s">
        <v>292</v>
      </c>
      <c r="E258">
        <v>6</v>
      </c>
      <c r="F258">
        <v>2.2999999999999998</v>
      </c>
      <c r="G258" t="b">
        <v>0</v>
      </c>
      <c r="H258">
        <f>IF(Inputs!$B$8&gt;=100,Sensitivity!H15,Sensitivity!H14)</f>
        <v>19898792465366</v>
      </c>
    </row>
    <row r="259" spans="1:8" x14ac:dyDescent="0.2">
      <c r="A259" t="s">
        <v>290</v>
      </c>
      <c r="B259" t="s">
        <v>304</v>
      </c>
      <c r="C259">
        <v>3</v>
      </c>
      <c r="D259" t="s">
        <v>292</v>
      </c>
      <c r="E259">
        <v>9</v>
      </c>
      <c r="F259">
        <v>0.2</v>
      </c>
      <c r="G259" t="b">
        <v>1</v>
      </c>
      <c r="H259">
        <f>IF(Inputs!$B$8&gt;=100,Sensitivity!H15,Sensitivity!H14)</f>
        <v>19898792465366</v>
      </c>
    </row>
    <row r="260" spans="1:8" x14ac:dyDescent="0.2">
      <c r="A260" t="s">
        <v>290</v>
      </c>
      <c r="B260" t="s">
        <v>304</v>
      </c>
      <c r="C260">
        <v>3</v>
      </c>
      <c r="D260" t="s">
        <v>295</v>
      </c>
      <c r="E260">
        <v>4</v>
      </c>
      <c r="F260">
        <v>2.2999999999999998</v>
      </c>
      <c r="G260" t="b">
        <v>0</v>
      </c>
      <c r="H260">
        <f>Sensitivity!H16</f>
        <v>17494373998280</v>
      </c>
    </row>
    <row r="261" spans="1:8" x14ac:dyDescent="0.2">
      <c r="A261" t="s">
        <v>290</v>
      </c>
      <c r="B261" t="s">
        <v>304</v>
      </c>
      <c r="C261">
        <v>3</v>
      </c>
      <c r="D261" t="s">
        <v>295</v>
      </c>
      <c r="E261">
        <v>5</v>
      </c>
      <c r="F261">
        <v>0.2</v>
      </c>
      <c r="G261" t="b">
        <v>1</v>
      </c>
      <c r="H261">
        <f>Sensitivity!H16</f>
        <v>17494373998280</v>
      </c>
    </row>
    <row r="262" spans="1:8" x14ac:dyDescent="0.2">
      <c r="A262" t="s">
        <v>290</v>
      </c>
      <c r="B262" t="s">
        <v>304</v>
      </c>
      <c r="C262">
        <v>3</v>
      </c>
      <c r="D262" t="s">
        <v>299</v>
      </c>
      <c r="E262">
        <v>12</v>
      </c>
      <c r="F262">
        <v>3.68</v>
      </c>
      <c r="G262" t="b">
        <v>0</v>
      </c>
      <c r="H262">
        <f>Sensitivity!H7</f>
        <v>8104551916653</v>
      </c>
    </row>
    <row r="263" spans="1:8" x14ac:dyDescent="0.2">
      <c r="A263" t="s">
        <v>290</v>
      </c>
      <c r="B263" t="s">
        <v>304</v>
      </c>
      <c r="C263">
        <v>3</v>
      </c>
      <c r="D263" t="s">
        <v>299</v>
      </c>
      <c r="E263">
        <v>18</v>
      </c>
      <c r="F263">
        <v>0.32</v>
      </c>
      <c r="G263" t="b">
        <v>1</v>
      </c>
      <c r="H263">
        <f>Sensitivity!H7</f>
        <v>8104551916653</v>
      </c>
    </row>
    <row r="264" spans="1:8" x14ac:dyDescent="0.2">
      <c r="A264" t="s">
        <v>290</v>
      </c>
      <c r="B264" t="s">
        <v>304</v>
      </c>
      <c r="C264">
        <v>3</v>
      </c>
      <c r="D264" t="s">
        <v>302</v>
      </c>
      <c r="E264">
        <v>8</v>
      </c>
      <c r="F264">
        <v>3.68</v>
      </c>
      <c r="G264" t="b">
        <v>0</v>
      </c>
      <c r="H264">
        <f>Sensitivity!H12</f>
        <v>15446534399400</v>
      </c>
    </row>
    <row r="265" spans="1:8" x14ac:dyDescent="0.2">
      <c r="A265" t="s">
        <v>290</v>
      </c>
      <c r="B265" t="s">
        <v>304</v>
      </c>
      <c r="C265">
        <v>3</v>
      </c>
      <c r="D265" t="s">
        <v>302</v>
      </c>
      <c r="E265">
        <v>10</v>
      </c>
      <c r="F265">
        <v>0.32</v>
      </c>
      <c r="G265" t="b">
        <v>1</v>
      </c>
      <c r="H265">
        <f>Sensitivity!H12</f>
        <v>15446534399400</v>
      </c>
    </row>
    <row r="266" spans="1:8" x14ac:dyDescent="0.2">
      <c r="A266" t="s">
        <v>290</v>
      </c>
      <c r="B266" t="s">
        <v>304</v>
      </c>
      <c r="C266">
        <v>3</v>
      </c>
      <c r="D266" t="s">
        <v>306</v>
      </c>
      <c r="E266">
        <v>8</v>
      </c>
      <c r="F266">
        <v>3.68</v>
      </c>
      <c r="G266" t="b">
        <v>0</v>
      </c>
      <c r="H266">
        <f>Sensitivity!H13</f>
        <v>15446534399400</v>
      </c>
    </row>
    <row r="267" spans="1:8" x14ac:dyDescent="0.2">
      <c r="A267" t="s">
        <v>290</v>
      </c>
      <c r="B267" t="s">
        <v>304</v>
      </c>
      <c r="C267">
        <v>3</v>
      </c>
      <c r="D267" t="s">
        <v>306</v>
      </c>
      <c r="E267">
        <v>10</v>
      </c>
      <c r="F267">
        <v>0.32</v>
      </c>
      <c r="G267" t="b">
        <v>1</v>
      </c>
      <c r="H267">
        <f>Sensitivity!H13</f>
        <v>15446534399400</v>
      </c>
    </row>
    <row r="268" spans="1:8" x14ac:dyDescent="0.2">
      <c r="A268" t="s">
        <v>290</v>
      </c>
      <c r="B268" t="s">
        <v>304</v>
      </c>
      <c r="C268">
        <v>3</v>
      </c>
      <c r="D268" t="s">
        <v>310</v>
      </c>
      <c r="E268">
        <v>6</v>
      </c>
      <c r="F268">
        <v>4.1399999999999997</v>
      </c>
      <c r="G268" t="b">
        <v>0</v>
      </c>
      <c r="H268" t="s">
        <v>311</v>
      </c>
    </row>
    <row r="269" spans="1:8" x14ac:dyDescent="0.2">
      <c r="A269" t="s">
        <v>290</v>
      </c>
      <c r="B269" t="s">
        <v>304</v>
      </c>
      <c r="C269">
        <v>3</v>
      </c>
      <c r="D269" t="s">
        <v>310</v>
      </c>
      <c r="E269">
        <v>9</v>
      </c>
      <c r="F269">
        <v>0.36</v>
      </c>
      <c r="G269" t="b">
        <v>1</v>
      </c>
      <c r="H269" t="s">
        <v>311</v>
      </c>
    </row>
    <row r="270" spans="1:8" x14ac:dyDescent="0.2">
      <c r="A270" t="s">
        <v>290</v>
      </c>
      <c r="B270" t="s">
        <v>304</v>
      </c>
      <c r="C270">
        <v>3</v>
      </c>
      <c r="D270" t="s">
        <v>314</v>
      </c>
      <c r="E270">
        <v>6</v>
      </c>
      <c r="F270">
        <v>4.1399999999999997</v>
      </c>
      <c r="G270" t="b">
        <v>0</v>
      </c>
      <c r="H270" t="s">
        <v>311</v>
      </c>
    </row>
    <row r="271" spans="1:8" x14ac:dyDescent="0.2">
      <c r="A271" t="s">
        <v>290</v>
      </c>
      <c r="B271" t="s">
        <v>304</v>
      </c>
      <c r="C271">
        <v>3</v>
      </c>
      <c r="D271" t="s">
        <v>314</v>
      </c>
      <c r="E271">
        <v>9</v>
      </c>
      <c r="F271">
        <v>0.36</v>
      </c>
      <c r="G271" t="b">
        <v>1</v>
      </c>
      <c r="H271" t="s">
        <v>311</v>
      </c>
    </row>
    <row r="272" spans="1:8" x14ac:dyDescent="0.2">
      <c r="A272" t="s">
        <v>290</v>
      </c>
      <c r="B272" t="s">
        <v>304</v>
      </c>
      <c r="C272">
        <v>3</v>
      </c>
      <c r="D272" t="s">
        <v>317</v>
      </c>
      <c r="E272">
        <v>6</v>
      </c>
      <c r="F272">
        <v>4.1399999999999997</v>
      </c>
      <c r="G272" t="b">
        <v>0</v>
      </c>
      <c r="H272">
        <f>Sensitivity!H6</f>
        <v>29416469501559</v>
      </c>
    </row>
    <row r="273" spans="1:8" x14ac:dyDescent="0.2">
      <c r="A273" t="s">
        <v>290</v>
      </c>
      <c r="B273" t="s">
        <v>304</v>
      </c>
      <c r="C273">
        <v>3</v>
      </c>
      <c r="D273" t="s">
        <v>317</v>
      </c>
      <c r="E273">
        <v>9</v>
      </c>
      <c r="F273">
        <v>0.36</v>
      </c>
      <c r="G273" t="b">
        <v>1</v>
      </c>
      <c r="H273">
        <f>Sensitivity!H6</f>
        <v>29416469501559</v>
      </c>
    </row>
    <row r="274" spans="1:8" x14ac:dyDescent="0.2">
      <c r="A274" t="s">
        <v>290</v>
      </c>
      <c r="B274" t="s">
        <v>304</v>
      </c>
      <c r="C274">
        <v>3</v>
      </c>
      <c r="D274" t="s">
        <v>320</v>
      </c>
      <c r="E274">
        <v>6</v>
      </c>
      <c r="F274">
        <v>4.1399999999999997</v>
      </c>
      <c r="G274" t="b">
        <v>0</v>
      </c>
      <c r="H274" t="s">
        <v>311</v>
      </c>
    </row>
    <row r="275" spans="1:8" x14ac:dyDescent="0.2">
      <c r="A275" t="s">
        <v>290</v>
      </c>
      <c r="B275" t="s">
        <v>304</v>
      </c>
      <c r="C275">
        <v>3</v>
      </c>
      <c r="D275" t="s">
        <v>320</v>
      </c>
      <c r="E275">
        <v>9</v>
      </c>
      <c r="F275">
        <v>0.36</v>
      </c>
      <c r="G275" t="b">
        <v>1</v>
      </c>
      <c r="H275" t="s">
        <v>311</v>
      </c>
    </row>
    <row r="276" spans="1:8" x14ac:dyDescent="0.2">
      <c r="A276" t="s">
        <v>290</v>
      </c>
      <c r="B276" t="s">
        <v>304</v>
      </c>
      <c r="C276">
        <v>3</v>
      </c>
      <c r="D276" t="s">
        <v>322</v>
      </c>
      <c r="E276">
        <v>6</v>
      </c>
      <c r="F276">
        <v>8.2799999999999994</v>
      </c>
      <c r="G276" t="b">
        <v>0</v>
      </c>
      <c r="H276" t="s">
        <v>311</v>
      </c>
    </row>
    <row r="277" spans="1:8" x14ac:dyDescent="0.2">
      <c r="A277" t="s">
        <v>290</v>
      </c>
      <c r="B277" t="s">
        <v>304</v>
      </c>
      <c r="C277">
        <v>3</v>
      </c>
      <c r="D277" t="s">
        <v>322</v>
      </c>
      <c r="E277">
        <v>9</v>
      </c>
      <c r="F277">
        <v>0.72</v>
      </c>
      <c r="G277" t="b">
        <v>1</v>
      </c>
      <c r="H277" t="s">
        <v>311</v>
      </c>
    </row>
    <row r="278" spans="1:8" x14ac:dyDescent="0.2">
      <c r="A278" t="s">
        <v>290</v>
      </c>
      <c r="B278" t="s">
        <v>304</v>
      </c>
      <c r="C278">
        <v>3</v>
      </c>
      <c r="D278" t="s">
        <v>324</v>
      </c>
      <c r="E278">
        <v>12</v>
      </c>
      <c r="F278">
        <v>8.2799999999999994</v>
      </c>
      <c r="G278" t="b">
        <v>0</v>
      </c>
      <c r="H278" t="s">
        <v>311</v>
      </c>
    </row>
    <row r="279" spans="1:8" x14ac:dyDescent="0.2">
      <c r="A279" t="s">
        <v>290</v>
      </c>
      <c r="B279" t="s">
        <v>304</v>
      </c>
      <c r="C279">
        <v>3</v>
      </c>
      <c r="D279" t="s">
        <v>324</v>
      </c>
      <c r="E279">
        <v>15</v>
      </c>
      <c r="F279">
        <v>0.72</v>
      </c>
      <c r="G279" t="b">
        <v>1</v>
      </c>
      <c r="H279" t="s">
        <v>311</v>
      </c>
    </row>
    <row r="280" spans="1:8" x14ac:dyDescent="0.2">
      <c r="A280" t="s">
        <v>290</v>
      </c>
      <c r="B280" t="s">
        <v>304</v>
      </c>
      <c r="C280">
        <v>3</v>
      </c>
      <c r="D280" t="s">
        <v>326</v>
      </c>
      <c r="E280">
        <v>6</v>
      </c>
      <c r="F280">
        <v>8.2799999999999994</v>
      </c>
      <c r="G280" t="b">
        <v>0</v>
      </c>
      <c r="H280" t="s">
        <v>311</v>
      </c>
    </row>
    <row r="281" spans="1:8" x14ac:dyDescent="0.2">
      <c r="A281" t="s">
        <v>290</v>
      </c>
      <c r="B281" t="s">
        <v>304</v>
      </c>
      <c r="C281">
        <v>3</v>
      </c>
      <c r="D281" t="s">
        <v>326</v>
      </c>
      <c r="E281">
        <v>9</v>
      </c>
      <c r="F281">
        <v>0.72</v>
      </c>
      <c r="G281" t="b">
        <v>1</v>
      </c>
      <c r="H281" t="s">
        <v>311</v>
      </c>
    </row>
    <row r="282" spans="1:8" x14ac:dyDescent="0.2">
      <c r="A282" t="s">
        <v>290</v>
      </c>
      <c r="B282" t="s">
        <v>304</v>
      </c>
      <c r="C282">
        <v>3</v>
      </c>
      <c r="D282" t="s">
        <v>329</v>
      </c>
      <c r="E282">
        <v>200</v>
      </c>
      <c r="F282">
        <v>8.51</v>
      </c>
      <c r="G282" t="b">
        <v>0</v>
      </c>
      <c r="H282" t="s">
        <v>311</v>
      </c>
    </row>
    <row r="283" spans="1:8" x14ac:dyDescent="0.2">
      <c r="A283" t="s">
        <v>290</v>
      </c>
      <c r="B283" t="s">
        <v>304</v>
      </c>
      <c r="C283">
        <v>3</v>
      </c>
      <c r="D283" t="s">
        <v>329</v>
      </c>
      <c r="E283">
        <v>400</v>
      </c>
      <c r="F283">
        <v>0.74</v>
      </c>
      <c r="G283" t="b">
        <v>1</v>
      </c>
      <c r="H283" t="s">
        <v>311</v>
      </c>
    </row>
    <row r="284" spans="1:8" x14ac:dyDescent="0.2">
      <c r="A284" t="s">
        <v>290</v>
      </c>
      <c r="B284" t="s">
        <v>304</v>
      </c>
      <c r="C284">
        <v>3</v>
      </c>
      <c r="D284" t="s">
        <v>330</v>
      </c>
      <c r="E284">
        <v>200</v>
      </c>
      <c r="F284">
        <v>8.51</v>
      </c>
      <c r="G284" t="b">
        <v>0</v>
      </c>
      <c r="H284" t="s">
        <v>311</v>
      </c>
    </row>
    <row r="285" spans="1:8" x14ac:dyDescent="0.2">
      <c r="A285" t="s">
        <v>290</v>
      </c>
      <c r="B285" t="s">
        <v>304</v>
      </c>
      <c r="C285">
        <v>3</v>
      </c>
      <c r="D285" t="s">
        <v>330</v>
      </c>
      <c r="E285">
        <v>400</v>
      </c>
      <c r="F285">
        <v>0.74</v>
      </c>
      <c r="G285" t="b">
        <v>1</v>
      </c>
      <c r="H285" t="s">
        <v>311</v>
      </c>
    </row>
    <row r="286" spans="1:8" x14ac:dyDescent="0.2">
      <c r="A286" t="s">
        <v>290</v>
      </c>
      <c r="B286" t="s">
        <v>304</v>
      </c>
      <c r="C286">
        <v>3</v>
      </c>
      <c r="D286" t="s">
        <v>333</v>
      </c>
      <c r="E286">
        <v>200</v>
      </c>
      <c r="F286">
        <v>8.51</v>
      </c>
      <c r="G286" t="b">
        <v>0</v>
      </c>
      <c r="H286">
        <f>Sensitivity!H5</f>
        <v>166957805663</v>
      </c>
    </row>
    <row r="287" spans="1:8" x14ac:dyDescent="0.2">
      <c r="A287" t="s">
        <v>290</v>
      </c>
      <c r="B287" t="s">
        <v>304</v>
      </c>
      <c r="C287">
        <v>3</v>
      </c>
      <c r="D287" t="s">
        <v>333</v>
      </c>
      <c r="E287">
        <v>400</v>
      </c>
      <c r="F287">
        <v>0.74</v>
      </c>
      <c r="G287" t="b">
        <v>1</v>
      </c>
      <c r="H287">
        <f>Sensitivity!H5</f>
        <v>166957805663</v>
      </c>
    </row>
    <row r="288" spans="1:8" x14ac:dyDescent="0.2">
      <c r="A288" t="s">
        <v>290</v>
      </c>
      <c r="B288" t="s">
        <v>304</v>
      </c>
      <c r="C288">
        <v>3</v>
      </c>
      <c r="D288" t="s">
        <v>336</v>
      </c>
      <c r="E288">
        <v>200</v>
      </c>
      <c r="F288">
        <v>8.51</v>
      </c>
      <c r="G288" t="b">
        <v>0</v>
      </c>
      <c r="H288" t="s">
        <v>311</v>
      </c>
    </row>
    <row r="289" spans="1:8" x14ac:dyDescent="0.2">
      <c r="A289" t="s">
        <v>290</v>
      </c>
      <c r="B289" t="s">
        <v>304</v>
      </c>
      <c r="C289">
        <v>3</v>
      </c>
      <c r="D289" t="s">
        <v>336</v>
      </c>
      <c r="E289">
        <v>400</v>
      </c>
      <c r="F289">
        <v>0.74</v>
      </c>
      <c r="G289" t="b">
        <v>1</v>
      </c>
      <c r="H289" t="s">
        <v>311</v>
      </c>
    </row>
    <row r="290" spans="1:8" x14ac:dyDescent="0.2">
      <c r="A290" t="s">
        <v>290</v>
      </c>
      <c r="B290" t="s">
        <v>308</v>
      </c>
      <c r="C290">
        <v>1</v>
      </c>
      <c r="D290" t="s">
        <v>292</v>
      </c>
      <c r="E290">
        <v>12</v>
      </c>
      <c r="F290">
        <v>2.5</v>
      </c>
      <c r="G290" t="b">
        <v>0</v>
      </c>
      <c r="H290">
        <f>IF(Inputs!$B$8&gt;=100,Sensitivity!H15,Sensitivity!H14)</f>
        <v>19898792465366</v>
      </c>
    </row>
    <row r="291" spans="1:8" x14ac:dyDescent="0.2">
      <c r="A291" t="s">
        <v>290</v>
      </c>
      <c r="B291" t="s">
        <v>308</v>
      </c>
      <c r="C291">
        <v>1</v>
      </c>
      <c r="D291" t="s">
        <v>295</v>
      </c>
      <c r="E291">
        <v>7</v>
      </c>
      <c r="F291">
        <v>2.5</v>
      </c>
      <c r="G291" t="b">
        <v>0</v>
      </c>
      <c r="H291">
        <f>Sensitivity!H16</f>
        <v>17494373998280</v>
      </c>
    </row>
    <row r="292" spans="1:8" x14ac:dyDescent="0.2">
      <c r="A292" t="s">
        <v>290</v>
      </c>
      <c r="B292" t="s">
        <v>308</v>
      </c>
      <c r="C292">
        <v>1</v>
      </c>
      <c r="D292" t="s">
        <v>299</v>
      </c>
      <c r="E292">
        <v>25</v>
      </c>
      <c r="F292">
        <v>4</v>
      </c>
      <c r="G292" t="b">
        <v>0</v>
      </c>
      <c r="H292">
        <f>Sensitivity!H7</f>
        <v>8104551916653</v>
      </c>
    </row>
    <row r="293" spans="1:8" x14ac:dyDescent="0.2">
      <c r="A293" t="s">
        <v>290</v>
      </c>
      <c r="B293" t="s">
        <v>308</v>
      </c>
      <c r="C293">
        <v>1</v>
      </c>
      <c r="D293" t="s">
        <v>302</v>
      </c>
      <c r="E293">
        <v>15</v>
      </c>
      <c r="F293">
        <v>4</v>
      </c>
      <c r="G293" t="b">
        <v>0</v>
      </c>
      <c r="H293">
        <f>Sensitivity!H12</f>
        <v>15446534399400</v>
      </c>
    </row>
    <row r="294" spans="1:8" x14ac:dyDescent="0.2">
      <c r="A294" t="s">
        <v>290</v>
      </c>
      <c r="B294" t="s">
        <v>308</v>
      </c>
      <c r="C294">
        <v>1</v>
      </c>
      <c r="D294" t="s">
        <v>306</v>
      </c>
      <c r="E294">
        <v>15</v>
      </c>
      <c r="F294">
        <v>4</v>
      </c>
      <c r="G294" t="b">
        <v>0</v>
      </c>
      <c r="H294">
        <f>Sensitivity!H13</f>
        <v>15446534399400</v>
      </c>
    </row>
    <row r="295" spans="1:8" x14ac:dyDescent="0.2">
      <c r="A295" t="s">
        <v>290</v>
      </c>
      <c r="B295" t="s">
        <v>308</v>
      </c>
      <c r="C295">
        <v>1</v>
      </c>
      <c r="D295" t="s">
        <v>310</v>
      </c>
      <c r="E295">
        <v>12</v>
      </c>
      <c r="F295">
        <v>4.5</v>
      </c>
      <c r="G295" t="b">
        <v>0</v>
      </c>
      <c r="H295" t="s">
        <v>311</v>
      </c>
    </row>
    <row r="296" spans="1:8" x14ac:dyDescent="0.2">
      <c r="A296" t="s">
        <v>290</v>
      </c>
      <c r="B296" t="s">
        <v>308</v>
      </c>
      <c r="C296">
        <v>1</v>
      </c>
      <c r="D296" t="s">
        <v>314</v>
      </c>
      <c r="E296">
        <v>12</v>
      </c>
      <c r="F296">
        <v>4.5</v>
      </c>
      <c r="G296" t="b">
        <v>0</v>
      </c>
      <c r="H296" t="s">
        <v>311</v>
      </c>
    </row>
    <row r="297" spans="1:8" x14ac:dyDescent="0.2">
      <c r="A297" t="s">
        <v>290</v>
      </c>
      <c r="B297" t="s">
        <v>308</v>
      </c>
      <c r="C297">
        <v>1</v>
      </c>
      <c r="D297" t="s">
        <v>317</v>
      </c>
      <c r="E297">
        <v>12</v>
      </c>
      <c r="F297">
        <v>4.5</v>
      </c>
      <c r="G297" t="b">
        <v>0</v>
      </c>
      <c r="H297">
        <f>Sensitivity!H6</f>
        <v>29416469501559</v>
      </c>
    </row>
    <row r="298" spans="1:8" x14ac:dyDescent="0.2">
      <c r="A298" t="s">
        <v>290</v>
      </c>
      <c r="B298" t="s">
        <v>308</v>
      </c>
      <c r="C298">
        <v>1</v>
      </c>
      <c r="D298" t="s">
        <v>320</v>
      </c>
      <c r="E298">
        <v>12</v>
      </c>
      <c r="F298">
        <v>4.5</v>
      </c>
      <c r="G298" t="b">
        <v>0</v>
      </c>
      <c r="H298" t="s">
        <v>311</v>
      </c>
    </row>
    <row r="299" spans="1:8" x14ac:dyDescent="0.2">
      <c r="A299" t="s">
        <v>290</v>
      </c>
      <c r="B299" t="s">
        <v>308</v>
      </c>
      <c r="C299">
        <v>1</v>
      </c>
      <c r="D299" t="s">
        <v>322</v>
      </c>
      <c r="E299">
        <v>12</v>
      </c>
      <c r="F299">
        <v>9</v>
      </c>
      <c r="G299" t="b">
        <v>0</v>
      </c>
      <c r="H299" t="s">
        <v>311</v>
      </c>
    </row>
    <row r="300" spans="1:8" x14ac:dyDescent="0.2">
      <c r="A300" t="s">
        <v>290</v>
      </c>
      <c r="B300" t="s">
        <v>308</v>
      </c>
      <c r="C300">
        <v>1</v>
      </c>
      <c r="D300" t="s">
        <v>324</v>
      </c>
      <c r="E300">
        <v>20</v>
      </c>
      <c r="F300">
        <v>9</v>
      </c>
      <c r="G300" t="b">
        <v>0</v>
      </c>
      <c r="H300" t="s">
        <v>311</v>
      </c>
    </row>
    <row r="301" spans="1:8" x14ac:dyDescent="0.2">
      <c r="A301" t="s">
        <v>290</v>
      </c>
      <c r="B301" t="s">
        <v>308</v>
      </c>
      <c r="C301">
        <v>1</v>
      </c>
      <c r="D301" t="s">
        <v>326</v>
      </c>
      <c r="E301">
        <v>12</v>
      </c>
      <c r="F301">
        <v>9</v>
      </c>
      <c r="G301" t="b">
        <v>0</v>
      </c>
      <c r="H301" t="s">
        <v>311</v>
      </c>
    </row>
    <row r="302" spans="1:8" x14ac:dyDescent="0.2">
      <c r="A302" t="s">
        <v>290</v>
      </c>
      <c r="B302" t="s">
        <v>308</v>
      </c>
      <c r="C302">
        <v>1</v>
      </c>
      <c r="D302" t="s">
        <v>329</v>
      </c>
      <c r="E302">
        <v>600</v>
      </c>
      <c r="F302">
        <v>9.25</v>
      </c>
      <c r="G302" t="b">
        <v>0</v>
      </c>
      <c r="H302" t="s">
        <v>311</v>
      </c>
    </row>
    <row r="303" spans="1:8" x14ac:dyDescent="0.2">
      <c r="A303" t="s">
        <v>290</v>
      </c>
      <c r="B303" t="s">
        <v>308</v>
      </c>
      <c r="C303">
        <v>1</v>
      </c>
      <c r="D303" t="s">
        <v>330</v>
      </c>
      <c r="E303">
        <v>600</v>
      </c>
      <c r="F303">
        <v>9.25</v>
      </c>
      <c r="G303" t="b">
        <v>0</v>
      </c>
      <c r="H303" t="s">
        <v>311</v>
      </c>
    </row>
    <row r="304" spans="1:8" x14ac:dyDescent="0.2">
      <c r="A304" t="s">
        <v>290</v>
      </c>
      <c r="B304" t="s">
        <v>308</v>
      </c>
      <c r="C304">
        <v>1</v>
      </c>
      <c r="D304" t="s">
        <v>333</v>
      </c>
      <c r="E304">
        <v>600</v>
      </c>
      <c r="F304">
        <v>9.25</v>
      </c>
      <c r="G304" t="b">
        <v>0</v>
      </c>
      <c r="H304">
        <f>Sensitivity!H5</f>
        <v>166957805663</v>
      </c>
    </row>
    <row r="305" spans="1:8" x14ac:dyDescent="0.2">
      <c r="A305" t="s">
        <v>290</v>
      </c>
      <c r="B305" t="s">
        <v>308</v>
      </c>
      <c r="C305">
        <v>1</v>
      </c>
      <c r="D305" t="s">
        <v>336</v>
      </c>
      <c r="E305">
        <v>600</v>
      </c>
      <c r="F305">
        <v>9.25</v>
      </c>
      <c r="G305" t="b">
        <v>0</v>
      </c>
      <c r="H305" t="s">
        <v>311</v>
      </c>
    </row>
    <row r="306" spans="1:8" x14ac:dyDescent="0.2">
      <c r="A306" t="s">
        <v>290</v>
      </c>
      <c r="B306" t="s">
        <v>308</v>
      </c>
      <c r="C306">
        <v>2</v>
      </c>
      <c r="D306" t="s">
        <v>292</v>
      </c>
      <c r="E306">
        <v>9</v>
      </c>
      <c r="F306">
        <v>1.9</v>
      </c>
      <c r="G306" t="b">
        <v>0</v>
      </c>
      <c r="H306">
        <f>IF(Inputs!$B$8&gt;=100,Sensitivity!H15,Sensitivity!H14)</f>
        <v>19898792465366</v>
      </c>
    </row>
    <row r="307" spans="1:8" x14ac:dyDescent="0.2">
      <c r="A307" t="s">
        <v>290</v>
      </c>
      <c r="B307" t="s">
        <v>308</v>
      </c>
      <c r="C307">
        <v>2</v>
      </c>
      <c r="D307" t="s">
        <v>292</v>
      </c>
      <c r="E307">
        <v>12</v>
      </c>
      <c r="F307">
        <v>0.6</v>
      </c>
      <c r="G307" t="b">
        <v>1</v>
      </c>
      <c r="H307">
        <f>IF(Inputs!$B$8&gt;=100,Sensitivity!H15,Sensitivity!H14)</f>
        <v>19898792465366</v>
      </c>
    </row>
    <row r="308" spans="1:8" x14ac:dyDescent="0.2">
      <c r="A308" t="s">
        <v>290</v>
      </c>
      <c r="B308" t="s">
        <v>308</v>
      </c>
      <c r="C308">
        <v>2</v>
      </c>
      <c r="D308" t="s">
        <v>295</v>
      </c>
      <c r="E308">
        <v>5</v>
      </c>
      <c r="F308">
        <v>1.9</v>
      </c>
      <c r="G308" t="b">
        <v>0</v>
      </c>
      <c r="H308">
        <f>Sensitivity!H16</f>
        <v>17494373998280</v>
      </c>
    </row>
    <row r="309" spans="1:8" x14ac:dyDescent="0.2">
      <c r="A309" t="s">
        <v>290</v>
      </c>
      <c r="B309" t="s">
        <v>308</v>
      </c>
      <c r="C309">
        <v>2</v>
      </c>
      <c r="D309" t="s">
        <v>295</v>
      </c>
      <c r="E309">
        <v>7</v>
      </c>
      <c r="F309">
        <v>0.6</v>
      </c>
      <c r="G309" t="b">
        <v>1</v>
      </c>
      <c r="H309">
        <f>Sensitivity!H16</f>
        <v>17494373998280</v>
      </c>
    </row>
    <row r="310" spans="1:8" x14ac:dyDescent="0.2">
      <c r="A310" t="s">
        <v>290</v>
      </c>
      <c r="B310" t="s">
        <v>308</v>
      </c>
      <c r="C310">
        <v>2</v>
      </c>
      <c r="D310" t="s">
        <v>299</v>
      </c>
      <c r="E310">
        <v>18</v>
      </c>
      <c r="F310">
        <v>3.04</v>
      </c>
      <c r="G310" t="b">
        <v>0</v>
      </c>
      <c r="H310">
        <f>Sensitivity!H7</f>
        <v>8104551916653</v>
      </c>
    </row>
    <row r="311" spans="1:8" x14ac:dyDescent="0.2">
      <c r="A311" t="s">
        <v>290</v>
      </c>
      <c r="B311" t="s">
        <v>308</v>
      </c>
      <c r="C311">
        <v>2</v>
      </c>
      <c r="D311" t="s">
        <v>299</v>
      </c>
      <c r="E311">
        <v>25</v>
      </c>
      <c r="F311">
        <v>0.96</v>
      </c>
      <c r="G311" t="b">
        <v>1</v>
      </c>
      <c r="H311">
        <f>Sensitivity!H7</f>
        <v>8104551916653</v>
      </c>
    </row>
    <row r="312" spans="1:8" x14ac:dyDescent="0.2">
      <c r="A312" t="s">
        <v>290</v>
      </c>
      <c r="B312" t="s">
        <v>308</v>
      </c>
      <c r="C312">
        <v>2</v>
      </c>
      <c r="D312" t="s">
        <v>302</v>
      </c>
      <c r="E312">
        <v>10</v>
      </c>
      <c r="F312">
        <v>3.04</v>
      </c>
      <c r="G312" t="b">
        <v>0</v>
      </c>
      <c r="H312">
        <f>Sensitivity!H12</f>
        <v>15446534399400</v>
      </c>
    </row>
    <row r="313" spans="1:8" x14ac:dyDescent="0.2">
      <c r="A313" t="s">
        <v>290</v>
      </c>
      <c r="B313" t="s">
        <v>308</v>
      </c>
      <c r="C313">
        <v>2</v>
      </c>
      <c r="D313" t="s">
        <v>302</v>
      </c>
      <c r="E313">
        <v>15</v>
      </c>
      <c r="F313">
        <v>0.96</v>
      </c>
      <c r="G313" t="b">
        <v>1</v>
      </c>
      <c r="H313">
        <f>Sensitivity!H12</f>
        <v>15446534399400</v>
      </c>
    </row>
    <row r="314" spans="1:8" x14ac:dyDescent="0.2">
      <c r="A314" t="s">
        <v>290</v>
      </c>
      <c r="B314" t="s">
        <v>308</v>
      </c>
      <c r="C314">
        <v>2</v>
      </c>
      <c r="D314" t="s">
        <v>306</v>
      </c>
      <c r="E314">
        <v>10</v>
      </c>
      <c r="F314">
        <v>3.04</v>
      </c>
      <c r="G314" t="b">
        <v>0</v>
      </c>
      <c r="H314">
        <f>Sensitivity!H13</f>
        <v>15446534399400</v>
      </c>
    </row>
    <row r="315" spans="1:8" x14ac:dyDescent="0.2">
      <c r="A315" t="s">
        <v>290</v>
      </c>
      <c r="B315" t="s">
        <v>308</v>
      </c>
      <c r="C315">
        <v>2</v>
      </c>
      <c r="D315" t="s">
        <v>306</v>
      </c>
      <c r="E315">
        <v>15</v>
      </c>
      <c r="F315">
        <v>0.96</v>
      </c>
      <c r="G315" t="b">
        <v>1</v>
      </c>
      <c r="H315">
        <f>Sensitivity!H13</f>
        <v>15446534399400</v>
      </c>
    </row>
    <row r="316" spans="1:8" x14ac:dyDescent="0.2">
      <c r="A316" t="s">
        <v>290</v>
      </c>
      <c r="B316" t="s">
        <v>308</v>
      </c>
      <c r="C316">
        <v>2</v>
      </c>
      <c r="D316" t="s">
        <v>310</v>
      </c>
      <c r="E316">
        <v>9</v>
      </c>
      <c r="F316">
        <v>3.42</v>
      </c>
      <c r="G316" t="b">
        <v>0</v>
      </c>
      <c r="H316" t="s">
        <v>311</v>
      </c>
    </row>
    <row r="317" spans="1:8" x14ac:dyDescent="0.2">
      <c r="A317" t="s">
        <v>290</v>
      </c>
      <c r="B317" t="s">
        <v>308</v>
      </c>
      <c r="C317">
        <v>2</v>
      </c>
      <c r="D317" t="s">
        <v>310</v>
      </c>
      <c r="E317">
        <v>12</v>
      </c>
      <c r="F317">
        <v>1.08</v>
      </c>
      <c r="G317" t="b">
        <v>1</v>
      </c>
      <c r="H317" t="s">
        <v>311</v>
      </c>
    </row>
    <row r="318" spans="1:8" x14ac:dyDescent="0.2">
      <c r="A318" t="s">
        <v>290</v>
      </c>
      <c r="B318" t="s">
        <v>308</v>
      </c>
      <c r="C318">
        <v>2</v>
      </c>
      <c r="D318" t="s">
        <v>314</v>
      </c>
      <c r="E318">
        <v>9</v>
      </c>
      <c r="F318">
        <v>3.42</v>
      </c>
      <c r="G318" t="b">
        <v>0</v>
      </c>
      <c r="H318" t="s">
        <v>311</v>
      </c>
    </row>
    <row r="319" spans="1:8" x14ac:dyDescent="0.2">
      <c r="A319" t="s">
        <v>290</v>
      </c>
      <c r="B319" t="s">
        <v>308</v>
      </c>
      <c r="C319">
        <v>2</v>
      </c>
      <c r="D319" t="s">
        <v>314</v>
      </c>
      <c r="E319">
        <v>12</v>
      </c>
      <c r="F319">
        <v>1.08</v>
      </c>
      <c r="G319" t="b">
        <v>1</v>
      </c>
      <c r="H319" t="s">
        <v>311</v>
      </c>
    </row>
    <row r="320" spans="1:8" x14ac:dyDescent="0.2">
      <c r="A320" t="s">
        <v>290</v>
      </c>
      <c r="B320" t="s">
        <v>308</v>
      </c>
      <c r="C320">
        <v>2</v>
      </c>
      <c r="D320" t="s">
        <v>317</v>
      </c>
      <c r="E320">
        <v>9</v>
      </c>
      <c r="F320">
        <v>3.42</v>
      </c>
      <c r="G320" t="b">
        <v>0</v>
      </c>
      <c r="H320">
        <f>Sensitivity!H6</f>
        <v>29416469501559</v>
      </c>
    </row>
    <row r="321" spans="1:8" x14ac:dyDescent="0.2">
      <c r="A321" t="s">
        <v>290</v>
      </c>
      <c r="B321" t="s">
        <v>308</v>
      </c>
      <c r="C321">
        <v>2</v>
      </c>
      <c r="D321" t="s">
        <v>317</v>
      </c>
      <c r="E321">
        <v>12</v>
      </c>
      <c r="F321">
        <v>1.08</v>
      </c>
      <c r="G321" t="b">
        <v>1</v>
      </c>
      <c r="H321">
        <f>Sensitivity!H6</f>
        <v>29416469501559</v>
      </c>
    </row>
    <row r="322" spans="1:8" x14ac:dyDescent="0.2">
      <c r="A322" t="s">
        <v>290</v>
      </c>
      <c r="B322" t="s">
        <v>308</v>
      </c>
      <c r="C322">
        <v>2</v>
      </c>
      <c r="D322" t="s">
        <v>320</v>
      </c>
      <c r="E322">
        <v>9</v>
      </c>
      <c r="F322">
        <v>3.42</v>
      </c>
      <c r="G322" t="b">
        <v>0</v>
      </c>
      <c r="H322" t="s">
        <v>311</v>
      </c>
    </row>
    <row r="323" spans="1:8" x14ac:dyDescent="0.2">
      <c r="A323" t="s">
        <v>290</v>
      </c>
      <c r="B323" t="s">
        <v>308</v>
      </c>
      <c r="C323">
        <v>2</v>
      </c>
      <c r="D323" t="s">
        <v>320</v>
      </c>
      <c r="E323">
        <v>12</v>
      </c>
      <c r="F323">
        <v>1.08</v>
      </c>
      <c r="G323" t="b">
        <v>1</v>
      </c>
      <c r="H323" t="s">
        <v>311</v>
      </c>
    </row>
    <row r="324" spans="1:8" x14ac:dyDescent="0.2">
      <c r="A324" t="s">
        <v>290</v>
      </c>
      <c r="B324" t="s">
        <v>308</v>
      </c>
      <c r="C324">
        <v>2</v>
      </c>
      <c r="D324" t="s">
        <v>322</v>
      </c>
      <c r="E324">
        <v>9</v>
      </c>
      <c r="F324">
        <v>6.84</v>
      </c>
      <c r="G324" t="b">
        <v>0</v>
      </c>
      <c r="H324" t="s">
        <v>311</v>
      </c>
    </row>
    <row r="325" spans="1:8" x14ac:dyDescent="0.2">
      <c r="A325" t="s">
        <v>290</v>
      </c>
      <c r="B325" t="s">
        <v>308</v>
      </c>
      <c r="C325">
        <v>2</v>
      </c>
      <c r="D325" t="s">
        <v>322</v>
      </c>
      <c r="E325">
        <v>12</v>
      </c>
      <c r="F325">
        <v>2.16</v>
      </c>
      <c r="G325" t="b">
        <v>1</v>
      </c>
      <c r="H325" t="s">
        <v>311</v>
      </c>
    </row>
    <row r="326" spans="1:8" x14ac:dyDescent="0.2">
      <c r="A326" t="s">
        <v>290</v>
      </c>
      <c r="B326" t="s">
        <v>308</v>
      </c>
      <c r="C326">
        <v>2</v>
      </c>
      <c r="D326" t="s">
        <v>324</v>
      </c>
      <c r="E326">
        <v>15</v>
      </c>
      <c r="F326">
        <v>6.84</v>
      </c>
      <c r="G326" t="b">
        <v>0</v>
      </c>
      <c r="H326" t="s">
        <v>311</v>
      </c>
    </row>
    <row r="327" spans="1:8" x14ac:dyDescent="0.2">
      <c r="A327" t="s">
        <v>290</v>
      </c>
      <c r="B327" t="s">
        <v>308</v>
      </c>
      <c r="C327">
        <v>2</v>
      </c>
      <c r="D327" t="s">
        <v>324</v>
      </c>
      <c r="E327">
        <v>20</v>
      </c>
      <c r="F327">
        <v>2.16</v>
      </c>
      <c r="G327" t="b">
        <v>1</v>
      </c>
      <c r="H327" t="s">
        <v>311</v>
      </c>
    </row>
    <row r="328" spans="1:8" x14ac:dyDescent="0.2">
      <c r="A328" t="s">
        <v>290</v>
      </c>
      <c r="B328" t="s">
        <v>308</v>
      </c>
      <c r="C328">
        <v>2</v>
      </c>
      <c r="D328" t="s">
        <v>326</v>
      </c>
      <c r="E328">
        <v>9</v>
      </c>
      <c r="F328">
        <v>6.84</v>
      </c>
      <c r="G328" t="b">
        <v>0</v>
      </c>
      <c r="H328" t="s">
        <v>311</v>
      </c>
    </row>
    <row r="329" spans="1:8" x14ac:dyDescent="0.2">
      <c r="A329" t="s">
        <v>290</v>
      </c>
      <c r="B329" t="s">
        <v>308</v>
      </c>
      <c r="C329">
        <v>2</v>
      </c>
      <c r="D329" t="s">
        <v>326</v>
      </c>
      <c r="E329">
        <v>12</v>
      </c>
      <c r="F329">
        <v>2.16</v>
      </c>
      <c r="G329" t="b">
        <v>1</v>
      </c>
      <c r="H329" t="s">
        <v>311</v>
      </c>
    </row>
    <row r="330" spans="1:8" x14ac:dyDescent="0.2">
      <c r="A330" t="s">
        <v>290</v>
      </c>
      <c r="B330" t="s">
        <v>308</v>
      </c>
      <c r="C330">
        <v>2</v>
      </c>
      <c r="D330" t="s">
        <v>329</v>
      </c>
      <c r="E330">
        <v>400</v>
      </c>
      <c r="F330">
        <v>7.03</v>
      </c>
      <c r="G330" t="b">
        <v>0</v>
      </c>
      <c r="H330" t="s">
        <v>311</v>
      </c>
    </row>
    <row r="331" spans="1:8" x14ac:dyDescent="0.2">
      <c r="A331" t="s">
        <v>290</v>
      </c>
      <c r="B331" t="s">
        <v>308</v>
      </c>
      <c r="C331">
        <v>2</v>
      </c>
      <c r="D331" t="s">
        <v>329</v>
      </c>
      <c r="E331">
        <v>600</v>
      </c>
      <c r="F331">
        <v>2.2200000000000002</v>
      </c>
      <c r="G331" t="b">
        <v>1</v>
      </c>
      <c r="H331" t="s">
        <v>311</v>
      </c>
    </row>
    <row r="332" spans="1:8" x14ac:dyDescent="0.2">
      <c r="A332" t="s">
        <v>290</v>
      </c>
      <c r="B332" t="s">
        <v>308</v>
      </c>
      <c r="C332">
        <v>2</v>
      </c>
      <c r="D332" t="s">
        <v>330</v>
      </c>
      <c r="E332">
        <v>400</v>
      </c>
      <c r="F332">
        <v>7.03</v>
      </c>
      <c r="G332" t="b">
        <v>0</v>
      </c>
      <c r="H332" t="s">
        <v>311</v>
      </c>
    </row>
    <row r="333" spans="1:8" x14ac:dyDescent="0.2">
      <c r="A333" t="s">
        <v>290</v>
      </c>
      <c r="B333" t="s">
        <v>308</v>
      </c>
      <c r="C333">
        <v>2</v>
      </c>
      <c r="D333" t="s">
        <v>330</v>
      </c>
      <c r="E333">
        <v>600</v>
      </c>
      <c r="F333">
        <v>2.2200000000000002</v>
      </c>
      <c r="G333" t="b">
        <v>1</v>
      </c>
      <c r="H333" t="s">
        <v>311</v>
      </c>
    </row>
    <row r="334" spans="1:8" x14ac:dyDescent="0.2">
      <c r="A334" t="s">
        <v>290</v>
      </c>
      <c r="B334" t="s">
        <v>308</v>
      </c>
      <c r="C334">
        <v>2</v>
      </c>
      <c r="D334" t="s">
        <v>333</v>
      </c>
      <c r="E334">
        <v>400</v>
      </c>
      <c r="F334">
        <v>7.03</v>
      </c>
      <c r="G334" t="b">
        <v>0</v>
      </c>
      <c r="H334">
        <f>Sensitivity!H5</f>
        <v>166957805663</v>
      </c>
    </row>
    <row r="335" spans="1:8" x14ac:dyDescent="0.2">
      <c r="A335" t="s">
        <v>290</v>
      </c>
      <c r="B335" t="s">
        <v>308</v>
      </c>
      <c r="C335">
        <v>2</v>
      </c>
      <c r="D335" t="s">
        <v>333</v>
      </c>
      <c r="E335">
        <v>600</v>
      </c>
      <c r="F335">
        <v>2.2200000000000002</v>
      </c>
      <c r="G335" t="b">
        <v>1</v>
      </c>
      <c r="H335">
        <f>Sensitivity!H5</f>
        <v>166957805663</v>
      </c>
    </row>
    <row r="336" spans="1:8" x14ac:dyDescent="0.2">
      <c r="A336" t="s">
        <v>290</v>
      </c>
      <c r="B336" t="s">
        <v>308</v>
      </c>
      <c r="C336">
        <v>2</v>
      </c>
      <c r="D336" t="s">
        <v>336</v>
      </c>
      <c r="E336">
        <v>400</v>
      </c>
      <c r="F336">
        <v>7.03</v>
      </c>
      <c r="G336" t="b">
        <v>0</v>
      </c>
      <c r="H336" t="s">
        <v>311</v>
      </c>
    </row>
    <row r="337" spans="1:8" x14ac:dyDescent="0.2">
      <c r="A337" t="s">
        <v>290</v>
      </c>
      <c r="B337" t="s">
        <v>308</v>
      </c>
      <c r="C337">
        <v>2</v>
      </c>
      <c r="D337" t="s">
        <v>336</v>
      </c>
      <c r="E337">
        <v>600</v>
      </c>
      <c r="F337">
        <v>2.2200000000000002</v>
      </c>
      <c r="G337" t="b">
        <v>1</v>
      </c>
      <c r="H337" t="s">
        <v>311</v>
      </c>
    </row>
    <row r="338" spans="1:8" x14ac:dyDescent="0.2">
      <c r="A338" t="s">
        <v>290</v>
      </c>
      <c r="B338" t="s">
        <v>308</v>
      </c>
      <c r="C338">
        <v>3</v>
      </c>
      <c r="D338" t="s">
        <v>292</v>
      </c>
      <c r="E338">
        <v>9</v>
      </c>
      <c r="F338">
        <v>2.2999999999999998</v>
      </c>
      <c r="G338" t="b">
        <v>0</v>
      </c>
      <c r="H338">
        <f>IF(Inputs!$B$8&gt;=100,Sensitivity!H15,Sensitivity!H14)</f>
        <v>19898792465366</v>
      </c>
    </row>
    <row r="339" spans="1:8" x14ac:dyDescent="0.2">
      <c r="A339" t="s">
        <v>290</v>
      </c>
      <c r="B339" t="s">
        <v>308</v>
      </c>
      <c r="C339">
        <v>3</v>
      </c>
      <c r="D339" t="s">
        <v>292</v>
      </c>
      <c r="E339">
        <v>12</v>
      </c>
      <c r="F339">
        <v>0.2</v>
      </c>
      <c r="G339" t="b">
        <v>1</v>
      </c>
      <c r="H339">
        <f>IF(Inputs!$B$8&gt;=100,Sensitivity!H15,Sensitivity!H14)</f>
        <v>19898792465366</v>
      </c>
    </row>
    <row r="340" spans="1:8" x14ac:dyDescent="0.2">
      <c r="A340" t="s">
        <v>290</v>
      </c>
      <c r="B340" t="s">
        <v>308</v>
      </c>
      <c r="C340">
        <v>3</v>
      </c>
      <c r="D340" t="s">
        <v>295</v>
      </c>
      <c r="E340">
        <v>5</v>
      </c>
      <c r="F340">
        <v>2.2999999999999998</v>
      </c>
      <c r="G340" t="b">
        <v>0</v>
      </c>
      <c r="H340">
        <f>Sensitivity!H16</f>
        <v>17494373998280</v>
      </c>
    </row>
    <row r="341" spans="1:8" x14ac:dyDescent="0.2">
      <c r="A341" t="s">
        <v>290</v>
      </c>
      <c r="B341" t="s">
        <v>308</v>
      </c>
      <c r="C341">
        <v>3</v>
      </c>
      <c r="D341" t="s">
        <v>295</v>
      </c>
      <c r="E341">
        <v>7</v>
      </c>
      <c r="F341">
        <v>0.2</v>
      </c>
      <c r="G341" t="b">
        <v>1</v>
      </c>
      <c r="H341">
        <f>Sensitivity!H16</f>
        <v>17494373998280</v>
      </c>
    </row>
    <row r="342" spans="1:8" x14ac:dyDescent="0.2">
      <c r="A342" t="s">
        <v>290</v>
      </c>
      <c r="B342" t="s">
        <v>308</v>
      </c>
      <c r="C342">
        <v>3</v>
      </c>
      <c r="D342" t="s">
        <v>299</v>
      </c>
      <c r="E342">
        <v>18</v>
      </c>
      <c r="F342">
        <v>3.68</v>
      </c>
      <c r="G342" t="b">
        <v>0</v>
      </c>
      <c r="H342">
        <f>Sensitivity!H7</f>
        <v>8104551916653</v>
      </c>
    </row>
    <row r="343" spans="1:8" x14ac:dyDescent="0.2">
      <c r="A343" t="s">
        <v>290</v>
      </c>
      <c r="B343" t="s">
        <v>308</v>
      </c>
      <c r="C343">
        <v>3</v>
      </c>
      <c r="D343" t="s">
        <v>299</v>
      </c>
      <c r="E343">
        <v>25</v>
      </c>
      <c r="F343">
        <v>0.32</v>
      </c>
      <c r="G343" t="b">
        <v>1</v>
      </c>
      <c r="H343">
        <f>Sensitivity!H7</f>
        <v>8104551916653</v>
      </c>
    </row>
    <row r="344" spans="1:8" x14ac:dyDescent="0.2">
      <c r="A344" t="s">
        <v>290</v>
      </c>
      <c r="B344" t="s">
        <v>308</v>
      </c>
      <c r="C344">
        <v>3</v>
      </c>
      <c r="D344" t="s">
        <v>302</v>
      </c>
      <c r="E344">
        <v>10</v>
      </c>
      <c r="F344">
        <v>3.68</v>
      </c>
      <c r="G344" t="b">
        <v>0</v>
      </c>
      <c r="H344">
        <f>Sensitivity!H12</f>
        <v>15446534399400</v>
      </c>
    </row>
    <row r="345" spans="1:8" x14ac:dyDescent="0.2">
      <c r="A345" t="s">
        <v>290</v>
      </c>
      <c r="B345" t="s">
        <v>308</v>
      </c>
      <c r="C345">
        <v>3</v>
      </c>
      <c r="D345" t="s">
        <v>302</v>
      </c>
      <c r="E345">
        <v>15</v>
      </c>
      <c r="F345">
        <v>0.32</v>
      </c>
      <c r="G345" t="b">
        <v>1</v>
      </c>
      <c r="H345">
        <f>Sensitivity!H12</f>
        <v>15446534399400</v>
      </c>
    </row>
    <row r="346" spans="1:8" x14ac:dyDescent="0.2">
      <c r="A346" t="s">
        <v>290</v>
      </c>
      <c r="B346" t="s">
        <v>308</v>
      </c>
      <c r="C346">
        <v>3</v>
      </c>
      <c r="D346" t="s">
        <v>306</v>
      </c>
      <c r="E346">
        <v>10</v>
      </c>
      <c r="F346">
        <v>3.68</v>
      </c>
      <c r="G346" t="b">
        <v>0</v>
      </c>
      <c r="H346">
        <f>Sensitivity!H13</f>
        <v>15446534399400</v>
      </c>
    </row>
    <row r="347" spans="1:8" x14ac:dyDescent="0.2">
      <c r="A347" t="s">
        <v>290</v>
      </c>
      <c r="B347" t="s">
        <v>308</v>
      </c>
      <c r="C347">
        <v>3</v>
      </c>
      <c r="D347" t="s">
        <v>306</v>
      </c>
      <c r="E347">
        <v>15</v>
      </c>
      <c r="F347">
        <v>0.32</v>
      </c>
      <c r="G347" t="b">
        <v>1</v>
      </c>
      <c r="H347">
        <f>Sensitivity!H13</f>
        <v>15446534399400</v>
      </c>
    </row>
    <row r="348" spans="1:8" x14ac:dyDescent="0.2">
      <c r="A348" t="s">
        <v>290</v>
      </c>
      <c r="B348" t="s">
        <v>308</v>
      </c>
      <c r="C348">
        <v>3</v>
      </c>
      <c r="D348" t="s">
        <v>310</v>
      </c>
      <c r="E348">
        <v>9</v>
      </c>
      <c r="F348">
        <v>4.1399999999999997</v>
      </c>
      <c r="G348" t="b">
        <v>0</v>
      </c>
      <c r="H348" t="s">
        <v>311</v>
      </c>
    </row>
    <row r="349" spans="1:8" x14ac:dyDescent="0.2">
      <c r="A349" t="s">
        <v>290</v>
      </c>
      <c r="B349" t="s">
        <v>308</v>
      </c>
      <c r="C349">
        <v>3</v>
      </c>
      <c r="D349" t="s">
        <v>310</v>
      </c>
      <c r="E349">
        <v>12</v>
      </c>
      <c r="F349">
        <v>0.36</v>
      </c>
      <c r="G349" t="b">
        <v>1</v>
      </c>
      <c r="H349" t="s">
        <v>311</v>
      </c>
    </row>
    <row r="350" spans="1:8" x14ac:dyDescent="0.2">
      <c r="A350" t="s">
        <v>290</v>
      </c>
      <c r="B350" t="s">
        <v>308</v>
      </c>
      <c r="C350">
        <v>3</v>
      </c>
      <c r="D350" t="s">
        <v>314</v>
      </c>
      <c r="E350">
        <v>9</v>
      </c>
      <c r="F350">
        <v>4.1399999999999997</v>
      </c>
      <c r="G350" t="b">
        <v>0</v>
      </c>
      <c r="H350" t="s">
        <v>311</v>
      </c>
    </row>
    <row r="351" spans="1:8" x14ac:dyDescent="0.2">
      <c r="A351" t="s">
        <v>290</v>
      </c>
      <c r="B351" t="s">
        <v>308</v>
      </c>
      <c r="C351">
        <v>3</v>
      </c>
      <c r="D351" t="s">
        <v>314</v>
      </c>
      <c r="E351">
        <v>12</v>
      </c>
      <c r="F351">
        <v>0.36</v>
      </c>
      <c r="G351" t="b">
        <v>1</v>
      </c>
      <c r="H351" t="s">
        <v>311</v>
      </c>
    </row>
    <row r="352" spans="1:8" x14ac:dyDescent="0.2">
      <c r="A352" t="s">
        <v>290</v>
      </c>
      <c r="B352" t="s">
        <v>308</v>
      </c>
      <c r="C352">
        <v>3</v>
      </c>
      <c r="D352" t="s">
        <v>317</v>
      </c>
      <c r="E352">
        <v>9</v>
      </c>
      <c r="F352">
        <v>4.1399999999999997</v>
      </c>
      <c r="G352" t="b">
        <v>0</v>
      </c>
      <c r="H352">
        <f>Sensitivity!H6</f>
        <v>29416469501559</v>
      </c>
    </row>
    <row r="353" spans="1:8" x14ac:dyDescent="0.2">
      <c r="A353" t="s">
        <v>290</v>
      </c>
      <c r="B353" t="s">
        <v>308</v>
      </c>
      <c r="C353">
        <v>3</v>
      </c>
      <c r="D353" t="s">
        <v>317</v>
      </c>
      <c r="E353">
        <v>12</v>
      </c>
      <c r="F353">
        <v>0.36</v>
      </c>
      <c r="G353" t="b">
        <v>1</v>
      </c>
      <c r="H353">
        <f>Sensitivity!H6</f>
        <v>29416469501559</v>
      </c>
    </row>
    <row r="354" spans="1:8" x14ac:dyDescent="0.2">
      <c r="A354" t="s">
        <v>290</v>
      </c>
      <c r="B354" t="s">
        <v>308</v>
      </c>
      <c r="C354">
        <v>3</v>
      </c>
      <c r="D354" t="s">
        <v>320</v>
      </c>
      <c r="E354">
        <v>9</v>
      </c>
      <c r="F354">
        <v>4.1399999999999997</v>
      </c>
      <c r="G354" t="b">
        <v>0</v>
      </c>
      <c r="H354" t="s">
        <v>311</v>
      </c>
    </row>
    <row r="355" spans="1:8" x14ac:dyDescent="0.2">
      <c r="A355" t="s">
        <v>290</v>
      </c>
      <c r="B355" t="s">
        <v>308</v>
      </c>
      <c r="C355">
        <v>3</v>
      </c>
      <c r="D355" t="s">
        <v>320</v>
      </c>
      <c r="E355">
        <v>12</v>
      </c>
      <c r="F355">
        <v>0.36</v>
      </c>
      <c r="G355" t="b">
        <v>1</v>
      </c>
      <c r="H355" t="s">
        <v>311</v>
      </c>
    </row>
    <row r="356" spans="1:8" x14ac:dyDescent="0.2">
      <c r="A356" t="s">
        <v>290</v>
      </c>
      <c r="B356" t="s">
        <v>308</v>
      </c>
      <c r="C356">
        <v>3</v>
      </c>
      <c r="D356" t="s">
        <v>322</v>
      </c>
      <c r="E356">
        <v>9</v>
      </c>
      <c r="F356">
        <v>8.2799999999999994</v>
      </c>
      <c r="G356" t="b">
        <v>0</v>
      </c>
      <c r="H356" t="s">
        <v>311</v>
      </c>
    </row>
    <row r="357" spans="1:8" x14ac:dyDescent="0.2">
      <c r="A357" t="s">
        <v>290</v>
      </c>
      <c r="B357" t="s">
        <v>308</v>
      </c>
      <c r="C357">
        <v>3</v>
      </c>
      <c r="D357" t="s">
        <v>322</v>
      </c>
      <c r="E357">
        <v>12</v>
      </c>
      <c r="F357">
        <v>0.72</v>
      </c>
      <c r="G357" t="b">
        <v>1</v>
      </c>
      <c r="H357" t="s">
        <v>311</v>
      </c>
    </row>
    <row r="358" spans="1:8" x14ac:dyDescent="0.2">
      <c r="A358" t="s">
        <v>290</v>
      </c>
      <c r="B358" t="s">
        <v>308</v>
      </c>
      <c r="C358">
        <v>3</v>
      </c>
      <c r="D358" t="s">
        <v>324</v>
      </c>
      <c r="E358">
        <v>15</v>
      </c>
      <c r="F358">
        <v>8.2799999999999994</v>
      </c>
      <c r="G358" t="b">
        <v>0</v>
      </c>
      <c r="H358" t="s">
        <v>311</v>
      </c>
    </row>
    <row r="359" spans="1:8" x14ac:dyDescent="0.2">
      <c r="A359" t="s">
        <v>290</v>
      </c>
      <c r="B359" t="s">
        <v>308</v>
      </c>
      <c r="C359">
        <v>3</v>
      </c>
      <c r="D359" t="s">
        <v>324</v>
      </c>
      <c r="E359">
        <v>20</v>
      </c>
      <c r="F359">
        <v>0.72</v>
      </c>
      <c r="G359" t="b">
        <v>1</v>
      </c>
      <c r="H359" t="s">
        <v>311</v>
      </c>
    </row>
    <row r="360" spans="1:8" x14ac:dyDescent="0.2">
      <c r="A360" t="s">
        <v>290</v>
      </c>
      <c r="B360" t="s">
        <v>308</v>
      </c>
      <c r="C360">
        <v>3</v>
      </c>
      <c r="D360" t="s">
        <v>326</v>
      </c>
      <c r="E360">
        <v>9</v>
      </c>
      <c r="F360">
        <v>8.2799999999999994</v>
      </c>
      <c r="G360" t="b">
        <v>0</v>
      </c>
      <c r="H360" t="s">
        <v>311</v>
      </c>
    </row>
    <row r="361" spans="1:8" x14ac:dyDescent="0.2">
      <c r="A361" t="s">
        <v>290</v>
      </c>
      <c r="B361" t="s">
        <v>308</v>
      </c>
      <c r="C361">
        <v>3</v>
      </c>
      <c r="D361" t="s">
        <v>326</v>
      </c>
      <c r="E361">
        <v>12</v>
      </c>
      <c r="F361">
        <v>0.72</v>
      </c>
      <c r="G361" t="b">
        <v>1</v>
      </c>
      <c r="H361" t="s">
        <v>311</v>
      </c>
    </row>
    <row r="362" spans="1:8" x14ac:dyDescent="0.2">
      <c r="A362" t="s">
        <v>290</v>
      </c>
      <c r="B362" t="s">
        <v>308</v>
      </c>
      <c r="C362">
        <v>3</v>
      </c>
      <c r="D362" t="s">
        <v>329</v>
      </c>
      <c r="E362">
        <v>400</v>
      </c>
      <c r="F362">
        <v>8.51</v>
      </c>
      <c r="G362" t="b">
        <v>0</v>
      </c>
      <c r="H362" t="s">
        <v>311</v>
      </c>
    </row>
    <row r="363" spans="1:8" x14ac:dyDescent="0.2">
      <c r="A363" t="s">
        <v>290</v>
      </c>
      <c r="B363" t="s">
        <v>308</v>
      </c>
      <c r="C363">
        <v>3</v>
      </c>
      <c r="D363" t="s">
        <v>329</v>
      </c>
      <c r="E363">
        <v>600</v>
      </c>
      <c r="F363">
        <v>0.74</v>
      </c>
      <c r="G363" t="b">
        <v>1</v>
      </c>
      <c r="H363" t="s">
        <v>311</v>
      </c>
    </row>
    <row r="364" spans="1:8" x14ac:dyDescent="0.2">
      <c r="A364" t="s">
        <v>290</v>
      </c>
      <c r="B364" t="s">
        <v>308</v>
      </c>
      <c r="C364">
        <v>3</v>
      </c>
      <c r="D364" t="s">
        <v>330</v>
      </c>
      <c r="E364">
        <v>400</v>
      </c>
      <c r="F364">
        <v>8.51</v>
      </c>
      <c r="G364" t="b">
        <v>0</v>
      </c>
      <c r="H364" t="s">
        <v>311</v>
      </c>
    </row>
    <row r="365" spans="1:8" x14ac:dyDescent="0.2">
      <c r="A365" t="s">
        <v>290</v>
      </c>
      <c r="B365" t="s">
        <v>308</v>
      </c>
      <c r="C365">
        <v>3</v>
      </c>
      <c r="D365" t="s">
        <v>330</v>
      </c>
      <c r="E365">
        <v>600</v>
      </c>
      <c r="F365">
        <v>0.74</v>
      </c>
      <c r="G365" t="b">
        <v>1</v>
      </c>
      <c r="H365" t="s">
        <v>311</v>
      </c>
    </row>
    <row r="366" spans="1:8" x14ac:dyDescent="0.2">
      <c r="A366" t="s">
        <v>290</v>
      </c>
      <c r="B366" t="s">
        <v>308</v>
      </c>
      <c r="C366">
        <v>3</v>
      </c>
      <c r="D366" t="s">
        <v>333</v>
      </c>
      <c r="E366">
        <v>400</v>
      </c>
      <c r="F366">
        <v>8.51</v>
      </c>
      <c r="G366" t="b">
        <v>0</v>
      </c>
      <c r="H366">
        <f>Sensitivity!H5</f>
        <v>166957805663</v>
      </c>
    </row>
    <row r="367" spans="1:8" x14ac:dyDescent="0.2">
      <c r="A367" t="s">
        <v>290</v>
      </c>
      <c r="B367" t="s">
        <v>308</v>
      </c>
      <c r="C367">
        <v>3</v>
      </c>
      <c r="D367" t="s">
        <v>333</v>
      </c>
      <c r="E367">
        <v>600</v>
      </c>
      <c r="F367">
        <v>0.74</v>
      </c>
      <c r="G367" t="b">
        <v>1</v>
      </c>
      <c r="H367">
        <f>Sensitivity!H5</f>
        <v>166957805663</v>
      </c>
    </row>
    <row r="368" spans="1:8" x14ac:dyDescent="0.2">
      <c r="A368" t="s">
        <v>290</v>
      </c>
      <c r="B368" t="s">
        <v>308</v>
      </c>
      <c r="C368">
        <v>3</v>
      </c>
      <c r="D368" t="s">
        <v>336</v>
      </c>
      <c r="E368">
        <v>400</v>
      </c>
      <c r="F368">
        <v>8.51</v>
      </c>
      <c r="G368" t="b">
        <v>0</v>
      </c>
      <c r="H368" t="s">
        <v>311</v>
      </c>
    </row>
    <row r="369" spans="1:8" x14ac:dyDescent="0.2">
      <c r="A369" t="s">
        <v>290</v>
      </c>
      <c r="B369" t="s">
        <v>308</v>
      </c>
      <c r="C369">
        <v>3</v>
      </c>
      <c r="D369" t="s">
        <v>336</v>
      </c>
      <c r="E369">
        <v>600</v>
      </c>
      <c r="F369">
        <v>0.74</v>
      </c>
      <c r="G369" t="b">
        <v>1</v>
      </c>
      <c r="H369" t="s">
        <v>311</v>
      </c>
    </row>
    <row r="370" spans="1:8" x14ac:dyDescent="0.2">
      <c r="A370" t="s">
        <v>290</v>
      </c>
      <c r="B370" t="s">
        <v>312</v>
      </c>
      <c r="C370">
        <v>1</v>
      </c>
      <c r="D370" t="s">
        <v>292</v>
      </c>
      <c r="E370">
        <v>15</v>
      </c>
      <c r="F370">
        <v>2.5</v>
      </c>
      <c r="G370" t="b">
        <v>0</v>
      </c>
      <c r="H370">
        <f>IF(Inputs!$B$8&gt;=100,Sensitivity!H15,Sensitivity!H14)</f>
        <v>19898792465366</v>
      </c>
    </row>
    <row r="371" spans="1:8" x14ac:dyDescent="0.2">
      <c r="A371" t="s">
        <v>290</v>
      </c>
      <c r="B371" t="s">
        <v>312</v>
      </c>
      <c r="C371">
        <v>1</v>
      </c>
      <c r="D371" t="s">
        <v>295</v>
      </c>
      <c r="E371">
        <v>10</v>
      </c>
      <c r="F371">
        <v>2.5</v>
      </c>
      <c r="G371" t="b">
        <v>0</v>
      </c>
      <c r="H371">
        <f>Sensitivity!H16</f>
        <v>17494373998280</v>
      </c>
    </row>
    <row r="372" spans="1:8" x14ac:dyDescent="0.2">
      <c r="A372" t="s">
        <v>290</v>
      </c>
      <c r="B372" t="s">
        <v>312</v>
      </c>
      <c r="C372">
        <v>1</v>
      </c>
      <c r="D372" t="s">
        <v>299</v>
      </c>
      <c r="E372">
        <v>35</v>
      </c>
      <c r="F372">
        <v>4</v>
      </c>
      <c r="G372" t="b">
        <v>0</v>
      </c>
      <c r="H372">
        <f>Sensitivity!H7</f>
        <v>8104551916653</v>
      </c>
    </row>
    <row r="373" spans="1:8" x14ac:dyDescent="0.2">
      <c r="A373" t="s">
        <v>290</v>
      </c>
      <c r="B373" t="s">
        <v>312</v>
      </c>
      <c r="C373">
        <v>1</v>
      </c>
      <c r="D373" t="s">
        <v>302</v>
      </c>
      <c r="E373">
        <v>25</v>
      </c>
      <c r="F373">
        <v>4</v>
      </c>
      <c r="G373" t="b">
        <v>0</v>
      </c>
      <c r="H373">
        <f>Sensitivity!H12</f>
        <v>15446534399400</v>
      </c>
    </row>
    <row r="374" spans="1:8" x14ac:dyDescent="0.2">
      <c r="A374" t="s">
        <v>290</v>
      </c>
      <c r="B374" t="s">
        <v>312</v>
      </c>
      <c r="C374">
        <v>1</v>
      </c>
      <c r="D374" t="s">
        <v>306</v>
      </c>
      <c r="E374">
        <v>25</v>
      </c>
      <c r="F374">
        <v>4</v>
      </c>
      <c r="G374" t="b">
        <v>0</v>
      </c>
      <c r="H374">
        <f>Sensitivity!H13</f>
        <v>15446534399400</v>
      </c>
    </row>
    <row r="375" spans="1:8" x14ac:dyDescent="0.2">
      <c r="A375" t="s">
        <v>290</v>
      </c>
      <c r="B375" t="s">
        <v>312</v>
      </c>
      <c r="C375">
        <v>1</v>
      </c>
      <c r="D375" t="s">
        <v>310</v>
      </c>
      <c r="E375">
        <v>15</v>
      </c>
      <c r="F375">
        <v>4.5</v>
      </c>
      <c r="G375" t="b">
        <v>0</v>
      </c>
      <c r="H375" t="s">
        <v>311</v>
      </c>
    </row>
    <row r="376" spans="1:8" x14ac:dyDescent="0.2">
      <c r="A376" t="s">
        <v>290</v>
      </c>
      <c r="B376" t="s">
        <v>312</v>
      </c>
      <c r="C376">
        <v>1</v>
      </c>
      <c r="D376" t="s">
        <v>314</v>
      </c>
      <c r="E376">
        <v>15</v>
      </c>
      <c r="F376">
        <v>4.5</v>
      </c>
      <c r="G376" t="b">
        <v>0</v>
      </c>
      <c r="H376" t="s">
        <v>311</v>
      </c>
    </row>
    <row r="377" spans="1:8" x14ac:dyDescent="0.2">
      <c r="A377" t="s">
        <v>290</v>
      </c>
      <c r="B377" t="s">
        <v>312</v>
      </c>
      <c r="C377">
        <v>1</v>
      </c>
      <c r="D377" t="s">
        <v>317</v>
      </c>
      <c r="E377">
        <v>15</v>
      </c>
      <c r="F377">
        <v>4.5</v>
      </c>
      <c r="G377" t="b">
        <v>0</v>
      </c>
      <c r="H377">
        <f>Sensitivity!H6</f>
        <v>29416469501559</v>
      </c>
    </row>
    <row r="378" spans="1:8" x14ac:dyDescent="0.2">
      <c r="A378" t="s">
        <v>290</v>
      </c>
      <c r="B378" t="s">
        <v>312</v>
      </c>
      <c r="C378">
        <v>1</v>
      </c>
      <c r="D378" t="s">
        <v>320</v>
      </c>
      <c r="E378">
        <v>15</v>
      </c>
      <c r="F378">
        <v>4.5</v>
      </c>
      <c r="G378" t="b">
        <v>0</v>
      </c>
      <c r="H378" t="s">
        <v>311</v>
      </c>
    </row>
    <row r="379" spans="1:8" x14ac:dyDescent="0.2">
      <c r="A379" t="s">
        <v>290</v>
      </c>
      <c r="B379" t="s">
        <v>312</v>
      </c>
      <c r="C379">
        <v>1</v>
      </c>
      <c r="D379" t="s">
        <v>322</v>
      </c>
      <c r="E379">
        <v>15</v>
      </c>
      <c r="F379">
        <v>9</v>
      </c>
      <c r="G379" t="b">
        <v>0</v>
      </c>
      <c r="H379" t="s">
        <v>311</v>
      </c>
    </row>
    <row r="380" spans="1:8" x14ac:dyDescent="0.2">
      <c r="A380" t="s">
        <v>290</v>
      </c>
      <c r="B380" t="s">
        <v>312</v>
      </c>
      <c r="C380">
        <v>1</v>
      </c>
      <c r="D380" t="s">
        <v>324</v>
      </c>
      <c r="E380">
        <v>25</v>
      </c>
      <c r="F380">
        <v>9</v>
      </c>
      <c r="G380" t="b">
        <v>0</v>
      </c>
      <c r="H380" t="s">
        <v>311</v>
      </c>
    </row>
    <row r="381" spans="1:8" x14ac:dyDescent="0.2">
      <c r="A381" t="s">
        <v>290</v>
      </c>
      <c r="B381" t="s">
        <v>312</v>
      </c>
      <c r="C381">
        <v>1</v>
      </c>
      <c r="D381" t="s">
        <v>326</v>
      </c>
      <c r="E381">
        <v>15</v>
      </c>
      <c r="F381">
        <v>9</v>
      </c>
      <c r="G381" t="b">
        <v>0</v>
      </c>
      <c r="H381" t="s">
        <v>311</v>
      </c>
    </row>
    <row r="382" spans="1:8" x14ac:dyDescent="0.2">
      <c r="A382" t="s">
        <v>290</v>
      </c>
      <c r="B382" t="s">
        <v>312</v>
      </c>
      <c r="C382">
        <v>1</v>
      </c>
      <c r="D382" t="s">
        <v>329</v>
      </c>
      <c r="E382">
        <v>1000</v>
      </c>
      <c r="F382">
        <v>9.25</v>
      </c>
      <c r="G382" t="b">
        <v>0</v>
      </c>
      <c r="H382" t="s">
        <v>311</v>
      </c>
    </row>
    <row r="383" spans="1:8" x14ac:dyDescent="0.2">
      <c r="A383" t="s">
        <v>290</v>
      </c>
      <c r="B383" t="s">
        <v>312</v>
      </c>
      <c r="C383">
        <v>1</v>
      </c>
      <c r="D383" t="s">
        <v>330</v>
      </c>
      <c r="E383">
        <v>1000</v>
      </c>
      <c r="F383">
        <v>9.25</v>
      </c>
      <c r="G383" t="b">
        <v>0</v>
      </c>
      <c r="H383" t="s">
        <v>311</v>
      </c>
    </row>
    <row r="384" spans="1:8" x14ac:dyDescent="0.2">
      <c r="A384" t="s">
        <v>290</v>
      </c>
      <c r="B384" t="s">
        <v>312</v>
      </c>
      <c r="C384">
        <v>1</v>
      </c>
      <c r="D384" t="s">
        <v>333</v>
      </c>
      <c r="E384">
        <v>1000</v>
      </c>
      <c r="F384">
        <v>9.25</v>
      </c>
      <c r="G384" t="b">
        <v>0</v>
      </c>
      <c r="H384">
        <f>Sensitivity!H5</f>
        <v>166957805663</v>
      </c>
    </row>
    <row r="385" spans="1:8" x14ac:dyDescent="0.2">
      <c r="A385" t="s">
        <v>290</v>
      </c>
      <c r="B385" t="s">
        <v>312</v>
      </c>
      <c r="C385">
        <v>1</v>
      </c>
      <c r="D385" t="s">
        <v>336</v>
      </c>
      <c r="E385">
        <v>1000</v>
      </c>
      <c r="F385">
        <v>9.25</v>
      </c>
      <c r="G385" t="b">
        <v>0</v>
      </c>
      <c r="H385" t="s">
        <v>311</v>
      </c>
    </row>
    <row r="386" spans="1:8" x14ac:dyDescent="0.2">
      <c r="A386" t="s">
        <v>290</v>
      </c>
      <c r="B386" t="s">
        <v>312</v>
      </c>
      <c r="C386">
        <v>2</v>
      </c>
      <c r="D386" t="s">
        <v>292</v>
      </c>
      <c r="E386">
        <v>12</v>
      </c>
      <c r="F386">
        <v>1.9</v>
      </c>
      <c r="G386" t="b">
        <v>0</v>
      </c>
      <c r="H386">
        <f>IF(Inputs!$B$8&gt;=100,Sensitivity!H15,Sensitivity!H14)</f>
        <v>19898792465366</v>
      </c>
    </row>
    <row r="387" spans="1:8" x14ac:dyDescent="0.2">
      <c r="A387" t="s">
        <v>290</v>
      </c>
      <c r="B387" t="s">
        <v>312</v>
      </c>
      <c r="C387">
        <v>2</v>
      </c>
      <c r="D387" t="s">
        <v>292</v>
      </c>
      <c r="E387">
        <v>15</v>
      </c>
      <c r="F387">
        <v>0.6</v>
      </c>
      <c r="G387" t="b">
        <v>1</v>
      </c>
      <c r="H387">
        <f>IF(Inputs!$B$8&gt;=100,Sensitivity!H15,Sensitivity!H14)</f>
        <v>19898792465366</v>
      </c>
    </row>
    <row r="388" spans="1:8" x14ac:dyDescent="0.2">
      <c r="A388" t="s">
        <v>290</v>
      </c>
      <c r="B388" t="s">
        <v>312</v>
      </c>
      <c r="C388">
        <v>2</v>
      </c>
      <c r="D388" t="s">
        <v>295</v>
      </c>
      <c r="E388">
        <v>7</v>
      </c>
      <c r="F388">
        <v>1.9</v>
      </c>
      <c r="G388" t="b">
        <v>0</v>
      </c>
      <c r="H388">
        <f>Sensitivity!H16</f>
        <v>17494373998280</v>
      </c>
    </row>
    <row r="389" spans="1:8" x14ac:dyDescent="0.2">
      <c r="A389" t="s">
        <v>290</v>
      </c>
      <c r="B389" t="s">
        <v>312</v>
      </c>
      <c r="C389">
        <v>2</v>
      </c>
      <c r="D389" t="s">
        <v>295</v>
      </c>
      <c r="E389">
        <v>10</v>
      </c>
      <c r="F389">
        <v>0.6</v>
      </c>
      <c r="G389" t="b">
        <v>1</v>
      </c>
      <c r="H389">
        <f>Sensitivity!H16</f>
        <v>17494373998280</v>
      </c>
    </row>
    <row r="390" spans="1:8" x14ac:dyDescent="0.2">
      <c r="A390" t="s">
        <v>290</v>
      </c>
      <c r="B390" t="s">
        <v>312</v>
      </c>
      <c r="C390">
        <v>2</v>
      </c>
      <c r="D390" t="s">
        <v>299</v>
      </c>
      <c r="E390">
        <v>25</v>
      </c>
      <c r="F390">
        <v>3.04</v>
      </c>
      <c r="G390" t="b">
        <v>0</v>
      </c>
      <c r="H390">
        <f>Sensitivity!H7</f>
        <v>8104551916653</v>
      </c>
    </row>
    <row r="391" spans="1:8" x14ac:dyDescent="0.2">
      <c r="A391" t="s">
        <v>290</v>
      </c>
      <c r="B391" t="s">
        <v>312</v>
      </c>
      <c r="C391">
        <v>2</v>
      </c>
      <c r="D391" t="s">
        <v>299</v>
      </c>
      <c r="E391">
        <v>35</v>
      </c>
      <c r="F391">
        <v>0.96</v>
      </c>
      <c r="G391" t="b">
        <v>1</v>
      </c>
      <c r="H391">
        <f>Sensitivity!H7</f>
        <v>8104551916653</v>
      </c>
    </row>
    <row r="392" spans="1:8" x14ac:dyDescent="0.2">
      <c r="A392" t="s">
        <v>290</v>
      </c>
      <c r="B392" t="s">
        <v>312</v>
      </c>
      <c r="C392">
        <v>2</v>
      </c>
      <c r="D392" t="s">
        <v>302</v>
      </c>
      <c r="E392">
        <v>15</v>
      </c>
      <c r="F392">
        <v>3.04</v>
      </c>
      <c r="G392" t="b">
        <v>0</v>
      </c>
      <c r="H392">
        <f>Sensitivity!H12</f>
        <v>15446534399400</v>
      </c>
    </row>
    <row r="393" spans="1:8" x14ac:dyDescent="0.2">
      <c r="A393" t="s">
        <v>290</v>
      </c>
      <c r="B393" t="s">
        <v>312</v>
      </c>
      <c r="C393">
        <v>2</v>
      </c>
      <c r="D393" t="s">
        <v>302</v>
      </c>
      <c r="E393">
        <v>25</v>
      </c>
      <c r="F393">
        <v>0.96</v>
      </c>
      <c r="G393" t="b">
        <v>1</v>
      </c>
      <c r="H393">
        <f>Sensitivity!H12</f>
        <v>15446534399400</v>
      </c>
    </row>
    <row r="394" spans="1:8" x14ac:dyDescent="0.2">
      <c r="A394" t="s">
        <v>290</v>
      </c>
      <c r="B394" t="s">
        <v>312</v>
      </c>
      <c r="C394">
        <v>2</v>
      </c>
      <c r="D394" t="s">
        <v>306</v>
      </c>
      <c r="E394">
        <v>15</v>
      </c>
      <c r="F394">
        <v>3.04</v>
      </c>
      <c r="G394" t="b">
        <v>0</v>
      </c>
      <c r="H394">
        <f>Sensitivity!H13</f>
        <v>15446534399400</v>
      </c>
    </row>
    <row r="395" spans="1:8" x14ac:dyDescent="0.2">
      <c r="A395" t="s">
        <v>290</v>
      </c>
      <c r="B395" t="s">
        <v>312</v>
      </c>
      <c r="C395">
        <v>2</v>
      </c>
      <c r="D395" t="s">
        <v>306</v>
      </c>
      <c r="E395">
        <v>25</v>
      </c>
      <c r="F395">
        <v>0.96</v>
      </c>
      <c r="G395" t="b">
        <v>1</v>
      </c>
      <c r="H395">
        <f>Sensitivity!H13</f>
        <v>15446534399400</v>
      </c>
    </row>
    <row r="396" spans="1:8" x14ac:dyDescent="0.2">
      <c r="A396" t="s">
        <v>290</v>
      </c>
      <c r="B396" t="s">
        <v>312</v>
      </c>
      <c r="C396">
        <v>2</v>
      </c>
      <c r="D396" t="s">
        <v>310</v>
      </c>
      <c r="E396">
        <v>12</v>
      </c>
      <c r="F396">
        <v>3.42</v>
      </c>
      <c r="G396" t="b">
        <v>0</v>
      </c>
      <c r="H396" t="s">
        <v>311</v>
      </c>
    </row>
    <row r="397" spans="1:8" x14ac:dyDescent="0.2">
      <c r="A397" t="s">
        <v>290</v>
      </c>
      <c r="B397" t="s">
        <v>312</v>
      </c>
      <c r="C397">
        <v>2</v>
      </c>
      <c r="D397" t="s">
        <v>310</v>
      </c>
      <c r="E397">
        <v>15</v>
      </c>
      <c r="F397">
        <v>1.08</v>
      </c>
      <c r="G397" t="b">
        <v>1</v>
      </c>
      <c r="H397" t="s">
        <v>311</v>
      </c>
    </row>
    <row r="398" spans="1:8" x14ac:dyDescent="0.2">
      <c r="A398" t="s">
        <v>290</v>
      </c>
      <c r="B398" t="s">
        <v>312</v>
      </c>
      <c r="C398">
        <v>2</v>
      </c>
      <c r="D398" t="s">
        <v>314</v>
      </c>
      <c r="E398">
        <v>12</v>
      </c>
      <c r="F398">
        <v>3.42</v>
      </c>
      <c r="G398" t="b">
        <v>0</v>
      </c>
      <c r="H398" t="s">
        <v>311</v>
      </c>
    </row>
    <row r="399" spans="1:8" x14ac:dyDescent="0.2">
      <c r="A399" t="s">
        <v>290</v>
      </c>
      <c r="B399" t="s">
        <v>312</v>
      </c>
      <c r="C399">
        <v>2</v>
      </c>
      <c r="D399" t="s">
        <v>314</v>
      </c>
      <c r="E399">
        <v>15</v>
      </c>
      <c r="F399">
        <v>1.08</v>
      </c>
      <c r="G399" t="b">
        <v>1</v>
      </c>
      <c r="H399" t="s">
        <v>311</v>
      </c>
    </row>
    <row r="400" spans="1:8" x14ac:dyDescent="0.2">
      <c r="A400" t="s">
        <v>290</v>
      </c>
      <c r="B400" t="s">
        <v>312</v>
      </c>
      <c r="C400">
        <v>2</v>
      </c>
      <c r="D400" t="s">
        <v>317</v>
      </c>
      <c r="E400">
        <v>12</v>
      </c>
      <c r="F400">
        <v>3.42</v>
      </c>
      <c r="G400" t="b">
        <v>0</v>
      </c>
      <c r="H400">
        <f>Sensitivity!H6</f>
        <v>29416469501559</v>
      </c>
    </row>
    <row r="401" spans="1:8" x14ac:dyDescent="0.2">
      <c r="A401" t="s">
        <v>290</v>
      </c>
      <c r="B401" t="s">
        <v>312</v>
      </c>
      <c r="C401">
        <v>2</v>
      </c>
      <c r="D401" t="s">
        <v>317</v>
      </c>
      <c r="E401">
        <v>15</v>
      </c>
      <c r="F401">
        <v>1.08</v>
      </c>
      <c r="G401" t="b">
        <v>1</v>
      </c>
      <c r="H401">
        <f>Sensitivity!H6</f>
        <v>29416469501559</v>
      </c>
    </row>
    <row r="402" spans="1:8" x14ac:dyDescent="0.2">
      <c r="A402" t="s">
        <v>290</v>
      </c>
      <c r="B402" t="s">
        <v>312</v>
      </c>
      <c r="C402">
        <v>2</v>
      </c>
      <c r="D402" t="s">
        <v>320</v>
      </c>
      <c r="E402">
        <v>12</v>
      </c>
      <c r="F402">
        <v>3.42</v>
      </c>
      <c r="G402" t="b">
        <v>0</v>
      </c>
      <c r="H402" t="s">
        <v>311</v>
      </c>
    </row>
    <row r="403" spans="1:8" x14ac:dyDescent="0.2">
      <c r="A403" t="s">
        <v>290</v>
      </c>
      <c r="B403" t="s">
        <v>312</v>
      </c>
      <c r="C403">
        <v>2</v>
      </c>
      <c r="D403" t="s">
        <v>320</v>
      </c>
      <c r="E403">
        <v>15</v>
      </c>
      <c r="F403">
        <v>1.08</v>
      </c>
      <c r="G403" t="b">
        <v>1</v>
      </c>
      <c r="H403" t="s">
        <v>311</v>
      </c>
    </row>
    <row r="404" spans="1:8" x14ac:dyDescent="0.2">
      <c r="A404" t="s">
        <v>290</v>
      </c>
      <c r="B404" t="s">
        <v>312</v>
      </c>
      <c r="C404">
        <v>2</v>
      </c>
      <c r="D404" t="s">
        <v>322</v>
      </c>
      <c r="E404">
        <v>12</v>
      </c>
      <c r="F404">
        <v>6.84</v>
      </c>
      <c r="G404" t="b">
        <v>0</v>
      </c>
      <c r="H404" t="s">
        <v>311</v>
      </c>
    </row>
    <row r="405" spans="1:8" x14ac:dyDescent="0.2">
      <c r="A405" t="s">
        <v>290</v>
      </c>
      <c r="B405" t="s">
        <v>312</v>
      </c>
      <c r="C405">
        <v>2</v>
      </c>
      <c r="D405" t="s">
        <v>322</v>
      </c>
      <c r="E405">
        <v>15</v>
      </c>
      <c r="F405">
        <v>2.16</v>
      </c>
      <c r="G405" t="b">
        <v>1</v>
      </c>
      <c r="H405" t="s">
        <v>311</v>
      </c>
    </row>
    <row r="406" spans="1:8" x14ac:dyDescent="0.2">
      <c r="A406" t="s">
        <v>290</v>
      </c>
      <c r="B406" t="s">
        <v>312</v>
      </c>
      <c r="C406">
        <v>2</v>
      </c>
      <c r="D406" t="s">
        <v>324</v>
      </c>
      <c r="E406">
        <v>20</v>
      </c>
      <c r="F406">
        <v>6.84</v>
      </c>
      <c r="G406" t="b">
        <v>0</v>
      </c>
      <c r="H406" t="s">
        <v>311</v>
      </c>
    </row>
    <row r="407" spans="1:8" x14ac:dyDescent="0.2">
      <c r="A407" t="s">
        <v>290</v>
      </c>
      <c r="B407" t="s">
        <v>312</v>
      </c>
      <c r="C407">
        <v>2</v>
      </c>
      <c r="D407" t="s">
        <v>324</v>
      </c>
      <c r="E407">
        <v>25</v>
      </c>
      <c r="F407">
        <v>2.16</v>
      </c>
      <c r="G407" t="b">
        <v>1</v>
      </c>
      <c r="H407" t="s">
        <v>311</v>
      </c>
    </row>
    <row r="408" spans="1:8" x14ac:dyDescent="0.2">
      <c r="A408" t="s">
        <v>290</v>
      </c>
      <c r="B408" t="s">
        <v>312</v>
      </c>
      <c r="C408">
        <v>2</v>
      </c>
      <c r="D408" t="s">
        <v>326</v>
      </c>
      <c r="E408">
        <v>12</v>
      </c>
      <c r="F408">
        <v>6.84</v>
      </c>
      <c r="G408" t="b">
        <v>0</v>
      </c>
      <c r="H408" t="s">
        <v>311</v>
      </c>
    </row>
    <row r="409" spans="1:8" x14ac:dyDescent="0.2">
      <c r="A409" t="s">
        <v>290</v>
      </c>
      <c r="B409" t="s">
        <v>312</v>
      </c>
      <c r="C409">
        <v>2</v>
      </c>
      <c r="D409" t="s">
        <v>326</v>
      </c>
      <c r="E409">
        <v>15</v>
      </c>
      <c r="F409">
        <v>2.16</v>
      </c>
      <c r="G409" t="b">
        <v>1</v>
      </c>
      <c r="H409" t="s">
        <v>311</v>
      </c>
    </row>
    <row r="410" spans="1:8" x14ac:dyDescent="0.2">
      <c r="A410" t="s">
        <v>290</v>
      </c>
      <c r="B410" t="s">
        <v>312</v>
      </c>
      <c r="C410">
        <v>2</v>
      </c>
      <c r="D410" t="s">
        <v>329</v>
      </c>
      <c r="E410">
        <v>600</v>
      </c>
      <c r="F410">
        <v>7.03</v>
      </c>
      <c r="G410" t="b">
        <v>0</v>
      </c>
      <c r="H410" t="s">
        <v>311</v>
      </c>
    </row>
    <row r="411" spans="1:8" x14ac:dyDescent="0.2">
      <c r="A411" t="s">
        <v>290</v>
      </c>
      <c r="B411" t="s">
        <v>312</v>
      </c>
      <c r="C411">
        <v>2</v>
      </c>
      <c r="D411" t="s">
        <v>329</v>
      </c>
      <c r="E411">
        <v>1000</v>
      </c>
      <c r="F411">
        <v>2.2200000000000002</v>
      </c>
      <c r="G411" t="b">
        <v>1</v>
      </c>
      <c r="H411" t="s">
        <v>311</v>
      </c>
    </row>
    <row r="412" spans="1:8" x14ac:dyDescent="0.2">
      <c r="A412" t="s">
        <v>290</v>
      </c>
      <c r="B412" t="s">
        <v>312</v>
      </c>
      <c r="C412">
        <v>2</v>
      </c>
      <c r="D412" t="s">
        <v>330</v>
      </c>
      <c r="E412">
        <v>600</v>
      </c>
      <c r="F412">
        <v>7.03</v>
      </c>
      <c r="G412" t="b">
        <v>0</v>
      </c>
      <c r="H412" t="s">
        <v>311</v>
      </c>
    </row>
    <row r="413" spans="1:8" x14ac:dyDescent="0.2">
      <c r="A413" t="s">
        <v>290</v>
      </c>
      <c r="B413" t="s">
        <v>312</v>
      </c>
      <c r="C413">
        <v>2</v>
      </c>
      <c r="D413" t="s">
        <v>330</v>
      </c>
      <c r="E413">
        <v>1000</v>
      </c>
      <c r="F413">
        <v>2.2200000000000002</v>
      </c>
      <c r="G413" t="b">
        <v>1</v>
      </c>
      <c r="H413" t="s">
        <v>311</v>
      </c>
    </row>
    <row r="414" spans="1:8" x14ac:dyDescent="0.2">
      <c r="A414" t="s">
        <v>290</v>
      </c>
      <c r="B414" t="s">
        <v>312</v>
      </c>
      <c r="C414">
        <v>2</v>
      </c>
      <c r="D414" t="s">
        <v>333</v>
      </c>
      <c r="E414">
        <v>600</v>
      </c>
      <c r="F414">
        <v>7.03</v>
      </c>
      <c r="G414" t="b">
        <v>0</v>
      </c>
      <c r="H414">
        <f>Sensitivity!H5</f>
        <v>166957805663</v>
      </c>
    </row>
    <row r="415" spans="1:8" x14ac:dyDescent="0.2">
      <c r="A415" t="s">
        <v>290</v>
      </c>
      <c r="B415" t="s">
        <v>312</v>
      </c>
      <c r="C415">
        <v>2</v>
      </c>
      <c r="D415" t="s">
        <v>333</v>
      </c>
      <c r="E415">
        <v>1000</v>
      </c>
      <c r="F415">
        <v>2.2200000000000002</v>
      </c>
      <c r="G415" t="b">
        <v>1</v>
      </c>
      <c r="H415">
        <f>Sensitivity!H5</f>
        <v>166957805663</v>
      </c>
    </row>
    <row r="416" spans="1:8" x14ac:dyDescent="0.2">
      <c r="A416" t="s">
        <v>290</v>
      </c>
      <c r="B416" t="s">
        <v>312</v>
      </c>
      <c r="C416">
        <v>2</v>
      </c>
      <c r="D416" t="s">
        <v>336</v>
      </c>
      <c r="E416">
        <v>600</v>
      </c>
      <c r="F416">
        <v>7.03</v>
      </c>
      <c r="G416" t="b">
        <v>0</v>
      </c>
      <c r="H416" t="s">
        <v>311</v>
      </c>
    </row>
    <row r="417" spans="1:8" x14ac:dyDescent="0.2">
      <c r="A417" t="s">
        <v>290</v>
      </c>
      <c r="B417" t="s">
        <v>312</v>
      </c>
      <c r="C417">
        <v>2</v>
      </c>
      <c r="D417" t="s">
        <v>336</v>
      </c>
      <c r="E417">
        <v>1000</v>
      </c>
      <c r="F417">
        <v>2.2200000000000002</v>
      </c>
      <c r="G417" t="b">
        <v>1</v>
      </c>
      <c r="H417" t="s">
        <v>311</v>
      </c>
    </row>
    <row r="418" spans="1:8" x14ac:dyDescent="0.2">
      <c r="A418" t="s">
        <v>290</v>
      </c>
      <c r="B418" t="s">
        <v>312</v>
      </c>
      <c r="C418">
        <v>3</v>
      </c>
      <c r="D418" t="s">
        <v>292</v>
      </c>
      <c r="E418">
        <v>12</v>
      </c>
      <c r="F418">
        <v>2.2999999999999998</v>
      </c>
      <c r="G418" t="b">
        <v>0</v>
      </c>
      <c r="H418">
        <f>IF(Inputs!$B$8&gt;=100,Sensitivity!H15,Sensitivity!H14)</f>
        <v>19898792465366</v>
      </c>
    </row>
    <row r="419" spans="1:8" x14ac:dyDescent="0.2">
      <c r="A419" t="s">
        <v>290</v>
      </c>
      <c r="B419" t="s">
        <v>312</v>
      </c>
      <c r="C419">
        <v>3</v>
      </c>
      <c r="D419" t="s">
        <v>292</v>
      </c>
      <c r="E419">
        <v>15</v>
      </c>
      <c r="F419">
        <v>0.2</v>
      </c>
      <c r="G419" t="b">
        <v>1</v>
      </c>
      <c r="H419">
        <f>IF(Inputs!$B$8&gt;=100,Sensitivity!H15,Sensitivity!H14)</f>
        <v>19898792465366</v>
      </c>
    </row>
    <row r="420" spans="1:8" x14ac:dyDescent="0.2">
      <c r="A420" t="s">
        <v>290</v>
      </c>
      <c r="B420" t="s">
        <v>312</v>
      </c>
      <c r="C420">
        <v>3</v>
      </c>
      <c r="D420" t="s">
        <v>295</v>
      </c>
      <c r="E420">
        <v>7</v>
      </c>
      <c r="F420">
        <v>2.2999999999999998</v>
      </c>
      <c r="G420" t="b">
        <v>0</v>
      </c>
      <c r="H420">
        <f>Sensitivity!H16</f>
        <v>17494373998280</v>
      </c>
    </row>
    <row r="421" spans="1:8" x14ac:dyDescent="0.2">
      <c r="A421" t="s">
        <v>290</v>
      </c>
      <c r="B421" t="s">
        <v>312</v>
      </c>
      <c r="C421">
        <v>3</v>
      </c>
      <c r="D421" t="s">
        <v>295</v>
      </c>
      <c r="E421">
        <v>10</v>
      </c>
      <c r="F421">
        <v>0.2</v>
      </c>
      <c r="G421" t="b">
        <v>1</v>
      </c>
      <c r="H421">
        <f>Sensitivity!H16</f>
        <v>17494373998280</v>
      </c>
    </row>
    <row r="422" spans="1:8" x14ac:dyDescent="0.2">
      <c r="A422" t="s">
        <v>290</v>
      </c>
      <c r="B422" t="s">
        <v>312</v>
      </c>
      <c r="C422">
        <v>3</v>
      </c>
      <c r="D422" t="s">
        <v>299</v>
      </c>
      <c r="E422">
        <v>25</v>
      </c>
      <c r="F422">
        <v>3.68</v>
      </c>
      <c r="G422" t="b">
        <v>0</v>
      </c>
      <c r="H422">
        <f>Sensitivity!H7</f>
        <v>8104551916653</v>
      </c>
    </row>
    <row r="423" spans="1:8" x14ac:dyDescent="0.2">
      <c r="A423" t="s">
        <v>290</v>
      </c>
      <c r="B423" t="s">
        <v>312</v>
      </c>
      <c r="C423">
        <v>3</v>
      </c>
      <c r="D423" t="s">
        <v>299</v>
      </c>
      <c r="E423">
        <v>35</v>
      </c>
      <c r="F423">
        <v>0.32</v>
      </c>
      <c r="G423" t="b">
        <v>1</v>
      </c>
      <c r="H423">
        <f>Sensitivity!H7</f>
        <v>8104551916653</v>
      </c>
    </row>
    <row r="424" spans="1:8" x14ac:dyDescent="0.2">
      <c r="A424" t="s">
        <v>290</v>
      </c>
      <c r="B424" t="s">
        <v>312</v>
      </c>
      <c r="C424">
        <v>3</v>
      </c>
      <c r="D424" t="s">
        <v>302</v>
      </c>
      <c r="E424">
        <v>15</v>
      </c>
      <c r="F424">
        <v>3.68</v>
      </c>
      <c r="G424" t="b">
        <v>0</v>
      </c>
      <c r="H424">
        <f>Sensitivity!H12</f>
        <v>15446534399400</v>
      </c>
    </row>
    <row r="425" spans="1:8" x14ac:dyDescent="0.2">
      <c r="A425" t="s">
        <v>290</v>
      </c>
      <c r="B425" t="s">
        <v>312</v>
      </c>
      <c r="C425">
        <v>3</v>
      </c>
      <c r="D425" t="s">
        <v>302</v>
      </c>
      <c r="E425">
        <v>25</v>
      </c>
      <c r="F425">
        <v>0.32</v>
      </c>
      <c r="G425" t="b">
        <v>1</v>
      </c>
      <c r="H425">
        <f>Sensitivity!H12</f>
        <v>15446534399400</v>
      </c>
    </row>
    <row r="426" spans="1:8" x14ac:dyDescent="0.2">
      <c r="A426" t="s">
        <v>290</v>
      </c>
      <c r="B426" t="s">
        <v>312</v>
      </c>
      <c r="C426">
        <v>3</v>
      </c>
      <c r="D426" t="s">
        <v>306</v>
      </c>
      <c r="E426">
        <v>15</v>
      </c>
      <c r="F426">
        <v>3.68</v>
      </c>
      <c r="G426" t="b">
        <v>0</v>
      </c>
      <c r="H426">
        <f>Sensitivity!H13</f>
        <v>15446534399400</v>
      </c>
    </row>
    <row r="427" spans="1:8" x14ac:dyDescent="0.2">
      <c r="A427" t="s">
        <v>290</v>
      </c>
      <c r="B427" t="s">
        <v>312</v>
      </c>
      <c r="C427">
        <v>3</v>
      </c>
      <c r="D427" t="s">
        <v>306</v>
      </c>
      <c r="E427">
        <v>25</v>
      </c>
      <c r="F427">
        <v>0.32</v>
      </c>
      <c r="G427" t="b">
        <v>1</v>
      </c>
      <c r="H427">
        <f>Sensitivity!H13</f>
        <v>15446534399400</v>
      </c>
    </row>
    <row r="428" spans="1:8" x14ac:dyDescent="0.2">
      <c r="A428" t="s">
        <v>290</v>
      </c>
      <c r="B428" t="s">
        <v>312</v>
      </c>
      <c r="C428">
        <v>3</v>
      </c>
      <c r="D428" t="s">
        <v>310</v>
      </c>
      <c r="E428">
        <v>12</v>
      </c>
      <c r="F428">
        <v>4.1399999999999997</v>
      </c>
      <c r="G428" t="b">
        <v>0</v>
      </c>
      <c r="H428" t="s">
        <v>311</v>
      </c>
    </row>
    <row r="429" spans="1:8" x14ac:dyDescent="0.2">
      <c r="A429" t="s">
        <v>290</v>
      </c>
      <c r="B429" t="s">
        <v>312</v>
      </c>
      <c r="C429">
        <v>3</v>
      </c>
      <c r="D429" t="s">
        <v>310</v>
      </c>
      <c r="E429">
        <v>15</v>
      </c>
      <c r="F429">
        <v>0.36</v>
      </c>
      <c r="G429" t="b">
        <v>1</v>
      </c>
      <c r="H429" t="s">
        <v>311</v>
      </c>
    </row>
    <row r="430" spans="1:8" x14ac:dyDescent="0.2">
      <c r="A430" t="s">
        <v>290</v>
      </c>
      <c r="B430" t="s">
        <v>312</v>
      </c>
      <c r="C430">
        <v>3</v>
      </c>
      <c r="D430" t="s">
        <v>314</v>
      </c>
      <c r="E430">
        <v>12</v>
      </c>
      <c r="F430">
        <v>4.1399999999999997</v>
      </c>
      <c r="G430" t="b">
        <v>0</v>
      </c>
      <c r="H430" t="s">
        <v>311</v>
      </c>
    </row>
    <row r="431" spans="1:8" x14ac:dyDescent="0.2">
      <c r="A431" t="s">
        <v>290</v>
      </c>
      <c r="B431" t="s">
        <v>312</v>
      </c>
      <c r="C431">
        <v>3</v>
      </c>
      <c r="D431" t="s">
        <v>314</v>
      </c>
      <c r="E431">
        <v>15</v>
      </c>
      <c r="F431">
        <v>0.36</v>
      </c>
      <c r="G431" t="b">
        <v>1</v>
      </c>
      <c r="H431" t="s">
        <v>311</v>
      </c>
    </row>
    <row r="432" spans="1:8" x14ac:dyDescent="0.2">
      <c r="A432" t="s">
        <v>290</v>
      </c>
      <c r="B432" t="s">
        <v>312</v>
      </c>
      <c r="C432">
        <v>3</v>
      </c>
      <c r="D432" t="s">
        <v>317</v>
      </c>
      <c r="E432">
        <v>12</v>
      </c>
      <c r="F432">
        <v>4.1399999999999997</v>
      </c>
      <c r="G432" t="b">
        <v>0</v>
      </c>
      <c r="H432">
        <f>Sensitivity!H6</f>
        <v>29416469501559</v>
      </c>
    </row>
    <row r="433" spans="1:8" x14ac:dyDescent="0.2">
      <c r="A433" t="s">
        <v>290</v>
      </c>
      <c r="B433" t="s">
        <v>312</v>
      </c>
      <c r="C433">
        <v>3</v>
      </c>
      <c r="D433" t="s">
        <v>317</v>
      </c>
      <c r="E433">
        <v>15</v>
      </c>
      <c r="F433">
        <v>0.36</v>
      </c>
      <c r="G433" t="b">
        <v>1</v>
      </c>
      <c r="H433">
        <f>Sensitivity!H6</f>
        <v>29416469501559</v>
      </c>
    </row>
    <row r="434" spans="1:8" x14ac:dyDescent="0.2">
      <c r="A434" t="s">
        <v>290</v>
      </c>
      <c r="B434" t="s">
        <v>312</v>
      </c>
      <c r="C434">
        <v>3</v>
      </c>
      <c r="D434" t="s">
        <v>320</v>
      </c>
      <c r="E434">
        <v>12</v>
      </c>
      <c r="F434">
        <v>4.1399999999999997</v>
      </c>
      <c r="G434" t="b">
        <v>0</v>
      </c>
      <c r="H434" t="s">
        <v>311</v>
      </c>
    </row>
    <row r="435" spans="1:8" x14ac:dyDescent="0.2">
      <c r="A435" t="s">
        <v>290</v>
      </c>
      <c r="B435" t="s">
        <v>312</v>
      </c>
      <c r="C435">
        <v>3</v>
      </c>
      <c r="D435" t="s">
        <v>320</v>
      </c>
      <c r="E435">
        <v>15</v>
      </c>
      <c r="F435">
        <v>0.36</v>
      </c>
      <c r="G435" t="b">
        <v>1</v>
      </c>
      <c r="H435" t="s">
        <v>311</v>
      </c>
    </row>
    <row r="436" spans="1:8" x14ac:dyDescent="0.2">
      <c r="A436" t="s">
        <v>290</v>
      </c>
      <c r="B436" t="s">
        <v>312</v>
      </c>
      <c r="C436">
        <v>3</v>
      </c>
      <c r="D436" t="s">
        <v>322</v>
      </c>
      <c r="E436">
        <v>12</v>
      </c>
      <c r="F436">
        <v>8.2799999999999994</v>
      </c>
      <c r="G436" t="b">
        <v>0</v>
      </c>
      <c r="H436" t="s">
        <v>311</v>
      </c>
    </row>
    <row r="437" spans="1:8" x14ac:dyDescent="0.2">
      <c r="A437" t="s">
        <v>290</v>
      </c>
      <c r="B437" t="s">
        <v>312</v>
      </c>
      <c r="C437">
        <v>3</v>
      </c>
      <c r="D437" t="s">
        <v>322</v>
      </c>
      <c r="E437">
        <v>15</v>
      </c>
      <c r="F437">
        <v>0.72</v>
      </c>
      <c r="G437" t="b">
        <v>1</v>
      </c>
      <c r="H437" t="s">
        <v>311</v>
      </c>
    </row>
    <row r="438" spans="1:8" x14ac:dyDescent="0.2">
      <c r="A438" t="s">
        <v>290</v>
      </c>
      <c r="B438" t="s">
        <v>312</v>
      </c>
      <c r="C438">
        <v>3</v>
      </c>
      <c r="D438" t="s">
        <v>324</v>
      </c>
      <c r="E438">
        <v>20</v>
      </c>
      <c r="F438">
        <v>8.2799999999999994</v>
      </c>
      <c r="G438" t="b">
        <v>0</v>
      </c>
      <c r="H438" t="s">
        <v>311</v>
      </c>
    </row>
    <row r="439" spans="1:8" x14ac:dyDescent="0.2">
      <c r="A439" t="s">
        <v>290</v>
      </c>
      <c r="B439" t="s">
        <v>312</v>
      </c>
      <c r="C439">
        <v>3</v>
      </c>
      <c r="D439" t="s">
        <v>324</v>
      </c>
      <c r="E439">
        <v>25</v>
      </c>
      <c r="F439">
        <v>0.72</v>
      </c>
      <c r="G439" t="b">
        <v>1</v>
      </c>
      <c r="H439" t="s">
        <v>311</v>
      </c>
    </row>
    <row r="440" spans="1:8" x14ac:dyDescent="0.2">
      <c r="A440" t="s">
        <v>290</v>
      </c>
      <c r="B440" t="s">
        <v>312</v>
      </c>
      <c r="C440">
        <v>3</v>
      </c>
      <c r="D440" t="s">
        <v>326</v>
      </c>
      <c r="E440">
        <v>12</v>
      </c>
      <c r="F440">
        <v>8.2799999999999994</v>
      </c>
      <c r="G440" t="b">
        <v>0</v>
      </c>
      <c r="H440" t="s">
        <v>311</v>
      </c>
    </row>
    <row r="441" spans="1:8" x14ac:dyDescent="0.2">
      <c r="A441" t="s">
        <v>290</v>
      </c>
      <c r="B441" t="s">
        <v>312</v>
      </c>
      <c r="C441">
        <v>3</v>
      </c>
      <c r="D441" t="s">
        <v>326</v>
      </c>
      <c r="E441">
        <v>15</v>
      </c>
      <c r="F441">
        <v>0.72</v>
      </c>
      <c r="G441" t="b">
        <v>1</v>
      </c>
      <c r="H441" t="s">
        <v>311</v>
      </c>
    </row>
    <row r="442" spans="1:8" x14ac:dyDescent="0.2">
      <c r="A442" t="s">
        <v>290</v>
      </c>
      <c r="B442" t="s">
        <v>312</v>
      </c>
      <c r="C442">
        <v>3</v>
      </c>
      <c r="D442" t="s">
        <v>329</v>
      </c>
      <c r="E442">
        <v>600</v>
      </c>
      <c r="F442">
        <v>8.51</v>
      </c>
      <c r="G442" t="b">
        <v>0</v>
      </c>
      <c r="H442" t="s">
        <v>311</v>
      </c>
    </row>
    <row r="443" spans="1:8" x14ac:dyDescent="0.2">
      <c r="A443" t="s">
        <v>290</v>
      </c>
      <c r="B443" t="s">
        <v>312</v>
      </c>
      <c r="C443">
        <v>3</v>
      </c>
      <c r="D443" t="s">
        <v>329</v>
      </c>
      <c r="E443">
        <v>1000</v>
      </c>
      <c r="F443">
        <v>0.74</v>
      </c>
      <c r="G443" t="b">
        <v>1</v>
      </c>
      <c r="H443" t="s">
        <v>311</v>
      </c>
    </row>
    <row r="444" spans="1:8" x14ac:dyDescent="0.2">
      <c r="A444" t="s">
        <v>290</v>
      </c>
      <c r="B444" t="s">
        <v>312</v>
      </c>
      <c r="C444">
        <v>3</v>
      </c>
      <c r="D444" t="s">
        <v>330</v>
      </c>
      <c r="E444">
        <v>600</v>
      </c>
      <c r="F444">
        <v>8.51</v>
      </c>
      <c r="G444" t="b">
        <v>0</v>
      </c>
      <c r="H444" t="s">
        <v>311</v>
      </c>
    </row>
    <row r="445" spans="1:8" x14ac:dyDescent="0.2">
      <c r="A445" t="s">
        <v>290</v>
      </c>
      <c r="B445" t="s">
        <v>312</v>
      </c>
      <c r="C445">
        <v>3</v>
      </c>
      <c r="D445" t="s">
        <v>330</v>
      </c>
      <c r="E445">
        <v>1000</v>
      </c>
      <c r="F445">
        <v>0.74</v>
      </c>
      <c r="G445" t="b">
        <v>1</v>
      </c>
      <c r="H445" t="s">
        <v>311</v>
      </c>
    </row>
    <row r="446" spans="1:8" x14ac:dyDescent="0.2">
      <c r="A446" t="s">
        <v>290</v>
      </c>
      <c r="B446" t="s">
        <v>312</v>
      </c>
      <c r="C446">
        <v>3</v>
      </c>
      <c r="D446" t="s">
        <v>333</v>
      </c>
      <c r="E446">
        <v>600</v>
      </c>
      <c r="F446">
        <v>8.51</v>
      </c>
      <c r="G446" t="b">
        <v>0</v>
      </c>
      <c r="H446">
        <f>Sensitivity!H5</f>
        <v>166957805663</v>
      </c>
    </row>
    <row r="447" spans="1:8" x14ac:dyDescent="0.2">
      <c r="A447" t="s">
        <v>290</v>
      </c>
      <c r="B447" t="s">
        <v>312</v>
      </c>
      <c r="C447">
        <v>3</v>
      </c>
      <c r="D447" t="s">
        <v>333</v>
      </c>
      <c r="E447">
        <v>1000</v>
      </c>
      <c r="F447">
        <v>0.74</v>
      </c>
      <c r="G447" t="b">
        <v>1</v>
      </c>
      <c r="H447">
        <f>Sensitivity!H5</f>
        <v>166957805663</v>
      </c>
    </row>
    <row r="448" spans="1:8" x14ac:dyDescent="0.2">
      <c r="A448" t="s">
        <v>290</v>
      </c>
      <c r="B448" t="s">
        <v>312</v>
      </c>
      <c r="C448">
        <v>3</v>
      </c>
      <c r="D448" t="s">
        <v>336</v>
      </c>
      <c r="E448">
        <v>600</v>
      </c>
      <c r="F448">
        <v>8.51</v>
      </c>
      <c r="G448" t="b">
        <v>0</v>
      </c>
      <c r="H448" t="s">
        <v>311</v>
      </c>
    </row>
    <row r="449" spans="1:8" x14ac:dyDescent="0.2">
      <c r="A449" t="s">
        <v>290</v>
      </c>
      <c r="B449" t="s">
        <v>312</v>
      </c>
      <c r="C449">
        <v>3</v>
      </c>
      <c r="D449" t="s">
        <v>336</v>
      </c>
      <c r="E449">
        <v>1000</v>
      </c>
      <c r="F449">
        <v>0.74</v>
      </c>
      <c r="G449" t="b">
        <v>1</v>
      </c>
      <c r="H449" t="s">
        <v>311</v>
      </c>
    </row>
    <row r="450" spans="1:8" x14ac:dyDescent="0.2">
      <c r="A450" t="s">
        <v>294</v>
      </c>
      <c r="B450" t="s">
        <v>300</v>
      </c>
      <c r="C450">
        <v>1</v>
      </c>
      <c r="D450" t="s">
        <v>249</v>
      </c>
      <c r="E450">
        <v>0.5</v>
      </c>
      <c r="F450">
        <v>1</v>
      </c>
      <c r="G450" t="b">
        <v>1</v>
      </c>
      <c r="H450">
        <f>Sensitivity!H27</f>
        <v>52811582128798</v>
      </c>
    </row>
    <row r="451" spans="1:8" x14ac:dyDescent="0.2">
      <c r="A451" t="s">
        <v>294</v>
      </c>
      <c r="B451" t="s">
        <v>300</v>
      </c>
      <c r="C451">
        <v>2</v>
      </c>
      <c r="D451" t="s">
        <v>249</v>
      </c>
      <c r="E451">
        <v>0.5</v>
      </c>
      <c r="F451">
        <v>0.24</v>
      </c>
      <c r="G451" t="b">
        <v>1</v>
      </c>
      <c r="H451">
        <f>Sensitivity!H27</f>
        <v>52811582128798</v>
      </c>
    </row>
    <row r="452" spans="1:8" x14ac:dyDescent="0.2">
      <c r="A452" t="s">
        <v>294</v>
      </c>
      <c r="B452" t="s">
        <v>300</v>
      </c>
      <c r="C452">
        <v>3</v>
      </c>
      <c r="D452" t="s">
        <v>249</v>
      </c>
      <c r="E452">
        <v>0.5</v>
      </c>
      <c r="F452">
        <v>0.08</v>
      </c>
      <c r="G452" t="b">
        <v>1</v>
      </c>
      <c r="H452">
        <f>Sensitivity!H27</f>
        <v>52811582128798</v>
      </c>
    </row>
    <row r="453" spans="1:8" x14ac:dyDescent="0.2">
      <c r="A453" t="s">
        <v>294</v>
      </c>
      <c r="B453" t="s">
        <v>304</v>
      </c>
      <c r="C453">
        <v>1</v>
      </c>
      <c r="D453" t="s">
        <v>249</v>
      </c>
      <c r="E453">
        <v>1</v>
      </c>
      <c r="F453">
        <v>1</v>
      </c>
      <c r="G453" t="b">
        <v>1</v>
      </c>
      <c r="H453">
        <f>Sensitivity!H27</f>
        <v>52811582128798</v>
      </c>
    </row>
    <row r="454" spans="1:8" x14ac:dyDescent="0.2">
      <c r="A454" t="s">
        <v>294</v>
      </c>
      <c r="B454" t="s">
        <v>304</v>
      </c>
      <c r="C454">
        <v>2</v>
      </c>
      <c r="D454" t="s">
        <v>249</v>
      </c>
      <c r="E454">
        <v>1</v>
      </c>
      <c r="F454">
        <v>0.24</v>
      </c>
      <c r="G454" t="b">
        <v>1</v>
      </c>
      <c r="H454">
        <f>Sensitivity!H27</f>
        <v>52811582128798</v>
      </c>
    </row>
    <row r="455" spans="1:8" x14ac:dyDescent="0.2">
      <c r="A455" t="s">
        <v>294</v>
      </c>
      <c r="B455" t="s">
        <v>304</v>
      </c>
      <c r="C455">
        <v>2</v>
      </c>
      <c r="D455" t="s">
        <v>249</v>
      </c>
      <c r="E455">
        <v>0.5</v>
      </c>
      <c r="F455">
        <v>0.76</v>
      </c>
      <c r="G455" t="b">
        <v>0</v>
      </c>
      <c r="H455">
        <f>Sensitivity!H27</f>
        <v>52811582128798</v>
      </c>
    </row>
    <row r="456" spans="1:8" x14ac:dyDescent="0.2">
      <c r="A456" t="s">
        <v>294</v>
      </c>
      <c r="B456" t="s">
        <v>304</v>
      </c>
      <c r="C456">
        <v>3</v>
      </c>
      <c r="D456" t="s">
        <v>249</v>
      </c>
      <c r="E456">
        <v>1</v>
      </c>
      <c r="F456">
        <v>0.08</v>
      </c>
      <c r="G456" t="b">
        <v>1</v>
      </c>
      <c r="H456">
        <f>Sensitivity!H27</f>
        <v>52811582128798</v>
      </c>
    </row>
    <row r="457" spans="1:8" x14ac:dyDescent="0.2">
      <c r="A457" t="s">
        <v>294</v>
      </c>
      <c r="B457" t="s">
        <v>304</v>
      </c>
      <c r="C457">
        <v>3</v>
      </c>
      <c r="D457" t="s">
        <v>249</v>
      </c>
      <c r="E457">
        <v>0.5</v>
      </c>
      <c r="F457">
        <v>0.92</v>
      </c>
      <c r="G457" t="b">
        <v>0</v>
      </c>
      <c r="H457">
        <f>Sensitivity!H27</f>
        <v>52811582128798</v>
      </c>
    </row>
    <row r="458" spans="1:8" x14ac:dyDescent="0.2">
      <c r="A458" t="s">
        <v>294</v>
      </c>
      <c r="B458" t="s">
        <v>308</v>
      </c>
      <c r="C458">
        <v>1</v>
      </c>
      <c r="D458" t="s">
        <v>249</v>
      </c>
      <c r="E458">
        <v>1.5</v>
      </c>
      <c r="F458">
        <v>1</v>
      </c>
      <c r="G458" t="b">
        <v>1</v>
      </c>
      <c r="H458">
        <f>Sensitivity!H27</f>
        <v>52811582128798</v>
      </c>
    </row>
    <row r="459" spans="1:8" x14ac:dyDescent="0.2">
      <c r="A459" t="s">
        <v>294</v>
      </c>
      <c r="B459" t="s">
        <v>308</v>
      </c>
      <c r="C459">
        <v>2</v>
      </c>
      <c r="D459" t="s">
        <v>249</v>
      </c>
      <c r="E459">
        <v>1.5</v>
      </c>
      <c r="F459">
        <v>0.24</v>
      </c>
      <c r="G459" t="b">
        <v>1</v>
      </c>
      <c r="H459">
        <f>Sensitivity!H27</f>
        <v>52811582128798</v>
      </c>
    </row>
    <row r="460" spans="1:8" x14ac:dyDescent="0.2">
      <c r="A460" t="s">
        <v>294</v>
      </c>
      <c r="B460" t="s">
        <v>308</v>
      </c>
      <c r="C460">
        <v>2</v>
      </c>
      <c r="D460" t="s">
        <v>249</v>
      </c>
      <c r="E460">
        <v>1</v>
      </c>
      <c r="F460">
        <v>0.76</v>
      </c>
      <c r="G460" t="b">
        <v>0</v>
      </c>
      <c r="H460">
        <f>Sensitivity!H27</f>
        <v>52811582128798</v>
      </c>
    </row>
    <row r="461" spans="1:8" x14ac:dyDescent="0.2">
      <c r="A461" t="s">
        <v>294</v>
      </c>
      <c r="B461" t="s">
        <v>308</v>
      </c>
      <c r="C461">
        <v>3</v>
      </c>
      <c r="D461" t="s">
        <v>249</v>
      </c>
      <c r="E461">
        <v>1.5</v>
      </c>
      <c r="F461">
        <v>0.08</v>
      </c>
      <c r="G461" t="b">
        <v>1</v>
      </c>
      <c r="H461">
        <f>Sensitivity!H27</f>
        <v>52811582128798</v>
      </c>
    </row>
    <row r="462" spans="1:8" x14ac:dyDescent="0.2">
      <c r="A462" t="s">
        <v>294</v>
      </c>
      <c r="B462" t="s">
        <v>308</v>
      </c>
      <c r="C462">
        <v>3</v>
      </c>
      <c r="D462" t="s">
        <v>249</v>
      </c>
      <c r="E462">
        <v>1</v>
      </c>
      <c r="F462">
        <v>0.92</v>
      </c>
      <c r="G462" t="b">
        <v>0</v>
      </c>
      <c r="H462">
        <f>Sensitivity!H27</f>
        <v>52811582128798</v>
      </c>
    </row>
    <row r="463" spans="1:8" x14ac:dyDescent="0.2">
      <c r="A463" t="s">
        <v>294</v>
      </c>
      <c r="B463" t="s">
        <v>312</v>
      </c>
      <c r="C463">
        <v>1</v>
      </c>
      <c r="D463" t="s">
        <v>249</v>
      </c>
      <c r="E463">
        <v>2</v>
      </c>
      <c r="F463">
        <v>1</v>
      </c>
      <c r="G463" t="b">
        <v>1</v>
      </c>
      <c r="H463">
        <f>Sensitivity!H27</f>
        <v>52811582128798</v>
      </c>
    </row>
    <row r="464" spans="1:8" x14ac:dyDescent="0.2">
      <c r="A464" t="s">
        <v>294</v>
      </c>
      <c r="B464" t="s">
        <v>312</v>
      </c>
      <c r="C464">
        <v>2</v>
      </c>
      <c r="D464" t="s">
        <v>249</v>
      </c>
      <c r="E464">
        <v>2</v>
      </c>
      <c r="F464">
        <v>0.24</v>
      </c>
      <c r="G464" t="b">
        <v>1</v>
      </c>
      <c r="H464">
        <f>Sensitivity!H27</f>
        <v>52811582128798</v>
      </c>
    </row>
    <row r="465" spans="1:8" x14ac:dyDescent="0.2">
      <c r="A465" t="s">
        <v>294</v>
      </c>
      <c r="B465" t="s">
        <v>312</v>
      </c>
      <c r="C465">
        <v>2</v>
      </c>
      <c r="D465" t="s">
        <v>249</v>
      </c>
      <c r="E465">
        <v>1.5</v>
      </c>
      <c r="F465">
        <v>0.76</v>
      </c>
      <c r="G465" t="b">
        <v>0</v>
      </c>
      <c r="H465">
        <f>Sensitivity!H27</f>
        <v>52811582128798</v>
      </c>
    </row>
    <row r="466" spans="1:8" x14ac:dyDescent="0.2">
      <c r="A466" t="s">
        <v>294</v>
      </c>
      <c r="B466" t="s">
        <v>312</v>
      </c>
      <c r="C466">
        <v>3</v>
      </c>
      <c r="D466" t="s">
        <v>249</v>
      </c>
      <c r="E466">
        <v>2</v>
      </c>
      <c r="F466">
        <v>0.08</v>
      </c>
      <c r="G466" t="b">
        <v>1</v>
      </c>
      <c r="H466">
        <f>Sensitivity!H27</f>
        <v>52811582128798</v>
      </c>
    </row>
    <row r="467" spans="1:8" x14ac:dyDescent="0.2">
      <c r="A467" t="s">
        <v>294</v>
      </c>
      <c r="B467" t="s">
        <v>312</v>
      </c>
      <c r="C467">
        <v>3</v>
      </c>
      <c r="D467" t="s">
        <v>249</v>
      </c>
      <c r="E467">
        <v>1.5</v>
      </c>
      <c r="F467">
        <v>0.92</v>
      </c>
      <c r="G467" t="b">
        <v>0</v>
      </c>
      <c r="H467">
        <f>Sensitivity!H27</f>
        <v>52811582128798</v>
      </c>
    </row>
    <row r="468" spans="1:8" x14ac:dyDescent="0.2">
      <c r="A468" t="s">
        <v>298</v>
      </c>
      <c r="B468" t="s">
        <v>300</v>
      </c>
      <c r="C468">
        <v>1</v>
      </c>
      <c r="D468" t="s">
        <v>334</v>
      </c>
      <c r="E468">
        <v>3</v>
      </c>
      <c r="F468">
        <v>1</v>
      </c>
      <c r="G468" t="b">
        <v>1</v>
      </c>
      <c r="H468">
        <f>Sensitivity!H11</f>
        <v>83395839222349</v>
      </c>
    </row>
    <row r="469" spans="1:8" x14ac:dyDescent="0.2">
      <c r="A469" t="s">
        <v>298</v>
      </c>
      <c r="B469" t="s">
        <v>300</v>
      </c>
      <c r="C469">
        <v>2</v>
      </c>
      <c r="D469" t="s">
        <v>334</v>
      </c>
      <c r="E469">
        <v>3</v>
      </c>
      <c r="F469">
        <v>0.24</v>
      </c>
      <c r="G469" t="b">
        <v>1</v>
      </c>
      <c r="H469">
        <f>Sensitivity!H11</f>
        <v>83395839222349</v>
      </c>
    </row>
    <row r="470" spans="1:8" x14ac:dyDescent="0.2">
      <c r="A470" t="s">
        <v>298</v>
      </c>
      <c r="B470" t="s">
        <v>300</v>
      </c>
      <c r="C470">
        <v>3</v>
      </c>
      <c r="D470" t="s">
        <v>334</v>
      </c>
      <c r="E470">
        <v>3</v>
      </c>
      <c r="F470">
        <v>0.08</v>
      </c>
      <c r="G470" t="b">
        <v>1</v>
      </c>
      <c r="H470">
        <f>Sensitivity!H11</f>
        <v>83395839222349</v>
      </c>
    </row>
    <row r="471" spans="1:8" x14ac:dyDescent="0.2">
      <c r="A471" t="s">
        <v>298</v>
      </c>
      <c r="B471" t="s">
        <v>304</v>
      </c>
      <c r="C471">
        <v>1</v>
      </c>
      <c r="D471" t="s">
        <v>334</v>
      </c>
      <c r="E471">
        <v>5</v>
      </c>
      <c r="F471">
        <v>1</v>
      </c>
      <c r="G471" t="b">
        <v>1</v>
      </c>
      <c r="H471">
        <f>Sensitivity!H11</f>
        <v>83395839222349</v>
      </c>
    </row>
    <row r="472" spans="1:8" x14ac:dyDescent="0.2">
      <c r="A472" t="s">
        <v>298</v>
      </c>
      <c r="B472" t="s">
        <v>304</v>
      </c>
      <c r="C472">
        <v>2</v>
      </c>
      <c r="D472" t="s">
        <v>334</v>
      </c>
      <c r="E472">
        <v>5</v>
      </c>
      <c r="F472">
        <v>0.24</v>
      </c>
      <c r="G472" t="b">
        <v>1</v>
      </c>
      <c r="H472">
        <f>Sensitivity!H11</f>
        <v>83395839222349</v>
      </c>
    </row>
    <row r="473" spans="1:8" x14ac:dyDescent="0.2">
      <c r="A473" t="s">
        <v>298</v>
      </c>
      <c r="B473" t="s">
        <v>304</v>
      </c>
      <c r="C473">
        <v>2</v>
      </c>
      <c r="D473" t="s">
        <v>334</v>
      </c>
      <c r="E473">
        <v>3</v>
      </c>
      <c r="F473">
        <v>0.76</v>
      </c>
      <c r="G473" t="b">
        <v>0</v>
      </c>
      <c r="H473">
        <f>Sensitivity!H11</f>
        <v>83395839222349</v>
      </c>
    </row>
    <row r="474" spans="1:8" x14ac:dyDescent="0.2">
      <c r="A474" t="s">
        <v>298</v>
      </c>
      <c r="B474" t="s">
        <v>304</v>
      </c>
      <c r="C474">
        <v>3</v>
      </c>
      <c r="D474" t="s">
        <v>334</v>
      </c>
      <c r="E474">
        <v>5</v>
      </c>
      <c r="F474">
        <v>0.08</v>
      </c>
      <c r="G474" t="b">
        <v>1</v>
      </c>
      <c r="H474">
        <f>Sensitivity!H11</f>
        <v>83395839222349</v>
      </c>
    </row>
    <row r="475" spans="1:8" x14ac:dyDescent="0.2">
      <c r="A475" t="s">
        <v>298</v>
      </c>
      <c r="B475" t="s">
        <v>304</v>
      </c>
      <c r="C475">
        <v>3</v>
      </c>
      <c r="D475" t="s">
        <v>334</v>
      </c>
      <c r="E475">
        <v>3</v>
      </c>
      <c r="F475">
        <v>0.92</v>
      </c>
      <c r="G475" t="b">
        <v>0</v>
      </c>
      <c r="H475">
        <f>Sensitivity!H11</f>
        <v>83395839222349</v>
      </c>
    </row>
    <row r="476" spans="1:8" x14ac:dyDescent="0.2">
      <c r="A476" t="s">
        <v>298</v>
      </c>
      <c r="B476" t="s">
        <v>308</v>
      </c>
      <c r="C476">
        <v>1</v>
      </c>
      <c r="D476" t="s">
        <v>334</v>
      </c>
      <c r="E476">
        <v>8</v>
      </c>
      <c r="F476">
        <v>1</v>
      </c>
      <c r="G476" t="b">
        <v>1</v>
      </c>
      <c r="H476">
        <f>Sensitivity!H11</f>
        <v>83395839222349</v>
      </c>
    </row>
    <row r="477" spans="1:8" x14ac:dyDescent="0.2">
      <c r="A477" t="s">
        <v>298</v>
      </c>
      <c r="B477" t="s">
        <v>308</v>
      </c>
      <c r="C477">
        <v>2</v>
      </c>
      <c r="D477" t="s">
        <v>334</v>
      </c>
      <c r="E477">
        <v>8</v>
      </c>
      <c r="F477">
        <v>0.24</v>
      </c>
      <c r="G477" t="b">
        <v>1</v>
      </c>
      <c r="H477">
        <f>Sensitivity!H11</f>
        <v>83395839222349</v>
      </c>
    </row>
    <row r="478" spans="1:8" x14ac:dyDescent="0.2">
      <c r="A478" t="s">
        <v>298</v>
      </c>
      <c r="B478" t="s">
        <v>308</v>
      </c>
      <c r="C478">
        <v>2</v>
      </c>
      <c r="D478" t="s">
        <v>334</v>
      </c>
      <c r="E478">
        <v>5</v>
      </c>
      <c r="F478">
        <v>0.76</v>
      </c>
      <c r="G478" t="b">
        <v>0</v>
      </c>
      <c r="H478">
        <f>Sensitivity!H11</f>
        <v>83395839222349</v>
      </c>
    </row>
    <row r="479" spans="1:8" x14ac:dyDescent="0.2">
      <c r="A479" t="s">
        <v>298</v>
      </c>
      <c r="B479" t="s">
        <v>308</v>
      </c>
      <c r="C479">
        <v>3</v>
      </c>
      <c r="D479" t="s">
        <v>334</v>
      </c>
      <c r="E479">
        <v>8</v>
      </c>
      <c r="F479">
        <v>0.08</v>
      </c>
      <c r="G479" t="b">
        <v>1</v>
      </c>
      <c r="H479">
        <f>Sensitivity!H11</f>
        <v>83395839222349</v>
      </c>
    </row>
    <row r="480" spans="1:8" x14ac:dyDescent="0.2">
      <c r="A480" t="s">
        <v>298</v>
      </c>
      <c r="B480" t="s">
        <v>308</v>
      </c>
      <c r="C480">
        <v>3</v>
      </c>
      <c r="D480" t="s">
        <v>334</v>
      </c>
      <c r="E480">
        <v>5</v>
      </c>
      <c r="F480">
        <v>0.92</v>
      </c>
      <c r="G480" t="b">
        <v>0</v>
      </c>
      <c r="H480">
        <f>Sensitivity!H11</f>
        <v>83395839222349</v>
      </c>
    </row>
    <row r="481" spans="1:8" x14ac:dyDescent="0.2">
      <c r="A481" t="s">
        <v>298</v>
      </c>
      <c r="B481" t="s">
        <v>312</v>
      </c>
      <c r="C481">
        <v>1</v>
      </c>
      <c r="D481" t="s">
        <v>334</v>
      </c>
      <c r="E481">
        <v>12</v>
      </c>
      <c r="F481">
        <v>1</v>
      </c>
      <c r="G481" t="b">
        <v>1</v>
      </c>
      <c r="H481">
        <f>Sensitivity!H11</f>
        <v>83395839222349</v>
      </c>
    </row>
    <row r="482" spans="1:8" x14ac:dyDescent="0.2">
      <c r="A482" t="s">
        <v>298</v>
      </c>
      <c r="B482" t="s">
        <v>312</v>
      </c>
      <c r="C482">
        <v>2</v>
      </c>
      <c r="D482" t="s">
        <v>334</v>
      </c>
      <c r="E482">
        <v>12</v>
      </c>
      <c r="F482">
        <v>0.24</v>
      </c>
      <c r="G482" t="b">
        <v>1</v>
      </c>
      <c r="H482">
        <f>Sensitivity!H11</f>
        <v>83395839222349</v>
      </c>
    </row>
    <row r="483" spans="1:8" x14ac:dyDescent="0.2">
      <c r="A483" t="s">
        <v>298</v>
      </c>
      <c r="B483" t="s">
        <v>312</v>
      </c>
      <c r="C483">
        <v>2</v>
      </c>
      <c r="D483" t="s">
        <v>334</v>
      </c>
      <c r="E483">
        <v>8</v>
      </c>
      <c r="F483">
        <v>0.76</v>
      </c>
      <c r="G483" t="b">
        <v>0</v>
      </c>
      <c r="H483">
        <f>Sensitivity!H11</f>
        <v>83395839222349</v>
      </c>
    </row>
    <row r="484" spans="1:8" x14ac:dyDescent="0.2">
      <c r="A484" t="s">
        <v>298</v>
      </c>
      <c r="B484" t="s">
        <v>312</v>
      </c>
      <c r="C484">
        <v>3</v>
      </c>
      <c r="D484" t="s">
        <v>334</v>
      </c>
      <c r="E484">
        <v>12</v>
      </c>
      <c r="F484">
        <v>0.08</v>
      </c>
      <c r="G484" t="b">
        <v>1</v>
      </c>
      <c r="H484">
        <f>Sensitivity!H11</f>
        <v>83395839222349</v>
      </c>
    </row>
    <row r="485" spans="1:8" x14ac:dyDescent="0.2">
      <c r="A485" t="s">
        <v>298</v>
      </c>
      <c r="B485" t="s">
        <v>312</v>
      </c>
      <c r="C485">
        <v>3</v>
      </c>
      <c r="D485" t="s">
        <v>334</v>
      </c>
      <c r="E485">
        <v>8</v>
      </c>
      <c r="F485">
        <v>0.92</v>
      </c>
      <c r="G485" t="b">
        <v>0</v>
      </c>
      <c r="H485">
        <f>Sensitivity!H11</f>
        <v>83395839222349</v>
      </c>
    </row>
    <row r="486" spans="1:8" x14ac:dyDescent="0.2">
      <c r="A486" t="s">
        <v>301</v>
      </c>
      <c r="B486" t="s">
        <v>304</v>
      </c>
      <c r="C486">
        <v>1</v>
      </c>
      <c r="D486" t="s">
        <v>307</v>
      </c>
      <c r="E486">
        <v>1</v>
      </c>
      <c r="F486">
        <v>1</v>
      </c>
      <c r="G486" t="b">
        <v>1</v>
      </c>
      <c r="H486">
        <f>Sensitivity!H28</f>
        <v>307719869511460</v>
      </c>
    </row>
    <row r="487" spans="1:8" x14ac:dyDescent="0.2">
      <c r="A487" t="s">
        <v>301</v>
      </c>
      <c r="B487" t="s">
        <v>304</v>
      </c>
      <c r="C487">
        <v>2</v>
      </c>
      <c r="D487" t="s">
        <v>307</v>
      </c>
      <c r="E487">
        <v>1</v>
      </c>
      <c r="F487">
        <v>0.24</v>
      </c>
      <c r="G487" t="b">
        <v>1</v>
      </c>
      <c r="H487">
        <f>Sensitivity!H28</f>
        <v>307719869511460</v>
      </c>
    </row>
    <row r="488" spans="1:8" x14ac:dyDescent="0.2">
      <c r="A488" t="s">
        <v>301</v>
      </c>
      <c r="B488" t="s">
        <v>304</v>
      </c>
      <c r="C488">
        <v>3</v>
      </c>
      <c r="D488" t="s">
        <v>307</v>
      </c>
      <c r="E488">
        <v>1</v>
      </c>
      <c r="F488">
        <v>0.08</v>
      </c>
      <c r="G488" t="b">
        <v>1</v>
      </c>
      <c r="H488">
        <f>Sensitivity!H28</f>
        <v>307719869511460</v>
      </c>
    </row>
    <row r="489" spans="1:8" x14ac:dyDescent="0.2">
      <c r="A489" t="s">
        <v>301</v>
      </c>
      <c r="B489" t="s">
        <v>308</v>
      </c>
      <c r="C489">
        <v>1</v>
      </c>
      <c r="D489" t="s">
        <v>307</v>
      </c>
      <c r="E489">
        <v>2</v>
      </c>
      <c r="F489">
        <v>1</v>
      </c>
      <c r="G489" t="b">
        <v>1</v>
      </c>
      <c r="H489">
        <f>Sensitivity!H28</f>
        <v>307719869511460</v>
      </c>
    </row>
    <row r="490" spans="1:8" x14ac:dyDescent="0.2">
      <c r="A490" t="s">
        <v>301</v>
      </c>
      <c r="B490" t="s">
        <v>308</v>
      </c>
      <c r="C490">
        <v>2</v>
      </c>
      <c r="D490" t="s">
        <v>307</v>
      </c>
      <c r="E490">
        <v>2</v>
      </c>
      <c r="F490">
        <v>0.24</v>
      </c>
      <c r="G490" t="b">
        <v>1</v>
      </c>
      <c r="H490">
        <f>Sensitivity!H28</f>
        <v>307719869511460</v>
      </c>
    </row>
    <row r="491" spans="1:8" x14ac:dyDescent="0.2">
      <c r="A491" t="s">
        <v>301</v>
      </c>
      <c r="B491" t="s">
        <v>308</v>
      </c>
      <c r="C491">
        <v>2</v>
      </c>
      <c r="D491" t="s">
        <v>307</v>
      </c>
      <c r="E491">
        <v>1</v>
      </c>
      <c r="F491">
        <v>0.76</v>
      </c>
      <c r="G491" t="b">
        <v>0</v>
      </c>
      <c r="H491">
        <f>Sensitivity!H28</f>
        <v>307719869511460</v>
      </c>
    </row>
    <row r="492" spans="1:8" x14ac:dyDescent="0.2">
      <c r="A492" t="s">
        <v>301</v>
      </c>
      <c r="B492" t="s">
        <v>308</v>
      </c>
      <c r="C492">
        <v>3</v>
      </c>
      <c r="D492" t="s">
        <v>307</v>
      </c>
      <c r="E492">
        <v>2</v>
      </c>
      <c r="F492">
        <v>0.08</v>
      </c>
      <c r="G492" t="b">
        <v>1</v>
      </c>
      <c r="H492">
        <f>Sensitivity!H28</f>
        <v>307719869511460</v>
      </c>
    </row>
    <row r="493" spans="1:8" x14ac:dyDescent="0.2">
      <c r="A493" t="s">
        <v>301</v>
      </c>
      <c r="B493" t="s">
        <v>308</v>
      </c>
      <c r="C493">
        <v>3</v>
      </c>
      <c r="D493" t="s">
        <v>307</v>
      </c>
      <c r="E493">
        <v>1</v>
      </c>
      <c r="F493">
        <v>0.92</v>
      </c>
      <c r="G493" t="b">
        <v>0</v>
      </c>
      <c r="H493">
        <f>Sensitivity!H28</f>
        <v>307719869511460</v>
      </c>
    </row>
    <row r="494" spans="1:8" x14ac:dyDescent="0.2">
      <c r="A494" t="s">
        <v>301</v>
      </c>
      <c r="B494" t="s">
        <v>312</v>
      </c>
      <c r="C494">
        <v>1</v>
      </c>
      <c r="D494" t="s">
        <v>307</v>
      </c>
      <c r="E494">
        <v>3</v>
      </c>
      <c r="F494">
        <v>1</v>
      </c>
      <c r="G494" t="b">
        <v>1</v>
      </c>
      <c r="H494">
        <f>Sensitivity!H28</f>
        <v>307719869511460</v>
      </c>
    </row>
    <row r="495" spans="1:8" x14ac:dyDescent="0.2">
      <c r="A495" t="s">
        <v>301</v>
      </c>
      <c r="B495" t="s">
        <v>312</v>
      </c>
      <c r="C495">
        <v>2</v>
      </c>
      <c r="D495" t="s">
        <v>307</v>
      </c>
      <c r="E495">
        <v>3</v>
      </c>
      <c r="F495">
        <v>0.24</v>
      </c>
      <c r="G495" t="b">
        <v>1</v>
      </c>
      <c r="H495">
        <f>Sensitivity!H28</f>
        <v>307719869511460</v>
      </c>
    </row>
    <row r="496" spans="1:8" x14ac:dyDescent="0.2">
      <c r="A496" t="s">
        <v>301</v>
      </c>
      <c r="B496" t="s">
        <v>312</v>
      </c>
      <c r="C496">
        <v>2</v>
      </c>
      <c r="D496" t="s">
        <v>307</v>
      </c>
      <c r="E496">
        <v>2</v>
      </c>
      <c r="F496">
        <v>0.76</v>
      </c>
      <c r="G496" t="b">
        <v>0</v>
      </c>
      <c r="H496">
        <f>Sensitivity!H28</f>
        <v>307719869511460</v>
      </c>
    </row>
    <row r="497" spans="1:8" x14ac:dyDescent="0.2">
      <c r="A497" t="s">
        <v>301</v>
      </c>
      <c r="B497" t="s">
        <v>312</v>
      </c>
      <c r="C497">
        <v>3</v>
      </c>
      <c r="D497" t="s">
        <v>307</v>
      </c>
      <c r="E497">
        <v>3</v>
      </c>
      <c r="F497">
        <v>0.08</v>
      </c>
      <c r="G497" t="b">
        <v>1</v>
      </c>
      <c r="H497">
        <f>Sensitivity!H28</f>
        <v>307719869511460</v>
      </c>
    </row>
    <row r="498" spans="1:8" x14ac:dyDescent="0.2">
      <c r="A498" t="s">
        <v>301</v>
      </c>
      <c r="B498" t="s">
        <v>312</v>
      </c>
      <c r="C498">
        <v>3</v>
      </c>
      <c r="D498" t="s">
        <v>307</v>
      </c>
      <c r="E498">
        <v>2</v>
      </c>
      <c r="F498">
        <v>0.92</v>
      </c>
      <c r="G498" t="b">
        <v>0</v>
      </c>
      <c r="H498">
        <f>Sensitivity!H28</f>
        <v>307719869511460</v>
      </c>
    </row>
    <row r="499" spans="1:8" x14ac:dyDescent="0.2">
      <c r="A499" t="s">
        <v>305</v>
      </c>
      <c r="B499" t="s">
        <v>304</v>
      </c>
      <c r="C499">
        <v>1</v>
      </c>
      <c r="D499" t="s">
        <v>327</v>
      </c>
      <c r="E499">
        <v>8</v>
      </c>
      <c r="F499">
        <v>1</v>
      </c>
      <c r="G499" t="b">
        <v>1</v>
      </c>
      <c r="H499">
        <f>Sensitivity!H17</f>
        <v>21917900923646</v>
      </c>
    </row>
    <row r="500" spans="1:8" x14ac:dyDescent="0.2">
      <c r="A500" t="s">
        <v>305</v>
      </c>
      <c r="B500" t="s">
        <v>304</v>
      </c>
      <c r="C500">
        <v>2</v>
      </c>
      <c r="D500" t="s">
        <v>327</v>
      </c>
      <c r="E500">
        <v>8</v>
      </c>
      <c r="F500">
        <v>0.24</v>
      </c>
      <c r="G500" t="b">
        <v>1</v>
      </c>
      <c r="H500">
        <f>Sensitivity!H17</f>
        <v>21917900923646</v>
      </c>
    </row>
    <row r="501" spans="1:8" x14ac:dyDescent="0.2">
      <c r="A501" t="s">
        <v>305</v>
      </c>
      <c r="B501" t="s">
        <v>304</v>
      </c>
      <c r="C501">
        <v>3</v>
      </c>
      <c r="D501" t="s">
        <v>327</v>
      </c>
      <c r="E501">
        <v>8</v>
      </c>
      <c r="F501">
        <v>0.08</v>
      </c>
      <c r="G501" t="b">
        <v>1</v>
      </c>
      <c r="H501">
        <f>Sensitivity!H17</f>
        <v>21917900923646</v>
      </c>
    </row>
    <row r="502" spans="1:8" x14ac:dyDescent="0.2">
      <c r="A502" t="s">
        <v>305</v>
      </c>
      <c r="B502" t="s">
        <v>308</v>
      </c>
      <c r="C502">
        <v>1</v>
      </c>
      <c r="D502" t="s">
        <v>327</v>
      </c>
      <c r="E502">
        <v>12</v>
      </c>
      <c r="F502">
        <v>1</v>
      </c>
      <c r="G502" t="b">
        <v>1</v>
      </c>
      <c r="H502">
        <f>Sensitivity!H17</f>
        <v>21917900923646</v>
      </c>
    </row>
    <row r="503" spans="1:8" x14ac:dyDescent="0.2">
      <c r="A503" t="s">
        <v>305</v>
      </c>
      <c r="B503" t="s">
        <v>308</v>
      </c>
      <c r="C503">
        <v>2</v>
      </c>
      <c r="D503" t="s">
        <v>327</v>
      </c>
      <c r="E503">
        <v>12</v>
      </c>
      <c r="F503">
        <v>0.24</v>
      </c>
      <c r="G503" t="b">
        <v>1</v>
      </c>
      <c r="H503">
        <f>Sensitivity!H17</f>
        <v>21917900923646</v>
      </c>
    </row>
    <row r="504" spans="1:8" x14ac:dyDescent="0.2">
      <c r="A504" t="s">
        <v>305</v>
      </c>
      <c r="B504" t="s">
        <v>308</v>
      </c>
      <c r="C504">
        <v>2</v>
      </c>
      <c r="D504" t="s">
        <v>327</v>
      </c>
      <c r="E504">
        <v>8</v>
      </c>
      <c r="F504">
        <v>0.76</v>
      </c>
      <c r="G504" t="b">
        <v>0</v>
      </c>
      <c r="H504">
        <f>Sensitivity!H17</f>
        <v>21917900923646</v>
      </c>
    </row>
    <row r="505" spans="1:8" x14ac:dyDescent="0.2">
      <c r="A505" t="s">
        <v>305</v>
      </c>
      <c r="B505" t="s">
        <v>308</v>
      </c>
      <c r="C505">
        <v>3</v>
      </c>
      <c r="D505" t="s">
        <v>327</v>
      </c>
      <c r="E505">
        <v>12</v>
      </c>
      <c r="F505">
        <v>0.08</v>
      </c>
      <c r="G505" t="b">
        <v>1</v>
      </c>
      <c r="H505">
        <f>Sensitivity!H17</f>
        <v>21917900923646</v>
      </c>
    </row>
    <row r="506" spans="1:8" x14ac:dyDescent="0.2">
      <c r="A506" t="s">
        <v>305</v>
      </c>
      <c r="B506" t="s">
        <v>308</v>
      </c>
      <c r="C506">
        <v>3</v>
      </c>
      <c r="D506" t="s">
        <v>327</v>
      </c>
      <c r="E506">
        <v>8</v>
      </c>
      <c r="F506">
        <v>0.92</v>
      </c>
      <c r="G506" t="b">
        <v>0</v>
      </c>
      <c r="H506">
        <f>Sensitivity!H17</f>
        <v>21917900923646</v>
      </c>
    </row>
    <row r="507" spans="1:8" x14ac:dyDescent="0.2">
      <c r="A507" t="s">
        <v>305</v>
      </c>
      <c r="B507" t="s">
        <v>312</v>
      </c>
      <c r="C507">
        <v>1</v>
      </c>
      <c r="D507" t="s">
        <v>327</v>
      </c>
      <c r="E507">
        <v>20</v>
      </c>
      <c r="F507">
        <v>1</v>
      </c>
      <c r="G507" t="b">
        <v>1</v>
      </c>
      <c r="H507">
        <f>Sensitivity!H17</f>
        <v>21917900923646</v>
      </c>
    </row>
    <row r="508" spans="1:8" x14ac:dyDescent="0.2">
      <c r="A508" t="s">
        <v>305</v>
      </c>
      <c r="B508" t="s">
        <v>312</v>
      </c>
      <c r="C508">
        <v>2</v>
      </c>
      <c r="D508" t="s">
        <v>327</v>
      </c>
      <c r="E508">
        <v>20</v>
      </c>
      <c r="F508">
        <v>0.24</v>
      </c>
      <c r="G508" t="b">
        <v>1</v>
      </c>
      <c r="H508">
        <f>Sensitivity!H17</f>
        <v>21917900923646</v>
      </c>
    </row>
    <row r="509" spans="1:8" x14ac:dyDescent="0.2">
      <c r="A509" t="s">
        <v>305</v>
      </c>
      <c r="B509" t="s">
        <v>312</v>
      </c>
      <c r="C509">
        <v>2</v>
      </c>
      <c r="D509" t="s">
        <v>327</v>
      </c>
      <c r="E509">
        <v>12</v>
      </c>
      <c r="F509">
        <v>0.76</v>
      </c>
      <c r="G509" t="b">
        <v>0</v>
      </c>
      <c r="H509">
        <f>Sensitivity!H17</f>
        <v>21917900923646</v>
      </c>
    </row>
    <row r="510" spans="1:8" x14ac:dyDescent="0.2">
      <c r="A510" t="s">
        <v>305</v>
      </c>
      <c r="B510" t="s">
        <v>312</v>
      </c>
      <c r="C510">
        <v>3</v>
      </c>
      <c r="D510" t="s">
        <v>327</v>
      </c>
      <c r="E510">
        <v>20</v>
      </c>
      <c r="F510">
        <v>0.08</v>
      </c>
      <c r="G510" t="b">
        <v>1</v>
      </c>
      <c r="H510">
        <f>Sensitivity!H17</f>
        <v>21917900923646</v>
      </c>
    </row>
    <row r="511" spans="1:8" x14ac:dyDescent="0.2">
      <c r="A511" t="s">
        <v>305</v>
      </c>
      <c r="B511" t="s">
        <v>312</v>
      </c>
      <c r="C511">
        <v>3</v>
      </c>
      <c r="D511" t="s">
        <v>327</v>
      </c>
      <c r="E511">
        <v>12</v>
      </c>
      <c r="F511">
        <v>0.92</v>
      </c>
      <c r="G511" t="b">
        <v>0</v>
      </c>
      <c r="H511">
        <f>Sensitivity!H17</f>
        <v>21917900923646</v>
      </c>
    </row>
    <row r="512" spans="1:8" x14ac:dyDescent="0.2">
      <c r="A512" t="s">
        <v>309</v>
      </c>
      <c r="B512" t="s">
        <v>300</v>
      </c>
      <c r="C512">
        <v>1</v>
      </c>
      <c r="D512" t="s">
        <v>334</v>
      </c>
      <c r="E512">
        <v>3</v>
      </c>
      <c r="F512">
        <v>1</v>
      </c>
      <c r="G512" t="b">
        <v>1</v>
      </c>
      <c r="H512">
        <f>Sensitivity!H11</f>
        <v>83395839222349</v>
      </c>
    </row>
    <row r="513" spans="1:8" x14ac:dyDescent="0.2">
      <c r="A513" t="s">
        <v>309</v>
      </c>
      <c r="B513" t="s">
        <v>300</v>
      </c>
      <c r="C513">
        <v>2</v>
      </c>
      <c r="D513" t="s">
        <v>334</v>
      </c>
      <c r="E513">
        <v>3</v>
      </c>
      <c r="F513">
        <v>0.24</v>
      </c>
      <c r="G513" t="b">
        <v>1</v>
      </c>
      <c r="H513">
        <f>Sensitivity!H11</f>
        <v>83395839222349</v>
      </c>
    </row>
    <row r="514" spans="1:8" x14ac:dyDescent="0.2">
      <c r="A514" t="s">
        <v>309</v>
      </c>
      <c r="B514" t="s">
        <v>300</v>
      </c>
      <c r="C514">
        <v>3</v>
      </c>
      <c r="D514" t="s">
        <v>334</v>
      </c>
      <c r="E514">
        <v>3</v>
      </c>
      <c r="F514">
        <v>0.08</v>
      </c>
      <c r="G514" t="b">
        <v>1</v>
      </c>
      <c r="H514">
        <f>Sensitivity!H11</f>
        <v>83395839222349</v>
      </c>
    </row>
    <row r="515" spans="1:8" x14ac:dyDescent="0.2">
      <c r="A515" t="s">
        <v>309</v>
      </c>
      <c r="B515" t="s">
        <v>304</v>
      </c>
      <c r="C515">
        <v>1</v>
      </c>
      <c r="D515" t="s">
        <v>334</v>
      </c>
      <c r="E515">
        <v>5</v>
      </c>
      <c r="F515">
        <v>1</v>
      </c>
      <c r="G515" t="b">
        <v>1</v>
      </c>
      <c r="H515">
        <f>Sensitivity!H11</f>
        <v>83395839222349</v>
      </c>
    </row>
    <row r="516" spans="1:8" x14ac:dyDescent="0.2">
      <c r="A516" t="s">
        <v>309</v>
      </c>
      <c r="B516" t="s">
        <v>304</v>
      </c>
      <c r="C516">
        <v>2</v>
      </c>
      <c r="D516" t="s">
        <v>334</v>
      </c>
      <c r="E516">
        <v>5</v>
      </c>
      <c r="F516">
        <v>0.24</v>
      </c>
      <c r="G516" t="b">
        <v>1</v>
      </c>
      <c r="H516">
        <f>Sensitivity!H11</f>
        <v>83395839222349</v>
      </c>
    </row>
    <row r="517" spans="1:8" x14ac:dyDescent="0.2">
      <c r="A517" t="s">
        <v>309</v>
      </c>
      <c r="B517" t="s">
        <v>304</v>
      </c>
      <c r="C517">
        <v>2</v>
      </c>
      <c r="D517" t="s">
        <v>334</v>
      </c>
      <c r="E517">
        <v>3</v>
      </c>
      <c r="F517">
        <v>0.76</v>
      </c>
      <c r="G517" t="b">
        <v>0</v>
      </c>
      <c r="H517">
        <f>Sensitivity!H11</f>
        <v>83395839222349</v>
      </c>
    </row>
    <row r="518" spans="1:8" x14ac:dyDescent="0.2">
      <c r="A518" t="s">
        <v>309</v>
      </c>
      <c r="B518" t="s">
        <v>304</v>
      </c>
      <c r="C518">
        <v>3</v>
      </c>
      <c r="D518" t="s">
        <v>334</v>
      </c>
      <c r="E518">
        <v>5</v>
      </c>
      <c r="F518">
        <v>0.08</v>
      </c>
      <c r="G518" t="b">
        <v>1</v>
      </c>
      <c r="H518">
        <f>Sensitivity!H11</f>
        <v>83395839222349</v>
      </c>
    </row>
    <row r="519" spans="1:8" x14ac:dyDescent="0.2">
      <c r="A519" t="s">
        <v>309</v>
      </c>
      <c r="B519" t="s">
        <v>304</v>
      </c>
      <c r="C519">
        <v>3</v>
      </c>
      <c r="D519" t="s">
        <v>334</v>
      </c>
      <c r="E519">
        <v>3</v>
      </c>
      <c r="F519">
        <v>0.92</v>
      </c>
      <c r="G519" t="b">
        <v>0</v>
      </c>
      <c r="H519">
        <f>Sensitivity!H11</f>
        <v>83395839222349</v>
      </c>
    </row>
    <row r="520" spans="1:8" x14ac:dyDescent="0.2">
      <c r="A520" t="s">
        <v>309</v>
      </c>
      <c r="B520" t="s">
        <v>308</v>
      </c>
      <c r="C520">
        <v>1</v>
      </c>
      <c r="D520" t="s">
        <v>334</v>
      </c>
      <c r="E520">
        <v>8</v>
      </c>
      <c r="F520">
        <v>1</v>
      </c>
      <c r="G520" t="b">
        <v>1</v>
      </c>
      <c r="H520">
        <f>Sensitivity!H11</f>
        <v>83395839222349</v>
      </c>
    </row>
    <row r="521" spans="1:8" x14ac:dyDescent="0.2">
      <c r="A521" t="s">
        <v>309</v>
      </c>
      <c r="B521" t="s">
        <v>308</v>
      </c>
      <c r="C521">
        <v>2</v>
      </c>
      <c r="D521" t="s">
        <v>334</v>
      </c>
      <c r="E521">
        <v>8</v>
      </c>
      <c r="F521">
        <v>0.24</v>
      </c>
      <c r="G521" t="b">
        <v>1</v>
      </c>
      <c r="H521">
        <f>Sensitivity!H11</f>
        <v>83395839222349</v>
      </c>
    </row>
    <row r="522" spans="1:8" x14ac:dyDescent="0.2">
      <c r="A522" t="s">
        <v>309</v>
      </c>
      <c r="B522" t="s">
        <v>308</v>
      </c>
      <c r="C522">
        <v>2</v>
      </c>
      <c r="D522" t="s">
        <v>334</v>
      </c>
      <c r="E522">
        <v>5</v>
      </c>
      <c r="F522">
        <v>0.76</v>
      </c>
      <c r="G522" t="b">
        <v>0</v>
      </c>
      <c r="H522">
        <f>Sensitivity!H11</f>
        <v>83395839222349</v>
      </c>
    </row>
    <row r="523" spans="1:8" x14ac:dyDescent="0.2">
      <c r="A523" t="s">
        <v>309</v>
      </c>
      <c r="B523" t="s">
        <v>308</v>
      </c>
      <c r="C523">
        <v>3</v>
      </c>
      <c r="D523" t="s">
        <v>334</v>
      </c>
      <c r="E523">
        <v>8</v>
      </c>
      <c r="F523">
        <v>0.08</v>
      </c>
      <c r="G523" t="b">
        <v>1</v>
      </c>
      <c r="H523">
        <f>Sensitivity!H11</f>
        <v>83395839222349</v>
      </c>
    </row>
    <row r="524" spans="1:8" x14ac:dyDescent="0.2">
      <c r="A524" t="s">
        <v>309</v>
      </c>
      <c r="B524" t="s">
        <v>308</v>
      </c>
      <c r="C524">
        <v>3</v>
      </c>
      <c r="D524" t="s">
        <v>334</v>
      </c>
      <c r="E524">
        <v>5</v>
      </c>
      <c r="F524">
        <v>0.92</v>
      </c>
      <c r="G524" t="b">
        <v>0</v>
      </c>
      <c r="H524">
        <f>Sensitivity!H11</f>
        <v>83395839222349</v>
      </c>
    </row>
    <row r="525" spans="1:8" x14ac:dyDescent="0.2">
      <c r="A525" t="s">
        <v>309</v>
      </c>
      <c r="B525" t="s">
        <v>312</v>
      </c>
      <c r="C525">
        <v>1</v>
      </c>
      <c r="D525" t="s">
        <v>334</v>
      </c>
      <c r="E525">
        <v>12</v>
      </c>
      <c r="F525">
        <v>1</v>
      </c>
      <c r="G525" t="b">
        <v>1</v>
      </c>
      <c r="H525">
        <f>Sensitivity!H11</f>
        <v>83395839222349</v>
      </c>
    </row>
    <row r="526" spans="1:8" x14ac:dyDescent="0.2">
      <c r="A526" t="s">
        <v>309</v>
      </c>
      <c r="B526" t="s">
        <v>312</v>
      </c>
      <c r="C526">
        <v>2</v>
      </c>
      <c r="D526" t="s">
        <v>334</v>
      </c>
      <c r="E526">
        <v>12</v>
      </c>
      <c r="F526">
        <v>0.24</v>
      </c>
      <c r="G526" t="b">
        <v>1</v>
      </c>
      <c r="H526">
        <f>Sensitivity!H11</f>
        <v>83395839222349</v>
      </c>
    </row>
    <row r="527" spans="1:8" x14ac:dyDescent="0.2">
      <c r="A527" t="s">
        <v>309</v>
      </c>
      <c r="B527" t="s">
        <v>312</v>
      </c>
      <c r="C527">
        <v>2</v>
      </c>
      <c r="D527" t="s">
        <v>334</v>
      </c>
      <c r="E527">
        <v>8</v>
      </c>
      <c r="F527">
        <v>0.76</v>
      </c>
      <c r="G527" t="b">
        <v>0</v>
      </c>
      <c r="H527">
        <f>Sensitivity!H11</f>
        <v>83395839222349</v>
      </c>
    </row>
    <row r="528" spans="1:8" x14ac:dyDescent="0.2">
      <c r="A528" t="s">
        <v>309</v>
      </c>
      <c r="B528" t="s">
        <v>312</v>
      </c>
      <c r="C528">
        <v>3</v>
      </c>
      <c r="D528" t="s">
        <v>334</v>
      </c>
      <c r="E528">
        <v>12</v>
      </c>
      <c r="F528">
        <v>0.08</v>
      </c>
      <c r="G528" t="b">
        <v>1</v>
      </c>
      <c r="H528">
        <f>Sensitivity!H11</f>
        <v>83395839222349</v>
      </c>
    </row>
    <row r="529" spans="1:8" x14ac:dyDescent="0.2">
      <c r="A529" t="s">
        <v>309</v>
      </c>
      <c r="B529" t="s">
        <v>312</v>
      </c>
      <c r="C529">
        <v>3</v>
      </c>
      <c r="D529" t="s">
        <v>334</v>
      </c>
      <c r="E529">
        <v>8</v>
      </c>
      <c r="F529">
        <v>0.92</v>
      </c>
      <c r="G529" t="b">
        <v>0</v>
      </c>
      <c r="H529">
        <f>Sensitivity!H11</f>
        <v>83395839222349</v>
      </c>
    </row>
    <row r="530" spans="1:8" x14ac:dyDescent="0.2">
      <c r="A530" t="s">
        <v>313</v>
      </c>
      <c r="B530" t="s">
        <v>300</v>
      </c>
      <c r="C530">
        <v>1</v>
      </c>
      <c r="D530" t="s">
        <v>44</v>
      </c>
      <c r="E530">
        <v>5</v>
      </c>
      <c r="F530">
        <v>1</v>
      </c>
      <c r="G530" t="b">
        <v>1</v>
      </c>
      <c r="H530">
        <f>Sensitivity!H29</f>
        <v>33773782296366</v>
      </c>
    </row>
    <row r="531" spans="1:8" x14ac:dyDescent="0.2">
      <c r="A531" t="s">
        <v>313</v>
      </c>
      <c r="B531" t="s">
        <v>300</v>
      </c>
      <c r="C531">
        <v>2</v>
      </c>
      <c r="D531" t="s">
        <v>44</v>
      </c>
      <c r="E531">
        <v>5</v>
      </c>
      <c r="F531">
        <v>0.24</v>
      </c>
      <c r="G531" t="b">
        <v>1</v>
      </c>
      <c r="H531">
        <f>Sensitivity!H29</f>
        <v>33773782296366</v>
      </c>
    </row>
    <row r="532" spans="1:8" x14ac:dyDescent="0.2">
      <c r="A532" t="s">
        <v>313</v>
      </c>
      <c r="B532" t="s">
        <v>300</v>
      </c>
      <c r="C532">
        <v>3</v>
      </c>
      <c r="D532" t="s">
        <v>44</v>
      </c>
      <c r="E532">
        <v>5</v>
      </c>
      <c r="F532">
        <v>0.08</v>
      </c>
      <c r="G532" t="b">
        <v>1</v>
      </c>
      <c r="H532">
        <f>Sensitivity!H29</f>
        <v>33773782296366</v>
      </c>
    </row>
    <row r="533" spans="1:8" x14ac:dyDescent="0.2">
      <c r="A533" t="s">
        <v>313</v>
      </c>
      <c r="B533" t="s">
        <v>304</v>
      </c>
      <c r="C533">
        <v>1</v>
      </c>
      <c r="D533" t="s">
        <v>44</v>
      </c>
      <c r="E533">
        <v>8</v>
      </c>
      <c r="F533">
        <v>1</v>
      </c>
      <c r="G533" t="b">
        <v>1</v>
      </c>
      <c r="H533">
        <f>Sensitivity!H29</f>
        <v>33773782296366</v>
      </c>
    </row>
    <row r="534" spans="1:8" x14ac:dyDescent="0.2">
      <c r="A534" t="s">
        <v>313</v>
      </c>
      <c r="B534" t="s">
        <v>304</v>
      </c>
      <c r="C534">
        <v>2</v>
      </c>
      <c r="D534" t="s">
        <v>44</v>
      </c>
      <c r="E534">
        <v>8</v>
      </c>
      <c r="F534">
        <v>0.24</v>
      </c>
      <c r="G534" t="b">
        <v>1</v>
      </c>
      <c r="H534">
        <f>Sensitivity!H29</f>
        <v>33773782296366</v>
      </c>
    </row>
    <row r="535" spans="1:8" x14ac:dyDescent="0.2">
      <c r="A535" t="s">
        <v>313</v>
      </c>
      <c r="B535" t="s">
        <v>304</v>
      </c>
      <c r="C535">
        <v>2</v>
      </c>
      <c r="D535" t="s">
        <v>44</v>
      </c>
      <c r="E535">
        <v>5</v>
      </c>
      <c r="F535">
        <v>0.76</v>
      </c>
      <c r="G535" t="b">
        <v>0</v>
      </c>
      <c r="H535">
        <f>Sensitivity!H29</f>
        <v>33773782296366</v>
      </c>
    </row>
    <row r="536" spans="1:8" x14ac:dyDescent="0.2">
      <c r="A536" t="s">
        <v>313</v>
      </c>
      <c r="B536" t="s">
        <v>304</v>
      </c>
      <c r="C536">
        <v>3</v>
      </c>
      <c r="D536" t="s">
        <v>44</v>
      </c>
      <c r="E536">
        <v>8</v>
      </c>
      <c r="F536">
        <v>0.08</v>
      </c>
      <c r="G536" t="b">
        <v>1</v>
      </c>
      <c r="H536">
        <f>Sensitivity!H29</f>
        <v>33773782296366</v>
      </c>
    </row>
    <row r="537" spans="1:8" x14ac:dyDescent="0.2">
      <c r="A537" t="s">
        <v>313</v>
      </c>
      <c r="B537" t="s">
        <v>304</v>
      </c>
      <c r="C537">
        <v>3</v>
      </c>
      <c r="D537" t="s">
        <v>44</v>
      </c>
      <c r="E537">
        <v>5</v>
      </c>
      <c r="F537">
        <v>0.92</v>
      </c>
      <c r="G537" t="b">
        <v>0</v>
      </c>
      <c r="H537">
        <f>Sensitivity!H29</f>
        <v>33773782296366</v>
      </c>
    </row>
    <row r="538" spans="1:8" x14ac:dyDescent="0.2">
      <c r="A538" t="s">
        <v>313</v>
      </c>
      <c r="B538" t="s">
        <v>308</v>
      </c>
      <c r="C538">
        <v>1</v>
      </c>
      <c r="D538" t="s">
        <v>44</v>
      </c>
      <c r="E538">
        <v>12</v>
      </c>
      <c r="F538">
        <v>1</v>
      </c>
      <c r="G538" t="b">
        <v>1</v>
      </c>
      <c r="H538">
        <f>Sensitivity!H29</f>
        <v>33773782296366</v>
      </c>
    </row>
    <row r="539" spans="1:8" x14ac:dyDescent="0.2">
      <c r="A539" t="s">
        <v>313</v>
      </c>
      <c r="B539" t="s">
        <v>308</v>
      </c>
      <c r="C539">
        <v>2</v>
      </c>
      <c r="D539" t="s">
        <v>44</v>
      </c>
      <c r="E539">
        <v>12</v>
      </c>
      <c r="F539">
        <v>0.24</v>
      </c>
      <c r="G539" t="b">
        <v>1</v>
      </c>
      <c r="H539">
        <f>Sensitivity!H29</f>
        <v>33773782296366</v>
      </c>
    </row>
    <row r="540" spans="1:8" x14ac:dyDescent="0.2">
      <c r="A540" t="s">
        <v>313</v>
      </c>
      <c r="B540" t="s">
        <v>308</v>
      </c>
      <c r="C540">
        <v>2</v>
      </c>
      <c r="D540" t="s">
        <v>44</v>
      </c>
      <c r="E540">
        <v>8</v>
      </c>
      <c r="F540">
        <v>0.76</v>
      </c>
      <c r="G540" t="b">
        <v>0</v>
      </c>
      <c r="H540">
        <f>Sensitivity!H29</f>
        <v>33773782296366</v>
      </c>
    </row>
    <row r="541" spans="1:8" x14ac:dyDescent="0.2">
      <c r="A541" t="s">
        <v>313</v>
      </c>
      <c r="B541" t="s">
        <v>308</v>
      </c>
      <c r="C541">
        <v>3</v>
      </c>
      <c r="D541" t="s">
        <v>44</v>
      </c>
      <c r="E541">
        <v>12</v>
      </c>
      <c r="F541">
        <v>0.08</v>
      </c>
      <c r="G541" t="b">
        <v>1</v>
      </c>
      <c r="H541">
        <f>Sensitivity!H29</f>
        <v>33773782296366</v>
      </c>
    </row>
    <row r="542" spans="1:8" x14ac:dyDescent="0.2">
      <c r="A542" t="s">
        <v>313</v>
      </c>
      <c r="B542" t="s">
        <v>308</v>
      </c>
      <c r="C542">
        <v>3</v>
      </c>
      <c r="D542" t="s">
        <v>44</v>
      </c>
      <c r="E542">
        <v>8</v>
      </c>
      <c r="F542">
        <v>0.92</v>
      </c>
      <c r="G542" t="b">
        <v>0</v>
      </c>
      <c r="H542">
        <f>Sensitivity!H29</f>
        <v>33773782296366</v>
      </c>
    </row>
    <row r="543" spans="1:8" x14ac:dyDescent="0.2">
      <c r="A543" t="s">
        <v>313</v>
      </c>
      <c r="B543" t="s">
        <v>312</v>
      </c>
      <c r="C543">
        <v>1</v>
      </c>
      <c r="D543" t="s">
        <v>44</v>
      </c>
      <c r="E543">
        <v>20</v>
      </c>
      <c r="F543">
        <v>1</v>
      </c>
      <c r="G543" t="b">
        <v>1</v>
      </c>
      <c r="H543">
        <f>Sensitivity!H29</f>
        <v>33773782296366</v>
      </c>
    </row>
    <row r="544" spans="1:8" x14ac:dyDescent="0.2">
      <c r="A544" t="s">
        <v>313</v>
      </c>
      <c r="B544" t="s">
        <v>312</v>
      </c>
      <c r="C544">
        <v>2</v>
      </c>
      <c r="D544" t="s">
        <v>44</v>
      </c>
      <c r="E544">
        <v>20</v>
      </c>
      <c r="F544">
        <v>0.24</v>
      </c>
      <c r="G544" t="b">
        <v>1</v>
      </c>
      <c r="H544">
        <f>Sensitivity!H29</f>
        <v>33773782296366</v>
      </c>
    </row>
    <row r="545" spans="1:8" x14ac:dyDescent="0.2">
      <c r="A545" t="s">
        <v>313</v>
      </c>
      <c r="B545" t="s">
        <v>312</v>
      </c>
      <c r="C545">
        <v>2</v>
      </c>
      <c r="D545" t="s">
        <v>44</v>
      </c>
      <c r="E545">
        <v>12</v>
      </c>
      <c r="F545">
        <v>0.76</v>
      </c>
      <c r="G545" t="b">
        <v>0</v>
      </c>
      <c r="H545">
        <f>Sensitivity!H29</f>
        <v>33773782296366</v>
      </c>
    </row>
    <row r="546" spans="1:8" x14ac:dyDescent="0.2">
      <c r="A546" t="s">
        <v>313</v>
      </c>
      <c r="B546" t="s">
        <v>312</v>
      </c>
      <c r="C546">
        <v>3</v>
      </c>
      <c r="D546" t="s">
        <v>44</v>
      </c>
      <c r="E546">
        <v>20</v>
      </c>
      <c r="F546">
        <v>0.08</v>
      </c>
      <c r="G546" t="b">
        <v>1</v>
      </c>
      <c r="H546">
        <f>Sensitivity!H29</f>
        <v>33773782296366</v>
      </c>
    </row>
    <row r="547" spans="1:8" x14ac:dyDescent="0.2">
      <c r="A547" t="s">
        <v>313</v>
      </c>
      <c r="B547" t="s">
        <v>312</v>
      </c>
      <c r="C547">
        <v>3</v>
      </c>
      <c r="D547" t="s">
        <v>44</v>
      </c>
      <c r="E547">
        <v>12</v>
      </c>
      <c r="F547">
        <v>0.92</v>
      </c>
      <c r="G547" t="b">
        <v>0</v>
      </c>
      <c r="H547">
        <f>Sensitivity!H29</f>
        <v>33773782296366</v>
      </c>
    </row>
    <row r="548" spans="1:8" x14ac:dyDescent="0.2">
      <c r="A548" t="s">
        <v>316</v>
      </c>
      <c r="B548" t="s">
        <v>300</v>
      </c>
      <c r="C548">
        <v>1</v>
      </c>
      <c r="D548" t="s">
        <v>318</v>
      </c>
      <c r="E548">
        <v>10</v>
      </c>
      <c r="F548">
        <v>1</v>
      </c>
      <c r="G548" t="b">
        <v>1</v>
      </c>
      <c r="H548">
        <f>Sensitivity!H15</f>
        <v>19898792465366</v>
      </c>
    </row>
    <row r="549" spans="1:8" x14ac:dyDescent="0.2">
      <c r="A549" t="s">
        <v>316</v>
      </c>
      <c r="B549" t="s">
        <v>300</v>
      </c>
      <c r="C549">
        <v>2</v>
      </c>
      <c r="D549" t="s">
        <v>318</v>
      </c>
      <c r="E549">
        <v>10</v>
      </c>
      <c r="F549">
        <v>0.24</v>
      </c>
      <c r="G549" t="b">
        <v>1</v>
      </c>
      <c r="H549">
        <f>Sensitivity!H15</f>
        <v>19898792465366</v>
      </c>
    </row>
    <row r="550" spans="1:8" x14ac:dyDescent="0.2">
      <c r="A550" t="s">
        <v>316</v>
      </c>
      <c r="B550" t="s">
        <v>300</v>
      </c>
      <c r="C550">
        <v>3</v>
      </c>
      <c r="D550" t="s">
        <v>318</v>
      </c>
      <c r="E550">
        <v>10</v>
      </c>
      <c r="F550">
        <v>0.08</v>
      </c>
      <c r="G550" t="b">
        <v>1</v>
      </c>
      <c r="H550">
        <f>Sensitivity!H15</f>
        <v>19898792465366</v>
      </c>
    </row>
    <row r="551" spans="1:8" x14ac:dyDescent="0.2">
      <c r="A551" t="s">
        <v>316</v>
      </c>
      <c r="B551" t="s">
        <v>304</v>
      </c>
      <c r="C551">
        <v>1</v>
      </c>
      <c r="D551" t="s">
        <v>318</v>
      </c>
      <c r="E551">
        <v>20</v>
      </c>
      <c r="F551">
        <v>1</v>
      </c>
      <c r="G551" t="b">
        <v>1</v>
      </c>
      <c r="H551">
        <f>Sensitivity!H15</f>
        <v>19898792465366</v>
      </c>
    </row>
    <row r="552" spans="1:8" x14ac:dyDescent="0.2">
      <c r="A552" t="s">
        <v>316</v>
      </c>
      <c r="B552" t="s">
        <v>304</v>
      </c>
      <c r="C552">
        <v>2</v>
      </c>
      <c r="D552" t="s">
        <v>318</v>
      </c>
      <c r="E552">
        <v>20</v>
      </c>
      <c r="F552">
        <v>0.24</v>
      </c>
      <c r="G552" t="b">
        <v>1</v>
      </c>
      <c r="H552">
        <f>Sensitivity!H15</f>
        <v>19898792465366</v>
      </c>
    </row>
    <row r="553" spans="1:8" x14ac:dyDescent="0.2">
      <c r="A553" t="s">
        <v>316</v>
      </c>
      <c r="B553" t="s">
        <v>304</v>
      </c>
      <c r="C553">
        <v>2</v>
      </c>
      <c r="D553" t="s">
        <v>318</v>
      </c>
      <c r="E553">
        <v>10</v>
      </c>
      <c r="F553">
        <v>0.76</v>
      </c>
      <c r="G553" t="b">
        <v>0</v>
      </c>
      <c r="H553">
        <f>Sensitivity!H15</f>
        <v>19898792465366</v>
      </c>
    </row>
    <row r="554" spans="1:8" x14ac:dyDescent="0.2">
      <c r="A554" t="s">
        <v>316</v>
      </c>
      <c r="B554" t="s">
        <v>304</v>
      </c>
      <c r="C554">
        <v>3</v>
      </c>
      <c r="D554" t="s">
        <v>318</v>
      </c>
      <c r="E554">
        <v>20</v>
      </c>
      <c r="F554">
        <v>0.08</v>
      </c>
      <c r="G554" t="b">
        <v>1</v>
      </c>
      <c r="H554">
        <f>Sensitivity!H15</f>
        <v>19898792465366</v>
      </c>
    </row>
    <row r="555" spans="1:8" x14ac:dyDescent="0.2">
      <c r="A555" t="s">
        <v>316</v>
      </c>
      <c r="B555" t="s">
        <v>304</v>
      </c>
      <c r="C555">
        <v>3</v>
      </c>
      <c r="D555" t="s">
        <v>318</v>
      </c>
      <c r="E555">
        <v>10</v>
      </c>
      <c r="F555">
        <v>0.92</v>
      </c>
      <c r="G555" t="b">
        <v>0</v>
      </c>
      <c r="H555">
        <f>Sensitivity!H15</f>
        <v>19898792465366</v>
      </c>
    </row>
    <row r="556" spans="1:8" x14ac:dyDescent="0.2">
      <c r="A556" t="s">
        <v>316</v>
      </c>
      <c r="B556" t="s">
        <v>308</v>
      </c>
      <c r="C556">
        <v>1</v>
      </c>
      <c r="D556" t="s">
        <v>318</v>
      </c>
      <c r="E556">
        <v>30</v>
      </c>
      <c r="F556">
        <v>1</v>
      </c>
      <c r="G556" t="b">
        <v>1</v>
      </c>
      <c r="H556">
        <f>Sensitivity!H15</f>
        <v>19898792465366</v>
      </c>
    </row>
    <row r="557" spans="1:8" x14ac:dyDescent="0.2">
      <c r="A557" t="s">
        <v>316</v>
      </c>
      <c r="B557" t="s">
        <v>308</v>
      </c>
      <c r="C557">
        <v>2</v>
      </c>
      <c r="D557" t="s">
        <v>318</v>
      </c>
      <c r="E557">
        <v>30</v>
      </c>
      <c r="F557">
        <v>0.24</v>
      </c>
      <c r="G557" t="b">
        <v>1</v>
      </c>
      <c r="H557">
        <f>Sensitivity!H15</f>
        <v>19898792465366</v>
      </c>
    </row>
    <row r="558" spans="1:8" x14ac:dyDescent="0.2">
      <c r="A558" t="s">
        <v>316</v>
      </c>
      <c r="B558" t="s">
        <v>308</v>
      </c>
      <c r="C558">
        <v>2</v>
      </c>
      <c r="D558" t="s">
        <v>318</v>
      </c>
      <c r="E558">
        <v>20</v>
      </c>
      <c r="F558">
        <v>0.76</v>
      </c>
      <c r="G558" t="b">
        <v>0</v>
      </c>
      <c r="H558">
        <f>Sensitivity!H15</f>
        <v>19898792465366</v>
      </c>
    </row>
    <row r="559" spans="1:8" x14ac:dyDescent="0.2">
      <c r="A559" t="s">
        <v>316</v>
      </c>
      <c r="B559" t="s">
        <v>308</v>
      </c>
      <c r="C559">
        <v>3</v>
      </c>
      <c r="D559" t="s">
        <v>318</v>
      </c>
      <c r="E559">
        <v>30</v>
      </c>
      <c r="F559">
        <v>0.08</v>
      </c>
      <c r="G559" t="b">
        <v>1</v>
      </c>
      <c r="H559">
        <f>Sensitivity!H15</f>
        <v>19898792465366</v>
      </c>
    </row>
    <row r="560" spans="1:8" x14ac:dyDescent="0.2">
      <c r="A560" t="s">
        <v>316</v>
      </c>
      <c r="B560" t="s">
        <v>308</v>
      </c>
      <c r="C560">
        <v>3</v>
      </c>
      <c r="D560" t="s">
        <v>318</v>
      </c>
      <c r="E560">
        <v>20</v>
      </c>
      <c r="F560">
        <v>0.92</v>
      </c>
      <c r="G560" t="b">
        <v>0</v>
      </c>
      <c r="H560">
        <f>Sensitivity!H15</f>
        <v>19898792465366</v>
      </c>
    </row>
    <row r="561" spans="1:8" x14ac:dyDescent="0.2">
      <c r="A561" t="s">
        <v>316</v>
      </c>
      <c r="B561" t="s">
        <v>312</v>
      </c>
      <c r="C561">
        <v>1</v>
      </c>
      <c r="D561" t="s">
        <v>318</v>
      </c>
      <c r="E561">
        <v>50</v>
      </c>
      <c r="F561">
        <v>1</v>
      </c>
      <c r="G561" t="b">
        <v>1</v>
      </c>
      <c r="H561">
        <f>Sensitivity!H15</f>
        <v>19898792465366</v>
      </c>
    </row>
    <row r="562" spans="1:8" x14ac:dyDescent="0.2">
      <c r="A562" t="s">
        <v>316</v>
      </c>
      <c r="B562" t="s">
        <v>312</v>
      </c>
      <c r="C562">
        <v>2</v>
      </c>
      <c r="D562" t="s">
        <v>318</v>
      </c>
      <c r="E562">
        <v>50</v>
      </c>
      <c r="F562">
        <v>0.24</v>
      </c>
      <c r="G562" t="b">
        <v>1</v>
      </c>
      <c r="H562">
        <f>Sensitivity!H15</f>
        <v>19898792465366</v>
      </c>
    </row>
    <row r="563" spans="1:8" x14ac:dyDescent="0.2">
      <c r="A563" t="s">
        <v>316</v>
      </c>
      <c r="B563" t="s">
        <v>312</v>
      </c>
      <c r="C563">
        <v>2</v>
      </c>
      <c r="D563" t="s">
        <v>318</v>
      </c>
      <c r="E563">
        <v>30</v>
      </c>
      <c r="F563">
        <v>0.76</v>
      </c>
      <c r="G563" t="b">
        <v>0</v>
      </c>
      <c r="H563">
        <f>Sensitivity!H15</f>
        <v>19898792465366</v>
      </c>
    </row>
    <row r="564" spans="1:8" x14ac:dyDescent="0.2">
      <c r="A564" t="s">
        <v>316</v>
      </c>
      <c r="B564" t="s">
        <v>312</v>
      </c>
      <c r="C564">
        <v>3</v>
      </c>
      <c r="D564" t="s">
        <v>318</v>
      </c>
      <c r="E564">
        <v>50</v>
      </c>
      <c r="F564">
        <v>0.08</v>
      </c>
      <c r="G564" t="b">
        <v>1</v>
      </c>
      <c r="H564">
        <f>Sensitivity!H15</f>
        <v>19898792465366</v>
      </c>
    </row>
    <row r="565" spans="1:8" x14ac:dyDescent="0.2">
      <c r="A565" t="s">
        <v>316</v>
      </c>
      <c r="B565" t="s">
        <v>312</v>
      </c>
      <c r="C565">
        <v>3</v>
      </c>
      <c r="D565" t="s">
        <v>318</v>
      </c>
      <c r="E565">
        <v>30</v>
      </c>
      <c r="F565">
        <v>0.92</v>
      </c>
      <c r="G565" t="b">
        <v>0</v>
      </c>
      <c r="H565">
        <f>Sensitivity!H15</f>
        <v>19898792465366</v>
      </c>
    </row>
    <row r="566" spans="1:8" x14ac:dyDescent="0.2">
      <c r="A566" t="s">
        <v>319</v>
      </c>
      <c r="B566" t="s">
        <v>300</v>
      </c>
      <c r="C566">
        <v>1</v>
      </c>
      <c r="D566" t="s">
        <v>315</v>
      </c>
      <c r="E566">
        <v>5</v>
      </c>
      <c r="F566">
        <v>1</v>
      </c>
      <c r="G566" t="b">
        <v>1</v>
      </c>
      <c r="H566">
        <f>Sensitivity!H15</f>
        <v>19898792465366</v>
      </c>
    </row>
    <row r="567" spans="1:8" x14ac:dyDescent="0.2">
      <c r="A567" t="s">
        <v>319</v>
      </c>
      <c r="B567" t="s">
        <v>300</v>
      </c>
      <c r="C567">
        <v>2</v>
      </c>
      <c r="D567" t="s">
        <v>315</v>
      </c>
      <c r="E567">
        <v>5</v>
      </c>
      <c r="F567">
        <v>0.24</v>
      </c>
      <c r="G567" t="b">
        <v>1</v>
      </c>
      <c r="H567">
        <f>Sensitivity!H15</f>
        <v>19898792465366</v>
      </c>
    </row>
    <row r="568" spans="1:8" x14ac:dyDescent="0.2">
      <c r="A568" t="s">
        <v>319</v>
      </c>
      <c r="B568" t="s">
        <v>300</v>
      </c>
      <c r="C568">
        <v>3</v>
      </c>
      <c r="D568" t="s">
        <v>315</v>
      </c>
      <c r="E568">
        <v>5</v>
      </c>
      <c r="F568">
        <v>0.08</v>
      </c>
      <c r="G568" t="b">
        <v>1</v>
      </c>
      <c r="H568">
        <f>Sensitivity!H15</f>
        <v>19898792465366</v>
      </c>
    </row>
    <row r="569" spans="1:8" x14ac:dyDescent="0.2">
      <c r="A569" t="s">
        <v>319</v>
      </c>
      <c r="B569" t="s">
        <v>304</v>
      </c>
      <c r="C569">
        <v>1</v>
      </c>
      <c r="D569" t="s">
        <v>315</v>
      </c>
      <c r="E569">
        <v>8</v>
      </c>
      <c r="F569">
        <v>1</v>
      </c>
      <c r="G569" t="b">
        <v>1</v>
      </c>
      <c r="H569">
        <f>Sensitivity!H15</f>
        <v>19898792465366</v>
      </c>
    </row>
    <row r="570" spans="1:8" x14ac:dyDescent="0.2">
      <c r="A570" t="s">
        <v>319</v>
      </c>
      <c r="B570" t="s">
        <v>304</v>
      </c>
      <c r="C570">
        <v>2</v>
      </c>
      <c r="D570" t="s">
        <v>315</v>
      </c>
      <c r="E570">
        <v>8</v>
      </c>
      <c r="F570">
        <v>0.24</v>
      </c>
      <c r="G570" t="b">
        <v>1</v>
      </c>
      <c r="H570">
        <f>Sensitivity!H15</f>
        <v>19898792465366</v>
      </c>
    </row>
    <row r="571" spans="1:8" x14ac:dyDescent="0.2">
      <c r="A571" t="s">
        <v>319</v>
      </c>
      <c r="B571" t="s">
        <v>304</v>
      </c>
      <c r="C571">
        <v>2</v>
      </c>
      <c r="D571" t="s">
        <v>315</v>
      </c>
      <c r="E571">
        <v>5</v>
      </c>
      <c r="F571">
        <v>0.76</v>
      </c>
      <c r="G571" t="b">
        <v>0</v>
      </c>
      <c r="H571">
        <f>Sensitivity!H15</f>
        <v>19898792465366</v>
      </c>
    </row>
    <row r="572" spans="1:8" x14ac:dyDescent="0.2">
      <c r="A572" t="s">
        <v>319</v>
      </c>
      <c r="B572" t="s">
        <v>304</v>
      </c>
      <c r="C572">
        <v>3</v>
      </c>
      <c r="D572" t="s">
        <v>315</v>
      </c>
      <c r="E572">
        <v>8</v>
      </c>
      <c r="F572">
        <v>0.08</v>
      </c>
      <c r="G572" t="b">
        <v>1</v>
      </c>
      <c r="H572">
        <f>Sensitivity!H15</f>
        <v>19898792465366</v>
      </c>
    </row>
    <row r="573" spans="1:8" x14ac:dyDescent="0.2">
      <c r="A573" t="s">
        <v>319</v>
      </c>
      <c r="B573" t="s">
        <v>304</v>
      </c>
      <c r="C573">
        <v>3</v>
      </c>
      <c r="D573" t="s">
        <v>315</v>
      </c>
      <c r="E573">
        <v>5</v>
      </c>
      <c r="F573">
        <v>0.92</v>
      </c>
      <c r="G573" t="b">
        <v>0</v>
      </c>
      <c r="H573">
        <f>Sensitivity!H15</f>
        <v>19898792465366</v>
      </c>
    </row>
    <row r="574" spans="1:8" x14ac:dyDescent="0.2">
      <c r="A574" t="s">
        <v>319</v>
      </c>
      <c r="B574" t="s">
        <v>308</v>
      </c>
      <c r="C574">
        <v>1</v>
      </c>
      <c r="D574" t="s">
        <v>315</v>
      </c>
      <c r="E574">
        <v>12</v>
      </c>
      <c r="F574">
        <v>1</v>
      </c>
      <c r="G574" t="b">
        <v>1</v>
      </c>
      <c r="H574">
        <f>Sensitivity!H15</f>
        <v>19898792465366</v>
      </c>
    </row>
    <row r="575" spans="1:8" x14ac:dyDescent="0.2">
      <c r="A575" t="s">
        <v>319</v>
      </c>
      <c r="B575" t="s">
        <v>308</v>
      </c>
      <c r="C575">
        <v>2</v>
      </c>
      <c r="D575" t="s">
        <v>315</v>
      </c>
      <c r="E575">
        <v>12</v>
      </c>
      <c r="F575">
        <v>0.24</v>
      </c>
      <c r="G575" t="b">
        <v>1</v>
      </c>
      <c r="H575">
        <f>Sensitivity!H15</f>
        <v>19898792465366</v>
      </c>
    </row>
    <row r="576" spans="1:8" x14ac:dyDescent="0.2">
      <c r="A576" t="s">
        <v>319</v>
      </c>
      <c r="B576" t="s">
        <v>308</v>
      </c>
      <c r="C576">
        <v>2</v>
      </c>
      <c r="D576" t="s">
        <v>315</v>
      </c>
      <c r="E576">
        <v>8</v>
      </c>
      <c r="F576">
        <v>0.76</v>
      </c>
      <c r="G576" t="b">
        <v>0</v>
      </c>
      <c r="H576">
        <f>Sensitivity!H15</f>
        <v>19898792465366</v>
      </c>
    </row>
    <row r="577" spans="1:8" x14ac:dyDescent="0.2">
      <c r="A577" t="s">
        <v>319</v>
      </c>
      <c r="B577" t="s">
        <v>308</v>
      </c>
      <c r="C577">
        <v>3</v>
      </c>
      <c r="D577" t="s">
        <v>315</v>
      </c>
      <c r="E577">
        <v>12</v>
      </c>
      <c r="F577">
        <v>0.08</v>
      </c>
      <c r="G577" t="b">
        <v>1</v>
      </c>
      <c r="H577">
        <f>Sensitivity!H15</f>
        <v>19898792465366</v>
      </c>
    </row>
    <row r="578" spans="1:8" x14ac:dyDescent="0.2">
      <c r="A578" t="s">
        <v>319</v>
      </c>
      <c r="B578" t="s">
        <v>308</v>
      </c>
      <c r="C578">
        <v>3</v>
      </c>
      <c r="D578" t="s">
        <v>315</v>
      </c>
      <c r="E578">
        <v>8</v>
      </c>
      <c r="F578">
        <v>0.92</v>
      </c>
      <c r="G578" t="b">
        <v>0</v>
      </c>
      <c r="H578">
        <f>Sensitivity!H15</f>
        <v>19898792465366</v>
      </c>
    </row>
    <row r="579" spans="1:8" x14ac:dyDescent="0.2">
      <c r="A579" t="s">
        <v>319</v>
      </c>
      <c r="B579" t="s">
        <v>312</v>
      </c>
      <c r="C579">
        <v>1</v>
      </c>
      <c r="D579" t="s">
        <v>315</v>
      </c>
      <c r="E579">
        <v>20</v>
      </c>
      <c r="F579">
        <v>1</v>
      </c>
      <c r="G579" t="b">
        <v>1</v>
      </c>
      <c r="H579">
        <f>Sensitivity!H15</f>
        <v>19898792465366</v>
      </c>
    </row>
    <row r="580" spans="1:8" x14ac:dyDescent="0.2">
      <c r="A580" t="s">
        <v>319</v>
      </c>
      <c r="B580" t="s">
        <v>312</v>
      </c>
      <c r="C580">
        <v>2</v>
      </c>
      <c r="D580" t="s">
        <v>315</v>
      </c>
      <c r="E580">
        <v>20</v>
      </c>
      <c r="F580">
        <v>0.24</v>
      </c>
      <c r="G580" t="b">
        <v>1</v>
      </c>
      <c r="H580">
        <f>Sensitivity!H15</f>
        <v>19898792465366</v>
      </c>
    </row>
    <row r="581" spans="1:8" x14ac:dyDescent="0.2">
      <c r="A581" t="s">
        <v>319</v>
      </c>
      <c r="B581" t="s">
        <v>312</v>
      </c>
      <c r="C581">
        <v>2</v>
      </c>
      <c r="D581" t="s">
        <v>315</v>
      </c>
      <c r="E581">
        <v>12</v>
      </c>
      <c r="F581">
        <v>0.76</v>
      </c>
      <c r="G581" t="b">
        <v>0</v>
      </c>
      <c r="H581">
        <f>Sensitivity!H15</f>
        <v>19898792465366</v>
      </c>
    </row>
    <row r="582" spans="1:8" x14ac:dyDescent="0.2">
      <c r="A582" t="s">
        <v>319</v>
      </c>
      <c r="B582" t="s">
        <v>312</v>
      </c>
      <c r="C582">
        <v>3</v>
      </c>
      <c r="D582" t="s">
        <v>315</v>
      </c>
      <c r="E582">
        <v>20</v>
      </c>
      <c r="F582">
        <v>0.08</v>
      </c>
      <c r="G582" t="b">
        <v>1</v>
      </c>
      <c r="H582">
        <f>Sensitivity!H15</f>
        <v>19898792465366</v>
      </c>
    </row>
    <row r="583" spans="1:8" x14ac:dyDescent="0.2">
      <c r="A583" t="s">
        <v>319</v>
      </c>
      <c r="B583" t="s">
        <v>312</v>
      </c>
      <c r="C583">
        <v>3</v>
      </c>
      <c r="D583" t="s">
        <v>315</v>
      </c>
      <c r="E583">
        <v>12</v>
      </c>
      <c r="F583">
        <v>0.92</v>
      </c>
      <c r="G583" t="b">
        <v>0</v>
      </c>
      <c r="H583">
        <f>Sensitivity!H15</f>
        <v>19898792465366</v>
      </c>
    </row>
    <row r="584" spans="1:8" x14ac:dyDescent="0.2">
      <c r="A584" t="s">
        <v>321</v>
      </c>
      <c r="B584" t="s">
        <v>300</v>
      </c>
      <c r="C584">
        <v>1</v>
      </c>
      <c r="D584" t="s">
        <v>296</v>
      </c>
      <c r="E584">
        <v>5</v>
      </c>
      <c r="F584">
        <v>1</v>
      </c>
      <c r="G584" t="b">
        <v>1</v>
      </c>
      <c r="H584">
        <f>Sensitivity!H24</f>
        <v>35422747738737</v>
      </c>
    </row>
    <row r="585" spans="1:8" x14ac:dyDescent="0.2">
      <c r="A585" t="s">
        <v>321</v>
      </c>
      <c r="B585" t="s">
        <v>300</v>
      </c>
      <c r="C585">
        <v>2</v>
      </c>
      <c r="D585" t="s">
        <v>296</v>
      </c>
      <c r="E585">
        <v>5</v>
      </c>
      <c r="F585">
        <v>0.24</v>
      </c>
      <c r="G585" t="b">
        <v>1</v>
      </c>
      <c r="H585">
        <f>Sensitivity!H24</f>
        <v>35422747738737</v>
      </c>
    </row>
    <row r="586" spans="1:8" x14ac:dyDescent="0.2">
      <c r="A586" t="s">
        <v>321</v>
      </c>
      <c r="B586" t="s">
        <v>300</v>
      </c>
      <c r="C586">
        <v>3</v>
      </c>
      <c r="D586" t="s">
        <v>296</v>
      </c>
      <c r="E586">
        <v>5</v>
      </c>
      <c r="F586">
        <v>0.08</v>
      </c>
      <c r="G586" t="b">
        <v>1</v>
      </c>
      <c r="H586">
        <f>Sensitivity!H24</f>
        <v>35422747738737</v>
      </c>
    </row>
    <row r="587" spans="1:8" x14ac:dyDescent="0.2">
      <c r="A587" t="s">
        <v>321</v>
      </c>
      <c r="B587" t="s">
        <v>304</v>
      </c>
      <c r="C587">
        <v>1</v>
      </c>
      <c r="D587" t="s">
        <v>296</v>
      </c>
      <c r="E587">
        <v>8</v>
      </c>
      <c r="F587">
        <v>1</v>
      </c>
      <c r="G587" t="b">
        <v>1</v>
      </c>
      <c r="H587">
        <f>Sensitivity!H24</f>
        <v>35422747738737</v>
      </c>
    </row>
    <row r="588" spans="1:8" x14ac:dyDescent="0.2">
      <c r="A588" t="s">
        <v>321</v>
      </c>
      <c r="B588" t="s">
        <v>304</v>
      </c>
      <c r="C588">
        <v>2</v>
      </c>
      <c r="D588" t="s">
        <v>296</v>
      </c>
      <c r="E588">
        <v>8</v>
      </c>
      <c r="F588">
        <v>0.24</v>
      </c>
      <c r="G588" t="b">
        <v>1</v>
      </c>
      <c r="H588">
        <f>Sensitivity!H24</f>
        <v>35422747738737</v>
      </c>
    </row>
    <row r="589" spans="1:8" x14ac:dyDescent="0.2">
      <c r="A589" t="s">
        <v>321</v>
      </c>
      <c r="B589" t="s">
        <v>304</v>
      </c>
      <c r="C589">
        <v>2</v>
      </c>
      <c r="D589" t="s">
        <v>296</v>
      </c>
      <c r="E589">
        <v>5</v>
      </c>
      <c r="F589">
        <v>0.76</v>
      </c>
      <c r="G589" t="b">
        <v>0</v>
      </c>
      <c r="H589">
        <f>Sensitivity!H24</f>
        <v>35422747738737</v>
      </c>
    </row>
    <row r="590" spans="1:8" x14ac:dyDescent="0.2">
      <c r="A590" t="s">
        <v>321</v>
      </c>
      <c r="B590" t="s">
        <v>304</v>
      </c>
      <c r="C590">
        <v>3</v>
      </c>
      <c r="D590" t="s">
        <v>296</v>
      </c>
      <c r="E590">
        <v>8</v>
      </c>
      <c r="F590">
        <v>0.08</v>
      </c>
      <c r="G590" t="b">
        <v>1</v>
      </c>
      <c r="H590">
        <f>Sensitivity!H24</f>
        <v>35422747738737</v>
      </c>
    </row>
    <row r="591" spans="1:8" x14ac:dyDescent="0.2">
      <c r="A591" t="s">
        <v>321</v>
      </c>
      <c r="B591" t="s">
        <v>304</v>
      </c>
      <c r="C591">
        <v>3</v>
      </c>
      <c r="D591" t="s">
        <v>296</v>
      </c>
      <c r="E591">
        <v>5</v>
      </c>
      <c r="F591">
        <v>0.92</v>
      </c>
      <c r="G591" t="b">
        <v>0</v>
      </c>
      <c r="H591">
        <f>Sensitivity!H24</f>
        <v>35422747738737</v>
      </c>
    </row>
    <row r="592" spans="1:8" x14ac:dyDescent="0.2">
      <c r="A592" t="s">
        <v>321</v>
      </c>
      <c r="B592" t="s">
        <v>308</v>
      </c>
      <c r="C592">
        <v>1</v>
      </c>
      <c r="D592" t="s">
        <v>296</v>
      </c>
      <c r="E592">
        <v>12</v>
      </c>
      <c r="F592">
        <v>1</v>
      </c>
      <c r="G592" t="b">
        <v>1</v>
      </c>
      <c r="H592">
        <f>Sensitivity!H24</f>
        <v>35422747738737</v>
      </c>
    </row>
    <row r="593" spans="1:8" x14ac:dyDescent="0.2">
      <c r="A593" t="s">
        <v>321</v>
      </c>
      <c r="B593" t="s">
        <v>308</v>
      </c>
      <c r="C593">
        <v>2</v>
      </c>
      <c r="D593" t="s">
        <v>296</v>
      </c>
      <c r="E593">
        <v>12</v>
      </c>
      <c r="F593">
        <v>0.24</v>
      </c>
      <c r="G593" t="b">
        <v>1</v>
      </c>
      <c r="H593">
        <f>Sensitivity!H24</f>
        <v>35422747738737</v>
      </c>
    </row>
    <row r="594" spans="1:8" x14ac:dyDescent="0.2">
      <c r="A594" t="s">
        <v>321</v>
      </c>
      <c r="B594" t="s">
        <v>308</v>
      </c>
      <c r="C594">
        <v>2</v>
      </c>
      <c r="D594" t="s">
        <v>296</v>
      </c>
      <c r="E594">
        <v>8</v>
      </c>
      <c r="F594">
        <v>0.76</v>
      </c>
      <c r="G594" t="b">
        <v>0</v>
      </c>
      <c r="H594">
        <f>Sensitivity!H24</f>
        <v>35422747738737</v>
      </c>
    </row>
    <row r="595" spans="1:8" x14ac:dyDescent="0.2">
      <c r="A595" t="s">
        <v>321</v>
      </c>
      <c r="B595" t="s">
        <v>308</v>
      </c>
      <c r="C595">
        <v>3</v>
      </c>
      <c r="D595" t="s">
        <v>296</v>
      </c>
      <c r="E595">
        <v>12</v>
      </c>
      <c r="F595">
        <v>0.08</v>
      </c>
      <c r="G595" t="b">
        <v>1</v>
      </c>
      <c r="H595">
        <f>Sensitivity!H24</f>
        <v>35422747738737</v>
      </c>
    </row>
    <row r="596" spans="1:8" x14ac:dyDescent="0.2">
      <c r="A596" t="s">
        <v>321</v>
      </c>
      <c r="B596" t="s">
        <v>308</v>
      </c>
      <c r="C596">
        <v>3</v>
      </c>
      <c r="D596" t="s">
        <v>296</v>
      </c>
      <c r="E596">
        <v>8</v>
      </c>
      <c r="F596">
        <v>0.92</v>
      </c>
      <c r="G596" t="b">
        <v>0</v>
      </c>
      <c r="H596">
        <f>Sensitivity!H24</f>
        <v>35422747738737</v>
      </c>
    </row>
    <row r="597" spans="1:8" x14ac:dyDescent="0.2">
      <c r="A597" t="s">
        <v>321</v>
      </c>
      <c r="B597" t="s">
        <v>312</v>
      </c>
      <c r="C597">
        <v>1</v>
      </c>
      <c r="D597" t="s">
        <v>296</v>
      </c>
      <c r="E597">
        <v>16</v>
      </c>
      <c r="F597">
        <v>1</v>
      </c>
      <c r="G597" t="b">
        <v>1</v>
      </c>
      <c r="H597">
        <f>Sensitivity!H24</f>
        <v>35422747738737</v>
      </c>
    </row>
    <row r="598" spans="1:8" x14ac:dyDescent="0.2">
      <c r="A598" t="s">
        <v>321</v>
      </c>
      <c r="B598" t="s">
        <v>312</v>
      </c>
      <c r="C598">
        <v>2</v>
      </c>
      <c r="D598" t="s">
        <v>296</v>
      </c>
      <c r="E598">
        <v>16</v>
      </c>
      <c r="F598">
        <v>0.24</v>
      </c>
      <c r="G598" t="b">
        <v>1</v>
      </c>
      <c r="H598">
        <f>Sensitivity!H24</f>
        <v>35422747738737</v>
      </c>
    </row>
    <row r="599" spans="1:8" x14ac:dyDescent="0.2">
      <c r="A599" t="s">
        <v>321</v>
      </c>
      <c r="B599" t="s">
        <v>312</v>
      </c>
      <c r="C599">
        <v>2</v>
      </c>
      <c r="D599" t="s">
        <v>296</v>
      </c>
      <c r="E599">
        <v>12</v>
      </c>
      <c r="F599">
        <v>0.76</v>
      </c>
      <c r="G599" t="b">
        <v>0</v>
      </c>
      <c r="H599">
        <f>Sensitivity!H24</f>
        <v>35422747738737</v>
      </c>
    </row>
    <row r="600" spans="1:8" x14ac:dyDescent="0.2">
      <c r="A600" t="s">
        <v>321</v>
      </c>
      <c r="B600" t="s">
        <v>312</v>
      </c>
      <c r="C600">
        <v>3</v>
      </c>
      <c r="D600" t="s">
        <v>296</v>
      </c>
      <c r="E600">
        <v>16</v>
      </c>
      <c r="F600">
        <v>0.08</v>
      </c>
      <c r="G600" t="b">
        <v>1</v>
      </c>
      <c r="H600">
        <f>Sensitivity!H24</f>
        <v>35422747738737</v>
      </c>
    </row>
    <row r="601" spans="1:8" x14ac:dyDescent="0.2">
      <c r="A601" t="s">
        <v>321</v>
      </c>
      <c r="B601" t="s">
        <v>312</v>
      </c>
      <c r="C601">
        <v>3</v>
      </c>
      <c r="D601" t="s">
        <v>296</v>
      </c>
      <c r="E601">
        <v>12</v>
      </c>
      <c r="F601">
        <v>0.92</v>
      </c>
      <c r="G601" t="b">
        <v>0</v>
      </c>
      <c r="H601">
        <f>Sensitivity!H24</f>
        <v>35422747738737</v>
      </c>
    </row>
    <row r="602" spans="1:8" x14ac:dyDescent="0.2">
      <c r="A602" t="s">
        <v>323</v>
      </c>
      <c r="B602" t="s">
        <v>300</v>
      </c>
      <c r="C602">
        <v>1</v>
      </c>
      <c r="D602" t="s">
        <v>296</v>
      </c>
      <c r="E602">
        <v>5</v>
      </c>
      <c r="F602">
        <v>1</v>
      </c>
      <c r="G602" t="b">
        <v>1</v>
      </c>
      <c r="H602">
        <f>Sensitivity!H24</f>
        <v>35422747738737</v>
      </c>
    </row>
    <row r="603" spans="1:8" x14ac:dyDescent="0.2">
      <c r="A603" t="s">
        <v>323</v>
      </c>
      <c r="B603" t="s">
        <v>300</v>
      </c>
      <c r="C603">
        <v>2</v>
      </c>
      <c r="D603" t="s">
        <v>296</v>
      </c>
      <c r="E603">
        <v>5</v>
      </c>
      <c r="F603">
        <v>0.24</v>
      </c>
      <c r="G603" t="b">
        <v>1</v>
      </c>
      <c r="H603">
        <f>Sensitivity!H24</f>
        <v>35422747738737</v>
      </c>
    </row>
    <row r="604" spans="1:8" x14ac:dyDescent="0.2">
      <c r="A604" t="s">
        <v>323</v>
      </c>
      <c r="B604" t="s">
        <v>300</v>
      </c>
      <c r="C604">
        <v>3</v>
      </c>
      <c r="D604" t="s">
        <v>296</v>
      </c>
      <c r="E604">
        <v>5</v>
      </c>
      <c r="F604">
        <v>0.08</v>
      </c>
      <c r="G604" t="b">
        <v>1</v>
      </c>
      <c r="H604">
        <f>Sensitivity!H24</f>
        <v>35422747738737</v>
      </c>
    </row>
    <row r="605" spans="1:8" x14ac:dyDescent="0.2">
      <c r="A605" t="s">
        <v>323</v>
      </c>
      <c r="B605" t="s">
        <v>304</v>
      </c>
      <c r="C605">
        <v>1</v>
      </c>
      <c r="D605" t="s">
        <v>296</v>
      </c>
      <c r="E605">
        <v>8</v>
      </c>
      <c r="F605">
        <v>1</v>
      </c>
      <c r="G605" t="b">
        <v>1</v>
      </c>
      <c r="H605">
        <f>Sensitivity!H24</f>
        <v>35422747738737</v>
      </c>
    </row>
    <row r="606" spans="1:8" x14ac:dyDescent="0.2">
      <c r="A606" t="s">
        <v>323</v>
      </c>
      <c r="B606" t="s">
        <v>304</v>
      </c>
      <c r="C606">
        <v>2</v>
      </c>
      <c r="D606" t="s">
        <v>296</v>
      </c>
      <c r="E606">
        <v>8</v>
      </c>
      <c r="F606">
        <v>0.24</v>
      </c>
      <c r="G606" t="b">
        <v>1</v>
      </c>
      <c r="H606">
        <f>Sensitivity!H24</f>
        <v>35422747738737</v>
      </c>
    </row>
    <row r="607" spans="1:8" x14ac:dyDescent="0.2">
      <c r="A607" t="s">
        <v>323</v>
      </c>
      <c r="B607" t="s">
        <v>304</v>
      </c>
      <c r="C607">
        <v>2</v>
      </c>
      <c r="D607" t="s">
        <v>296</v>
      </c>
      <c r="E607">
        <v>5</v>
      </c>
      <c r="F607">
        <v>0.76</v>
      </c>
      <c r="G607" t="b">
        <v>0</v>
      </c>
      <c r="H607">
        <f>Sensitivity!H24</f>
        <v>35422747738737</v>
      </c>
    </row>
    <row r="608" spans="1:8" x14ac:dyDescent="0.2">
      <c r="A608" t="s">
        <v>323</v>
      </c>
      <c r="B608" t="s">
        <v>304</v>
      </c>
      <c r="C608">
        <v>3</v>
      </c>
      <c r="D608" t="s">
        <v>296</v>
      </c>
      <c r="E608">
        <v>8</v>
      </c>
      <c r="F608">
        <v>0.08</v>
      </c>
      <c r="G608" t="b">
        <v>1</v>
      </c>
      <c r="H608">
        <f>Sensitivity!H24</f>
        <v>35422747738737</v>
      </c>
    </row>
    <row r="609" spans="1:8" x14ac:dyDescent="0.2">
      <c r="A609" t="s">
        <v>323</v>
      </c>
      <c r="B609" t="s">
        <v>304</v>
      </c>
      <c r="C609">
        <v>3</v>
      </c>
      <c r="D609" t="s">
        <v>296</v>
      </c>
      <c r="E609">
        <v>5</v>
      </c>
      <c r="F609">
        <v>0.92</v>
      </c>
      <c r="G609" t="b">
        <v>0</v>
      </c>
      <c r="H609">
        <f>Sensitivity!H24</f>
        <v>35422747738737</v>
      </c>
    </row>
    <row r="610" spans="1:8" x14ac:dyDescent="0.2">
      <c r="A610" t="s">
        <v>323</v>
      </c>
      <c r="B610" t="s">
        <v>308</v>
      </c>
      <c r="C610">
        <v>1</v>
      </c>
      <c r="D610" t="s">
        <v>296</v>
      </c>
      <c r="E610">
        <v>12</v>
      </c>
      <c r="F610">
        <v>1</v>
      </c>
      <c r="G610" t="b">
        <v>1</v>
      </c>
      <c r="H610">
        <f>Sensitivity!H24</f>
        <v>35422747738737</v>
      </c>
    </row>
    <row r="611" spans="1:8" x14ac:dyDescent="0.2">
      <c r="A611" t="s">
        <v>323</v>
      </c>
      <c r="B611" t="s">
        <v>308</v>
      </c>
      <c r="C611">
        <v>2</v>
      </c>
      <c r="D611" t="s">
        <v>296</v>
      </c>
      <c r="E611">
        <v>12</v>
      </c>
      <c r="F611">
        <v>0.24</v>
      </c>
      <c r="G611" t="b">
        <v>1</v>
      </c>
      <c r="H611">
        <f>Sensitivity!H24</f>
        <v>35422747738737</v>
      </c>
    </row>
    <row r="612" spans="1:8" x14ac:dyDescent="0.2">
      <c r="A612" t="s">
        <v>323</v>
      </c>
      <c r="B612" t="s">
        <v>308</v>
      </c>
      <c r="C612">
        <v>2</v>
      </c>
      <c r="D612" t="s">
        <v>296</v>
      </c>
      <c r="E612">
        <v>8</v>
      </c>
      <c r="F612">
        <v>0.76</v>
      </c>
      <c r="G612" t="b">
        <v>0</v>
      </c>
      <c r="H612">
        <f>Sensitivity!H24</f>
        <v>35422747738737</v>
      </c>
    </row>
    <row r="613" spans="1:8" x14ac:dyDescent="0.2">
      <c r="A613" t="s">
        <v>323</v>
      </c>
      <c r="B613" t="s">
        <v>308</v>
      </c>
      <c r="C613">
        <v>3</v>
      </c>
      <c r="D613" t="s">
        <v>296</v>
      </c>
      <c r="E613">
        <v>12</v>
      </c>
      <c r="F613">
        <v>0.08</v>
      </c>
      <c r="G613" t="b">
        <v>1</v>
      </c>
      <c r="H613">
        <f>Sensitivity!H24</f>
        <v>35422747738737</v>
      </c>
    </row>
    <row r="614" spans="1:8" x14ac:dyDescent="0.2">
      <c r="A614" t="s">
        <v>323</v>
      </c>
      <c r="B614" t="s">
        <v>308</v>
      </c>
      <c r="C614">
        <v>3</v>
      </c>
      <c r="D614" t="s">
        <v>296</v>
      </c>
      <c r="E614">
        <v>8</v>
      </c>
      <c r="F614">
        <v>0.92</v>
      </c>
      <c r="G614" t="b">
        <v>0</v>
      </c>
      <c r="H614">
        <f>Sensitivity!H24</f>
        <v>35422747738737</v>
      </c>
    </row>
    <row r="615" spans="1:8" x14ac:dyDescent="0.2">
      <c r="A615" t="s">
        <v>323</v>
      </c>
      <c r="B615" t="s">
        <v>312</v>
      </c>
      <c r="C615">
        <v>1</v>
      </c>
      <c r="D615" t="s">
        <v>296</v>
      </c>
      <c r="E615">
        <v>16</v>
      </c>
      <c r="F615">
        <v>1</v>
      </c>
      <c r="G615" t="b">
        <v>1</v>
      </c>
      <c r="H615">
        <f>Sensitivity!H24</f>
        <v>35422747738737</v>
      </c>
    </row>
    <row r="616" spans="1:8" x14ac:dyDescent="0.2">
      <c r="A616" t="s">
        <v>323</v>
      </c>
      <c r="B616" t="s">
        <v>312</v>
      </c>
      <c r="C616">
        <v>2</v>
      </c>
      <c r="D616" t="s">
        <v>296</v>
      </c>
      <c r="E616">
        <v>16</v>
      </c>
      <c r="F616">
        <v>0.24</v>
      </c>
      <c r="G616" t="b">
        <v>1</v>
      </c>
      <c r="H616">
        <f>Sensitivity!H24</f>
        <v>35422747738737</v>
      </c>
    </row>
    <row r="617" spans="1:8" x14ac:dyDescent="0.2">
      <c r="A617" t="s">
        <v>323</v>
      </c>
      <c r="B617" t="s">
        <v>312</v>
      </c>
      <c r="C617">
        <v>2</v>
      </c>
      <c r="D617" t="s">
        <v>296</v>
      </c>
      <c r="E617">
        <v>12</v>
      </c>
      <c r="F617">
        <v>0.76</v>
      </c>
      <c r="G617" t="b">
        <v>0</v>
      </c>
      <c r="H617">
        <f>Sensitivity!H24</f>
        <v>35422747738737</v>
      </c>
    </row>
    <row r="618" spans="1:8" x14ac:dyDescent="0.2">
      <c r="A618" t="s">
        <v>323</v>
      </c>
      <c r="B618" t="s">
        <v>312</v>
      </c>
      <c r="C618">
        <v>3</v>
      </c>
      <c r="D618" t="s">
        <v>296</v>
      </c>
      <c r="E618">
        <v>16</v>
      </c>
      <c r="F618">
        <v>0.08</v>
      </c>
      <c r="G618" t="b">
        <v>1</v>
      </c>
      <c r="H618">
        <f>Sensitivity!H24</f>
        <v>35422747738737</v>
      </c>
    </row>
    <row r="619" spans="1:8" x14ac:dyDescent="0.2">
      <c r="A619" t="s">
        <v>323</v>
      </c>
      <c r="B619" t="s">
        <v>312</v>
      </c>
      <c r="C619">
        <v>3</v>
      </c>
      <c r="D619" t="s">
        <v>296</v>
      </c>
      <c r="E619">
        <v>12</v>
      </c>
      <c r="F619">
        <v>0.92</v>
      </c>
      <c r="G619" t="b">
        <v>0</v>
      </c>
      <c r="H619">
        <f>Sensitivity!H24</f>
        <v>35422747738737</v>
      </c>
    </row>
    <row r="620" spans="1:8" x14ac:dyDescent="0.2">
      <c r="A620" t="s">
        <v>325</v>
      </c>
      <c r="B620" t="s">
        <v>300</v>
      </c>
      <c r="C620">
        <v>1</v>
      </c>
      <c r="D620" t="s">
        <v>338</v>
      </c>
      <c r="E620">
        <v>10</v>
      </c>
      <c r="F620">
        <v>1</v>
      </c>
      <c r="G620" t="b">
        <v>1</v>
      </c>
      <c r="H620">
        <f>Sensitivity!H5*Inputs!$B$3</f>
        <v>19033189845582</v>
      </c>
    </row>
    <row r="621" spans="1:8" x14ac:dyDescent="0.2">
      <c r="A621" t="s">
        <v>325</v>
      </c>
      <c r="B621" t="s">
        <v>300</v>
      </c>
      <c r="C621">
        <v>2</v>
      </c>
      <c r="D621" t="s">
        <v>338</v>
      </c>
      <c r="E621">
        <v>10</v>
      </c>
      <c r="F621">
        <v>0.24</v>
      </c>
      <c r="G621" t="b">
        <v>1</v>
      </c>
      <c r="H621">
        <f>Sensitivity!H5*Inputs!$B$3</f>
        <v>19033189845582</v>
      </c>
    </row>
    <row r="622" spans="1:8" x14ac:dyDescent="0.2">
      <c r="A622" t="s">
        <v>325</v>
      </c>
      <c r="B622" t="s">
        <v>300</v>
      </c>
      <c r="C622">
        <v>3</v>
      </c>
      <c r="D622" t="s">
        <v>338</v>
      </c>
      <c r="E622">
        <v>10</v>
      </c>
      <c r="F622">
        <v>0.08</v>
      </c>
      <c r="G622" t="b">
        <v>1</v>
      </c>
      <c r="H622">
        <f>Sensitivity!H5*Inputs!$B$3</f>
        <v>19033189845582</v>
      </c>
    </row>
    <row r="623" spans="1:8" x14ac:dyDescent="0.2">
      <c r="A623" t="s">
        <v>325</v>
      </c>
      <c r="B623" t="s">
        <v>304</v>
      </c>
      <c r="C623">
        <v>1</v>
      </c>
      <c r="D623" t="s">
        <v>338</v>
      </c>
      <c r="E623">
        <v>20</v>
      </c>
      <c r="F623">
        <v>1</v>
      </c>
      <c r="G623" t="b">
        <v>1</v>
      </c>
      <c r="H623">
        <f>Sensitivity!H5*Inputs!$B$3</f>
        <v>19033189845582</v>
      </c>
    </row>
    <row r="624" spans="1:8" x14ac:dyDescent="0.2">
      <c r="A624" t="s">
        <v>325</v>
      </c>
      <c r="B624" t="s">
        <v>304</v>
      </c>
      <c r="C624">
        <v>2</v>
      </c>
      <c r="D624" t="s">
        <v>338</v>
      </c>
      <c r="E624">
        <v>20</v>
      </c>
      <c r="F624">
        <v>0.24</v>
      </c>
      <c r="G624" t="b">
        <v>1</v>
      </c>
      <c r="H624">
        <f>Sensitivity!H5*Inputs!$B$3</f>
        <v>19033189845582</v>
      </c>
    </row>
    <row r="625" spans="1:8" x14ac:dyDescent="0.2">
      <c r="A625" t="s">
        <v>325</v>
      </c>
      <c r="B625" t="s">
        <v>304</v>
      </c>
      <c r="C625">
        <v>2</v>
      </c>
      <c r="D625" t="s">
        <v>338</v>
      </c>
      <c r="E625">
        <v>10</v>
      </c>
      <c r="F625">
        <v>0.76</v>
      </c>
      <c r="G625" t="b">
        <v>0</v>
      </c>
      <c r="H625">
        <f>Sensitivity!H5*Inputs!$B$3</f>
        <v>19033189845582</v>
      </c>
    </row>
    <row r="626" spans="1:8" x14ac:dyDescent="0.2">
      <c r="A626" t="s">
        <v>325</v>
      </c>
      <c r="B626" t="s">
        <v>304</v>
      </c>
      <c r="C626">
        <v>3</v>
      </c>
      <c r="D626" t="s">
        <v>338</v>
      </c>
      <c r="E626">
        <v>20</v>
      </c>
      <c r="F626">
        <v>0.08</v>
      </c>
      <c r="G626" t="b">
        <v>1</v>
      </c>
      <c r="H626">
        <f>Sensitivity!H5*Inputs!$B$3</f>
        <v>19033189845582</v>
      </c>
    </row>
    <row r="627" spans="1:8" x14ac:dyDescent="0.2">
      <c r="A627" t="s">
        <v>325</v>
      </c>
      <c r="B627" t="s">
        <v>304</v>
      </c>
      <c r="C627">
        <v>3</v>
      </c>
      <c r="D627" t="s">
        <v>338</v>
      </c>
      <c r="E627">
        <v>10</v>
      </c>
      <c r="F627">
        <v>0.92</v>
      </c>
      <c r="G627" t="b">
        <v>0</v>
      </c>
      <c r="H627">
        <f>Sensitivity!H5*Inputs!$B$3</f>
        <v>19033189845582</v>
      </c>
    </row>
    <row r="628" spans="1:8" x14ac:dyDescent="0.2">
      <c r="A628" t="s">
        <v>325</v>
      </c>
      <c r="B628" t="s">
        <v>308</v>
      </c>
      <c r="C628">
        <v>1</v>
      </c>
      <c r="D628" t="s">
        <v>338</v>
      </c>
      <c r="E628">
        <v>35</v>
      </c>
      <c r="F628">
        <v>1</v>
      </c>
      <c r="G628" t="b">
        <v>1</v>
      </c>
      <c r="H628">
        <f>Sensitivity!H5*Inputs!$B$3</f>
        <v>19033189845582</v>
      </c>
    </row>
    <row r="629" spans="1:8" x14ac:dyDescent="0.2">
      <c r="A629" t="s">
        <v>325</v>
      </c>
      <c r="B629" t="s">
        <v>308</v>
      </c>
      <c r="C629">
        <v>2</v>
      </c>
      <c r="D629" t="s">
        <v>338</v>
      </c>
      <c r="E629">
        <v>35</v>
      </c>
      <c r="F629">
        <v>0.24</v>
      </c>
      <c r="G629" t="b">
        <v>1</v>
      </c>
      <c r="H629">
        <f>Sensitivity!H5*Inputs!$B$3</f>
        <v>19033189845582</v>
      </c>
    </row>
    <row r="630" spans="1:8" x14ac:dyDescent="0.2">
      <c r="A630" t="s">
        <v>325</v>
      </c>
      <c r="B630" t="s">
        <v>308</v>
      </c>
      <c r="C630">
        <v>2</v>
      </c>
      <c r="D630" t="s">
        <v>338</v>
      </c>
      <c r="E630">
        <v>20</v>
      </c>
      <c r="F630">
        <v>0.76</v>
      </c>
      <c r="G630" t="b">
        <v>0</v>
      </c>
      <c r="H630">
        <f>Sensitivity!H5*Inputs!$B$3</f>
        <v>19033189845582</v>
      </c>
    </row>
    <row r="631" spans="1:8" x14ac:dyDescent="0.2">
      <c r="A631" t="s">
        <v>325</v>
      </c>
      <c r="B631" t="s">
        <v>308</v>
      </c>
      <c r="C631">
        <v>3</v>
      </c>
      <c r="D631" t="s">
        <v>338</v>
      </c>
      <c r="E631">
        <v>35</v>
      </c>
      <c r="F631">
        <v>0.08</v>
      </c>
      <c r="G631" t="b">
        <v>1</v>
      </c>
      <c r="H631">
        <f>Sensitivity!H5*Inputs!$B$3</f>
        <v>19033189845582</v>
      </c>
    </row>
    <row r="632" spans="1:8" x14ac:dyDescent="0.2">
      <c r="A632" t="s">
        <v>325</v>
      </c>
      <c r="B632" t="s">
        <v>308</v>
      </c>
      <c r="C632">
        <v>3</v>
      </c>
      <c r="D632" t="s">
        <v>338</v>
      </c>
      <c r="E632">
        <v>20</v>
      </c>
      <c r="F632">
        <v>0.92</v>
      </c>
      <c r="G632" t="b">
        <v>0</v>
      </c>
      <c r="H632">
        <f>Sensitivity!H5*Inputs!$B$3</f>
        <v>19033189845582</v>
      </c>
    </row>
    <row r="633" spans="1:8" x14ac:dyDescent="0.2">
      <c r="A633" t="s">
        <v>325</v>
      </c>
      <c r="B633" t="s">
        <v>312</v>
      </c>
      <c r="C633">
        <v>1</v>
      </c>
      <c r="D633" t="s">
        <v>338</v>
      </c>
      <c r="E633">
        <v>50</v>
      </c>
      <c r="F633">
        <v>1</v>
      </c>
      <c r="G633" t="b">
        <v>1</v>
      </c>
      <c r="H633">
        <f>Sensitivity!H5*Inputs!$B$3</f>
        <v>19033189845582</v>
      </c>
    </row>
    <row r="634" spans="1:8" x14ac:dyDescent="0.2">
      <c r="A634" t="s">
        <v>325</v>
      </c>
      <c r="B634" t="s">
        <v>312</v>
      </c>
      <c r="C634">
        <v>2</v>
      </c>
      <c r="D634" t="s">
        <v>338</v>
      </c>
      <c r="E634">
        <v>50</v>
      </c>
      <c r="F634">
        <v>0.24</v>
      </c>
      <c r="G634" t="b">
        <v>1</v>
      </c>
      <c r="H634">
        <f>Sensitivity!H5*Inputs!$B$3</f>
        <v>19033189845582</v>
      </c>
    </row>
    <row r="635" spans="1:8" x14ac:dyDescent="0.2">
      <c r="A635" t="s">
        <v>325</v>
      </c>
      <c r="B635" t="s">
        <v>312</v>
      </c>
      <c r="C635">
        <v>2</v>
      </c>
      <c r="D635" t="s">
        <v>338</v>
      </c>
      <c r="E635">
        <v>35</v>
      </c>
      <c r="F635">
        <v>0.76</v>
      </c>
      <c r="G635" t="b">
        <v>0</v>
      </c>
      <c r="H635">
        <f>Sensitivity!H5*Inputs!$B$3</f>
        <v>19033189845582</v>
      </c>
    </row>
    <row r="636" spans="1:8" x14ac:dyDescent="0.2">
      <c r="A636" t="s">
        <v>325</v>
      </c>
      <c r="B636" t="s">
        <v>312</v>
      </c>
      <c r="C636">
        <v>3</v>
      </c>
      <c r="D636" t="s">
        <v>338</v>
      </c>
      <c r="E636">
        <v>50</v>
      </c>
      <c r="F636">
        <v>0.08</v>
      </c>
      <c r="G636" t="b">
        <v>1</v>
      </c>
      <c r="H636">
        <f>Sensitivity!H5*Inputs!$B$3</f>
        <v>19033189845582</v>
      </c>
    </row>
    <row r="637" spans="1:8" x14ac:dyDescent="0.2">
      <c r="A637" t="s">
        <v>325</v>
      </c>
      <c r="B637" t="s">
        <v>312</v>
      </c>
      <c r="C637">
        <v>3</v>
      </c>
      <c r="D637" t="s">
        <v>338</v>
      </c>
      <c r="E637">
        <v>35</v>
      </c>
      <c r="F637">
        <v>0.92</v>
      </c>
      <c r="G637" t="b">
        <v>0</v>
      </c>
      <c r="H637">
        <f>Sensitivity!H5*Inputs!$B$3</f>
        <v>19033189845582</v>
      </c>
    </row>
    <row r="638" spans="1:8" x14ac:dyDescent="0.2">
      <c r="A638" t="s">
        <v>328</v>
      </c>
      <c r="B638" t="s">
        <v>300</v>
      </c>
      <c r="C638">
        <v>1</v>
      </c>
      <c r="D638" t="s">
        <v>303</v>
      </c>
      <c r="E638">
        <v>8</v>
      </c>
      <c r="F638">
        <v>1</v>
      </c>
      <c r="G638" t="b">
        <v>1</v>
      </c>
      <c r="H638">
        <f>Sensitivity!H18</f>
        <v>26770501468488</v>
      </c>
    </row>
    <row r="639" spans="1:8" x14ac:dyDescent="0.2">
      <c r="A639" t="s">
        <v>328</v>
      </c>
      <c r="B639" t="s">
        <v>300</v>
      </c>
      <c r="C639">
        <v>2</v>
      </c>
      <c r="D639" t="s">
        <v>303</v>
      </c>
      <c r="E639">
        <v>8</v>
      </c>
      <c r="F639">
        <v>0.24</v>
      </c>
      <c r="G639" t="b">
        <v>1</v>
      </c>
      <c r="H639">
        <f>Sensitivity!H18</f>
        <v>26770501468488</v>
      </c>
    </row>
    <row r="640" spans="1:8" x14ac:dyDescent="0.2">
      <c r="A640" t="s">
        <v>328</v>
      </c>
      <c r="B640" t="s">
        <v>300</v>
      </c>
      <c r="C640">
        <v>3</v>
      </c>
      <c r="D640" t="s">
        <v>303</v>
      </c>
      <c r="E640">
        <v>8</v>
      </c>
      <c r="F640">
        <v>0.08</v>
      </c>
      <c r="G640" t="b">
        <v>1</v>
      </c>
      <c r="H640">
        <f>Sensitivity!H18</f>
        <v>26770501468488</v>
      </c>
    </row>
    <row r="641" spans="1:8" x14ac:dyDescent="0.2">
      <c r="A641" t="s">
        <v>328</v>
      </c>
      <c r="B641" t="s">
        <v>304</v>
      </c>
      <c r="C641">
        <v>1</v>
      </c>
      <c r="D641" t="s">
        <v>303</v>
      </c>
      <c r="E641">
        <v>14</v>
      </c>
      <c r="F641">
        <v>1</v>
      </c>
      <c r="G641" t="b">
        <v>1</v>
      </c>
      <c r="H641">
        <f>Sensitivity!H18</f>
        <v>26770501468488</v>
      </c>
    </row>
    <row r="642" spans="1:8" x14ac:dyDescent="0.2">
      <c r="A642" t="s">
        <v>328</v>
      </c>
      <c r="B642" t="s">
        <v>304</v>
      </c>
      <c r="C642">
        <v>2</v>
      </c>
      <c r="D642" t="s">
        <v>303</v>
      </c>
      <c r="E642">
        <v>14</v>
      </c>
      <c r="F642">
        <v>0.24</v>
      </c>
      <c r="G642" t="b">
        <v>1</v>
      </c>
      <c r="H642">
        <f>Sensitivity!H18</f>
        <v>26770501468488</v>
      </c>
    </row>
    <row r="643" spans="1:8" x14ac:dyDescent="0.2">
      <c r="A643" t="s">
        <v>328</v>
      </c>
      <c r="B643" t="s">
        <v>304</v>
      </c>
      <c r="C643">
        <v>2</v>
      </c>
      <c r="D643" t="s">
        <v>303</v>
      </c>
      <c r="E643">
        <v>8</v>
      </c>
      <c r="F643">
        <v>0.76</v>
      </c>
      <c r="G643" t="b">
        <v>0</v>
      </c>
      <c r="H643">
        <f>Sensitivity!H18</f>
        <v>26770501468488</v>
      </c>
    </row>
    <row r="644" spans="1:8" x14ac:dyDescent="0.2">
      <c r="A644" t="s">
        <v>328</v>
      </c>
      <c r="B644" t="s">
        <v>304</v>
      </c>
      <c r="C644">
        <v>3</v>
      </c>
      <c r="D644" t="s">
        <v>303</v>
      </c>
      <c r="E644">
        <v>14</v>
      </c>
      <c r="F644">
        <v>0.08</v>
      </c>
      <c r="G644" t="b">
        <v>1</v>
      </c>
      <c r="H644">
        <f>Sensitivity!H18</f>
        <v>26770501468488</v>
      </c>
    </row>
    <row r="645" spans="1:8" x14ac:dyDescent="0.2">
      <c r="A645" t="s">
        <v>328</v>
      </c>
      <c r="B645" t="s">
        <v>304</v>
      </c>
      <c r="C645">
        <v>3</v>
      </c>
      <c r="D645" t="s">
        <v>303</v>
      </c>
      <c r="E645">
        <v>8</v>
      </c>
      <c r="F645">
        <v>0.92</v>
      </c>
      <c r="G645" t="b">
        <v>0</v>
      </c>
      <c r="H645">
        <f>Sensitivity!H18</f>
        <v>26770501468488</v>
      </c>
    </row>
    <row r="646" spans="1:8" x14ac:dyDescent="0.2">
      <c r="A646" t="s">
        <v>328</v>
      </c>
      <c r="B646" t="s">
        <v>308</v>
      </c>
      <c r="C646">
        <v>1</v>
      </c>
      <c r="D646" t="s">
        <v>303</v>
      </c>
      <c r="E646">
        <v>21</v>
      </c>
      <c r="F646">
        <v>1</v>
      </c>
      <c r="G646" t="b">
        <v>1</v>
      </c>
      <c r="H646">
        <f>Sensitivity!H18</f>
        <v>26770501468488</v>
      </c>
    </row>
    <row r="647" spans="1:8" x14ac:dyDescent="0.2">
      <c r="A647" t="s">
        <v>328</v>
      </c>
      <c r="B647" t="s">
        <v>308</v>
      </c>
      <c r="C647">
        <v>2</v>
      </c>
      <c r="D647" t="s">
        <v>303</v>
      </c>
      <c r="E647">
        <v>21</v>
      </c>
      <c r="F647">
        <v>0.24</v>
      </c>
      <c r="G647" t="b">
        <v>1</v>
      </c>
      <c r="H647">
        <f>Sensitivity!H18</f>
        <v>26770501468488</v>
      </c>
    </row>
    <row r="648" spans="1:8" x14ac:dyDescent="0.2">
      <c r="A648" t="s">
        <v>328</v>
      </c>
      <c r="B648" t="s">
        <v>308</v>
      </c>
      <c r="C648">
        <v>2</v>
      </c>
      <c r="D648" t="s">
        <v>303</v>
      </c>
      <c r="E648">
        <v>14</v>
      </c>
      <c r="F648">
        <v>0.76</v>
      </c>
      <c r="G648" t="b">
        <v>0</v>
      </c>
      <c r="H648">
        <f>Sensitivity!H18</f>
        <v>26770501468488</v>
      </c>
    </row>
    <row r="649" spans="1:8" x14ac:dyDescent="0.2">
      <c r="A649" t="s">
        <v>328</v>
      </c>
      <c r="B649" t="s">
        <v>308</v>
      </c>
      <c r="C649">
        <v>3</v>
      </c>
      <c r="D649" t="s">
        <v>303</v>
      </c>
      <c r="E649">
        <v>21</v>
      </c>
      <c r="F649">
        <v>0.08</v>
      </c>
      <c r="G649" t="b">
        <v>1</v>
      </c>
      <c r="H649">
        <f>Sensitivity!H18</f>
        <v>26770501468488</v>
      </c>
    </row>
    <row r="650" spans="1:8" x14ac:dyDescent="0.2">
      <c r="A650" t="s">
        <v>328</v>
      </c>
      <c r="B650" t="s">
        <v>308</v>
      </c>
      <c r="C650">
        <v>3</v>
      </c>
      <c r="D650" t="s">
        <v>303</v>
      </c>
      <c r="E650">
        <v>14</v>
      </c>
      <c r="F650">
        <v>0.92</v>
      </c>
      <c r="G650" t="b">
        <v>0</v>
      </c>
      <c r="H650">
        <f>Sensitivity!H18</f>
        <v>26770501468488</v>
      </c>
    </row>
    <row r="651" spans="1:8" x14ac:dyDescent="0.2">
      <c r="A651" t="s">
        <v>328</v>
      </c>
      <c r="B651" t="s">
        <v>312</v>
      </c>
      <c r="C651">
        <v>1</v>
      </c>
      <c r="D651" t="s">
        <v>303</v>
      </c>
      <c r="E651">
        <v>30</v>
      </c>
      <c r="F651">
        <v>1</v>
      </c>
      <c r="G651" t="b">
        <v>1</v>
      </c>
      <c r="H651">
        <f>Sensitivity!H18</f>
        <v>26770501468488</v>
      </c>
    </row>
    <row r="652" spans="1:8" x14ac:dyDescent="0.2">
      <c r="A652" t="s">
        <v>328</v>
      </c>
      <c r="B652" t="s">
        <v>312</v>
      </c>
      <c r="C652">
        <v>2</v>
      </c>
      <c r="D652" t="s">
        <v>303</v>
      </c>
      <c r="E652">
        <v>30</v>
      </c>
      <c r="F652">
        <v>0.24</v>
      </c>
      <c r="G652" t="b">
        <v>1</v>
      </c>
      <c r="H652">
        <f>Sensitivity!H18</f>
        <v>26770501468488</v>
      </c>
    </row>
    <row r="653" spans="1:8" x14ac:dyDescent="0.2">
      <c r="A653" t="s">
        <v>328</v>
      </c>
      <c r="B653" t="s">
        <v>312</v>
      </c>
      <c r="C653">
        <v>2</v>
      </c>
      <c r="D653" t="s">
        <v>303</v>
      </c>
      <c r="E653">
        <v>21</v>
      </c>
      <c r="F653">
        <v>0.76</v>
      </c>
      <c r="G653" t="b">
        <v>0</v>
      </c>
      <c r="H653">
        <f>Sensitivity!H18</f>
        <v>26770501468488</v>
      </c>
    </row>
    <row r="654" spans="1:8" x14ac:dyDescent="0.2">
      <c r="A654" t="s">
        <v>328</v>
      </c>
      <c r="B654" t="s">
        <v>312</v>
      </c>
      <c r="C654">
        <v>3</v>
      </c>
      <c r="D654" t="s">
        <v>303</v>
      </c>
      <c r="E654">
        <v>30</v>
      </c>
      <c r="F654">
        <v>0.08</v>
      </c>
      <c r="G654" t="b">
        <v>1</v>
      </c>
      <c r="H654">
        <f>Sensitivity!H18</f>
        <v>26770501468488</v>
      </c>
    </row>
    <row r="655" spans="1:8" x14ac:dyDescent="0.2">
      <c r="A655" t="s">
        <v>328</v>
      </c>
      <c r="B655" t="s">
        <v>312</v>
      </c>
      <c r="C655">
        <v>3</v>
      </c>
      <c r="D655" t="s">
        <v>303</v>
      </c>
      <c r="E655">
        <v>21</v>
      </c>
      <c r="F655">
        <v>0.92</v>
      </c>
      <c r="G655" t="b">
        <v>0</v>
      </c>
      <c r="H655">
        <f>Sensitivity!H18</f>
        <v>26770501468488</v>
      </c>
    </row>
    <row r="656" spans="1:8" x14ac:dyDescent="0.2">
      <c r="A656" t="s">
        <v>331</v>
      </c>
      <c r="B656" t="s">
        <v>300</v>
      </c>
      <c r="C656">
        <v>1</v>
      </c>
      <c r="D656" t="s">
        <v>334</v>
      </c>
      <c r="E656">
        <v>3</v>
      </c>
      <c r="F656">
        <v>1</v>
      </c>
      <c r="G656" t="b">
        <v>1</v>
      </c>
      <c r="H656">
        <f>Sensitivity!H11</f>
        <v>83395839222349</v>
      </c>
    </row>
    <row r="657" spans="1:8" x14ac:dyDescent="0.2">
      <c r="A657" t="s">
        <v>331</v>
      </c>
      <c r="B657" t="s">
        <v>300</v>
      </c>
      <c r="C657">
        <v>2</v>
      </c>
      <c r="D657" t="s">
        <v>334</v>
      </c>
      <c r="E657">
        <v>3</v>
      </c>
      <c r="F657">
        <v>0.24</v>
      </c>
      <c r="G657" t="b">
        <v>1</v>
      </c>
      <c r="H657">
        <f>Sensitivity!H11</f>
        <v>83395839222349</v>
      </c>
    </row>
    <row r="658" spans="1:8" x14ac:dyDescent="0.2">
      <c r="A658" t="s">
        <v>331</v>
      </c>
      <c r="B658" t="s">
        <v>300</v>
      </c>
      <c r="C658">
        <v>3</v>
      </c>
      <c r="D658" t="s">
        <v>334</v>
      </c>
      <c r="E658">
        <v>3</v>
      </c>
      <c r="F658">
        <v>0.08</v>
      </c>
      <c r="G658" t="b">
        <v>1</v>
      </c>
      <c r="H658">
        <f>Sensitivity!H11</f>
        <v>83395839222349</v>
      </c>
    </row>
    <row r="659" spans="1:8" x14ac:dyDescent="0.2">
      <c r="A659" t="s">
        <v>331</v>
      </c>
      <c r="B659" t="s">
        <v>304</v>
      </c>
      <c r="C659">
        <v>1</v>
      </c>
      <c r="D659" t="s">
        <v>334</v>
      </c>
      <c r="E659">
        <v>5</v>
      </c>
      <c r="F659">
        <v>1</v>
      </c>
      <c r="G659" t="b">
        <v>1</v>
      </c>
      <c r="H659">
        <f>Sensitivity!H11</f>
        <v>83395839222349</v>
      </c>
    </row>
    <row r="660" spans="1:8" x14ac:dyDescent="0.2">
      <c r="A660" t="s">
        <v>331</v>
      </c>
      <c r="B660" t="s">
        <v>304</v>
      </c>
      <c r="C660">
        <v>2</v>
      </c>
      <c r="D660" t="s">
        <v>334</v>
      </c>
      <c r="E660">
        <v>5</v>
      </c>
      <c r="F660">
        <v>0.24</v>
      </c>
      <c r="G660" t="b">
        <v>1</v>
      </c>
      <c r="H660">
        <f>Sensitivity!H11</f>
        <v>83395839222349</v>
      </c>
    </row>
    <row r="661" spans="1:8" x14ac:dyDescent="0.2">
      <c r="A661" t="s">
        <v>331</v>
      </c>
      <c r="B661" t="s">
        <v>304</v>
      </c>
      <c r="C661">
        <v>2</v>
      </c>
      <c r="D661" t="s">
        <v>334</v>
      </c>
      <c r="E661">
        <v>3</v>
      </c>
      <c r="F661">
        <v>0.76</v>
      </c>
      <c r="G661" t="b">
        <v>0</v>
      </c>
      <c r="H661">
        <f>Sensitivity!H11</f>
        <v>83395839222349</v>
      </c>
    </row>
    <row r="662" spans="1:8" x14ac:dyDescent="0.2">
      <c r="A662" t="s">
        <v>331</v>
      </c>
      <c r="B662" t="s">
        <v>304</v>
      </c>
      <c r="C662">
        <v>3</v>
      </c>
      <c r="D662" t="s">
        <v>334</v>
      </c>
      <c r="E662">
        <v>5</v>
      </c>
      <c r="F662">
        <v>0.08</v>
      </c>
      <c r="G662" t="b">
        <v>1</v>
      </c>
      <c r="H662">
        <f>Sensitivity!H11</f>
        <v>83395839222349</v>
      </c>
    </row>
    <row r="663" spans="1:8" x14ac:dyDescent="0.2">
      <c r="A663" t="s">
        <v>331</v>
      </c>
      <c r="B663" t="s">
        <v>304</v>
      </c>
      <c r="C663">
        <v>3</v>
      </c>
      <c r="D663" t="s">
        <v>334</v>
      </c>
      <c r="E663">
        <v>3</v>
      </c>
      <c r="F663">
        <v>0.92</v>
      </c>
      <c r="G663" t="b">
        <v>0</v>
      </c>
      <c r="H663">
        <f>Sensitivity!H11</f>
        <v>83395839222349</v>
      </c>
    </row>
    <row r="664" spans="1:8" x14ac:dyDescent="0.2">
      <c r="A664" t="s">
        <v>331</v>
      </c>
      <c r="B664" t="s">
        <v>308</v>
      </c>
      <c r="C664">
        <v>1</v>
      </c>
      <c r="D664" t="s">
        <v>334</v>
      </c>
      <c r="E664">
        <v>8</v>
      </c>
      <c r="F664">
        <v>1</v>
      </c>
      <c r="G664" t="b">
        <v>1</v>
      </c>
      <c r="H664">
        <f>Sensitivity!H11</f>
        <v>83395839222349</v>
      </c>
    </row>
    <row r="665" spans="1:8" x14ac:dyDescent="0.2">
      <c r="A665" t="s">
        <v>331</v>
      </c>
      <c r="B665" t="s">
        <v>308</v>
      </c>
      <c r="C665">
        <v>2</v>
      </c>
      <c r="D665" t="s">
        <v>334</v>
      </c>
      <c r="E665">
        <v>8</v>
      </c>
      <c r="F665">
        <v>0.24</v>
      </c>
      <c r="G665" t="b">
        <v>1</v>
      </c>
      <c r="H665">
        <f>Sensitivity!H11</f>
        <v>83395839222349</v>
      </c>
    </row>
    <row r="666" spans="1:8" x14ac:dyDescent="0.2">
      <c r="A666" t="s">
        <v>331</v>
      </c>
      <c r="B666" t="s">
        <v>308</v>
      </c>
      <c r="C666">
        <v>2</v>
      </c>
      <c r="D666" t="s">
        <v>334</v>
      </c>
      <c r="E666">
        <v>5</v>
      </c>
      <c r="F666">
        <v>0.76</v>
      </c>
      <c r="G666" t="b">
        <v>0</v>
      </c>
      <c r="H666">
        <f>Sensitivity!H11</f>
        <v>83395839222349</v>
      </c>
    </row>
    <row r="667" spans="1:8" x14ac:dyDescent="0.2">
      <c r="A667" t="s">
        <v>331</v>
      </c>
      <c r="B667" t="s">
        <v>308</v>
      </c>
      <c r="C667">
        <v>3</v>
      </c>
      <c r="D667" t="s">
        <v>334</v>
      </c>
      <c r="E667">
        <v>8</v>
      </c>
      <c r="F667">
        <v>0.08</v>
      </c>
      <c r="G667" t="b">
        <v>1</v>
      </c>
      <c r="H667">
        <f>Sensitivity!H11</f>
        <v>83395839222349</v>
      </c>
    </row>
    <row r="668" spans="1:8" x14ac:dyDescent="0.2">
      <c r="A668" t="s">
        <v>331</v>
      </c>
      <c r="B668" t="s">
        <v>308</v>
      </c>
      <c r="C668">
        <v>3</v>
      </c>
      <c r="D668" t="s">
        <v>334</v>
      </c>
      <c r="E668">
        <v>5</v>
      </c>
      <c r="F668">
        <v>0.92</v>
      </c>
      <c r="G668" t="b">
        <v>0</v>
      </c>
      <c r="H668">
        <f>Sensitivity!H11</f>
        <v>83395839222349</v>
      </c>
    </row>
    <row r="669" spans="1:8" x14ac:dyDescent="0.2">
      <c r="A669" t="s">
        <v>331</v>
      </c>
      <c r="B669" t="s">
        <v>312</v>
      </c>
      <c r="C669">
        <v>1</v>
      </c>
      <c r="D669" t="s">
        <v>334</v>
      </c>
      <c r="E669">
        <v>12</v>
      </c>
      <c r="F669">
        <v>1</v>
      </c>
      <c r="G669" t="b">
        <v>1</v>
      </c>
      <c r="H669">
        <f>Sensitivity!H11</f>
        <v>83395839222349</v>
      </c>
    </row>
    <row r="670" spans="1:8" x14ac:dyDescent="0.2">
      <c r="A670" t="s">
        <v>331</v>
      </c>
      <c r="B670" t="s">
        <v>312</v>
      </c>
      <c r="C670">
        <v>2</v>
      </c>
      <c r="D670" t="s">
        <v>334</v>
      </c>
      <c r="E670">
        <v>12</v>
      </c>
      <c r="F670">
        <v>0.24</v>
      </c>
      <c r="G670" t="b">
        <v>1</v>
      </c>
      <c r="H670">
        <f>Sensitivity!H11</f>
        <v>83395839222349</v>
      </c>
    </row>
    <row r="671" spans="1:8" x14ac:dyDescent="0.2">
      <c r="A671" t="s">
        <v>331</v>
      </c>
      <c r="B671" t="s">
        <v>312</v>
      </c>
      <c r="C671">
        <v>2</v>
      </c>
      <c r="D671" t="s">
        <v>334</v>
      </c>
      <c r="E671">
        <v>8</v>
      </c>
      <c r="F671">
        <v>0.76</v>
      </c>
      <c r="G671" t="b">
        <v>0</v>
      </c>
      <c r="H671">
        <f>Sensitivity!H11</f>
        <v>83395839222349</v>
      </c>
    </row>
    <row r="672" spans="1:8" x14ac:dyDescent="0.2">
      <c r="A672" t="s">
        <v>331</v>
      </c>
      <c r="B672" t="s">
        <v>312</v>
      </c>
      <c r="C672">
        <v>3</v>
      </c>
      <c r="D672" t="s">
        <v>334</v>
      </c>
      <c r="E672">
        <v>12</v>
      </c>
      <c r="F672">
        <v>0.08</v>
      </c>
      <c r="G672" t="b">
        <v>1</v>
      </c>
      <c r="H672">
        <f>Sensitivity!H11</f>
        <v>83395839222349</v>
      </c>
    </row>
    <row r="673" spans="1:8" x14ac:dyDescent="0.2">
      <c r="A673" t="s">
        <v>331</v>
      </c>
      <c r="B673" t="s">
        <v>312</v>
      </c>
      <c r="C673">
        <v>3</v>
      </c>
      <c r="D673" t="s">
        <v>334</v>
      </c>
      <c r="E673">
        <v>8</v>
      </c>
      <c r="F673">
        <v>0.92</v>
      </c>
      <c r="G673" t="b">
        <v>0</v>
      </c>
      <c r="H673">
        <f>Sensitivity!H11</f>
        <v>83395839222349</v>
      </c>
    </row>
    <row r="674" spans="1:8" x14ac:dyDescent="0.2">
      <c r="A674" t="s">
        <v>332</v>
      </c>
      <c r="B674" t="s">
        <v>300</v>
      </c>
      <c r="C674">
        <v>1</v>
      </c>
      <c r="D674" t="s">
        <v>339</v>
      </c>
      <c r="E674">
        <v>8</v>
      </c>
      <c r="F674">
        <v>1</v>
      </c>
      <c r="G674" t="b">
        <v>1</v>
      </c>
      <c r="H674">
        <f>Sensitivity!H19</f>
        <v>21625116399331</v>
      </c>
    </row>
    <row r="675" spans="1:8" x14ac:dyDescent="0.2">
      <c r="A675" t="s">
        <v>332</v>
      </c>
      <c r="B675" t="s">
        <v>300</v>
      </c>
      <c r="C675">
        <v>2</v>
      </c>
      <c r="D675" t="s">
        <v>339</v>
      </c>
      <c r="E675">
        <v>8</v>
      </c>
      <c r="F675">
        <v>0.24</v>
      </c>
      <c r="G675" t="b">
        <v>1</v>
      </c>
      <c r="H675">
        <f>Sensitivity!H19</f>
        <v>21625116399331</v>
      </c>
    </row>
    <row r="676" spans="1:8" x14ac:dyDescent="0.2">
      <c r="A676" t="s">
        <v>332</v>
      </c>
      <c r="B676" t="s">
        <v>300</v>
      </c>
      <c r="C676">
        <v>3</v>
      </c>
      <c r="D676" t="s">
        <v>339</v>
      </c>
      <c r="E676">
        <v>8</v>
      </c>
      <c r="F676">
        <v>0.08</v>
      </c>
      <c r="G676" t="b">
        <v>1</v>
      </c>
      <c r="H676">
        <f>Sensitivity!H19</f>
        <v>21625116399331</v>
      </c>
    </row>
    <row r="677" spans="1:8" x14ac:dyDescent="0.2">
      <c r="A677" t="s">
        <v>332</v>
      </c>
      <c r="B677" t="s">
        <v>304</v>
      </c>
      <c r="C677">
        <v>1</v>
      </c>
      <c r="D677" t="s">
        <v>339</v>
      </c>
      <c r="E677">
        <v>14</v>
      </c>
      <c r="F677">
        <v>1</v>
      </c>
      <c r="G677" t="b">
        <v>1</v>
      </c>
      <c r="H677">
        <f>Sensitivity!H19</f>
        <v>21625116399331</v>
      </c>
    </row>
    <row r="678" spans="1:8" x14ac:dyDescent="0.2">
      <c r="A678" t="s">
        <v>332</v>
      </c>
      <c r="B678" t="s">
        <v>304</v>
      </c>
      <c r="C678">
        <v>2</v>
      </c>
      <c r="D678" t="s">
        <v>339</v>
      </c>
      <c r="E678">
        <v>14</v>
      </c>
      <c r="F678">
        <v>0.24</v>
      </c>
      <c r="G678" t="b">
        <v>1</v>
      </c>
      <c r="H678">
        <f>Sensitivity!H19</f>
        <v>21625116399331</v>
      </c>
    </row>
    <row r="679" spans="1:8" x14ac:dyDescent="0.2">
      <c r="A679" t="s">
        <v>332</v>
      </c>
      <c r="B679" t="s">
        <v>304</v>
      </c>
      <c r="C679">
        <v>2</v>
      </c>
      <c r="D679" t="s">
        <v>339</v>
      </c>
      <c r="E679">
        <v>8</v>
      </c>
      <c r="F679">
        <v>0.76</v>
      </c>
      <c r="G679" t="b">
        <v>0</v>
      </c>
      <c r="H679">
        <f>Sensitivity!H19</f>
        <v>21625116399331</v>
      </c>
    </row>
    <row r="680" spans="1:8" x14ac:dyDescent="0.2">
      <c r="A680" t="s">
        <v>332</v>
      </c>
      <c r="B680" t="s">
        <v>304</v>
      </c>
      <c r="C680">
        <v>3</v>
      </c>
      <c r="D680" t="s">
        <v>339</v>
      </c>
      <c r="E680">
        <v>14</v>
      </c>
      <c r="F680">
        <v>0.08</v>
      </c>
      <c r="G680" t="b">
        <v>1</v>
      </c>
      <c r="H680">
        <f>Sensitivity!H19</f>
        <v>21625116399331</v>
      </c>
    </row>
    <row r="681" spans="1:8" x14ac:dyDescent="0.2">
      <c r="A681" t="s">
        <v>332</v>
      </c>
      <c r="B681" t="s">
        <v>304</v>
      </c>
      <c r="C681">
        <v>3</v>
      </c>
      <c r="D681" t="s">
        <v>339</v>
      </c>
      <c r="E681">
        <v>8</v>
      </c>
      <c r="F681">
        <v>0.92</v>
      </c>
      <c r="G681" t="b">
        <v>0</v>
      </c>
      <c r="H681">
        <f>Sensitivity!H19</f>
        <v>21625116399331</v>
      </c>
    </row>
    <row r="682" spans="1:8" x14ac:dyDescent="0.2">
      <c r="A682" t="s">
        <v>332</v>
      </c>
      <c r="B682" t="s">
        <v>308</v>
      </c>
      <c r="C682">
        <v>1</v>
      </c>
      <c r="D682" t="s">
        <v>339</v>
      </c>
      <c r="E682">
        <v>21</v>
      </c>
      <c r="F682">
        <v>1</v>
      </c>
      <c r="G682" t="b">
        <v>1</v>
      </c>
      <c r="H682">
        <f>Sensitivity!H19</f>
        <v>21625116399331</v>
      </c>
    </row>
    <row r="683" spans="1:8" x14ac:dyDescent="0.2">
      <c r="A683" t="s">
        <v>332</v>
      </c>
      <c r="B683" t="s">
        <v>308</v>
      </c>
      <c r="C683">
        <v>2</v>
      </c>
      <c r="D683" t="s">
        <v>339</v>
      </c>
      <c r="E683">
        <v>21</v>
      </c>
      <c r="F683">
        <v>0.24</v>
      </c>
      <c r="G683" t="b">
        <v>1</v>
      </c>
      <c r="H683">
        <f>Sensitivity!H19</f>
        <v>21625116399331</v>
      </c>
    </row>
    <row r="684" spans="1:8" x14ac:dyDescent="0.2">
      <c r="A684" t="s">
        <v>332</v>
      </c>
      <c r="B684" t="s">
        <v>308</v>
      </c>
      <c r="C684">
        <v>2</v>
      </c>
      <c r="D684" t="s">
        <v>339</v>
      </c>
      <c r="E684">
        <v>14</v>
      </c>
      <c r="F684">
        <v>0.76</v>
      </c>
      <c r="G684" t="b">
        <v>0</v>
      </c>
      <c r="H684">
        <f>Sensitivity!H19</f>
        <v>21625116399331</v>
      </c>
    </row>
    <row r="685" spans="1:8" x14ac:dyDescent="0.2">
      <c r="A685" t="s">
        <v>332</v>
      </c>
      <c r="B685" t="s">
        <v>308</v>
      </c>
      <c r="C685">
        <v>3</v>
      </c>
      <c r="D685" t="s">
        <v>339</v>
      </c>
      <c r="E685">
        <v>21</v>
      </c>
      <c r="F685">
        <v>0.08</v>
      </c>
      <c r="G685" t="b">
        <v>1</v>
      </c>
      <c r="H685">
        <f>Sensitivity!H19</f>
        <v>21625116399331</v>
      </c>
    </row>
    <row r="686" spans="1:8" x14ac:dyDescent="0.2">
      <c r="A686" t="s">
        <v>332</v>
      </c>
      <c r="B686" t="s">
        <v>308</v>
      </c>
      <c r="C686">
        <v>3</v>
      </c>
      <c r="D686" t="s">
        <v>339</v>
      </c>
      <c r="E686">
        <v>14</v>
      </c>
      <c r="F686">
        <v>0.92</v>
      </c>
      <c r="G686" t="b">
        <v>0</v>
      </c>
      <c r="H686">
        <f>Sensitivity!H19</f>
        <v>21625116399331</v>
      </c>
    </row>
    <row r="687" spans="1:8" x14ac:dyDescent="0.2">
      <c r="A687" t="s">
        <v>332</v>
      </c>
      <c r="B687" t="s">
        <v>312</v>
      </c>
      <c r="C687">
        <v>1</v>
      </c>
      <c r="D687" t="s">
        <v>339</v>
      </c>
      <c r="E687">
        <v>30</v>
      </c>
      <c r="F687">
        <v>1</v>
      </c>
      <c r="G687" t="b">
        <v>1</v>
      </c>
      <c r="H687">
        <f>Sensitivity!H19</f>
        <v>21625116399331</v>
      </c>
    </row>
    <row r="688" spans="1:8" x14ac:dyDescent="0.2">
      <c r="A688" t="s">
        <v>332</v>
      </c>
      <c r="B688" t="s">
        <v>312</v>
      </c>
      <c r="C688">
        <v>2</v>
      </c>
      <c r="D688" t="s">
        <v>339</v>
      </c>
      <c r="E688">
        <v>30</v>
      </c>
      <c r="F688">
        <v>0.24</v>
      </c>
      <c r="G688" t="b">
        <v>1</v>
      </c>
      <c r="H688">
        <f>Sensitivity!H19</f>
        <v>21625116399331</v>
      </c>
    </row>
    <row r="689" spans="1:8" x14ac:dyDescent="0.2">
      <c r="A689" t="s">
        <v>332</v>
      </c>
      <c r="B689" t="s">
        <v>312</v>
      </c>
      <c r="C689">
        <v>2</v>
      </c>
      <c r="D689" t="s">
        <v>339</v>
      </c>
      <c r="E689">
        <v>21</v>
      </c>
      <c r="F689">
        <v>0.76</v>
      </c>
      <c r="G689" t="b">
        <v>0</v>
      </c>
      <c r="H689">
        <f>Sensitivity!H19</f>
        <v>21625116399331</v>
      </c>
    </row>
    <row r="690" spans="1:8" x14ac:dyDescent="0.2">
      <c r="A690" t="s">
        <v>332</v>
      </c>
      <c r="B690" t="s">
        <v>312</v>
      </c>
      <c r="C690">
        <v>3</v>
      </c>
      <c r="D690" t="s">
        <v>339</v>
      </c>
      <c r="E690">
        <v>30</v>
      </c>
      <c r="F690">
        <v>0.08</v>
      </c>
      <c r="G690" t="b">
        <v>1</v>
      </c>
      <c r="H690">
        <f>Sensitivity!H19</f>
        <v>21625116399331</v>
      </c>
    </row>
    <row r="691" spans="1:8" x14ac:dyDescent="0.2">
      <c r="A691" t="s">
        <v>332</v>
      </c>
      <c r="B691" t="s">
        <v>312</v>
      </c>
      <c r="C691">
        <v>3</v>
      </c>
      <c r="D691" t="s">
        <v>339</v>
      </c>
      <c r="E691">
        <v>21</v>
      </c>
      <c r="F691">
        <v>0.92</v>
      </c>
      <c r="G691" t="b">
        <v>0</v>
      </c>
      <c r="H691">
        <f>Sensitivity!H19</f>
        <v>21625116399331</v>
      </c>
    </row>
    <row r="692" spans="1:8" x14ac:dyDescent="0.2">
      <c r="A692" t="s">
        <v>335</v>
      </c>
      <c r="B692" t="s">
        <v>300</v>
      </c>
      <c r="C692">
        <v>1</v>
      </c>
      <c r="D692" t="s">
        <v>337</v>
      </c>
      <c r="E692">
        <v>0.4</v>
      </c>
      <c r="F692">
        <v>1</v>
      </c>
      <c r="G692" t="b">
        <v>1</v>
      </c>
      <c r="H692">
        <f>Sensitivity!H6*INT(Inputs!$B$3/4)</f>
        <v>823661146043652</v>
      </c>
    </row>
    <row r="693" spans="1:8" x14ac:dyDescent="0.2">
      <c r="A693" t="s">
        <v>335</v>
      </c>
      <c r="B693" t="s">
        <v>300</v>
      </c>
      <c r="C693">
        <v>2</v>
      </c>
      <c r="D693" t="s">
        <v>337</v>
      </c>
      <c r="E693">
        <v>0.4</v>
      </c>
      <c r="F693">
        <v>0.24</v>
      </c>
      <c r="G693" t="b">
        <v>1</v>
      </c>
      <c r="H693">
        <f>Sensitivity!H6*INT(Inputs!$B$3/4)</f>
        <v>823661146043652</v>
      </c>
    </row>
    <row r="694" spans="1:8" x14ac:dyDescent="0.2">
      <c r="A694" t="s">
        <v>335</v>
      </c>
      <c r="B694" t="s">
        <v>300</v>
      </c>
      <c r="C694">
        <v>3</v>
      </c>
      <c r="D694" t="s">
        <v>337</v>
      </c>
      <c r="E694">
        <v>0.4</v>
      </c>
      <c r="F694">
        <v>0.08</v>
      </c>
      <c r="G694" t="b">
        <v>1</v>
      </c>
      <c r="H694">
        <f>Sensitivity!H6*INT(Inputs!$B$3/4)</f>
        <v>823661146043652</v>
      </c>
    </row>
    <row r="695" spans="1:8" x14ac:dyDescent="0.2">
      <c r="A695" t="s">
        <v>335</v>
      </c>
      <c r="B695" t="s">
        <v>304</v>
      </c>
      <c r="C695">
        <v>1</v>
      </c>
      <c r="D695" t="s">
        <v>337</v>
      </c>
      <c r="E695">
        <v>0.6</v>
      </c>
      <c r="F695">
        <v>1</v>
      </c>
      <c r="G695" t="b">
        <v>1</v>
      </c>
      <c r="H695">
        <f>Sensitivity!H6*INT(Inputs!$B$3/4)</f>
        <v>823661146043652</v>
      </c>
    </row>
    <row r="696" spans="1:8" x14ac:dyDescent="0.2">
      <c r="A696" t="s">
        <v>335</v>
      </c>
      <c r="B696" t="s">
        <v>304</v>
      </c>
      <c r="C696">
        <v>2</v>
      </c>
      <c r="D696" t="s">
        <v>337</v>
      </c>
      <c r="E696">
        <v>0.6</v>
      </c>
      <c r="F696">
        <v>0.24</v>
      </c>
      <c r="G696" t="b">
        <v>1</v>
      </c>
      <c r="H696">
        <f>Sensitivity!H6*INT(Inputs!$B$3/4)</f>
        <v>823661146043652</v>
      </c>
    </row>
    <row r="697" spans="1:8" x14ac:dyDescent="0.2">
      <c r="A697" t="s">
        <v>335</v>
      </c>
      <c r="B697" t="s">
        <v>304</v>
      </c>
      <c r="C697">
        <v>2</v>
      </c>
      <c r="D697" t="s">
        <v>337</v>
      </c>
      <c r="E697">
        <v>0.4</v>
      </c>
      <c r="F697">
        <v>0.76</v>
      </c>
      <c r="G697" t="b">
        <v>0</v>
      </c>
      <c r="H697">
        <f>Sensitivity!H6*INT(Inputs!$B$3/4)</f>
        <v>823661146043652</v>
      </c>
    </row>
    <row r="698" spans="1:8" x14ac:dyDescent="0.2">
      <c r="A698" t="s">
        <v>335</v>
      </c>
      <c r="B698" t="s">
        <v>304</v>
      </c>
      <c r="C698">
        <v>3</v>
      </c>
      <c r="D698" t="s">
        <v>337</v>
      </c>
      <c r="E698">
        <v>0.6</v>
      </c>
      <c r="F698">
        <v>0.08</v>
      </c>
      <c r="G698" t="b">
        <v>1</v>
      </c>
      <c r="H698">
        <f>Sensitivity!H6*INT(Inputs!$B$3/4)</f>
        <v>823661146043652</v>
      </c>
    </row>
    <row r="699" spans="1:8" x14ac:dyDescent="0.2">
      <c r="A699" t="s">
        <v>335</v>
      </c>
      <c r="B699" t="s">
        <v>304</v>
      </c>
      <c r="C699">
        <v>3</v>
      </c>
      <c r="D699" t="s">
        <v>337</v>
      </c>
      <c r="E699">
        <v>0.4</v>
      </c>
      <c r="F699">
        <v>0.92</v>
      </c>
      <c r="G699" t="b">
        <v>0</v>
      </c>
      <c r="H699">
        <f>Sensitivity!H6*INT(Inputs!$B$3/4)</f>
        <v>823661146043652</v>
      </c>
    </row>
    <row r="700" spans="1:8" x14ac:dyDescent="0.2">
      <c r="A700" t="s">
        <v>335</v>
      </c>
      <c r="B700" t="s">
        <v>308</v>
      </c>
      <c r="C700">
        <v>1</v>
      </c>
      <c r="D700" t="s">
        <v>337</v>
      </c>
      <c r="E700">
        <v>0.8</v>
      </c>
      <c r="F700">
        <v>1</v>
      </c>
      <c r="G700" t="b">
        <v>1</v>
      </c>
      <c r="H700">
        <f>Sensitivity!H6*INT(Inputs!$B$3/4)</f>
        <v>823661146043652</v>
      </c>
    </row>
    <row r="701" spans="1:8" x14ac:dyDescent="0.2">
      <c r="A701" t="s">
        <v>335</v>
      </c>
      <c r="B701" t="s">
        <v>308</v>
      </c>
      <c r="C701">
        <v>2</v>
      </c>
      <c r="D701" t="s">
        <v>337</v>
      </c>
      <c r="E701">
        <v>0.8</v>
      </c>
      <c r="F701">
        <v>0.24</v>
      </c>
      <c r="G701" t="b">
        <v>1</v>
      </c>
      <c r="H701">
        <f>Sensitivity!H6*INT(Inputs!$B$3/4)</f>
        <v>823661146043652</v>
      </c>
    </row>
    <row r="702" spans="1:8" x14ac:dyDescent="0.2">
      <c r="A702" t="s">
        <v>335</v>
      </c>
      <c r="B702" t="s">
        <v>308</v>
      </c>
      <c r="C702">
        <v>2</v>
      </c>
      <c r="D702" t="s">
        <v>337</v>
      </c>
      <c r="E702">
        <v>0.6</v>
      </c>
      <c r="F702">
        <v>0.76</v>
      </c>
      <c r="G702" t="b">
        <v>0</v>
      </c>
      <c r="H702">
        <f>Sensitivity!H6*INT(Inputs!$B$3/4)</f>
        <v>823661146043652</v>
      </c>
    </row>
    <row r="703" spans="1:8" x14ac:dyDescent="0.2">
      <c r="A703" t="s">
        <v>335</v>
      </c>
      <c r="B703" t="s">
        <v>308</v>
      </c>
      <c r="C703">
        <v>3</v>
      </c>
      <c r="D703" t="s">
        <v>337</v>
      </c>
      <c r="E703">
        <v>0.8</v>
      </c>
      <c r="F703">
        <v>0.08</v>
      </c>
      <c r="G703" t="b">
        <v>1</v>
      </c>
      <c r="H703">
        <f>Sensitivity!H6*INT(Inputs!$B$3/4)</f>
        <v>823661146043652</v>
      </c>
    </row>
    <row r="704" spans="1:8" x14ac:dyDescent="0.2">
      <c r="A704" t="s">
        <v>335</v>
      </c>
      <c r="B704" t="s">
        <v>308</v>
      </c>
      <c r="C704">
        <v>3</v>
      </c>
      <c r="D704" t="s">
        <v>337</v>
      </c>
      <c r="E704">
        <v>0.6</v>
      </c>
      <c r="F704">
        <v>0.92</v>
      </c>
      <c r="G704" t="b">
        <v>0</v>
      </c>
      <c r="H704">
        <f>Sensitivity!H6*INT(Inputs!$B$3/4)</f>
        <v>823661146043652</v>
      </c>
    </row>
    <row r="705" spans="1:8" x14ac:dyDescent="0.2">
      <c r="A705" t="s">
        <v>335</v>
      </c>
      <c r="B705" t="s">
        <v>312</v>
      </c>
      <c r="C705">
        <v>1</v>
      </c>
      <c r="D705" t="s">
        <v>337</v>
      </c>
      <c r="E705">
        <v>1.2</v>
      </c>
      <c r="F705">
        <v>1</v>
      </c>
      <c r="G705" t="b">
        <v>1</v>
      </c>
      <c r="H705">
        <f>Sensitivity!H6*INT(Inputs!$B$3/4)</f>
        <v>823661146043652</v>
      </c>
    </row>
    <row r="706" spans="1:8" x14ac:dyDescent="0.2">
      <c r="A706" t="s">
        <v>335</v>
      </c>
      <c r="B706" t="s">
        <v>312</v>
      </c>
      <c r="C706">
        <v>2</v>
      </c>
      <c r="D706" t="s">
        <v>337</v>
      </c>
      <c r="E706">
        <v>1.2</v>
      </c>
      <c r="F706">
        <v>0.24</v>
      </c>
      <c r="G706" t="b">
        <v>1</v>
      </c>
      <c r="H706">
        <f>Sensitivity!H6*INT(Inputs!$B$3/4)</f>
        <v>823661146043652</v>
      </c>
    </row>
    <row r="707" spans="1:8" x14ac:dyDescent="0.2">
      <c r="A707" t="s">
        <v>335</v>
      </c>
      <c r="B707" t="s">
        <v>312</v>
      </c>
      <c r="C707">
        <v>2</v>
      </c>
      <c r="D707" t="s">
        <v>337</v>
      </c>
      <c r="E707">
        <v>0.8</v>
      </c>
      <c r="F707">
        <v>0.76</v>
      </c>
      <c r="G707" t="b">
        <v>0</v>
      </c>
      <c r="H707">
        <f>Sensitivity!H6*INT(Inputs!$B$3/4)</f>
        <v>823661146043652</v>
      </c>
    </row>
    <row r="708" spans="1:8" x14ac:dyDescent="0.2">
      <c r="A708" t="s">
        <v>335</v>
      </c>
      <c r="B708" t="s">
        <v>312</v>
      </c>
      <c r="C708">
        <v>3</v>
      </c>
      <c r="D708" t="s">
        <v>337</v>
      </c>
      <c r="E708">
        <v>1.2</v>
      </c>
      <c r="F708">
        <v>0.08</v>
      </c>
      <c r="G708" t="b">
        <v>1</v>
      </c>
      <c r="H708">
        <f>Sensitivity!H6*INT(Inputs!$B$3/4)</f>
        <v>823661146043652</v>
      </c>
    </row>
    <row r="709" spans="1:8" x14ac:dyDescent="0.2">
      <c r="A709" t="s">
        <v>335</v>
      </c>
      <c r="B709" t="s">
        <v>312</v>
      </c>
      <c r="C709">
        <v>3</v>
      </c>
      <c r="D709" t="s">
        <v>337</v>
      </c>
      <c r="E709">
        <v>0.8</v>
      </c>
      <c r="F709">
        <v>0.92</v>
      </c>
      <c r="G709" t="b">
        <v>0</v>
      </c>
      <c r="H709">
        <f>Sensitivity!H6*INT(Inputs!$B$3/4)</f>
        <v>823661146043652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5"/>
  <sheetViews>
    <sheetView workbookViewId="0">
      <pane ySplit="5" topLeftCell="A6" activePane="bottomLeft" state="frozen"/>
      <selection pane="bottomLeft" activeCell="E14" sqref="E14"/>
    </sheetView>
  </sheetViews>
  <sheetFormatPr baseColWidth="10" defaultColWidth="8.83203125" defaultRowHeight="15" x14ac:dyDescent="0.2"/>
  <cols>
    <col min="1" max="1" width="12" customWidth="1"/>
    <col min="2" max="2" width="15" customWidth="1"/>
    <col min="3" max="3" width="13" customWidth="1"/>
    <col min="4" max="4" width="18" customWidth="1"/>
    <col min="5" max="5" width="26" customWidth="1"/>
    <col min="6" max="6" width="11" customWidth="1"/>
    <col min="7" max="7" width="26" customWidth="1"/>
    <col min="8" max="8" width="11" customWidth="1"/>
    <col min="9" max="9" width="26" customWidth="1"/>
    <col min="10" max="10" width="11" customWidth="1"/>
  </cols>
  <sheetData>
    <row r="1" spans="1:10" ht="19" x14ac:dyDescent="0.25">
      <c r="A1" s="4" t="s">
        <v>340</v>
      </c>
    </row>
    <row r="2" spans="1:10" x14ac:dyDescent="0.2">
      <c r="A2" t="s">
        <v>341</v>
      </c>
    </row>
    <row r="3" spans="1:10" x14ac:dyDescent="0.2">
      <c r="A3" t="s">
        <v>342</v>
      </c>
    </row>
    <row r="5" spans="1:10" x14ac:dyDescent="0.2">
      <c r="A5" s="8" t="s">
        <v>280</v>
      </c>
      <c r="B5" s="8" t="s">
        <v>343</v>
      </c>
      <c r="C5" s="8" t="s">
        <v>344</v>
      </c>
      <c r="D5" s="8" t="s">
        <v>345</v>
      </c>
      <c r="E5" s="8" t="s">
        <v>346</v>
      </c>
      <c r="F5" s="8" t="s">
        <v>347</v>
      </c>
      <c r="G5" s="8" t="s">
        <v>348</v>
      </c>
      <c r="H5" s="8" t="s">
        <v>349</v>
      </c>
      <c r="I5" s="8" t="s">
        <v>350</v>
      </c>
      <c r="J5" s="8" t="s">
        <v>351</v>
      </c>
    </row>
    <row r="6" spans="1:10" x14ac:dyDescent="0.2">
      <c r="A6" t="s">
        <v>294</v>
      </c>
      <c r="B6" t="s">
        <v>352</v>
      </c>
      <c r="C6" t="s">
        <v>304</v>
      </c>
      <c r="D6">
        <v>49</v>
      </c>
      <c r="E6" t="s">
        <v>317</v>
      </c>
      <c r="F6">
        <v>9</v>
      </c>
      <c r="G6" t="s">
        <v>317</v>
      </c>
      <c r="H6">
        <v>6</v>
      </c>
      <c r="I6" t="s">
        <v>295</v>
      </c>
      <c r="J6">
        <v>4</v>
      </c>
    </row>
    <row r="7" spans="1:10" x14ac:dyDescent="0.2">
      <c r="A7" t="s">
        <v>294</v>
      </c>
      <c r="B7" t="s">
        <v>353</v>
      </c>
      <c r="C7" t="s">
        <v>300</v>
      </c>
      <c r="D7">
        <v>49</v>
      </c>
      <c r="E7" t="s">
        <v>317</v>
      </c>
      <c r="F7">
        <v>9</v>
      </c>
      <c r="G7" t="s">
        <v>322</v>
      </c>
      <c r="H7">
        <v>4.5</v>
      </c>
      <c r="I7" t="s">
        <v>302</v>
      </c>
      <c r="J7">
        <v>6</v>
      </c>
    </row>
    <row r="8" spans="1:10" x14ac:dyDescent="0.2">
      <c r="A8" t="s">
        <v>298</v>
      </c>
      <c r="B8" t="s">
        <v>352</v>
      </c>
      <c r="C8" t="s">
        <v>308</v>
      </c>
      <c r="D8">
        <v>67</v>
      </c>
      <c r="E8" t="s">
        <v>334</v>
      </c>
      <c r="F8">
        <v>8</v>
      </c>
      <c r="G8" t="s">
        <v>302</v>
      </c>
      <c r="H8">
        <v>15</v>
      </c>
      <c r="I8" t="s">
        <v>334</v>
      </c>
      <c r="J8">
        <v>5</v>
      </c>
    </row>
    <row r="9" spans="1:10" x14ac:dyDescent="0.2">
      <c r="A9" t="s">
        <v>298</v>
      </c>
      <c r="B9" t="s">
        <v>353</v>
      </c>
      <c r="C9" t="s">
        <v>300</v>
      </c>
      <c r="D9">
        <v>14</v>
      </c>
      <c r="E9" t="s">
        <v>302</v>
      </c>
      <c r="F9">
        <v>8</v>
      </c>
      <c r="G9" t="s">
        <v>317</v>
      </c>
      <c r="H9">
        <v>4.5</v>
      </c>
      <c r="I9" t="s">
        <v>306</v>
      </c>
      <c r="J9">
        <v>6</v>
      </c>
    </row>
    <row r="10" spans="1:10" x14ac:dyDescent="0.2">
      <c r="A10" t="s">
        <v>301</v>
      </c>
      <c r="B10" t="s">
        <v>352</v>
      </c>
      <c r="C10" t="s">
        <v>312</v>
      </c>
      <c r="D10">
        <v>0</v>
      </c>
      <c r="E10" t="s">
        <v>307</v>
      </c>
      <c r="F10">
        <v>3</v>
      </c>
      <c r="G10" t="s">
        <v>292</v>
      </c>
      <c r="H10">
        <v>12</v>
      </c>
      <c r="I10" t="s">
        <v>307</v>
      </c>
      <c r="J10">
        <v>2</v>
      </c>
    </row>
    <row r="11" spans="1:10" x14ac:dyDescent="0.2">
      <c r="A11" t="s">
        <v>301</v>
      </c>
      <c r="B11" t="s">
        <v>353</v>
      </c>
      <c r="C11" t="s">
        <v>304</v>
      </c>
      <c r="D11">
        <v>20</v>
      </c>
      <c r="E11" t="s">
        <v>333</v>
      </c>
      <c r="F11">
        <v>400</v>
      </c>
      <c r="G11" t="s">
        <v>317</v>
      </c>
      <c r="H11">
        <v>9</v>
      </c>
      <c r="I11" t="s">
        <v>317</v>
      </c>
      <c r="J11">
        <v>6</v>
      </c>
    </row>
    <row r="12" spans="1:10" x14ac:dyDescent="0.2">
      <c r="A12" t="s">
        <v>305</v>
      </c>
      <c r="B12" t="s">
        <v>352</v>
      </c>
      <c r="C12" t="s">
        <v>308</v>
      </c>
      <c r="D12">
        <v>44</v>
      </c>
      <c r="E12" t="s">
        <v>327</v>
      </c>
      <c r="F12">
        <v>12</v>
      </c>
      <c r="G12" t="s">
        <v>306</v>
      </c>
      <c r="H12">
        <v>10</v>
      </c>
      <c r="I12" t="s">
        <v>295</v>
      </c>
      <c r="J12">
        <v>5</v>
      </c>
    </row>
    <row r="13" spans="1:10" x14ac:dyDescent="0.2">
      <c r="A13" t="s">
        <v>305</v>
      </c>
      <c r="B13" t="s">
        <v>353</v>
      </c>
      <c r="C13" t="s">
        <v>297</v>
      </c>
      <c r="D13">
        <v>3</v>
      </c>
      <c r="E13" t="s">
        <v>306</v>
      </c>
      <c r="F13">
        <v>6</v>
      </c>
      <c r="G13" t="s">
        <v>317</v>
      </c>
      <c r="H13">
        <v>3</v>
      </c>
      <c r="I13" t="s">
        <v>295</v>
      </c>
      <c r="J13">
        <v>3</v>
      </c>
    </row>
    <row r="14" spans="1:10" x14ac:dyDescent="0.2">
      <c r="A14" t="s">
        <v>309</v>
      </c>
      <c r="B14" t="s">
        <v>352</v>
      </c>
      <c r="C14" t="s">
        <v>308</v>
      </c>
      <c r="D14">
        <v>15</v>
      </c>
      <c r="E14" t="s">
        <v>302</v>
      </c>
      <c r="F14">
        <v>15</v>
      </c>
      <c r="G14" t="s">
        <v>334</v>
      </c>
      <c r="H14">
        <v>8</v>
      </c>
      <c r="I14" t="s">
        <v>322</v>
      </c>
      <c r="J14">
        <v>9</v>
      </c>
    </row>
    <row r="15" spans="1:10" x14ac:dyDescent="0.2">
      <c r="A15" t="s">
        <v>309</v>
      </c>
      <c r="B15" t="s">
        <v>353</v>
      </c>
      <c r="C15" t="s">
        <v>300</v>
      </c>
      <c r="D15">
        <v>38</v>
      </c>
      <c r="E15" t="s">
        <v>333</v>
      </c>
      <c r="F15">
        <v>200</v>
      </c>
      <c r="G15" t="s">
        <v>317</v>
      </c>
      <c r="H15">
        <v>4.5</v>
      </c>
      <c r="I15" t="s">
        <v>317</v>
      </c>
      <c r="J15">
        <v>4.5</v>
      </c>
    </row>
    <row r="16" spans="1:10" x14ac:dyDescent="0.2">
      <c r="A16" t="s">
        <v>313</v>
      </c>
      <c r="B16" t="s">
        <v>352</v>
      </c>
      <c r="C16" t="s">
        <v>308</v>
      </c>
      <c r="D16">
        <v>382</v>
      </c>
      <c r="E16" t="s">
        <v>302</v>
      </c>
      <c r="F16">
        <v>15</v>
      </c>
      <c r="G16" t="s">
        <v>317</v>
      </c>
      <c r="H16">
        <v>9</v>
      </c>
      <c r="I16" t="s">
        <v>299</v>
      </c>
      <c r="J16">
        <v>18</v>
      </c>
    </row>
    <row r="17" spans="1:10" x14ac:dyDescent="0.2">
      <c r="A17" t="s">
        <v>313</v>
      </c>
      <c r="B17" t="s">
        <v>353</v>
      </c>
      <c r="C17" t="s">
        <v>297</v>
      </c>
      <c r="D17">
        <v>1</v>
      </c>
      <c r="E17" t="s">
        <v>317</v>
      </c>
      <c r="F17">
        <v>4.5</v>
      </c>
      <c r="G17" t="s">
        <v>299</v>
      </c>
      <c r="H17">
        <v>5</v>
      </c>
      <c r="I17" t="s">
        <v>299</v>
      </c>
      <c r="J17">
        <v>5</v>
      </c>
    </row>
    <row r="18" spans="1:10" x14ac:dyDescent="0.2">
      <c r="A18" t="s">
        <v>316</v>
      </c>
      <c r="B18" t="s">
        <v>352</v>
      </c>
      <c r="C18" t="s">
        <v>308</v>
      </c>
      <c r="D18">
        <v>64</v>
      </c>
      <c r="E18" t="s">
        <v>326</v>
      </c>
      <c r="F18">
        <v>12</v>
      </c>
      <c r="G18" t="s">
        <v>299</v>
      </c>
      <c r="H18">
        <v>18</v>
      </c>
      <c r="I18" t="s">
        <v>318</v>
      </c>
      <c r="J18">
        <v>30</v>
      </c>
    </row>
    <row r="19" spans="1:10" x14ac:dyDescent="0.2">
      <c r="A19" t="s">
        <v>316</v>
      </c>
      <c r="B19" t="s">
        <v>353</v>
      </c>
      <c r="C19" t="s">
        <v>300</v>
      </c>
      <c r="D19">
        <v>25</v>
      </c>
      <c r="E19" t="s">
        <v>292</v>
      </c>
      <c r="F19">
        <v>6</v>
      </c>
      <c r="G19" t="s">
        <v>306</v>
      </c>
      <c r="H19">
        <v>8</v>
      </c>
      <c r="I19" t="s">
        <v>317</v>
      </c>
      <c r="J19">
        <v>4.5</v>
      </c>
    </row>
    <row r="20" spans="1:10" x14ac:dyDescent="0.2">
      <c r="A20" t="s">
        <v>319</v>
      </c>
      <c r="B20" t="s">
        <v>352</v>
      </c>
      <c r="C20" t="s">
        <v>308</v>
      </c>
      <c r="D20">
        <v>101</v>
      </c>
      <c r="E20" t="s">
        <v>299</v>
      </c>
      <c r="F20">
        <v>25</v>
      </c>
      <c r="G20" t="s">
        <v>317</v>
      </c>
      <c r="H20">
        <v>12</v>
      </c>
      <c r="I20" t="s">
        <v>299</v>
      </c>
      <c r="J20">
        <v>18</v>
      </c>
    </row>
    <row r="21" spans="1:10" x14ac:dyDescent="0.2">
      <c r="A21" t="s">
        <v>319</v>
      </c>
      <c r="B21" t="s">
        <v>353</v>
      </c>
      <c r="C21" t="s">
        <v>304</v>
      </c>
      <c r="D21">
        <v>151</v>
      </c>
      <c r="E21" t="s">
        <v>317</v>
      </c>
      <c r="F21">
        <v>9</v>
      </c>
      <c r="G21" t="s">
        <v>306</v>
      </c>
      <c r="H21">
        <v>8</v>
      </c>
      <c r="I21" t="s">
        <v>324</v>
      </c>
      <c r="J21">
        <v>12</v>
      </c>
    </row>
    <row r="22" spans="1:10" x14ac:dyDescent="0.2">
      <c r="A22" t="s">
        <v>321</v>
      </c>
      <c r="B22" t="s">
        <v>352</v>
      </c>
      <c r="C22" t="s">
        <v>304</v>
      </c>
      <c r="D22">
        <v>63</v>
      </c>
      <c r="E22" t="s">
        <v>296</v>
      </c>
      <c r="F22">
        <v>8</v>
      </c>
      <c r="G22" t="s">
        <v>292</v>
      </c>
      <c r="H22">
        <v>6</v>
      </c>
      <c r="I22" t="s">
        <v>317</v>
      </c>
      <c r="J22">
        <v>6</v>
      </c>
    </row>
    <row r="23" spans="1:10" x14ac:dyDescent="0.2">
      <c r="A23" t="s">
        <v>321</v>
      </c>
      <c r="B23" t="s">
        <v>353</v>
      </c>
      <c r="C23" t="s">
        <v>304</v>
      </c>
      <c r="D23">
        <v>3</v>
      </c>
      <c r="E23" t="s">
        <v>317</v>
      </c>
      <c r="F23">
        <v>9</v>
      </c>
      <c r="G23" t="s">
        <v>299</v>
      </c>
      <c r="H23">
        <v>12</v>
      </c>
      <c r="I23" t="s">
        <v>333</v>
      </c>
      <c r="J23">
        <v>200</v>
      </c>
    </row>
    <row r="24" spans="1:10" x14ac:dyDescent="0.2">
      <c r="A24" t="s">
        <v>323</v>
      </c>
      <c r="B24" t="s">
        <v>352</v>
      </c>
      <c r="C24" t="s">
        <v>308</v>
      </c>
      <c r="D24">
        <v>14</v>
      </c>
      <c r="E24" t="s">
        <v>296</v>
      </c>
      <c r="F24">
        <v>12</v>
      </c>
      <c r="G24" t="s">
        <v>302</v>
      </c>
      <c r="H24">
        <v>15</v>
      </c>
      <c r="I24" t="s">
        <v>317</v>
      </c>
      <c r="J24">
        <v>9</v>
      </c>
    </row>
    <row r="25" spans="1:10" x14ac:dyDescent="0.2">
      <c r="A25" t="s">
        <v>323</v>
      </c>
      <c r="B25" t="s">
        <v>353</v>
      </c>
      <c r="C25" t="s">
        <v>308</v>
      </c>
      <c r="D25">
        <v>66</v>
      </c>
      <c r="E25" t="s">
        <v>320</v>
      </c>
      <c r="F25">
        <v>12</v>
      </c>
      <c r="G25" t="s">
        <v>317</v>
      </c>
      <c r="H25">
        <v>9</v>
      </c>
      <c r="I25" t="s">
        <v>296</v>
      </c>
      <c r="J25">
        <v>8</v>
      </c>
    </row>
    <row r="26" spans="1:10" x14ac:dyDescent="0.2">
      <c r="A26" t="s">
        <v>325</v>
      </c>
      <c r="B26" t="s">
        <v>352</v>
      </c>
      <c r="C26" t="s">
        <v>308</v>
      </c>
      <c r="D26">
        <v>331</v>
      </c>
      <c r="E26" t="s">
        <v>338</v>
      </c>
      <c r="F26">
        <v>35</v>
      </c>
      <c r="G26" t="s">
        <v>333</v>
      </c>
      <c r="H26">
        <v>400</v>
      </c>
      <c r="I26" t="s">
        <v>333</v>
      </c>
      <c r="J26">
        <v>400</v>
      </c>
    </row>
    <row r="27" spans="1:10" x14ac:dyDescent="0.2">
      <c r="A27" t="s">
        <v>325</v>
      </c>
      <c r="B27" t="s">
        <v>353</v>
      </c>
      <c r="C27" t="s">
        <v>304</v>
      </c>
      <c r="D27">
        <v>19</v>
      </c>
      <c r="E27" t="s">
        <v>338</v>
      </c>
      <c r="F27">
        <v>20</v>
      </c>
      <c r="G27" t="s">
        <v>324</v>
      </c>
      <c r="H27">
        <v>15</v>
      </c>
      <c r="I27" t="s">
        <v>306</v>
      </c>
      <c r="J27">
        <v>8</v>
      </c>
    </row>
    <row r="28" spans="1:10" x14ac:dyDescent="0.2">
      <c r="A28" t="s">
        <v>328</v>
      </c>
      <c r="B28" t="s">
        <v>352</v>
      </c>
      <c r="C28" t="s">
        <v>308</v>
      </c>
      <c r="D28">
        <v>72</v>
      </c>
      <c r="E28" t="s">
        <v>299</v>
      </c>
      <c r="F28">
        <v>25</v>
      </c>
      <c r="G28" t="s">
        <v>299</v>
      </c>
      <c r="H28">
        <v>18</v>
      </c>
      <c r="I28" t="s">
        <v>303</v>
      </c>
      <c r="J28">
        <v>14</v>
      </c>
    </row>
    <row r="29" spans="1:10" x14ac:dyDescent="0.2">
      <c r="A29" t="s">
        <v>328</v>
      </c>
      <c r="B29" t="s">
        <v>353</v>
      </c>
      <c r="C29" t="s">
        <v>304</v>
      </c>
      <c r="D29">
        <v>22</v>
      </c>
      <c r="E29" t="s">
        <v>317</v>
      </c>
      <c r="F29">
        <v>9</v>
      </c>
      <c r="G29" t="s">
        <v>306</v>
      </c>
      <c r="H29">
        <v>10</v>
      </c>
      <c r="I29" t="s">
        <v>336</v>
      </c>
      <c r="J29">
        <v>200</v>
      </c>
    </row>
    <row r="30" spans="1:10" x14ac:dyDescent="0.2">
      <c r="A30" t="s">
        <v>331</v>
      </c>
      <c r="B30" t="s">
        <v>352</v>
      </c>
      <c r="C30" t="s">
        <v>304</v>
      </c>
      <c r="D30">
        <v>196</v>
      </c>
      <c r="E30" t="s">
        <v>317</v>
      </c>
      <c r="F30">
        <v>9</v>
      </c>
      <c r="G30" t="s">
        <v>334</v>
      </c>
      <c r="H30">
        <v>5</v>
      </c>
      <c r="I30" t="s">
        <v>320</v>
      </c>
      <c r="J30">
        <v>6</v>
      </c>
    </row>
    <row r="31" spans="1:10" x14ac:dyDescent="0.2">
      <c r="A31" t="s">
        <v>331</v>
      </c>
      <c r="B31" t="s">
        <v>353</v>
      </c>
      <c r="C31" t="s">
        <v>304</v>
      </c>
      <c r="D31">
        <v>19</v>
      </c>
      <c r="E31" t="s">
        <v>299</v>
      </c>
      <c r="F31">
        <v>18</v>
      </c>
      <c r="G31" t="s">
        <v>317</v>
      </c>
      <c r="H31">
        <v>9</v>
      </c>
      <c r="I31" t="s">
        <v>314</v>
      </c>
      <c r="J31">
        <v>6</v>
      </c>
    </row>
    <row r="32" spans="1:10" x14ac:dyDescent="0.2">
      <c r="A32" t="s">
        <v>332</v>
      </c>
      <c r="B32" t="s">
        <v>352</v>
      </c>
      <c r="C32" t="s">
        <v>312</v>
      </c>
      <c r="D32">
        <v>0</v>
      </c>
      <c r="E32" t="s">
        <v>339</v>
      </c>
      <c r="F32">
        <v>30</v>
      </c>
      <c r="G32" t="s">
        <v>295</v>
      </c>
      <c r="H32">
        <v>7</v>
      </c>
      <c r="I32" t="s">
        <v>317</v>
      </c>
      <c r="J32">
        <v>12</v>
      </c>
    </row>
    <row r="33" spans="1:10" x14ac:dyDescent="0.2">
      <c r="A33" t="s">
        <v>332</v>
      </c>
      <c r="B33" t="s">
        <v>353</v>
      </c>
      <c r="C33" t="s">
        <v>297</v>
      </c>
      <c r="D33">
        <v>5</v>
      </c>
      <c r="E33" t="s">
        <v>317</v>
      </c>
      <c r="F33">
        <v>4.5</v>
      </c>
      <c r="G33" t="s">
        <v>326</v>
      </c>
      <c r="H33">
        <v>3</v>
      </c>
      <c r="I33" t="s">
        <v>317</v>
      </c>
      <c r="J33">
        <v>3</v>
      </c>
    </row>
    <row r="34" spans="1:10" x14ac:dyDescent="0.2">
      <c r="A34" t="s">
        <v>335</v>
      </c>
      <c r="B34" t="s">
        <v>352</v>
      </c>
      <c r="C34" t="s">
        <v>304</v>
      </c>
      <c r="D34">
        <v>184</v>
      </c>
      <c r="E34" t="s">
        <v>317</v>
      </c>
      <c r="F34">
        <v>9</v>
      </c>
      <c r="G34" t="s">
        <v>336</v>
      </c>
      <c r="H34">
        <v>400</v>
      </c>
      <c r="I34" t="s">
        <v>337</v>
      </c>
      <c r="J34">
        <v>0.4</v>
      </c>
    </row>
    <row r="35" spans="1:10" x14ac:dyDescent="0.2">
      <c r="A35" t="s">
        <v>335</v>
      </c>
      <c r="B35" t="s">
        <v>353</v>
      </c>
      <c r="C35" t="s">
        <v>300</v>
      </c>
      <c r="D35">
        <v>27</v>
      </c>
      <c r="E35" t="s">
        <v>337</v>
      </c>
      <c r="F35">
        <v>0.4</v>
      </c>
      <c r="G35" t="s">
        <v>329</v>
      </c>
      <c r="H35">
        <v>200</v>
      </c>
      <c r="I35" t="s">
        <v>322</v>
      </c>
      <c r="J35">
        <v>4.5</v>
      </c>
    </row>
  </sheetData>
  <dataValidations count="1">
    <dataValidation type="list" sqref="C6 C7 C8 C9 C10 C11 C12 C13 C14 C15 C16 C17 C18 C19 C20 C21 C22 C23 C24 C25 C26 C27 C28 C29 C30 C31 C32 C33 C34 C35" xr:uid="{00000000-0002-0000-0800-000000000000}">
      <formula1>"normal,rare,epic,unique,legendary,mystic"</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800-000001000000}">
          <x14:formula1>
            <xm:f>CubeData!$J$2:$J$30</xm:f>
          </x14:formula1>
          <xm: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Inputs</vt:lpstr>
      <vt:lpstr>FactorTable</vt:lpstr>
      <vt:lpstr>Skills</vt:lpstr>
      <vt:lpstr>Calc</vt:lpstr>
      <vt:lpstr>Summary</vt:lpstr>
      <vt:lpstr>Sensitivity</vt:lpstr>
      <vt:lpstr>CubeData</vt:lpstr>
      <vt:lpstr>PotentialCubes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Yaniv Goft</cp:lastModifiedBy>
  <dcterms:created xsi:type="dcterms:W3CDTF">2026-09-10T06:07:36Z</dcterms:created>
  <dcterms:modified xsi:type="dcterms:W3CDTF">2026-09-16T10:46:33Z</dcterms:modified>
</cp:coreProperties>
</file>