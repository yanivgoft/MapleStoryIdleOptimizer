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Inputs" sheetId="2" state="visible" r:id="rId2"/>
    <sheet name="FactorTable" sheetId="3" state="visible" r:id="rId3"/>
    <sheet name="Skills" sheetId="4" state="visible" r:id="rId4"/>
    <sheet name="Calc" sheetId="5" state="visible" r:id="rId5"/>
    <sheet name="Summary" sheetId="6" state="visible" r:id="rId6"/>
    <sheet name="Sensitivity" sheetId="7" state="visible" r:id="rId7"/>
    <sheet name="CubeData" sheetId="8" state="visible" r:id="rId8"/>
    <sheet name="PotentialCubes"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sz val="12"/>
    </font>
    <font>
      <b val="1"/>
    </font>
    <font>
      <b val="1"/>
      <color rgb="00FFFFFF"/>
    </font>
    <font>
      <b val="1"/>
      <sz val="13"/>
    </font>
  </fonts>
  <fills count="4">
    <fill>
      <patternFill/>
    </fill>
    <fill>
      <patternFill patternType="gray125"/>
    </fill>
    <fill>
      <patternFill patternType="solid">
        <fgColor rgb="00FFF2CC"/>
      </patternFill>
    </fill>
    <fill>
      <patternFill patternType="solid">
        <fgColor rgb="001F4E78"/>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3" fillId="0" borderId="0" pivotButton="0" quotePrefix="0" xfId="0"/>
    <xf numFmtId="0" fontId="0" fillId="2" borderId="0" pivotButton="0" quotePrefix="0" xfId="0"/>
    <xf numFmtId="0" fontId="2" fillId="0" borderId="0" pivotButton="0" quotePrefix="0" xfId="0"/>
    <xf numFmtId="0" fontId="4" fillId="3" borderId="0" applyAlignment="1" pivotButton="0" quotePrefix="0" xfId="0">
      <alignment horizontal="center"/>
    </xf>
    <xf numFmtId="0" fontId="5" fillId="0" borderId="0" pivotButton="0" quotePrefix="0" xfId="0"/>
    <xf numFmtId="0" fontId="4"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10" customWidth="1" min="1" max="1"/>
  </cols>
  <sheetData>
    <row r="1">
      <c r="A1" s="1" t="inlineStr">
        <is>
          <t>Paladin — DPS Calculator: How to Use This Workbook</t>
        </is>
      </c>
    </row>
    <row r="2">
      <c r="A2" s="2" t="n"/>
    </row>
    <row r="3">
      <c r="A3" s="3" t="inlineStr">
        <is>
          <t>How to use this workbook</t>
        </is>
      </c>
    </row>
    <row r="4">
      <c r="A4" s="2" t="inlineStr">
        <is>
          <t>Only edit the yellow-highlighted cells on the Inputs sheet — every other sheet is computed from those values and will be overwritten if you rebuild the workbook.</t>
        </is>
      </c>
    </row>
    <row r="5">
      <c r="A5" s="2" t="inlineStr">
        <is>
          <t>Summary shows Total DPS, a Per-Skill DPS Breakdown (damage-dealing skills only — buffs/passives that never deal their own damage are omitted), and a Marginal DPS &amp; Stat Value table showing the DPS gained per +1 of each stat.</t>
        </is>
      </c>
    </row>
    <row r="6">
      <c r="A6" s="2" t="inlineStr">
        <is>
          <t>Sensitivity has the full detail behind that marginal-value table — one self-contained block per stat, showing exactly how bumping that stat by +1 changes every downstream number.</t>
        </is>
      </c>
    </row>
    <row r="7">
      <c r="A7" s="2" t="inlineStr">
        <is>
          <t>CubeData/PotentialCubes model your current gear's Potential Cube lines and drive cube-reroll expected-value decisions. For the full standalone Potential Cube EV calculator (exact optimal-stopping math, works from this workbook alone), see tools/potential_cubes_ev.py in the project repo.</t>
        </is>
      </c>
    </row>
    <row r="8">
      <c r="A8" s="2" t="n"/>
    </row>
    <row r="9">
      <c r="A9" s="3" t="inlineStr">
        <is>
          <t>Design decisions &amp; assumptions</t>
        </is>
      </c>
    </row>
    <row r="10">
      <c r="A10" s="2" t="inlineStr">
        <is>
          <t>Iron Body's flat +30 STR, Warrior Mastery, Paladin's own 2nd-job Power Stance (Attack%), Weapon Acceleration, Physical Training, Weapon Mastery, and Paladin Expert are always-on passives assumed to already be reflected in your own Inputs stat entries — only their Sensitivity marginal delta is modeled live. Iron Body's flat STR and Power Stance's own damage-reduction component have NO Sensitivity delta row at all (no percentage-bucket exists for a flat sub-stat bonus, and no damage-taken mechanic exists in this template).</t>
        </is>
      </c>
    </row>
    <row r="11">
      <c r="A11" s="2" t="inlineStr">
        <is>
          <t>DATA-QUALITY CAVEAT: Close Combat, Noble Demand, Heaven's Hammer, Divine Mark, Divine Judgment, and Maple Hero (Paladin) all have NO individual wiki page (confirmed genuine 404s) — same root-cause gap as Bishop. Each row's (baseDamage, factorIndex) is a FLAGGED ASSUMPTION derived from the single known level-1 value + a per-skill-type factorIndex convention, not a verified curve. The Mastery table's own discrete level-gated deltas layered on top of those assumed curves ARE separately confirmed real data.</t>
        </is>
      </c>
    </row>
    <row r="12">
      <c r="A12" s="2" t="inlineStr">
        <is>
          <t>Divine Mark is split into two rows (main hit + detonation), same pattern as Hero's own Puncture / FP-Mage's Poison Mist Burst-DoT split. Divine Judgment is modeled as its own detonation only — the proc fires 'every 10 basic attacks,' approximated via a live Cooldown(s) formula referencing the Basic Attack Casts Per Second cell directly (10 / rate); its own +30% Basic Attack Damage buff component is FLAGGED, not modeled.</t>
        </is>
      </c>
    </row>
    <row r="13">
      <c r="A13" s="2" t="inlineStr">
        <is>
          <t>Vessel of Light is a proc (15% chance per basic attack) with no stated internal cooldown — its uptime is approximated as MIN(1, Duration x ProcChance% x Basic Attack Rate) rather than the standard cooldown-driven duty-cycle helper used everywhere else in this project. Greater Vessel of Light (+18% FD 'for the duration of Vessel of Light') reuses that same computed uptime fraction directly rather than having its own duty cycle.</t>
        </is>
      </c>
    </row>
    <row r="14">
      <c r="A14" s="2" t="inlineStr">
        <is>
          <t>Divine Shield fires on its own fixed interval (not a player-cast cooldown) — modeled the same way as Hero's own Enrage, treating the interval as the row's own Cooldown(s). Its new Aug-13-patch 'activates at combat start' behavior is not modeled (no start-of-combat mechanic exists anywhere in this project). Its own barrier-blocking component (defensive) is also not modeled.</t>
        </is>
      </c>
    </row>
    <row r="15">
      <c r="A15" s="2" t="inlineStr">
        <is>
          <t>Blast (basic attack) reuses the universal 4th-job-basic-attack constant (baseDamage 2900, factorIndex 21) confirmed identical across every class in this project. Final Attack folds into its own coefficient exactly like Hero's own Raging Blow pattern (resolves to the identical tuple Hero/Bowmaster already established) — Paladin has NO Advanced Final Attack at all, so this is a single-stage fold only, unlike Hero/Dark Knight's two-stage version.</t>
        </is>
      </c>
    </row>
    <row r="16">
      <c r="A16" s="2" t="inlineStr">
        <is>
          <t>Magic Crash and Rush are shared verbatim with Hero (single wiki page each) — reused Hero's own already-resolved tuples directly rather than re-deriving. Magic Crash PATCHED: targets 5-&gt;9 (effect range +50% not modeled, no such mechanic exists).</t>
        </is>
      </c>
    </row>
    <row r="17">
      <c r="A17" s="2" t="inlineStr">
        <is>
          <t>Monster Type blends Boss/Normal Monster Damage% by the Chapter Breakthrough weight %; PvP forces a fixed 15-second window regardless of the Fixed Fight Duration input.</t>
        </is>
      </c>
    </row>
    <row r="18">
      <c r="A18" s="2" t="inlineStr">
        <is>
          <t>Not modeled (out of scope): all forms of crowd control, Accuracy, Evasion, Defense, HP/MP recovery, movement speed, Companion Summoning Time, and pure support/defensive skills with no DPS-relevant mechanic (Combat Orders, Achilles, Parashock Guard).</t>
        </is>
      </c>
    </row>
    <row r="19">
      <c r="A19"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55" customWidth="1" min="1" max="1"/>
    <col width="16" customWidth="1" min="2" max="2"/>
  </cols>
  <sheetData>
    <row r="1">
      <c r="A1" s="4" t="inlineStr">
        <is>
          <t>Paladin — DPS Calculator Inputs</t>
        </is>
      </c>
    </row>
    <row r="3">
      <c r="A3" s="5" t="inlineStr">
        <is>
          <t>Character Level</t>
        </is>
      </c>
      <c r="B3" s="6" t="n">
        <v>200</v>
      </c>
    </row>
    <row r="4">
      <c r="A4" s="5" t="inlineStr">
        <is>
          <t>Monster Type ("boss", "normal", "breakthrough", or "pvp")</t>
        </is>
      </c>
      <c r="B4" s="6" t="inlineStr">
        <is>
          <t>boss</t>
        </is>
      </c>
    </row>
    <row r="5">
      <c r="A5" s="5" t="inlineStr">
        <is>
          <t>Flat ATTACK</t>
        </is>
      </c>
      <c r="B5" s="6" t="n">
        <v>10000</v>
      </c>
    </row>
    <row r="6">
      <c r="A6" s="5" t="inlineStr">
        <is>
          <t>ATTACK %</t>
        </is>
      </c>
      <c r="B6" s="6" t="n">
        <v>0</v>
      </c>
    </row>
    <row r="7">
      <c r="A7" s="5" t="inlineStr">
        <is>
          <t>Monster Defense (flat, post-x100/x10 scaling)</t>
        </is>
      </c>
      <c r="B7" s="6" t="n">
        <v>0</v>
      </c>
    </row>
    <row r="8">
      <c r="A8" s="5" t="inlineStr">
        <is>
          <t>CRIT_RATE %</t>
        </is>
      </c>
      <c r="B8" s="6" t="n">
        <v>0</v>
      </c>
    </row>
    <row r="9">
      <c r="A9" s="5" t="inlineStr">
        <is>
          <t>CRIT_DAMAGE %</t>
        </is>
      </c>
      <c r="B9" s="6" t="n">
        <v>0</v>
      </c>
    </row>
    <row r="10">
      <c r="A10" s="5" t="inlineStr">
        <is>
          <t>ATTACK_SPEED % (base, excludes Weapon Acceleration)</t>
        </is>
      </c>
      <c r="B10" s="6" t="n">
        <v>0</v>
      </c>
    </row>
    <row r="11">
      <c r="A11" s="5" t="inlineStr">
        <is>
          <t>Flat STR (include Iron Body's own +30 if unlocked)</t>
        </is>
      </c>
      <c r="B11" s="6" t="n">
        <v>0</v>
      </c>
    </row>
    <row r="12">
      <c r="A12" s="5" t="inlineStr">
        <is>
          <t>STR %</t>
        </is>
      </c>
      <c r="B12" s="6" t="n">
        <v>0</v>
      </c>
    </row>
    <row r="13">
      <c r="A13" s="5" t="inlineStr">
        <is>
          <t>DEX</t>
        </is>
      </c>
      <c r="B13" s="6" t="n">
        <v>0</v>
      </c>
    </row>
    <row r="14">
      <c r="A14" s="5" t="inlineStr">
        <is>
          <t>DAMAGE %</t>
        </is>
      </c>
      <c r="B14" s="6" t="n">
        <v>0</v>
      </c>
    </row>
    <row r="15">
      <c r="A15" s="5" t="inlineStr">
        <is>
          <t>DAMAGE_AMP %</t>
        </is>
      </c>
      <c r="B15" s="6" t="n">
        <v>0</v>
      </c>
    </row>
    <row r="16">
      <c r="A16" s="5" t="inlineStr">
        <is>
          <t>BASIC_ATTACK_DAMAGE %</t>
        </is>
      </c>
      <c r="B16" s="6" t="n">
        <v>0</v>
      </c>
    </row>
    <row r="17">
      <c r="A17" s="5" t="inlineStr">
        <is>
          <t>SKILL_DAMAGE %</t>
        </is>
      </c>
      <c r="B17" s="6" t="n">
        <v>0</v>
      </c>
    </row>
    <row r="18">
      <c r="A18" s="5" t="inlineStr">
        <is>
          <t>DEF_PEN %</t>
        </is>
      </c>
      <c r="B18" s="6" t="n">
        <v>0</v>
      </c>
    </row>
    <row r="19">
      <c r="A19" s="5" t="inlineStr">
        <is>
          <t>BOSS_DAMAGE %</t>
        </is>
      </c>
      <c r="B19" s="6" t="n">
        <v>0</v>
      </c>
    </row>
    <row r="20">
      <c r="A20" s="5" t="inlineStr">
        <is>
          <t>NORMAL_DAMAGE %</t>
        </is>
      </c>
      <c r="B20" s="6" t="n">
        <v>0</v>
      </c>
    </row>
    <row r="21">
      <c r="A21" s="5" t="inlineStr">
        <is>
          <t>MIN_DAMAGE %</t>
        </is>
      </c>
      <c r="B21" s="6" t="n">
        <v>100</v>
      </c>
    </row>
    <row r="22">
      <c r="A22" s="5" t="inlineStr">
        <is>
          <t>MAX_DAMAGE %</t>
        </is>
      </c>
      <c r="B22" s="6" t="n">
        <v>100</v>
      </c>
    </row>
    <row r="23">
      <c r="A23" s="5" t="inlineStr">
        <is>
          <t>FINAL_DAMAGE % (base)</t>
        </is>
      </c>
      <c r="B23" s="6" t="n">
        <v>0</v>
      </c>
    </row>
    <row r="24">
      <c r="A24" s="5" t="inlineStr">
        <is>
          <t>Skill Level Bonus — 1st Job</t>
        </is>
      </c>
      <c r="B24" s="6" t="n">
        <v>0</v>
      </c>
    </row>
    <row r="25">
      <c r="A25" s="5" t="inlineStr">
        <is>
          <t>Skill Level Bonus — 2nd Job</t>
        </is>
      </c>
      <c r="B25" s="6" t="n">
        <v>0</v>
      </c>
    </row>
    <row r="26">
      <c r="A26" s="5" t="inlineStr">
        <is>
          <t>Skill Level Bonus — 3rd Job</t>
        </is>
      </c>
      <c r="B26" s="6" t="n">
        <v>0</v>
      </c>
    </row>
    <row r="27">
      <c r="A27" s="5" t="inlineStr">
        <is>
          <t>Skill Level Bonus — 4th Job</t>
        </is>
      </c>
      <c r="B27" s="6" t="n">
        <v>0</v>
      </c>
    </row>
    <row r="28">
      <c r="A28" s="5" t="inlineStr">
        <is>
          <t>Skill Level Bonus — All Skills</t>
        </is>
      </c>
      <c r="B28" s="6" t="n">
        <v>0</v>
      </c>
    </row>
    <row r="30">
      <c r="A30" s="7" t="inlineStr">
        <is>
          <t>Additional Bonuses</t>
        </is>
      </c>
    </row>
    <row r="31">
      <c r="A31" s="5" t="inlineStr">
        <is>
          <t>Skill Cooldown Decrease (seconds, only skills/buffs the character actively casts)</t>
        </is>
      </c>
      <c r="B31" s="6" t="n">
        <v>0</v>
      </c>
    </row>
    <row r="32">
      <c r="A32" s="5" t="inlineStr">
        <is>
          <t>Basic Attack Target Increase (flat, adds to the 6-target normal-monster base)</t>
        </is>
      </c>
      <c r="B32" s="6" t="n">
        <v>1</v>
      </c>
    </row>
    <row r="33">
      <c r="A33" s="5" t="inlineStr">
        <is>
          <t>Buff Duration Increase %</t>
        </is>
      </c>
      <c r="B33" s="6" t="n">
        <v>0</v>
      </c>
    </row>
    <row r="34">
      <c r="A34" s="5" t="inlineStr">
        <is>
          <t>Companion Summoning Time Increase % (companions not modeled — always 0 DPS impact)</t>
        </is>
      </c>
      <c r="B34" s="6" t="n">
        <v>0</v>
      </c>
    </row>
    <row r="35">
      <c r="A35" s="5" t="inlineStr">
        <is>
          <t>Fixed Fight Duration (seconds, boss or normal — leave 0 for steady-state DPS; ignored for pvp)</t>
        </is>
      </c>
      <c r="B35" s="6" t="n">
        <v>0</v>
      </c>
    </row>
    <row r="36">
      <c r="A36" s="5" t="inlineStr">
        <is>
          <t>Chapter Breakthrough: Normal-Monster Weight % (only used when Monster Type = breakthrough)</t>
        </is>
      </c>
      <c r="B36" s="6" t="n">
        <v>60</v>
      </c>
    </row>
    <row r="37">
      <c r="A37" s="5" t="inlineStr">
        <is>
          <t>Max Enemies Actually In Range (normal monsters only; default 999 = uncapped)</t>
        </is>
      </c>
      <c r="B37" s="6" t="n">
        <v>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s>
  <sheetData>
    <row r="1">
      <c r="A1" s="8" t="inlineStr">
        <is>
          <t>Level</t>
        </is>
      </c>
      <c r="B1" s="8" t="inlineStr">
        <is>
          <t>F0</t>
        </is>
      </c>
      <c r="C1" s="8" t="inlineStr">
        <is>
          <t>F1</t>
        </is>
      </c>
      <c r="D1" s="8" t="inlineStr">
        <is>
          <t>F2</t>
        </is>
      </c>
      <c r="E1" s="8" t="inlineStr">
        <is>
          <t>F3</t>
        </is>
      </c>
      <c r="F1" s="8" t="inlineStr">
        <is>
          <t>F4</t>
        </is>
      </c>
      <c r="G1" s="8" t="inlineStr">
        <is>
          <t>F5</t>
        </is>
      </c>
      <c r="H1" s="8" t="inlineStr">
        <is>
          <t>F6</t>
        </is>
      </c>
      <c r="I1" s="8" t="inlineStr">
        <is>
          <t>F7</t>
        </is>
      </c>
      <c r="J1" s="8" t="inlineStr">
        <is>
          <t>F8</t>
        </is>
      </c>
      <c r="K1" s="8" t="inlineStr">
        <is>
          <t>F9</t>
        </is>
      </c>
      <c r="L1" s="8" t="inlineStr">
        <is>
          <t>F10</t>
        </is>
      </c>
      <c r="M1" s="8" t="inlineStr">
        <is>
          <t>F11</t>
        </is>
      </c>
      <c r="N1" s="8" t="inlineStr">
        <is>
          <t>F12</t>
        </is>
      </c>
      <c r="O1" s="8" t="inlineStr">
        <is>
          <t>F13</t>
        </is>
      </c>
      <c r="P1" s="8" t="inlineStr">
        <is>
          <t>F14</t>
        </is>
      </c>
      <c r="Q1" s="8" t="inlineStr">
        <is>
          <t>F15</t>
        </is>
      </c>
      <c r="R1" s="8" t="inlineStr">
        <is>
          <t>F16</t>
        </is>
      </c>
      <c r="S1" s="8" t="inlineStr">
        <is>
          <t>F17</t>
        </is>
      </c>
      <c r="T1" s="8" t="inlineStr">
        <is>
          <t>F18</t>
        </is>
      </c>
      <c r="U1" s="8" t="inlineStr">
        <is>
          <t>F19</t>
        </is>
      </c>
      <c r="V1" s="8" t="inlineStr">
        <is>
          <t>F20</t>
        </is>
      </c>
      <c r="W1" s="8" t="inlineStr">
        <is>
          <t>F21</t>
        </is>
      </c>
      <c r="X1" s="8" t="inlineStr">
        <is>
          <t>F22</t>
        </is>
      </c>
      <c r="Y1" s="8" t="inlineStr">
        <is>
          <t>F23</t>
        </is>
      </c>
    </row>
    <row r="2">
      <c r="A2" t="n">
        <v>1</v>
      </c>
      <c r="B2" t="n">
        <v>0</v>
      </c>
      <c r="C2" t="n">
        <v>1000</v>
      </c>
      <c r="D2" t="n">
        <v>1000</v>
      </c>
      <c r="E2" t="n">
        <v>1000</v>
      </c>
      <c r="F2" t="n">
        <v>1000</v>
      </c>
      <c r="G2" t="n">
        <v>1000</v>
      </c>
      <c r="H2" t="n">
        <v>1000</v>
      </c>
      <c r="I2" t="n">
        <v>1000</v>
      </c>
      <c r="J2" t="n">
        <v>1000</v>
      </c>
      <c r="K2" t="n">
        <v>1000</v>
      </c>
      <c r="L2" t="n">
        <v>1000</v>
      </c>
      <c r="M2" t="n">
        <v>1000</v>
      </c>
      <c r="N2" t="n">
        <v>1000</v>
      </c>
      <c r="O2" t="n">
        <v>1000</v>
      </c>
      <c r="P2" t="n">
        <v>1000</v>
      </c>
      <c r="Q2" t="n">
        <v>1000</v>
      </c>
      <c r="R2" t="n">
        <v>1000</v>
      </c>
      <c r="S2" t="n">
        <v>1000</v>
      </c>
      <c r="T2" t="n">
        <v>1000</v>
      </c>
      <c r="U2" t="n">
        <v>1000</v>
      </c>
      <c r="V2" t="n">
        <v>1000</v>
      </c>
      <c r="W2" t="n">
        <v>1000</v>
      </c>
      <c r="X2" t="n">
        <v>1000</v>
      </c>
      <c r="Y2" t="n">
        <v>1000</v>
      </c>
    </row>
    <row r="3">
      <c r="A3" t="n">
        <v>2</v>
      </c>
      <c r="B3" t="n">
        <v>0</v>
      </c>
      <c r="C3" t="n">
        <v>1015</v>
      </c>
      <c r="D3" t="n">
        <v>1020</v>
      </c>
      <c r="E3" t="n">
        <v>1030</v>
      </c>
      <c r="F3" t="n">
        <v>1040</v>
      </c>
      <c r="G3" t="n">
        <v>1050</v>
      </c>
      <c r="H3" t="n">
        <v>1060</v>
      </c>
      <c r="I3" t="n">
        <v>1070</v>
      </c>
      <c r="J3" t="n">
        <v>1020</v>
      </c>
      <c r="K3" t="n">
        <v>1020</v>
      </c>
      <c r="L3" t="n">
        <v>1020</v>
      </c>
      <c r="M3" t="n">
        <v>1000</v>
      </c>
      <c r="N3" t="n">
        <v>1010</v>
      </c>
      <c r="O3" t="n">
        <v>1020</v>
      </c>
      <c r="P3" t="n">
        <v>1030</v>
      </c>
      <c r="Q3" t="n">
        <v>1040</v>
      </c>
      <c r="R3" t="n">
        <v>1050</v>
      </c>
      <c r="S3" t="n">
        <v>1060</v>
      </c>
      <c r="T3" t="n">
        <v>1070</v>
      </c>
      <c r="U3" t="n">
        <v>1080</v>
      </c>
      <c r="V3" t="n">
        <v>1010</v>
      </c>
      <c r="W3" t="n">
        <v>1008</v>
      </c>
      <c r="X3" t="n">
        <v>1006</v>
      </c>
      <c r="Y3" t="n">
        <v>1100</v>
      </c>
    </row>
    <row r="4">
      <c r="A4" t="n">
        <v>3</v>
      </c>
      <c r="B4" t="n">
        <v>0</v>
      </c>
      <c r="C4" t="n">
        <v>1031</v>
      </c>
      <c r="D4" t="n">
        <v>1041</v>
      </c>
      <c r="E4" t="n">
        <v>1061</v>
      </c>
      <c r="F4" t="n">
        <v>1082</v>
      </c>
      <c r="G4" t="n">
        <v>1103</v>
      </c>
      <c r="H4" t="n">
        <v>1124</v>
      </c>
      <c r="I4" t="n">
        <v>1145</v>
      </c>
      <c r="J4" t="n">
        <v>1030</v>
      </c>
      <c r="K4" t="n">
        <v>1041</v>
      </c>
      <c r="L4" t="n">
        <v>1030</v>
      </c>
      <c r="M4" t="n">
        <v>1000</v>
      </c>
      <c r="N4" t="n">
        <v>1015</v>
      </c>
      <c r="O4" t="n">
        <v>1030</v>
      </c>
      <c r="P4" t="n">
        <v>1045</v>
      </c>
      <c r="Q4" t="n">
        <v>1060</v>
      </c>
      <c r="R4" t="n">
        <v>1075</v>
      </c>
      <c r="S4" t="n">
        <v>1090</v>
      </c>
      <c r="T4" t="n">
        <v>1105</v>
      </c>
      <c r="U4" t="n">
        <v>1120</v>
      </c>
      <c r="V4" t="n">
        <v>1020</v>
      </c>
      <c r="W4" t="n">
        <v>1012</v>
      </c>
      <c r="X4" t="n">
        <v>1009</v>
      </c>
      <c r="Y4" t="n">
        <v>1150</v>
      </c>
    </row>
    <row r="5">
      <c r="A5" t="n">
        <v>4</v>
      </c>
      <c r="B5" t="n">
        <v>0</v>
      </c>
      <c r="C5" t="n">
        <v>1047</v>
      </c>
      <c r="D5" t="n">
        <v>1062</v>
      </c>
      <c r="E5" t="n">
        <v>1093</v>
      </c>
      <c r="F5" t="n">
        <v>1126</v>
      </c>
      <c r="G5" t="n">
        <v>1159</v>
      </c>
      <c r="H5" t="n">
        <v>1192</v>
      </c>
      <c r="I5" t="n">
        <v>1226</v>
      </c>
      <c r="J5" t="n">
        <v>1040</v>
      </c>
      <c r="K5" t="n">
        <v>1062</v>
      </c>
      <c r="L5" t="n">
        <v>1040</v>
      </c>
      <c r="M5" t="n">
        <v>1000</v>
      </c>
      <c r="N5" t="n">
        <v>1020</v>
      </c>
      <c r="O5" t="n">
        <v>1040</v>
      </c>
      <c r="P5" t="n">
        <v>1060</v>
      </c>
      <c r="Q5" t="n">
        <v>1080</v>
      </c>
      <c r="R5" t="n">
        <v>1100</v>
      </c>
      <c r="S5" t="n">
        <v>1120</v>
      </c>
      <c r="T5" t="n">
        <v>1140</v>
      </c>
      <c r="U5" t="n">
        <v>1160</v>
      </c>
      <c r="V5" t="n">
        <v>1030</v>
      </c>
      <c r="W5" t="n">
        <v>1016</v>
      </c>
      <c r="X5" t="n">
        <v>1012</v>
      </c>
      <c r="Y5" t="n">
        <v>1200</v>
      </c>
    </row>
    <row r="6">
      <c r="A6" t="n">
        <v>5</v>
      </c>
      <c r="B6" t="n">
        <v>0</v>
      </c>
      <c r="C6" t="n">
        <v>1063</v>
      </c>
      <c r="D6" t="n">
        <v>1084</v>
      </c>
      <c r="E6" t="n">
        <v>1126</v>
      </c>
      <c r="F6" t="n">
        <v>1172</v>
      </c>
      <c r="G6" t="n">
        <v>1217</v>
      </c>
      <c r="H6" t="n">
        <v>1264</v>
      </c>
      <c r="I6" t="n">
        <v>1312</v>
      </c>
      <c r="J6" t="n">
        <v>1050</v>
      </c>
      <c r="K6" t="n">
        <v>1084</v>
      </c>
      <c r="L6" t="n">
        <v>1050</v>
      </c>
      <c r="M6" t="n">
        <v>1000</v>
      </c>
      <c r="N6" t="n">
        <v>1025</v>
      </c>
      <c r="O6" t="n">
        <v>1050</v>
      </c>
      <c r="P6" t="n">
        <v>1075</v>
      </c>
      <c r="Q6" t="n">
        <v>1100</v>
      </c>
      <c r="R6" t="n">
        <v>1125</v>
      </c>
      <c r="S6" t="n">
        <v>1150</v>
      </c>
      <c r="T6" t="n">
        <v>1175</v>
      </c>
      <c r="U6" t="n">
        <v>1200</v>
      </c>
      <c r="V6" t="n">
        <v>1040</v>
      </c>
      <c r="W6" t="n">
        <v>1020</v>
      </c>
      <c r="X6" t="n">
        <v>1015</v>
      </c>
      <c r="Y6" t="n">
        <v>1250</v>
      </c>
    </row>
    <row r="7">
      <c r="A7" t="n">
        <v>6</v>
      </c>
      <c r="B7" t="n">
        <v>0</v>
      </c>
      <c r="C7" t="n">
        <v>1079</v>
      </c>
      <c r="D7" t="n">
        <v>1106</v>
      </c>
      <c r="E7" t="n">
        <v>1160</v>
      </c>
      <c r="F7" t="n">
        <v>1219</v>
      </c>
      <c r="G7" t="n">
        <v>1278</v>
      </c>
      <c r="H7" t="n">
        <v>1340</v>
      </c>
      <c r="I7" t="n">
        <v>1404</v>
      </c>
      <c r="J7" t="n">
        <v>1060</v>
      </c>
      <c r="K7" t="n">
        <v>1106</v>
      </c>
      <c r="L7" t="n">
        <v>1060</v>
      </c>
      <c r="M7" t="n">
        <v>1000</v>
      </c>
      <c r="N7" t="n">
        <v>1030</v>
      </c>
      <c r="O7" t="n">
        <v>1060</v>
      </c>
      <c r="P7" t="n">
        <v>1090</v>
      </c>
      <c r="Q7" t="n">
        <v>1120</v>
      </c>
      <c r="R7" t="n">
        <v>1150</v>
      </c>
      <c r="S7" t="n">
        <v>1180</v>
      </c>
      <c r="T7" t="n">
        <v>1210</v>
      </c>
      <c r="U7" t="n">
        <v>1240</v>
      </c>
      <c r="V7" t="n">
        <v>1050</v>
      </c>
      <c r="W7" t="n">
        <v>1024</v>
      </c>
      <c r="X7" t="n">
        <v>1018</v>
      </c>
      <c r="Y7" t="n">
        <v>1300</v>
      </c>
    </row>
    <row r="8">
      <c r="A8" t="n">
        <v>7</v>
      </c>
      <c r="B8" t="n">
        <v>0</v>
      </c>
      <c r="C8" t="n">
        <v>1096</v>
      </c>
      <c r="D8" t="n">
        <v>1129</v>
      </c>
      <c r="E8" t="n">
        <v>1195</v>
      </c>
      <c r="F8" t="n">
        <v>1268</v>
      </c>
      <c r="G8" t="n">
        <v>1342</v>
      </c>
      <c r="H8" t="n">
        <v>1421</v>
      </c>
      <c r="I8" t="n">
        <v>1503</v>
      </c>
      <c r="J8" t="n">
        <v>1070</v>
      </c>
      <c r="K8" t="n">
        <v>1129</v>
      </c>
      <c r="L8" t="n">
        <v>1070</v>
      </c>
      <c r="M8" t="n">
        <v>1000</v>
      </c>
      <c r="N8" t="n">
        <v>1035</v>
      </c>
      <c r="O8" t="n">
        <v>1070</v>
      </c>
      <c r="P8" t="n">
        <v>1105</v>
      </c>
      <c r="Q8" t="n">
        <v>1140</v>
      </c>
      <c r="R8" t="n">
        <v>1175</v>
      </c>
      <c r="S8" t="n">
        <v>1210</v>
      </c>
      <c r="T8" t="n">
        <v>1245</v>
      </c>
      <c r="U8" t="n">
        <v>1280</v>
      </c>
      <c r="V8" t="n">
        <v>1060</v>
      </c>
      <c r="W8" t="n">
        <v>1028</v>
      </c>
      <c r="X8" t="n">
        <v>1021</v>
      </c>
      <c r="Y8" t="n">
        <v>1350</v>
      </c>
    </row>
    <row r="9">
      <c r="A9" t="n">
        <v>8</v>
      </c>
      <c r="B9" t="n">
        <v>0</v>
      </c>
      <c r="C9" t="n">
        <v>1113</v>
      </c>
      <c r="D9" t="n">
        <v>1152</v>
      </c>
      <c r="E9" t="n">
        <v>1231</v>
      </c>
      <c r="F9" t="n">
        <v>1319</v>
      </c>
      <c r="G9" t="n">
        <v>1410</v>
      </c>
      <c r="H9" t="n">
        <v>1507</v>
      </c>
      <c r="I9" t="n">
        <v>1609</v>
      </c>
      <c r="J9" t="n">
        <v>1080</v>
      </c>
      <c r="K9" t="n">
        <v>1152</v>
      </c>
      <c r="L9" t="n">
        <v>1080</v>
      </c>
      <c r="M9" t="n">
        <v>1000</v>
      </c>
      <c r="N9" t="n">
        <v>1040</v>
      </c>
      <c r="O9" t="n">
        <v>1080</v>
      </c>
      <c r="P9" t="n">
        <v>1120</v>
      </c>
      <c r="Q9" t="n">
        <v>1160</v>
      </c>
      <c r="R9" t="n">
        <v>1200</v>
      </c>
      <c r="S9" t="n">
        <v>1240</v>
      </c>
      <c r="T9" t="n">
        <v>1280</v>
      </c>
      <c r="U9" t="n">
        <v>1320</v>
      </c>
      <c r="V9" t="n">
        <v>1070</v>
      </c>
      <c r="W9" t="n">
        <v>1032</v>
      </c>
      <c r="X9" t="n">
        <v>1024</v>
      </c>
      <c r="Y9" t="n">
        <v>1400</v>
      </c>
    </row>
    <row r="10">
      <c r="A10" t="n">
        <v>9</v>
      </c>
      <c r="B10" t="n">
        <v>0</v>
      </c>
      <c r="C10" t="n">
        <v>1130</v>
      </c>
      <c r="D10" t="n">
        <v>1176</v>
      </c>
      <c r="E10" t="n">
        <v>1268</v>
      </c>
      <c r="F10" t="n">
        <v>1372</v>
      </c>
      <c r="G10" t="n">
        <v>1481</v>
      </c>
      <c r="H10" t="n">
        <v>1598</v>
      </c>
      <c r="I10" t="n">
        <v>1722</v>
      </c>
      <c r="J10" t="n">
        <v>1090</v>
      </c>
      <c r="K10" t="n">
        <v>1176</v>
      </c>
      <c r="L10" t="n">
        <v>1090</v>
      </c>
      <c r="M10" t="n">
        <v>1000</v>
      </c>
      <c r="N10" t="n">
        <v>1045</v>
      </c>
      <c r="O10" t="n">
        <v>1090</v>
      </c>
      <c r="P10" t="n">
        <v>1135</v>
      </c>
      <c r="Q10" t="n">
        <v>1180</v>
      </c>
      <c r="R10" t="n">
        <v>1225</v>
      </c>
      <c r="S10" t="n">
        <v>1270</v>
      </c>
      <c r="T10" t="n">
        <v>1315</v>
      </c>
      <c r="U10" t="n">
        <v>1360</v>
      </c>
      <c r="V10" t="n">
        <v>1080</v>
      </c>
      <c r="W10" t="n">
        <v>1036</v>
      </c>
      <c r="X10" t="n">
        <v>1027</v>
      </c>
      <c r="Y10" t="n">
        <v>1450</v>
      </c>
    </row>
    <row r="11">
      <c r="A11" t="n">
        <v>10</v>
      </c>
      <c r="B11" t="n">
        <v>0</v>
      </c>
      <c r="C11" t="n">
        <v>1147</v>
      </c>
      <c r="D11" t="n">
        <v>1200</v>
      </c>
      <c r="E11" t="n">
        <v>1307</v>
      </c>
      <c r="F11" t="n">
        <v>1427</v>
      </c>
      <c r="G11" t="n">
        <v>1556</v>
      </c>
      <c r="H11" t="n">
        <v>1694</v>
      </c>
      <c r="I11" t="n">
        <v>1843</v>
      </c>
      <c r="J11" t="n">
        <v>1100</v>
      </c>
      <c r="K11" t="n">
        <v>1200</v>
      </c>
      <c r="L11" t="n">
        <v>1100</v>
      </c>
      <c r="M11" t="n">
        <v>1000</v>
      </c>
      <c r="N11" t="n">
        <v>1050</v>
      </c>
      <c r="O11" t="n">
        <v>1100</v>
      </c>
      <c r="P11" t="n">
        <v>1150</v>
      </c>
      <c r="Q11" t="n">
        <v>1200</v>
      </c>
      <c r="R11" t="n">
        <v>1250</v>
      </c>
      <c r="S11" t="n">
        <v>1300</v>
      </c>
      <c r="T11" t="n">
        <v>1350</v>
      </c>
      <c r="U11" t="n">
        <v>1400</v>
      </c>
      <c r="V11" t="n">
        <v>1090</v>
      </c>
      <c r="W11" t="n">
        <v>1040</v>
      </c>
      <c r="X11" t="n">
        <v>1030</v>
      </c>
      <c r="Y11" t="n">
        <v>1500</v>
      </c>
    </row>
    <row r="12">
      <c r="A12" t="n">
        <v>11</v>
      </c>
      <c r="B12" t="n">
        <v>0</v>
      </c>
      <c r="C12" t="n">
        <v>1165</v>
      </c>
      <c r="D12" t="n">
        <v>1224</v>
      </c>
      <c r="E12" t="n">
        <v>1347</v>
      </c>
      <c r="F12" t="n">
        <v>1485</v>
      </c>
      <c r="G12" t="n">
        <v>1634</v>
      </c>
      <c r="H12" t="n">
        <v>1796</v>
      </c>
      <c r="I12" t="n">
        <v>1973</v>
      </c>
      <c r="J12" t="n">
        <v>1110</v>
      </c>
      <c r="K12" t="n">
        <v>1224</v>
      </c>
      <c r="L12" t="n">
        <v>1110</v>
      </c>
      <c r="M12" t="n">
        <v>1000</v>
      </c>
      <c r="N12" t="n">
        <v>1055</v>
      </c>
      <c r="O12" t="n">
        <v>1110</v>
      </c>
      <c r="P12" t="n">
        <v>1165</v>
      </c>
      <c r="Q12" t="n">
        <v>1220</v>
      </c>
      <c r="R12" t="n">
        <v>1275</v>
      </c>
      <c r="S12" t="n">
        <v>1330</v>
      </c>
      <c r="T12" t="n">
        <v>1385</v>
      </c>
      <c r="U12" t="n">
        <v>1440</v>
      </c>
      <c r="V12" t="n">
        <v>1100</v>
      </c>
      <c r="W12" t="n">
        <v>1044</v>
      </c>
      <c r="X12" t="n">
        <v>1033</v>
      </c>
      <c r="Y12" t="n">
        <v>1550</v>
      </c>
    </row>
    <row r="13">
      <c r="A13" t="n">
        <v>12</v>
      </c>
      <c r="B13" t="n">
        <v>0</v>
      </c>
      <c r="C13" t="n">
        <v>1183</v>
      </c>
      <c r="D13" t="n">
        <v>1249</v>
      </c>
      <c r="E13" t="n">
        <v>1388</v>
      </c>
      <c r="F13" t="n">
        <v>1545</v>
      </c>
      <c r="G13" t="n">
        <v>1716</v>
      </c>
      <c r="H13" t="n">
        <v>1904</v>
      </c>
      <c r="I13" t="n">
        <v>2112</v>
      </c>
      <c r="J13" t="n">
        <v>1120</v>
      </c>
      <c r="K13" t="n">
        <v>1249</v>
      </c>
      <c r="L13" t="n">
        <v>1120</v>
      </c>
      <c r="M13" t="n">
        <v>1000</v>
      </c>
      <c r="N13" t="n">
        <v>1060</v>
      </c>
      <c r="O13" t="n">
        <v>1120</v>
      </c>
      <c r="P13" t="n">
        <v>1180</v>
      </c>
      <c r="Q13" t="n">
        <v>1240</v>
      </c>
      <c r="R13" t="n">
        <v>1300</v>
      </c>
      <c r="S13" t="n">
        <v>1360</v>
      </c>
      <c r="T13" t="n">
        <v>1420</v>
      </c>
      <c r="U13" t="n">
        <v>1480</v>
      </c>
      <c r="V13" t="n">
        <v>1110</v>
      </c>
      <c r="W13" t="n">
        <v>1048</v>
      </c>
      <c r="X13" t="n">
        <v>1036</v>
      </c>
      <c r="Y13" t="n">
        <v>1600</v>
      </c>
    </row>
    <row r="14">
      <c r="A14" t="n">
        <v>13</v>
      </c>
      <c r="B14" t="n">
        <v>0</v>
      </c>
      <c r="C14" t="n">
        <v>1201</v>
      </c>
      <c r="D14" t="n">
        <v>1274</v>
      </c>
      <c r="E14" t="n">
        <v>1430</v>
      </c>
      <c r="F14" t="n">
        <v>1607</v>
      </c>
      <c r="G14" t="n">
        <v>1802</v>
      </c>
      <c r="H14" t="n">
        <v>2019</v>
      </c>
      <c r="I14" t="n">
        <v>2260</v>
      </c>
      <c r="J14" t="n">
        <v>1130</v>
      </c>
      <c r="K14" t="n">
        <v>1274</v>
      </c>
      <c r="L14" t="n">
        <v>1130</v>
      </c>
      <c r="M14" t="n">
        <v>1000</v>
      </c>
      <c r="N14" t="n">
        <v>1065</v>
      </c>
      <c r="O14" t="n">
        <v>1130</v>
      </c>
      <c r="P14" t="n">
        <v>1195</v>
      </c>
      <c r="Q14" t="n">
        <v>1260</v>
      </c>
      <c r="R14" t="n">
        <v>1325</v>
      </c>
      <c r="S14" t="n">
        <v>1390</v>
      </c>
      <c r="T14" t="n">
        <v>1455</v>
      </c>
      <c r="U14" t="n">
        <v>1520</v>
      </c>
      <c r="V14" t="n">
        <v>1120</v>
      </c>
      <c r="W14" t="n">
        <v>1052</v>
      </c>
      <c r="X14" t="n">
        <v>1039</v>
      </c>
      <c r="Y14" t="n">
        <v>1650</v>
      </c>
    </row>
    <row r="15">
      <c r="A15" t="n">
        <v>14</v>
      </c>
      <c r="B15" t="n">
        <v>0</v>
      </c>
      <c r="C15" t="n">
        <v>1220</v>
      </c>
      <c r="D15" t="n">
        <v>1300</v>
      </c>
      <c r="E15" t="n">
        <v>1473</v>
      </c>
      <c r="F15" t="n">
        <v>1672</v>
      </c>
      <c r="G15" t="n">
        <v>1893</v>
      </c>
      <c r="H15" t="n">
        <v>2141</v>
      </c>
      <c r="I15" t="n">
        <v>2419</v>
      </c>
      <c r="J15" t="n">
        <v>1140</v>
      </c>
      <c r="K15" t="n">
        <v>1300</v>
      </c>
      <c r="L15" t="n">
        <v>1140</v>
      </c>
      <c r="M15" t="n">
        <v>1000</v>
      </c>
      <c r="N15" t="n">
        <v>1070</v>
      </c>
      <c r="O15" t="n">
        <v>1140</v>
      </c>
      <c r="P15" t="n">
        <v>1210</v>
      </c>
      <c r="Q15" t="n">
        <v>1280</v>
      </c>
      <c r="R15" t="n">
        <v>1350</v>
      </c>
      <c r="S15" t="n">
        <v>1420</v>
      </c>
      <c r="T15" t="n">
        <v>1490</v>
      </c>
      <c r="U15" t="n">
        <v>1560</v>
      </c>
      <c r="V15" t="n">
        <v>1130</v>
      </c>
      <c r="W15" t="n">
        <v>1056</v>
      </c>
      <c r="X15" t="n">
        <v>1042</v>
      </c>
      <c r="Y15" t="n">
        <v>1700</v>
      </c>
    </row>
    <row r="16">
      <c r="A16" t="n">
        <v>15</v>
      </c>
      <c r="B16" t="n">
        <v>0</v>
      </c>
      <c r="C16" t="n">
        <v>1239</v>
      </c>
      <c r="D16" t="n">
        <v>1326</v>
      </c>
      <c r="E16" t="n">
        <v>1518</v>
      </c>
      <c r="F16" t="n">
        <v>1739</v>
      </c>
      <c r="G16" t="n">
        <v>1988</v>
      </c>
      <c r="H16" t="n">
        <v>2270</v>
      </c>
      <c r="I16" t="n">
        <v>2589</v>
      </c>
      <c r="J16" t="n">
        <v>1150</v>
      </c>
      <c r="K16" t="n">
        <v>1326</v>
      </c>
      <c r="L16" t="n">
        <v>1150</v>
      </c>
      <c r="M16" t="n">
        <v>1000</v>
      </c>
      <c r="N16" t="n">
        <v>1075</v>
      </c>
      <c r="O16" t="n">
        <v>1150</v>
      </c>
      <c r="P16" t="n">
        <v>1225</v>
      </c>
      <c r="Q16" t="n">
        <v>1300</v>
      </c>
      <c r="R16" t="n">
        <v>1375</v>
      </c>
      <c r="S16" t="n">
        <v>1450</v>
      </c>
      <c r="T16" t="n">
        <v>1525</v>
      </c>
      <c r="U16" t="n">
        <v>1600</v>
      </c>
      <c r="V16" t="n">
        <v>1140</v>
      </c>
      <c r="W16" t="n">
        <v>1060</v>
      </c>
      <c r="X16" t="n">
        <v>1045</v>
      </c>
      <c r="Y16" t="n">
        <v>1750</v>
      </c>
    </row>
    <row r="17">
      <c r="A17" t="n">
        <v>16</v>
      </c>
      <c r="B17" t="n">
        <v>0</v>
      </c>
      <c r="C17" t="n">
        <v>1258</v>
      </c>
      <c r="D17" t="n">
        <v>1353</v>
      </c>
      <c r="E17" t="n">
        <v>1564</v>
      </c>
      <c r="F17" t="n">
        <v>1809</v>
      </c>
      <c r="G17" t="n">
        <v>2088</v>
      </c>
      <c r="H17" t="n">
        <v>2407</v>
      </c>
      <c r="I17" t="n">
        <v>2771</v>
      </c>
      <c r="J17" t="n">
        <v>1160</v>
      </c>
      <c r="K17" t="n">
        <v>1353</v>
      </c>
      <c r="L17" t="n">
        <v>1160</v>
      </c>
      <c r="M17" t="n">
        <v>1000</v>
      </c>
      <c r="N17" t="n">
        <v>1080</v>
      </c>
      <c r="O17" t="n">
        <v>1160</v>
      </c>
      <c r="P17" t="n">
        <v>1240</v>
      </c>
      <c r="Q17" t="n">
        <v>1320</v>
      </c>
      <c r="R17" t="n">
        <v>1400</v>
      </c>
      <c r="S17" t="n">
        <v>1480</v>
      </c>
      <c r="T17" t="n">
        <v>1560</v>
      </c>
      <c r="U17" t="n">
        <v>1640</v>
      </c>
      <c r="V17" t="n">
        <v>1150</v>
      </c>
      <c r="W17" t="n">
        <v>1064</v>
      </c>
      <c r="X17" t="n">
        <v>1048</v>
      </c>
      <c r="Y17" t="n">
        <v>1800</v>
      </c>
    </row>
    <row r="18">
      <c r="A18" t="n">
        <v>17</v>
      </c>
      <c r="B18" t="n">
        <v>0</v>
      </c>
      <c r="C18" t="n">
        <v>1277</v>
      </c>
      <c r="D18" t="n">
        <v>1381</v>
      </c>
      <c r="E18" t="n">
        <v>1611</v>
      </c>
      <c r="F18" t="n">
        <v>1882</v>
      </c>
      <c r="G18" t="n">
        <v>2193</v>
      </c>
      <c r="H18" t="n">
        <v>2552</v>
      </c>
      <c r="I18" t="n">
        <v>2965</v>
      </c>
      <c r="J18" t="n">
        <v>1170</v>
      </c>
      <c r="K18" t="n">
        <v>1381</v>
      </c>
      <c r="L18" t="n">
        <v>1170</v>
      </c>
      <c r="M18" t="n">
        <v>1000</v>
      </c>
      <c r="N18" t="n">
        <v>1085</v>
      </c>
      <c r="O18" t="n">
        <v>1170</v>
      </c>
      <c r="P18" t="n">
        <v>1255</v>
      </c>
      <c r="Q18" t="n">
        <v>1340</v>
      </c>
      <c r="R18" t="n">
        <v>1425</v>
      </c>
      <c r="S18" t="n">
        <v>1510</v>
      </c>
      <c r="T18" t="n">
        <v>1595</v>
      </c>
      <c r="U18" t="n">
        <v>1680</v>
      </c>
      <c r="V18" t="n">
        <v>1160</v>
      </c>
      <c r="W18" t="n">
        <v>1068</v>
      </c>
      <c r="X18" t="n">
        <v>1051</v>
      </c>
      <c r="Y18" t="n">
        <v>1850</v>
      </c>
    </row>
    <row r="19">
      <c r="A19" t="n">
        <v>18</v>
      </c>
      <c r="B19" t="n">
        <v>0</v>
      </c>
      <c r="C19" t="n">
        <v>1297</v>
      </c>
      <c r="D19" t="n">
        <v>1409</v>
      </c>
      <c r="E19" t="n">
        <v>1660</v>
      </c>
      <c r="F19" t="n">
        <v>1958</v>
      </c>
      <c r="G19" t="n">
        <v>2303</v>
      </c>
      <c r="H19" t="n">
        <v>2706</v>
      </c>
      <c r="I19" t="n">
        <v>3173</v>
      </c>
      <c r="J19" t="n">
        <v>1180</v>
      </c>
      <c r="K19" t="n">
        <v>1409</v>
      </c>
      <c r="L19" t="n">
        <v>1180</v>
      </c>
      <c r="M19" t="n">
        <v>1000</v>
      </c>
      <c r="N19" t="n">
        <v>1090</v>
      </c>
      <c r="O19" t="n">
        <v>1180</v>
      </c>
      <c r="P19" t="n">
        <v>1270</v>
      </c>
      <c r="Q19" t="n">
        <v>1360</v>
      </c>
      <c r="R19" t="n">
        <v>1450</v>
      </c>
      <c r="S19" t="n">
        <v>1540</v>
      </c>
      <c r="T19" t="n">
        <v>1630</v>
      </c>
      <c r="U19" t="n">
        <v>1720</v>
      </c>
      <c r="V19" t="n">
        <v>1170</v>
      </c>
      <c r="W19" t="n">
        <v>1072</v>
      </c>
      <c r="X19" t="n">
        <v>1054</v>
      </c>
      <c r="Y19" t="n">
        <v>1900</v>
      </c>
    </row>
    <row r="20">
      <c r="A20" t="n">
        <v>19</v>
      </c>
      <c r="B20" t="n">
        <v>0</v>
      </c>
      <c r="C20" t="n">
        <v>1317</v>
      </c>
      <c r="D20" t="n">
        <v>1438</v>
      </c>
      <c r="E20" t="n">
        <v>1710</v>
      </c>
      <c r="F20" t="n">
        <v>2037</v>
      </c>
      <c r="G20" t="n">
        <v>2419</v>
      </c>
      <c r="H20" t="n">
        <v>2869</v>
      </c>
      <c r="I20" t="n">
        <v>3396</v>
      </c>
      <c r="J20" t="n">
        <v>1190</v>
      </c>
      <c r="K20" t="n">
        <v>1438</v>
      </c>
      <c r="L20" t="n">
        <v>1190</v>
      </c>
      <c r="M20" t="n">
        <v>1000</v>
      </c>
      <c r="N20" t="n">
        <v>1095</v>
      </c>
      <c r="O20" t="n">
        <v>1190</v>
      </c>
      <c r="P20" t="n">
        <v>1285</v>
      </c>
      <c r="Q20" t="n">
        <v>1380</v>
      </c>
      <c r="R20" t="n">
        <v>1475</v>
      </c>
      <c r="S20" t="n">
        <v>1570</v>
      </c>
      <c r="T20" t="n">
        <v>1665</v>
      </c>
      <c r="U20" t="n">
        <v>1760</v>
      </c>
      <c r="V20" t="n">
        <v>1180</v>
      </c>
      <c r="W20" t="n">
        <v>1076</v>
      </c>
      <c r="X20" t="n">
        <v>1057</v>
      </c>
      <c r="Y20" t="n">
        <v>1950</v>
      </c>
    </row>
    <row r="21">
      <c r="A21" t="n">
        <v>20</v>
      </c>
      <c r="B21" t="n">
        <v>0</v>
      </c>
      <c r="C21" t="n">
        <v>1337</v>
      </c>
      <c r="D21" t="n">
        <v>1467</v>
      </c>
      <c r="E21" t="n">
        <v>1762</v>
      </c>
      <c r="F21" t="n">
        <v>2119</v>
      </c>
      <c r="G21" t="n">
        <v>2540</v>
      </c>
      <c r="H21" t="n">
        <v>3042</v>
      </c>
      <c r="I21" t="n">
        <v>3634</v>
      </c>
      <c r="J21" t="n">
        <v>1200</v>
      </c>
      <c r="K21" t="n">
        <v>1467</v>
      </c>
      <c r="L21" t="n">
        <v>1200</v>
      </c>
      <c r="M21" t="n">
        <v>1000</v>
      </c>
      <c r="N21" t="n">
        <v>1100</v>
      </c>
      <c r="O21" t="n">
        <v>1200</v>
      </c>
      <c r="P21" t="n">
        <v>1300</v>
      </c>
      <c r="Q21" t="n">
        <v>1400</v>
      </c>
      <c r="R21" t="n">
        <v>1500</v>
      </c>
      <c r="S21" t="n">
        <v>1600</v>
      </c>
      <c r="T21" t="n">
        <v>1700</v>
      </c>
      <c r="U21" t="n">
        <v>1800</v>
      </c>
      <c r="V21" t="n">
        <v>1190</v>
      </c>
      <c r="W21" t="n">
        <v>1080</v>
      </c>
      <c r="X21" t="n">
        <v>1060</v>
      </c>
      <c r="Y21" t="n">
        <v>2000</v>
      </c>
    </row>
    <row r="22">
      <c r="A22" t="n">
        <v>21</v>
      </c>
      <c r="B22" t="n">
        <v>0</v>
      </c>
      <c r="C22" t="n">
        <v>1358</v>
      </c>
      <c r="D22" t="n">
        <v>1497</v>
      </c>
      <c r="E22" t="n">
        <v>1815</v>
      </c>
      <c r="F22" t="n">
        <v>2204</v>
      </c>
      <c r="G22" t="n">
        <v>2667</v>
      </c>
      <c r="H22" t="n">
        <v>3225</v>
      </c>
      <c r="I22" t="n">
        <v>3889</v>
      </c>
      <c r="J22" t="n">
        <v>1210</v>
      </c>
      <c r="K22" t="n">
        <v>1497</v>
      </c>
      <c r="L22" t="n">
        <v>1210</v>
      </c>
      <c r="M22" t="n">
        <v>1000</v>
      </c>
      <c r="N22" t="n">
        <v>1105</v>
      </c>
      <c r="O22" t="n">
        <v>1210</v>
      </c>
      <c r="P22" t="n">
        <v>1315</v>
      </c>
      <c r="Q22" t="n">
        <v>1420</v>
      </c>
      <c r="R22" t="n">
        <v>1525</v>
      </c>
      <c r="S22" t="n">
        <v>1630</v>
      </c>
      <c r="T22" t="n">
        <v>1735</v>
      </c>
      <c r="U22" t="n">
        <v>1840</v>
      </c>
      <c r="V22" t="n">
        <v>1200</v>
      </c>
      <c r="W22" t="n">
        <v>1084</v>
      </c>
      <c r="X22" t="n">
        <v>1063</v>
      </c>
      <c r="Y22" t="n">
        <v>2050</v>
      </c>
    </row>
    <row r="23">
      <c r="A23" t="n">
        <v>22</v>
      </c>
      <c r="B23" t="n">
        <v>0</v>
      </c>
      <c r="C23" t="n">
        <v>1379</v>
      </c>
      <c r="D23" t="n">
        <v>1527</v>
      </c>
      <c r="E23" t="n">
        <v>1870</v>
      </c>
      <c r="F23" t="n">
        <v>2293</v>
      </c>
      <c r="G23" t="n">
        <v>2801</v>
      </c>
      <c r="H23" t="n">
        <v>3419</v>
      </c>
      <c r="I23" t="n">
        <v>4162</v>
      </c>
      <c r="J23" t="n">
        <v>1220</v>
      </c>
      <c r="K23" t="n">
        <v>1527</v>
      </c>
      <c r="L23" t="n">
        <v>1220</v>
      </c>
      <c r="M23" t="n">
        <v>1000</v>
      </c>
      <c r="N23" t="n">
        <v>1110</v>
      </c>
      <c r="O23" t="n">
        <v>1220</v>
      </c>
      <c r="P23" t="n">
        <v>1330</v>
      </c>
      <c r="Q23" t="n">
        <v>1440</v>
      </c>
      <c r="R23" t="n">
        <v>1550</v>
      </c>
      <c r="S23" t="n">
        <v>1660</v>
      </c>
      <c r="T23" t="n">
        <v>1770</v>
      </c>
      <c r="U23" t="n">
        <v>1880</v>
      </c>
      <c r="V23" t="n">
        <v>1211</v>
      </c>
      <c r="W23" t="n">
        <v>1088</v>
      </c>
      <c r="X23" t="n">
        <v>1066</v>
      </c>
      <c r="Y23" t="n">
        <v>2100</v>
      </c>
    </row>
    <row r="24">
      <c r="A24" t="n">
        <v>23</v>
      </c>
      <c r="B24" t="n">
        <v>0</v>
      </c>
      <c r="C24" t="n">
        <v>1400</v>
      </c>
      <c r="D24" t="n">
        <v>1558</v>
      </c>
      <c r="E24" t="n">
        <v>1927</v>
      </c>
      <c r="F24" t="n">
        <v>2385</v>
      </c>
      <c r="G24" t="n">
        <v>2942</v>
      </c>
      <c r="H24" t="n">
        <v>3625</v>
      </c>
      <c r="I24" t="n">
        <v>4454</v>
      </c>
      <c r="J24" t="n">
        <v>1230</v>
      </c>
      <c r="K24" t="n">
        <v>1558</v>
      </c>
      <c r="L24" t="n">
        <v>1230</v>
      </c>
      <c r="M24" t="n">
        <v>1000</v>
      </c>
      <c r="N24" t="n">
        <v>1115</v>
      </c>
      <c r="O24" t="n">
        <v>1230</v>
      </c>
      <c r="P24" t="n">
        <v>1345</v>
      </c>
      <c r="Q24" t="n">
        <v>1460</v>
      </c>
      <c r="R24" t="n">
        <v>1575</v>
      </c>
      <c r="S24" t="n">
        <v>1690</v>
      </c>
      <c r="T24" t="n">
        <v>1805</v>
      </c>
      <c r="U24" t="n">
        <v>1920</v>
      </c>
      <c r="V24" t="n">
        <v>1222</v>
      </c>
      <c r="W24" t="n">
        <v>1092</v>
      </c>
      <c r="X24" t="n">
        <v>1069</v>
      </c>
      <c r="Y24" t="n">
        <v>2150</v>
      </c>
    </row>
    <row r="25">
      <c r="A25" t="n">
        <v>24</v>
      </c>
      <c r="B25" t="n">
        <v>0</v>
      </c>
      <c r="C25" t="n">
        <v>1421</v>
      </c>
      <c r="D25" t="n">
        <v>1590</v>
      </c>
      <c r="E25" t="n">
        <v>1985</v>
      </c>
      <c r="F25" t="n">
        <v>2481</v>
      </c>
      <c r="G25" t="n">
        <v>3090</v>
      </c>
      <c r="H25" t="n">
        <v>3843</v>
      </c>
      <c r="I25" t="n">
        <v>4766</v>
      </c>
      <c r="J25" t="n">
        <v>1240</v>
      </c>
      <c r="K25" t="n">
        <v>1590</v>
      </c>
      <c r="L25" t="n">
        <v>1240</v>
      </c>
      <c r="M25" t="n">
        <v>1000</v>
      </c>
      <c r="N25" t="n">
        <v>1120</v>
      </c>
      <c r="O25" t="n">
        <v>1240</v>
      </c>
      <c r="P25" t="n">
        <v>1360</v>
      </c>
      <c r="Q25" t="n">
        <v>1480</v>
      </c>
      <c r="R25" t="n">
        <v>1600</v>
      </c>
      <c r="S25" t="n">
        <v>1720</v>
      </c>
      <c r="T25" t="n">
        <v>1840</v>
      </c>
      <c r="U25" t="n">
        <v>1960</v>
      </c>
      <c r="V25" t="n">
        <v>1233</v>
      </c>
      <c r="W25" t="n">
        <v>1096</v>
      </c>
      <c r="X25" t="n">
        <v>1072</v>
      </c>
      <c r="Y25" t="n">
        <v>2200</v>
      </c>
    </row>
    <row r="26">
      <c r="A26" t="n">
        <v>25</v>
      </c>
      <c r="B26" t="n">
        <v>0</v>
      </c>
      <c r="C26" t="n">
        <v>1443</v>
      </c>
      <c r="D26" t="n">
        <v>1622</v>
      </c>
      <c r="E26" t="n">
        <v>2045</v>
      </c>
      <c r="F26" t="n">
        <v>2581</v>
      </c>
      <c r="G26" t="n">
        <v>3245</v>
      </c>
      <c r="H26" t="n">
        <v>4074</v>
      </c>
      <c r="I26" t="n">
        <v>5100</v>
      </c>
      <c r="J26" t="n">
        <v>1250</v>
      </c>
      <c r="K26" t="n">
        <v>1622</v>
      </c>
      <c r="L26" t="n">
        <v>1250</v>
      </c>
      <c r="M26" t="n">
        <v>1000</v>
      </c>
      <c r="N26" t="n">
        <v>1125</v>
      </c>
      <c r="O26" t="n">
        <v>1250</v>
      </c>
      <c r="P26" t="n">
        <v>1375</v>
      </c>
      <c r="Q26" t="n">
        <v>1500</v>
      </c>
      <c r="R26" t="n">
        <v>1625</v>
      </c>
      <c r="S26" t="n">
        <v>1750</v>
      </c>
      <c r="T26" t="n">
        <v>1875</v>
      </c>
      <c r="U26" t="n">
        <v>2000</v>
      </c>
      <c r="V26" t="n">
        <v>1244</v>
      </c>
      <c r="W26" t="n">
        <v>1100</v>
      </c>
      <c r="X26" t="n">
        <v>1075</v>
      </c>
      <c r="Y26" t="n">
        <v>2250</v>
      </c>
    </row>
    <row r="27">
      <c r="A27" t="n">
        <v>26</v>
      </c>
      <c r="B27" t="n">
        <v>0</v>
      </c>
      <c r="C27" t="n">
        <v>1465</v>
      </c>
      <c r="D27" t="n">
        <v>1655</v>
      </c>
      <c r="E27" t="n">
        <v>2107</v>
      </c>
      <c r="F27" t="n">
        <v>2685</v>
      </c>
      <c r="G27" t="n">
        <v>3408</v>
      </c>
      <c r="H27" t="n">
        <v>4319</v>
      </c>
      <c r="I27" t="n">
        <v>5457</v>
      </c>
      <c r="J27" t="n">
        <v>1260</v>
      </c>
      <c r="K27" t="n">
        <v>1655</v>
      </c>
      <c r="L27" t="n">
        <v>1260</v>
      </c>
      <c r="M27" t="n">
        <v>1000</v>
      </c>
      <c r="N27" t="n">
        <v>1130</v>
      </c>
      <c r="O27" t="n">
        <v>1260</v>
      </c>
      <c r="P27" t="n">
        <v>1390</v>
      </c>
      <c r="Q27" t="n">
        <v>1520</v>
      </c>
      <c r="R27" t="n">
        <v>1650</v>
      </c>
      <c r="S27" t="n">
        <v>1780</v>
      </c>
      <c r="T27" t="n">
        <v>1910</v>
      </c>
      <c r="U27" t="n">
        <v>2040</v>
      </c>
      <c r="V27" t="n">
        <v>1255</v>
      </c>
      <c r="W27" t="n">
        <v>1104</v>
      </c>
      <c r="X27" t="n">
        <v>1078</v>
      </c>
      <c r="Y27" t="n">
        <v>2300</v>
      </c>
    </row>
    <row r="28">
      <c r="A28" t="n">
        <v>27</v>
      </c>
      <c r="B28" t="n">
        <v>0</v>
      </c>
      <c r="C28" t="n">
        <v>1487</v>
      </c>
      <c r="D28" t="n">
        <v>1689</v>
      </c>
      <c r="E28" t="n">
        <v>2171</v>
      </c>
      <c r="F28" t="n">
        <v>2793</v>
      </c>
      <c r="G28" t="n">
        <v>3579</v>
      </c>
      <c r="H28" t="n">
        <v>4579</v>
      </c>
      <c r="I28" t="n">
        <v>5839</v>
      </c>
      <c r="J28" t="n">
        <v>1270</v>
      </c>
      <c r="K28" t="n">
        <v>1689</v>
      </c>
      <c r="L28" t="n">
        <v>1270</v>
      </c>
      <c r="M28" t="n">
        <v>1000</v>
      </c>
      <c r="N28" t="n">
        <v>1135</v>
      </c>
      <c r="O28" t="n">
        <v>1270</v>
      </c>
      <c r="P28" t="n">
        <v>1405</v>
      </c>
      <c r="Q28" t="n">
        <v>1540</v>
      </c>
      <c r="R28" t="n">
        <v>1675</v>
      </c>
      <c r="S28" t="n">
        <v>1810</v>
      </c>
      <c r="T28" t="n">
        <v>1945</v>
      </c>
      <c r="U28" t="n">
        <v>2080</v>
      </c>
      <c r="V28" t="n">
        <v>1266</v>
      </c>
      <c r="W28" t="n">
        <v>1108</v>
      </c>
      <c r="X28" t="n">
        <v>1081</v>
      </c>
      <c r="Y28" t="n">
        <v>2350</v>
      </c>
    </row>
    <row r="29">
      <c r="A29" t="n">
        <v>28</v>
      </c>
      <c r="B29" t="n">
        <v>0</v>
      </c>
      <c r="C29" t="n">
        <v>1510</v>
      </c>
      <c r="D29" t="n">
        <v>1723</v>
      </c>
      <c r="E29" t="n">
        <v>2237</v>
      </c>
      <c r="F29" t="n">
        <v>2905</v>
      </c>
      <c r="G29" t="n">
        <v>3758</v>
      </c>
      <c r="H29" t="n">
        <v>4854</v>
      </c>
      <c r="I29" t="n">
        <v>6248</v>
      </c>
      <c r="J29" t="n">
        <v>1280</v>
      </c>
      <c r="K29" t="n">
        <v>1723</v>
      </c>
      <c r="L29" t="n">
        <v>1280</v>
      </c>
      <c r="M29" t="n">
        <v>1000</v>
      </c>
      <c r="N29" t="n">
        <v>1140</v>
      </c>
      <c r="O29" t="n">
        <v>1280</v>
      </c>
      <c r="P29" t="n">
        <v>1420</v>
      </c>
      <c r="Q29" t="n">
        <v>1560</v>
      </c>
      <c r="R29" t="n">
        <v>1700</v>
      </c>
      <c r="S29" t="n">
        <v>1840</v>
      </c>
      <c r="T29" t="n">
        <v>1980</v>
      </c>
      <c r="U29" t="n">
        <v>2120</v>
      </c>
      <c r="V29" t="n">
        <v>1277</v>
      </c>
      <c r="W29" t="n">
        <v>1112</v>
      </c>
      <c r="X29" t="n">
        <v>1084</v>
      </c>
      <c r="Y29" t="n">
        <v>2400</v>
      </c>
    </row>
    <row r="30">
      <c r="A30" t="n">
        <v>29</v>
      </c>
      <c r="B30" t="n">
        <v>0</v>
      </c>
      <c r="C30" t="n">
        <v>1533</v>
      </c>
      <c r="D30" t="n">
        <v>1758</v>
      </c>
      <c r="E30" t="n">
        <v>2305</v>
      </c>
      <c r="F30" t="n">
        <v>3022</v>
      </c>
      <c r="G30" t="n">
        <v>3946</v>
      </c>
      <c r="H30" t="n">
        <v>5146</v>
      </c>
      <c r="I30" t="n">
        <v>6686</v>
      </c>
      <c r="J30" t="n">
        <v>1290</v>
      </c>
      <c r="K30" t="n">
        <v>1758</v>
      </c>
      <c r="L30" t="n">
        <v>1290</v>
      </c>
      <c r="M30" t="n">
        <v>1000</v>
      </c>
      <c r="N30" t="n">
        <v>1145</v>
      </c>
      <c r="O30" t="n">
        <v>1290</v>
      </c>
      <c r="P30" t="n">
        <v>1435</v>
      </c>
      <c r="Q30" t="n">
        <v>1580</v>
      </c>
      <c r="R30" t="n">
        <v>1725</v>
      </c>
      <c r="S30" t="n">
        <v>1870</v>
      </c>
      <c r="T30" t="n">
        <v>2015</v>
      </c>
      <c r="U30" t="n">
        <v>2160</v>
      </c>
      <c r="V30" t="n">
        <v>1288</v>
      </c>
      <c r="W30" t="n">
        <v>1116</v>
      </c>
      <c r="X30" t="n">
        <v>1087</v>
      </c>
      <c r="Y30" t="n">
        <v>2450</v>
      </c>
    </row>
    <row r="31">
      <c r="A31" t="n">
        <v>30</v>
      </c>
      <c r="B31" t="n">
        <v>0</v>
      </c>
      <c r="C31" t="n">
        <v>1556</v>
      </c>
      <c r="D31" t="n">
        <v>1794</v>
      </c>
      <c r="E31" t="n">
        <v>2375</v>
      </c>
      <c r="F31" t="n">
        <v>3143</v>
      </c>
      <c r="G31" t="n">
        <v>4144</v>
      </c>
      <c r="H31" t="n">
        <v>5455</v>
      </c>
      <c r="I31" t="n">
        <v>7155</v>
      </c>
      <c r="J31" t="n">
        <v>1300</v>
      </c>
      <c r="K31" t="n">
        <v>1794</v>
      </c>
      <c r="L31" t="n">
        <v>1300</v>
      </c>
      <c r="M31" t="n">
        <v>1000</v>
      </c>
      <c r="N31" t="n">
        <v>1150</v>
      </c>
      <c r="O31" t="n">
        <v>1300</v>
      </c>
      <c r="P31" t="n">
        <v>1450</v>
      </c>
      <c r="Q31" t="n">
        <v>1600</v>
      </c>
      <c r="R31" t="n">
        <v>1750</v>
      </c>
      <c r="S31" t="n">
        <v>1900</v>
      </c>
      <c r="T31" t="n">
        <v>2050</v>
      </c>
      <c r="U31" t="n">
        <v>2200</v>
      </c>
      <c r="V31" t="n">
        <v>1299</v>
      </c>
      <c r="W31" t="n">
        <v>1120</v>
      </c>
      <c r="X31" t="n">
        <v>1090</v>
      </c>
      <c r="Y31" t="n">
        <v>2500</v>
      </c>
    </row>
    <row r="32">
      <c r="A32" t="n">
        <v>31</v>
      </c>
      <c r="B32" t="n">
        <v>0</v>
      </c>
      <c r="C32" t="n">
        <v>1580</v>
      </c>
      <c r="D32" t="n">
        <v>1830</v>
      </c>
      <c r="E32" t="n">
        <v>2447</v>
      </c>
      <c r="F32" t="n">
        <v>3269</v>
      </c>
      <c r="G32" t="n">
        <v>4352</v>
      </c>
      <c r="H32" t="n">
        <v>5783</v>
      </c>
      <c r="I32" t="n">
        <v>7656</v>
      </c>
      <c r="J32" t="n">
        <v>1310</v>
      </c>
      <c r="K32" t="n">
        <v>1830</v>
      </c>
      <c r="L32" t="n">
        <v>1310</v>
      </c>
      <c r="M32" t="n">
        <v>1000</v>
      </c>
      <c r="N32" t="n">
        <v>1155</v>
      </c>
      <c r="O32" t="n">
        <v>1310</v>
      </c>
      <c r="P32" t="n">
        <v>1465</v>
      </c>
      <c r="Q32" t="n">
        <v>1620</v>
      </c>
      <c r="R32" t="n">
        <v>1775</v>
      </c>
      <c r="S32" t="n">
        <v>1930</v>
      </c>
      <c r="T32" t="n">
        <v>2085</v>
      </c>
      <c r="U32" t="n">
        <v>2240</v>
      </c>
      <c r="V32" t="n">
        <v>1310</v>
      </c>
      <c r="W32" t="n">
        <v>1124</v>
      </c>
      <c r="X32" t="n">
        <v>1093</v>
      </c>
      <c r="Y32" t="n">
        <v>2550</v>
      </c>
    </row>
    <row r="33">
      <c r="A33" t="n">
        <v>32</v>
      </c>
      <c r="B33" t="n">
        <v>0</v>
      </c>
      <c r="C33" t="n">
        <v>1604</v>
      </c>
      <c r="D33" t="n">
        <v>1867</v>
      </c>
      <c r="E33" t="n">
        <v>2521</v>
      </c>
      <c r="F33" t="n">
        <v>3400</v>
      </c>
      <c r="G33" t="n">
        <v>4570</v>
      </c>
      <c r="H33" t="n">
        <v>6130</v>
      </c>
      <c r="I33" t="n">
        <v>8192</v>
      </c>
      <c r="J33" t="n">
        <v>1320</v>
      </c>
      <c r="K33" t="n">
        <v>1867</v>
      </c>
      <c r="L33" t="n">
        <v>1320</v>
      </c>
      <c r="M33" t="n">
        <v>1000</v>
      </c>
      <c r="N33" t="n">
        <v>1160</v>
      </c>
      <c r="O33" t="n">
        <v>1320</v>
      </c>
      <c r="P33" t="n">
        <v>1480</v>
      </c>
      <c r="Q33" t="n">
        <v>1640</v>
      </c>
      <c r="R33" t="n">
        <v>1800</v>
      </c>
      <c r="S33" t="n">
        <v>1960</v>
      </c>
      <c r="T33" t="n">
        <v>2120</v>
      </c>
      <c r="U33" t="n">
        <v>2280</v>
      </c>
      <c r="V33" t="n">
        <v>1321</v>
      </c>
      <c r="W33" t="n">
        <v>1128</v>
      </c>
      <c r="X33" t="n">
        <v>1096</v>
      </c>
      <c r="Y33" t="n">
        <v>2600</v>
      </c>
    </row>
    <row r="34">
      <c r="A34" t="n">
        <v>33</v>
      </c>
      <c r="B34" t="n">
        <v>0</v>
      </c>
      <c r="C34" t="n">
        <v>1629</v>
      </c>
      <c r="D34" t="n">
        <v>1905</v>
      </c>
      <c r="E34" t="n">
        <v>2597</v>
      </c>
      <c r="F34" t="n">
        <v>3536</v>
      </c>
      <c r="G34" t="n">
        <v>4799</v>
      </c>
      <c r="H34" t="n">
        <v>6498</v>
      </c>
      <c r="I34" t="n">
        <v>8766</v>
      </c>
      <c r="J34" t="n">
        <v>1330</v>
      </c>
      <c r="K34" t="n">
        <v>1905</v>
      </c>
      <c r="L34" t="n">
        <v>1330</v>
      </c>
      <c r="M34" t="n">
        <v>1000</v>
      </c>
      <c r="N34" t="n">
        <v>1165</v>
      </c>
      <c r="O34" t="n">
        <v>1330</v>
      </c>
      <c r="P34" t="n">
        <v>1495</v>
      </c>
      <c r="Q34" t="n">
        <v>1660</v>
      </c>
      <c r="R34" t="n">
        <v>1825</v>
      </c>
      <c r="S34" t="n">
        <v>1990</v>
      </c>
      <c r="T34" t="n">
        <v>2155</v>
      </c>
      <c r="U34" t="n">
        <v>2320</v>
      </c>
      <c r="V34" t="n">
        <v>1332</v>
      </c>
      <c r="W34" t="n">
        <v>1132</v>
      </c>
      <c r="X34" t="n">
        <v>1099</v>
      </c>
      <c r="Y34" t="n">
        <v>2650</v>
      </c>
    </row>
    <row r="35">
      <c r="A35" t="n">
        <v>34</v>
      </c>
      <c r="B35" t="n">
        <v>0</v>
      </c>
      <c r="C35" t="n">
        <v>1654</v>
      </c>
      <c r="D35" t="n">
        <v>1944</v>
      </c>
      <c r="E35" t="n">
        <v>2675</v>
      </c>
      <c r="F35" t="n">
        <v>3678</v>
      </c>
      <c r="G35" t="n">
        <v>5039</v>
      </c>
      <c r="H35" t="n">
        <v>6888</v>
      </c>
      <c r="I35" t="n">
        <v>9380</v>
      </c>
      <c r="J35" t="n">
        <v>1340</v>
      </c>
      <c r="K35" t="n">
        <v>1944</v>
      </c>
      <c r="L35" t="n">
        <v>1340</v>
      </c>
      <c r="M35" t="n">
        <v>1000</v>
      </c>
      <c r="N35" t="n">
        <v>1170</v>
      </c>
      <c r="O35" t="n">
        <v>1340</v>
      </c>
      <c r="P35" t="n">
        <v>1510</v>
      </c>
      <c r="Q35" t="n">
        <v>1680</v>
      </c>
      <c r="R35" t="n">
        <v>1850</v>
      </c>
      <c r="S35" t="n">
        <v>2020</v>
      </c>
      <c r="T35" t="n">
        <v>2190</v>
      </c>
      <c r="U35" t="n">
        <v>2360</v>
      </c>
      <c r="V35" t="n">
        <v>1343</v>
      </c>
      <c r="W35" t="n">
        <v>1136</v>
      </c>
      <c r="X35" t="n">
        <v>1102</v>
      </c>
      <c r="Y35" t="n">
        <v>2700</v>
      </c>
    </row>
    <row r="36">
      <c r="A36" t="n">
        <v>35</v>
      </c>
      <c r="B36" t="n">
        <v>0</v>
      </c>
      <c r="C36" t="n">
        <v>1679</v>
      </c>
      <c r="D36" t="n">
        <v>1983</v>
      </c>
      <c r="E36" t="n">
        <v>2756</v>
      </c>
      <c r="F36" t="n">
        <v>3826</v>
      </c>
      <c r="G36" t="n">
        <v>5291</v>
      </c>
      <c r="H36" t="n">
        <v>7302</v>
      </c>
      <c r="I36" t="n">
        <v>10037</v>
      </c>
      <c r="J36" t="n">
        <v>1350</v>
      </c>
      <c r="K36" t="n">
        <v>1983</v>
      </c>
      <c r="L36" t="n">
        <v>1350</v>
      </c>
      <c r="M36" t="n">
        <v>1000</v>
      </c>
      <c r="N36" t="n">
        <v>1175</v>
      </c>
      <c r="O36" t="n">
        <v>1350</v>
      </c>
      <c r="P36" t="n">
        <v>1525</v>
      </c>
      <c r="Q36" t="n">
        <v>1700</v>
      </c>
      <c r="R36" t="n">
        <v>1875</v>
      </c>
      <c r="S36" t="n">
        <v>2050</v>
      </c>
      <c r="T36" t="n">
        <v>2225</v>
      </c>
      <c r="U36" t="n">
        <v>2400</v>
      </c>
      <c r="V36" t="n">
        <v>1354</v>
      </c>
      <c r="W36" t="n">
        <v>1140</v>
      </c>
      <c r="X36" t="n">
        <v>1105</v>
      </c>
      <c r="Y36" t="n">
        <v>2750</v>
      </c>
    </row>
    <row r="37">
      <c r="A37" t="n">
        <v>36</v>
      </c>
      <c r="B37" t="n">
        <v>0</v>
      </c>
      <c r="C37" t="n">
        <v>1705</v>
      </c>
      <c r="D37" t="n">
        <v>2023</v>
      </c>
      <c r="E37" t="n">
        <v>2839</v>
      </c>
      <c r="F37" t="n">
        <v>3980</v>
      </c>
      <c r="G37" t="n">
        <v>5556</v>
      </c>
      <c r="H37" t="n">
        <v>7741</v>
      </c>
      <c r="I37" t="n">
        <v>10740</v>
      </c>
      <c r="J37" t="n">
        <v>1360</v>
      </c>
      <c r="K37" t="n">
        <v>2023</v>
      </c>
      <c r="L37" t="n">
        <v>1360</v>
      </c>
      <c r="M37" t="n">
        <v>1000</v>
      </c>
      <c r="N37" t="n">
        <v>1180</v>
      </c>
      <c r="O37" t="n">
        <v>1360</v>
      </c>
      <c r="P37" t="n">
        <v>1540</v>
      </c>
      <c r="Q37" t="n">
        <v>1720</v>
      </c>
      <c r="R37" t="n">
        <v>1900</v>
      </c>
      <c r="S37" t="n">
        <v>2080</v>
      </c>
      <c r="T37" t="n">
        <v>2260</v>
      </c>
      <c r="U37" t="n">
        <v>2440</v>
      </c>
      <c r="V37" t="n">
        <v>1365</v>
      </c>
      <c r="W37" t="n">
        <v>1144</v>
      </c>
      <c r="X37" t="n">
        <v>1108</v>
      </c>
      <c r="Y37" t="n">
        <v>2800</v>
      </c>
    </row>
    <row r="38">
      <c r="A38" t="n">
        <v>37</v>
      </c>
      <c r="B38" t="n">
        <v>0</v>
      </c>
      <c r="C38" t="n">
        <v>1731</v>
      </c>
      <c r="D38" t="n">
        <v>2064</v>
      </c>
      <c r="E38" t="n">
        <v>2925</v>
      </c>
      <c r="F38" t="n">
        <v>4140</v>
      </c>
      <c r="G38" t="n">
        <v>5834</v>
      </c>
      <c r="H38" t="n">
        <v>8206</v>
      </c>
      <c r="I38" t="n">
        <v>11492</v>
      </c>
      <c r="J38" t="n">
        <v>1370</v>
      </c>
      <c r="K38" t="n">
        <v>2064</v>
      </c>
      <c r="L38" t="n">
        <v>1370</v>
      </c>
      <c r="M38" t="n">
        <v>1000</v>
      </c>
      <c r="N38" t="n">
        <v>1185</v>
      </c>
      <c r="O38" t="n">
        <v>1370</v>
      </c>
      <c r="P38" t="n">
        <v>1555</v>
      </c>
      <c r="Q38" t="n">
        <v>1740</v>
      </c>
      <c r="R38" t="n">
        <v>1925</v>
      </c>
      <c r="S38" t="n">
        <v>2110</v>
      </c>
      <c r="T38" t="n">
        <v>2295</v>
      </c>
      <c r="U38" t="n">
        <v>2480</v>
      </c>
      <c r="V38" t="n">
        <v>1376</v>
      </c>
      <c r="W38" t="n">
        <v>1148</v>
      </c>
      <c r="X38" t="n">
        <v>1111</v>
      </c>
      <c r="Y38" t="n">
        <v>2850</v>
      </c>
    </row>
    <row r="39">
      <c r="A39" t="n">
        <v>38</v>
      </c>
      <c r="B39" t="n">
        <v>0</v>
      </c>
      <c r="C39" t="n">
        <v>1757</v>
      </c>
      <c r="D39" t="n">
        <v>2106</v>
      </c>
      <c r="E39" t="n">
        <v>3013</v>
      </c>
      <c r="F39" t="n">
        <v>4306</v>
      </c>
      <c r="G39" t="n">
        <v>6126</v>
      </c>
      <c r="H39" t="n">
        <v>8699</v>
      </c>
      <c r="I39" t="n">
        <v>12297</v>
      </c>
      <c r="J39" t="n">
        <v>1380</v>
      </c>
      <c r="K39" t="n">
        <v>2106</v>
      </c>
      <c r="L39" t="n">
        <v>1380</v>
      </c>
      <c r="M39" t="n">
        <v>1000</v>
      </c>
      <c r="N39" t="n">
        <v>1190</v>
      </c>
      <c r="O39" t="n">
        <v>1380</v>
      </c>
      <c r="P39" t="n">
        <v>1570</v>
      </c>
      <c r="Q39" t="n">
        <v>1760</v>
      </c>
      <c r="R39" t="n">
        <v>1950</v>
      </c>
      <c r="S39" t="n">
        <v>2140</v>
      </c>
      <c r="T39" t="n">
        <v>2330</v>
      </c>
      <c r="U39" t="n">
        <v>2520</v>
      </c>
      <c r="V39" t="n">
        <v>1387</v>
      </c>
      <c r="W39" t="n">
        <v>1152</v>
      </c>
      <c r="X39" t="n">
        <v>1114</v>
      </c>
      <c r="Y39" t="n">
        <v>2900</v>
      </c>
    </row>
    <row r="40">
      <c r="A40" t="n">
        <v>39</v>
      </c>
      <c r="B40" t="n">
        <v>0</v>
      </c>
      <c r="C40" t="n">
        <v>1784</v>
      </c>
      <c r="D40" t="n">
        <v>2149</v>
      </c>
      <c r="E40" t="n">
        <v>3104</v>
      </c>
      <c r="F40" t="n">
        <v>4479</v>
      </c>
      <c r="G40" t="n">
        <v>6433</v>
      </c>
      <c r="H40" t="n">
        <v>9221</v>
      </c>
      <c r="I40" t="n">
        <v>13158</v>
      </c>
      <c r="J40" t="n">
        <v>1390</v>
      </c>
      <c r="K40" t="n">
        <v>2149</v>
      </c>
      <c r="L40" t="n">
        <v>1390</v>
      </c>
      <c r="M40" t="n">
        <v>1000</v>
      </c>
      <c r="N40" t="n">
        <v>1195</v>
      </c>
      <c r="O40" t="n">
        <v>1390</v>
      </c>
      <c r="P40" t="n">
        <v>1585</v>
      </c>
      <c r="Q40" t="n">
        <v>1780</v>
      </c>
      <c r="R40" t="n">
        <v>1975</v>
      </c>
      <c r="S40" t="n">
        <v>2170</v>
      </c>
      <c r="T40" t="n">
        <v>2365</v>
      </c>
      <c r="U40" t="n">
        <v>2560</v>
      </c>
      <c r="V40" t="n">
        <v>1398</v>
      </c>
      <c r="W40" t="n">
        <v>1156</v>
      </c>
      <c r="X40" t="n">
        <v>1117</v>
      </c>
      <c r="Y40" t="n">
        <v>2950</v>
      </c>
    </row>
    <row r="41">
      <c r="A41" t="n">
        <v>40</v>
      </c>
      <c r="B41" t="n">
        <v>0</v>
      </c>
      <c r="C41" t="n">
        <v>1811</v>
      </c>
      <c r="D41" t="n">
        <v>2192</v>
      </c>
      <c r="E41" t="n">
        <v>3198</v>
      </c>
      <c r="F41" t="n">
        <v>4659</v>
      </c>
      <c r="G41" t="n">
        <v>6755</v>
      </c>
      <c r="H41" t="n">
        <v>9775</v>
      </c>
      <c r="I41" t="n">
        <v>14080</v>
      </c>
      <c r="J41" t="n">
        <v>1400</v>
      </c>
      <c r="K41" t="n">
        <v>2192</v>
      </c>
      <c r="L41" t="n">
        <v>1400</v>
      </c>
      <c r="M41" t="n">
        <v>1000</v>
      </c>
      <c r="N41" t="n">
        <v>1200</v>
      </c>
      <c r="O41" t="n">
        <v>1400</v>
      </c>
      <c r="P41" t="n">
        <v>1600</v>
      </c>
      <c r="Q41" t="n">
        <v>1800</v>
      </c>
      <c r="R41" t="n">
        <v>2000</v>
      </c>
      <c r="S41" t="n">
        <v>2200</v>
      </c>
      <c r="T41" t="n">
        <v>2400</v>
      </c>
      <c r="U41" t="n">
        <v>2600</v>
      </c>
      <c r="V41" t="n">
        <v>1410</v>
      </c>
      <c r="W41" t="n">
        <v>1160</v>
      </c>
      <c r="X41" t="n">
        <v>1120</v>
      </c>
      <c r="Y41" t="n">
        <v>3000</v>
      </c>
    </row>
    <row r="42">
      <c r="A42" t="n">
        <v>41</v>
      </c>
      <c r="B42" t="n">
        <v>0</v>
      </c>
      <c r="C42" t="n">
        <v>1839</v>
      </c>
      <c r="D42" t="n">
        <v>2236</v>
      </c>
      <c r="E42" t="n">
        <v>3294</v>
      </c>
      <c r="F42" t="n">
        <v>4846</v>
      </c>
      <c r="G42" t="n">
        <v>7093</v>
      </c>
      <c r="H42" t="n">
        <v>10362</v>
      </c>
      <c r="I42" t="n">
        <v>15066</v>
      </c>
      <c r="J42" t="n">
        <v>1410</v>
      </c>
      <c r="K42" t="n">
        <v>2236</v>
      </c>
      <c r="L42" t="n">
        <v>1410</v>
      </c>
      <c r="M42" t="n">
        <v>1000</v>
      </c>
      <c r="N42" t="n">
        <v>1205</v>
      </c>
      <c r="O42" t="n">
        <v>1410</v>
      </c>
      <c r="P42" t="n">
        <v>1615</v>
      </c>
      <c r="Q42" t="n">
        <v>1820</v>
      </c>
      <c r="R42" t="n">
        <v>2025</v>
      </c>
      <c r="S42" t="n">
        <v>2230</v>
      </c>
      <c r="T42" t="n">
        <v>2435</v>
      </c>
      <c r="U42" t="n">
        <v>2640</v>
      </c>
      <c r="V42" t="n">
        <v>1422</v>
      </c>
      <c r="W42" t="n">
        <v>1164</v>
      </c>
      <c r="X42" t="n">
        <v>1123</v>
      </c>
      <c r="Y42" t="n">
        <v>3050</v>
      </c>
    </row>
    <row r="43">
      <c r="A43" t="n">
        <v>42</v>
      </c>
      <c r="B43" t="n">
        <v>0</v>
      </c>
      <c r="C43" t="n">
        <v>1867</v>
      </c>
      <c r="D43" t="n">
        <v>2281</v>
      </c>
      <c r="E43" t="n">
        <v>3393</v>
      </c>
      <c r="F43" t="n">
        <v>5040</v>
      </c>
      <c r="G43" t="n">
        <v>7448</v>
      </c>
      <c r="H43" t="n">
        <v>10984</v>
      </c>
      <c r="I43" t="n">
        <v>16121</v>
      </c>
      <c r="J43" t="n">
        <v>1420</v>
      </c>
      <c r="K43" t="n">
        <v>2281</v>
      </c>
      <c r="L43" t="n">
        <v>1420</v>
      </c>
      <c r="M43" t="n">
        <v>1000</v>
      </c>
      <c r="N43" t="n">
        <v>1210</v>
      </c>
      <c r="O43" t="n">
        <v>1420</v>
      </c>
      <c r="P43" t="n">
        <v>1630</v>
      </c>
      <c r="Q43" t="n">
        <v>1840</v>
      </c>
      <c r="R43" t="n">
        <v>2050</v>
      </c>
      <c r="S43" t="n">
        <v>2260</v>
      </c>
      <c r="T43" t="n">
        <v>2470</v>
      </c>
      <c r="U43" t="n">
        <v>2680</v>
      </c>
      <c r="V43" t="n">
        <v>1434</v>
      </c>
      <c r="W43" t="n">
        <v>1168</v>
      </c>
      <c r="X43" t="n">
        <v>1126</v>
      </c>
      <c r="Y43" t="n">
        <v>3100</v>
      </c>
    </row>
    <row r="44">
      <c r="A44" t="n">
        <v>43</v>
      </c>
      <c r="B44" t="n">
        <v>0</v>
      </c>
      <c r="C44" t="n">
        <v>1896</v>
      </c>
      <c r="D44" t="n">
        <v>2327</v>
      </c>
      <c r="E44" t="n">
        <v>3495</v>
      </c>
      <c r="F44" t="n">
        <v>5242</v>
      </c>
      <c r="G44" t="n">
        <v>7821</v>
      </c>
      <c r="H44" t="n">
        <v>11644</v>
      </c>
      <c r="I44" t="n">
        <v>17250</v>
      </c>
      <c r="J44" t="n">
        <v>1430</v>
      </c>
      <c r="K44" t="n">
        <v>2327</v>
      </c>
      <c r="L44" t="n">
        <v>1430</v>
      </c>
      <c r="M44" t="n">
        <v>1000</v>
      </c>
      <c r="N44" t="n">
        <v>1215</v>
      </c>
      <c r="O44" t="n">
        <v>1430</v>
      </c>
      <c r="P44" t="n">
        <v>1645</v>
      </c>
      <c r="Q44" t="n">
        <v>1860</v>
      </c>
      <c r="R44" t="n">
        <v>2075</v>
      </c>
      <c r="S44" t="n">
        <v>2290</v>
      </c>
      <c r="T44" t="n">
        <v>2505</v>
      </c>
      <c r="U44" t="n">
        <v>2720</v>
      </c>
      <c r="V44" t="n">
        <v>1446</v>
      </c>
      <c r="W44" t="n">
        <v>1172</v>
      </c>
      <c r="X44" t="n">
        <v>1129</v>
      </c>
      <c r="Y44" t="n">
        <v>3150</v>
      </c>
    </row>
    <row r="45">
      <c r="A45" t="n">
        <v>44</v>
      </c>
      <c r="B45" t="n">
        <v>0</v>
      </c>
      <c r="C45" t="n">
        <v>1925</v>
      </c>
      <c r="D45" t="n">
        <v>2374</v>
      </c>
      <c r="E45" t="n">
        <v>3600</v>
      </c>
      <c r="F45" t="n">
        <v>5452</v>
      </c>
      <c r="G45" t="n">
        <v>8213</v>
      </c>
      <c r="H45" t="n">
        <v>12343</v>
      </c>
      <c r="I45" t="n">
        <v>18458</v>
      </c>
      <c r="J45" t="n">
        <v>1440</v>
      </c>
      <c r="K45" t="n">
        <v>2374</v>
      </c>
      <c r="L45" t="n">
        <v>1440</v>
      </c>
      <c r="M45" t="n">
        <v>1000</v>
      </c>
      <c r="N45" t="n">
        <v>1220</v>
      </c>
      <c r="O45" t="n">
        <v>1440</v>
      </c>
      <c r="P45" t="n">
        <v>1660</v>
      </c>
      <c r="Q45" t="n">
        <v>1880</v>
      </c>
      <c r="R45" t="n">
        <v>2100</v>
      </c>
      <c r="S45" t="n">
        <v>2320</v>
      </c>
      <c r="T45" t="n">
        <v>2540</v>
      </c>
      <c r="U45" t="n">
        <v>2760</v>
      </c>
      <c r="V45" t="n">
        <v>1458</v>
      </c>
      <c r="W45" t="n">
        <v>1176</v>
      </c>
      <c r="X45" t="n">
        <v>1132</v>
      </c>
      <c r="Y45" t="n">
        <v>3200</v>
      </c>
    </row>
    <row r="46">
      <c r="A46" t="n">
        <v>45</v>
      </c>
      <c r="B46" t="n">
        <v>0</v>
      </c>
      <c r="C46" t="n">
        <v>1954</v>
      </c>
      <c r="D46" t="n">
        <v>2422</v>
      </c>
      <c r="E46" t="n">
        <v>3708</v>
      </c>
      <c r="F46" t="n">
        <v>5671</v>
      </c>
      <c r="G46" t="n">
        <v>8624</v>
      </c>
      <c r="H46" t="n">
        <v>13084</v>
      </c>
      <c r="I46" t="n">
        <v>19751</v>
      </c>
      <c r="J46" t="n">
        <v>1450</v>
      </c>
      <c r="K46" t="n">
        <v>2422</v>
      </c>
      <c r="L46" t="n">
        <v>1450</v>
      </c>
      <c r="M46" t="n">
        <v>1000</v>
      </c>
      <c r="N46" t="n">
        <v>1225</v>
      </c>
      <c r="O46" t="n">
        <v>1450</v>
      </c>
      <c r="P46" t="n">
        <v>1675</v>
      </c>
      <c r="Q46" t="n">
        <v>1900</v>
      </c>
      <c r="R46" t="n">
        <v>2125</v>
      </c>
      <c r="S46" t="n">
        <v>2350</v>
      </c>
      <c r="T46" t="n">
        <v>2575</v>
      </c>
      <c r="U46" t="n">
        <v>2800</v>
      </c>
      <c r="V46" t="n">
        <v>1470</v>
      </c>
      <c r="W46" t="n">
        <v>1180</v>
      </c>
      <c r="X46" t="n">
        <v>1135</v>
      </c>
      <c r="Y46" t="n">
        <v>3250</v>
      </c>
    </row>
    <row r="47">
      <c r="A47" t="n">
        <v>46</v>
      </c>
      <c r="B47" t="n">
        <v>0</v>
      </c>
      <c r="C47" t="n">
        <v>1984</v>
      </c>
      <c r="D47" t="n">
        <v>2471</v>
      </c>
      <c r="E47" t="n">
        <v>3820</v>
      </c>
      <c r="F47" t="n">
        <v>5898</v>
      </c>
      <c r="G47" t="n">
        <v>9056</v>
      </c>
      <c r="H47" t="n">
        <v>13870</v>
      </c>
      <c r="I47" t="n">
        <v>21134</v>
      </c>
      <c r="J47" t="n">
        <v>1460</v>
      </c>
      <c r="K47" t="n">
        <v>2471</v>
      </c>
      <c r="L47" t="n">
        <v>1460</v>
      </c>
      <c r="M47" t="n">
        <v>1000</v>
      </c>
      <c r="N47" t="n">
        <v>1230</v>
      </c>
      <c r="O47" t="n">
        <v>1460</v>
      </c>
      <c r="P47" t="n">
        <v>1690</v>
      </c>
      <c r="Q47" t="n">
        <v>1920</v>
      </c>
      <c r="R47" t="n">
        <v>2150</v>
      </c>
      <c r="S47" t="n">
        <v>2380</v>
      </c>
      <c r="T47" t="n">
        <v>2610</v>
      </c>
      <c r="U47" t="n">
        <v>2840</v>
      </c>
      <c r="V47" t="n">
        <v>1482</v>
      </c>
      <c r="W47" t="n">
        <v>1184</v>
      </c>
      <c r="X47" t="n">
        <v>1138</v>
      </c>
      <c r="Y47" t="n">
        <v>3300</v>
      </c>
    </row>
    <row r="48">
      <c r="A48" t="n">
        <v>47</v>
      </c>
      <c r="B48" t="n">
        <v>0</v>
      </c>
      <c r="C48" t="n">
        <v>2014</v>
      </c>
      <c r="D48" t="n">
        <v>2521</v>
      </c>
      <c r="E48" t="n">
        <v>3935</v>
      </c>
      <c r="F48" t="n">
        <v>6134</v>
      </c>
      <c r="G48" t="n">
        <v>9509</v>
      </c>
      <c r="H48" t="n">
        <v>14703</v>
      </c>
      <c r="I48" t="n">
        <v>22614</v>
      </c>
      <c r="J48" t="n">
        <v>1470</v>
      </c>
      <c r="K48" t="n">
        <v>2521</v>
      </c>
      <c r="L48" t="n">
        <v>1470</v>
      </c>
      <c r="M48" t="n">
        <v>1000</v>
      </c>
      <c r="N48" t="n">
        <v>1235</v>
      </c>
      <c r="O48" t="n">
        <v>1470</v>
      </c>
      <c r="P48" t="n">
        <v>1705</v>
      </c>
      <c r="Q48" t="n">
        <v>1940</v>
      </c>
      <c r="R48" t="n">
        <v>2175</v>
      </c>
      <c r="S48" t="n">
        <v>2410</v>
      </c>
      <c r="T48" t="n">
        <v>2645</v>
      </c>
      <c r="U48" t="n">
        <v>2880</v>
      </c>
      <c r="V48" t="n">
        <v>1494</v>
      </c>
      <c r="W48" t="n">
        <v>1188</v>
      </c>
      <c r="X48" t="n">
        <v>1141</v>
      </c>
      <c r="Y48" t="n">
        <v>3350</v>
      </c>
    </row>
    <row r="49">
      <c r="A49" t="n">
        <v>48</v>
      </c>
      <c r="B49" t="n">
        <v>0</v>
      </c>
      <c r="C49" t="n">
        <v>2045</v>
      </c>
      <c r="D49" t="n">
        <v>2572</v>
      </c>
      <c r="E49" t="n">
        <v>4054</v>
      </c>
      <c r="F49" t="n">
        <v>6380</v>
      </c>
      <c r="G49" t="n">
        <v>9985</v>
      </c>
      <c r="H49" t="n">
        <v>15586</v>
      </c>
      <c r="I49" t="n">
        <v>24197</v>
      </c>
      <c r="J49" t="n">
        <v>1480</v>
      </c>
      <c r="K49" t="n">
        <v>2572</v>
      </c>
      <c r="L49" t="n">
        <v>1480</v>
      </c>
      <c r="M49" t="n">
        <v>1000</v>
      </c>
      <c r="N49" t="n">
        <v>1240</v>
      </c>
      <c r="O49" t="n">
        <v>1480</v>
      </c>
      <c r="P49" t="n">
        <v>1720</v>
      </c>
      <c r="Q49" t="n">
        <v>1960</v>
      </c>
      <c r="R49" t="n">
        <v>2200</v>
      </c>
      <c r="S49" t="n">
        <v>2440</v>
      </c>
      <c r="T49" t="n">
        <v>2680</v>
      </c>
      <c r="U49" t="n">
        <v>2920</v>
      </c>
      <c r="V49" t="n">
        <v>1506</v>
      </c>
      <c r="W49" t="n">
        <v>1192</v>
      </c>
      <c r="X49" t="n">
        <v>1144</v>
      </c>
      <c r="Y49" t="n">
        <v>3400</v>
      </c>
    </row>
    <row r="50">
      <c r="A50" t="n">
        <v>49</v>
      </c>
      <c r="B50" t="n">
        <v>0</v>
      </c>
      <c r="C50" t="n">
        <v>2076</v>
      </c>
      <c r="D50" t="n">
        <v>2624</v>
      </c>
      <c r="E50" t="n">
        <v>4176</v>
      </c>
      <c r="F50" t="n">
        <v>6636</v>
      </c>
      <c r="G50" t="n">
        <v>10485</v>
      </c>
      <c r="H50" t="n">
        <v>16522</v>
      </c>
      <c r="I50" t="n">
        <v>25891</v>
      </c>
      <c r="J50" t="n">
        <v>1490</v>
      </c>
      <c r="K50" t="n">
        <v>2624</v>
      </c>
      <c r="L50" t="n">
        <v>1490</v>
      </c>
      <c r="M50" t="n">
        <v>1000</v>
      </c>
      <c r="N50" t="n">
        <v>1245</v>
      </c>
      <c r="O50" t="n">
        <v>1490</v>
      </c>
      <c r="P50" t="n">
        <v>1735</v>
      </c>
      <c r="Q50" t="n">
        <v>1980</v>
      </c>
      <c r="R50" t="n">
        <v>2225</v>
      </c>
      <c r="S50" t="n">
        <v>2470</v>
      </c>
      <c r="T50" t="n">
        <v>2715</v>
      </c>
      <c r="U50" t="n">
        <v>2960</v>
      </c>
      <c r="V50" t="n">
        <v>1518</v>
      </c>
      <c r="W50" t="n">
        <v>1196</v>
      </c>
      <c r="X50" t="n">
        <v>1147</v>
      </c>
      <c r="Y50" t="n">
        <v>3450</v>
      </c>
    </row>
    <row r="51">
      <c r="A51" t="n">
        <v>50</v>
      </c>
      <c r="B51" t="n">
        <v>0</v>
      </c>
      <c r="C51" t="n">
        <v>2108</v>
      </c>
      <c r="D51" t="n">
        <v>2677</v>
      </c>
      <c r="E51" t="n">
        <v>4302</v>
      </c>
      <c r="F51" t="n">
        <v>6902</v>
      </c>
      <c r="G51" t="n">
        <v>11010</v>
      </c>
      <c r="H51" t="n">
        <v>17514</v>
      </c>
      <c r="I51" t="n">
        <v>27704</v>
      </c>
      <c r="J51" t="n">
        <v>1500</v>
      </c>
      <c r="K51" t="n">
        <v>2677</v>
      </c>
      <c r="L51" t="n">
        <v>1500</v>
      </c>
      <c r="M51" t="n">
        <v>1000</v>
      </c>
      <c r="N51" t="n">
        <v>1250</v>
      </c>
      <c r="O51" t="n">
        <v>1500</v>
      </c>
      <c r="P51" t="n">
        <v>1750</v>
      </c>
      <c r="Q51" t="n">
        <v>2000</v>
      </c>
      <c r="R51" t="n">
        <v>2250</v>
      </c>
      <c r="S51" t="n">
        <v>2500</v>
      </c>
      <c r="T51" t="n">
        <v>2750</v>
      </c>
      <c r="U51" t="n">
        <v>3000</v>
      </c>
      <c r="V51" t="n">
        <v>1530</v>
      </c>
      <c r="W51" t="n">
        <v>1200</v>
      </c>
      <c r="X51" t="n">
        <v>1150</v>
      </c>
      <c r="Y51" t="n">
        <v>3500</v>
      </c>
    </row>
    <row r="52">
      <c r="A52" t="n">
        <v>51</v>
      </c>
      <c r="B52" t="n">
        <v>0</v>
      </c>
      <c r="C52" t="n">
        <v>2140</v>
      </c>
      <c r="D52" t="n">
        <v>2731</v>
      </c>
      <c r="E52" t="n">
        <v>4432</v>
      </c>
      <c r="F52" t="n">
        <v>7179</v>
      </c>
      <c r="G52" t="n">
        <v>11561</v>
      </c>
      <c r="H52" t="n">
        <v>18565</v>
      </c>
      <c r="I52" t="n">
        <v>29644</v>
      </c>
      <c r="J52" t="n">
        <v>1510</v>
      </c>
      <c r="K52" t="n">
        <v>2731</v>
      </c>
      <c r="L52" t="n">
        <v>1510</v>
      </c>
      <c r="M52" t="n">
        <v>1000</v>
      </c>
      <c r="N52" t="n">
        <v>1255</v>
      </c>
      <c r="O52" t="n">
        <v>1510</v>
      </c>
      <c r="P52" t="n">
        <v>1765</v>
      </c>
      <c r="Q52" t="n">
        <v>2020</v>
      </c>
      <c r="R52" t="n">
        <v>2275</v>
      </c>
      <c r="S52" t="n">
        <v>2530</v>
      </c>
      <c r="T52" t="n">
        <v>2785</v>
      </c>
      <c r="U52" t="n">
        <v>3040</v>
      </c>
      <c r="V52" t="n">
        <v>1542</v>
      </c>
      <c r="W52" t="n">
        <v>1204</v>
      </c>
      <c r="X52" t="n">
        <v>1153</v>
      </c>
      <c r="Y52" t="n">
        <v>3550</v>
      </c>
    </row>
    <row r="53">
      <c r="A53" t="n">
        <v>52</v>
      </c>
      <c r="B53" t="n">
        <v>0</v>
      </c>
      <c r="C53" t="n">
        <v>2173</v>
      </c>
      <c r="D53" t="n">
        <v>2786</v>
      </c>
      <c r="E53" t="n">
        <v>4565</v>
      </c>
      <c r="F53" t="n">
        <v>7467</v>
      </c>
      <c r="G53" t="n">
        <v>12140</v>
      </c>
      <c r="H53" t="n">
        <v>19679</v>
      </c>
      <c r="I53" t="n">
        <v>31720</v>
      </c>
      <c r="J53" t="n">
        <v>1520</v>
      </c>
      <c r="K53" t="n">
        <v>2786</v>
      </c>
      <c r="L53" t="n">
        <v>1520</v>
      </c>
      <c r="M53" t="n">
        <v>1000</v>
      </c>
      <c r="N53" t="n">
        <v>1260</v>
      </c>
      <c r="O53" t="n">
        <v>1520</v>
      </c>
      <c r="P53" t="n">
        <v>1780</v>
      </c>
      <c r="Q53" t="n">
        <v>2040</v>
      </c>
      <c r="R53" t="n">
        <v>2300</v>
      </c>
      <c r="S53" t="n">
        <v>2560</v>
      </c>
      <c r="T53" t="n">
        <v>2820</v>
      </c>
      <c r="U53" t="n">
        <v>3080</v>
      </c>
      <c r="V53" t="n">
        <v>1554</v>
      </c>
      <c r="W53" t="n">
        <v>1208</v>
      </c>
      <c r="X53" t="n">
        <v>1156</v>
      </c>
      <c r="Y53" t="n">
        <v>3600</v>
      </c>
    </row>
    <row r="54">
      <c r="A54" t="n">
        <v>53</v>
      </c>
      <c r="B54" t="n">
        <v>0</v>
      </c>
      <c r="C54" t="n">
        <v>2206</v>
      </c>
      <c r="D54" t="n">
        <v>2842</v>
      </c>
      <c r="E54" t="n">
        <v>4702</v>
      </c>
      <c r="F54" t="n">
        <v>7766</v>
      </c>
      <c r="G54" t="n">
        <v>12747</v>
      </c>
      <c r="H54" t="n">
        <v>20860</v>
      </c>
      <c r="I54" t="n">
        <v>33941</v>
      </c>
      <c r="J54" t="n">
        <v>1530</v>
      </c>
      <c r="K54" t="n">
        <v>2842</v>
      </c>
      <c r="L54" t="n">
        <v>1530</v>
      </c>
      <c r="M54" t="n">
        <v>1000</v>
      </c>
      <c r="N54" t="n">
        <v>1265</v>
      </c>
      <c r="O54" t="n">
        <v>1530</v>
      </c>
      <c r="P54" t="n">
        <v>1795</v>
      </c>
      <c r="Q54" t="n">
        <v>2060</v>
      </c>
      <c r="R54" t="n">
        <v>2325</v>
      </c>
      <c r="S54" t="n">
        <v>2590</v>
      </c>
      <c r="T54" t="n">
        <v>2855</v>
      </c>
      <c r="U54" t="n">
        <v>3120</v>
      </c>
      <c r="V54" t="n">
        <v>1566</v>
      </c>
      <c r="W54" t="n">
        <v>1212</v>
      </c>
      <c r="X54" t="n">
        <v>1159</v>
      </c>
      <c r="Y54" t="n">
        <v>3650</v>
      </c>
    </row>
    <row r="55">
      <c r="A55" t="n">
        <v>54</v>
      </c>
      <c r="B55" t="n">
        <v>0</v>
      </c>
      <c r="C55" t="n">
        <v>2240</v>
      </c>
      <c r="D55" t="n">
        <v>2899</v>
      </c>
      <c r="E55" t="n">
        <v>4844</v>
      </c>
      <c r="F55" t="n">
        <v>8077</v>
      </c>
      <c r="G55" t="n">
        <v>13385</v>
      </c>
      <c r="H55" t="n">
        <v>22112</v>
      </c>
      <c r="I55" t="n">
        <v>36317</v>
      </c>
      <c r="J55" t="n">
        <v>1540</v>
      </c>
      <c r="K55" t="n">
        <v>2899</v>
      </c>
      <c r="L55" t="n">
        <v>1540</v>
      </c>
      <c r="M55" t="n">
        <v>1000</v>
      </c>
      <c r="N55" t="n">
        <v>1270</v>
      </c>
      <c r="O55" t="n">
        <v>1540</v>
      </c>
      <c r="P55" t="n">
        <v>1810</v>
      </c>
      <c r="Q55" t="n">
        <v>2080</v>
      </c>
      <c r="R55" t="n">
        <v>2350</v>
      </c>
      <c r="S55" t="n">
        <v>2620</v>
      </c>
      <c r="T55" t="n">
        <v>2890</v>
      </c>
      <c r="U55" t="n">
        <v>3160</v>
      </c>
      <c r="V55" t="n">
        <v>1578</v>
      </c>
      <c r="W55" t="n">
        <v>1216</v>
      </c>
      <c r="X55" t="n">
        <v>1162</v>
      </c>
      <c r="Y55" t="n">
        <v>3700</v>
      </c>
    </row>
    <row r="56">
      <c r="A56" t="n">
        <v>55</v>
      </c>
      <c r="B56" t="n">
        <v>0</v>
      </c>
      <c r="C56" t="n">
        <v>2274</v>
      </c>
      <c r="D56" t="n">
        <v>2957</v>
      </c>
      <c r="E56" t="n">
        <v>4990</v>
      </c>
      <c r="F56" t="n">
        <v>8401</v>
      </c>
      <c r="G56" t="n">
        <v>14055</v>
      </c>
      <c r="H56" t="n">
        <v>23439</v>
      </c>
      <c r="I56" t="n">
        <v>38860</v>
      </c>
      <c r="J56" t="n">
        <v>1550</v>
      </c>
      <c r="K56" t="n">
        <v>2957</v>
      </c>
      <c r="L56" t="n">
        <v>1550</v>
      </c>
      <c r="M56" t="n">
        <v>1000</v>
      </c>
      <c r="N56" t="n">
        <v>1275</v>
      </c>
      <c r="O56" t="n">
        <v>1550</v>
      </c>
      <c r="P56" t="n">
        <v>1825</v>
      </c>
      <c r="Q56" t="n">
        <v>2100</v>
      </c>
      <c r="R56" t="n">
        <v>2375</v>
      </c>
      <c r="S56" t="n">
        <v>2650</v>
      </c>
      <c r="T56" t="n">
        <v>2925</v>
      </c>
      <c r="U56" t="n">
        <v>3200</v>
      </c>
      <c r="V56" t="n">
        <v>1590</v>
      </c>
      <c r="W56" t="n">
        <v>1220</v>
      </c>
      <c r="X56" t="n">
        <v>1165</v>
      </c>
      <c r="Y56" t="n">
        <v>3750</v>
      </c>
    </row>
    <row r="57">
      <c r="A57" t="n">
        <v>56</v>
      </c>
      <c r="B57" t="n">
        <v>0</v>
      </c>
      <c r="C57" t="n">
        <v>2309</v>
      </c>
      <c r="D57" t="n">
        <v>3017</v>
      </c>
      <c r="E57" t="n">
        <v>5140</v>
      </c>
      <c r="F57" t="n">
        <v>8738</v>
      </c>
      <c r="G57" t="n">
        <v>14758</v>
      </c>
      <c r="H57" t="n">
        <v>24846</v>
      </c>
      <c r="I57" t="n">
        <v>41581</v>
      </c>
      <c r="J57" t="n">
        <v>1560</v>
      </c>
      <c r="K57" t="n">
        <v>3017</v>
      </c>
      <c r="L57" t="n">
        <v>1560</v>
      </c>
      <c r="M57" t="n">
        <v>1000</v>
      </c>
      <c r="N57" t="n">
        <v>1280</v>
      </c>
      <c r="O57" t="n">
        <v>1560</v>
      </c>
      <c r="P57" t="n">
        <v>1840</v>
      </c>
      <c r="Q57" t="n">
        <v>2120</v>
      </c>
      <c r="R57" t="n">
        <v>2400</v>
      </c>
      <c r="S57" t="n">
        <v>2680</v>
      </c>
      <c r="T57" t="n">
        <v>2960</v>
      </c>
      <c r="U57" t="n">
        <v>3240</v>
      </c>
      <c r="V57" t="n">
        <v>1602</v>
      </c>
      <c r="W57" t="n">
        <v>1224</v>
      </c>
      <c r="X57" t="n">
        <v>1168</v>
      </c>
      <c r="Y57" t="n">
        <v>3800</v>
      </c>
    </row>
    <row r="58">
      <c r="A58" t="n">
        <v>57</v>
      </c>
      <c r="B58" t="n">
        <v>0</v>
      </c>
      <c r="C58" t="n">
        <v>2344</v>
      </c>
      <c r="D58" t="n">
        <v>3078</v>
      </c>
      <c r="E58" t="n">
        <v>5295</v>
      </c>
      <c r="F58" t="n">
        <v>9088</v>
      </c>
      <c r="G58" t="n">
        <v>15496</v>
      </c>
      <c r="H58" t="n">
        <v>26337</v>
      </c>
      <c r="I58" t="n">
        <v>44492</v>
      </c>
      <c r="J58" t="n">
        <v>1570</v>
      </c>
      <c r="K58" t="n">
        <v>3078</v>
      </c>
      <c r="L58" t="n">
        <v>1570</v>
      </c>
      <c r="M58" t="n">
        <v>1000</v>
      </c>
      <c r="N58" t="n">
        <v>1285</v>
      </c>
      <c r="O58" t="n">
        <v>1570</v>
      </c>
      <c r="P58" t="n">
        <v>1855</v>
      </c>
      <c r="Q58" t="n">
        <v>2140</v>
      </c>
      <c r="R58" t="n">
        <v>2425</v>
      </c>
      <c r="S58" t="n">
        <v>2710</v>
      </c>
      <c r="T58" t="n">
        <v>2995</v>
      </c>
      <c r="U58" t="n">
        <v>3280</v>
      </c>
      <c r="V58" t="n">
        <v>1615</v>
      </c>
      <c r="W58" t="n">
        <v>1228</v>
      </c>
      <c r="X58" t="n">
        <v>1171</v>
      </c>
      <c r="Y58" t="n">
        <v>3850</v>
      </c>
    </row>
    <row r="59">
      <c r="A59" t="n">
        <v>58</v>
      </c>
      <c r="B59" t="n">
        <v>0</v>
      </c>
      <c r="C59" t="n">
        <v>2380</v>
      </c>
      <c r="D59" t="n">
        <v>3140</v>
      </c>
      <c r="E59" t="n">
        <v>5454</v>
      </c>
      <c r="F59" t="n">
        <v>9452</v>
      </c>
      <c r="G59" t="n">
        <v>16271</v>
      </c>
      <c r="H59" t="n">
        <v>27918</v>
      </c>
      <c r="I59" t="n">
        <v>47607</v>
      </c>
      <c r="J59" t="n">
        <v>1580</v>
      </c>
      <c r="K59" t="n">
        <v>3140</v>
      </c>
      <c r="L59" t="n">
        <v>1580</v>
      </c>
      <c r="M59" t="n">
        <v>1000</v>
      </c>
      <c r="N59" t="n">
        <v>1290</v>
      </c>
      <c r="O59" t="n">
        <v>1580</v>
      </c>
      <c r="P59" t="n">
        <v>1870</v>
      </c>
      <c r="Q59" t="n">
        <v>2160</v>
      </c>
      <c r="R59" t="n">
        <v>2450</v>
      </c>
      <c r="S59" t="n">
        <v>2740</v>
      </c>
      <c r="T59" t="n">
        <v>3030</v>
      </c>
      <c r="U59" t="n">
        <v>3320</v>
      </c>
      <c r="V59" t="n">
        <v>1628</v>
      </c>
      <c r="W59" t="n">
        <v>1232</v>
      </c>
      <c r="X59" t="n">
        <v>1174</v>
      </c>
      <c r="Y59" t="n">
        <v>3900</v>
      </c>
    </row>
    <row r="60">
      <c r="A60" t="n">
        <v>59</v>
      </c>
      <c r="B60" t="n">
        <v>0</v>
      </c>
      <c r="C60" t="n">
        <v>2416</v>
      </c>
      <c r="D60" t="n">
        <v>3203</v>
      </c>
      <c r="E60" t="n">
        <v>5618</v>
      </c>
      <c r="F60" t="n">
        <v>9831</v>
      </c>
      <c r="G60" t="n">
        <v>17085</v>
      </c>
      <c r="H60" t="n">
        <v>29594</v>
      </c>
      <c r="I60" t="n">
        <v>50940</v>
      </c>
      <c r="J60" t="n">
        <v>1590</v>
      </c>
      <c r="K60" t="n">
        <v>3203</v>
      </c>
      <c r="L60" t="n">
        <v>1590</v>
      </c>
      <c r="M60" t="n">
        <v>1000</v>
      </c>
      <c r="N60" t="n">
        <v>1295</v>
      </c>
      <c r="O60" t="n">
        <v>1590</v>
      </c>
      <c r="P60" t="n">
        <v>1885</v>
      </c>
      <c r="Q60" t="n">
        <v>2180</v>
      </c>
      <c r="R60" t="n">
        <v>2475</v>
      </c>
      <c r="S60" t="n">
        <v>2770</v>
      </c>
      <c r="T60" t="n">
        <v>3065</v>
      </c>
      <c r="U60" t="n">
        <v>3360</v>
      </c>
      <c r="V60" t="n">
        <v>1641</v>
      </c>
      <c r="W60" t="n">
        <v>1236</v>
      </c>
      <c r="X60" t="n">
        <v>1177</v>
      </c>
      <c r="Y60" t="n">
        <v>3950</v>
      </c>
    </row>
    <row r="61">
      <c r="A61" t="n">
        <v>60</v>
      </c>
      <c r="B61" t="n">
        <v>0</v>
      </c>
      <c r="C61" t="n">
        <v>2453</v>
      </c>
      <c r="D61" t="n">
        <v>3268</v>
      </c>
      <c r="E61" t="n">
        <v>5787</v>
      </c>
      <c r="F61" t="n">
        <v>10225</v>
      </c>
      <c r="G61" t="n">
        <v>17940</v>
      </c>
      <c r="H61" t="n">
        <v>31370</v>
      </c>
      <c r="I61" t="n">
        <v>54506</v>
      </c>
      <c r="J61" t="n">
        <v>1600</v>
      </c>
      <c r="K61" t="n">
        <v>3268</v>
      </c>
      <c r="L61" t="n">
        <v>1600</v>
      </c>
      <c r="M61" t="n">
        <v>1000</v>
      </c>
      <c r="N61" t="n">
        <v>1300</v>
      </c>
      <c r="O61" t="n">
        <v>1600</v>
      </c>
      <c r="P61" t="n">
        <v>1900</v>
      </c>
      <c r="Q61" t="n">
        <v>2200</v>
      </c>
      <c r="R61" t="n">
        <v>2500</v>
      </c>
      <c r="S61" t="n">
        <v>2800</v>
      </c>
      <c r="T61" t="n">
        <v>3100</v>
      </c>
      <c r="U61" t="n">
        <v>3400</v>
      </c>
      <c r="V61" t="n">
        <v>1654</v>
      </c>
      <c r="W61" t="n">
        <v>1240</v>
      </c>
      <c r="X61" t="n">
        <v>1180</v>
      </c>
      <c r="Y61" t="n">
        <v>4000</v>
      </c>
    </row>
    <row r="62">
      <c r="A62" t="n">
        <v>61</v>
      </c>
      <c r="B62" t="n">
        <v>0</v>
      </c>
      <c r="C62" t="n">
        <v>2490</v>
      </c>
      <c r="D62" t="n">
        <v>3334</v>
      </c>
      <c r="E62" t="n">
        <v>5961</v>
      </c>
      <c r="F62" t="n">
        <v>10634</v>
      </c>
      <c r="G62" t="n">
        <v>18837</v>
      </c>
      <c r="H62" t="n">
        <v>33253</v>
      </c>
      <c r="I62" t="n">
        <v>58322</v>
      </c>
      <c r="J62" t="n">
        <v>1610</v>
      </c>
      <c r="K62" t="n">
        <v>3334</v>
      </c>
      <c r="L62" t="n">
        <v>1610</v>
      </c>
      <c r="M62" t="n">
        <v>1000</v>
      </c>
      <c r="N62" t="n">
        <v>1305</v>
      </c>
      <c r="O62" t="n">
        <v>1610</v>
      </c>
      <c r="P62" t="n">
        <v>1915</v>
      </c>
      <c r="Q62" t="n">
        <v>2220</v>
      </c>
      <c r="R62" t="n">
        <v>2525</v>
      </c>
      <c r="S62" t="n">
        <v>2830</v>
      </c>
      <c r="T62" t="n">
        <v>3135</v>
      </c>
      <c r="U62" t="n">
        <v>3440</v>
      </c>
      <c r="V62" t="n">
        <v>1667</v>
      </c>
      <c r="W62" t="n">
        <v>1244</v>
      </c>
      <c r="X62" t="n">
        <v>1183</v>
      </c>
      <c r="Y62" t="n">
        <v>4050</v>
      </c>
    </row>
    <row r="63">
      <c r="A63" t="n">
        <v>62</v>
      </c>
      <c r="B63" t="n">
        <v>0</v>
      </c>
      <c r="C63" t="n">
        <v>2528</v>
      </c>
      <c r="D63" t="n">
        <v>3401</v>
      </c>
      <c r="E63" t="n">
        <v>6140</v>
      </c>
      <c r="F63" t="n">
        <v>11060</v>
      </c>
      <c r="G63" t="n">
        <v>19779</v>
      </c>
      <c r="H63" t="n">
        <v>35249</v>
      </c>
      <c r="I63" t="n">
        <v>62405</v>
      </c>
      <c r="J63" t="n">
        <v>1620</v>
      </c>
      <c r="K63" t="n">
        <v>3401</v>
      </c>
      <c r="L63" t="n">
        <v>1620</v>
      </c>
      <c r="M63" t="n">
        <v>1000</v>
      </c>
      <c r="N63" t="n">
        <v>1310</v>
      </c>
      <c r="O63" t="n">
        <v>1620</v>
      </c>
      <c r="P63" t="n">
        <v>1930</v>
      </c>
      <c r="Q63" t="n">
        <v>2240</v>
      </c>
      <c r="R63" t="n">
        <v>2550</v>
      </c>
      <c r="S63" t="n">
        <v>2860</v>
      </c>
      <c r="T63" t="n">
        <v>3170</v>
      </c>
      <c r="U63" t="n">
        <v>3480</v>
      </c>
      <c r="V63" t="n">
        <v>1680</v>
      </c>
      <c r="W63" t="n">
        <v>1248</v>
      </c>
      <c r="X63" t="n">
        <v>1186</v>
      </c>
      <c r="Y63" t="n">
        <v>4100</v>
      </c>
    </row>
    <row r="64">
      <c r="A64" t="n">
        <v>63</v>
      </c>
      <c r="B64" t="n">
        <v>0</v>
      </c>
      <c r="C64" t="n">
        <v>2566</v>
      </c>
      <c r="D64" t="n">
        <v>3470</v>
      </c>
      <c r="E64" t="n">
        <v>6325</v>
      </c>
      <c r="F64" t="n">
        <v>11503</v>
      </c>
      <c r="G64" t="n">
        <v>20768</v>
      </c>
      <c r="H64" t="n">
        <v>37364</v>
      </c>
      <c r="I64" t="n">
        <v>66774</v>
      </c>
      <c r="J64" t="n">
        <v>1630</v>
      </c>
      <c r="K64" t="n">
        <v>3470</v>
      </c>
      <c r="L64" t="n">
        <v>1630</v>
      </c>
      <c r="M64" t="n">
        <v>1000</v>
      </c>
      <c r="N64" t="n">
        <v>1315</v>
      </c>
      <c r="O64" t="n">
        <v>1630</v>
      </c>
      <c r="P64" t="n">
        <v>1945</v>
      </c>
      <c r="Q64" t="n">
        <v>2260</v>
      </c>
      <c r="R64" t="n">
        <v>2575</v>
      </c>
      <c r="S64" t="n">
        <v>2890</v>
      </c>
      <c r="T64" t="n">
        <v>3205</v>
      </c>
      <c r="U64" t="n">
        <v>3520</v>
      </c>
      <c r="V64" t="n">
        <v>1693</v>
      </c>
      <c r="W64" t="n">
        <v>1252</v>
      </c>
      <c r="X64" t="n">
        <v>1189</v>
      </c>
      <c r="Y64" t="n">
        <v>4150</v>
      </c>
    </row>
    <row r="65">
      <c r="A65" t="n">
        <v>64</v>
      </c>
      <c r="B65" t="n">
        <v>0</v>
      </c>
      <c r="C65" t="n">
        <v>2605</v>
      </c>
      <c r="D65" t="n">
        <v>3540</v>
      </c>
      <c r="E65" t="n">
        <v>6515</v>
      </c>
      <c r="F65" t="n">
        <v>11964</v>
      </c>
      <c r="G65" t="n">
        <v>21807</v>
      </c>
      <c r="H65" t="n">
        <v>39606</v>
      </c>
      <c r="I65" t="n">
        <v>71449</v>
      </c>
      <c r="J65" t="n">
        <v>1640</v>
      </c>
      <c r="K65" t="n">
        <v>3540</v>
      </c>
      <c r="L65" t="n">
        <v>1640</v>
      </c>
      <c r="M65" t="n">
        <v>1000</v>
      </c>
      <c r="N65" t="n">
        <v>1320</v>
      </c>
      <c r="O65" t="n">
        <v>1640</v>
      </c>
      <c r="P65" t="n">
        <v>1960</v>
      </c>
      <c r="Q65" t="n">
        <v>2280</v>
      </c>
      <c r="R65" t="n">
        <v>2600</v>
      </c>
      <c r="S65" t="n">
        <v>2920</v>
      </c>
      <c r="T65" t="n">
        <v>3240</v>
      </c>
      <c r="U65" t="n">
        <v>3560</v>
      </c>
      <c r="V65" t="n">
        <v>1706</v>
      </c>
      <c r="W65" t="n">
        <v>1256</v>
      </c>
      <c r="X65" t="n">
        <v>1192</v>
      </c>
      <c r="Y65" t="n">
        <v>4200</v>
      </c>
    </row>
    <row r="66">
      <c r="A66" t="n">
        <v>65</v>
      </c>
      <c r="B66" t="n">
        <v>0</v>
      </c>
      <c r="C66" t="n">
        <v>2645</v>
      </c>
      <c r="D66" t="n">
        <v>3611</v>
      </c>
      <c r="E66" t="n">
        <v>6711</v>
      </c>
      <c r="F66" t="n">
        <v>12443</v>
      </c>
      <c r="G66" t="n">
        <v>22898</v>
      </c>
      <c r="H66" t="n">
        <v>41983</v>
      </c>
      <c r="I66" t="n">
        <v>76451</v>
      </c>
      <c r="J66" t="n">
        <v>1650</v>
      </c>
      <c r="K66" t="n">
        <v>3611</v>
      </c>
      <c r="L66" t="n">
        <v>1650</v>
      </c>
      <c r="M66" t="n">
        <v>1000</v>
      </c>
      <c r="N66" t="n">
        <v>1325</v>
      </c>
      <c r="O66" t="n">
        <v>1650</v>
      </c>
      <c r="P66" t="n">
        <v>1975</v>
      </c>
      <c r="Q66" t="n">
        <v>2300</v>
      </c>
      <c r="R66" t="n">
        <v>2625</v>
      </c>
      <c r="S66" t="n">
        <v>2950</v>
      </c>
      <c r="T66" t="n">
        <v>3275</v>
      </c>
      <c r="U66" t="n">
        <v>3600</v>
      </c>
      <c r="V66" t="n">
        <v>1719</v>
      </c>
      <c r="W66" t="n">
        <v>1260</v>
      </c>
      <c r="X66" t="n">
        <v>1195</v>
      </c>
      <c r="Y66" t="n">
        <v>4250</v>
      </c>
    </row>
    <row r="67">
      <c r="A67" t="n">
        <v>66</v>
      </c>
      <c r="B67" t="n">
        <v>0</v>
      </c>
      <c r="C67" t="n">
        <v>2685</v>
      </c>
      <c r="D67" t="n">
        <v>3684</v>
      </c>
      <c r="E67" t="n">
        <v>6913</v>
      </c>
      <c r="F67" t="n">
        <v>12941</v>
      </c>
      <c r="G67" t="n">
        <v>24043</v>
      </c>
      <c r="H67" t="n">
        <v>44502</v>
      </c>
      <c r="I67" t="n">
        <v>81803</v>
      </c>
      <c r="J67" t="n">
        <v>1660</v>
      </c>
      <c r="K67" t="n">
        <v>3684</v>
      </c>
      <c r="L67" t="n">
        <v>1660</v>
      </c>
      <c r="M67" t="n">
        <v>1000</v>
      </c>
      <c r="N67" t="n">
        <v>1330</v>
      </c>
      <c r="O67" t="n">
        <v>1660</v>
      </c>
      <c r="P67" t="n">
        <v>1990</v>
      </c>
      <c r="Q67" t="n">
        <v>2320</v>
      </c>
      <c r="R67" t="n">
        <v>2650</v>
      </c>
      <c r="S67" t="n">
        <v>2980</v>
      </c>
      <c r="T67" t="n">
        <v>3310</v>
      </c>
      <c r="U67" t="n">
        <v>3640</v>
      </c>
      <c r="V67" t="n">
        <v>1732</v>
      </c>
      <c r="W67" t="n">
        <v>1264</v>
      </c>
      <c r="X67" t="n">
        <v>1198</v>
      </c>
      <c r="Y67" t="n">
        <v>4300</v>
      </c>
    </row>
    <row r="68">
      <c r="A68" t="n">
        <v>67</v>
      </c>
      <c r="B68" t="n">
        <v>0</v>
      </c>
      <c r="C68" t="n">
        <v>2726</v>
      </c>
      <c r="D68" t="n">
        <v>3758</v>
      </c>
      <c r="E68" t="n">
        <v>7121</v>
      </c>
      <c r="F68" t="n">
        <v>13459</v>
      </c>
      <c r="G68" t="n">
        <v>25246</v>
      </c>
      <c r="H68" t="n">
        <v>47173</v>
      </c>
      <c r="I68" t="n">
        <v>87530</v>
      </c>
      <c r="J68" t="n">
        <v>1670</v>
      </c>
      <c r="K68" t="n">
        <v>3758</v>
      </c>
      <c r="L68" t="n">
        <v>1670</v>
      </c>
      <c r="M68" t="n">
        <v>1000</v>
      </c>
      <c r="N68" t="n">
        <v>1335</v>
      </c>
      <c r="O68" t="n">
        <v>1670</v>
      </c>
      <c r="P68" t="n">
        <v>2005</v>
      </c>
      <c r="Q68" t="n">
        <v>2340</v>
      </c>
      <c r="R68" t="n">
        <v>2675</v>
      </c>
      <c r="S68" t="n">
        <v>3010</v>
      </c>
      <c r="T68" t="n">
        <v>3345</v>
      </c>
      <c r="U68" t="n">
        <v>3680</v>
      </c>
      <c r="V68" t="n">
        <v>1745</v>
      </c>
      <c r="W68" t="n">
        <v>1268</v>
      </c>
      <c r="X68" t="n">
        <v>1201</v>
      </c>
      <c r="Y68" t="n">
        <v>4350</v>
      </c>
    </row>
    <row r="69">
      <c r="A69" t="n">
        <v>68</v>
      </c>
      <c r="B69" t="n">
        <v>0</v>
      </c>
      <c r="C69" t="n">
        <v>2767</v>
      </c>
      <c r="D69" t="n">
        <v>3834</v>
      </c>
      <c r="E69" t="n">
        <v>7335</v>
      </c>
      <c r="F69" t="n">
        <v>13998</v>
      </c>
      <c r="G69" t="n">
        <v>26509</v>
      </c>
      <c r="H69" t="n">
        <v>50004</v>
      </c>
      <c r="I69" t="n">
        <v>93658</v>
      </c>
      <c r="J69" t="n">
        <v>1680</v>
      </c>
      <c r="K69" t="n">
        <v>3834</v>
      </c>
      <c r="L69" t="n">
        <v>1680</v>
      </c>
      <c r="M69" t="n">
        <v>1000</v>
      </c>
      <c r="N69" t="n">
        <v>1340</v>
      </c>
      <c r="O69" t="n">
        <v>1680</v>
      </c>
      <c r="P69" t="n">
        <v>2020</v>
      </c>
      <c r="Q69" t="n">
        <v>2360</v>
      </c>
      <c r="R69" t="n">
        <v>2700</v>
      </c>
      <c r="S69" t="n">
        <v>3040</v>
      </c>
      <c r="T69" t="n">
        <v>3380</v>
      </c>
      <c r="U69" t="n">
        <v>3720</v>
      </c>
      <c r="V69" t="n">
        <v>1758</v>
      </c>
      <c r="W69" t="n">
        <v>1272</v>
      </c>
      <c r="X69" t="n">
        <v>1204</v>
      </c>
      <c r="Y69" t="n">
        <v>4400</v>
      </c>
    </row>
    <row r="70">
      <c r="A70" t="n">
        <v>69</v>
      </c>
      <c r="B70" t="n">
        <v>0</v>
      </c>
      <c r="C70" t="n">
        <v>2809</v>
      </c>
      <c r="D70" t="n">
        <v>3911</v>
      </c>
      <c r="E70" t="n">
        <v>7556</v>
      </c>
      <c r="F70" t="n">
        <v>14558</v>
      </c>
      <c r="G70" t="n">
        <v>27835</v>
      </c>
      <c r="H70" t="n">
        <v>53005</v>
      </c>
      <c r="I70" t="n">
        <v>100215</v>
      </c>
      <c r="J70" t="n">
        <v>1690</v>
      </c>
      <c r="K70" t="n">
        <v>3911</v>
      </c>
      <c r="L70" t="n">
        <v>1690</v>
      </c>
      <c r="M70" t="n">
        <v>1000</v>
      </c>
      <c r="N70" t="n">
        <v>1345</v>
      </c>
      <c r="O70" t="n">
        <v>1690</v>
      </c>
      <c r="P70" t="n">
        <v>2035</v>
      </c>
      <c r="Q70" t="n">
        <v>2380</v>
      </c>
      <c r="R70" t="n">
        <v>2725</v>
      </c>
      <c r="S70" t="n">
        <v>3070</v>
      </c>
      <c r="T70" t="n">
        <v>3415</v>
      </c>
      <c r="U70" t="n">
        <v>3760</v>
      </c>
      <c r="V70" t="n">
        <v>1771</v>
      </c>
      <c r="W70" t="n">
        <v>1276</v>
      </c>
      <c r="X70" t="n">
        <v>1207</v>
      </c>
      <c r="Y70" t="n">
        <v>4450</v>
      </c>
    </row>
    <row r="71">
      <c r="A71" t="n">
        <v>70</v>
      </c>
      <c r="B71" t="n">
        <v>0</v>
      </c>
      <c r="C71" t="n">
        <v>2852</v>
      </c>
      <c r="D71" t="n">
        <v>3990</v>
      </c>
      <c r="E71" t="n">
        <v>7783</v>
      </c>
      <c r="F71" t="n">
        <v>15141</v>
      </c>
      <c r="G71" t="n">
        <v>29227</v>
      </c>
      <c r="H71" t="n">
        <v>56186</v>
      </c>
      <c r="I71" t="n">
        <v>107231</v>
      </c>
      <c r="J71" t="n">
        <v>1700</v>
      </c>
      <c r="K71" t="n">
        <v>3990</v>
      </c>
      <c r="L71" t="n">
        <v>1700</v>
      </c>
      <c r="M71" t="n">
        <v>1000</v>
      </c>
      <c r="N71" t="n">
        <v>1350</v>
      </c>
      <c r="O71" t="n">
        <v>1700</v>
      </c>
      <c r="P71" t="n">
        <v>2050</v>
      </c>
      <c r="Q71" t="n">
        <v>2400</v>
      </c>
      <c r="R71" t="n">
        <v>2750</v>
      </c>
      <c r="S71" t="n">
        <v>3100</v>
      </c>
      <c r="T71" t="n">
        <v>3450</v>
      </c>
      <c r="U71" t="n">
        <v>3800</v>
      </c>
      <c r="V71" t="n">
        <v>1784</v>
      </c>
      <c r="W71" t="n">
        <v>1280</v>
      </c>
      <c r="X71" t="n">
        <v>1210</v>
      </c>
      <c r="Y71" t="n">
        <v>4500</v>
      </c>
    </row>
    <row r="72">
      <c r="A72" t="n">
        <v>71</v>
      </c>
      <c r="B72" t="n">
        <v>0</v>
      </c>
      <c r="C72" t="n">
        <v>2895</v>
      </c>
      <c r="D72" t="n">
        <v>4070</v>
      </c>
      <c r="E72" t="n">
        <v>8017</v>
      </c>
      <c r="F72" t="n">
        <v>15747</v>
      </c>
      <c r="G72" t="n">
        <v>30689</v>
      </c>
      <c r="H72" t="n">
        <v>59558</v>
      </c>
      <c r="I72" t="n">
        <v>114738</v>
      </c>
      <c r="J72" t="n">
        <v>1710</v>
      </c>
      <c r="K72" t="n">
        <v>4070</v>
      </c>
      <c r="L72" t="n">
        <v>1710</v>
      </c>
      <c r="M72" t="n">
        <v>1000</v>
      </c>
      <c r="N72" t="n">
        <v>1355</v>
      </c>
      <c r="O72" t="n">
        <v>1710</v>
      </c>
      <c r="P72" t="n">
        <v>2065</v>
      </c>
      <c r="Q72" t="n">
        <v>2420</v>
      </c>
      <c r="R72" t="n">
        <v>2775</v>
      </c>
      <c r="S72" t="n">
        <v>3130</v>
      </c>
      <c r="T72" t="n">
        <v>3485</v>
      </c>
      <c r="U72" t="n">
        <v>3840</v>
      </c>
      <c r="V72" t="n">
        <v>1797</v>
      </c>
      <c r="W72" t="n">
        <v>1284</v>
      </c>
      <c r="X72" t="n">
        <v>1213</v>
      </c>
      <c r="Y72" t="n">
        <v>4550</v>
      </c>
    </row>
    <row r="73">
      <c r="A73" t="n">
        <v>72</v>
      </c>
      <c r="B73" t="n">
        <v>0</v>
      </c>
      <c r="C73" t="n">
        <v>2939</v>
      </c>
      <c r="D73" t="n">
        <v>4152</v>
      </c>
      <c r="E73" t="n">
        <v>8258</v>
      </c>
      <c r="F73" t="n">
        <v>16377</v>
      </c>
      <c r="G73" t="n">
        <v>32224</v>
      </c>
      <c r="H73" t="n">
        <v>63132</v>
      </c>
      <c r="I73" t="n">
        <v>122770</v>
      </c>
      <c r="J73" t="n">
        <v>1720</v>
      </c>
      <c r="K73" t="n">
        <v>4152</v>
      </c>
      <c r="L73" t="n">
        <v>1720</v>
      </c>
      <c r="M73" t="n">
        <v>1000</v>
      </c>
      <c r="N73" t="n">
        <v>1360</v>
      </c>
      <c r="O73" t="n">
        <v>1720</v>
      </c>
      <c r="P73" t="n">
        <v>2080</v>
      </c>
      <c r="Q73" t="n">
        <v>2440</v>
      </c>
      <c r="R73" t="n">
        <v>2800</v>
      </c>
      <c r="S73" t="n">
        <v>3160</v>
      </c>
      <c r="T73" t="n">
        <v>3520</v>
      </c>
      <c r="U73" t="n">
        <v>3880</v>
      </c>
      <c r="V73" t="n">
        <v>1811</v>
      </c>
      <c r="W73" t="n">
        <v>1288</v>
      </c>
      <c r="X73" t="n">
        <v>1216</v>
      </c>
      <c r="Y73" t="n">
        <v>4600</v>
      </c>
    </row>
    <row r="74">
      <c r="A74" t="n">
        <v>73</v>
      </c>
      <c r="B74" t="n">
        <v>0</v>
      </c>
      <c r="C74" t="n">
        <v>2984</v>
      </c>
      <c r="D74" t="n">
        <v>4236</v>
      </c>
      <c r="E74" t="n">
        <v>8506</v>
      </c>
      <c r="F74" t="n">
        <v>17033</v>
      </c>
      <c r="G74" t="n">
        <v>33836</v>
      </c>
      <c r="H74" t="n">
        <v>66920</v>
      </c>
      <c r="I74" t="n">
        <v>131364</v>
      </c>
      <c r="J74" t="n">
        <v>1730</v>
      </c>
      <c r="K74" t="n">
        <v>4236</v>
      </c>
      <c r="L74" t="n">
        <v>1730</v>
      </c>
      <c r="M74" t="n">
        <v>1000</v>
      </c>
      <c r="N74" t="n">
        <v>1365</v>
      </c>
      <c r="O74" t="n">
        <v>1730</v>
      </c>
      <c r="P74" t="n">
        <v>2095</v>
      </c>
      <c r="Q74" t="n">
        <v>2460</v>
      </c>
      <c r="R74" t="n">
        <v>2825</v>
      </c>
      <c r="S74" t="n">
        <v>3190</v>
      </c>
      <c r="T74" t="n">
        <v>3555</v>
      </c>
      <c r="U74" t="n">
        <v>3920</v>
      </c>
      <c r="V74" t="n">
        <v>1825</v>
      </c>
      <c r="W74" t="n">
        <v>1292</v>
      </c>
      <c r="X74" t="n">
        <v>1219</v>
      </c>
      <c r="Y74" t="n">
        <v>4650</v>
      </c>
    </row>
    <row r="75">
      <c r="A75" t="n">
        <v>74</v>
      </c>
      <c r="B75" t="n">
        <v>0</v>
      </c>
      <c r="C75" t="n">
        <v>3029</v>
      </c>
      <c r="D75" t="n">
        <v>4321</v>
      </c>
      <c r="E75" t="n">
        <v>8762</v>
      </c>
      <c r="F75" t="n">
        <v>17715</v>
      </c>
      <c r="G75" t="n">
        <v>35528</v>
      </c>
      <c r="H75" t="n">
        <v>70936</v>
      </c>
      <c r="I75" t="n">
        <v>140560</v>
      </c>
      <c r="J75" t="n">
        <v>1740</v>
      </c>
      <c r="K75" t="n">
        <v>4321</v>
      </c>
      <c r="L75" t="n">
        <v>1740</v>
      </c>
      <c r="M75" t="n">
        <v>1000</v>
      </c>
      <c r="N75" t="n">
        <v>1370</v>
      </c>
      <c r="O75" t="n">
        <v>1740</v>
      </c>
      <c r="P75" t="n">
        <v>2110</v>
      </c>
      <c r="Q75" t="n">
        <v>2480</v>
      </c>
      <c r="R75" t="n">
        <v>2850</v>
      </c>
      <c r="S75" t="n">
        <v>3220</v>
      </c>
      <c r="T75" t="n">
        <v>3590</v>
      </c>
      <c r="U75" t="n">
        <v>3960</v>
      </c>
      <c r="V75" t="n">
        <v>1839</v>
      </c>
      <c r="W75" t="n">
        <v>1296</v>
      </c>
      <c r="X75" t="n">
        <v>1222</v>
      </c>
      <c r="Y75" t="n">
        <v>4700</v>
      </c>
    </row>
    <row r="76">
      <c r="A76" t="n">
        <v>75</v>
      </c>
      <c r="B76" t="n">
        <v>0</v>
      </c>
      <c r="C76" t="n">
        <v>3075</v>
      </c>
      <c r="D76" t="n">
        <v>4408</v>
      </c>
      <c r="E76" t="n">
        <v>9025</v>
      </c>
      <c r="F76" t="n">
        <v>18424</v>
      </c>
      <c r="G76" t="n">
        <v>37305</v>
      </c>
      <c r="H76" t="n">
        <v>75193</v>
      </c>
      <c r="I76" t="n">
        <v>150400</v>
      </c>
      <c r="J76" t="n">
        <v>1750</v>
      </c>
      <c r="K76" t="n">
        <v>4408</v>
      </c>
      <c r="L76" t="n">
        <v>1750</v>
      </c>
      <c r="M76" t="n">
        <v>1000</v>
      </c>
      <c r="N76" t="n">
        <v>1375</v>
      </c>
      <c r="O76" t="n">
        <v>1750</v>
      </c>
      <c r="P76" t="n">
        <v>2125</v>
      </c>
      <c r="Q76" t="n">
        <v>2500</v>
      </c>
      <c r="R76" t="n">
        <v>2875</v>
      </c>
      <c r="S76" t="n">
        <v>3250</v>
      </c>
      <c r="T76" t="n">
        <v>3625</v>
      </c>
      <c r="U76" t="n">
        <v>4000</v>
      </c>
      <c r="V76" t="n">
        <v>1853</v>
      </c>
      <c r="W76" t="n">
        <v>1300</v>
      </c>
      <c r="X76" t="n">
        <v>1225</v>
      </c>
      <c r="Y76" t="n">
        <v>4750</v>
      </c>
    </row>
    <row r="77">
      <c r="A77" t="n">
        <v>76</v>
      </c>
      <c r="B77" t="n">
        <v>0</v>
      </c>
      <c r="C77" t="n">
        <v>3122</v>
      </c>
      <c r="D77" t="n">
        <v>4497</v>
      </c>
      <c r="E77" t="n">
        <v>9296</v>
      </c>
      <c r="F77" t="n">
        <v>19161</v>
      </c>
      <c r="G77" t="n">
        <v>39171</v>
      </c>
      <c r="H77" t="n">
        <v>79705</v>
      </c>
      <c r="I77" t="n">
        <v>160928</v>
      </c>
      <c r="J77" t="n">
        <v>1760</v>
      </c>
      <c r="K77" t="n">
        <v>4497</v>
      </c>
      <c r="L77" t="n">
        <v>1760</v>
      </c>
      <c r="M77" t="n">
        <v>1000</v>
      </c>
      <c r="N77" t="n">
        <v>1380</v>
      </c>
      <c r="O77" t="n">
        <v>1760</v>
      </c>
      <c r="P77" t="n">
        <v>2140</v>
      </c>
      <c r="Q77" t="n">
        <v>2520</v>
      </c>
      <c r="R77" t="n">
        <v>2900</v>
      </c>
      <c r="S77" t="n">
        <v>3280</v>
      </c>
      <c r="T77" t="n">
        <v>3660</v>
      </c>
      <c r="U77" t="n">
        <v>4040</v>
      </c>
      <c r="V77" t="n">
        <v>1867</v>
      </c>
      <c r="W77" t="n">
        <v>1304</v>
      </c>
      <c r="X77" t="n">
        <v>1228</v>
      </c>
      <c r="Y77" t="n">
        <v>4800</v>
      </c>
    </row>
    <row r="78">
      <c r="A78" t="n">
        <v>77</v>
      </c>
      <c r="B78" t="n">
        <v>0</v>
      </c>
      <c r="C78" t="n">
        <v>3169</v>
      </c>
      <c r="D78" t="n">
        <v>4587</v>
      </c>
      <c r="E78" t="n">
        <v>9575</v>
      </c>
      <c r="F78" t="n">
        <v>19928</v>
      </c>
      <c r="G78" t="n">
        <v>41130</v>
      </c>
      <c r="H78" t="n">
        <v>84488</v>
      </c>
      <c r="I78" t="n">
        <v>172193</v>
      </c>
      <c r="J78" t="n">
        <v>1770</v>
      </c>
      <c r="K78" t="n">
        <v>4587</v>
      </c>
      <c r="L78" t="n">
        <v>1770</v>
      </c>
      <c r="M78" t="n">
        <v>1000</v>
      </c>
      <c r="N78" t="n">
        <v>1385</v>
      </c>
      <c r="O78" t="n">
        <v>1770</v>
      </c>
      <c r="P78" t="n">
        <v>2155</v>
      </c>
      <c r="Q78" t="n">
        <v>2540</v>
      </c>
      <c r="R78" t="n">
        <v>2925</v>
      </c>
      <c r="S78" t="n">
        <v>3310</v>
      </c>
      <c r="T78" t="n">
        <v>3695</v>
      </c>
      <c r="U78" t="n">
        <v>4080</v>
      </c>
      <c r="V78" t="n">
        <v>1881</v>
      </c>
      <c r="W78" t="n">
        <v>1308</v>
      </c>
      <c r="X78" t="n">
        <v>1231</v>
      </c>
      <c r="Y78" t="n">
        <v>4850</v>
      </c>
    </row>
    <row r="79">
      <c r="A79" t="n">
        <v>78</v>
      </c>
      <c r="B79" t="n">
        <v>0</v>
      </c>
      <c r="C79" t="n">
        <v>3217</v>
      </c>
      <c r="D79" t="n">
        <v>4679</v>
      </c>
      <c r="E79" t="n">
        <v>9863</v>
      </c>
      <c r="F79" t="n">
        <v>20726</v>
      </c>
      <c r="G79" t="n">
        <v>43187</v>
      </c>
      <c r="H79" t="n">
        <v>89558</v>
      </c>
      <c r="I79" t="n">
        <v>184247</v>
      </c>
      <c r="J79" t="n">
        <v>1780</v>
      </c>
      <c r="K79" t="n">
        <v>4679</v>
      </c>
      <c r="L79" t="n">
        <v>1780</v>
      </c>
      <c r="M79" t="n">
        <v>1000</v>
      </c>
      <c r="N79" t="n">
        <v>1390</v>
      </c>
      <c r="O79" t="n">
        <v>1780</v>
      </c>
      <c r="P79" t="n">
        <v>2170</v>
      </c>
      <c r="Q79" t="n">
        <v>2560</v>
      </c>
      <c r="R79" t="n">
        <v>2950</v>
      </c>
      <c r="S79" t="n">
        <v>3340</v>
      </c>
      <c r="T79" t="n">
        <v>3730</v>
      </c>
      <c r="U79" t="n">
        <v>4120</v>
      </c>
      <c r="V79" t="n">
        <v>1895</v>
      </c>
      <c r="W79" t="n">
        <v>1312</v>
      </c>
      <c r="X79" t="n">
        <v>1234</v>
      </c>
      <c r="Y79" t="n">
        <v>4900</v>
      </c>
    </row>
    <row r="80">
      <c r="A80" t="n">
        <v>79</v>
      </c>
      <c r="B80" t="n">
        <v>0</v>
      </c>
      <c r="C80" t="n">
        <v>3266</v>
      </c>
      <c r="D80" t="n">
        <v>4773</v>
      </c>
      <c r="E80" t="n">
        <v>10159</v>
      </c>
      <c r="F80" t="n">
        <v>21556</v>
      </c>
      <c r="G80" t="n">
        <v>45347</v>
      </c>
      <c r="H80" t="n">
        <v>94932</v>
      </c>
      <c r="I80" t="n">
        <v>197145</v>
      </c>
      <c r="J80" t="n">
        <v>1790</v>
      </c>
      <c r="K80" t="n">
        <v>4773</v>
      </c>
      <c r="L80" t="n">
        <v>1790</v>
      </c>
      <c r="M80" t="n">
        <v>1000</v>
      </c>
      <c r="N80" t="n">
        <v>1395</v>
      </c>
      <c r="O80" t="n">
        <v>1790</v>
      </c>
      <c r="P80" t="n">
        <v>2185</v>
      </c>
      <c r="Q80" t="n">
        <v>2580</v>
      </c>
      <c r="R80" t="n">
        <v>2975</v>
      </c>
      <c r="S80" t="n">
        <v>3370</v>
      </c>
      <c r="T80" t="n">
        <v>3765</v>
      </c>
      <c r="U80" t="n">
        <v>4160</v>
      </c>
      <c r="V80" t="n">
        <v>1909</v>
      </c>
      <c r="W80" t="n">
        <v>1316</v>
      </c>
      <c r="X80" t="n">
        <v>1237</v>
      </c>
      <c r="Y80" t="n">
        <v>4950</v>
      </c>
    </row>
    <row r="81">
      <c r="A81" t="n">
        <v>80</v>
      </c>
      <c r="B81" t="n">
        <v>0</v>
      </c>
      <c r="C81" t="n">
        <v>3315</v>
      </c>
      <c r="D81" t="n">
        <v>4869</v>
      </c>
      <c r="E81" t="n">
        <v>10464</v>
      </c>
      <c r="F81" t="n">
        <v>22419</v>
      </c>
      <c r="G81" t="n">
        <v>47615</v>
      </c>
      <c r="H81" t="n">
        <v>100628</v>
      </c>
      <c r="I81" t="n">
        <v>210946</v>
      </c>
      <c r="J81" t="n">
        <v>1800</v>
      </c>
      <c r="K81" t="n">
        <v>4869</v>
      </c>
      <c r="L81" t="n">
        <v>1800</v>
      </c>
      <c r="M81" t="n">
        <v>1000</v>
      </c>
      <c r="N81" t="n">
        <v>1400</v>
      </c>
      <c r="O81" t="n">
        <v>1800</v>
      </c>
      <c r="P81" t="n">
        <v>2200</v>
      </c>
      <c r="Q81" t="n">
        <v>2600</v>
      </c>
      <c r="R81" t="n">
        <v>3000</v>
      </c>
      <c r="S81" t="n">
        <v>3400</v>
      </c>
      <c r="T81" t="n">
        <v>3800</v>
      </c>
      <c r="U81" t="n">
        <v>4200</v>
      </c>
      <c r="V81" t="n">
        <v>1923</v>
      </c>
      <c r="W81" t="n">
        <v>1320</v>
      </c>
      <c r="X81" t="n">
        <v>1240</v>
      </c>
      <c r="Y81" t="n">
        <v>5000</v>
      </c>
    </row>
    <row r="82">
      <c r="A82" t="n">
        <v>81</v>
      </c>
      <c r="B82" t="n">
        <v>0</v>
      </c>
      <c r="C82" t="n">
        <v>3365</v>
      </c>
      <c r="D82" t="n">
        <v>4967</v>
      </c>
      <c r="E82" t="n">
        <v>10778</v>
      </c>
      <c r="F82" t="n">
        <v>23316</v>
      </c>
      <c r="G82" t="n">
        <v>49996</v>
      </c>
      <c r="H82" t="n">
        <v>106666</v>
      </c>
      <c r="I82" t="n">
        <v>225713</v>
      </c>
      <c r="J82" t="n">
        <v>1810</v>
      </c>
      <c r="K82" t="n">
        <v>4967</v>
      </c>
      <c r="L82" t="n">
        <v>1810</v>
      </c>
      <c r="M82" t="n">
        <v>1000</v>
      </c>
      <c r="N82" t="n">
        <v>1405</v>
      </c>
      <c r="O82" t="n">
        <v>1810</v>
      </c>
      <c r="P82" t="n">
        <v>2215</v>
      </c>
      <c r="Q82" t="n">
        <v>2620</v>
      </c>
      <c r="R82" t="n">
        <v>3025</v>
      </c>
      <c r="S82" t="n">
        <v>3430</v>
      </c>
      <c r="T82" t="n">
        <v>3835</v>
      </c>
      <c r="U82" t="n">
        <v>4240</v>
      </c>
      <c r="V82" t="n">
        <v>1937</v>
      </c>
      <c r="W82" t="n">
        <v>1324</v>
      </c>
      <c r="X82" t="n">
        <v>1243</v>
      </c>
      <c r="Y82" t="n">
        <v>5050</v>
      </c>
    </row>
    <row r="83">
      <c r="A83" t="n">
        <v>82</v>
      </c>
      <c r="B83" t="n">
        <v>0</v>
      </c>
      <c r="C83" t="n">
        <v>3416</v>
      </c>
      <c r="D83" t="n">
        <v>5067</v>
      </c>
      <c r="E83" t="n">
        <v>11102</v>
      </c>
      <c r="F83" t="n">
        <v>24249</v>
      </c>
      <c r="G83" t="n">
        <v>52496</v>
      </c>
      <c r="H83" t="n">
        <v>113066</v>
      </c>
      <c r="I83" t="n">
        <v>241513</v>
      </c>
      <c r="J83" t="n">
        <v>1820</v>
      </c>
      <c r="K83" t="n">
        <v>5067</v>
      </c>
      <c r="L83" t="n">
        <v>1820</v>
      </c>
      <c r="M83" t="n">
        <v>1000</v>
      </c>
      <c r="N83" t="n">
        <v>1410</v>
      </c>
      <c r="O83" t="n">
        <v>1820</v>
      </c>
      <c r="P83" t="n">
        <v>2230</v>
      </c>
      <c r="Q83" t="n">
        <v>2640</v>
      </c>
      <c r="R83" t="n">
        <v>3050</v>
      </c>
      <c r="S83" t="n">
        <v>3460</v>
      </c>
      <c r="T83" t="n">
        <v>3870</v>
      </c>
      <c r="U83" t="n">
        <v>4280</v>
      </c>
      <c r="V83" t="n">
        <v>1951</v>
      </c>
      <c r="W83" t="n">
        <v>1328</v>
      </c>
      <c r="X83" t="n">
        <v>1246</v>
      </c>
      <c r="Y83" t="n">
        <v>5100</v>
      </c>
    </row>
    <row r="84">
      <c r="A84" t="n">
        <v>83</v>
      </c>
      <c r="B84" t="n">
        <v>0</v>
      </c>
      <c r="C84" t="n">
        <v>3468</v>
      </c>
      <c r="D84" t="n">
        <v>5169</v>
      </c>
      <c r="E84" t="n">
        <v>11436</v>
      </c>
      <c r="F84" t="n">
        <v>25219</v>
      </c>
      <c r="G84" t="n">
        <v>55121</v>
      </c>
      <c r="H84" t="n">
        <v>119850</v>
      </c>
      <c r="I84" t="n">
        <v>258419</v>
      </c>
      <c r="J84" t="n">
        <v>1830</v>
      </c>
      <c r="K84" t="n">
        <v>5169</v>
      </c>
      <c r="L84" t="n">
        <v>1830</v>
      </c>
      <c r="M84" t="n">
        <v>1000</v>
      </c>
      <c r="N84" t="n">
        <v>1415</v>
      </c>
      <c r="O84" t="n">
        <v>1830</v>
      </c>
      <c r="P84" t="n">
        <v>2245</v>
      </c>
      <c r="Q84" t="n">
        <v>2660</v>
      </c>
      <c r="R84" t="n">
        <v>3075</v>
      </c>
      <c r="S84" t="n">
        <v>3490</v>
      </c>
      <c r="T84" t="n">
        <v>3905</v>
      </c>
      <c r="U84" t="n">
        <v>4320</v>
      </c>
      <c r="V84" t="n">
        <v>1965</v>
      </c>
      <c r="W84" t="n">
        <v>1332</v>
      </c>
      <c r="X84" t="n">
        <v>1249</v>
      </c>
      <c r="Y84" t="n">
        <v>5150</v>
      </c>
    </row>
    <row r="85">
      <c r="A85" t="n">
        <v>84</v>
      </c>
      <c r="B85" t="n">
        <v>0</v>
      </c>
      <c r="C85" t="n">
        <v>3521</v>
      </c>
      <c r="D85" t="n">
        <v>5273</v>
      </c>
      <c r="E85" t="n">
        <v>11780</v>
      </c>
      <c r="F85" t="n">
        <v>26228</v>
      </c>
      <c r="G85" t="n">
        <v>57878</v>
      </c>
      <c r="H85" t="n">
        <v>127041</v>
      </c>
      <c r="I85" t="n">
        <v>276509</v>
      </c>
      <c r="J85" t="n">
        <v>1840</v>
      </c>
      <c r="K85" t="n">
        <v>5273</v>
      </c>
      <c r="L85" t="n">
        <v>1840</v>
      </c>
      <c r="M85" t="n">
        <v>1000</v>
      </c>
      <c r="N85" t="n">
        <v>1420</v>
      </c>
      <c r="O85" t="n">
        <v>1840</v>
      </c>
      <c r="P85" t="n">
        <v>2260</v>
      </c>
      <c r="Q85" t="n">
        <v>2680</v>
      </c>
      <c r="R85" t="n">
        <v>3100</v>
      </c>
      <c r="S85" t="n">
        <v>3520</v>
      </c>
      <c r="T85" t="n">
        <v>3940</v>
      </c>
      <c r="U85" t="n">
        <v>4360</v>
      </c>
      <c r="V85" t="n">
        <v>1979</v>
      </c>
      <c r="W85" t="n">
        <v>1336</v>
      </c>
      <c r="X85" t="n">
        <v>1252</v>
      </c>
      <c r="Y85" t="n">
        <v>5200</v>
      </c>
    </row>
    <row r="86">
      <c r="A86" t="n">
        <v>85</v>
      </c>
      <c r="B86" t="n">
        <v>0</v>
      </c>
      <c r="C86" t="n">
        <v>3574</v>
      </c>
      <c r="D86" t="n">
        <v>5379</v>
      </c>
      <c r="E86" t="n">
        <v>12134</v>
      </c>
      <c r="F86" t="n">
        <v>27278</v>
      </c>
      <c r="G86" t="n">
        <v>60772</v>
      </c>
      <c r="H86" t="n">
        <v>134664</v>
      </c>
      <c r="I86" t="n">
        <v>295865</v>
      </c>
      <c r="J86" t="n">
        <v>1850</v>
      </c>
      <c r="K86" t="n">
        <v>5379</v>
      </c>
      <c r="L86" t="n">
        <v>1850</v>
      </c>
      <c r="M86" t="n">
        <v>1000</v>
      </c>
      <c r="N86" t="n">
        <v>1425</v>
      </c>
      <c r="O86" t="n">
        <v>1850</v>
      </c>
      <c r="P86" t="n">
        <v>2275</v>
      </c>
      <c r="Q86" t="n">
        <v>2700</v>
      </c>
      <c r="R86" t="n">
        <v>3125</v>
      </c>
      <c r="S86" t="n">
        <v>3550</v>
      </c>
      <c r="T86" t="n">
        <v>3975</v>
      </c>
      <c r="U86" t="n">
        <v>4400</v>
      </c>
      <c r="V86" t="n">
        <v>1993</v>
      </c>
      <c r="W86" t="n">
        <v>1340</v>
      </c>
      <c r="X86" t="n">
        <v>1255</v>
      </c>
      <c r="Y86" t="n">
        <v>5250</v>
      </c>
    </row>
    <row r="87">
      <c r="A87" t="n">
        <v>86</v>
      </c>
      <c r="B87" t="n">
        <v>0</v>
      </c>
      <c r="C87" t="n">
        <v>3628</v>
      </c>
      <c r="D87" t="n">
        <v>5487</v>
      </c>
      <c r="E87" t="n">
        <v>12499</v>
      </c>
      <c r="F87" t="n">
        <v>28370</v>
      </c>
      <c r="G87" t="n">
        <v>63811</v>
      </c>
      <c r="H87" t="n">
        <v>142744</v>
      </c>
      <c r="I87" t="n">
        <v>316576</v>
      </c>
      <c r="J87" t="n">
        <v>1860</v>
      </c>
      <c r="K87" t="n">
        <v>5487</v>
      </c>
      <c r="L87" t="n">
        <v>1860</v>
      </c>
      <c r="M87" t="n">
        <v>1000</v>
      </c>
      <c r="N87" t="n">
        <v>1430</v>
      </c>
      <c r="O87" t="n">
        <v>1860</v>
      </c>
      <c r="P87" t="n">
        <v>2290</v>
      </c>
      <c r="Q87" t="n">
        <v>2720</v>
      </c>
      <c r="R87" t="n">
        <v>3150</v>
      </c>
      <c r="S87" t="n">
        <v>3580</v>
      </c>
      <c r="T87" t="n">
        <v>4010</v>
      </c>
      <c r="U87" t="n">
        <v>4440</v>
      </c>
      <c r="V87" t="n">
        <v>2007</v>
      </c>
      <c r="W87" t="n">
        <v>1344</v>
      </c>
      <c r="X87" t="n">
        <v>1258</v>
      </c>
      <c r="Y87" t="n">
        <v>5300</v>
      </c>
    </row>
    <row r="88">
      <c r="A88" t="n">
        <v>87</v>
      </c>
      <c r="B88" t="n">
        <v>0</v>
      </c>
      <c r="C88" t="n">
        <v>3683</v>
      </c>
      <c r="D88" t="n">
        <v>5597</v>
      </c>
      <c r="E88" t="n">
        <v>12874</v>
      </c>
      <c r="F88" t="n">
        <v>29505</v>
      </c>
      <c r="G88" t="n">
        <v>67002</v>
      </c>
      <c r="H88" t="n">
        <v>151309</v>
      </c>
      <c r="I88" t="n">
        <v>338737</v>
      </c>
      <c r="J88" t="n">
        <v>1870</v>
      </c>
      <c r="K88" t="n">
        <v>5597</v>
      </c>
      <c r="L88" t="n">
        <v>1870</v>
      </c>
      <c r="M88" t="n">
        <v>1000</v>
      </c>
      <c r="N88" t="n">
        <v>1435</v>
      </c>
      <c r="O88" t="n">
        <v>1870</v>
      </c>
      <c r="P88" t="n">
        <v>2305</v>
      </c>
      <c r="Q88" t="n">
        <v>2740</v>
      </c>
      <c r="R88" t="n">
        <v>3175</v>
      </c>
      <c r="S88" t="n">
        <v>3610</v>
      </c>
      <c r="T88" t="n">
        <v>4045</v>
      </c>
      <c r="U88" t="n">
        <v>4480</v>
      </c>
      <c r="V88" t="n">
        <v>2022</v>
      </c>
      <c r="W88" t="n">
        <v>1348</v>
      </c>
      <c r="X88" t="n">
        <v>1261</v>
      </c>
      <c r="Y88" t="n">
        <v>5350</v>
      </c>
    </row>
    <row r="89">
      <c r="A89" t="n">
        <v>88</v>
      </c>
      <c r="B89" t="n">
        <v>0</v>
      </c>
      <c r="C89" t="n">
        <v>3739</v>
      </c>
      <c r="D89" t="n">
        <v>5709</v>
      </c>
      <c r="E89" t="n">
        <v>13261</v>
      </c>
      <c r="F89" t="n">
        <v>30686</v>
      </c>
      <c r="G89" t="n">
        <v>70353</v>
      </c>
      <c r="H89" t="n">
        <v>160388</v>
      </c>
      <c r="I89" t="n">
        <v>362449</v>
      </c>
      <c r="J89" t="n">
        <v>1880</v>
      </c>
      <c r="K89" t="n">
        <v>5709</v>
      </c>
      <c r="L89" t="n">
        <v>1880</v>
      </c>
      <c r="M89" t="n">
        <v>1000</v>
      </c>
      <c r="N89" t="n">
        <v>1440</v>
      </c>
      <c r="O89" t="n">
        <v>1880</v>
      </c>
      <c r="P89" t="n">
        <v>2320</v>
      </c>
      <c r="Q89" t="n">
        <v>2760</v>
      </c>
      <c r="R89" t="n">
        <v>3200</v>
      </c>
      <c r="S89" t="n">
        <v>3640</v>
      </c>
      <c r="T89" t="n">
        <v>4080</v>
      </c>
      <c r="U89" t="n">
        <v>4520</v>
      </c>
      <c r="V89" t="n">
        <v>2037</v>
      </c>
      <c r="W89" t="n">
        <v>1352</v>
      </c>
      <c r="X89" t="n">
        <v>1264</v>
      </c>
      <c r="Y89" t="n">
        <v>5400</v>
      </c>
    </row>
    <row r="90">
      <c r="A90" t="n">
        <v>89</v>
      </c>
      <c r="B90" t="n">
        <v>0</v>
      </c>
      <c r="C90" t="n">
        <v>3796</v>
      </c>
      <c r="D90" t="n">
        <v>5824</v>
      </c>
      <c r="E90" t="n">
        <v>13659</v>
      </c>
      <c r="F90" t="n">
        <v>31914</v>
      </c>
      <c r="G90" t="n">
        <v>73871</v>
      </c>
      <c r="H90" t="n">
        <v>170012</v>
      </c>
      <c r="I90" t="n">
        <v>387821</v>
      </c>
      <c r="J90" t="n">
        <v>1890</v>
      </c>
      <c r="K90" t="n">
        <v>5824</v>
      </c>
      <c r="L90" t="n">
        <v>1890</v>
      </c>
      <c r="M90" t="n">
        <v>1000</v>
      </c>
      <c r="N90" t="n">
        <v>1445</v>
      </c>
      <c r="O90" t="n">
        <v>1890</v>
      </c>
      <c r="P90" t="n">
        <v>2335</v>
      </c>
      <c r="Q90" t="n">
        <v>2780</v>
      </c>
      <c r="R90" t="n">
        <v>3225</v>
      </c>
      <c r="S90" t="n">
        <v>3670</v>
      </c>
      <c r="T90" t="n">
        <v>4115</v>
      </c>
      <c r="U90" t="n">
        <v>4560</v>
      </c>
      <c r="V90" t="n">
        <v>2052</v>
      </c>
      <c r="W90" t="n">
        <v>1356</v>
      </c>
      <c r="X90" t="n">
        <v>1267</v>
      </c>
      <c r="Y90" t="n">
        <v>5450</v>
      </c>
    </row>
    <row r="91">
      <c r="A91" t="n">
        <v>90</v>
      </c>
      <c r="B91" t="n">
        <v>0</v>
      </c>
      <c r="C91" t="n">
        <v>3853</v>
      </c>
      <c r="D91" t="n">
        <v>5941</v>
      </c>
      <c r="E91" t="n">
        <v>14069</v>
      </c>
      <c r="F91" t="n">
        <v>33191</v>
      </c>
      <c r="G91" t="n">
        <v>77565</v>
      </c>
      <c r="H91" t="n">
        <v>180213</v>
      </c>
      <c r="I91" t="n">
        <v>414969</v>
      </c>
      <c r="J91" t="n">
        <v>1900</v>
      </c>
      <c r="K91" t="n">
        <v>5941</v>
      </c>
      <c r="L91" t="n">
        <v>1900</v>
      </c>
      <c r="M91" t="n">
        <v>1000</v>
      </c>
      <c r="N91" t="n">
        <v>1450</v>
      </c>
      <c r="O91" t="n">
        <v>1900</v>
      </c>
      <c r="P91" t="n">
        <v>2350</v>
      </c>
      <c r="Q91" t="n">
        <v>2800</v>
      </c>
      <c r="R91" t="n">
        <v>3250</v>
      </c>
      <c r="S91" t="n">
        <v>3700</v>
      </c>
      <c r="T91" t="n">
        <v>4150</v>
      </c>
      <c r="U91" t="n">
        <v>4600</v>
      </c>
      <c r="V91" t="n">
        <v>2067</v>
      </c>
      <c r="W91" t="n">
        <v>1360</v>
      </c>
      <c r="X91" t="n">
        <v>1270</v>
      </c>
      <c r="Y91" t="n">
        <v>5500</v>
      </c>
    </row>
    <row r="92">
      <c r="A92" t="n">
        <v>91</v>
      </c>
      <c r="B92" t="n">
        <v>0</v>
      </c>
      <c r="C92" t="n">
        <v>3911</v>
      </c>
      <c r="D92" t="n">
        <v>6060</v>
      </c>
      <c r="E92" t="n">
        <v>14492</v>
      </c>
      <c r="F92" t="n">
        <v>34519</v>
      </c>
      <c r="G92" t="n">
        <v>81444</v>
      </c>
      <c r="H92" t="n">
        <v>191026</v>
      </c>
      <c r="I92" t="n">
        <v>444017</v>
      </c>
      <c r="J92" t="n">
        <v>1910</v>
      </c>
      <c r="K92" t="n">
        <v>6060</v>
      </c>
      <c r="L92" t="n">
        <v>1910</v>
      </c>
      <c r="M92" t="n">
        <v>1000</v>
      </c>
      <c r="N92" t="n">
        <v>1455</v>
      </c>
      <c r="O92" t="n">
        <v>1910</v>
      </c>
      <c r="P92" t="n">
        <v>2365</v>
      </c>
      <c r="Q92" t="n">
        <v>2820</v>
      </c>
      <c r="R92" t="n">
        <v>3275</v>
      </c>
      <c r="S92" t="n">
        <v>3730</v>
      </c>
      <c r="T92" t="n">
        <v>4185</v>
      </c>
      <c r="U92" t="n">
        <v>4640</v>
      </c>
      <c r="V92" t="n">
        <v>2082</v>
      </c>
      <c r="W92" t="n">
        <v>1364</v>
      </c>
      <c r="X92" t="n">
        <v>1273</v>
      </c>
      <c r="Y92" t="n">
        <v>5550</v>
      </c>
    </row>
    <row r="93">
      <c r="A93" t="n">
        <v>92</v>
      </c>
      <c r="B93" t="n">
        <v>0</v>
      </c>
      <c r="C93" t="n">
        <v>3970</v>
      </c>
      <c r="D93" t="n">
        <v>6182</v>
      </c>
      <c r="E93" t="n">
        <v>14927</v>
      </c>
      <c r="F93" t="n">
        <v>35900</v>
      </c>
      <c r="G93" t="n">
        <v>85517</v>
      </c>
      <c r="H93" t="n">
        <v>202488</v>
      </c>
      <c r="I93" t="n">
        <v>475099</v>
      </c>
      <c r="J93" t="n">
        <v>1920</v>
      </c>
      <c r="K93" t="n">
        <v>6182</v>
      </c>
      <c r="L93" t="n">
        <v>1920</v>
      </c>
      <c r="M93" t="n">
        <v>1000</v>
      </c>
      <c r="N93" t="n">
        <v>1460</v>
      </c>
      <c r="O93" t="n">
        <v>1920</v>
      </c>
      <c r="P93" t="n">
        <v>2380</v>
      </c>
      <c r="Q93" t="n">
        <v>2840</v>
      </c>
      <c r="R93" t="n">
        <v>3300</v>
      </c>
      <c r="S93" t="n">
        <v>3760</v>
      </c>
      <c r="T93" t="n">
        <v>4220</v>
      </c>
      <c r="U93" t="n">
        <v>4680</v>
      </c>
      <c r="V93" t="n">
        <v>2097</v>
      </c>
      <c r="W93" t="n">
        <v>1368</v>
      </c>
      <c r="X93" t="n">
        <v>1276</v>
      </c>
      <c r="Y93" t="n">
        <v>5600</v>
      </c>
    </row>
    <row r="94">
      <c r="A94" t="n">
        <v>93</v>
      </c>
      <c r="B94" t="n">
        <v>0</v>
      </c>
      <c r="C94" t="n">
        <v>4030</v>
      </c>
      <c r="D94" t="n">
        <v>6306</v>
      </c>
      <c r="E94" t="n">
        <v>15375</v>
      </c>
      <c r="F94" t="n">
        <v>37336</v>
      </c>
      <c r="G94" t="n">
        <v>89793</v>
      </c>
      <c r="H94" t="n">
        <v>214638</v>
      </c>
      <c r="I94" t="n">
        <v>508356</v>
      </c>
      <c r="J94" t="n">
        <v>1930</v>
      </c>
      <c r="K94" t="n">
        <v>6306</v>
      </c>
      <c r="L94" t="n">
        <v>1930</v>
      </c>
      <c r="M94" t="n">
        <v>1000</v>
      </c>
      <c r="N94" t="n">
        <v>1465</v>
      </c>
      <c r="O94" t="n">
        <v>1930</v>
      </c>
      <c r="P94" t="n">
        <v>2395</v>
      </c>
      <c r="Q94" t="n">
        <v>2860</v>
      </c>
      <c r="R94" t="n">
        <v>3325</v>
      </c>
      <c r="S94" t="n">
        <v>3790</v>
      </c>
      <c r="T94" t="n">
        <v>4255</v>
      </c>
      <c r="U94" t="n">
        <v>4720</v>
      </c>
      <c r="V94" t="n">
        <v>2112</v>
      </c>
      <c r="W94" t="n">
        <v>1372</v>
      </c>
      <c r="X94" t="n">
        <v>1279</v>
      </c>
      <c r="Y94" t="n">
        <v>5650</v>
      </c>
    </row>
    <row r="95">
      <c r="A95" t="n">
        <v>94</v>
      </c>
      <c r="B95" t="n">
        <v>0</v>
      </c>
      <c r="C95" t="n">
        <v>4091</v>
      </c>
      <c r="D95" t="n">
        <v>6433</v>
      </c>
      <c r="E95" t="n">
        <v>15837</v>
      </c>
      <c r="F95" t="n">
        <v>38830</v>
      </c>
      <c r="G95" t="n">
        <v>94283</v>
      </c>
      <c r="H95" t="n">
        <v>227517</v>
      </c>
      <c r="I95" t="n">
        <v>543941</v>
      </c>
      <c r="J95" t="n">
        <v>1940</v>
      </c>
      <c r="K95" t="n">
        <v>6433</v>
      </c>
      <c r="L95" t="n">
        <v>1940</v>
      </c>
      <c r="M95" t="n">
        <v>1000</v>
      </c>
      <c r="N95" t="n">
        <v>1470</v>
      </c>
      <c r="O95" t="n">
        <v>1940</v>
      </c>
      <c r="P95" t="n">
        <v>2410</v>
      </c>
      <c r="Q95" t="n">
        <v>2880</v>
      </c>
      <c r="R95" t="n">
        <v>3350</v>
      </c>
      <c r="S95" t="n">
        <v>3820</v>
      </c>
      <c r="T95" t="n">
        <v>4290</v>
      </c>
      <c r="U95" t="n">
        <v>4760</v>
      </c>
      <c r="V95" t="n">
        <v>2127</v>
      </c>
      <c r="W95" t="n">
        <v>1376</v>
      </c>
      <c r="X95" t="n">
        <v>1282</v>
      </c>
      <c r="Y95" t="n">
        <v>5700</v>
      </c>
    </row>
    <row r="96">
      <c r="A96" t="n">
        <v>95</v>
      </c>
      <c r="B96" t="n">
        <v>0</v>
      </c>
      <c r="C96" t="n">
        <v>4153</v>
      </c>
      <c r="D96" t="n">
        <v>6562</v>
      </c>
      <c r="E96" t="n">
        <v>16313</v>
      </c>
      <c r="F96" t="n">
        <v>40384</v>
      </c>
      <c r="G96" t="n">
        <v>98998</v>
      </c>
      <c r="H96" t="n">
        <v>241169</v>
      </c>
      <c r="I96" t="n">
        <v>582017</v>
      </c>
      <c r="J96" t="n">
        <v>1950</v>
      </c>
      <c r="K96" t="n">
        <v>6562</v>
      </c>
      <c r="L96" t="n">
        <v>1950</v>
      </c>
      <c r="M96" t="n">
        <v>1000</v>
      </c>
      <c r="N96" t="n">
        <v>1475</v>
      </c>
      <c r="O96" t="n">
        <v>1950</v>
      </c>
      <c r="P96" t="n">
        <v>2425</v>
      </c>
      <c r="Q96" t="n">
        <v>2900</v>
      </c>
      <c r="R96" t="n">
        <v>3375</v>
      </c>
      <c r="S96" t="n">
        <v>3850</v>
      </c>
      <c r="T96" t="n">
        <v>4325</v>
      </c>
      <c r="U96" t="n">
        <v>4800</v>
      </c>
      <c r="V96" t="n">
        <v>2142</v>
      </c>
      <c r="W96" t="n">
        <v>1380</v>
      </c>
      <c r="X96" t="n">
        <v>1285</v>
      </c>
      <c r="Y96" t="n">
        <v>5750</v>
      </c>
    </row>
    <row r="97">
      <c r="A97" t="n">
        <v>96</v>
      </c>
      <c r="B97" t="n">
        <v>0</v>
      </c>
      <c r="C97" t="n">
        <v>4216</v>
      </c>
      <c r="D97" t="n">
        <v>6694</v>
      </c>
      <c r="E97" t="n">
        <v>16803</v>
      </c>
      <c r="F97" t="n">
        <v>42000</v>
      </c>
      <c r="G97" t="n">
        <v>103948</v>
      </c>
      <c r="H97" t="n">
        <v>255640</v>
      </c>
      <c r="I97" t="n">
        <v>622759</v>
      </c>
      <c r="J97" t="n">
        <v>1960</v>
      </c>
      <c r="K97" t="n">
        <v>6694</v>
      </c>
      <c r="L97" t="n">
        <v>1960</v>
      </c>
      <c r="M97" t="n">
        <v>1000</v>
      </c>
      <c r="N97" t="n">
        <v>1480</v>
      </c>
      <c r="O97" t="n">
        <v>1960</v>
      </c>
      <c r="P97" t="n">
        <v>2440</v>
      </c>
      <c r="Q97" t="n">
        <v>2920</v>
      </c>
      <c r="R97" t="n">
        <v>3400</v>
      </c>
      <c r="S97" t="n">
        <v>3880</v>
      </c>
      <c r="T97" t="n">
        <v>4360</v>
      </c>
      <c r="U97" t="n">
        <v>4840</v>
      </c>
      <c r="V97" t="n">
        <v>2157</v>
      </c>
      <c r="W97" t="n">
        <v>1384</v>
      </c>
      <c r="X97" t="n">
        <v>1288</v>
      </c>
      <c r="Y97" t="n">
        <v>5800</v>
      </c>
    </row>
    <row r="98">
      <c r="A98" t="n">
        <v>97</v>
      </c>
      <c r="B98" t="n">
        <v>0</v>
      </c>
      <c r="C98" t="n">
        <v>4280</v>
      </c>
      <c r="D98" t="n">
        <v>6828</v>
      </c>
      <c r="E98" t="n">
        <v>17308</v>
      </c>
      <c r="F98" t="n">
        <v>43680</v>
      </c>
      <c r="G98" t="n">
        <v>109146</v>
      </c>
      <c r="H98" t="n">
        <v>270979</v>
      </c>
      <c r="I98" t="n">
        <v>666353</v>
      </c>
      <c r="J98" t="n">
        <v>1970</v>
      </c>
      <c r="K98" t="n">
        <v>6828</v>
      </c>
      <c r="L98" t="n">
        <v>1970</v>
      </c>
      <c r="M98" t="n">
        <v>1000</v>
      </c>
      <c r="N98" t="n">
        <v>1485</v>
      </c>
      <c r="O98" t="n">
        <v>1970</v>
      </c>
      <c r="P98" t="n">
        <v>2455</v>
      </c>
      <c r="Q98" t="n">
        <v>2940</v>
      </c>
      <c r="R98" t="n">
        <v>3425</v>
      </c>
      <c r="S98" t="n">
        <v>3910</v>
      </c>
      <c r="T98" t="n">
        <v>4395</v>
      </c>
      <c r="U98" t="n">
        <v>4880</v>
      </c>
      <c r="V98" t="n">
        <v>2172</v>
      </c>
      <c r="W98" t="n">
        <v>1388</v>
      </c>
      <c r="X98" t="n">
        <v>1291</v>
      </c>
      <c r="Y98" t="n">
        <v>5850</v>
      </c>
    </row>
    <row r="99">
      <c r="A99" t="n">
        <v>98</v>
      </c>
      <c r="B99" t="n">
        <v>0</v>
      </c>
      <c r="C99" t="n">
        <v>4345</v>
      </c>
      <c r="D99" t="n">
        <v>6965</v>
      </c>
      <c r="E99" t="n">
        <v>17828</v>
      </c>
      <c r="F99" t="n">
        <v>45428</v>
      </c>
      <c r="G99" t="n">
        <v>114604</v>
      </c>
      <c r="H99" t="n">
        <v>287238</v>
      </c>
      <c r="I99" t="n">
        <v>712998</v>
      </c>
      <c r="J99" t="n">
        <v>1980</v>
      </c>
      <c r="K99" t="n">
        <v>6965</v>
      </c>
      <c r="L99" t="n">
        <v>1980</v>
      </c>
      <c r="M99" t="n">
        <v>1000</v>
      </c>
      <c r="N99" t="n">
        <v>1490</v>
      </c>
      <c r="O99" t="n">
        <v>1980</v>
      </c>
      <c r="P99" t="n">
        <v>2470</v>
      </c>
      <c r="Q99" t="n">
        <v>2960</v>
      </c>
      <c r="R99" t="n">
        <v>3450</v>
      </c>
      <c r="S99" t="n">
        <v>3940</v>
      </c>
      <c r="T99" t="n">
        <v>4430</v>
      </c>
      <c r="U99" t="n">
        <v>4920</v>
      </c>
      <c r="V99" t="n">
        <v>2187</v>
      </c>
      <c r="W99" t="n">
        <v>1392</v>
      </c>
      <c r="X99" t="n">
        <v>1294</v>
      </c>
      <c r="Y99" t="n">
        <v>5900</v>
      </c>
    </row>
    <row r="100">
      <c r="A100" t="n">
        <v>99</v>
      </c>
      <c r="B100" t="n">
        <v>0</v>
      </c>
      <c r="C100" t="n">
        <v>4411</v>
      </c>
      <c r="D100" t="n">
        <v>7105</v>
      </c>
      <c r="E100" t="n">
        <v>18363</v>
      </c>
      <c r="F100" t="n">
        <v>47246</v>
      </c>
      <c r="G100" t="n">
        <v>120335</v>
      </c>
      <c r="H100" t="n">
        <v>304473</v>
      </c>
      <c r="I100" t="n">
        <v>762908</v>
      </c>
      <c r="J100" t="n">
        <v>1990</v>
      </c>
      <c r="K100" t="n">
        <v>7105</v>
      </c>
      <c r="L100" t="n">
        <v>1990</v>
      </c>
      <c r="M100" t="n">
        <v>1000</v>
      </c>
      <c r="N100" t="n">
        <v>1495</v>
      </c>
      <c r="O100" t="n">
        <v>1990</v>
      </c>
      <c r="P100" t="n">
        <v>2485</v>
      </c>
      <c r="Q100" t="n">
        <v>2980</v>
      </c>
      <c r="R100" t="n">
        <v>3475</v>
      </c>
      <c r="S100" t="n">
        <v>3970</v>
      </c>
      <c r="T100" t="n">
        <v>4465</v>
      </c>
      <c r="U100" t="n">
        <v>4960</v>
      </c>
      <c r="V100" t="n">
        <v>2202</v>
      </c>
      <c r="W100" t="n">
        <v>1396</v>
      </c>
      <c r="X100" t="n">
        <v>1297</v>
      </c>
      <c r="Y100" t="n">
        <v>5950</v>
      </c>
    </row>
    <row r="101">
      <c r="A101" t="n">
        <v>100</v>
      </c>
      <c r="B101" t="n">
        <v>0</v>
      </c>
      <c r="C101" t="n">
        <v>4478</v>
      </c>
      <c r="D101" t="n">
        <v>7248</v>
      </c>
      <c r="E101" t="n">
        <v>18914</v>
      </c>
      <c r="F101" t="n">
        <v>49136</v>
      </c>
      <c r="G101" t="n">
        <v>126352</v>
      </c>
      <c r="H101" t="n">
        <v>322742</v>
      </c>
      <c r="I101" t="n">
        <v>816312</v>
      </c>
      <c r="J101" t="n">
        <v>2000</v>
      </c>
      <c r="K101" t="n">
        <v>7248</v>
      </c>
      <c r="L101" t="n">
        <v>2000</v>
      </c>
      <c r="M101" t="n">
        <v>1000</v>
      </c>
      <c r="N101" t="n">
        <v>1500</v>
      </c>
      <c r="O101" t="n">
        <v>2000</v>
      </c>
      <c r="P101" t="n">
        <v>2500</v>
      </c>
      <c r="Q101" t="n">
        <v>3000</v>
      </c>
      <c r="R101" t="n">
        <v>3500</v>
      </c>
      <c r="S101" t="n">
        <v>4000</v>
      </c>
      <c r="T101" t="n">
        <v>4500</v>
      </c>
      <c r="U101" t="n">
        <v>5000</v>
      </c>
      <c r="V101" t="n">
        <v>2218</v>
      </c>
      <c r="W101" t="n">
        <v>1400</v>
      </c>
      <c r="X101" t="n">
        <v>1300</v>
      </c>
      <c r="Y101" t="n">
        <v>6000</v>
      </c>
    </row>
    <row r="102">
      <c r="A102" t="n">
        <v>101</v>
      </c>
      <c r="B102" t="n">
        <v>0</v>
      </c>
      <c r="C102" t="n">
        <v>4546</v>
      </c>
      <c r="D102" t="n">
        <v>7393</v>
      </c>
      <c r="E102" t="n">
        <v>19482</v>
      </c>
      <c r="F102" t="n">
        <v>51102</v>
      </c>
      <c r="G102" t="n">
        <v>132670</v>
      </c>
      <c r="H102" t="n">
        <v>342107</v>
      </c>
      <c r="I102" t="n">
        <v>873454</v>
      </c>
      <c r="J102" t="n">
        <v>2000</v>
      </c>
      <c r="K102" t="n">
        <v>7321</v>
      </c>
      <c r="L102" t="n">
        <v>2010</v>
      </c>
      <c r="M102" t="n">
        <v>1001</v>
      </c>
      <c r="N102" t="n">
        <v>1505</v>
      </c>
      <c r="O102" t="n">
        <v>2010</v>
      </c>
      <c r="P102" t="n">
        <v>2515</v>
      </c>
      <c r="Q102" t="n">
        <v>3020</v>
      </c>
      <c r="R102" t="n">
        <v>3525</v>
      </c>
      <c r="S102" t="n">
        <v>4030</v>
      </c>
      <c r="T102" t="n">
        <v>4535</v>
      </c>
      <c r="U102" t="n">
        <v>5040</v>
      </c>
      <c r="V102" t="n">
        <v>2234</v>
      </c>
      <c r="W102" t="n">
        <v>1404</v>
      </c>
      <c r="X102" t="n">
        <v>1303</v>
      </c>
      <c r="Y102" t="n">
        <v>6050</v>
      </c>
    </row>
    <row r="103">
      <c r="A103" t="n">
        <v>102</v>
      </c>
      <c r="B103" t="n">
        <v>0</v>
      </c>
      <c r="C103" t="n">
        <v>4615</v>
      </c>
      <c r="D103" t="n">
        <v>7541</v>
      </c>
      <c r="E103" t="n">
        <v>20067</v>
      </c>
      <c r="F103" t="n">
        <v>53147</v>
      </c>
      <c r="G103" t="n">
        <v>139304</v>
      </c>
      <c r="H103" t="n">
        <v>362634</v>
      </c>
      <c r="I103" t="n">
        <v>934596</v>
      </c>
      <c r="J103" t="n">
        <v>2000</v>
      </c>
      <c r="K103" t="n">
        <v>7395</v>
      </c>
      <c r="L103" t="n">
        <v>2020</v>
      </c>
      <c r="M103" t="n">
        <v>1002</v>
      </c>
      <c r="N103" t="n">
        <v>1510</v>
      </c>
      <c r="O103" t="n">
        <v>2020</v>
      </c>
      <c r="P103" t="n">
        <v>2530</v>
      </c>
      <c r="Q103" t="n">
        <v>3040</v>
      </c>
      <c r="R103" t="n">
        <v>3550</v>
      </c>
      <c r="S103" t="n">
        <v>4060</v>
      </c>
      <c r="T103" t="n">
        <v>4570</v>
      </c>
      <c r="U103" t="n">
        <v>5080</v>
      </c>
      <c r="V103" t="n">
        <v>2250</v>
      </c>
      <c r="W103" t="n">
        <v>1408</v>
      </c>
      <c r="X103" t="n">
        <v>1306</v>
      </c>
      <c r="Y103" t="n">
        <v>6100</v>
      </c>
    </row>
    <row r="104">
      <c r="A104" t="n">
        <v>103</v>
      </c>
      <c r="B104" t="n">
        <v>0</v>
      </c>
      <c r="C104" t="n">
        <v>4685</v>
      </c>
      <c r="D104" t="n">
        <v>7692</v>
      </c>
      <c r="E104" t="n">
        <v>20670</v>
      </c>
      <c r="F104" t="n">
        <v>55273</v>
      </c>
      <c r="G104" t="n">
        <v>146270</v>
      </c>
      <c r="H104" t="n">
        <v>384393</v>
      </c>
      <c r="I104" t="n">
        <v>1000018</v>
      </c>
      <c r="J104" t="n">
        <v>2000</v>
      </c>
      <c r="K104" t="n">
        <v>7469</v>
      </c>
      <c r="L104" t="n">
        <v>2030</v>
      </c>
      <c r="M104" t="n">
        <v>1003</v>
      </c>
      <c r="N104" t="n">
        <v>1515</v>
      </c>
      <c r="O104" t="n">
        <v>2030</v>
      </c>
      <c r="P104" t="n">
        <v>2545</v>
      </c>
      <c r="Q104" t="n">
        <v>3060</v>
      </c>
      <c r="R104" t="n">
        <v>3575</v>
      </c>
      <c r="S104" t="n">
        <v>4090</v>
      </c>
      <c r="T104" t="n">
        <v>4605</v>
      </c>
      <c r="U104" t="n">
        <v>5120</v>
      </c>
      <c r="V104" t="n">
        <v>2266</v>
      </c>
      <c r="W104" t="n">
        <v>1412</v>
      </c>
      <c r="X104" t="n">
        <v>1309</v>
      </c>
      <c r="Y104" t="n">
        <v>6150</v>
      </c>
    </row>
    <row r="105">
      <c r="A105" t="n">
        <v>104</v>
      </c>
      <c r="B105" t="n">
        <v>0</v>
      </c>
      <c r="C105" t="n">
        <v>4756</v>
      </c>
      <c r="D105" t="n">
        <v>7846</v>
      </c>
      <c r="E105" t="n">
        <v>21291</v>
      </c>
      <c r="F105" t="n">
        <v>57484</v>
      </c>
      <c r="G105" t="n">
        <v>153584</v>
      </c>
      <c r="H105" t="n">
        <v>407457</v>
      </c>
      <c r="I105" t="n">
        <v>1070020</v>
      </c>
      <c r="J105" t="n">
        <v>2000</v>
      </c>
      <c r="K105" t="n">
        <v>7544</v>
      </c>
      <c r="L105" t="n">
        <v>2040</v>
      </c>
      <c r="M105" t="n">
        <v>1004</v>
      </c>
      <c r="N105" t="n">
        <v>1520</v>
      </c>
      <c r="O105" t="n">
        <v>2040</v>
      </c>
      <c r="P105" t="n">
        <v>2560</v>
      </c>
      <c r="Q105" t="n">
        <v>3080</v>
      </c>
      <c r="R105" t="n">
        <v>3600</v>
      </c>
      <c r="S105" t="n">
        <v>4120</v>
      </c>
      <c r="T105" t="n">
        <v>4640</v>
      </c>
      <c r="U105" t="n">
        <v>5160</v>
      </c>
      <c r="V105" t="n">
        <v>2282</v>
      </c>
      <c r="W105" t="n">
        <v>1416</v>
      </c>
      <c r="X105" t="n">
        <v>1312</v>
      </c>
      <c r="Y105" t="n">
        <v>6200</v>
      </c>
    </row>
    <row r="106">
      <c r="A106" t="n">
        <v>105</v>
      </c>
      <c r="B106" t="n">
        <v>0</v>
      </c>
      <c r="C106" t="n">
        <v>4828</v>
      </c>
      <c r="D106" t="n">
        <v>8003</v>
      </c>
      <c r="E106" t="n">
        <v>21930</v>
      </c>
      <c r="F106" t="n">
        <v>59784</v>
      </c>
      <c r="G106" t="n">
        <v>161264</v>
      </c>
      <c r="H106" t="n">
        <v>431905</v>
      </c>
      <c r="I106" t="n">
        <v>1144922</v>
      </c>
      <c r="J106" t="n">
        <v>2000</v>
      </c>
      <c r="K106" t="n">
        <v>7620</v>
      </c>
      <c r="L106" t="n">
        <v>2050</v>
      </c>
      <c r="M106" t="n">
        <v>1005</v>
      </c>
      <c r="N106" t="n">
        <v>1525</v>
      </c>
      <c r="O106" t="n">
        <v>2050</v>
      </c>
      <c r="P106" t="n">
        <v>2575</v>
      </c>
      <c r="Q106" t="n">
        <v>3100</v>
      </c>
      <c r="R106" t="n">
        <v>3625</v>
      </c>
      <c r="S106" t="n">
        <v>4150</v>
      </c>
      <c r="T106" t="n">
        <v>4675</v>
      </c>
      <c r="U106" t="n">
        <v>5200</v>
      </c>
      <c r="V106" t="n">
        <v>2298</v>
      </c>
      <c r="W106" t="n">
        <v>1420</v>
      </c>
      <c r="X106" t="n">
        <v>1315</v>
      </c>
      <c r="Y106" t="n">
        <v>6250</v>
      </c>
    </row>
    <row r="107">
      <c r="A107" t="n">
        <v>106</v>
      </c>
      <c r="B107" t="n">
        <v>0</v>
      </c>
      <c r="C107" t="n">
        <v>4901</v>
      </c>
      <c r="D107" t="n">
        <v>8164</v>
      </c>
      <c r="E107" t="n">
        <v>22588</v>
      </c>
      <c r="F107" t="n">
        <v>62176</v>
      </c>
      <c r="G107" t="n">
        <v>169328</v>
      </c>
      <c r="H107" t="n">
        <v>457820</v>
      </c>
      <c r="I107" t="n">
        <v>1225067</v>
      </c>
      <c r="J107" t="n">
        <v>2000</v>
      </c>
      <c r="K107" t="n">
        <v>7697</v>
      </c>
      <c r="L107" t="n">
        <v>2060</v>
      </c>
      <c r="M107" t="n">
        <v>1006</v>
      </c>
      <c r="N107" t="n">
        <v>1530</v>
      </c>
      <c r="O107" t="n">
        <v>2060</v>
      </c>
      <c r="P107" t="n">
        <v>2590</v>
      </c>
      <c r="Q107" t="n">
        <v>3120</v>
      </c>
      <c r="R107" t="n">
        <v>3650</v>
      </c>
      <c r="S107" t="n">
        <v>4180</v>
      </c>
      <c r="T107" t="n">
        <v>4710</v>
      </c>
      <c r="U107" t="n">
        <v>5240</v>
      </c>
      <c r="V107" t="n">
        <v>2314</v>
      </c>
      <c r="W107" t="n">
        <v>1424</v>
      </c>
      <c r="X107" t="n">
        <v>1318</v>
      </c>
      <c r="Y107" t="n">
        <v>6300</v>
      </c>
    </row>
    <row r="108">
      <c r="A108" t="n">
        <v>107</v>
      </c>
      <c r="B108" t="n">
        <v>0</v>
      </c>
      <c r="C108" t="n">
        <v>4975</v>
      </c>
      <c r="D108" t="n">
        <v>8328</v>
      </c>
      <c r="E108" t="n">
        <v>23266</v>
      </c>
      <c r="F108" t="n">
        <v>64664</v>
      </c>
      <c r="G108" t="n">
        <v>177795</v>
      </c>
      <c r="H108" t="n">
        <v>485290</v>
      </c>
      <c r="I108" t="n">
        <v>1310822</v>
      </c>
      <c r="J108" t="n">
        <v>2000</v>
      </c>
      <c r="K108" t="n">
        <v>7774</v>
      </c>
      <c r="L108" t="n">
        <v>2070</v>
      </c>
      <c r="M108" t="n">
        <v>1007</v>
      </c>
      <c r="N108" t="n">
        <v>1535</v>
      </c>
      <c r="O108" t="n">
        <v>2070</v>
      </c>
      <c r="P108" t="n">
        <v>2605</v>
      </c>
      <c r="Q108" t="n">
        <v>3140</v>
      </c>
      <c r="R108" t="n">
        <v>3675</v>
      </c>
      <c r="S108" t="n">
        <v>4210</v>
      </c>
      <c r="T108" t="n">
        <v>4745</v>
      </c>
      <c r="U108" t="n">
        <v>5280</v>
      </c>
      <c r="V108" t="n">
        <v>2330</v>
      </c>
      <c r="W108" t="n">
        <v>1428</v>
      </c>
      <c r="X108" t="n">
        <v>1321</v>
      </c>
      <c r="Y108" t="n">
        <v>6350</v>
      </c>
    </row>
    <row r="109">
      <c r="A109" t="n">
        <v>108</v>
      </c>
      <c r="B109" t="n">
        <v>0</v>
      </c>
      <c r="C109" t="n">
        <v>5050</v>
      </c>
      <c r="D109" t="n">
        <v>8495</v>
      </c>
      <c r="E109" t="n">
        <v>23964</v>
      </c>
      <c r="F109" t="n">
        <v>67251</v>
      </c>
      <c r="G109" t="n">
        <v>186685</v>
      </c>
      <c r="H109" t="n">
        <v>514408</v>
      </c>
      <c r="I109" t="n">
        <v>1402580</v>
      </c>
      <c r="J109" t="n">
        <v>2000</v>
      </c>
      <c r="K109" t="n">
        <v>7852</v>
      </c>
      <c r="L109" t="n">
        <v>2080</v>
      </c>
      <c r="M109" t="n">
        <v>1008</v>
      </c>
      <c r="N109" t="n">
        <v>1540</v>
      </c>
      <c r="O109" t="n">
        <v>2080</v>
      </c>
      <c r="P109" t="n">
        <v>2620</v>
      </c>
      <c r="Q109" t="n">
        <v>3160</v>
      </c>
      <c r="R109" t="n">
        <v>3700</v>
      </c>
      <c r="S109" t="n">
        <v>4240</v>
      </c>
      <c r="T109" t="n">
        <v>4780</v>
      </c>
      <c r="U109" t="n">
        <v>5320</v>
      </c>
      <c r="V109" t="n">
        <v>2346</v>
      </c>
      <c r="W109" t="n">
        <v>1432</v>
      </c>
      <c r="X109" t="n">
        <v>1324</v>
      </c>
      <c r="Y109" t="n">
        <v>6400</v>
      </c>
    </row>
    <row r="110">
      <c r="A110" t="n">
        <v>109</v>
      </c>
      <c r="B110" t="n">
        <v>0</v>
      </c>
      <c r="C110" t="n">
        <v>5126</v>
      </c>
      <c r="D110" t="n">
        <v>8665</v>
      </c>
      <c r="E110" t="n">
        <v>24683</v>
      </c>
      <c r="F110" t="n">
        <v>69942</v>
      </c>
      <c r="G110" t="n">
        <v>196020</v>
      </c>
      <c r="H110" t="n">
        <v>545273</v>
      </c>
      <c r="I110" t="n">
        <v>1500761</v>
      </c>
      <c r="J110" t="n">
        <v>2000</v>
      </c>
      <c r="K110" t="n">
        <v>7931</v>
      </c>
      <c r="L110" t="n">
        <v>2090</v>
      </c>
      <c r="M110" t="n">
        <v>1009</v>
      </c>
      <c r="N110" t="n">
        <v>1545</v>
      </c>
      <c r="O110" t="n">
        <v>2090</v>
      </c>
      <c r="P110" t="n">
        <v>2635</v>
      </c>
      <c r="Q110" t="n">
        <v>3180</v>
      </c>
      <c r="R110" t="n">
        <v>3725</v>
      </c>
      <c r="S110" t="n">
        <v>4270</v>
      </c>
      <c r="T110" t="n">
        <v>4815</v>
      </c>
      <c r="U110" t="n">
        <v>5360</v>
      </c>
      <c r="V110" t="n">
        <v>2362</v>
      </c>
      <c r="W110" t="n">
        <v>1436</v>
      </c>
      <c r="X110" t="n">
        <v>1327</v>
      </c>
      <c r="Y110" t="n">
        <v>6450</v>
      </c>
    </row>
    <row r="111">
      <c r="A111" t="n">
        <v>110</v>
      </c>
      <c r="B111" t="n">
        <v>0</v>
      </c>
      <c r="C111" t="n">
        <v>5203</v>
      </c>
      <c r="D111" t="n">
        <v>8839</v>
      </c>
      <c r="E111" t="n">
        <v>25424</v>
      </c>
      <c r="F111" t="n">
        <v>72740</v>
      </c>
      <c r="G111" t="n">
        <v>205821</v>
      </c>
      <c r="H111" t="n">
        <v>577990</v>
      </c>
      <c r="I111" t="n">
        <v>1605815</v>
      </c>
      <c r="J111" t="n">
        <v>2000</v>
      </c>
      <c r="K111" t="n">
        <v>8011</v>
      </c>
      <c r="L111" t="n">
        <v>2100</v>
      </c>
      <c r="M111" t="n">
        <v>1010</v>
      </c>
      <c r="N111" t="n">
        <v>1550</v>
      </c>
      <c r="O111" t="n">
        <v>2100</v>
      </c>
      <c r="P111" t="n">
        <v>2650</v>
      </c>
      <c r="Q111" t="n">
        <v>3200</v>
      </c>
      <c r="R111" t="n">
        <v>3750</v>
      </c>
      <c r="S111" t="n">
        <v>4300</v>
      </c>
      <c r="T111" t="n">
        <v>4850</v>
      </c>
      <c r="U111" t="n">
        <v>5400</v>
      </c>
      <c r="V111" t="n">
        <v>2378</v>
      </c>
      <c r="W111" t="n">
        <v>1440</v>
      </c>
      <c r="X111" t="n">
        <v>1330</v>
      </c>
      <c r="Y111" t="n">
        <v>6500</v>
      </c>
    </row>
    <row r="112">
      <c r="A112" t="n">
        <v>111</v>
      </c>
      <c r="B112" t="n">
        <v>0</v>
      </c>
      <c r="C112" t="n">
        <v>5282</v>
      </c>
      <c r="D112" t="n">
        <v>9016</v>
      </c>
      <c r="E112" t="n">
        <v>26187</v>
      </c>
      <c r="F112" t="n">
        <v>75650</v>
      </c>
      <c r="G112" t="n">
        <v>216113</v>
      </c>
      <c r="H112" t="n">
        <v>612670</v>
      </c>
      <c r="I112" t="n">
        <v>1718223</v>
      </c>
      <c r="J112" t="n">
        <v>2000</v>
      </c>
      <c r="K112" t="n">
        <v>8092</v>
      </c>
      <c r="L112" t="n">
        <v>2110</v>
      </c>
      <c r="M112" t="n">
        <v>1011</v>
      </c>
      <c r="N112" t="n">
        <v>1555</v>
      </c>
      <c r="O112" t="n">
        <v>2110</v>
      </c>
      <c r="P112" t="n">
        <v>2665</v>
      </c>
      <c r="Q112" t="n">
        <v>3220</v>
      </c>
      <c r="R112" t="n">
        <v>3775</v>
      </c>
      <c r="S112" t="n">
        <v>4330</v>
      </c>
      <c r="T112" t="n">
        <v>4885</v>
      </c>
      <c r="U112" t="n">
        <v>5440</v>
      </c>
      <c r="V112" t="n">
        <v>2394</v>
      </c>
      <c r="W112" t="n">
        <v>1444</v>
      </c>
      <c r="X112" t="n">
        <v>1333</v>
      </c>
      <c r="Y112" t="n">
        <v>6550</v>
      </c>
    </row>
    <row r="113">
      <c r="A113" t="n">
        <v>112</v>
      </c>
      <c r="B113" t="n">
        <v>0</v>
      </c>
      <c r="C113" t="n">
        <v>5362</v>
      </c>
      <c r="D113" t="n">
        <v>9197</v>
      </c>
      <c r="E113" t="n">
        <v>26973</v>
      </c>
      <c r="F113" t="n">
        <v>78676</v>
      </c>
      <c r="G113" t="n">
        <v>226919</v>
      </c>
      <c r="H113" t="n">
        <v>649431</v>
      </c>
      <c r="I113" t="n">
        <v>1838499</v>
      </c>
      <c r="J113" t="n">
        <v>2000</v>
      </c>
      <c r="K113" t="n">
        <v>8173</v>
      </c>
      <c r="L113" t="n">
        <v>2120</v>
      </c>
      <c r="M113" t="n">
        <v>1012</v>
      </c>
      <c r="N113" t="n">
        <v>1560</v>
      </c>
      <c r="O113" t="n">
        <v>2120</v>
      </c>
      <c r="P113" t="n">
        <v>2680</v>
      </c>
      <c r="Q113" t="n">
        <v>3240</v>
      </c>
      <c r="R113" t="n">
        <v>3800</v>
      </c>
      <c r="S113" t="n">
        <v>4360</v>
      </c>
      <c r="T113" t="n">
        <v>4920</v>
      </c>
      <c r="U113" t="n">
        <v>5480</v>
      </c>
      <c r="V113" t="n">
        <v>2410</v>
      </c>
      <c r="W113" t="n">
        <v>1448</v>
      </c>
      <c r="X113" t="n">
        <v>1336</v>
      </c>
      <c r="Y113" t="n">
        <v>6600</v>
      </c>
    </row>
    <row r="114">
      <c r="A114" t="n">
        <v>113</v>
      </c>
      <c r="B114" t="n">
        <v>0</v>
      </c>
      <c r="C114" t="n">
        <v>5443</v>
      </c>
      <c r="D114" t="n">
        <v>9381</v>
      </c>
      <c r="E114" t="n">
        <v>27783</v>
      </c>
      <c r="F114" t="n">
        <v>81824</v>
      </c>
      <c r="G114" t="n">
        <v>238265</v>
      </c>
      <c r="H114" t="n">
        <v>688397</v>
      </c>
      <c r="I114" t="n">
        <v>1967194</v>
      </c>
      <c r="J114" t="n">
        <v>2000</v>
      </c>
      <c r="K114" t="n">
        <v>8255</v>
      </c>
      <c r="L114" t="n">
        <v>2130</v>
      </c>
      <c r="M114" t="n">
        <v>1013</v>
      </c>
      <c r="N114" t="n">
        <v>1565</v>
      </c>
      <c r="O114" t="n">
        <v>2130</v>
      </c>
      <c r="P114" t="n">
        <v>2695</v>
      </c>
      <c r="Q114" t="n">
        <v>3260</v>
      </c>
      <c r="R114" t="n">
        <v>3825</v>
      </c>
      <c r="S114" t="n">
        <v>4390</v>
      </c>
      <c r="T114" t="n">
        <v>4955</v>
      </c>
      <c r="U114" t="n">
        <v>5520</v>
      </c>
      <c r="V114" t="n">
        <v>2427</v>
      </c>
      <c r="W114" t="n">
        <v>1452</v>
      </c>
      <c r="X114" t="n">
        <v>1339</v>
      </c>
      <c r="Y114" t="n">
        <v>6650</v>
      </c>
    </row>
    <row r="115">
      <c r="A115" t="n">
        <v>114</v>
      </c>
      <c r="B115" t="n">
        <v>0</v>
      </c>
      <c r="C115" t="n">
        <v>5525</v>
      </c>
      <c r="D115" t="n">
        <v>9569</v>
      </c>
      <c r="E115" t="n">
        <v>28617</v>
      </c>
      <c r="F115" t="n">
        <v>85097</v>
      </c>
      <c r="G115" t="n">
        <v>250179</v>
      </c>
      <c r="H115" t="n">
        <v>729701</v>
      </c>
      <c r="I115" t="n">
        <v>2104898</v>
      </c>
      <c r="J115" t="n">
        <v>2000</v>
      </c>
      <c r="K115" t="n">
        <v>8338</v>
      </c>
      <c r="L115" t="n">
        <v>2140</v>
      </c>
      <c r="M115" t="n">
        <v>1014</v>
      </c>
      <c r="N115" t="n">
        <v>1570</v>
      </c>
      <c r="O115" t="n">
        <v>2140</v>
      </c>
      <c r="P115" t="n">
        <v>2710</v>
      </c>
      <c r="Q115" t="n">
        <v>3280</v>
      </c>
      <c r="R115" t="n">
        <v>3850</v>
      </c>
      <c r="S115" t="n">
        <v>4420</v>
      </c>
      <c r="T115" t="n">
        <v>4990</v>
      </c>
      <c r="U115" t="n">
        <v>5560</v>
      </c>
      <c r="V115" t="n">
        <v>2444</v>
      </c>
      <c r="W115" t="n">
        <v>1456</v>
      </c>
      <c r="X115" t="n">
        <v>1342</v>
      </c>
      <c r="Y115" t="n">
        <v>6700</v>
      </c>
    </row>
    <row r="116">
      <c r="A116" t="n">
        <v>115</v>
      </c>
      <c r="B116" t="n">
        <v>0</v>
      </c>
      <c r="C116" t="n">
        <v>5608</v>
      </c>
      <c r="D116" t="n">
        <v>9761</v>
      </c>
      <c r="E116" t="n">
        <v>29476</v>
      </c>
      <c r="F116" t="n">
        <v>88501</v>
      </c>
      <c r="G116" t="n">
        <v>262688</v>
      </c>
      <c r="H116" t="n">
        <v>773484</v>
      </c>
      <c r="I116" t="n">
        <v>2252241</v>
      </c>
      <c r="J116" t="n">
        <v>2000</v>
      </c>
      <c r="K116" t="n">
        <v>8422</v>
      </c>
      <c r="L116" t="n">
        <v>2150</v>
      </c>
      <c r="M116" t="n">
        <v>1015</v>
      </c>
      <c r="N116" t="n">
        <v>1575</v>
      </c>
      <c r="O116" t="n">
        <v>2150</v>
      </c>
      <c r="P116" t="n">
        <v>2725</v>
      </c>
      <c r="Q116" t="n">
        <v>3300</v>
      </c>
      <c r="R116" t="n">
        <v>3875</v>
      </c>
      <c r="S116" t="n">
        <v>4450</v>
      </c>
      <c r="T116" t="n">
        <v>5025</v>
      </c>
      <c r="U116" t="n">
        <v>5600</v>
      </c>
      <c r="V116" t="n">
        <v>2461</v>
      </c>
      <c r="W116" t="n">
        <v>1460</v>
      </c>
      <c r="X116" t="n">
        <v>1345</v>
      </c>
      <c r="Y116" t="n">
        <v>6750</v>
      </c>
    </row>
    <row r="117">
      <c r="A117" t="n">
        <v>116</v>
      </c>
      <c r="B117" t="n">
        <v>0</v>
      </c>
      <c r="C117" t="n">
        <v>5693</v>
      </c>
      <c r="D117" t="n">
        <v>9957</v>
      </c>
      <c r="E117" t="n">
        <v>30361</v>
      </c>
      <c r="F117" t="n">
        <v>92042</v>
      </c>
      <c r="G117" t="n">
        <v>275823</v>
      </c>
      <c r="H117" t="n">
        <v>819894</v>
      </c>
      <c r="I117" t="n">
        <v>2409898</v>
      </c>
      <c r="J117" t="n">
        <v>2000</v>
      </c>
      <c r="K117" t="n">
        <v>8507</v>
      </c>
      <c r="L117" t="n">
        <v>2160</v>
      </c>
      <c r="M117" t="n">
        <v>1016</v>
      </c>
      <c r="N117" t="n">
        <v>1580</v>
      </c>
      <c r="O117" t="n">
        <v>2160</v>
      </c>
      <c r="P117" t="n">
        <v>2740</v>
      </c>
      <c r="Q117" t="n">
        <v>3320</v>
      </c>
      <c r="R117" t="n">
        <v>3900</v>
      </c>
      <c r="S117" t="n">
        <v>4480</v>
      </c>
      <c r="T117" t="n">
        <v>5060</v>
      </c>
      <c r="U117" t="n">
        <v>5640</v>
      </c>
      <c r="V117" t="n">
        <v>2478</v>
      </c>
      <c r="W117" t="n">
        <v>1464</v>
      </c>
      <c r="X117" t="n">
        <v>1348</v>
      </c>
      <c r="Y117" t="n">
        <v>6800</v>
      </c>
    </row>
    <row r="118">
      <c r="A118" t="n">
        <v>117</v>
      </c>
      <c r="B118" t="n">
        <v>0</v>
      </c>
      <c r="C118" t="n">
        <v>5779</v>
      </c>
      <c r="D118" t="n">
        <v>10157</v>
      </c>
      <c r="E118" t="n">
        <v>31272</v>
      </c>
      <c r="F118" t="n">
        <v>95724</v>
      </c>
      <c r="G118" t="n">
        <v>289615</v>
      </c>
      <c r="H118" t="n">
        <v>869088</v>
      </c>
      <c r="I118" t="n">
        <v>2578591</v>
      </c>
      <c r="J118" t="n">
        <v>2000</v>
      </c>
      <c r="K118" t="n">
        <v>8593</v>
      </c>
      <c r="L118" t="n">
        <v>2170</v>
      </c>
      <c r="M118" t="n">
        <v>1017</v>
      </c>
      <c r="N118" t="n">
        <v>1585</v>
      </c>
      <c r="O118" t="n">
        <v>2170</v>
      </c>
      <c r="P118" t="n">
        <v>2755</v>
      </c>
      <c r="Q118" t="n">
        <v>3340</v>
      </c>
      <c r="R118" t="n">
        <v>3925</v>
      </c>
      <c r="S118" t="n">
        <v>4510</v>
      </c>
      <c r="T118" t="n">
        <v>5095</v>
      </c>
      <c r="U118" t="n">
        <v>5680</v>
      </c>
      <c r="V118" t="n">
        <v>2495</v>
      </c>
      <c r="W118" t="n">
        <v>1468</v>
      </c>
      <c r="X118" t="n">
        <v>1351</v>
      </c>
      <c r="Y118" t="n">
        <v>6850</v>
      </c>
    </row>
    <row r="119">
      <c r="A119" t="n">
        <v>118</v>
      </c>
      <c r="B119" t="n">
        <v>0</v>
      </c>
      <c r="C119" t="n">
        <v>5866</v>
      </c>
      <c r="D119" t="n">
        <v>10361</v>
      </c>
      <c r="E119" t="n">
        <v>32211</v>
      </c>
      <c r="F119" t="n">
        <v>99553</v>
      </c>
      <c r="G119" t="n">
        <v>304096</v>
      </c>
      <c r="H119" t="n">
        <v>921234</v>
      </c>
      <c r="I119" t="n">
        <v>2759093</v>
      </c>
      <c r="J119" t="n">
        <v>2000</v>
      </c>
      <c r="K119" t="n">
        <v>8679</v>
      </c>
      <c r="L119" t="n">
        <v>2180</v>
      </c>
      <c r="M119" t="n">
        <v>1018</v>
      </c>
      <c r="N119" t="n">
        <v>1590</v>
      </c>
      <c r="O119" t="n">
        <v>2180</v>
      </c>
      <c r="P119" t="n">
        <v>2770</v>
      </c>
      <c r="Q119" t="n">
        <v>3360</v>
      </c>
      <c r="R119" t="n">
        <v>3950</v>
      </c>
      <c r="S119" t="n">
        <v>4540</v>
      </c>
      <c r="T119" t="n">
        <v>5130</v>
      </c>
      <c r="U119" t="n">
        <v>5720</v>
      </c>
      <c r="V119" t="n">
        <v>2512</v>
      </c>
      <c r="W119" t="n">
        <v>1472</v>
      </c>
      <c r="X119" t="n">
        <v>1354</v>
      </c>
      <c r="Y119" t="n">
        <v>6900</v>
      </c>
    </row>
    <row r="120">
      <c r="A120" t="n">
        <v>119</v>
      </c>
      <c r="B120" t="n">
        <v>0</v>
      </c>
      <c r="C120" t="n">
        <v>5954</v>
      </c>
      <c r="D120" t="n">
        <v>10569</v>
      </c>
      <c r="E120" t="n">
        <v>33178</v>
      </c>
      <c r="F120" t="n">
        <v>103536</v>
      </c>
      <c r="G120" t="n">
        <v>319301</v>
      </c>
      <c r="H120" t="n">
        <v>976509</v>
      </c>
      <c r="I120" t="n">
        <v>2952230</v>
      </c>
      <c r="J120" t="n">
        <v>2000</v>
      </c>
      <c r="K120" t="n">
        <v>8766</v>
      </c>
      <c r="L120" t="n">
        <v>2190</v>
      </c>
      <c r="M120" t="n">
        <v>1019</v>
      </c>
      <c r="N120" t="n">
        <v>1595</v>
      </c>
      <c r="O120" t="n">
        <v>2190</v>
      </c>
      <c r="P120" t="n">
        <v>2785</v>
      </c>
      <c r="Q120" t="n">
        <v>3380</v>
      </c>
      <c r="R120" t="n">
        <v>3975</v>
      </c>
      <c r="S120" t="n">
        <v>4570</v>
      </c>
      <c r="T120" t="n">
        <v>5165</v>
      </c>
      <c r="U120" t="n">
        <v>5760</v>
      </c>
      <c r="V120" t="n">
        <v>2529</v>
      </c>
      <c r="W120" t="n">
        <v>1476</v>
      </c>
      <c r="X120" t="n">
        <v>1357</v>
      </c>
      <c r="Y120" t="n">
        <v>6950</v>
      </c>
    </row>
    <row r="121">
      <c r="A121" t="n">
        <v>120</v>
      </c>
      <c r="B121" t="n">
        <v>0</v>
      </c>
      <c r="C121" t="n">
        <v>6044</v>
      </c>
      <c r="D121" t="n">
        <v>10781</v>
      </c>
      <c r="E121" t="n">
        <v>34174</v>
      </c>
      <c r="F121" t="n">
        <v>107678</v>
      </c>
      <c r="G121" t="n">
        <v>335267</v>
      </c>
      <c r="H121" t="n">
        <v>1035100</v>
      </c>
      <c r="I121" t="n">
        <v>3158887</v>
      </c>
      <c r="J121" t="n">
        <v>2000</v>
      </c>
      <c r="K121" t="n">
        <v>8854</v>
      </c>
      <c r="L121" t="n">
        <v>2200</v>
      </c>
      <c r="M121" t="n">
        <v>1020</v>
      </c>
      <c r="N121" t="n">
        <v>1600</v>
      </c>
      <c r="O121" t="n">
        <v>2200</v>
      </c>
      <c r="P121" t="n">
        <v>2800</v>
      </c>
      <c r="Q121" t="n">
        <v>3400</v>
      </c>
      <c r="R121" t="n">
        <v>4000</v>
      </c>
      <c r="S121" t="n">
        <v>4600</v>
      </c>
      <c r="T121" t="n">
        <v>5200</v>
      </c>
      <c r="U121" t="n">
        <v>5800</v>
      </c>
      <c r="V121" t="n">
        <v>2546</v>
      </c>
      <c r="W121" t="n">
        <v>1480</v>
      </c>
      <c r="X121" t="n">
        <v>1360</v>
      </c>
      <c r="Y121" t="n">
        <v>7000</v>
      </c>
    </row>
    <row r="122">
      <c r="A122" t="n">
        <v>121</v>
      </c>
      <c r="B122" t="n">
        <v>0</v>
      </c>
      <c r="C122" t="n">
        <v>6135</v>
      </c>
      <c r="D122" t="n">
        <v>10997</v>
      </c>
      <c r="E122" t="n">
        <v>35200</v>
      </c>
      <c r="F122" t="n">
        <v>111986</v>
      </c>
      <c r="G122" t="n">
        <v>352031</v>
      </c>
      <c r="H122" t="n">
        <v>1097206</v>
      </c>
      <c r="I122" t="n">
        <v>3380010</v>
      </c>
      <c r="J122" t="n">
        <v>2000</v>
      </c>
      <c r="K122" t="n">
        <v>8943</v>
      </c>
      <c r="L122" t="n">
        <v>2210</v>
      </c>
      <c r="M122" t="n">
        <v>1021</v>
      </c>
      <c r="N122" t="n">
        <v>1605</v>
      </c>
      <c r="O122" t="n">
        <v>2210</v>
      </c>
      <c r="P122" t="n">
        <v>2815</v>
      </c>
      <c r="Q122" t="n">
        <v>3420</v>
      </c>
      <c r="R122" t="n">
        <v>4025</v>
      </c>
      <c r="S122" t="n">
        <v>4630</v>
      </c>
      <c r="T122" t="n">
        <v>5235</v>
      </c>
      <c r="U122" t="n">
        <v>5840</v>
      </c>
      <c r="V122" t="n">
        <v>2563</v>
      </c>
      <c r="W122" t="n">
        <v>1484</v>
      </c>
      <c r="X122" t="n">
        <v>1363</v>
      </c>
      <c r="Y122" t="n">
        <v>7010</v>
      </c>
    </row>
    <row r="123">
      <c r="A123" t="n">
        <v>122</v>
      </c>
      <c r="B123" t="n">
        <v>0</v>
      </c>
      <c r="C123" t="n">
        <v>6228</v>
      </c>
      <c r="D123" t="n">
        <v>11217</v>
      </c>
      <c r="E123" t="n">
        <v>36256</v>
      </c>
      <c r="F123" t="n">
        <v>116466</v>
      </c>
      <c r="G123" t="n">
        <v>369633</v>
      </c>
      <c r="H123" t="n">
        <v>1163039</v>
      </c>
      <c r="I123" t="n">
        <v>3616611</v>
      </c>
      <c r="J123" t="n">
        <v>2000</v>
      </c>
      <c r="K123" t="n">
        <v>9033</v>
      </c>
      <c r="L123" t="n">
        <v>2220</v>
      </c>
      <c r="M123" t="n">
        <v>1022</v>
      </c>
      <c r="N123" t="n">
        <v>1610</v>
      </c>
      <c r="O123" t="n">
        <v>2220</v>
      </c>
      <c r="P123" t="n">
        <v>2830</v>
      </c>
      <c r="Q123" t="n">
        <v>3440</v>
      </c>
      <c r="R123" t="n">
        <v>4050</v>
      </c>
      <c r="S123" t="n">
        <v>4660</v>
      </c>
      <c r="T123" t="n">
        <v>5270</v>
      </c>
      <c r="U123" t="n">
        <v>5880</v>
      </c>
      <c r="V123" t="n">
        <v>2580</v>
      </c>
      <c r="W123" t="n">
        <v>1488</v>
      </c>
      <c r="X123" t="n">
        <v>1366</v>
      </c>
      <c r="Y123" t="n">
        <v>7020</v>
      </c>
    </row>
    <row r="124">
      <c r="A124" t="n">
        <v>123</v>
      </c>
      <c r="B124" t="n">
        <v>0</v>
      </c>
      <c r="C124" t="n">
        <v>6322</v>
      </c>
      <c r="D124" t="n">
        <v>11442</v>
      </c>
      <c r="E124" t="n">
        <v>37344</v>
      </c>
      <c r="F124" t="n">
        <v>121125</v>
      </c>
      <c r="G124" t="n">
        <v>388115</v>
      </c>
      <c r="H124" t="n">
        <v>1232822</v>
      </c>
      <c r="I124" t="n">
        <v>3869774</v>
      </c>
      <c r="J124" t="n">
        <v>2000</v>
      </c>
      <c r="K124" t="n">
        <v>9124</v>
      </c>
      <c r="L124" t="n">
        <v>2230</v>
      </c>
      <c r="M124" t="n">
        <v>1023</v>
      </c>
      <c r="N124" t="n">
        <v>1615</v>
      </c>
      <c r="O124" t="n">
        <v>2230</v>
      </c>
      <c r="P124" t="n">
        <v>2845</v>
      </c>
      <c r="Q124" t="n">
        <v>3460</v>
      </c>
      <c r="R124" t="n">
        <v>4075</v>
      </c>
      <c r="S124" t="n">
        <v>4690</v>
      </c>
      <c r="T124" t="n">
        <v>5305</v>
      </c>
      <c r="U124" t="n">
        <v>5920</v>
      </c>
      <c r="V124" t="n">
        <v>2597</v>
      </c>
      <c r="W124" t="n">
        <v>1492</v>
      </c>
      <c r="X124" t="n">
        <v>1369</v>
      </c>
      <c r="Y124" t="n">
        <v>7030</v>
      </c>
    </row>
    <row r="125">
      <c r="A125" t="n">
        <v>124</v>
      </c>
      <c r="B125" t="n">
        <v>0</v>
      </c>
      <c r="C125" t="n">
        <v>6417</v>
      </c>
      <c r="D125" t="n">
        <v>11671</v>
      </c>
      <c r="E125" t="n">
        <v>38465</v>
      </c>
      <c r="F125" t="n">
        <v>125970</v>
      </c>
      <c r="G125" t="n">
        <v>407521</v>
      </c>
      <c r="H125" t="n">
        <v>1306792</v>
      </c>
      <c r="I125" t="n">
        <v>4140659</v>
      </c>
      <c r="J125" t="n">
        <v>2000</v>
      </c>
      <c r="K125" t="n">
        <v>9216</v>
      </c>
      <c r="L125" t="n">
        <v>2240</v>
      </c>
      <c r="M125" t="n">
        <v>1024</v>
      </c>
      <c r="N125" t="n">
        <v>1620</v>
      </c>
      <c r="O125" t="n">
        <v>2240</v>
      </c>
      <c r="P125" t="n">
        <v>2860</v>
      </c>
      <c r="Q125" t="n">
        <v>3480</v>
      </c>
      <c r="R125" t="n">
        <v>4100</v>
      </c>
      <c r="S125" t="n">
        <v>4720</v>
      </c>
      <c r="T125" t="n">
        <v>5340</v>
      </c>
      <c r="U125" t="n">
        <v>5960</v>
      </c>
      <c r="V125" t="n">
        <v>2615</v>
      </c>
      <c r="W125" t="n">
        <v>1496</v>
      </c>
      <c r="X125" t="n">
        <v>1372</v>
      </c>
      <c r="Y125" t="n">
        <v>7040</v>
      </c>
    </row>
    <row r="126">
      <c r="A126" t="n">
        <v>125</v>
      </c>
      <c r="B126" t="n">
        <v>0</v>
      </c>
      <c r="C126" t="n">
        <v>6514</v>
      </c>
      <c r="D126" t="n">
        <v>11905</v>
      </c>
      <c r="E126" t="n">
        <v>39619</v>
      </c>
      <c r="F126" t="n">
        <v>131009</v>
      </c>
      <c r="G126" t="n">
        <v>427898</v>
      </c>
      <c r="H126" t="n">
        <v>1385200</v>
      </c>
      <c r="I126" t="n">
        <v>4430506</v>
      </c>
      <c r="J126" t="n">
        <v>2000</v>
      </c>
      <c r="K126" t="n">
        <v>9309</v>
      </c>
      <c r="L126" t="n">
        <v>2250</v>
      </c>
      <c r="M126" t="n">
        <v>1025</v>
      </c>
      <c r="N126" t="n">
        <v>1625</v>
      </c>
      <c r="O126" t="n">
        <v>2250</v>
      </c>
      <c r="P126" t="n">
        <v>2875</v>
      </c>
      <c r="Q126" t="n">
        <v>3500</v>
      </c>
      <c r="R126" t="n">
        <v>4125</v>
      </c>
      <c r="S126" t="n">
        <v>4750</v>
      </c>
      <c r="T126" t="n">
        <v>5375</v>
      </c>
      <c r="U126" t="n">
        <v>6000</v>
      </c>
      <c r="V126" t="n">
        <v>2633</v>
      </c>
      <c r="W126" t="n">
        <v>1500</v>
      </c>
      <c r="X126" t="n">
        <v>1375</v>
      </c>
      <c r="Y126" t="n">
        <v>7050</v>
      </c>
    </row>
    <row r="127">
      <c r="A127" t="n">
        <v>126</v>
      </c>
      <c r="B127" t="n">
        <v>0</v>
      </c>
      <c r="C127" t="n">
        <v>6612</v>
      </c>
      <c r="D127" t="n">
        <v>12144</v>
      </c>
      <c r="E127" t="n">
        <v>40808</v>
      </c>
      <c r="F127" t="n">
        <v>136250</v>
      </c>
      <c r="G127" t="n">
        <v>449293</v>
      </c>
      <c r="H127" t="n">
        <v>1468312</v>
      </c>
      <c r="I127" t="n">
        <v>4740642</v>
      </c>
      <c r="J127" t="n">
        <v>2000</v>
      </c>
      <c r="K127" t="n">
        <v>9403</v>
      </c>
      <c r="L127" t="n">
        <v>2260</v>
      </c>
      <c r="M127" t="n">
        <v>1026</v>
      </c>
      <c r="N127" t="n">
        <v>1630</v>
      </c>
      <c r="O127" t="n">
        <v>2260</v>
      </c>
      <c r="P127" t="n">
        <v>2890</v>
      </c>
      <c r="Q127" t="n">
        <v>3520</v>
      </c>
      <c r="R127" t="n">
        <v>4150</v>
      </c>
      <c r="S127" t="n">
        <v>4780</v>
      </c>
      <c r="T127" t="n">
        <v>5410</v>
      </c>
      <c r="U127" t="n">
        <v>6040</v>
      </c>
      <c r="V127" t="n">
        <v>2651</v>
      </c>
      <c r="W127" t="n">
        <v>1504</v>
      </c>
      <c r="X127" t="n">
        <v>1378</v>
      </c>
      <c r="Y127" t="n">
        <v>7060</v>
      </c>
    </row>
    <row r="128">
      <c r="A128" t="n">
        <v>127</v>
      </c>
      <c r="B128" t="n">
        <v>0</v>
      </c>
      <c r="C128" t="n">
        <v>6712</v>
      </c>
      <c r="D128" t="n">
        <v>12387</v>
      </c>
      <c r="E128" t="n">
        <v>42033</v>
      </c>
      <c r="F128" t="n">
        <v>141700</v>
      </c>
      <c r="G128" t="n">
        <v>471758</v>
      </c>
      <c r="H128" t="n">
        <v>1556411</v>
      </c>
      <c r="I128" t="n">
        <v>5072487</v>
      </c>
      <c r="J128" t="n">
        <v>2000</v>
      </c>
      <c r="K128" t="n">
        <v>9498</v>
      </c>
      <c r="L128" t="n">
        <v>2270</v>
      </c>
      <c r="M128" t="n">
        <v>1027</v>
      </c>
      <c r="N128" t="n">
        <v>1635</v>
      </c>
      <c r="O128" t="n">
        <v>2270</v>
      </c>
      <c r="P128" t="n">
        <v>2905</v>
      </c>
      <c r="Q128" t="n">
        <v>3540</v>
      </c>
      <c r="R128" t="n">
        <v>4175</v>
      </c>
      <c r="S128" t="n">
        <v>4810</v>
      </c>
      <c r="T128" t="n">
        <v>5445</v>
      </c>
      <c r="U128" t="n">
        <v>6080</v>
      </c>
      <c r="V128" t="n">
        <v>2669</v>
      </c>
      <c r="W128" t="n">
        <v>1508</v>
      </c>
      <c r="X128" t="n">
        <v>1381</v>
      </c>
      <c r="Y128" t="n">
        <v>7070</v>
      </c>
    </row>
    <row r="129">
      <c r="A129" t="n">
        <v>128</v>
      </c>
      <c r="B129" t="n">
        <v>0</v>
      </c>
      <c r="C129" t="n">
        <v>6813</v>
      </c>
      <c r="D129" t="n">
        <v>12635</v>
      </c>
      <c r="E129" t="n">
        <v>43294</v>
      </c>
      <c r="F129" t="n">
        <v>147368</v>
      </c>
      <c r="G129" t="n">
        <v>495346</v>
      </c>
      <c r="H129" t="n">
        <v>1649796</v>
      </c>
      <c r="I129" t="n">
        <v>5427562</v>
      </c>
      <c r="J129" t="n">
        <v>2000</v>
      </c>
      <c r="K129" t="n">
        <v>9593</v>
      </c>
      <c r="L129" t="n">
        <v>2280</v>
      </c>
      <c r="M129" t="n">
        <v>1028</v>
      </c>
      <c r="N129" t="n">
        <v>1640</v>
      </c>
      <c r="O129" t="n">
        <v>2280</v>
      </c>
      <c r="P129" t="n">
        <v>2920</v>
      </c>
      <c r="Q129" t="n">
        <v>3560</v>
      </c>
      <c r="R129" t="n">
        <v>4200</v>
      </c>
      <c r="S129" t="n">
        <v>4840</v>
      </c>
      <c r="T129" t="n">
        <v>5480</v>
      </c>
      <c r="U129" t="n">
        <v>6120</v>
      </c>
      <c r="V129" t="n">
        <v>2687</v>
      </c>
      <c r="W129" t="n">
        <v>1512</v>
      </c>
      <c r="X129" t="n">
        <v>1384</v>
      </c>
      <c r="Y129" t="n">
        <v>7080</v>
      </c>
    </row>
    <row r="130">
      <c r="A130" t="n">
        <v>129</v>
      </c>
      <c r="B130" t="n">
        <v>0</v>
      </c>
      <c r="C130" t="n">
        <v>6916</v>
      </c>
      <c r="D130" t="n">
        <v>12888</v>
      </c>
      <c r="E130" t="n">
        <v>44593</v>
      </c>
      <c r="F130" t="n">
        <v>153263</v>
      </c>
      <c r="G130" t="n">
        <v>520114</v>
      </c>
      <c r="H130" t="n">
        <v>1748784</v>
      </c>
      <c r="I130" t="n">
        <v>5807492</v>
      </c>
      <c r="J130" t="n">
        <v>2000</v>
      </c>
      <c r="K130" t="n">
        <v>9689</v>
      </c>
      <c r="L130" t="n">
        <v>2290</v>
      </c>
      <c r="M130" t="n">
        <v>1029</v>
      </c>
      <c r="N130" t="n">
        <v>1645</v>
      </c>
      <c r="O130" t="n">
        <v>2290</v>
      </c>
      <c r="P130" t="n">
        <v>2935</v>
      </c>
      <c r="Q130" t="n">
        <v>3580</v>
      </c>
      <c r="R130" t="n">
        <v>4225</v>
      </c>
      <c r="S130" t="n">
        <v>4870</v>
      </c>
      <c r="T130" t="n">
        <v>5515</v>
      </c>
      <c r="U130" t="n">
        <v>6160</v>
      </c>
      <c r="V130" t="n">
        <v>2705</v>
      </c>
      <c r="W130" t="n">
        <v>1516</v>
      </c>
      <c r="X130" t="n">
        <v>1387</v>
      </c>
      <c r="Y130" t="n">
        <v>7090</v>
      </c>
    </row>
    <row r="131">
      <c r="A131" t="n">
        <v>130</v>
      </c>
      <c r="B131" t="n">
        <v>0</v>
      </c>
      <c r="C131" t="n">
        <v>7020</v>
      </c>
      <c r="D131" t="n">
        <v>13146</v>
      </c>
      <c r="E131" t="n">
        <v>45931</v>
      </c>
      <c r="F131" t="n">
        <v>159394</v>
      </c>
      <c r="G131" t="n">
        <v>546120</v>
      </c>
      <c r="H131" t="n">
        <v>1853712</v>
      </c>
      <c r="I131" t="n">
        <v>6214017</v>
      </c>
      <c r="J131" t="n">
        <v>2000</v>
      </c>
      <c r="K131" t="n">
        <v>9786</v>
      </c>
      <c r="L131" t="n">
        <v>2300</v>
      </c>
      <c r="M131" t="n">
        <v>1030</v>
      </c>
      <c r="N131" t="n">
        <v>1650</v>
      </c>
      <c r="O131" t="n">
        <v>2300</v>
      </c>
      <c r="P131" t="n">
        <v>2950</v>
      </c>
      <c r="Q131" t="n">
        <v>3600</v>
      </c>
      <c r="R131" t="n">
        <v>4250</v>
      </c>
      <c r="S131" t="n">
        <v>4900</v>
      </c>
      <c r="T131" t="n">
        <v>5550</v>
      </c>
      <c r="U131" t="n">
        <v>6200</v>
      </c>
      <c r="V131" t="n">
        <v>2723</v>
      </c>
      <c r="W131" t="n">
        <v>1520</v>
      </c>
      <c r="X131" t="n">
        <v>1390</v>
      </c>
      <c r="Y131" t="n">
        <v>7100</v>
      </c>
    </row>
    <row r="132">
      <c r="A132" t="n">
        <v>131</v>
      </c>
      <c r="B132" t="n">
        <v>0</v>
      </c>
      <c r="C132" t="n">
        <v>7126</v>
      </c>
      <c r="D132" t="n">
        <v>13409</v>
      </c>
      <c r="E132" t="n">
        <v>47309</v>
      </c>
      <c r="F132" t="n">
        <v>165770</v>
      </c>
      <c r="G132" t="n">
        <v>573426</v>
      </c>
      <c r="H132" t="n">
        <v>1964935</v>
      </c>
      <c r="I132" t="n">
        <v>6648999</v>
      </c>
      <c r="J132" t="n">
        <v>2000</v>
      </c>
      <c r="K132" t="n">
        <v>9884</v>
      </c>
      <c r="L132" t="n">
        <v>2310</v>
      </c>
      <c r="M132" t="n">
        <v>1031</v>
      </c>
      <c r="N132" t="n">
        <v>1655</v>
      </c>
      <c r="O132" t="n">
        <v>2310</v>
      </c>
      <c r="P132" t="n">
        <v>2965</v>
      </c>
      <c r="Q132" t="n">
        <v>3620</v>
      </c>
      <c r="R132" t="n">
        <v>4275</v>
      </c>
      <c r="S132" t="n">
        <v>4930</v>
      </c>
      <c r="T132" t="n">
        <v>5585</v>
      </c>
      <c r="U132" t="n">
        <v>6240</v>
      </c>
      <c r="V132" t="n">
        <v>2741</v>
      </c>
      <c r="W132" t="n">
        <v>1524</v>
      </c>
      <c r="X132" t="n">
        <v>1393</v>
      </c>
      <c r="Y132" t="n">
        <v>7110</v>
      </c>
    </row>
    <row r="133">
      <c r="A133" t="n">
        <v>132</v>
      </c>
      <c r="B133" t="n">
        <v>0</v>
      </c>
      <c r="C133" t="n">
        <v>7233</v>
      </c>
      <c r="D133" t="n">
        <v>13678</v>
      </c>
      <c r="E133" t="n">
        <v>48729</v>
      </c>
      <c r="F133" t="n">
        <v>172401</v>
      </c>
      <c r="G133" t="n">
        <v>602098</v>
      </c>
      <c r="H133" t="n">
        <v>2082832</v>
      </c>
      <c r="I133" t="n">
        <v>7114429</v>
      </c>
      <c r="J133" t="n">
        <v>2000</v>
      </c>
      <c r="K133" t="n">
        <v>9983</v>
      </c>
      <c r="L133" t="n">
        <v>2320</v>
      </c>
      <c r="M133" t="n">
        <v>1032</v>
      </c>
      <c r="N133" t="n">
        <v>1660</v>
      </c>
      <c r="O133" t="n">
        <v>2320</v>
      </c>
      <c r="P133" t="n">
        <v>2980</v>
      </c>
      <c r="Q133" t="n">
        <v>3640</v>
      </c>
      <c r="R133" t="n">
        <v>4300</v>
      </c>
      <c r="S133" t="n">
        <v>4960</v>
      </c>
      <c r="T133" t="n">
        <v>5620</v>
      </c>
      <c r="U133" t="n">
        <v>6280</v>
      </c>
      <c r="V133" t="n">
        <v>2759</v>
      </c>
      <c r="W133" t="n">
        <v>1528</v>
      </c>
      <c r="X133" t="n">
        <v>1396</v>
      </c>
      <c r="Y133" t="n">
        <v>7120</v>
      </c>
    </row>
    <row r="134">
      <c r="A134" t="n">
        <v>133</v>
      </c>
      <c r="B134" t="n">
        <v>0</v>
      </c>
      <c r="C134" t="n">
        <v>7342</v>
      </c>
      <c r="D134" t="n">
        <v>13952</v>
      </c>
      <c r="E134" t="n">
        <v>50191</v>
      </c>
      <c r="F134" t="n">
        <v>179298</v>
      </c>
      <c r="G134" t="n">
        <v>632203</v>
      </c>
      <c r="H134" t="n">
        <v>2207802</v>
      </c>
      <c r="I134" t="n">
        <v>7612440</v>
      </c>
      <c r="J134" t="n">
        <v>2000</v>
      </c>
      <c r="K134" t="n">
        <v>10083</v>
      </c>
      <c r="L134" t="n">
        <v>2330</v>
      </c>
      <c r="M134" t="n">
        <v>1033</v>
      </c>
      <c r="N134" t="n">
        <v>1665</v>
      </c>
      <c r="O134" t="n">
        <v>2330</v>
      </c>
      <c r="P134" t="n">
        <v>2995</v>
      </c>
      <c r="Q134" t="n">
        <v>3660</v>
      </c>
      <c r="R134" t="n">
        <v>4325</v>
      </c>
      <c r="S134" t="n">
        <v>4990</v>
      </c>
      <c r="T134" t="n">
        <v>5655</v>
      </c>
      <c r="U134" t="n">
        <v>6320</v>
      </c>
      <c r="V134" t="n">
        <v>2777</v>
      </c>
      <c r="W134" t="n">
        <v>1532</v>
      </c>
      <c r="X134" t="n">
        <v>1399</v>
      </c>
      <c r="Y134" t="n">
        <v>7130</v>
      </c>
    </row>
    <row r="135">
      <c r="A135" t="n">
        <v>134</v>
      </c>
      <c r="B135" t="n">
        <v>0</v>
      </c>
      <c r="C135" t="n">
        <v>7453</v>
      </c>
      <c r="D135" t="n">
        <v>14232</v>
      </c>
      <c r="E135" t="n">
        <v>51697</v>
      </c>
      <c r="F135" t="n">
        <v>186470</v>
      </c>
      <c r="G135" t="n">
        <v>663814</v>
      </c>
      <c r="H135" t="n">
        <v>2340271</v>
      </c>
      <c r="I135" t="n">
        <v>8145311</v>
      </c>
      <c r="J135" t="n">
        <v>2000</v>
      </c>
      <c r="K135" t="n">
        <v>10184</v>
      </c>
      <c r="L135" t="n">
        <v>2340</v>
      </c>
      <c r="M135" t="n">
        <v>1034</v>
      </c>
      <c r="N135" t="n">
        <v>1670</v>
      </c>
      <c r="O135" t="n">
        <v>2340</v>
      </c>
      <c r="P135" t="n">
        <v>3010</v>
      </c>
      <c r="Q135" t="n">
        <v>3680</v>
      </c>
      <c r="R135" t="n">
        <v>4350</v>
      </c>
      <c r="S135" t="n">
        <v>5020</v>
      </c>
      <c r="T135" t="n">
        <v>5690</v>
      </c>
      <c r="U135" t="n">
        <v>6360</v>
      </c>
      <c r="V135" t="n">
        <v>2795</v>
      </c>
      <c r="W135" t="n">
        <v>1536</v>
      </c>
      <c r="X135" t="n">
        <v>1402</v>
      </c>
      <c r="Y135" t="n">
        <v>7140</v>
      </c>
    </row>
    <row r="136">
      <c r="A136" t="n">
        <v>135</v>
      </c>
      <c r="B136" t="n">
        <v>0</v>
      </c>
      <c r="C136" t="n">
        <v>7565</v>
      </c>
      <c r="D136" t="n">
        <v>14517</v>
      </c>
      <c r="E136" t="n">
        <v>53248</v>
      </c>
      <c r="F136" t="n">
        <v>193929</v>
      </c>
      <c r="G136" t="n">
        <v>697005</v>
      </c>
      <c r="H136" t="n">
        <v>2480688</v>
      </c>
      <c r="I136" t="n">
        <v>8715483</v>
      </c>
      <c r="J136" t="n">
        <v>2000</v>
      </c>
      <c r="K136" t="n">
        <v>10286</v>
      </c>
      <c r="L136" t="n">
        <v>2350</v>
      </c>
      <c r="M136" t="n">
        <v>1035</v>
      </c>
      <c r="N136" t="n">
        <v>1675</v>
      </c>
      <c r="O136" t="n">
        <v>2350</v>
      </c>
      <c r="P136" t="n">
        <v>3025</v>
      </c>
      <c r="Q136" t="n">
        <v>3700</v>
      </c>
      <c r="R136" t="n">
        <v>4375</v>
      </c>
      <c r="S136" t="n">
        <v>5050</v>
      </c>
      <c r="T136" t="n">
        <v>5725</v>
      </c>
      <c r="U136" t="n">
        <v>6400</v>
      </c>
      <c r="V136" t="n">
        <v>2813</v>
      </c>
      <c r="W136" t="n">
        <v>1540</v>
      </c>
      <c r="X136" t="n">
        <v>1405</v>
      </c>
      <c r="Y136" t="n">
        <v>7150</v>
      </c>
    </row>
    <row r="137">
      <c r="A137" t="n">
        <v>136</v>
      </c>
      <c r="B137" t="n">
        <v>0</v>
      </c>
      <c r="C137" t="n">
        <v>7679</v>
      </c>
      <c r="D137" t="n">
        <v>14808</v>
      </c>
      <c r="E137" t="n">
        <v>54846</v>
      </c>
      <c r="F137" t="n">
        <v>201687</v>
      </c>
      <c r="G137" t="n">
        <v>731856</v>
      </c>
      <c r="H137" t="n">
        <v>2629530</v>
      </c>
      <c r="I137" t="n">
        <v>9325567</v>
      </c>
      <c r="J137" t="n">
        <v>2000</v>
      </c>
      <c r="K137" t="n">
        <v>10389</v>
      </c>
      <c r="L137" t="n">
        <v>2360</v>
      </c>
      <c r="M137" t="n">
        <v>1036</v>
      </c>
      <c r="N137" t="n">
        <v>1680</v>
      </c>
      <c r="O137" t="n">
        <v>2360</v>
      </c>
      <c r="P137" t="n">
        <v>3040</v>
      </c>
      <c r="Q137" t="n">
        <v>3720</v>
      </c>
      <c r="R137" t="n">
        <v>4400</v>
      </c>
      <c r="S137" t="n">
        <v>5080</v>
      </c>
      <c r="T137" t="n">
        <v>5760</v>
      </c>
      <c r="U137" t="n">
        <v>6440</v>
      </c>
      <c r="V137" t="n">
        <v>2832</v>
      </c>
      <c r="W137" t="n">
        <v>1544</v>
      </c>
      <c r="X137" t="n">
        <v>1408</v>
      </c>
      <c r="Y137" t="n">
        <v>7160</v>
      </c>
    </row>
    <row r="138">
      <c r="A138" t="n">
        <v>137</v>
      </c>
      <c r="B138" t="n">
        <v>0</v>
      </c>
      <c r="C138" t="n">
        <v>7795</v>
      </c>
      <c r="D138" t="n">
        <v>15105</v>
      </c>
      <c r="E138" t="n">
        <v>56492</v>
      </c>
      <c r="F138" t="n">
        <v>209755</v>
      </c>
      <c r="G138" t="n">
        <v>768449</v>
      </c>
      <c r="H138" t="n">
        <v>2787302</v>
      </c>
      <c r="I138" t="n">
        <v>9978357</v>
      </c>
      <c r="J138" t="n">
        <v>2000</v>
      </c>
      <c r="K138" t="n">
        <v>10493</v>
      </c>
      <c r="L138" t="n">
        <v>2370</v>
      </c>
      <c r="M138" t="n">
        <v>1037</v>
      </c>
      <c r="N138" t="n">
        <v>1685</v>
      </c>
      <c r="O138" t="n">
        <v>2370</v>
      </c>
      <c r="P138" t="n">
        <v>3055</v>
      </c>
      <c r="Q138" t="n">
        <v>3740</v>
      </c>
      <c r="R138" t="n">
        <v>4425</v>
      </c>
      <c r="S138" t="n">
        <v>5110</v>
      </c>
      <c r="T138" t="n">
        <v>5795</v>
      </c>
      <c r="U138" t="n">
        <v>6480</v>
      </c>
      <c r="V138" t="n">
        <v>2851</v>
      </c>
      <c r="W138" t="n">
        <v>1548</v>
      </c>
      <c r="X138" t="n">
        <v>1411</v>
      </c>
      <c r="Y138" t="n">
        <v>7170</v>
      </c>
    </row>
    <row r="139">
      <c r="A139" t="n">
        <v>138</v>
      </c>
      <c r="B139" t="n">
        <v>0</v>
      </c>
      <c r="C139" t="n">
        <v>7912</v>
      </c>
      <c r="D139" t="n">
        <v>15408</v>
      </c>
      <c r="E139" t="n">
        <v>58187</v>
      </c>
      <c r="F139" t="n">
        <v>218146</v>
      </c>
      <c r="G139" t="n">
        <v>806872</v>
      </c>
      <c r="H139" t="n">
        <v>2954541</v>
      </c>
      <c r="I139" t="n">
        <v>10676842</v>
      </c>
      <c r="J139" t="n">
        <v>2000</v>
      </c>
      <c r="K139" t="n">
        <v>10598</v>
      </c>
      <c r="L139" t="n">
        <v>2380</v>
      </c>
      <c r="M139" t="n">
        <v>1038</v>
      </c>
      <c r="N139" t="n">
        <v>1690</v>
      </c>
      <c r="O139" t="n">
        <v>2380</v>
      </c>
      <c r="P139" t="n">
        <v>3070</v>
      </c>
      <c r="Q139" t="n">
        <v>3760</v>
      </c>
      <c r="R139" t="n">
        <v>4450</v>
      </c>
      <c r="S139" t="n">
        <v>5140</v>
      </c>
      <c r="T139" t="n">
        <v>5830</v>
      </c>
      <c r="U139" t="n">
        <v>6520</v>
      </c>
      <c r="V139" t="n">
        <v>2870</v>
      </c>
      <c r="W139" t="n">
        <v>1552</v>
      </c>
      <c r="X139" t="n">
        <v>1414</v>
      </c>
      <c r="Y139" t="n">
        <v>7180</v>
      </c>
    </row>
    <row r="140">
      <c r="A140" t="n">
        <v>139</v>
      </c>
      <c r="B140" t="n">
        <v>0</v>
      </c>
      <c r="C140" t="n">
        <v>8031</v>
      </c>
      <c r="D140" t="n">
        <v>15717</v>
      </c>
      <c r="E140" t="n">
        <v>59933</v>
      </c>
      <c r="F140" t="n">
        <v>226872</v>
      </c>
      <c r="G140" t="n">
        <v>847216</v>
      </c>
      <c r="H140" t="n">
        <v>3131814</v>
      </c>
      <c r="I140" t="n">
        <v>11424221</v>
      </c>
      <c r="J140" t="n">
        <v>2000</v>
      </c>
      <c r="K140" t="n">
        <v>10704</v>
      </c>
      <c r="L140" t="n">
        <v>2390</v>
      </c>
      <c r="M140" t="n">
        <v>1039</v>
      </c>
      <c r="N140" t="n">
        <v>1695</v>
      </c>
      <c r="O140" t="n">
        <v>2390</v>
      </c>
      <c r="P140" t="n">
        <v>3085</v>
      </c>
      <c r="Q140" t="n">
        <v>3780</v>
      </c>
      <c r="R140" t="n">
        <v>4475</v>
      </c>
      <c r="S140" t="n">
        <v>5170</v>
      </c>
      <c r="T140" t="n">
        <v>5865</v>
      </c>
      <c r="U140" t="n">
        <v>6560</v>
      </c>
      <c r="V140" t="n">
        <v>2889</v>
      </c>
      <c r="W140" t="n">
        <v>1556</v>
      </c>
      <c r="X140" t="n">
        <v>1417</v>
      </c>
      <c r="Y140" t="n">
        <v>7190</v>
      </c>
    </row>
    <row r="141">
      <c r="A141" t="n">
        <v>140</v>
      </c>
      <c r="B141" t="n">
        <v>0</v>
      </c>
      <c r="C141" t="n">
        <v>8152</v>
      </c>
      <c r="D141" t="n">
        <v>16032</v>
      </c>
      <c r="E141" t="n">
        <v>61731</v>
      </c>
      <c r="F141" t="n">
        <v>235947</v>
      </c>
      <c r="G141" t="n">
        <v>889577</v>
      </c>
      <c r="H141" t="n">
        <v>3319723</v>
      </c>
      <c r="I141" t="n">
        <v>12223917</v>
      </c>
      <c r="J141" t="n">
        <v>2000</v>
      </c>
      <c r="K141" t="n">
        <v>10812</v>
      </c>
      <c r="L141" t="n">
        <v>2400</v>
      </c>
      <c r="M141" t="n">
        <v>1040</v>
      </c>
      <c r="N141" t="n">
        <v>1700</v>
      </c>
      <c r="O141" t="n">
        <v>2400</v>
      </c>
      <c r="P141" t="n">
        <v>3100</v>
      </c>
      <c r="Q141" t="n">
        <v>3800</v>
      </c>
      <c r="R141" t="n">
        <v>4500</v>
      </c>
      <c r="S141" t="n">
        <v>5200</v>
      </c>
      <c r="T141" t="n">
        <v>5900</v>
      </c>
      <c r="U141" t="n">
        <v>6600</v>
      </c>
      <c r="V141" t="n">
        <v>2908</v>
      </c>
      <c r="W141" t="n">
        <v>1560</v>
      </c>
      <c r="X141" t="n">
        <v>1420</v>
      </c>
      <c r="Y141" t="n">
        <v>7200</v>
      </c>
    </row>
    <row r="142">
      <c r="A142" t="n">
        <v>141</v>
      </c>
      <c r="B142" t="n">
        <v>0</v>
      </c>
      <c r="C142" t="n">
        <v>8275</v>
      </c>
      <c r="D142" t="n">
        <v>16353</v>
      </c>
      <c r="E142" t="n">
        <v>63583</v>
      </c>
      <c r="F142" t="n">
        <v>245385</v>
      </c>
      <c r="G142" t="n">
        <v>934056</v>
      </c>
      <c r="H142" t="n">
        <v>3518907</v>
      </c>
      <c r="I142" t="n">
        <v>13079592</v>
      </c>
      <c r="J142" t="n">
        <v>2000</v>
      </c>
      <c r="K142" t="n">
        <v>10921</v>
      </c>
      <c r="L142" t="n">
        <v>2410</v>
      </c>
      <c r="M142" t="n">
        <v>1041</v>
      </c>
      <c r="N142" t="n">
        <v>1705</v>
      </c>
      <c r="O142" t="n">
        <v>2410</v>
      </c>
      <c r="P142" t="n">
        <v>3115</v>
      </c>
      <c r="Q142" t="n">
        <v>3820</v>
      </c>
      <c r="R142" t="n">
        <v>4525</v>
      </c>
      <c r="S142" t="n">
        <v>5230</v>
      </c>
      <c r="T142" t="n">
        <v>5935</v>
      </c>
      <c r="U142" t="n">
        <v>6640</v>
      </c>
      <c r="V142" t="n">
        <v>2927</v>
      </c>
      <c r="W142" t="n">
        <v>1564</v>
      </c>
      <c r="X142" t="n">
        <v>1423</v>
      </c>
      <c r="Y142" t="n">
        <v>7210</v>
      </c>
    </row>
    <row r="143">
      <c r="A143" t="n">
        <v>142</v>
      </c>
      <c r="B143" t="n">
        <v>0</v>
      </c>
      <c r="C143" t="n">
        <v>8400</v>
      </c>
      <c r="D143" t="n">
        <v>16681</v>
      </c>
      <c r="E143" t="n">
        <v>65491</v>
      </c>
      <c r="F143" t="n">
        <v>255201</v>
      </c>
      <c r="G143" t="n">
        <v>980759</v>
      </c>
      <c r="H143" t="n">
        <v>3730042</v>
      </c>
      <c r="I143" t="n">
        <v>13995164</v>
      </c>
      <c r="J143" t="n">
        <v>2000</v>
      </c>
      <c r="K143" t="n">
        <v>11031</v>
      </c>
      <c r="L143" t="n">
        <v>2420</v>
      </c>
      <c r="M143" t="n">
        <v>1042</v>
      </c>
      <c r="N143" t="n">
        <v>1710</v>
      </c>
      <c r="O143" t="n">
        <v>2420</v>
      </c>
      <c r="P143" t="n">
        <v>3130</v>
      </c>
      <c r="Q143" t="n">
        <v>3840</v>
      </c>
      <c r="R143" t="n">
        <v>4550</v>
      </c>
      <c r="S143" t="n">
        <v>5260</v>
      </c>
      <c r="T143" t="n">
        <v>5970</v>
      </c>
      <c r="U143" t="n">
        <v>6680</v>
      </c>
      <c r="V143" t="n">
        <v>2946</v>
      </c>
      <c r="W143" t="n">
        <v>1568</v>
      </c>
      <c r="X143" t="n">
        <v>1426</v>
      </c>
      <c r="Y143" t="n">
        <v>7220</v>
      </c>
    </row>
    <row r="144">
      <c r="A144" t="n">
        <v>143</v>
      </c>
      <c r="B144" t="n">
        <v>0</v>
      </c>
      <c r="C144" t="n">
        <v>8526</v>
      </c>
      <c r="D144" t="n">
        <v>17015</v>
      </c>
      <c r="E144" t="n">
        <v>67456</v>
      </c>
      <c r="F144" t="n">
        <v>265410</v>
      </c>
      <c r="G144" t="n">
        <v>1029797</v>
      </c>
      <c r="H144" t="n">
        <v>3953845</v>
      </c>
      <c r="I144" t="n">
        <v>14974826</v>
      </c>
      <c r="J144" t="n">
        <v>2000</v>
      </c>
      <c r="K144" t="n">
        <v>11142</v>
      </c>
      <c r="L144" t="n">
        <v>2430</v>
      </c>
      <c r="M144" t="n">
        <v>1043</v>
      </c>
      <c r="N144" t="n">
        <v>1715</v>
      </c>
      <c r="O144" t="n">
        <v>2430</v>
      </c>
      <c r="P144" t="n">
        <v>3145</v>
      </c>
      <c r="Q144" t="n">
        <v>3860</v>
      </c>
      <c r="R144" t="n">
        <v>4575</v>
      </c>
      <c r="S144" t="n">
        <v>5290</v>
      </c>
      <c r="T144" t="n">
        <v>6005</v>
      </c>
      <c r="U144" t="n">
        <v>6720</v>
      </c>
      <c r="V144" t="n">
        <v>2965</v>
      </c>
      <c r="W144" t="n">
        <v>1572</v>
      </c>
      <c r="X144" t="n">
        <v>1429</v>
      </c>
      <c r="Y144" t="n">
        <v>7230</v>
      </c>
    </row>
    <row r="145">
      <c r="A145" t="n">
        <v>144</v>
      </c>
      <c r="B145" t="n">
        <v>0</v>
      </c>
      <c r="C145" t="n">
        <v>8654</v>
      </c>
      <c r="D145" t="n">
        <v>17356</v>
      </c>
      <c r="E145" t="n">
        <v>69480</v>
      </c>
      <c r="F145" t="n">
        <v>276027</v>
      </c>
      <c r="G145" t="n">
        <v>1081287</v>
      </c>
      <c r="H145" t="n">
        <v>4191076</v>
      </c>
      <c r="I145" t="n">
        <v>16023064</v>
      </c>
      <c r="J145" t="n">
        <v>2000</v>
      </c>
      <c r="K145" t="n">
        <v>11254</v>
      </c>
      <c r="L145" t="n">
        <v>2440</v>
      </c>
      <c r="M145" t="n">
        <v>1044</v>
      </c>
      <c r="N145" t="n">
        <v>1720</v>
      </c>
      <c r="O145" t="n">
        <v>2440</v>
      </c>
      <c r="P145" t="n">
        <v>3160</v>
      </c>
      <c r="Q145" t="n">
        <v>3880</v>
      </c>
      <c r="R145" t="n">
        <v>4600</v>
      </c>
      <c r="S145" t="n">
        <v>5320</v>
      </c>
      <c r="T145" t="n">
        <v>6040</v>
      </c>
      <c r="U145" t="n">
        <v>6760</v>
      </c>
      <c r="V145" t="n">
        <v>2984</v>
      </c>
      <c r="W145" t="n">
        <v>1576</v>
      </c>
      <c r="X145" t="n">
        <v>1432</v>
      </c>
      <c r="Y145" t="n">
        <v>7240</v>
      </c>
    </row>
    <row r="146">
      <c r="A146" t="n">
        <v>145</v>
      </c>
      <c r="B146" t="n">
        <v>0</v>
      </c>
      <c r="C146" t="n">
        <v>8784</v>
      </c>
      <c r="D146" t="n">
        <v>17704</v>
      </c>
      <c r="E146" t="n">
        <v>71565</v>
      </c>
      <c r="F146" t="n">
        <v>287069</v>
      </c>
      <c r="G146" t="n">
        <v>1135352</v>
      </c>
      <c r="H146" t="n">
        <v>4442541</v>
      </c>
      <c r="I146" t="n">
        <v>17144679</v>
      </c>
      <c r="J146" t="n">
        <v>2000</v>
      </c>
      <c r="K146" t="n">
        <v>11367</v>
      </c>
      <c r="L146" t="n">
        <v>2450</v>
      </c>
      <c r="M146" t="n">
        <v>1045</v>
      </c>
      <c r="N146" t="n">
        <v>1725</v>
      </c>
      <c r="O146" t="n">
        <v>2450</v>
      </c>
      <c r="P146" t="n">
        <v>3175</v>
      </c>
      <c r="Q146" t="n">
        <v>3900</v>
      </c>
      <c r="R146" t="n">
        <v>4625</v>
      </c>
      <c r="S146" t="n">
        <v>5350</v>
      </c>
      <c r="T146" t="n">
        <v>6075</v>
      </c>
      <c r="U146" t="n">
        <v>6800</v>
      </c>
      <c r="V146" t="n">
        <v>3003</v>
      </c>
      <c r="W146" t="n">
        <v>1580</v>
      </c>
      <c r="X146" t="n">
        <v>1435</v>
      </c>
      <c r="Y146" t="n">
        <v>7250</v>
      </c>
    </row>
    <row r="147">
      <c r="A147" t="n">
        <v>146</v>
      </c>
      <c r="B147" t="n">
        <v>0</v>
      </c>
      <c r="C147" t="n">
        <v>8916</v>
      </c>
      <c r="D147" t="n">
        <v>18059</v>
      </c>
      <c r="E147" t="n">
        <v>73712</v>
      </c>
      <c r="F147" t="n">
        <v>298552</v>
      </c>
      <c r="G147" t="n">
        <v>1192120</v>
      </c>
      <c r="H147" t="n">
        <v>4709094</v>
      </c>
      <c r="I147" t="n">
        <v>18344807</v>
      </c>
      <c r="J147" t="n">
        <v>2000</v>
      </c>
      <c r="K147" t="n">
        <v>11481</v>
      </c>
      <c r="L147" t="n">
        <v>2460</v>
      </c>
      <c r="M147" t="n">
        <v>1046</v>
      </c>
      <c r="N147" t="n">
        <v>1730</v>
      </c>
      <c r="O147" t="n">
        <v>2460</v>
      </c>
      <c r="P147" t="n">
        <v>3190</v>
      </c>
      <c r="Q147" t="n">
        <v>3920</v>
      </c>
      <c r="R147" t="n">
        <v>4650</v>
      </c>
      <c r="S147" t="n">
        <v>5380</v>
      </c>
      <c r="T147" t="n">
        <v>6110</v>
      </c>
      <c r="U147" t="n">
        <v>6840</v>
      </c>
      <c r="V147" t="n">
        <v>3023</v>
      </c>
      <c r="W147" t="n">
        <v>1584</v>
      </c>
      <c r="X147" t="n">
        <v>1438</v>
      </c>
      <c r="Y147" t="n">
        <v>7260</v>
      </c>
    </row>
    <row r="148">
      <c r="A148" t="n">
        <v>147</v>
      </c>
      <c r="B148" t="n">
        <v>0</v>
      </c>
      <c r="C148" t="n">
        <v>9050</v>
      </c>
      <c r="D148" t="n">
        <v>18421</v>
      </c>
      <c r="E148" t="n">
        <v>75924</v>
      </c>
      <c r="F148" t="n">
        <v>310495</v>
      </c>
      <c r="G148" t="n">
        <v>1251726</v>
      </c>
      <c r="H148" t="n">
        <v>4991640</v>
      </c>
      <c r="I148" t="n">
        <v>19628944</v>
      </c>
      <c r="J148" t="n">
        <v>2000</v>
      </c>
      <c r="K148" t="n">
        <v>11596</v>
      </c>
      <c r="L148" t="n">
        <v>2470</v>
      </c>
      <c r="M148" t="n">
        <v>1047</v>
      </c>
      <c r="N148" t="n">
        <v>1735</v>
      </c>
      <c r="O148" t="n">
        <v>2470</v>
      </c>
      <c r="P148" t="n">
        <v>3205</v>
      </c>
      <c r="Q148" t="n">
        <v>3940</v>
      </c>
      <c r="R148" t="n">
        <v>4675</v>
      </c>
      <c r="S148" t="n">
        <v>5410</v>
      </c>
      <c r="T148" t="n">
        <v>6145</v>
      </c>
      <c r="U148" t="n">
        <v>6880</v>
      </c>
      <c r="V148" t="n">
        <v>3043</v>
      </c>
      <c r="W148" t="n">
        <v>1588</v>
      </c>
      <c r="X148" t="n">
        <v>1441</v>
      </c>
      <c r="Y148" t="n">
        <v>7270</v>
      </c>
    </row>
    <row r="149">
      <c r="A149" t="n">
        <v>148</v>
      </c>
      <c r="B149" t="n">
        <v>0</v>
      </c>
      <c r="C149" t="n">
        <v>9186</v>
      </c>
      <c r="D149" t="n">
        <v>18790</v>
      </c>
      <c r="E149" t="n">
        <v>78202</v>
      </c>
      <c r="F149" t="n">
        <v>322915</v>
      </c>
      <c r="G149" t="n">
        <v>1314313</v>
      </c>
      <c r="H149" t="n">
        <v>5291139</v>
      </c>
      <c r="I149" t="n">
        <v>21002971</v>
      </c>
      <c r="J149" t="n">
        <v>2000</v>
      </c>
      <c r="K149" t="n">
        <v>11712</v>
      </c>
      <c r="L149" t="n">
        <v>2480</v>
      </c>
      <c r="M149" t="n">
        <v>1048</v>
      </c>
      <c r="N149" t="n">
        <v>1740</v>
      </c>
      <c r="O149" t="n">
        <v>2480</v>
      </c>
      <c r="P149" t="n">
        <v>3220</v>
      </c>
      <c r="Q149" t="n">
        <v>3960</v>
      </c>
      <c r="R149" t="n">
        <v>4700</v>
      </c>
      <c r="S149" t="n">
        <v>5440</v>
      </c>
      <c r="T149" t="n">
        <v>6180</v>
      </c>
      <c r="U149" t="n">
        <v>6920</v>
      </c>
      <c r="V149" t="n">
        <v>3063</v>
      </c>
      <c r="W149" t="n">
        <v>1592</v>
      </c>
      <c r="X149" t="n">
        <v>1444</v>
      </c>
      <c r="Y149" t="n">
        <v>7280</v>
      </c>
    </row>
    <row r="150">
      <c r="A150" t="n">
        <v>149</v>
      </c>
      <c r="B150" t="n">
        <v>0</v>
      </c>
      <c r="C150" t="n">
        <v>9324</v>
      </c>
      <c r="D150" t="n">
        <v>19166</v>
      </c>
      <c r="E150" t="n">
        <v>80549</v>
      </c>
      <c r="F150" t="n">
        <v>335832</v>
      </c>
      <c r="G150" t="n">
        <v>1380029</v>
      </c>
      <c r="H150" t="n">
        <v>5608608</v>
      </c>
      <c r="I150" t="n">
        <v>22473179</v>
      </c>
      <c r="J150" t="n">
        <v>2000</v>
      </c>
      <c r="K150" t="n">
        <v>11830</v>
      </c>
      <c r="L150" t="n">
        <v>2490</v>
      </c>
      <c r="M150" t="n">
        <v>1049</v>
      </c>
      <c r="N150" t="n">
        <v>1745</v>
      </c>
      <c r="O150" t="n">
        <v>2490</v>
      </c>
      <c r="P150" t="n">
        <v>3235</v>
      </c>
      <c r="Q150" t="n">
        <v>3980</v>
      </c>
      <c r="R150" t="n">
        <v>4725</v>
      </c>
      <c r="S150" t="n">
        <v>5470</v>
      </c>
      <c r="T150" t="n">
        <v>6215</v>
      </c>
      <c r="U150" t="n">
        <v>6960</v>
      </c>
      <c r="V150" t="n">
        <v>3083</v>
      </c>
      <c r="W150" t="n">
        <v>1596</v>
      </c>
      <c r="X150" t="n">
        <v>1447</v>
      </c>
      <c r="Y150" t="n">
        <v>7290</v>
      </c>
    </row>
    <row r="151">
      <c r="A151" t="n">
        <v>150</v>
      </c>
      <c r="B151" t="n">
        <v>0</v>
      </c>
      <c r="C151" t="n">
        <v>9464</v>
      </c>
      <c r="D151" t="n">
        <v>19550</v>
      </c>
      <c r="E151" t="n">
        <v>82966</v>
      </c>
      <c r="F151" t="n">
        <v>349266</v>
      </c>
      <c r="G151" t="n">
        <v>1449031</v>
      </c>
      <c r="H151" t="n">
        <v>5945125</v>
      </c>
      <c r="I151" t="n">
        <v>24046302</v>
      </c>
      <c r="J151" t="n">
        <v>2000</v>
      </c>
      <c r="K151" t="n">
        <v>11949</v>
      </c>
      <c r="L151" t="n">
        <v>2500</v>
      </c>
      <c r="M151" t="n">
        <v>1050</v>
      </c>
      <c r="N151" t="n">
        <v>1750</v>
      </c>
      <c r="O151" t="n">
        <v>2500</v>
      </c>
      <c r="P151" t="n">
        <v>3250</v>
      </c>
      <c r="Q151" t="n">
        <v>4000</v>
      </c>
      <c r="R151" t="n">
        <v>4750</v>
      </c>
      <c r="S151" t="n">
        <v>5500</v>
      </c>
      <c r="T151" t="n">
        <v>6250</v>
      </c>
      <c r="U151" t="n">
        <v>7000</v>
      </c>
      <c r="V151" t="n">
        <v>3103</v>
      </c>
      <c r="W151" t="n">
        <v>1600</v>
      </c>
      <c r="X151" t="n">
        <v>1450</v>
      </c>
      <c r="Y151" t="n">
        <v>7300</v>
      </c>
    </row>
    <row r="152">
      <c r="A152" t="n">
        <v>151</v>
      </c>
      <c r="B152" t="n">
        <v>0</v>
      </c>
      <c r="C152" t="n">
        <v>9606</v>
      </c>
      <c r="D152" t="n">
        <v>19941</v>
      </c>
      <c r="E152" t="n">
        <v>85455</v>
      </c>
      <c r="F152" t="n">
        <v>363237</v>
      </c>
      <c r="G152" t="n">
        <v>1521483</v>
      </c>
      <c r="H152" t="n">
        <v>6301833</v>
      </c>
      <c r="I152" t="n">
        <v>25729544</v>
      </c>
      <c r="J152" t="n">
        <v>2000</v>
      </c>
      <c r="K152" t="n">
        <v>12069</v>
      </c>
      <c r="L152" t="n">
        <v>2500</v>
      </c>
      <c r="M152" t="n">
        <v>1051</v>
      </c>
      <c r="N152" t="n">
        <v>1755</v>
      </c>
      <c r="O152" t="n">
        <v>2510</v>
      </c>
      <c r="P152" t="n">
        <v>3265</v>
      </c>
      <c r="Q152" t="n">
        <v>4020</v>
      </c>
      <c r="R152" t="n">
        <v>4775</v>
      </c>
      <c r="S152" t="n">
        <v>5530</v>
      </c>
      <c r="T152" t="n">
        <v>6285</v>
      </c>
      <c r="U152" t="n">
        <v>7040</v>
      </c>
      <c r="V152" t="n">
        <v>3123</v>
      </c>
      <c r="W152" t="n">
        <v>1604</v>
      </c>
      <c r="X152" t="n">
        <v>1453</v>
      </c>
      <c r="Y152" t="n">
        <v>7310</v>
      </c>
    </row>
    <row r="153">
      <c r="A153" t="n">
        <v>152</v>
      </c>
      <c r="B153" t="n">
        <v>0</v>
      </c>
      <c r="C153" t="n">
        <v>9751</v>
      </c>
      <c r="D153" t="n">
        <v>20340</v>
      </c>
      <c r="E153" t="n">
        <v>88019</v>
      </c>
      <c r="F153" t="n">
        <v>377767</v>
      </c>
      <c r="G153" t="n">
        <v>1597558</v>
      </c>
      <c r="H153" t="n">
        <v>6679943</v>
      </c>
      <c r="I153" t="n">
        <v>27530613</v>
      </c>
      <c r="J153" t="n">
        <v>2000</v>
      </c>
      <c r="K153" t="n">
        <v>12190</v>
      </c>
      <c r="L153" t="n">
        <v>2500</v>
      </c>
      <c r="M153" t="n">
        <v>1052</v>
      </c>
      <c r="N153" t="n">
        <v>1760</v>
      </c>
      <c r="O153" t="n">
        <v>2520</v>
      </c>
      <c r="P153" t="n">
        <v>3280</v>
      </c>
      <c r="Q153" t="n">
        <v>4040</v>
      </c>
      <c r="R153" t="n">
        <v>4800</v>
      </c>
      <c r="S153" t="n">
        <v>5560</v>
      </c>
      <c r="T153" t="n">
        <v>6320</v>
      </c>
      <c r="U153" t="n">
        <v>7080</v>
      </c>
      <c r="V153" t="n">
        <v>3143</v>
      </c>
      <c r="W153" t="n">
        <v>1608</v>
      </c>
      <c r="X153" t="n">
        <v>1456</v>
      </c>
      <c r="Y153" t="n">
        <v>7320</v>
      </c>
    </row>
    <row r="154">
      <c r="A154" t="n">
        <v>153</v>
      </c>
      <c r="B154" t="n">
        <v>0</v>
      </c>
      <c r="C154" t="n">
        <v>9898</v>
      </c>
      <c r="D154" t="n">
        <v>20747</v>
      </c>
      <c r="E154" t="n">
        <v>90660</v>
      </c>
      <c r="F154" t="n">
        <v>392878</v>
      </c>
      <c r="G154" t="n">
        <v>1677436</v>
      </c>
      <c r="H154" t="n">
        <v>7080740</v>
      </c>
      <c r="I154" t="n">
        <v>29457756</v>
      </c>
      <c r="J154" t="n">
        <v>2000</v>
      </c>
      <c r="K154" t="n">
        <v>12312</v>
      </c>
      <c r="L154" t="n">
        <v>2500</v>
      </c>
      <c r="M154" t="n">
        <v>1053</v>
      </c>
      <c r="N154" t="n">
        <v>1765</v>
      </c>
      <c r="O154" t="n">
        <v>2530</v>
      </c>
      <c r="P154" t="n">
        <v>3295</v>
      </c>
      <c r="Q154" t="n">
        <v>4060</v>
      </c>
      <c r="R154" t="n">
        <v>4825</v>
      </c>
      <c r="S154" t="n">
        <v>5590</v>
      </c>
      <c r="T154" t="n">
        <v>6355</v>
      </c>
      <c r="U154" t="n">
        <v>7120</v>
      </c>
      <c r="V154" t="n">
        <v>3163</v>
      </c>
      <c r="W154" t="n">
        <v>1612</v>
      </c>
      <c r="X154" t="n">
        <v>1459</v>
      </c>
      <c r="Y154" t="n">
        <v>7330</v>
      </c>
    </row>
    <row r="155">
      <c r="A155" t="n">
        <v>154</v>
      </c>
      <c r="B155" t="n">
        <v>0</v>
      </c>
      <c r="C155" t="n">
        <v>10047</v>
      </c>
      <c r="D155" t="n">
        <v>21162</v>
      </c>
      <c r="E155" t="n">
        <v>93380</v>
      </c>
      <c r="F155" t="n">
        <v>408594</v>
      </c>
      <c r="G155" t="n">
        <v>1761308</v>
      </c>
      <c r="H155" t="n">
        <v>7505585</v>
      </c>
      <c r="I155" t="n">
        <v>31519799</v>
      </c>
      <c r="J155" t="n">
        <v>2000</v>
      </c>
      <c r="K155" t="n">
        <v>12436</v>
      </c>
      <c r="L155" t="n">
        <v>2500</v>
      </c>
      <c r="M155" t="n">
        <v>1054</v>
      </c>
      <c r="N155" t="n">
        <v>1770</v>
      </c>
      <c r="O155" t="n">
        <v>2540</v>
      </c>
      <c r="P155" t="n">
        <v>3310</v>
      </c>
      <c r="Q155" t="n">
        <v>4080</v>
      </c>
      <c r="R155" t="n">
        <v>4850</v>
      </c>
      <c r="S155" t="n">
        <v>5620</v>
      </c>
      <c r="T155" t="n">
        <v>6390</v>
      </c>
      <c r="U155" t="n">
        <v>7160</v>
      </c>
      <c r="V155" t="n">
        <v>3183</v>
      </c>
      <c r="W155" t="n">
        <v>1616</v>
      </c>
      <c r="X155" t="n">
        <v>1462</v>
      </c>
      <c r="Y155" t="n">
        <v>7340</v>
      </c>
    </row>
    <row r="156">
      <c r="A156" t="n">
        <v>155</v>
      </c>
      <c r="B156" t="n">
        <v>0</v>
      </c>
      <c r="C156" t="n">
        <v>10198</v>
      </c>
      <c r="D156" t="n">
        <v>21586</v>
      </c>
      <c r="E156" t="n">
        <v>96182</v>
      </c>
      <c r="F156" t="n">
        <v>424938</v>
      </c>
      <c r="G156" t="n">
        <v>1849374</v>
      </c>
      <c r="H156" t="n">
        <v>7955921</v>
      </c>
      <c r="I156" t="n">
        <v>33726185</v>
      </c>
      <c r="J156" t="n">
        <v>2000</v>
      </c>
      <c r="K156" t="n">
        <v>12561</v>
      </c>
      <c r="L156" t="n">
        <v>2500</v>
      </c>
      <c r="M156" t="n">
        <v>1055</v>
      </c>
      <c r="N156" t="n">
        <v>1775</v>
      </c>
      <c r="O156" t="n">
        <v>2550</v>
      </c>
      <c r="P156" t="n">
        <v>3325</v>
      </c>
      <c r="Q156" t="n">
        <v>4100</v>
      </c>
      <c r="R156" t="n">
        <v>4875</v>
      </c>
      <c r="S156" t="n">
        <v>5650</v>
      </c>
      <c r="T156" t="n">
        <v>6425</v>
      </c>
      <c r="U156" t="n">
        <v>7200</v>
      </c>
      <c r="V156" t="n">
        <v>3203</v>
      </c>
      <c r="W156" t="n">
        <v>1620</v>
      </c>
      <c r="X156" t="n">
        <v>1465</v>
      </c>
      <c r="Y156" t="n">
        <v>7350</v>
      </c>
    </row>
    <row r="157">
      <c r="A157" t="n">
        <v>156</v>
      </c>
      <c r="B157" t="n">
        <v>0</v>
      </c>
      <c r="C157" t="n">
        <v>10351</v>
      </c>
      <c r="D157" t="n">
        <v>22018</v>
      </c>
      <c r="E157" t="n">
        <v>99068</v>
      </c>
      <c r="F157" t="n">
        <v>441936</v>
      </c>
      <c r="G157" t="n">
        <v>1941843</v>
      </c>
      <c r="H157" t="n">
        <v>8433277</v>
      </c>
      <c r="I157" t="n">
        <v>36087018</v>
      </c>
      <c r="J157" t="n">
        <v>2000</v>
      </c>
      <c r="K157" t="n">
        <v>12687</v>
      </c>
      <c r="L157" t="n">
        <v>2500</v>
      </c>
      <c r="M157" t="n">
        <v>1056</v>
      </c>
      <c r="N157" t="n">
        <v>1780</v>
      </c>
      <c r="O157" t="n">
        <v>2560</v>
      </c>
      <c r="P157" t="n">
        <v>3340</v>
      </c>
      <c r="Q157" t="n">
        <v>4120</v>
      </c>
      <c r="R157" t="n">
        <v>4900</v>
      </c>
      <c r="S157" t="n">
        <v>5680</v>
      </c>
      <c r="T157" t="n">
        <v>6460</v>
      </c>
      <c r="U157" t="n">
        <v>7240</v>
      </c>
      <c r="V157" t="n">
        <v>3224</v>
      </c>
      <c r="W157" t="n">
        <v>1624</v>
      </c>
      <c r="X157" t="n">
        <v>1468</v>
      </c>
      <c r="Y157" t="n">
        <v>7360</v>
      </c>
    </row>
    <row r="158">
      <c r="A158" t="n">
        <v>157</v>
      </c>
      <c r="B158" t="n">
        <v>0</v>
      </c>
      <c r="C158" t="n">
        <v>10507</v>
      </c>
      <c r="D158" t="n">
        <v>22459</v>
      </c>
      <c r="E158" t="n">
        <v>102041</v>
      </c>
      <c r="F158" t="n">
        <v>459614</v>
      </c>
      <c r="G158" t="n">
        <v>2038936</v>
      </c>
      <c r="H158" t="n">
        <v>8939274</v>
      </c>
      <c r="I158" t="n">
        <v>38613110</v>
      </c>
      <c r="J158" t="n">
        <v>2000</v>
      </c>
      <c r="K158" t="n">
        <v>12814</v>
      </c>
      <c r="L158" t="n">
        <v>2500</v>
      </c>
      <c r="M158" t="n">
        <v>1057</v>
      </c>
      <c r="N158" t="n">
        <v>1785</v>
      </c>
      <c r="O158" t="n">
        <v>2570</v>
      </c>
      <c r="P158" t="n">
        <v>3355</v>
      </c>
      <c r="Q158" t="n">
        <v>4140</v>
      </c>
      <c r="R158" t="n">
        <v>4925</v>
      </c>
      <c r="S158" t="n">
        <v>5710</v>
      </c>
      <c r="T158" t="n">
        <v>6495</v>
      </c>
      <c r="U158" t="n">
        <v>7280</v>
      </c>
      <c r="V158" t="n">
        <v>3245</v>
      </c>
      <c r="W158" t="n">
        <v>1628</v>
      </c>
      <c r="X158" t="n">
        <v>1471</v>
      </c>
      <c r="Y158" t="n">
        <v>7370</v>
      </c>
    </row>
    <row r="159">
      <c r="A159" t="n">
        <v>158</v>
      </c>
      <c r="B159" t="n">
        <v>0</v>
      </c>
      <c r="C159" t="n">
        <v>10665</v>
      </c>
      <c r="D159" t="n">
        <v>22909</v>
      </c>
      <c r="E159" t="n">
        <v>105103</v>
      </c>
      <c r="F159" t="n">
        <v>477999</v>
      </c>
      <c r="G159" t="n">
        <v>2140883</v>
      </c>
      <c r="H159" t="n">
        <v>9475631</v>
      </c>
      <c r="I159" t="n">
        <v>41316028</v>
      </c>
      <c r="J159" t="n">
        <v>2000</v>
      </c>
      <c r="K159" t="n">
        <v>12943</v>
      </c>
      <c r="L159" t="n">
        <v>2500</v>
      </c>
      <c r="M159" t="n">
        <v>1058</v>
      </c>
      <c r="N159" t="n">
        <v>1790</v>
      </c>
      <c r="O159" t="n">
        <v>2580</v>
      </c>
      <c r="P159" t="n">
        <v>3370</v>
      </c>
      <c r="Q159" t="n">
        <v>4160</v>
      </c>
      <c r="R159" t="n">
        <v>4950</v>
      </c>
      <c r="S159" t="n">
        <v>5740</v>
      </c>
      <c r="T159" t="n">
        <v>6530</v>
      </c>
      <c r="U159" t="n">
        <v>7320</v>
      </c>
      <c r="V159" t="n">
        <v>3266</v>
      </c>
      <c r="W159" t="n">
        <v>1632</v>
      </c>
      <c r="X159" t="n">
        <v>1474</v>
      </c>
      <c r="Y159" t="n">
        <v>7380</v>
      </c>
    </row>
    <row r="160">
      <c r="A160" t="n">
        <v>159</v>
      </c>
      <c r="B160" t="n">
        <v>0</v>
      </c>
      <c r="C160" t="n">
        <v>10825</v>
      </c>
      <c r="D160" t="n">
        <v>23368</v>
      </c>
      <c r="E160" t="n">
        <v>108257</v>
      </c>
      <c r="F160" t="n">
        <v>497119</v>
      </c>
      <c r="G160" t="n">
        <v>2247928</v>
      </c>
      <c r="H160" t="n">
        <v>10044169</v>
      </c>
      <c r="I160" t="n">
        <v>44208150</v>
      </c>
      <c r="J160" t="n">
        <v>2000</v>
      </c>
      <c r="K160" t="n">
        <v>13073</v>
      </c>
      <c r="L160" t="n">
        <v>2500</v>
      </c>
      <c r="M160" t="n">
        <v>1059</v>
      </c>
      <c r="N160" t="n">
        <v>1795</v>
      </c>
      <c r="O160" t="n">
        <v>2590</v>
      </c>
      <c r="P160" t="n">
        <v>3385</v>
      </c>
      <c r="Q160" t="n">
        <v>4180</v>
      </c>
      <c r="R160" t="n">
        <v>4975</v>
      </c>
      <c r="S160" t="n">
        <v>5770</v>
      </c>
      <c r="T160" t="n">
        <v>6565</v>
      </c>
      <c r="U160" t="n">
        <v>7360</v>
      </c>
      <c r="V160" t="n">
        <v>3287</v>
      </c>
      <c r="W160" t="n">
        <v>1636</v>
      </c>
      <c r="X160" t="n">
        <v>1477</v>
      </c>
      <c r="Y160" t="n">
        <v>7390</v>
      </c>
    </row>
    <row r="161">
      <c r="A161" t="n">
        <v>160</v>
      </c>
      <c r="B161" t="n">
        <v>0</v>
      </c>
      <c r="C161" t="n">
        <v>10988</v>
      </c>
      <c r="D161" t="n">
        <v>23836</v>
      </c>
      <c r="E161" t="n">
        <v>111505</v>
      </c>
      <c r="F161" t="n">
        <v>517004</v>
      </c>
      <c r="G161" t="n">
        <v>2360325</v>
      </c>
      <c r="H161" t="n">
        <v>10646820</v>
      </c>
      <c r="I161" t="n">
        <v>47302721</v>
      </c>
      <c r="J161" t="n">
        <v>2000</v>
      </c>
      <c r="K161" t="n">
        <v>13204</v>
      </c>
      <c r="L161" t="n">
        <v>2500</v>
      </c>
      <c r="M161" t="n">
        <v>1060</v>
      </c>
      <c r="N161" t="n">
        <v>1800</v>
      </c>
      <c r="O161" t="n">
        <v>2600</v>
      </c>
      <c r="P161" t="n">
        <v>3400</v>
      </c>
      <c r="Q161" t="n">
        <v>4200</v>
      </c>
      <c r="R161" t="n">
        <v>5000</v>
      </c>
      <c r="S161" t="n">
        <v>5800</v>
      </c>
      <c r="T161" t="n">
        <v>6600</v>
      </c>
      <c r="U161" t="n">
        <v>7400</v>
      </c>
      <c r="V161" t="n">
        <v>3308</v>
      </c>
      <c r="W161" t="n">
        <v>1640</v>
      </c>
      <c r="X161" t="n">
        <v>1480</v>
      </c>
      <c r="Y161" t="n">
        <v>7400</v>
      </c>
    </row>
    <row r="162">
      <c r="A162" t="n">
        <v>161</v>
      </c>
      <c r="B162" t="n">
        <v>0</v>
      </c>
      <c r="C162" t="n">
        <v>11153</v>
      </c>
      <c r="D162" t="n">
        <v>24313</v>
      </c>
      <c r="E162" t="n">
        <v>114851</v>
      </c>
      <c r="F162" t="n">
        <v>537685</v>
      </c>
      <c r="G162" t="n">
        <v>2478342</v>
      </c>
      <c r="H162" t="n">
        <v>11285630</v>
      </c>
      <c r="I162" t="n">
        <v>50613912</v>
      </c>
      <c r="J162" t="n">
        <v>2000</v>
      </c>
      <c r="K162" t="n">
        <v>13337</v>
      </c>
      <c r="L162" t="n">
        <v>2500</v>
      </c>
      <c r="M162" t="n">
        <v>1061</v>
      </c>
      <c r="N162" t="n">
        <v>1805</v>
      </c>
      <c r="O162" t="n">
        <v>2610</v>
      </c>
      <c r="P162" t="n">
        <v>3415</v>
      </c>
      <c r="Q162" t="n">
        <v>4220</v>
      </c>
      <c r="R162" t="n">
        <v>5025</v>
      </c>
      <c r="S162" t="n">
        <v>5830</v>
      </c>
      <c r="T162" t="n">
        <v>6635</v>
      </c>
      <c r="U162" t="n">
        <v>7440</v>
      </c>
      <c r="V162" t="n">
        <v>3329</v>
      </c>
      <c r="W162" t="n">
        <v>1644</v>
      </c>
      <c r="X162" t="n">
        <v>1483</v>
      </c>
      <c r="Y162" t="n">
        <v>7410</v>
      </c>
    </row>
    <row r="163">
      <c r="A163" t="n">
        <v>162</v>
      </c>
      <c r="B163" t="n">
        <v>0</v>
      </c>
      <c r="C163" t="n">
        <v>11321</v>
      </c>
      <c r="D163" t="n">
        <v>24800</v>
      </c>
      <c r="E163" t="n">
        <v>118297</v>
      </c>
      <c r="F163" t="n">
        <v>559193</v>
      </c>
      <c r="G163" t="n">
        <v>2602260</v>
      </c>
      <c r="H163" t="n">
        <v>11962768</v>
      </c>
      <c r="I163" t="n">
        <v>54156886</v>
      </c>
      <c r="J163" t="n">
        <v>2000</v>
      </c>
      <c r="K163" t="n">
        <v>13471</v>
      </c>
      <c r="L163" t="n">
        <v>2500</v>
      </c>
      <c r="M163" t="n">
        <v>1062</v>
      </c>
      <c r="N163" t="n">
        <v>1810</v>
      </c>
      <c r="O163" t="n">
        <v>2620</v>
      </c>
      <c r="P163" t="n">
        <v>3430</v>
      </c>
      <c r="Q163" t="n">
        <v>4240</v>
      </c>
      <c r="R163" t="n">
        <v>5050</v>
      </c>
      <c r="S163" t="n">
        <v>5860</v>
      </c>
      <c r="T163" t="n">
        <v>6670</v>
      </c>
      <c r="U163" t="n">
        <v>7480</v>
      </c>
      <c r="V163" t="n">
        <v>3350</v>
      </c>
      <c r="W163" t="n">
        <v>1648</v>
      </c>
      <c r="X163" t="n">
        <v>1486</v>
      </c>
      <c r="Y163" t="n">
        <v>7420</v>
      </c>
    </row>
    <row r="164">
      <c r="A164" t="n">
        <v>163</v>
      </c>
      <c r="B164" t="n">
        <v>0</v>
      </c>
      <c r="C164" t="n">
        <v>11491</v>
      </c>
      <c r="D164" t="n">
        <v>25296</v>
      </c>
      <c r="E164" t="n">
        <v>121846</v>
      </c>
      <c r="F164" t="n">
        <v>581561</v>
      </c>
      <c r="G164" t="n">
        <v>2732373</v>
      </c>
      <c r="H164" t="n">
        <v>12680535</v>
      </c>
      <c r="I164" t="n">
        <v>57947869</v>
      </c>
      <c r="J164" t="n">
        <v>2000</v>
      </c>
      <c r="K164" t="n">
        <v>13606</v>
      </c>
      <c r="L164" t="n">
        <v>2500</v>
      </c>
      <c r="M164" t="n">
        <v>1063</v>
      </c>
      <c r="N164" t="n">
        <v>1815</v>
      </c>
      <c r="O164" t="n">
        <v>2630</v>
      </c>
      <c r="P164" t="n">
        <v>3445</v>
      </c>
      <c r="Q164" t="n">
        <v>4260</v>
      </c>
      <c r="R164" t="n">
        <v>5075</v>
      </c>
      <c r="S164" t="n">
        <v>5890</v>
      </c>
      <c r="T164" t="n">
        <v>6705</v>
      </c>
      <c r="U164" t="n">
        <v>7520</v>
      </c>
      <c r="V164" t="n">
        <v>3371</v>
      </c>
      <c r="W164" t="n">
        <v>1652</v>
      </c>
      <c r="X164" t="n">
        <v>1489</v>
      </c>
      <c r="Y164" t="n">
        <v>7430</v>
      </c>
    </row>
    <row r="165">
      <c r="A165" t="n">
        <v>164</v>
      </c>
      <c r="B165" t="n">
        <v>0</v>
      </c>
      <c r="C165" t="n">
        <v>11664</v>
      </c>
      <c r="D165" t="n">
        <v>25802</v>
      </c>
      <c r="E165" t="n">
        <v>125502</v>
      </c>
      <c r="F165" t="n">
        <v>604824</v>
      </c>
      <c r="G165" t="n">
        <v>2868992</v>
      </c>
      <c r="H165" t="n">
        <v>13441368</v>
      </c>
      <c r="I165" t="n">
        <v>62004220</v>
      </c>
      <c r="J165" t="n">
        <v>2000</v>
      </c>
      <c r="K165" t="n">
        <v>13743</v>
      </c>
      <c r="L165" t="n">
        <v>2500</v>
      </c>
      <c r="M165" t="n">
        <v>1064</v>
      </c>
      <c r="N165" t="n">
        <v>1820</v>
      </c>
      <c r="O165" t="n">
        <v>2640</v>
      </c>
      <c r="P165" t="n">
        <v>3460</v>
      </c>
      <c r="Q165" t="n">
        <v>4280</v>
      </c>
      <c r="R165" t="n">
        <v>5100</v>
      </c>
      <c r="S165" t="n">
        <v>5920</v>
      </c>
      <c r="T165" t="n">
        <v>6740</v>
      </c>
      <c r="U165" t="n">
        <v>7560</v>
      </c>
      <c r="V165" t="n">
        <v>3392</v>
      </c>
      <c r="W165" t="n">
        <v>1656</v>
      </c>
      <c r="X165" t="n">
        <v>1492</v>
      </c>
      <c r="Y165" t="n">
        <v>7440</v>
      </c>
    </row>
    <row r="166">
      <c r="A166" t="n">
        <v>165</v>
      </c>
      <c r="B166" t="n">
        <v>0</v>
      </c>
      <c r="C166" t="n">
        <v>11839</v>
      </c>
      <c r="D166" t="n">
        <v>26319</v>
      </c>
      <c r="E166" t="n">
        <v>129268</v>
      </c>
      <c r="F166" t="n">
        <v>629017</v>
      </c>
      <c r="G166" t="n">
        <v>3012442</v>
      </c>
      <c r="H166" t="n">
        <v>14247851</v>
      </c>
      <c r="I166" t="n">
        <v>66344516</v>
      </c>
      <c r="J166" t="n">
        <v>2000</v>
      </c>
      <c r="K166" t="n">
        <v>13881</v>
      </c>
      <c r="L166" t="n">
        <v>2500</v>
      </c>
      <c r="M166" t="n">
        <v>1065</v>
      </c>
      <c r="N166" t="n">
        <v>1825</v>
      </c>
      <c r="O166" t="n">
        <v>2650</v>
      </c>
      <c r="P166" t="n">
        <v>3475</v>
      </c>
      <c r="Q166" t="n">
        <v>4300</v>
      </c>
      <c r="R166" t="n">
        <v>5125</v>
      </c>
      <c r="S166" t="n">
        <v>5950</v>
      </c>
      <c r="T166" t="n">
        <v>6775</v>
      </c>
      <c r="U166" t="n">
        <v>7600</v>
      </c>
      <c r="V166" t="n">
        <v>3413</v>
      </c>
      <c r="W166" t="n">
        <v>1660</v>
      </c>
      <c r="X166" t="n">
        <v>1495</v>
      </c>
      <c r="Y166" t="n">
        <v>7450</v>
      </c>
    </row>
    <row r="167">
      <c r="A167" t="n">
        <v>166</v>
      </c>
      <c r="B167" t="n">
        <v>0</v>
      </c>
      <c r="C167" t="n">
        <v>12017</v>
      </c>
      <c r="D167" t="n">
        <v>26846</v>
      </c>
      <c r="E167" t="n">
        <v>133147</v>
      </c>
      <c r="F167" t="n">
        <v>654178</v>
      </c>
      <c r="G167" t="n">
        <v>3163065</v>
      </c>
      <c r="H167" t="n">
        <v>15102723</v>
      </c>
      <c r="I167" t="n">
        <v>70988633</v>
      </c>
      <c r="J167" t="n">
        <v>2000</v>
      </c>
      <c r="K167" t="n">
        <v>14020</v>
      </c>
      <c r="L167" t="n">
        <v>2500</v>
      </c>
      <c r="M167" t="n">
        <v>1066</v>
      </c>
      <c r="N167" t="n">
        <v>1830</v>
      </c>
      <c r="O167" t="n">
        <v>2660</v>
      </c>
      <c r="P167" t="n">
        <v>3490</v>
      </c>
      <c r="Q167" t="n">
        <v>4320</v>
      </c>
      <c r="R167" t="n">
        <v>5150</v>
      </c>
      <c r="S167" t="n">
        <v>5980</v>
      </c>
      <c r="T167" t="n">
        <v>6810</v>
      </c>
      <c r="U167" t="n">
        <v>7640</v>
      </c>
      <c r="V167" t="n">
        <v>3435</v>
      </c>
      <c r="W167" t="n">
        <v>1664</v>
      </c>
      <c r="X167" t="n">
        <v>1498</v>
      </c>
      <c r="Y167" t="n">
        <v>7460</v>
      </c>
    </row>
    <row r="168">
      <c r="A168" t="n">
        <v>167</v>
      </c>
      <c r="B168" t="n">
        <v>0</v>
      </c>
      <c r="C168" t="n">
        <v>12198</v>
      </c>
      <c r="D168" t="n">
        <v>27383</v>
      </c>
      <c r="E168" t="n">
        <v>137142</v>
      </c>
      <c r="F168" t="n">
        <v>680346</v>
      </c>
      <c r="G168" t="n">
        <v>3321219</v>
      </c>
      <c r="H168" t="n">
        <v>16008887</v>
      </c>
      <c r="I168" t="n">
        <v>75957838</v>
      </c>
      <c r="J168" t="n">
        <v>2000</v>
      </c>
      <c r="K168" t="n">
        <v>14161</v>
      </c>
      <c r="L168" t="n">
        <v>2500</v>
      </c>
      <c r="M168" t="n">
        <v>1067</v>
      </c>
      <c r="N168" t="n">
        <v>1835</v>
      </c>
      <c r="O168" t="n">
        <v>2670</v>
      </c>
      <c r="P168" t="n">
        <v>3505</v>
      </c>
      <c r="Q168" t="n">
        <v>4340</v>
      </c>
      <c r="R168" t="n">
        <v>5175</v>
      </c>
      <c r="S168" t="n">
        <v>6010</v>
      </c>
      <c r="T168" t="n">
        <v>6845</v>
      </c>
      <c r="U168" t="n">
        <v>7680</v>
      </c>
      <c r="V168" t="n">
        <v>3457</v>
      </c>
      <c r="W168" t="n">
        <v>1668</v>
      </c>
      <c r="X168" t="n">
        <v>1501</v>
      </c>
      <c r="Y168" t="n">
        <v>7470</v>
      </c>
    </row>
    <row r="169">
      <c r="A169" t="n">
        <v>168</v>
      </c>
      <c r="B169" t="n">
        <v>0</v>
      </c>
      <c r="C169" t="n">
        <v>12381</v>
      </c>
      <c r="D169" t="n">
        <v>27931</v>
      </c>
      <c r="E169" t="n">
        <v>141257</v>
      </c>
      <c r="F169" t="n">
        <v>707560</v>
      </c>
      <c r="G169" t="n">
        <v>3487280</v>
      </c>
      <c r="H169" t="n">
        <v>16969421</v>
      </c>
      <c r="I169" t="n">
        <v>81274887</v>
      </c>
      <c r="J169" t="n">
        <v>2000</v>
      </c>
      <c r="K169" t="n">
        <v>14303</v>
      </c>
      <c r="L169" t="n">
        <v>2500</v>
      </c>
      <c r="M169" t="n">
        <v>1068</v>
      </c>
      <c r="N169" t="n">
        <v>1840</v>
      </c>
      <c r="O169" t="n">
        <v>2680</v>
      </c>
      <c r="P169" t="n">
        <v>3520</v>
      </c>
      <c r="Q169" t="n">
        <v>4360</v>
      </c>
      <c r="R169" t="n">
        <v>5200</v>
      </c>
      <c r="S169" t="n">
        <v>6040</v>
      </c>
      <c r="T169" t="n">
        <v>6880</v>
      </c>
      <c r="U169" t="n">
        <v>7720</v>
      </c>
      <c r="V169" t="n">
        <v>3479</v>
      </c>
      <c r="W169" t="n">
        <v>1672</v>
      </c>
      <c r="X169" t="n">
        <v>1504</v>
      </c>
      <c r="Y169" t="n">
        <v>7480</v>
      </c>
    </row>
    <row r="170">
      <c r="A170" t="n">
        <v>169</v>
      </c>
      <c r="B170" t="n">
        <v>0</v>
      </c>
      <c r="C170" t="n">
        <v>12567</v>
      </c>
      <c r="D170" t="n">
        <v>28490</v>
      </c>
      <c r="E170" t="n">
        <v>145495</v>
      </c>
      <c r="F170" t="n">
        <v>735863</v>
      </c>
      <c r="G170" t="n">
        <v>3661644</v>
      </c>
      <c r="H170" t="n">
        <v>17987587</v>
      </c>
      <c r="I170" t="n">
        <v>86964130</v>
      </c>
      <c r="J170" t="n">
        <v>2000</v>
      </c>
      <c r="K170" t="n">
        <v>14447</v>
      </c>
      <c r="L170" t="n">
        <v>2500</v>
      </c>
      <c r="M170" t="n">
        <v>1069</v>
      </c>
      <c r="N170" t="n">
        <v>1845</v>
      </c>
      <c r="O170" t="n">
        <v>2690</v>
      </c>
      <c r="P170" t="n">
        <v>3535</v>
      </c>
      <c r="Q170" t="n">
        <v>4380</v>
      </c>
      <c r="R170" t="n">
        <v>5225</v>
      </c>
      <c r="S170" t="n">
        <v>6070</v>
      </c>
      <c r="T170" t="n">
        <v>6915</v>
      </c>
      <c r="U170" t="n">
        <v>7760</v>
      </c>
      <c r="V170" t="n">
        <v>3501</v>
      </c>
      <c r="W170" t="n">
        <v>1676</v>
      </c>
      <c r="X170" t="n">
        <v>1507</v>
      </c>
      <c r="Y170" t="n">
        <v>7490</v>
      </c>
    </row>
    <row r="171">
      <c r="A171" t="n">
        <v>170</v>
      </c>
      <c r="B171" t="n">
        <v>0</v>
      </c>
      <c r="C171" t="n">
        <v>12756</v>
      </c>
      <c r="D171" t="n">
        <v>29060</v>
      </c>
      <c r="E171" t="n">
        <v>149860</v>
      </c>
      <c r="F171" t="n">
        <v>765298</v>
      </c>
      <c r="G171" t="n">
        <v>3844727</v>
      </c>
      <c r="H171" t="n">
        <v>19066843</v>
      </c>
      <c r="I171" t="n">
        <v>93051620</v>
      </c>
      <c r="J171" t="n">
        <v>2000</v>
      </c>
      <c r="K171" t="n">
        <v>14592</v>
      </c>
      <c r="L171" t="n">
        <v>2500</v>
      </c>
      <c r="M171" t="n">
        <v>1070</v>
      </c>
      <c r="N171" t="n">
        <v>1850</v>
      </c>
      <c r="O171" t="n">
        <v>2700</v>
      </c>
      <c r="P171" t="n">
        <v>3550</v>
      </c>
      <c r="Q171" t="n">
        <v>4400</v>
      </c>
      <c r="R171" t="n">
        <v>5250</v>
      </c>
      <c r="S171" t="n">
        <v>6100</v>
      </c>
      <c r="T171" t="n">
        <v>6950</v>
      </c>
      <c r="U171" t="n">
        <v>7800</v>
      </c>
      <c r="V171" t="n">
        <v>3523</v>
      </c>
      <c r="W171" t="n">
        <v>1680</v>
      </c>
      <c r="X171" t="n">
        <v>1510</v>
      </c>
      <c r="Y171" t="n">
        <v>7500</v>
      </c>
    </row>
    <row r="172">
      <c r="A172" t="n">
        <v>171</v>
      </c>
      <c r="B172" t="n">
        <v>0</v>
      </c>
      <c r="C172" t="n">
        <v>12948</v>
      </c>
      <c r="D172" t="n">
        <v>29642</v>
      </c>
      <c r="E172" t="n">
        <v>154356</v>
      </c>
      <c r="F172" t="n">
        <v>795910</v>
      </c>
      <c r="G172" t="n">
        <v>4036964</v>
      </c>
      <c r="H172" t="n">
        <v>20210854</v>
      </c>
      <c r="I172" t="n">
        <v>99565234</v>
      </c>
      <c r="J172" t="n">
        <v>2000</v>
      </c>
      <c r="K172" t="n">
        <v>14738</v>
      </c>
      <c r="L172" t="n">
        <v>2500</v>
      </c>
      <c r="M172" t="n">
        <v>1071</v>
      </c>
      <c r="N172" t="n">
        <v>1855</v>
      </c>
      <c r="O172" t="n">
        <v>2710</v>
      </c>
      <c r="P172" t="n">
        <v>3565</v>
      </c>
      <c r="Q172" t="n">
        <v>4420</v>
      </c>
      <c r="R172" t="n">
        <v>5275</v>
      </c>
      <c r="S172" t="n">
        <v>6130</v>
      </c>
      <c r="T172" t="n">
        <v>6985</v>
      </c>
      <c r="U172" t="n">
        <v>7840</v>
      </c>
      <c r="V172" t="n">
        <v>3545</v>
      </c>
      <c r="W172" t="n">
        <v>1684</v>
      </c>
      <c r="X172" t="n">
        <v>1513</v>
      </c>
      <c r="Y172" t="n">
        <v>7510</v>
      </c>
    </row>
    <row r="173">
      <c r="A173" t="n">
        <v>172</v>
      </c>
      <c r="B173" t="n">
        <v>0</v>
      </c>
      <c r="C173" t="n">
        <v>13143</v>
      </c>
      <c r="D173" t="n">
        <v>30235</v>
      </c>
      <c r="E173" t="n">
        <v>158987</v>
      </c>
      <c r="F173" t="n">
        <v>827747</v>
      </c>
      <c r="G173" t="n">
        <v>4238813</v>
      </c>
      <c r="H173" t="n">
        <v>21423506</v>
      </c>
      <c r="I173" t="n">
        <v>106534801</v>
      </c>
      <c r="J173" t="n">
        <v>2000</v>
      </c>
      <c r="K173" t="n">
        <v>14886</v>
      </c>
      <c r="L173" t="n">
        <v>2500</v>
      </c>
      <c r="M173" t="n">
        <v>1072</v>
      </c>
      <c r="N173" t="n">
        <v>1860</v>
      </c>
      <c r="O173" t="n">
        <v>2720</v>
      </c>
      <c r="P173" t="n">
        <v>3580</v>
      </c>
      <c r="Q173" t="n">
        <v>4440</v>
      </c>
      <c r="R173" t="n">
        <v>5300</v>
      </c>
      <c r="S173" t="n">
        <v>6160</v>
      </c>
      <c r="T173" t="n">
        <v>7020</v>
      </c>
      <c r="U173" t="n">
        <v>7880</v>
      </c>
      <c r="V173" t="n">
        <v>3567</v>
      </c>
      <c r="W173" t="n">
        <v>1688</v>
      </c>
      <c r="X173" t="n">
        <v>1516</v>
      </c>
      <c r="Y173" t="n">
        <v>7520</v>
      </c>
    </row>
    <row r="174">
      <c r="A174" t="n">
        <v>173</v>
      </c>
      <c r="B174" t="n">
        <v>0</v>
      </c>
      <c r="C174" t="n">
        <v>13341</v>
      </c>
      <c r="D174" t="n">
        <v>30840</v>
      </c>
      <c r="E174" t="n">
        <v>163757</v>
      </c>
      <c r="F174" t="n">
        <v>860857</v>
      </c>
      <c r="G174" t="n">
        <v>4450754</v>
      </c>
      <c r="H174" t="n">
        <v>22708917</v>
      </c>
      <c r="I174" t="n">
        <v>113992238</v>
      </c>
      <c r="J174" t="n">
        <v>2000</v>
      </c>
      <c r="K174" t="n">
        <v>15035</v>
      </c>
      <c r="L174" t="n">
        <v>2500</v>
      </c>
      <c r="M174" t="n">
        <v>1073</v>
      </c>
      <c r="N174" t="n">
        <v>1865</v>
      </c>
      <c r="O174" t="n">
        <v>2730</v>
      </c>
      <c r="P174" t="n">
        <v>3595</v>
      </c>
      <c r="Q174" t="n">
        <v>4460</v>
      </c>
      <c r="R174" t="n">
        <v>5325</v>
      </c>
      <c r="S174" t="n">
        <v>6190</v>
      </c>
      <c r="T174" t="n">
        <v>7055</v>
      </c>
      <c r="U174" t="n">
        <v>7920</v>
      </c>
      <c r="V174" t="n">
        <v>3589</v>
      </c>
      <c r="W174" t="n">
        <v>1692</v>
      </c>
      <c r="X174" t="n">
        <v>1519</v>
      </c>
      <c r="Y174" t="n">
        <v>7530</v>
      </c>
    </row>
    <row r="175">
      <c r="A175" t="n">
        <v>174</v>
      </c>
      <c r="B175" t="n">
        <v>0</v>
      </c>
      <c r="C175" t="n">
        <v>13542</v>
      </c>
      <c r="D175" t="n">
        <v>31457</v>
      </c>
      <c r="E175" t="n">
        <v>168670</v>
      </c>
      <c r="F175" t="n">
        <v>895292</v>
      </c>
      <c r="G175" t="n">
        <v>4673292</v>
      </c>
      <c r="H175" t="n">
        <v>24071453</v>
      </c>
      <c r="I175" t="n">
        <v>121971695</v>
      </c>
      <c r="J175" t="n">
        <v>2000</v>
      </c>
      <c r="K175" t="n">
        <v>15186</v>
      </c>
      <c r="L175" t="n">
        <v>2500</v>
      </c>
      <c r="M175" t="n">
        <v>1074</v>
      </c>
      <c r="N175" t="n">
        <v>1870</v>
      </c>
      <c r="O175" t="n">
        <v>2740</v>
      </c>
      <c r="P175" t="n">
        <v>3610</v>
      </c>
      <c r="Q175" t="n">
        <v>4480</v>
      </c>
      <c r="R175" t="n">
        <v>5350</v>
      </c>
      <c r="S175" t="n">
        <v>6220</v>
      </c>
      <c r="T175" t="n">
        <v>7090</v>
      </c>
      <c r="U175" t="n">
        <v>7960</v>
      </c>
      <c r="V175" t="n">
        <v>3611</v>
      </c>
      <c r="W175" t="n">
        <v>1696</v>
      </c>
      <c r="X175" t="n">
        <v>1522</v>
      </c>
      <c r="Y175" t="n">
        <v>7540</v>
      </c>
    </row>
    <row r="176">
      <c r="A176" t="n">
        <v>175</v>
      </c>
      <c r="B176" t="n">
        <v>0</v>
      </c>
      <c r="C176" t="n">
        <v>13746</v>
      </c>
      <c r="D176" t="n">
        <v>32087</v>
      </c>
      <c r="E176" t="n">
        <v>173731</v>
      </c>
      <c r="F176" t="n">
        <v>931104</v>
      </c>
      <c r="G176" t="n">
        <v>4906957</v>
      </c>
      <c r="H176" t="n">
        <v>25515741</v>
      </c>
      <c r="I176" t="n">
        <v>130509714</v>
      </c>
      <c r="J176" t="n">
        <v>2000</v>
      </c>
      <c r="K176" t="n">
        <v>15338</v>
      </c>
      <c r="L176" t="n">
        <v>2500</v>
      </c>
      <c r="M176" t="n">
        <v>1075</v>
      </c>
      <c r="N176" t="n">
        <v>1875</v>
      </c>
      <c r="O176" t="n">
        <v>2750</v>
      </c>
      <c r="P176" t="n">
        <v>3625</v>
      </c>
      <c r="Q176" t="n">
        <v>4500</v>
      </c>
      <c r="R176" t="n">
        <v>5375</v>
      </c>
      <c r="S176" t="n">
        <v>6250</v>
      </c>
      <c r="T176" t="n">
        <v>7125</v>
      </c>
      <c r="U176" t="n">
        <v>8000</v>
      </c>
      <c r="V176" t="n">
        <v>3634</v>
      </c>
      <c r="W176" t="n">
        <v>1700</v>
      </c>
      <c r="X176" t="n">
        <v>1525</v>
      </c>
      <c r="Y176" t="n">
        <v>7550</v>
      </c>
    </row>
    <row r="177">
      <c r="A177" t="n">
        <v>176</v>
      </c>
      <c r="B177" t="n">
        <v>0</v>
      </c>
      <c r="C177" t="n">
        <v>13953</v>
      </c>
      <c r="D177" t="n">
        <v>32729</v>
      </c>
      <c r="E177" t="n">
        <v>178943</v>
      </c>
      <c r="F177" t="n">
        <v>968349</v>
      </c>
      <c r="G177" t="n">
        <v>5152305</v>
      </c>
      <c r="H177" t="n">
        <v>27046686</v>
      </c>
      <c r="I177" t="n">
        <v>139645394</v>
      </c>
      <c r="J177" t="n">
        <v>2000</v>
      </c>
      <c r="K177" t="n">
        <v>15492</v>
      </c>
      <c r="L177" t="n">
        <v>2500</v>
      </c>
      <c r="M177" t="n">
        <v>1076</v>
      </c>
      <c r="N177" t="n">
        <v>1880</v>
      </c>
      <c r="O177" t="n">
        <v>2760</v>
      </c>
      <c r="P177" t="n">
        <v>3640</v>
      </c>
      <c r="Q177" t="n">
        <v>4520</v>
      </c>
      <c r="R177" t="n">
        <v>5400</v>
      </c>
      <c r="S177" t="n">
        <v>6280</v>
      </c>
      <c r="T177" t="n">
        <v>7160</v>
      </c>
      <c r="U177" t="n">
        <v>8040</v>
      </c>
      <c r="V177" t="n">
        <v>3657</v>
      </c>
      <c r="W177" t="n">
        <v>1704</v>
      </c>
      <c r="X177" t="n">
        <v>1528</v>
      </c>
      <c r="Y177" t="n">
        <v>7560</v>
      </c>
    </row>
    <row r="178">
      <c r="A178" t="n">
        <v>177</v>
      </c>
      <c r="B178" t="n">
        <v>0</v>
      </c>
      <c r="C178" t="n">
        <v>14163</v>
      </c>
      <c r="D178" t="n">
        <v>33384</v>
      </c>
      <c r="E178" t="n">
        <v>184312</v>
      </c>
      <c r="F178" t="n">
        <v>1007083</v>
      </c>
      <c r="G178" t="n">
        <v>5409921</v>
      </c>
      <c r="H178" t="n">
        <v>28669488</v>
      </c>
      <c r="I178" t="n">
        <v>149420572</v>
      </c>
      <c r="J178" t="n">
        <v>2000</v>
      </c>
      <c r="K178" t="n">
        <v>15647</v>
      </c>
      <c r="L178" t="n">
        <v>2500</v>
      </c>
      <c r="M178" t="n">
        <v>1077</v>
      </c>
      <c r="N178" t="n">
        <v>1885</v>
      </c>
      <c r="O178" t="n">
        <v>2770</v>
      </c>
      <c r="P178" t="n">
        <v>3655</v>
      </c>
      <c r="Q178" t="n">
        <v>4540</v>
      </c>
      <c r="R178" t="n">
        <v>5425</v>
      </c>
      <c r="S178" t="n">
        <v>6310</v>
      </c>
      <c r="T178" t="n">
        <v>7195</v>
      </c>
      <c r="U178" t="n">
        <v>8080</v>
      </c>
      <c r="V178" t="n">
        <v>3680</v>
      </c>
      <c r="W178" t="n">
        <v>1708</v>
      </c>
      <c r="X178" t="n">
        <v>1531</v>
      </c>
      <c r="Y178" t="n">
        <v>7570</v>
      </c>
    </row>
    <row r="179">
      <c r="A179" t="n">
        <v>178</v>
      </c>
      <c r="B179" t="n">
        <v>0</v>
      </c>
      <c r="C179" t="n">
        <v>14376</v>
      </c>
      <c r="D179" t="n">
        <v>34052</v>
      </c>
      <c r="E179" t="n">
        <v>189842</v>
      </c>
      <c r="F179" t="n">
        <v>1047367</v>
      </c>
      <c r="G179" t="n">
        <v>5680418</v>
      </c>
      <c r="H179" t="n">
        <v>30389658</v>
      </c>
      <c r="I179" t="n">
        <v>159880013</v>
      </c>
      <c r="J179" t="n">
        <v>2000</v>
      </c>
      <c r="K179" t="n">
        <v>15804</v>
      </c>
      <c r="L179" t="n">
        <v>2500</v>
      </c>
      <c r="M179" t="n">
        <v>1078</v>
      </c>
      <c r="N179" t="n">
        <v>1890</v>
      </c>
      <c r="O179" t="n">
        <v>2780</v>
      </c>
      <c r="P179" t="n">
        <v>3670</v>
      </c>
      <c r="Q179" t="n">
        <v>4560</v>
      </c>
      <c r="R179" t="n">
        <v>5450</v>
      </c>
      <c r="S179" t="n">
        <v>6340</v>
      </c>
      <c r="T179" t="n">
        <v>7230</v>
      </c>
      <c r="U179" t="n">
        <v>8120</v>
      </c>
      <c r="V179" t="n">
        <v>3703</v>
      </c>
      <c r="W179" t="n">
        <v>1712</v>
      </c>
      <c r="X179" t="n">
        <v>1534</v>
      </c>
      <c r="Y179" t="n">
        <v>7580</v>
      </c>
    </row>
    <row r="180">
      <c r="A180" t="n">
        <v>179</v>
      </c>
      <c r="B180" t="n">
        <v>0</v>
      </c>
      <c r="C180" t="n">
        <v>14592</v>
      </c>
      <c r="D180" t="n">
        <v>34734</v>
      </c>
      <c r="E180" t="n">
        <v>195538</v>
      </c>
      <c r="F180" t="n">
        <v>1089262</v>
      </c>
      <c r="G180" t="n">
        <v>5964439</v>
      </c>
      <c r="H180" t="n">
        <v>32213038</v>
      </c>
      <c r="I180" t="n">
        <v>171071614</v>
      </c>
      <c r="J180" t="n">
        <v>2000</v>
      </c>
      <c r="K180" t="n">
        <v>15963</v>
      </c>
      <c r="L180" t="n">
        <v>2500</v>
      </c>
      <c r="M180" t="n">
        <v>1079</v>
      </c>
      <c r="N180" t="n">
        <v>1895</v>
      </c>
      <c r="O180" t="n">
        <v>2790</v>
      </c>
      <c r="P180" t="n">
        <v>3685</v>
      </c>
      <c r="Q180" t="n">
        <v>4580</v>
      </c>
      <c r="R180" t="n">
        <v>5475</v>
      </c>
      <c r="S180" t="n">
        <v>6370</v>
      </c>
      <c r="T180" t="n">
        <v>7265</v>
      </c>
      <c r="U180" t="n">
        <v>8160</v>
      </c>
      <c r="V180" t="n">
        <v>3726</v>
      </c>
      <c r="W180" t="n">
        <v>1716</v>
      </c>
      <c r="X180" t="n">
        <v>1537</v>
      </c>
      <c r="Y180" t="n">
        <v>7590</v>
      </c>
    </row>
    <row r="181">
      <c r="A181" t="n">
        <v>180</v>
      </c>
      <c r="B181" t="n">
        <v>0</v>
      </c>
      <c r="C181" t="n">
        <v>14811</v>
      </c>
      <c r="D181" t="n">
        <v>35429</v>
      </c>
      <c r="E181" t="n">
        <v>201405</v>
      </c>
      <c r="F181" t="n">
        <v>1132833</v>
      </c>
      <c r="G181" t="n">
        <v>6262661</v>
      </c>
      <c r="H181" t="n">
        <v>34145821</v>
      </c>
      <c r="I181" t="n">
        <v>183046627</v>
      </c>
      <c r="J181" t="n">
        <v>2000</v>
      </c>
      <c r="K181" t="n">
        <v>16123</v>
      </c>
      <c r="L181" t="n">
        <v>2500</v>
      </c>
      <c r="M181" t="n">
        <v>1080</v>
      </c>
      <c r="N181" t="n">
        <v>1900</v>
      </c>
      <c r="O181" t="n">
        <v>2800</v>
      </c>
      <c r="P181" t="n">
        <v>3700</v>
      </c>
      <c r="Q181" t="n">
        <v>4600</v>
      </c>
      <c r="R181" t="n">
        <v>5500</v>
      </c>
      <c r="S181" t="n">
        <v>6400</v>
      </c>
      <c r="T181" t="n">
        <v>7300</v>
      </c>
      <c r="U181" t="n">
        <v>8200</v>
      </c>
      <c r="V181" t="n">
        <v>3749</v>
      </c>
      <c r="W181" t="n">
        <v>1720</v>
      </c>
      <c r="X181" t="n">
        <v>1540</v>
      </c>
      <c r="Y181" t="n">
        <v>7600</v>
      </c>
    </row>
    <row r="182">
      <c r="A182" t="n">
        <v>181</v>
      </c>
      <c r="B182" t="n">
        <v>0</v>
      </c>
      <c r="C182" t="n">
        <v>15034</v>
      </c>
      <c r="D182" t="n">
        <v>36138</v>
      </c>
      <c r="E182" t="n">
        <v>207448</v>
      </c>
      <c r="F182" t="n">
        <v>1178147</v>
      </c>
      <c r="G182" t="n">
        <v>6575795</v>
      </c>
      <c r="H182" t="n">
        <v>36194571</v>
      </c>
      <c r="I182" t="n">
        <v>195859891</v>
      </c>
      <c r="J182" t="n">
        <v>2000</v>
      </c>
      <c r="K182" t="n">
        <v>16285</v>
      </c>
      <c r="L182" t="n">
        <v>2500</v>
      </c>
      <c r="M182" t="n">
        <v>1081</v>
      </c>
      <c r="N182" t="n">
        <v>1905</v>
      </c>
      <c r="O182" t="n">
        <v>2810</v>
      </c>
      <c r="P182" t="n">
        <v>3715</v>
      </c>
      <c r="Q182" t="n">
        <v>4620</v>
      </c>
      <c r="R182" t="n">
        <v>5525</v>
      </c>
      <c r="S182" t="n">
        <v>6430</v>
      </c>
      <c r="T182" t="n">
        <v>7335</v>
      </c>
      <c r="U182" t="n">
        <v>8240</v>
      </c>
      <c r="V182" t="n">
        <v>3772</v>
      </c>
      <c r="W182" t="n">
        <v>1724</v>
      </c>
      <c r="X182" t="n">
        <v>1543</v>
      </c>
      <c r="Y182" t="n">
        <v>7610</v>
      </c>
    </row>
    <row r="183">
      <c r="A183" t="n">
        <v>182</v>
      </c>
      <c r="B183" t="n">
        <v>0</v>
      </c>
      <c r="C183" t="n">
        <v>15260</v>
      </c>
      <c r="D183" t="n">
        <v>36861</v>
      </c>
      <c r="E183" t="n">
        <v>213672</v>
      </c>
      <c r="F183" t="n">
        <v>1225273</v>
      </c>
      <c r="G183" t="n">
        <v>6904585</v>
      </c>
      <c r="H183" t="n">
        <v>38366246</v>
      </c>
      <c r="I183" t="n">
        <v>209570084</v>
      </c>
      <c r="J183" t="n">
        <v>2000</v>
      </c>
      <c r="K183" t="n">
        <v>16448</v>
      </c>
      <c r="L183" t="n">
        <v>2500</v>
      </c>
      <c r="M183" t="n">
        <v>1082</v>
      </c>
      <c r="N183" t="n">
        <v>1910</v>
      </c>
      <c r="O183" t="n">
        <v>2820</v>
      </c>
      <c r="P183" t="n">
        <v>3730</v>
      </c>
      <c r="Q183" t="n">
        <v>4640</v>
      </c>
      <c r="R183" t="n">
        <v>5550</v>
      </c>
      <c r="S183" t="n">
        <v>6460</v>
      </c>
      <c r="T183" t="n">
        <v>7370</v>
      </c>
      <c r="U183" t="n">
        <v>8280</v>
      </c>
      <c r="V183" t="n">
        <v>3795</v>
      </c>
      <c r="W183" t="n">
        <v>1728</v>
      </c>
      <c r="X183" t="n">
        <v>1546</v>
      </c>
      <c r="Y183" t="n">
        <v>7620</v>
      </c>
    </row>
    <row r="184">
      <c r="A184" t="n">
        <v>183</v>
      </c>
      <c r="B184" t="n">
        <v>0</v>
      </c>
      <c r="C184" t="n">
        <v>15489</v>
      </c>
      <c r="D184" t="n">
        <v>37599</v>
      </c>
      <c r="E184" t="n">
        <v>220083</v>
      </c>
      <c r="F184" t="n">
        <v>1274284</v>
      </c>
      <c r="G184" t="n">
        <v>7249815</v>
      </c>
      <c r="H184" t="n">
        <v>40668221</v>
      </c>
      <c r="I184" t="n">
        <v>224239990</v>
      </c>
      <c r="J184" t="n">
        <v>2000</v>
      </c>
      <c r="K184" t="n">
        <v>16613</v>
      </c>
      <c r="L184" t="n">
        <v>2500</v>
      </c>
      <c r="M184" t="n">
        <v>1083</v>
      </c>
      <c r="N184" t="n">
        <v>1915</v>
      </c>
      <c r="O184" t="n">
        <v>2830</v>
      </c>
      <c r="P184" t="n">
        <v>3745</v>
      </c>
      <c r="Q184" t="n">
        <v>4660</v>
      </c>
      <c r="R184" t="n">
        <v>5575</v>
      </c>
      <c r="S184" t="n">
        <v>6490</v>
      </c>
      <c r="T184" t="n">
        <v>7405</v>
      </c>
      <c r="U184" t="n">
        <v>8320</v>
      </c>
      <c r="V184" t="n">
        <v>3818</v>
      </c>
      <c r="W184" t="n">
        <v>1732</v>
      </c>
      <c r="X184" t="n">
        <v>1549</v>
      </c>
      <c r="Y184" t="n">
        <v>7630</v>
      </c>
    </row>
    <row r="185">
      <c r="A185" t="n">
        <v>184</v>
      </c>
      <c r="B185" t="n">
        <v>0</v>
      </c>
      <c r="C185" t="n">
        <v>15722</v>
      </c>
      <c r="D185" t="n">
        <v>38351</v>
      </c>
      <c r="E185" t="n">
        <v>226686</v>
      </c>
      <c r="F185" t="n">
        <v>1325256</v>
      </c>
      <c r="G185" t="n">
        <v>7612306</v>
      </c>
      <c r="H185" t="n">
        <v>43108315</v>
      </c>
      <c r="I185" t="n">
        <v>239936790</v>
      </c>
      <c r="J185" t="n">
        <v>2000</v>
      </c>
      <c r="K185" t="n">
        <v>16780</v>
      </c>
      <c r="L185" t="n">
        <v>2500</v>
      </c>
      <c r="M185" t="n">
        <v>1084</v>
      </c>
      <c r="N185" t="n">
        <v>1920</v>
      </c>
      <c r="O185" t="n">
        <v>2840</v>
      </c>
      <c r="P185" t="n">
        <v>3760</v>
      </c>
      <c r="Q185" t="n">
        <v>4680</v>
      </c>
      <c r="R185" t="n">
        <v>5600</v>
      </c>
      <c r="S185" t="n">
        <v>6520</v>
      </c>
      <c r="T185" t="n">
        <v>7440</v>
      </c>
      <c r="U185" t="n">
        <v>8360</v>
      </c>
      <c r="V185" t="n">
        <v>3842</v>
      </c>
      <c r="W185" t="n">
        <v>1736</v>
      </c>
      <c r="X185" t="n">
        <v>1552</v>
      </c>
      <c r="Y185" t="n">
        <v>7640</v>
      </c>
    </row>
    <row r="186">
      <c r="A186" t="n">
        <v>185</v>
      </c>
      <c r="B186" t="n">
        <v>0</v>
      </c>
      <c r="C186" t="n">
        <v>15958</v>
      </c>
      <c r="D186" t="n">
        <v>39119</v>
      </c>
      <c r="E186" t="n">
        <v>233487</v>
      </c>
      <c r="F186" t="n">
        <v>1378267</v>
      </c>
      <c r="G186" t="n">
        <v>7992922</v>
      </c>
      <c r="H186" t="n">
        <v>45694814</v>
      </c>
      <c r="I186" t="n">
        <v>256732366</v>
      </c>
      <c r="J186" t="n">
        <v>2000</v>
      </c>
      <c r="K186" t="n">
        <v>16948</v>
      </c>
      <c r="L186" t="n">
        <v>2500</v>
      </c>
      <c r="M186" t="n">
        <v>1085</v>
      </c>
      <c r="N186" t="n">
        <v>1925</v>
      </c>
      <c r="O186" t="n">
        <v>2850</v>
      </c>
      <c r="P186" t="n">
        <v>3775</v>
      </c>
      <c r="Q186" t="n">
        <v>4700</v>
      </c>
      <c r="R186" t="n">
        <v>5625</v>
      </c>
      <c r="S186" t="n">
        <v>6550</v>
      </c>
      <c r="T186" t="n">
        <v>7475</v>
      </c>
      <c r="U186" t="n">
        <v>8400</v>
      </c>
      <c r="V186" t="n">
        <v>3866</v>
      </c>
      <c r="W186" t="n">
        <v>1740</v>
      </c>
      <c r="X186" t="n">
        <v>1555</v>
      </c>
      <c r="Y186" t="n">
        <v>7650</v>
      </c>
    </row>
    <row r="187">
      <c r="A187" t="n">
        <v>186</v>
      </c>
      <c r="B187" t="n">
        <v>0</v>
      </c>
      <c r="C187" t="n">
        <v>16198</v>
      </c>
      <c r="D187" t="n">
        <v>39902</v>
      </c>
      <c r="E187" t="n">
        <v>240492</v>
      </c>
      <c r="F187" t="n">
        <v>1433398</v>
      </c>
      <c r="G187" t="n">
        <v>8392569</v>
      </c>
      <c r="H187" t="n">
        <v>48436503</v>
      </c>
      <c r="I187" t="n">
        <v>274703632</v>
      </c>
      <c r="J187" t="n">
        <v>2000</v>
      </c>
      <c r="K187" t="n">
        <v>17118</v>
      </c>
      <c r="L187" t="n">
        <v>2500</v>
      </c>
      <c r="M187" t="n">
        <v>1086</v>
      </c>
      <c r="N187" t="n">
        <v>1930</v>
      </c>
      <c r="O187" t="n">
        <v>2860</v>
      </c>
      <c r="P187" t="n">
        <v>3790</v>
      </c>
      <c r="Q187" t="n">
        <v>4720</v>
      </c>
      <c r="R187" t="n">
        <v>5650</v>
      </c>
      <c r="S187" t="n">
        <v>6580</v>
      </c>
      <c r="T187" t="n">
        <v>7510</v>
      </c>
      <c r="U187" t="n">
        <v>8440</v>
      </c>
      <c r="V187" t="n">
        <v>3890</v>
      </c>
      <c r="W187" t="n">
        <v>1744</v>
      </c>
      <c r="X187" t="n">
        <v>1558</v>
      </c>
      <c r="Y187" t="n">
        <v>7660</v>
      </c>
    </row>
    <row r="188">
      <c r="A188" t="n">
        <v>187</v>
      </c>
      <c r="B188" t="n">
        <v>0</v>
      </c>
      <c r="C188" t="n">
        <v>16441</v>
      </c>
      <c r="D188" t="n">
        <v>40701</v>
      </c>
      <c r="E188" t="n">
        <v>247707</v>
      </c>
      <c r="F188" t="n">
        <v>1490734</v>
      </c>
      <c r="G188" t="n">
        <v>8812198</v>
      </c>
      <c r="H188" t="n">
        <v>51342694</v>
      </c>
      <c r="I188" t="n">
        <v>293932887</v>
      </c>
      <c r="J188" t="n">
        <v>2000</v>
      </c>
      <c r="K188" t="n">
        <v>17290</v>
      </c>
      <c r="L188" t="n">
        <v>2500</v>
      </c>
      <c r="M188" t="n">
        <v>1087</v>
      </c>
      <c r="N188" t="n">
        <v>1935</v>
      </c>
      <c r="O188" t="n">
        <v>2870</v>
      </c>
      <c r="P188" t="n">
        <v>3805</v>
      </c>
      <c r="Q188" t="n">
        <v>4740</v>
      </c>
      <c r="R188" t="n">
        <v>5675</v>
      </c>
      <c r="S188" t="n">
        <v>6610</v>
      </c>
      <c r="T188" t="n">
        <v>7545</v>
      </c>
      <c r="U188" t="n">
        <v>8480</v>
      </c>
      <c r="V188" t="n">
        <v>3914</v>
      </c>
      <c r="W188" t="n">
        <v>1748</v>
      </c>
      <c r="X188" t="n">
        <v>1561</v>
      </c>
      <c r="Y188" t="n">
        <v>7670</v>
      </c>
    </row>
    <row r="189">
      <c r="A189" t="n">
        <v>188</v>
      </c>
      <c r="B189" t="n">
        <v>0</v>
      </c>
      <c r="C189" t="n">
        <v>16688</v>
      </c>
      <c r="D189" t="n">
        <v>41516</v>
      </c>
      <c r="E189" t="n">
        <v>255139</v>
      </c>
      <c r="F189" t="n">
        <v>1550364</v>
      </c>
      <c r="G189" t="n">
        <v>9252808</v>
      </c>
      <c r="H189" t="n">
        <v>54423256</v>
      </c>
      <c r="I189" t="n">
        <v>314508190</v>
      </c>
      <c r="J189" t="n">
        <v>2000</v>
      </c>
      <c r="K189" t="n">
        <v>17463</v>
      </c>
      <c r="L189" t="n">
        <v>2500</v>
      </c>
      <c r="M189" t="n">
        <v>1088</v>
      </c>
      <c r="N189" t="n">
        <v>1940</v>
      </c>
      <c r="O189" t="n">
        <v>2880</v>
      </c>
      <c r="P189" t="n">
        <v>3820</v>
      </c>
      <c r="Q189" t="n">
        <v>4760</v>
      </c>
      <c r="R189" t="n">
        <v>5700</v>
      </c>
      <c r="S189" t="n">
        <v>6640</v>
      </c>
      <c r="T189" t="n">
        <v>7580</v>
      </c>
      <c r="U189" t="n">
        <v>8520</v>
      </c>
      <c r="V189" t="n">
        <v>3938</v>
      </c>
      <c r="W189" t="n">
        <v>1752</v>
      </c>
      <c r="X189" t="n">
        <v>1564</v>
      </c>
      <c r="Y189" t="n">
        <v>7680</v>
      </c>
    </row>
    <row r="190">
      <c r="A190" t="n">
        <v>189</v>
      </c>
      <c r="B190" t="n">
        <v>0</v>
      </c>
      <c r="C190" t="n">
        <v>16939</v>
      </c>
      <c r="D190" t="n">
        <v>42347</v>
      </c>
      <c r="E190" t="n">
        <v>262794</v>
      </c>
      <c r="F190" t="n">
        <v>1612379</v>
      </c>
      <c r="G190" t="n">
        <v>9715449</v>
      </c>
      <c r="H190" t="n">
        <v>57688652</v>
      </c>
      <c r="I190" t="n">
        <v>336523764</v>
      </c>
      <c r="J190" t="n">
        <v>2000</v>
      </c>
      <c r="K190" t="n">
        <v>17638</v>
      </c>
      <c r="L190" t="n">
        <v>2500</v>
      </c>
      <c r="M190" t="n">
        <v>1089</v>
      </c>
      <c r="N190" t="n">
        <v>1945</v>
      </c>
      <c r="O190" t="n">
        <v>2890</v>
      </c>
      <c r="P190" t="n">
        <v>3835</v>
      </c>
      <c r="Q190" t="n">
        <v>4780</v>
      </c>
      <c r="R190" t="n">
        <v>5725</v>
      </c>
      <c r="S190" t="n">
        <v>6670</v>
      </c>
      <c r="T190" t="n">
        <v>7615</v>
      </c>
      <c r="U190" t="n">
        <v>8560</v>
      </c>
      <c r="V190" t="n">
        <v>3962</v>
      </c>
      <c r="W190" t="n">
        <v>1756</v>
      </c>
      <c r="X190" t="n">
        <v>1567</v>
      </c>
      <c r="Y190" t="n">
        <v>7690</v>
      </c>
    </row>
    <row r="191">
      <c r="A191" t="n">
        <v>190</v>
      </c>
      <c r="B191" t="n">
        <v>0</v>
      </c>
      <c r="C191" t="n">
        <v>17194</v>
      </c>
      <c r="D191" t="n">
        <v>43194</v>
      </c>
      <c r="E191" t="n">
        <v>270678</v>
      </c>
      <c r="F191" t="n">
        <v>1676875</v>
      </c>
      <c r="G191" t="n">
        <v>10201222</v>
      </c>
      <c r="H191" t="n">
        <v>61149972</v>
      </c>
      <c r="I191" t="n">
        <v>360080428</v>
      </c>
      <c r="J191" t="n">
        <v>2000</v>
      </c>
      <c r="K191" t="n">
        <v>17815</v>
      </c>
      <c r="L191" t="n">
        <v>2500</v>
      </c>
      <c r="M191" t="n">
        <v>1090</v>
      </c>
      <c r="N191" t="n">
        <v>1950</v>
      </c>
      <c r="O191" t="n">
        <v>2900</v>
      </c>
      <c r="P191" t="n">
        <v>3850</v>
      </c>
      <c r="Q191" t="n">
        <v>4800</v>
      </c>
      <c r="R191" t="n">
        <v>5750</v>
      </c>
      <c r="S191" t="n">
        <v>6700</v>
      </c>
      <c r="T191" t="n">
        <v>7650</v>
      </c>
      <c r="U191" t="n">
        <v>8600</v>
      </c>
      <c r="V191" t="n">
        <v>3986</v>
      </c>
      <c r="W191" t="n">
        <v>1760</v>
      </c>
      <c r="X191" t="n">
        <v>1570</v>
      </c>
      <c r="Y191" t="n">
        <v>7700</v>
      </c>
    </row>
    <row r="192">
      <c r="A192" t="n">
        <v>191</v>
      </c>
      <c r="B192" t="n">
        <v>0</v>
      </c>
      <c r="C192" t="n">
        <v>17452</v>
      </c>
      <c r="D192" t="n">
        <v>44058</v>
      </c>
      <c r="E192" t="n">
        <v>278799</v>
      </c>
      <c r="F192" t="n">
        <v>1743950</v>
      </c>
      <c r="G192" t="n">
        <v>10711284</v>
      </c>
      <c r="H192" t="n">
        <v>64818971</v>
      </c>
      <c r="I192" t="n">
        <v>385286058</v>
      </c>
      <c r="J192" t="n">
        <v>2000</v>
      </c>
      <c r="K192" t="n">
        <v>17994</v>
      </c>
      <c r="L192" t="n">
        <v>2500</v>
      </c>
      <c r="M192" t="n">
        <v>1091</v>
      </c>
      <c r="N192" t="n">
        <v>1955</v>
      </c>
      <c r="O192" t="n">
        <v>2910</v>
      </c>
      <c r="P192" t="n">
        <v>3865</v>
      </c>
      <c r="Q192" t="n">
        <v>4820</v>
      </c>
      <c r="R192" t="n">
        <v>5775</v>
      </c>
      <c r="S192" t="n">
        <v>6730</v>
      </c>
      <c r="T192" t="n">
        <v>7685</v>
      </c>
      <c r="U192" t="n">
        <v>8640</v>
      </c>
      <c r="V192" t="n">
        <v>4010</v>
      </c>
      <c r="W192" t="n">
        <v>1764</v>
      </c>
      <c r="X192" t="n">
        <v>1573</v>
      </c>
      <c r="Y192" t="n">
        <v>7710</v>
      </c>
    </row>
    <row r="193">
      <c r="A193" t="n">
        <v>192</v>
      </c>
      <c r="B193" t="n">
        <v>0</v>
      </c>
      <c r="C193" t="n">
        <v>17714</v>
      </c>
      <c r="D193" t="n">
        <v>44940</v>
      </c>
      <c r="E193" t="n">
        <v>287163</v>
      </c>
      <c r="F193" t="n">
        <v>1813708</v>
      </c>
      <c r="G193" t="n">
        <v>11246849</v>
      </c>
      <c r="H193" t="n">
        <v>68708110</v>
      </c>
      <c r="I193" t="n">
        <v>412256083</v>
      </c>
      <c r="J193" t="n">
        <v>2000</v>
      </c>
      <c r="K193" t="n">
        <v>18174</v>
      </c>
      <c r="L193" t="n">
        <v>2500</v>
      </c>
      <c r="M193" t="n">
        <v>1092</v>
      </c>
      <c r="N193" t="n">
        <v>1960</v>
      </c>
      <c r="O193" t="n">
        <v>2920</v>
      </c>
      <c r="P193" t="n">
        <v>3880</v>
      </c>
      <c r="Q193" t="n">
        <v>4840</v>
      </c>
      <c r="R193" t="n">
        <v>5800</v>
      </c>
      <c r="S193" t="n">
        <v>6760</v>
      </c>
      <c r="T193" t="n">
        <v>7720</v>
      </c>
      <c r="U193" t="n">
        <v>8680</v>
      </c>
      <c r="V193" t="n">
        <v>4035</v>
      </c>
      <c r="W193" t="n">
        <v>1768</v>
      </c>
      <c r="X193" t="n">
        <v>1576</v>
      </c>
      <c r="Y193" t="n">
        <v>7720</v>
      </c>
    </row>
    <row r="194">
      <c r="A194" t="n">
        <v>193</v>
      </c>
      <c r="B194" t="n">
        <v>0</v>
      </c>
      <c r="C194" t="n">
        <v>17980</v>
      </c>
      <c r="D194" t="n">
        <v>45839</v>
      </c>
      <c r="E194" t="n">
        <v>295778</v>
      </c>
      <c r="F194" t="n">
        <v>1886257</v>
      </c>
      <c r="G194" t="n">
        <v>11809192</v>
      </c>
      <c r="H194" t="n">
        <v>72830597</v>
      </c>
      <c r="I194" t="n">
        <v>441114009</v>
      </c>
      <c r="J194" t="n">
        <v>2000</v>
      </c>
      <c r="K194" t="n">
        <v>18356</v>
      </c>
      <c r="L194" t="n">
        <v>2500</v>
      </c>
      <c r="M194" t="n">
        <v>1093</v>
      </c>
      <c r="N194" t="n">
        <v>1965</v>
      </c>
      <c r="O194" t="n">
        <v>2930</v>
      </c>
      <c r="P194" t="n">
        <v>3895</v>
      </c>
      <c r="Q194" t="n">
        <v>4860</v>
      </c>
      <c r="R194" t="n">
        <v>5825</v>
      </c>
      <c r="S194" t="n">
        <v>6790</v>
      </c>
      <c r="T194" t="n">
        <v>7755</v>
      </c>
      <c r="U194" t="n">
        <v>8720</v>
      </c>
      <c r="V194" t="n">
        <v>4060</v>
      </c>
      <c r="W194" t="n">
        <v>1772</v>
      </c>
      <c r="X194" t="n">
        <v>1579</v>
      </c>
      <c r="Y194" t="n">
        <v>7730</v>
      </c>
    </row>
    <row r="195">
      <c r="A195" t="n">
        <v>194</v>
      </c>
      <c r="B195" t="n">
        <v>0</v>
      </c>
      <c r="C195" t="n">
        <v>18250</v>
      </c>
      <c r="D195" t="n">
        <v>46756</v>
      </c>
      <c r="E195" t="n">
        <v>304652</v>
      </c>
      <c r="F195" t="n">
        <v>1961708</v>
      </c>
      <c r="G195" t="n">
        <v>12399652</v>
      </c>
      <c r="H195" t="n">
        <v>77200433</v>
      </c>
      <c r="I195" t="n">
        <v>471991990</v>
      </c>
      <c r="J195" t="n">
        <v>2000</v>
      </c>
      <c r="K195" t="n">
        <v>18540</v>
      </c>
      <c r="L195" t="n">
        <v>2500</v>
      </c>
      <c r="M195" t="n">
        <v>1094</v>
      </c>
      <c r="N195" t="n">
        <v>1970</v>
      </c>
      <c r="O195" t="n">
        <v>2940</v>
      </c>
      <c r="P195" t="n">
        <v>3910</v>
      </c>
      <c r="Q195" t="n">
        <v>4880</v>
      </c>
      <c r="R195" t="n">
        <v>5850</v>
      </c>
      <c r="S195" t="n">
        <v>6820</v>
      </c>
      <c r="T195" t="n">
        <v>7790</v>
      </c>
      <c r="U195" t="n">
        <v>8760</v>
      </c>
      <c r="V195" t="n">
        <v>4085</v>
      </c>
      <c r="W195" t="n">
        <v>1776</v>
      </c>
      <c r="X195" t="n">
        <v>1582</v>
      </c>
      <c r="Y195" t="n">
        <v>7740</v>
      </c>
    </row>
    <row r="196">
      <c r="A196" t="n">
        <v>195</v>
      </c>
      <c r="B196" t="n">
        <v>0</v>
      </c>
      <c r="C196" t="n">
        <v>18524</v>
      </c>
      <c r="D196" t="n">
        <v>47692</v>
      </c>
      <c r="E196" t="n">
        <v>313792</v>
      </c>
      <c r="F196" t="n">
        <v>2040177</v>
      </c>
      <c r="G196" t="n">
        <v>13019635</v>
      </c>
      <c r="H196" t="n">
        <v>81832459</v>
      </c>
      <c r="I196" t="n">
        <v>505031430</v>
      </c>
      <c r="J196" t="n">
        <v>2000</v>
      </c>
      <c r="K196" t="n">
        <v>18726</v>
      </c>
      <c r="L196" t="n">
        <v>2500</v>
      </c>
      <c r="M196" t="n">
        <v>1095</v>
      </c>
      <c r="N196" t="n">
        <v>1975</v>
      </c>
      <c r="O196" t="n">
        <v>2950</v>
      </c>
      <c r="P196" t="n">
        <v>3925</v>
      </c>
      <c r="Q196" t="n">
        <v>4900</v>
      </c>
      <c r="R196" t="n">
        <v>5875</v>
      </c>
      <c r="S196" t="n">
        <v>6850</v>
      </c>
      <c r="T196" t="n">
        <v>7825</v>
      </c>
      <c r="U196" t="n">
        <v>8800</v>
      </c>
      <c r="V196" t="n">
        <v>4110</v>
      </c>
      <c r="W196" t="n">
        <v>1780</v>
      </c>
      <c r="X196" t="n">
        <v>1585</v>
      </c>
      <c r="Y196" t="n">
        <v>7750</v>
      </c>
    </row>
    <row r="197">
      <c r="A197" t="n">
        <v>196</v>
      </c>
      <c r="B197" t="n">
        <v>0</v>
      </c>
      <c r="C197" t="n">
        <v>18802</v>
      </c>
      <c r="D197" t="n">
        <v>48646</v>
      </c>
      <c r="E197" t="n">
        <v>323206</v>
      </c>
      <c r="F197" t="n">
        <v>2121785</v>
      </c>
      <c r="G197" t="n">
        <v>13670617</v>
      </c>
      <c r="H197" t="n">
        <v>86742407</v>
      </c>
      <c r="I197" t="n">
        <v>540383631</v>
      </c>
      <c r="J197" t="n">
        <v>2000</v>
      </c>
      <c r="K197" t="n">
        <v>18914</v>
      </c>
      <c r="L197" t="n">
        <v>2500</v>
      </c>
      <c r="M197" t="n">
        <v>1096</v>
      </c>
      <c r="N197" t="n">
        <v>1980</v>
      </c>
      <c r="O197" t="n">
        <v>2960</v>
      </c>
      <c r="P197" t="n">
        <v>3940</v>
      </c>
      <c r="Q197" t="n">
        <v>4920</v>
      </c>
      <c r="R197" t="n">
        <v>5900</v>
      </c>
      <c r="S197" t="n">
        <v>6880</v>
      </c>
      <c r="T197" t="n">
        <v>7860</v>
      </c>
      <c r="U197" t="n">
        <v>8840</v>
      </c>
      <c r="V197" t="n">
        <v>4135</v>
      </c>
      <c r="W197" t="n">
        <v>1784</v>
      </c>
      <c r="X197" t="n">
        <v>1588</v>
      </c>
      <c r="Y197" t="n">
        <v>7760</v>
      </c>
    </row>
    <row r="198">
      <c r="A198" t="n">
        <v>197</v>
      </c>
      <c r="B198" t="n">
        <v>0</v>
      </c>
      <c r="C198" t="n">
        <v>19085</v>
      </c>
      <c r="D198" t="n">
        <v>49619</v>
      </c>
      <c r="E198" t="n">
        <v>332903</v>
      </c>
      <c r="F198" t="n">
        <v>2206657</v>
      </c>
      <c r="G198" t="n">
        <v>14354148</v>
      </c>
      <c r="H198" t="n">
        <v>91946952</v>
      </c>
      <c r="I198" t="n">
        <v>578210486</v>
      </c>
      <c r="J198" t="n">
        <v>2000</v>
      </c>
      <c r="K198" t="n">
        <v>19104</v>
      </c>
      <c r="L198" t="n">
        <v>2500</v>
      </c>
      <c r="M198" t="n">
        <v>1097</v>
      </c>
      <c r="N198" t="n">
        <v>1985</v>
      </c>
      <c r="O198" t="n">
        <v>2970</v>
      </c>
      <c r="P198" t="n">
        <v>3955</v>
      </c>
      <c r="Q198" t="n">
        <v>4940</v>
      </c>
      <c r="R198" t="n">
        <v>5925</v>
      </c>
      <c r="S198" t="n">
        <v>6910</v>
      </c>
      <c r="T198" t="n">
        <v>7895</v>
      </c>
      <c r="U198" t="n">
        <v>8880</v>
      </c>
      <c r="V198" t="n">
        <v>4160</v>
      </c>
      <c r="W198" t="n">
        <v>1788</v>
      </c>
      <c r="X198" t="n">
        <v>1591</v>
      </c>
      <c r="Y198" t="n">
        <v>7770</v>
      </c>
    </row>
    <row r="199">
      <c r="A199" t="n">
        <v>198</v>
      </c>
      <c r="B199" t="n">
        <v>0</v>
      </c>
      <c r="C199" t="n">
        <v>19372</v>
      </c>
      <c r="D199" t="n">
        <v>50612</v>
      </c>
      <c r="E199" t="n">
        <v>342891</v>
      </c>
      <c r="F199" t="n">
        <v>2294924</v>
      </c>
      <c r="G199" t="n">
        <v>15071856</v>
      </c>
      <c r="H199" t="n">
        <v>97463770</v>
      </c>
      <c r="I199" t="n">
        <v>618685221</v>
      </c>
      <c r="J199" t="n">
        <v>2000</v>
      </c>
      <c r="K199" t="n">
        <v>19296</v>
      </c>
      <c r="L199" t="n">
        <v>2500</v>
      </c>
      <c r="M199" t="n">
        <v>1098</v>
      </c>
      <c r="N199" t="n">
        <v>1990</v>
      </c>
      <c r="O199" t="n">
        <v>2980</v>
      </c>
      <c r="P199" t="n">
        <v>3970</v>
      </c>
      <c r="Q199" t="n">
        <v>4960</v>
      </c>
      <c r="R199" t="n">
        <v>5950</v>
      </c>
      <c r="S199" t="n">
        <v>6940</v>
      </c>
      <c r="T199" t="n">
        <v>7930</v>
      </c>
      <c r="U199" t="n">
        <v>8920</v>
      </c>
      <c r="V199" t="n">
        <v>4185</v>
      </c>
      <c r="W199" t="n">
        <v>1792</v>
      </c>
      <c r="X199" t="n">
        <v>1594</v>
      </c>
      <c r="Y199" t="n">
        <v>7780</v>
      </c>
    </row>
    <row r="200">
      <c r="A200" t="n">
        <v>199</v>
      </c>
      <c r="B200" t="n">
        <v>0</v>
      </c>
      <c r="C200" t="n">
        <v>19663</v>
      </c>
      <c r="D200" t="n">
        <v>51625</v>
      </c>
      <c r="E200" t="n">
        <v>353178</v>
      </c>
      <c r="F200" t="n">
        <v>2386721</v>
      </c>
      <c r="G200" t="n">
        <v>15825449</v>
      </c>
      <c r="H200" t="n">
        <v>103311597</v>
      </c>
      <c r="I200" t="n">
        <v>661993187</v>
      </c>
      <c r="J200" t="n">
        <v>2000</v>
      </c>
      <c r="K200" t="n">
        <v>19489</v>
      </c>
      <c r="L200" t="n">
        <v>2500</v>
      </c>
      <c r="M200" t="n">
        <v>1099</v>
      </c>
      <c r="N200" t="n">
        <v>1995</v>
      </c>
      <c r="O200" t="n">
        <v>2990</v>
      </c>
      <c r="P200" t="n">
        <v>3985</v>
      </c>
      <c r="Q200" t="n">
        <v>4980</v>
      </c>
      <c r="R200" t="n">
        <v>5975</v>
      </c>
      <c r="S200" t="n">
        <v>6970</v>
      </c>
      <c r="T200" t="n">
        <v>7965</v>
      </c>
      <c r="U200" t="n">
        <v>8960</v>
      </c>
      <c r="V200" t="n">
        <v>4210</v>
      </c>
      <c r="W200" t="n">
        <v>1796</v>
      </c>
      <c r="X200" t="n">
        <v>1597</v>
      </c>
      <c r="Y200" t="n">
        <v>7790</v>
      </c>
    </row>
    <row r="201">
      <c r="A201" t="n">
        <v>200</v>
      </c>
      <c r="B201" t="n">
        <v>0</v>
      </c>
      <c r="C201" t="n">
        <v>19958</v>
      </c>
      <c r="D201" t="n">
        <v>52658</v>
      </c>
      <c r="E201" t="n">
        <v>363774</v>
      </c>
      <c r="F201" t="n">
        <v>2482190</v>
      </c>
      <c r="G201" t="n">
        <v>16616722</v>
      </c>
      <c r="H201" t="n">
        <v>109510293</v>
      </c>
      <c r="I201" t="n">
        <v>708332711</v>
      </c>
      <c r="J201" t="n">
        <v>2000</v>
      </c>
      <c r="K201" t="n">
        <v>19684</v>
      </c>
      <c r="L201" t="n">
        <v>2500</v>
      </c>
      <c r="M201" t="n">
        <v>1100</v>
      </c>
      <c r="N201" t="n">
        <v>2000</v>
      </c>
      <c r="O201" t="n">
        <v>3000</v>
      </c>
      <c r="P201" t="n">
        <v>4000</v>
      </c>
      <c r="Q201" t="n">
        <v>5000</v>
      </c>
      <c r="R201" t="n">
        <v>6000</v>
      </c>
      <c r="S201" t="n">
        <v>7000</v>
      </c>
      <c r="T201" t="n">
        <v>8000</v>
      </c>
      <c r="U201" t="n">
        <v>9000</v>
      </c>
      <c r="V201" t="n">
        <v>4236</v>
      </c>
      <c r="W201" t="n">
        <v>1800</v>
      </c>
      <c r="X201" t="n">
        <v>1600</v>
      </c>
      <c r="Y201" t="n">
        <v>7800</v>
      </c>
    </row>
    <row r="202">
      <c r="A202" t="n">
        <v>201</v>
      </c>
      <c r="B202" t="n">
        <v>0</v>
      </c>
      <c r="C202" t="n">
        <v>20258</v>
      </c>
      <c r="D202" t="n">
        <v>53712</v>
      </c>
      <c r="E202" t="n">
        <v>374688</v>
      </c>
      <c r="F202" t="n">
        <v>2581478</v>
      </c>
      <c r="G202" t="n">
        <v>17447559</v>
      </c>
      <c r="H202" t="n">
        <v>116080911</v>
      </c>
      <c r="I202" t="n">
        <v>757916001</v>
      </c>
      <c r="J202" t="n">
        <v>2000</v>
      </c>
      <c r="K202" t="n">
        <v>19881</v>
      </c>
      <c r="L202" t="n">
        <v>2500</v>
      </c>
      <c r="M202" t="n">
        <v>1100</v>
      </c>
      <c r="N202" t="n">
        <v>2005</v>
      </c>
      <c r="O202" t="n">
        <v>3010</v>
      </c>
      <c r="P202" t="n">
        <v>4015</v>
      </c>
      <c r="Q202" t="n">
        <v>5020</v>
      </c>
      <c r="R202" t="n">
        <v>6025</v>
      </c>
      <c r="S202" t="n">
        <v>7030</v>
      </c>
      <c r="T202" t="n">
        <v>8035</v>
      </c>
      <c r="U202" t="n">
        <v>9040</v>
      </c>
      <c r="V202" t="n">
        <v>4262</v>
      </c>
      <c r="W202" t="n">
        <v>1804</v>
      </c>
      <c r="X202" t="n">
        <v>1603</v>
      </c>
      <c r="Y202" t="n">
        <v>7810</v>
      </c>
    </row>
    <row r="203">
      <c r="A203" t="n">
        <v>202</v>
      </c>
      <c r="B203" t="n">
        <v>0</v>
      </c>
      <c r="C203" t="n">
        <v>20562</v>
      </c>
      <c r="D203" t="n">
        <v>54787</v>
      </c>
      <c r="E203" t="n">
        <v>385929</v>
      </c>
      <c r="F203" t="n">
        <v>2684738</v>
      </c>
      <c r="G203" t="n">
        <v>18319937</v>
      </c>
      <c r="H203" t="n">
        <v>123045766</v>
      </c>
      <c r="I203" t="n">
        <v>810970122</v>
      </c>
      <c r="J203" t="n">
        <v>2000</v>
      </c>
      <c r="K203" t="n">
        <v>20080</v>
      </c>
      <c r="L203" t="n">
        <v>2500</v>
      </c>
      <c r="M203" t="n">
        <v>1100</v>
      </c>
      <c r="N203" t="n">
        <v>2010</v>
      </c>
      <c r="O203" t="n">
        <v>3020</v>
      </c>
      <c r="P203" t="n">
        <v>4030</v>
      </c>
      <c r="Q203" t="n">
        <v>5040</v>
      </c>
      <c r="R203" t="n">
        <v>6050</v>
      </c>
      <c r="S203" t="n">
        <v>7060</v>
      </c>
      <c r="T203" t="n">
        <v>8070</v>
      </c>
      <c r="U203" t="n">
        <v>9080</v>
      </c>
      <c r="V203" t="n">
        <v>4288</v>
      </c>
      <c r="W203" t="n">
        <v>1808</v>
      </c>
      <c r="X203" t="n">
        <v>1606</v>
      </c>
      <c r="Y203" t="n">
        <v>7820</v>
      </c>
    </row>
    <row r="204">
      <c r="A204" t="n">
        <v>203</v>
      </c>
      <c r="B204" t="n">
        <v>0</v>
      </c>
      <c r="C204" t="n">
        <v>20871</v>
      </c>
      <c r="D204" t="n">
        <v>55883</v>
      </c>
      <c r="E204" t="n">
        <v>397507</v>
      </c>
      <c r="F204" t="n">
        <v>2792128</v>
      </c>
      <c r="G204" t="n">
        <v>19235934</v>
      </c>
      <c r="H204" t="n">
        <v>130428512</v>
      </c>
      <c r="I204" t="n">
        <v>867738031</v>
      </c>
      <c r="J204" t="n">
        <v>2000</v>
      </c>
      <c r="K204" t="n">
        <v>20281</v>
      </c>
      <c r="L204" t="n">
        <v>2500</v>
      </c>
      <c r="M204" t="n">
        <v>1100</v>
      </c>
      <c r="N204" t="n">
        <v>2015</v>
      </c>
      <c r="O204" t="n">
        <v>3030</v>
      </c>
      <c r="P204" t="n">
        <v>4045</v>
      </c>
      <c r="Q204" t="n">
        <v>5060</v>
      </c>
      <c r="R204" t="n">
        <v>6075</v>
      </c>
      <c r="S204" t="n">
        <v>7090</v>
      </c>
      <c r="T204" t="n">
        <v>8105</v>
      </c>
      <c r="U204" t="n">
        <v>9120</v>
      </c>
      <c r="V204" t="n">
        <v>4314</v>
      </c>
      <c r="W204" t="n">
        <v>1812</v>
      </c>
      <c r="X204" t="n">
        <v>1609</v>
      </c>
      <c r="Y204" t="n">
        <v>7830</v>
      </c>
    </row>
    <row r="205">
      <c r="A205" t="n">
        <v>204</v>
      </c>
      <c r="B205" t="n">
        <v>0</v>
      </c>
      <c r="C205" t="n">
        <v>21185</v>
      </c>
      <c r="D205" t="n">
        <v>57001</v>
      </c>
      <c r="E205" t="n">
        <v>409433</v>
      </c>
      <c r="F205" t="n">
        <v>2903814</v>
      </c>
      <c r="G205" t="n">
        <v>20197731</v>
      </c>
      <c r="H205" t="n">
        <v>138254223</v>
      </c>
      <c r="I205" t="n">
        <v>928479694</v>
      </c>
      <c r="J205" t="n">
        <v>2000</v>
      </c>
      <c r="K205" t="n">
        <v>20484</v>
      </c>
      <c r="L205" t="n">
        <v>2500</v>
      </c>
      <c r="M205" t="n">
        <v>1100</v>
      </c>
      <c r="N205" t="n">
        <v>2020</v>
      </c>
      <c r="O205" t="n">
        <v>3040</v>
      </c>
      <c r="P205" t="n">
        <v>4060</v>
      </c>
      <c r="Q205" t="n">
        <v>5080</v>
      </c>
      <c r="R205" t="n">
        <v>6100</v>
      </c>
      <c r="S205" t="n">
        <v>7120</v>
      </c>
      <c r="T205" t="n">
        <v>8140</v>
      </c>
      <c r="U205" t="n">
        <v>9160</v>
      </c>
      <c r="V205" t="n">
        <v>4340</v>
      </c>
      <c r="W205" t="n">
        <v>1816</v>
      </c>
      <c r="X205" t="n">
        <v>1612</v>
      </c>
      <c r="Y205" t="n">
        <v>7840</v>
      </c>
    </row>
    <row r="206">
      <c r="A206" t="n">
        <v>205</v>
      </c>
      <c r="B206" t="n">
        <v>0</v>
      </c>
      <c r="C206" t="n">
        <v>21503</v>
      </c>
      <c r="D206" t="n">
        <v>58142</v>
      </c>
      <c r="E206" t="n">
        <v>421716</v>
      </c>
      <c r="F206" t="n">
        <v>3019967</v>
      </c>
      <c r="G206" t="n">
        <v>21207618</v>
      </c>
      <c r="H206" t="n">
        <v>146549477</v>
      </c>
      <c r="I206" t="n">
        <v>993473273</v>
      </c>
      <c r="J206" t="n">
        <v>2000</v>
      </c>
      <c r="K206" t="n">
        <v>20689</v>
      </c>
      <c r="L206" t="n">
        <v>2500</v>
      </c>
      <c r="M206" t="n">
        <v>1100</v>
      </c>
      <c r="N206" t="n">
        <v>2025</v>
      </c>
      <c r="O206" t="n">
        <v>3050</v>
      </c>
      <c r="P206" t="n">
        <v>4075</v>
      </c>
      <c r="Q206" t="n">
        <v>5100</v>
      </c>
      <c r="R206" t="n">
        <v>6125</v>
      </c>
      <c r="S206" t="n">
        <v>7150</v>
      </c>
      <c r="T206" t="n">
        <v>8175</v>
      </c>
      <c r="U206" t="n">
        <v>9200</v>
      </c>
      <c r="V206" t="n">
        <v>4366</v>
      </c>
      <c r="W206" t="n">
        <v>1820</v>
      </c>
      <c r="X206" t="n">
        <v>1615</v>
      </c>
      <c r="Y206" t="n">
        <v>7850</v>
      </c>
    </row>
    <row r="207">
      <c r="A207" t="n">
        <v>206</v>
      </c>
      <c r="B207" t="n">
        <v>0</v>
      </c>
      <c r="C207" t="n">
        <v>21826</v>
      </c>
      <c r="D207" t="n">
        <v>59305</v>
      </c>
      <c r="E207" t="n">
        <v>434368</v>
      </c>
      <c r="F207" t="n">
        <v>3140766</v>
      </c>
      <c r="G207" t="n">
        <v>22267999</v>
      </c>
      <c r="H207" t="n">
        <v>155342446</v>
      </c>
      <c r="I207" t="n">
        <v>1063016403</v>
      </c>
      <c r="J207" t="n">
        <v>2000</v>
      </c>
      <c r="K207" t="n">
        <v>20896</v>
      </c>
      <c r="L207" t="n">
        <v>2500</v>
      </c>
      <c r="M207" t="n">
        <v>1100</v>
      </c>
      <c r="N207" t="n">
        <v>2030</v>
      </c>
      <c r="O207" t="n">
        <v>3060</v>
      </c>
      <c r="P207" t="n">
        <v>4090</v>
      </c>
      <c r="Q207" t="n">
        <v>5120</v>
      </c>
      <c r="R207" t="n">
        <v>6150</v>
      </c>
      <c r="S207" t="n">
        <v>7180</v>
      </c>
      <c r="T207" t="n">
        <v>8210</v>
      </c>
      <c r="U207" t="n">
        <v>9240</v>
      </c>
      <c r="V207" t="n">
        <v>4392</v>
      </c>
      <c r="W207" t="n">
        <v>1824</v>
      </c>
      <c r="X207" t="n">
        <v>1618</v>
      </c>
      <c r="Y207" t="n">
        <v>7860</v>
      </c>
    </row>
    <row r="208">
      <c r="A208" t="n">
        <v>207</v>
      </c>
      <c r="B208" t="n">
        <v>0</v>
      </c>
      <c r="C208" t="n">
        <v>22154</v>
      </c>
      <c r="D208" t="n">
        <v>60492</v>
      </c>
      <c r="E208" t="n">
        <v>447400</v>
      </c>
      <c r="F208" t="n">
        <v>3266397</v>
      </c>
      <c r="G208" t="n">
        <v>23381399</v>
      </c>
      <c r="H208" t="n">
        <v>164662993</v>
      </c>
      <c r="I208" t="n">
        <v>1137427552</v>
      </c>
      <c r="J208" t="n">
        <v>2000</v>
      </c>
      <c r="K208" t="n">
        <v>21105</v>
      </c>
      <c r="L208" t="n">
        <v>2500</v>
      </c>
      <c r="M208" t="n">
        <v>1100</v>
      </c>
      <c r="N208" t="n">
        <v>2035</v>
      </c>
      <c r="O208" t="n">
        <v>3070</v>
      </c>
      <c r="P208" t="n">
        <v>4105</v>
      </c>
      <c r="Q208" t="n">
        <v>5140</v>
      </c>
      <c r="R208" t="n">
        <v>6175</v>
      </c>
      <c r="S208" t="n">
        <v>7210</v>
      </c>
      <c r="T208" t="n">
        <v>8245</v>
      </c>
      <c r="U208" t="n">
        <v>9280</v>
      </c>
      <c r="V208" t="n">
        <v>4418</v>
      </c>
      <c r="W208" t="n">
        <v>1828</v>
      </c>
      <c r="X208" t="n">
        <v>1621</v>
      </c>
      <c r="Y208" t="n">
        <v>7870</v>
      </c>
    </row>
    <row r="209">
      <c r="A209" t="n">
        <v>208</v>
      </c>
      <c r="B209" t="n">
        <v>0</v>
      </c>
      <c r="C209" t="n">
        <v>22487</v>
      </c>
      <c r="D209" t="n">
        <v>61702</v>
      </c>
      <c r="E209" t="n">
        <v>460822</v>
      </c>
      <c r="F209" t="n">
        <v>3397053</v>
      </c>
      <c r="G209" t="n">
        <v>24550469</v>
      </c>
      <c r="H209" t="n">
        <v>174542773</v>
      </c>
      <c r="I209" t="n">
        <v>1217047481</v>
      </c>
      <c r="J209" t="n">
        <v>2000</v>
      </c>
      <c r="K209" t="n">
        <v>21317</v>
      </c>
      <c r="L209" t="n">
        <v>2500</v>
      </c>
      <c r="M209" t="n">
        <v>1100</v>
      </c>
      <c r="N209" t="n">
        <v>2040</v>
      </c>
      <c r="O209" t="n">
        <v>3080</v>
      </c>
      <c r="P209" t="n">
        <v>4120</v>
      </c>
      <c r="Q209" t="n">
        <v>5160</v>
      </c>
      <c r="R209" t="n">
        <v>6200</v>
      </c>
      <c r="S209" t="n">
        <v>7240</v>
      </c>
      <c r="T209" t="n">
        <v>8280</v>
      </c>
      <c r="U209" t="n">
        <v>9320</v>
      </c>
      <c r="V209" t="n">
        <v>4445</v>
      </c>
      <c r="W209" t="n">
        <v>1832</v>
      </c>
      <c r="X209" t="n">
        <v>1624</v>
      </c>
      <c r="Y209" t="n">
        <v>7880</v>
      </c>
    </row>
    <row r="210">
      <c r="A210" t="n">
        <v>209</v>
      </c>
      <c r="B210" t="n">
        <v>0</v>
      </c>
      <c r="C210" t="n">
        <v>22825</v>
      </c>
      <c r="D210" t="n">
        <v>62937</v>
      </c>
      <c r="E210" t="n">
        <v>474647</v>
      </c>
      <c r="F210" t="n">
        <v>3532936</v>
      </c>
      <c r="G210" t="n">
        <v>25777993</v>
      </c>
      <c r="H210" t="n">
        <v>185015340</v>
      </c>
      <c r="I210" t="n">
        <v>1302240805</v>
      </c>
      <c r="J210" t="n">
        <v>2000</v>
      </c>
      <c r="K210" t="n">
        <v>21531</v>
      </c>
      <c r="L210" t="n">
        <v>2500</v>
      </c>
      <c r="M210" t="n">
        <v>1100</v>
      </c>
      <c r="N210" t="n">
        <v>2045</v>
      </c>
      <c r="O210" t="n">
        <v>3090</v>
      </c>
      <c r="P210" t="n">
        <v>4135</v>
      </c>
      <c r="Q210" t="n">
        <v>5180</v>
      </c>
      <c r="R210" t="n">
        <v>6225</v>
      </c>
      <c r="S210" t="n">
        <v>7270</v>
      </c>
      <c r="T210" t="n">
        <v>8315</v>
      </c>
      <c r="U210" t="n">
        <v>9360</v>
      </c>
      <c r="V210" t="n">
        <v>4472</v>
      </c>
      <c r="W210" t="n">
        <v>1836</v>
      </c>
      <c r="X210" t="n">
        <v>1627</v>
      </c>
      <c r="Y210" t="n">
        <v>7890</v>
      </c>
    </row>
    <row r="211">
      <c r="A211" t="n">
        <v>210</v>
      </c>
      <c r="B211" t="n">
        <v>0</v>
      </c>
      <c r="C211" t="n">
        <v>23168</v>
      </c>
      <c r="D211" t="n">
        <v>64196</v>
      </c>
      <c r="E211" t="n">
        <v>488887</v>
      </c>
      <c r="F211" t="n">
        <v>3674254</v>
      </c>
      <c r="G211" t="n">
        <v>27066893</v>
      </c>
      <c r="H211" t="n">
        <v>196116261</v>
      </c>
      <c r="I211" t="n">
        <v>1393397662</v>
      </c>
      <c r="J211" t="n">
        <v>2000</v>
      </c>
      <c r="K211" t="n">
        <v>21747</v>
      </c>
      <c r="L211" t="n">
        <v>2500</v>
      </c>
      <c r="M211" t="n">
        <v>1100</v>
      </c>
      <c r="N211" t="n">
        <v>2050</v>
      </c>
      <c r="O211" t="n">
        <v>3100</v>
      </c>
      <c r="P211" t="n">
        <v>4150</v>
      </c>
      <c r="Q211" t="n">
        <v>5200</v>
      </c>
      <c r="R211" t="n">
        <v>6250</v>
      </c>
      <c r="S211" t="n">
        <v>7300</v>
      </c>
      <c r="T211" t="n">
        <v>8350</v>
      </c>
      <c r="U211" t="n">
        <v>9400</v>
      </c>
      <c r="V211" t="n">
        <v>4499</v>
      </c>
      <c r="W211" t="n">
        <v>1840</v>
      </c>
      <c r="X211" t="n">
        <v>1630</v>
      </c>
      <c r="Y211" t="n">
        <v>7900</v>
      </c>
    </row>
    <row r="212">
      <c r="A212" t="n">
        <v>211</v>
      </c>
      <c r="B212" t="n">
        <v>0</v>
      </c>
      <c r="C212" t="n">
        <v>23516</v>
      </c>
      <c r="D212" t="n">
        <v>65480</v>
      </c>
      <c r="E212" t="n">
        <v>503554</v>
      </c>
      <c r="F212" t="n">
        <v>3821225</v>
      </c>
      <c r="G212" t="n">
        <v>28420238</v>
      </c>
      <c r="H212" t="n">
        <v>207883237</v>
      </c>
      <c r="I212" t="n">
        <v>1490935499</v>
      </c>
      <c r="J212" t="n">
        <v>2000</v>
      </c>
      <c r="K212" t="n">
        <v>21965</v>
      </c>
      <c r="L212" t="n">
        <v>2500</v>
      </c>
      <c r="M212" t="n">
        <v>1100</v>
      </c>
      <c r="N212" t="n">
        <v>2055</v>
      </c>
      <c r="O212" t="n">
        <v>3110</v>
      </c>
      <c r="P212" t="n">
        <v>4165</v>
      </c>
      <c r="Q212" t="n">
        <v>5220</v>
      </c>
      <c r="R212" t="n">
        <v>6275</v>
      </c>
      <c r="S212" t="n">
        <v>7330</v>
      </c>
      <c r="T212" t="n">
        <v>8385</v>
      </c>
      <c r="U212" t="n">
        <v>9440</v>
      </c>
      <c r="V212" t="n">
        <v>4526</v>
      </c>
      <c r="W212" t="n">
        <v>1844</v>
      </c>
      <c r="X212" t="n">
        <v>1633</v>
      </c>
      <c r="Y212" t="n">
        <v>7910</v>
      </c>
    </row>
    <row r="213">
      <c r="A213" t="n">
        <v>212</v>
      </c>
      <c r="B213" t="n">
        <v>0</v>
      </c>
      <c r="C213" t="n">
        <v>23869</v>
      </c>
      <c r="D213" t="n">
        <v>66790</v>
      </c>
      <c r="E213" t="n">
        <v>518661</v>
      </c>
      <c r="F213" t="n">
        <v>3974074</v>
      </c>
      <c r="G213" t="n">
        <v>29841250</v>
      </c>
      <c r="H213" t="n">
        <v>220356232</v>
      </c>
      <c r="I213" t="n">
        <v>1595300984</v>
      </c>
      <c r="J213" t="n">
        <v>2000</v>
      </c>
      <c r="K213" t="n">
        <v>22185</v>
      </c>
      <c r="L213" t="n">
        <v>2500</v>
      </c>
      <c r="M213" t="n">
        <v>1100</v>
      </c>
      <c r="N213" t="n">
        <v>2060</v>
      </c>
      <c r="O213" t="n">
        <v>3120</v>
      </c>
      <c r="P213" t="n">
        <v>4180</v>
      </c>
      <c r="Q213" t="n">
        <v>5240</v>
      </c>
      <c r="R213" t="n">
        <v>6300</v>
      </c>
      <c r="S213" t="n">
        <v>7360</v>
      </c>
      <c r="T213" t="n">
        <v>8420</v>
      </c>
      <c r="U213" t="n">
        <v>9480</v>
      </c>
      <c r="V213" t="n">
        <v>4553</v>
      </c>
      <c r="W213" t="n">
        <v>1848</v>
      </c>
      <c r="X213" t="n">
        <v>1636</v>
      </c>
      <c r="Y213" t="n">
        <v>7920</v>
      </c>
    </row>
    <row r="214">
      <c r="A214" t="n">
        <v>213</v>
      </c>
      <c r="B214" t="n">
        <v>0</v>
      </c>
      <c r="C214" t="n">
        <v>24228</v>
      </c>
      <c r="D214" t="n">
        <v>68126</v>
      </c>
      <c r="E214" t="n">
        <v>534221</v>
      </c>
      <c r="F214" t="n">
        <v>4133037</v>
      </c>
      <c r="G214" t="n">
        <v>31333313</v>
      </c>
      <c r="H214" t="n">
        <v>233577606</v>
      </c>
      <c r="I214" t="n">
        <v>1706972053</v>
      </c>
      <c r="J214" t="n">
        <v>2000</v>
      </c>
      <c r="K214" t="n">
        <v>22407</v>
      </c>
      <c r="L214" t="n">
        <v>2500</v>
      </c>
      <c r="M214" t="n">
        <v>1100</v>
      </c>
      <c r="N214" t="n">
        <v>2065</v>
      </c>
      <c r="O214" t="n">
        <v>3130</v>
      </c>
      <c r="P214" t="n">
        <v>4195</v>
      </c>
      <c r="Q214" t="n">
        <v>5260</v>
      </c>
      <c r="R214" t="n">
        <v>6325</v>
      </c>
      <c r="S214" t="n">
        <v>7390</v>
      </c>
      <c r="T214" t="n">
        <v>8455</v>
      </c>
      <c r="U214" t="n">
        <v>9520</v>
      </c>
      <c r="V214" t="n">
        <v>4580</v>
      </c>
      <c r="W214" t="n">
        <v>1852</v>
      </c>
      <c r="X214" t="n">
        <v>1639</v>
      </c>
      <c r="Y214" t="n">
        <v>7930</v>
      </c>
    </row>
    <row r="215">
      <c r="A215" t="n">
        <v>214</v>
      </c>
      <c r="B215" t="n">
        <v>0</v>
      </c>
      <c r="C215" t="n">
        <v>24592</v>
      </c>
      <c r="D215" t="n">
        <v>69489</v>
      </c>
      <c r="E215" t="n">
        <v>550248</v>
      </c>
      <c r="F215" t="n">
        <v>4298359</v>
      </c>
      <c r="G215" t="n">
        <v>32899979</v>
      </c>
      <c r="H215" t="n">
        <v>247592263</v>
      </c>
      <c r="I215" t="n">
        <v>1826460097</v>
      </c>
      <c r="J215" t="n">
        <v>2000</v>
      </c>
      <c r="K215" t="n">
        <v>22632</v>
      </c>
      <c r="L215" t="n">
        <v>2500</v>
      </c>
      <c r="M215" t="n">
        <v>1100</v>
      </c>
      <c r="N215" t="n">
        <v>2070</v>
      </c>
      <c r="O215" t="n">
        <v>3140</v>
      </c>
      <c r="P215" t="n">
        <v>4210</v>
      </c>
      <c r="Q215" t="n">
        <v>5280</v>
      </c>
      <c r="R215" t="n">
        <v>6350</v>
      </c>
      <c r="S215" t="n">
        <v>7420</v>
      </c>
      <c r="T215" t="n">
        <v>8490</v>
      </c>
      <c r="U215" t="n">
        <v>9560</v>
      </c>
      <c r="V215" t="n">
        <v>4607</v>
      </c>
      <c r="W215" t="n">
        <v>1856</v>
      </c>
      <c r="X215" t="n">
        <v>1642</v>
      </c>
      <c r="Y215" t="n">
        <v>7940</v>
      </c>
    </row>
    <row r="216">
      <c r="A216" t="n">
        <v>215</v>
      </c>
      <c r="B216" t="n">
        <v>0</v>
      </c>
      <c r="C216" t="n">
        <v>24961</v>
      </c>
      <c r="D216" t="n">
        <v>70879</v>
      </c>
      <c r="E216" t="n">
        <v>566756</v>
      </c>
      <c r="F216" t="n">
        <v>4470294</v>
      </c>
      <c r="G216" t="n">
        <v>34544978</v>
      </c>
      <c r="H216" t="n">
        <v>262447799</v>
      </c>
      <c r="I216" t="n">
        <v>1954312304</v>
      </c>
      <c r="J216" t="n">
        <v>2000</v>
      </c>
      <c r="K216" t="n">
        <v>22859</v>
      </c>
      <c r="L216" t="n">
        <v>2500</v>
      </c>
      <c r="M216" t="n">
        <v>1100</v>
      </c>
      <c r="N216" t="n">
        <v>2075</v>
      </c>
      <c r="O216" t="n">
        <v>3150</v>
      </c>
      <c r="P216" t="n">
        <v>4225</v>
      </c>
      <c r="Q216" t="n">
        <v>5300</v>
      </c>
      <c r="R216" t="n">
        <v>6375</v>
      </c>
      <c r="S216" t="n">
        <v>7450</v>
      </c>
      <c r="T216" t="n">
        <v>8525</v>
      </c>
      <c r="U216" t="n">
        <v>9600</v>
      </c>
      <c r="V216" t="n">
        <v>4635</v>
      </c>
      <c r="W216" t="n">
        <v>1860</v>
      </c>
      <c r="X216" t="n">
        <v>1645</v>
      </c>
      <c r="Y216" t="n">
        <v>7950</v>
      </c>
    </row>
    <row r="217">
      <c r="A217" t="n">
        <v>216</v>
      </c>
      <c r="B217" t="n">
        <v>0</v>
      </c>
      <c r="C217" t="n">
        <v>25336</v>
      </c>
      <c r="D217" t="n">
        <v>72297</v>
      </c>
      <c r="E217" t="n">
        <v>583759</v>
      </c>
      <c r="F217" t="n">
        <v>4649106</v>
      </c>
      <c r="G217" t="n">
        <v>36272227</v>
      </c>
      <c r="H217" t="n">
        <v>278194667</v>
      </c>
      <c r="I217" t="n">
        <v>2091114166</v>
      </c>
      <c r="J217" t="n">
        <v>2000</v>
      </c>
      <c r="K217" t="n">
        <v>23088</v>
      </c>
      <c r="L217" t="n">
        <v>2500</v>
      </c>
      <c r="M217" t="n">
        <v>1100</v>
      </c>
      <c r="N217" t="n">
        <v>2080</v>
      </c>
      <c r="O217" t="n">
        <v>3160</v>
      </c>
      <c r="P217" t="n">
        <v>4240</v>
      </c>
      <c r="Q217" t="n">
        <v>5320</v>
      </c>
      <c r="R217" t="n">
        <v>6400</v>
      </c>
      <c r="S217" t="n">
        <v>7480</v>
      </c>
      <c r="T217" t="n">
        <v>8560</v>
      </c>
      <c r="U217" t="n">
        <v>9640</v>
      </c>
      <c r="V217" t="n">
        <v>4663</v>
      </c>
      <c r="W217" t="n">
        <v>1864</v>
      </c>
      <c r="X217" t="n">
        <v>1648</v>
      </c>
      <c r="Y217" t="n">
        <v>7960</v>
      </c>
    </row>
    <row r="218">
      <c r="A218" t="n">
        <v>217</v>
      </c>
      <c r="B218" t="n">
        <v>0</v>
      </c>
      <c r="C218" t="n">
        <v>25717</v>
      </c>
      <c r="D218" t="n">
        <v>73743</v>
      </c>
      <c r="E218" t="n">
        <v>601272</v>
      </c>
      <c r="F218" t="n">
        <v>4835071</v>
      </c>
      <c r="G218" t="n">
        <v>38085839</v>
      </c>
      <c r="H218" t="n">
        <v>294886348</v>
      </c>
      <c r="I218" t="n">
        <v>2237492158</v>
      </c>
      <c r="J218" t="n">
        <v>2000</v>
      </c>
      <c r="K218" t="n">
        <v>23319</v>
      </c>
      <c r="L218" t="n">
        <v>2500</v>
      </c>
      <c r="M218" t="n">
        <v>1100</v>
      </c>
      <c r="N218" t="n">
        <v>2085</v>
      </c>
      <c r="O218" t="n">
        <v>3170</v>
      </c>
      <c r="P218" t="n">
        <v>4255</v>
      </c>
      <c r="Q218" t="n">
        <v>5340</v>
      </c>
      <c r="R218" t="n">
        <v>6425</v>
      </c>
      <c r="S218" t="n">
        <v>7510</v>
      </c>
      <c r="T218" t="n">
        <v>8595</v>
      </c>
      <c r="U218" t="n">
        <v>9680</v>
      </c>
      <c r="V218" t="n">
        <v>4691</v>
      </c>
      <c r="W218" t="n">
        <v>1868</v>
      </c>
      <c r="X218" t="n">
        <v>1651</v>
      </c>
      <c r="Y218" t="n">
        <v>7970</v>
      </c>
    </row>
    <row r="219">
      <c r="A219" t="n">
        <v>218</v>
      </c>
      <c r="B219" t="n">
        <v>0</v>
      </c>
      <c r="C219" t="n">
        <v>26103</v>
      </c>
      <c r="D219" t="n">
        <v>75218</v>
      </c>
      <c r="E219" t="n">
        <v>619311</v>
      </c>
      <c r="F219" t="n">
        <v>5028474</v>
      </c>
      <c r="G219" t="n">
        <v>39990131</v>
      </c>
      <c r="H219" t="n">
        <v>312579529</v>
      </c>
      <c r="I219" t="n">
        <v>2394116610</v>
      </c>
      <c r="J219" t="n">
        <v>2000</v>
      </c>
      <c r="K219" t="n">
        <v>23553</v>
      </c>
      <c r="L219" t="n">
        <v>2500</v>
      </c>
      <c r="M219" t="n">
        <v>1100</v>
      </c>
      <c r="N219" t="n">
        <v>2090</v>
      </c>
      <c r="O219" t="n">
        <v>3180</v>
      </c>
      <c r="P219" t="n">
        <v>4270</v>
      </c>
      <c r="Q219" t="n">
        <v>5360</v>
      </c>
      <c r="R219" t="n">
        <v>6450</v>
      </c>
      <c r="S219" t="n">
        <v>7540</v>
      </c>
      <c r="T219" t="n">
        <v>8630</v>
      </c>
      <c r="U219" t="n">
        <v>9720</v>
      </c>
      <c r="V219" t="n">
        <v>4719</v>
      </c>
      <c r="W219" t="n">
        <v>1872</v>
      </c>
      <c r="X219" t="n">
        <v>1654</v>
      </c>
      <c r="Y219" t="n">
        <v>7980</v>
      </c>
    </row>
    <row r="220">
      <c r="A220" t="n">
        <v>219</v>
      </c>
      <c r="B220" t="n">
        <v>0</v>
      </c>
      <c r="C220" t="n">
        <v>26495</v>
      </c>
      <c r="D220" t="n">
        <v>76723</v>
      </c>
      <c r="E220" t="n">
        <v>637891</v>
      </c>
      <c r="F220" t="n">
        <v>5229613</v>
      </c>
      <c r="G220" t="n">
        <v>41989638</v>
      </c>
      <c r="H220" t="n">
        <v>331334301</v>
      </c>
      <c r="I220" t="n">
        <v>2561704773</v>
      </c>
      <c r="J220" t="n">
        <v>2000</v>
      </c>
      <c r="K220" t="n">
        <v>23789</v>
      </c>
      <c r="L220" t="n">
        <v>2500</v>
      </c>
      <c r="M220" t="n">
        <v>1100</v>
      </c>
      <c r="N220" t="n">
        <v>2095</v>
      </c>
      <c r="O220" t="n">
        <v>3190</v>
      </c>
      <c r="P220" t="n">
        <v>4285</v>
      </c>
      <c r="Q220" t="n">
        <v>5380</v>
      </c>
      <c r="R220" t="n">
        <v>6475</v>
      </c>
      <c r="S220" t="n">
        <v>7570</v>
      </c>
      <c r="T220" t="n">
        <v>8665</v>
      </c>
      <c r="U220" t="n">
        <v>9760</v>
      </c>
      <c r="V220" t="n">
        <v>4747</v>
      </c>
      <c r="W220" t="n">
        <v>1876</v>
      </c>
      <c r="X220" t="n">
        <v>1657</v>
      </c>
      <c r="Y220" t="n">
        <v>7990</v>
      </c>
    </row>
    <row r="221">
      <c r="A221" t="n">
        <v>220</v>
      </c>
      <c r="B221" t="n">
        <v>0</v>
      </c>
      <c r="C221" t="n">
        <v>26893</v>
      </c>
      <c r="D221" t="n">
        <v>78258</v>
      </c>
      <c r="E221" t="n">
        <v>657028</v>
      </c>
      <c r="F221" t="n">
        <v>5438798</v>
      </c>
      <c r="G221" t="n">
        <v>44089120</v>
      </c>
      <c r="H221" t="n">
        <v>351214360</v>
      </c>
      <c r="I221" t="n">
        <v>2741024108</v>
      </c>
      <c r="J221" t="n">
        <v>2000</v>
      </c>
      <c r="K221" t="n">
        <v>24027</v>
      </c>
      <c r="L221" t="n">
        <v>2500</v>
      </c>
      <c r="M221" t="n">
        <v>1100</v>
      </c>
      <c r="N221" t="n">
        <v>2100</v>
      </c>
      <c r="O221" t="n">
        <v>3200</v>
      </c>
      <c r="P221" t="n">
        <v>4300</v>
      </c>
      <c r="Q221" t="n">
        <v>5400</v>
      </c>
      <c r="R221" t="n">
        <v>6500</v>
      </c>
      <c r="S221" t="n">
        <v>7600</v>
      </c>
      <c r="T221" t="n">
        <v>8700</v>
      </c>
      <c r="U221" t="n">
        <v>9800</v>
      </c>
      <c r="V221" t="n">
        <v>4775</v>
      </c>
      <c r="W221" t="n">
        <v>1880</v>
      </c>
      <c r="X221" t="n">
        <v>1660</v>
      </c>
      <c r="Y221" t="n">
        <v>8000</v>
      </c>
    </row>
    <row r="222">
      <c r="A222" t="n">
        <v>221</v>
      </c>
      <c r="B222" t="n">
        <v>0</v>
      </c>
      <c r="C222" t="n">
        <v>27297</v>
      </c>
      <c r="D222" t="n">
        <v>79824</v>
      </c>
      <c r="E222" t="n">
        <v>676739</v>
      </c>
      <c r="F222" t="n">
        <v>5656350</v>
      </c>
      <c r="G222" t="n">
        <v>46293576</v>
      </c>
      <c r="H222" t="n">
        <v>372287222</v>
      </c>
      <c r="I222" t="n">
        <v>2932895796</v>
      </c>
      <c r="J222" t="n">
        <v>2000</v>
      </c>
      <c r="K222" t="n">
        <v>24268</v>
      </c>
      <c r="L222" t="n">
        <v>2500</v>
      </c>
      <c r="M222" t="n">
        <v>1100</v>
      </c>
      <c r="N222" t="n">
        <v>2105</v>
      </c>
      <c r="O222" t="n">
        <v>3210</v>
      </c>
      <c r="P222" t="n">
        <v>4315</v>
      </c>
      <c r="Q222" t="n">
        <v>5420</v>
      </c>
      <c r="R222" t="n">
        <v>6525</v>
      </c>
      <c r="S222" t="n">
        <v>7630</v>
      </c>
      <c r="T222" t="n">
        <v>8735</v>
      </c>
      <c r="U222" t="n">
        <v>9840</v>
      </c>
      <c r="V222" t="n">
        <v>4803</v>
      </c>
      <c r="W222" t="n">
        <v>1884</v>
      </c>
      <c r="X222" t="n">
        <v>1663</v>
      </c>
      <c r="Y222" t="n">
        <v>8010</v>
      </c>
    </row>
    <row r="223">
      <c r="A223" t="n">
        <v>222</v>
      </c>
      <c r="B223" t="n">
        <v>0</v>
      </c>
      <c r="C223" t="n">
        <v>27707</v>
      </c>
      <c r="D223" t="n">
        <v>81421</v>
      </c>
      <c r="E223" t="n">
        <v>697042</v>
      </c>
      <c r="F223" t="n">
        <v>5882604</v>
      </c>
      <c r="G223" t="n">
        <v>48608255</v>
      </c>
      <c r="H223" t="n">
        <v>394624456</v>
      </c>
      <c r="I223" t="n">
        <v>3138198502</v>
      </c>
      <c r="J223" t="n">
        <v>2000</v>
      </c>
      <c r="K223" t="n">
        <v>24511</v>
      </c>
      <c r="L223" t="n">
        <v>2500</v>
      </c>
      <c r="M223" t="n">
        <v>1100</v>
      </c>
      <c r="N223" t="n">
        <v>2110</v>
      </c>
      <c r="O223" t="n">
        <v>3220</v>
      </c>
      <c r="P223" t="n">
        <v>4330</v>
      </c>
      <c r="Q223" t="n">
        <v>5440</v>
      </c>
      <c r="R223" t="n">
        <v>6550</v>
      </c>
      <c r="S223" t="n">
        <v>7660</v>
      </c>
      <c r="T223" t="n">
        <v>8770</v>
      </c>
      <c r="U223" t="n">
        <v>9880</v>
      </c>
      <c r="V223" t="n">
        <v>4832</v>
      </c>
      <c r="W223" t="n">
        <v>1888</v>
      </c>
      <c r="X223" t="n">
        <v>1666</v>
      </c>
      <c r="Y223" t="n">
        <v>8020</v>
      </c>
    </row>
    <row r="224">
      <c r="A224" t="n">
        <v>223</v>
      </c>
      <c r="B224" t="n">
        <v>0</v>
      </c>
      <c r="C224" t="n">
        <v>28123</v>
      </c>
      <c r="D224" t="n">
        <v>83050</v>
      </c>
      <c r="E224" t="n">
        <v>717954</v>
      </c>
      <c r="F224" t="n">
        <v>6117909</v>
      </c>
      <c r="G224" t="n">
        <v>51038668</v>
      </c>
      <c r="H224" t="n">
        <v>418301924</v>
      </c>
      <c r="I224" t="n">
        <v>3357872398</v>
      </c>
      <c r="J224" t="n">
        <v>2000</v>
      </c>
      <c r="K224" t="n">
        <v>24757</v>
      </c>
      <c r="L224" t="n">
        <v>2500</v>
      </c>
      <c r="M224" t="n">
        <v>1100</v>
      </c>
      <c r="N224" t="n">
        <v>2115</v>
      </c>
      <c r="O224" t="n">
        <v>3230</v>
      </c>
      <c r="P224" t="n">
        <v>4345</v>
      </c>
      <c r="Q224" t="n">
        <v>5460</v>
      </c>
      <c r="R224" t="n">
        <v>6575</v>
      </c>
      <c r="S224" t="n">
        <v>7690</v>
      </c>
      <c r="T224" t="n">
        <v>8805</v>
      </c>
      <c r="U224" t="n">
        <v>9920</v>
      </c>
      <c r="V224" t="n">
        <v>4861</v>
      </c>
      <c r="W224" t="n">
        <v>1892</v>
      </c>
      <c r="X224" t="n">
        <v>1669</v>
      </c>
      <c r="Y224" t="n">
        <v>8030</v>
      </c>
    </row>
    <row r="225">
      <c r="A225" t="n">
        <v>224</v>
      </c>
      <c r="B225" t="n">
        <v>0</v>
      </c>
      <c r="C225" t="n">
        <v>28545</v>
      </c>
      <c r="D225" t="n">
        <v>84711</v>
      </c>
      <c r="E225" t="n">
        <v>739493</v>
      </c>
      <c r="F225" t="n">
        <v>6362626</v>
      </c>
      <c r="G225" t="n">
        <v>53590602</v>
      </c>
      <c r="H225" t="n">
        <v>443400040</v>
      </c>
      <c r="I225" t="n">
        <v>3592923466</v>
      </c>
      <c r="J225" t="n">
        <v>2000</v>
      </c>
      <c r="K225" t="n">
        <v>25005</v>
      </c>
      <c r="L225" t="n">
        <v>2500</v>
      </c>
      <c r="M225" t="n">
        <v>1100</v>
      </c>
      <c r="N225" t="n">
        <v>2120</v>
      </c>
      <c r="O225" t="n">
        <v>3240</v>
      </c>
      <c r="P225" t="n">
        <v>4360</v>
      </c>
      <c r="Q225" t="n">
        <v>5480</v>
      </c>
      <c r="R225" t="n">
        <v>6600</v>
      </c>
      <c r="S225" t="n">
        <v>7720</v>
      </c>
      <c r="T225" t="n">
        <v>8840</v>
      </c>
      <c r="U225" t="n">
        <v>9960</v>
      </c>
      <c r="V225" t="n">
        <v>4890</v>
      </c>
      <c r="W225" t="n">
        <v>1896</v>
      </c>
      <c r="X225" t="n">
        <v>1672</v>
      </c>
      <c r="Y225" t="n">
        <v>8040</v>
      </c>
    </row>
    <row r="226">
      <c r="A226" t="n">
        <v>225</v>
      </c>
      <c r="B226" t="n">
        <v>0</v>
      </c>
      <c r="C226" t="n">
        <v>28974</v>
      </c>
      <c r="D226" t="n">
        <v>86406</v>
      </c>
      <c r="E226" t="n">
        <v>761678</v>
      </c>
      <c r="F226" t="n">
        <v>6617132</v>
      </c>
      <c r="G226" t="n">
        <v>56270133</v>
      </c>
      <c r="H226" t="n">
        <v>470004043</v>
      </c>
      <c r="I226" t="n">
        <v>3844428109</v>
      </c>
      <c r="J226" t="n">
        <v>2000</v>
      </c>
      <c r="K226" t="n">
        <v>25256</v>
      </c>
      <c r="L226" t="n">
        <v>2500</v>
      </c>
      <c r="M226" t="n">
        <v>1100</v>
      </c>
      <c r="N226" t="n">
        <v>2125</v>
      </c>
      <c r="O226" t="n">
        <v>3250</v>
      </c>
      <c r="P226" t="n">
        <v>4375</v>
      </c>
      <c r="Q226" t="n">
        <v>5500</v>
      </c>
      <c r="R226" t="n">
        <v>6625</v>
      </c>
      <c r="S226" t="n">
        <v>7750</v>
      </c>
      <c r="T226" t="n">
        <v>8875</v>
      </c>
      <c r="U226" t="n">
        <v>10000</v>
      </c>
      <c r="V226" t="n">
        <v>4919</v>
      </c>
      <c r="W226" t="n">
        <v>1900</v>
      </c>
      <c r="X226" t="n">
        <v>1675</v>
      </c>
      <c r="Y226" t="n">
        <v>8050</v>
      </c>
    </row>
    <row r="227">
      <c r="A227" t="n">
        <v>226</v>
      </c>
      <c r="B227" t="n">
        <v>0</v>
      </c>
      <c r="C227" t="n">
        <v>29409</v>
      </c>
      <c r="D227" t="n">
        <v>88135</v>
      </c>
      <c r="E227" t="n">
        <v>784529</v>
      </c>
      <c r="F227" t="n">
        <v>6881818</v>
      </c>
      <c r="G227" t="n">
        <v>59083640</v>
      </c>
      <c r="H227" t="n">
        <v>498204286</v>
      </c>
      <c r="I227" t="n">
        <v>4113538077</v>
      </c>
      <c r="J227" t="n">
        <v>2000</v>
      </c>
      <c r="K227" t="n">
        <v>25509</v>
      </c>
      <c r="L227" t="n">
        <v>2500</v>
      </c>
      <c r="M227" t="n">
        <v>1100</v>
      </c>
      <c r="N227" t="n">
        <v>2130</v>
      </c>
      <c r="O227" t="n">
        <v>3260</v>
      </c>
      <c r="P227" t="n">
        <v>4390</v>
      </c>
      <c r="Q227" t="n">
        <v>5520</v>
      </c>
      <c r="R227" t="n">
        <v>6650</v>
      </c>
      <c r="S227" t="n">
        <v>7780</v>
      </c>
      <c r="T227" t="n">
        <v>8910</v>
      </c>
      <c r="U227" t="n">
        <v>10040</v>
      </c>
      <c r="V227" t="n">
        <v>4948</v>
      </c>
      <c r="W227" t="n">
        <v>1904</v>
      </c>
      <c r="X227" t="n">
        <v>1678</v>
      </c>
      <c r="Y227" t="n">
        <v>8060</v>
      </c>
    </row>
    <row r="228">
      <c r="A228" t="n">
        <v>227</v>
      </c>
      <c r="B228" t="n">
        <v>0</v>
      </c>
      <c r="C228" t="n">
        <v>29851</v>
      </c>
      <c r="D228" t="n">
        <v>89898</v>
      </c>
      <c r="E228" t="n">
        <v>808065</v>
      </c>
      <c r="F228" t="n">
        <v>7157091</v>
      </c>
      <c r="G228" t="n">
        <v>62037822</v>
      </c>
      <c r="H228" t="n">
        <v>528096544</v>
      </c>
      <c r="I228" t="n">
        <v>4401485743</v>
      </c>
      <c r="J228" t="n">
        <v>2000</v>
      </c>
      <c r="K228" t="n">
        <v>25765</v>
      </c>
      <c r="L228" t="n">
        <v>2500</v>
      </c>
      <c r="M228" t="n">
        <v>1100</v>
      </c>
      <c r="N228" t="n">
        <v>2135</v>
      </c>
      <c r="O228" t="n">
        <v>3270</v>
      </c>
      <c r="P228" t="n">
        <v>4405</v>
      </c>
      <c r="Q228" t="n">
        <v>5540</v>
      </c>
      <c r="R228" t="n">
        <v>6675</v>
      </c>
      <c r="S228" t="n">
        <v>7810</v>
      </c>
      <c r="T228" t="n">
        <v>8945</v>
      </c>
      <c r="U228" t="n">
        <v>10080</v>
      </c>
      <c r="V228" t="n">
        <v>4977</v>
      </c>
      <c r="W228" t="n">
        <v>1908</v>
      </c>
      <c r="X228" t="n">
        <v>1681</v>
      </c>
      <c r="Y228" t="n">
        <v>8070</v>
      </c>
    </row>
    <row r="229">
      <c r="A229" t="n">
        <v>228</v>
      </c>
      <c r="B229" t="n">
        <v>0</v>
      </c>
      <c r="C229" t="n">
        <v>30299</v>
      </c>
      <c r="D229" t="n">
        <v>91696</v>
      </c>
      <c r="E229" t="n">
        <v>832307</v>
      </c>
      <c r="F229" t="n">
        <v>7443375</v>
      </c>
      <c r="G229" t="n">
        <v>65139714</v>
      </c>
      <c r="H229" t="n">
        <v>559782337</v>
      </c>
      <c r="I229" t="n">
        <v>4709589746</v>
      </c>
      <c r="J229" t="n">
        <v>2000</v>
      </c>
      <c r="K229" t="n">
        <v>26023</v>
      </c>
      <c r="L229" t="n">
        <v>2500</v>
      </c>
      <c r="M229" t="n">
        <v>1100</v>
      </c>
      <c r="N229" t="n">
        <v>2140</v>
      </c>
      <c r="O229" t="n">
        <v>3280</v>
      </c>
      <c r="P229" t="n">
        <v>4420</v>
      </c>
      <c r="Q229" t="n">
        <v>5560</v>
      </c>
      <c r="R229" t="n">
        <v>6700</v>
      </c>
      <c r="S229" t="n">
        <v>7840</v>
      </c>
      <c r="T229" t="n">
        <v>8980</v>
      </c>
      <c r="U229" t="n">
        <v>10120</v>
      </c>
      <c r="V229" t="n">
        <v>5006</v>
      </c>
      <c r="W229" t="n">
        <v>1912</v>
      </c>
      <c r="X229" t="n">
        <v>1684</v>
      </c>
      <c r="Y229" t="n">
        <v>8080</v>
      </c>
    </row>
    <row r="230">
      <c r="A230" t="n">
        <v>229</v>
      </c>
      <c r="B230" t="n">
        <v>0</v>
      </c>
      <c r="C230" t="n">
        <v>30754</v>
      </c>
      <c r="D230" t="n">
        <v>93530</v>
      </c>
      <c r="E230" t="n">
        <v>857277</v>
      </c>
      <c r="F230" t="n">
        <v>7741110</v>
      </c>
      <c r="G230" t="n">
        <v>68396700</v>
      </c>
      <c r="H230" t="n">
        <v>593369278</v>
      </c>
      <c r="I230" t="n">
        <v>5039261029</v>
      </c>
      <c r="J230" t="n">
        <v>2000</v>
      </c>
      <c r="K230" t="n">
        <v>26284</v>
      </c>
      <c r="L230" t="n">
        <v>2500</v>
      </c>
      <c r="M230" t="n">
        <v>1100</v>
      </c>
      <c r="N230" t="n">
        <v>2145</v>
      </c>
      <c r="O230" t="n">
        <v>3290</v>
      </c>
      <c r="P230" t="n">
        <v>4435</v>
      </c>
      <c r="Q230" t="n">
        <v>5580</v>
      </c>
      <c r="R230" t="n">
        <v>6725</v>
      </c>
      <c r="S230" t="n">
        <v>7870</v>
      </c>
      <c r="T230" t="n">
        <v>9015</v>
      </c>
      <c r="U230" t="n">
        <v>10160</v>
      </c>
      <c r="V230" t="n">
        <v>5036</v>
      </c>
      <c r="W230" t="n">
        <v>1916</v>
      </c>
      <c r="X230" t="n">
        <v>1687</v>
      </c>
      <c r="Y230" t="n">
        <v>8090</v>
      </c>
    </row>
    <row r="231">
      <c r="A231" t="n">
        <v>230</v>
      </c>
      <c r="B231" t="n">
        <v>0</v>
      </c>
      <c r="C231" t="n">
        <v>31216</v>
      </c>
      <c r="D231" t="n">
        <v>95401</v>
      </c>
      <c r="E231" t="n">
        <v>882996</v>
      </c>
      <c r="F231" t="n">
        <v>8050755</v>
      </c>
      <c r="G231" t="n">
        <v>71816535</v>
      </c>
      <c r="H231" t="n">
        <v>628971435</v>
      </c>
      <c r="I231" t="n">
        <v>5392009302</v>
      </c>
      <c r="J231" t="n">
        <v>2000</v>
      </c>
      <c r="K231" t="n">
        <v>26547</v>
      </c>
      <c r="L231" t="n">
        <v>2500</v>
      </c>
      <c r="M231" t="n">
        <v>1100</v>
      </c>
      <c r="N231" t="n">
        <v>2150</v>
      </c>
      <c r="O231" t="n">
        <v>3300</v>
      </c>
      <c r="P231" t="n">
        <v>4450</v>
      </c>
      <c r="Q231" t="n">
        <v>5600</v>
      </c>
      <c r="R231" t="n">
        <v>6750</v>
      </c>
      <c r="S231" t="n">
        <v>7900</v>
      </c>
      <c r="T231" t="n">
        <v>9050</v>
      </c>
      <c r="U231" t="n">
        <v>10200</v>
      </c>
      <c r="V231" t="n">
        <v>5066</v>
      </c>
      <c r="W231" t="n">
        <v>1920</v>
      </c>
      <c r="X231" t="n">
        <v>1690</v>
      </c>
      <c r="Y231" t="n">
        <v>8100</v>
      </c>
    </row>
    <row r="232">
      <c r="A232" t="n">
        <v>231</v>
      </c>
      <c r="B232" t="n">
        <v>0</v>
      </c>
      <c r="C232" t="n">
        <v>31685</v>
      </c>
      <c r="D232" t="n">
        <v>97310</v>
      </c>
      <c r="E232" t="n">
        <v>909486</v>
      </c>
      <c r="F232" t="n">
        <v>8372786</v>
      </c>
      <c r="G232" t="n">
        <v>75407362</v>
      </c>
      <c r="H232" t="n">
        <v>666709722</v>
      </c>
      <c r="I232" t="n">
        <v>5769449954</v>
      </c>
      <c r="J232" t="n">
        <v>2000</v>
      </c>
      <c r="K232" t="n">
        <v>26813</v>
      </c>
      <c r="L232" t="n">
        <v>2500</v>
      </c>
      <c r="M232" t="n">
        <v>1100</v>
      </c>
      <c r="N232" t="n">
        <v>2155</v>
      </c>
      <c r="O232" t="n">
        <v>3310</v>
      </c>
      <c r="P232" t="n">
        <v>4465</v>
      </c>
      <c r="Q232" t="n">
        <v>5620</v>
      </c>
      <c r="R232" t="n">
        <v>6775</v>
      </c>
      <c r="S232" t="n">
        <v>7930</v>
      </c>
      <c r="T232" t="n">
        <v>9085</v>
      </c>
      <c r="U232" t="n">
        <v>10240</v>
      </c>
      <c r="V232" t="n">
        <v>5096</v>
      </c>
      <c r="W232" t="n">
        <v>1924</v>
      </c>
      <c r="X232" t="n">
        <v>1693</v>
      </c>
      <c r="Y232" t="n">
        <v>8110</v>
      </c>
    </row>
    <row r="233">
      <c r="A233" t="n">
        <v>232</v>
      </c>
      <c r="B233" t="n">
        <v>0</v>
      </c>
      <c r="C233" t="n">
        <v>32161</v>
      </c>
      <c r="D233" t="n">
        <v>99257</v>
      </c>
      <c r="E233" t="n">
        <v>936771</v>
      </c>
      <c r="F233" t="n">
        <v>8707698</v>
      </c>
      <c r="G233" t="n">
        <v>79177731</v>
      </c>
      <c r="H233" t="n">
        <v>706712306</v>
      </c>
      <c r="I233" t="n">
        <v>6173311451</v>
      </c>
      <c r="J233" t="n">
        <v>2000</v>
      </c>
      <c r="K233" t="n">
        <v>27082</v>
      </c>
      <c r="L233" t="n">
        <v>2500</v>
      </c>
      <c r="M233" t="n">
        <v>1100</v>
      </c>
      <c r="N233" t="n">
        <v>2160</v>
      </c>
      <c r="O233" t="n">
        <v>3320</v>
      </c>
      <c r="P233" t="n">
        <v>4480</v>
      </c>
      <c r="Q233" t="n">
        <v>5640</v>
      </c>
      <c r="R233" t="n">
        <v>6800</v>
      </c>
      <c r="S233" t="n">
        <v>7960</v>
      </c>
      <c r="T233" t="n">
        <v>9120</v>
      </c>
      <c r="U233" t="n">
        <v>10280</v>
      </c>
      <c r="V233" t="n">
        <v>5126</v>
      </c>
      <c r="W233" t="n">
        <v>1928</v>
      </c>
      <c r="X233" t="n">
        <v>1696</v>
      </c>
      <c r="Y233" t="n">
        <v>8120</v>
      </c>
    </row>
    <row r="234">
      <c r="A234" t="n">
        <v>233</v>
      </c>
      <c r="B234" t="n">
        <v>0</v>
      </c>
      <c r="C234" t="n">
        <v>32644</v>
      </c>
      <c r="D234" t="n">
        <v>101243</v>
      </c>
      <c r="E234" t="n">
        <v>964875</v>
      </c>
      <c r="F234" t="n">
        <v>9056006</v>
      </c>
      <c r="G234" t="n">
        <v>83136618</v>
      </c>
      <c r="H234" t="n">
        <v>749115045</v>
      </c>
      <c r="I234" t="n">
        <v>6605443253</v>
      </c>
      <c r="J234" t="n">
        <v>2000</v>
      </c>
      <c r="K234" t="n">
        <v>27353</v>
      </c>
      <c r="L234" t="n">
        <v>2500</v>
      </c>
      <c r="M234" t="n">
        <v>1100</v>
      </c>
      <c r="N234" t="n">
        <v>2165</v>
      </c>
      <c r="O234" t="n">
        <v>3330</v>
      </c>
      <c r="P234" t="n">
        <v>4495</v>
      </c>
      <c r="Q234" t="n">
        <v>5660</v>
      </c>
      <c r="R234" t="n">
        <v>6825</v>
      </c>
      <c r="S234" t="n">
        <v>7990</v>
      </c>
      <c r="T234" t="n">
        <v>9155</v>
      </c>
      <c r="U234" t="n">
        <v>10320</v>
      </c>
      <c r="V234" t="n">
        <v>5156</v>
      </c>
      <c r="W234" t="n">
        <v>1932</v>
      </c>
      <c r="X234" t="n">
        <v>1699</v>
      </c>
      <c r="Y234" t="n">
        <v>8130</v>
      </c>
    </row>
    <row r="235">
      <c r="A235" t="n">
        <v>234</v>
      </c>
      <c r="B235" t="n">
        <v>0</v>
      </c>
      <c r="C235" t="n">
        <v>33134</v>
      </c>
      <c r="D235" t="n">
        <v>103268</v>
      </c>
      <c r="E235" t="n">
        <v>993822</v>
      </c>
      <c r="F235" t="n">
        <v>9418247</v>
      </c>
      <c r="G235" t="n">
        <v>87293449</v>
      </c>
      <c r="H235" t="n">
        <v>794061948</v>
      </c>
      <c r="I235" t="n">
        <v>7067824281</v>
      </c>
      <c r="J235" t="n">
        <v>2000</v>
      </c>
      <c r="K235" t="n">
        <v>27627</v>
      </c>
      <c r="L235" t="n">
        <v>2500</v>
      </c>
      <c r="M235" t="n">
        <v>1100</v>
      </c>
      <c r="N235" t="n">
        <v>2170</v>
      </c>
      <c r="O235" t="n">
        <v>3340</v>
      </c>
      <c r="P235" t="n">
        <v>4510</v>
      </c>
      <c r="Q235" t="n">
        <v>5680</v>
      </c>
      <c r="R235" t="n">
        <v>6850</v>
      </c>
      <c r="S235" t="n">
        <v>8020</v>
      </c>
      <c r="T235" t="n">
        <v>9190</v>
      </c>
      <c r="U235" t="n">
        <v>10360</v>
      </c>
      <c r="V235" t="n">
        <v>5186</v>
      </c>
      <c r="W235" t="n">
        <v>1936</v>
      </c>
      <c r="X235" t="n">
        <v>1702</v>
      </c>
      <c r="Y235" t="n">
        <v>8140</v>
      </c>
    </row>
    <row r="236">
      <c r="A236" t="n">
        <v>235</v>
      </c>
      <c r="B236" t="n">
        <v>0</v>
      </c>
      <c r="C236" t="n">
        <v>33632</v>
      </c>
      <c r="D236" t="n">
        <v>105334</v>
      </c>
      <c r="E236" t="n">
        <v>1023637</v>
      </c>
      <c r="F236" t="n">
        <v>9794977</v>
      </c>
      <c r="G236" t="n">
        <v>91658122</v>
      </c>
      <c r="H236" t="n">
        <v>841705665</v>
      </c>
      <c r="I236" t="n">
        <v>7562571981</v>
      </c>
      <c r="J236" t="n">
        <v>2000</v>
      </c>
      <c r="K236" t="n">
        <v>27904</v>
      </c>
      <c r="L236" t="n">
        <v>2500</v>
      </c>
      <c r="M236" t="n">
        <v>1100</v>
      </c>
      <c r="N236" t="n">
        <v>2175</v>
      </c>
      <c r="O236" t="n">
        <v>3350</v>
      </c>
      <c r="P236" t="n">
        <v>4525</v>
      </c>
      <c r="Q236" t="n">
        <v>5700</v>
      </c>
      <c r="R236" t="n">
        <v>6875</v>
      </c>
      <c r="S236" t="n">
        <v>8050</v>
      </c>
      <c r="T236" t="n">
        <v>9225</v>
      </c>
      <c r="U236" t="n">
        <v>10400</v>
      </c>
      <c r="V236" t="n">
        <v>5216</v>
      </c>
      <c r="W236" t="n">
        <v>1940</v>
      </c>
      <c r="X236" t="n">
        <v>1705</v>
      </c>
      <c r="Y236" t="n">
        <v>8150</v>
      </c>
    </row>
    <row r="237">
      <c r="A237" t="n">
        <v>236</v>
      </c>
      <c r="B237" t="n">
        <v>0</v>
      </c>
      <c r="C237" t="n">
        <v>34137</v>
      </c>
      <c r="D237" t="n">
        <v>107441</v>
      </c>
      <c r="E237" t="n">
        <v>1054347</v>
      </c>
      <c r="F237" t="n">
        <v>10186777</v>
      </c>
      <c r="G237" t="n">
        <v>96241029</v>
      </c>
      <c r="H237" t="n">
        <v>892208005</v>
      </c>
      <c r="I237" t="n">
        <v>8091952020</v>
      </c>
      <c r="J237" t="n">
        <v>2000</v>
      </c>
      <c r="K237" t="n">
        <v>28184</v>
      </c>
      <c r="L237" t="n">
        <v>2500</v>
      </c>
      <c r="M237" t="n">
        <v>1100</v>
      </c>
      <c r="N237" t="n">
        <v>2180</v>
      </c>
      <c r="O237" t="n">
        <v>3360</v>
      </c>
      <c r="P237" t="n">
        <v>4540</v>
      </c>
      <c r="Q237" t="n">
        <v>5720</v>
      </c>
      <c r="R237" t="n">
        <v>6900</v>
      </c>
      <c r="S237" t="n">
        <v>8080</v>
      </c>
      <c r="T237" t="n">
        <v>9260</v>
      </c>
      <c r="U237" t="n">
        <v>10440</v>
      </c>
      <c r="V237" t="n">
        <v>5247</v>
      </c>
      <c r="W237" t="n">
        <v>1944</v>
      </c>
      <c r="X237" t="n">
        <v>1708</v>
      </c>
      <c r="Y237" t="n">
        <v>8160</v>
      </c>
    </row>
    <row r="238">
      <c r="A238" t="n">
        <v>237</v>
      </c>
      <c r="B238" t="n">
        <v>0</v>
      </c>
      <c r="C238" t="n">
        <v>34650</v>
      </c>
      <c r="D238" t="n">
        <v>109590</v>
      </c>
      <c r="E238" t="n">
        <v>1085978</v>
      </c>
      <c r="F238" t="n">
        <v>10594249</v>
      </c>
      <c r="G238" t="n">
        <v>101053081</v>
      </c>
      <c r="H238" t="n">
        <v>945740486</v>
      </c>
      <c r="I238" t="n">
        <v>8658388662</v>
      </c>
      <c r="J238" t="n">
        <v>2000</v>
      </c>
      <c r="K238" t="n">
        <v>28466</v>
      </c>
      <c r="L238" t="n">
        <v>2500</v>
      </c>
      <c r="M238" t="n">
        <v>1100</v>
      </c>
      <c r="N238" t="n">
        <v>2185</v>
      </c>
      <c r="O238" t="n">
        <v>3370</v>
      </c>
      <c r="P238" t="n">
        <v>4555</v>
      </c>
      <c r="Q238" t="n">
        <v>5740</v>
      </c>
      <c r="R238" t="n">
        <v>6925</v>
      </c>
      <c r="S238" t="n">
        <v>8110</v>
      </c>
      <c r="T238" t="n">
        <v>9295</v>
      </c>
      <c r="U238" t="n">
        <v>10480</v>
      </c>
      <c r="V238" t="n">
        <v>5278</v>
      </c>
      <c r="W238" t="n">
        <v>1948</v>
      </c>
      <c r="X238" t="n">
        <v>1711</v>
      </c>
      <c r="Y238" t="n">
        <v>8170</v>
      </c>
    </row>
    <row r="239">
      <c r="A239" t="n">
        <v>238</v>
      </c>
      <c r="B239" t="n">
        <v>0</v>
      </c>
      <c r="C239" t="n">
        <v>35170</v>
      </c>
      <c r="D239" t="n">
        <v>111782</v>
      </c>
      <c r="E239" t="n">
        <v>1118558</v>
      </c>
      <c r="F239" t="n">
        <v>11018019</v>
      </c>
      <c r="G239" t="n">
        <v>106105736</v>
      </c>
      <c r="H239" t="n">
        <v>1002484916</v>
      </c>
      <c r="I239" t="n">
        <v>9264475869</v>
      </c>
      <c r="J239" t="n">
        <v>2000</v>
      </c>
      <c r="K239" t="n">
        <v>28751</v>
      </c>
      <c r="L239" t="n">
        <v>2500</v>
      </c>
      <c r="M239" t="n">
        <v>1100</v>
      </c>
      <c r="N239" t="n">
        <v>2190</v>
      </c>
      <c r="O239" t="n">
        <v>3380</v>
      </c>
      <c r="P239" t="n">
        <v>4570</v>
      </c>
      <c r="Q239" t="n">
        <v>5760</v>
      </c>
      <c r="R239" t="n">
        <v>6950</v>
      </c>
      <c r="S239" t="n">
        <v>8140</v>
      </c>
      <c r="T239" t="n">
        <v>9330</v>
      </c>
      <c r="U239" t="n">
        <v>10520</v>
      </c>
      <c r="V239" t="n">
        <v>5309</v>
      </c>
      <c r="W239" t="n">
        <v>1952</v>
      </c>
      <c r="X239" t="n">
        <v>1714</v>
      </c>
      <c r="Y239" t="n">
        <v>8180</v>
      </c>
    </row>
    <row r="240">
      <c r="A240" t="n">
        <v>239</v>
      </c>
      <c r="B240" t="n">
        <v>0</v>
      </c>
      <c r="C240" t="n">
        <v>35698</v>
      </c>
      <c r="D240" t="n">
        <v>114018</v>
      </c>
      <c r="E240" t="n">
        <v>1152115</v>
      </c>
      <c r="F240" t="n">
        <v>11458740</v>
      </c>
      <c r="G240" t="n">
        <v>111411023</v>
      </c>
      <c r="H240" t="n">
        <v>1062634011</v>
      </c>
      <c r="I240" t="n">
        <v>9912989180</v>
      </c>
      <c r="J240" t="n">
        <v>2000</v>
      </c>
      <c r="K240" t="n">
        <v>29039</v>
      </c>
      <c r="L240" t="n">
        <v>2500</v>
      </c>
      <c r="M240" t="n">
        <v>1100</v>
      </c>
      <c r="N240" t="n">
        <v>2195</v>
      </c>
      <c r="O240" t="n">
        <v>3390</v>
      </c>
      <c r="P240" t="n">
        <v>4585</v>
      </c>
      <c r="Q240" t="n">
        <v>5780</v>
      </c>
      <c r="R240" t="n">
        <v>6975</v>
      </c>
      <c r="S240" t="n">
        <v>8170</v>
      </c>
      <c r="T240" t="n">
        <v>9365</v>
      </c>
      <c r="U240" t="n">
        <v>10560</v>
      </c>
      <c r="V240" t="n">
        <v>5340</v>
      </c>
      <c r="W240" t="n">
        <v>1956</v>
      </c>
      <c r="X240" t="n">
        <v>1717</v>
      </c>
      <c r="Y240" t="n">
        <v>8190</v>
      </c>
    </row>
    <row r="241">
      <c r="A241" t="n">
        <v>240</v>
      </c>
      <c r="B241" t="n">
        <v>0</v>
      </c>
      <c r="C241" t="n">
        <v>36234</v>
      </c>
      <c r="D241" t="n">
        <v>116299</v>
      </c>
      <c r="E241" t="n">
        <v>1186679</v>
      </c>
      <c r="F241" t="n">
        <v>11917090</v>
      </c>
      <c r="G241" t="n">
        <v>116981575</v>
      </c>
      <c r="H241" t="n">
        <v>1126392052</v>
      </c>
      <c r="I241" t="n">
        <v>10606898423</v>
      </c>
      <c r="J241" t="n">
        <v>2000</v>
      </c>
      <c r="K241" t="n">
        <v>29330</v>
      </c>
      <c r="L241" t="n">
        <v>2500</v>
      </c>
      <c r="M241" t="n">
        <v>1100</v>
      </c>
      <c r="N241" t="n">
        <v>2200</v>
      </c>
      <c r="O241" t="n">
        <v>3400</v>
      </c>
      <c r="P241" t="n">
        <v>4600</v>
      </c>
      <c r="Q241" t="n">
        <v>5800</v>
      </c>
      <c r="R241" t="n">
        <v>7000</v>
      </c>
      <c r="S241" t="n">
        <v>8200</v>
      </c>
      <c r="T241" t="n">
        <v>9400</v>
      </c>
      <c r="U241" t="n">
        <v>10600</v>
      </c>
      <c r="V241" t="n">
        <v>5371</v>
      </c>
      <c r="W241" t="n">
        <v>1960</v>
      </c>
      <c r="X241" t="n">
        <v>1720</v>
      </c>
      <c r="Y241" t="n">
        <v>8200</v>
      </c>
    </row>
    <row r="242">
      <c r="A242" t="n">
        <v>241</v>
      </c>
      <c r="B242" t="n">
        <v>0</v>
      </c>
      <c r="C242" t="n">
        <v>36778</v>
      </c>
      <c r="D242" t="n">
        <v>118625</v>
      </c>
      <c r="E242" t="n">
        <v>1222280</v>
      </c>
      <c r="F242" t="n">
        <v>12393774</v>
      </c>
      <c r="G242" t="n">
        <v>122830654</v>
      </c>
      <c r="H242" t="n">
        <v>1193975576</v>
      </c>
      <c r="I242" t="n">
        <v>11349381313</v>
      </c>
      <c r="J242" t="n">
        <v>2000</v>
      </c>
      <c r="K242" t="n">
        <v>29624</v>
      </c>
      <c r="L242" t="n">
        <v>2500</v>
      </c>
      <c r="M242" t="n">
        <v>1100</v>
      </c>
      <c r="N242" t="n">
        <v>2205</v>
      </c>
      <c r="O242" t="n">
        <v>3410</v>
      </c>
      <c r="P242" t="n">
        <v>4615</v>
      </c>
      <c r="Q242" t="n">
        <v>5820</v>
      </c>
      <c r="R242" t="n">
        <v>7025</v>
      </c>
      <c r="S242" t="n">
        <v>8230</v>
      </c>
      <c r="T242" t="n">
        <v>9435</v>
      </c>
      <c r="U242" t="n">
        <v>10640</v>
      </c>
      <c r="V242" t="n">
        <v>5402</v>
      </c>
      <c r="W242" t="n">
        <v>1964</v>
      </c>
      <c r="X242" t="n">
        <v>1723</v>
      </c>
      <c r="Y242" t="n">
        <v>8210</v>
      </c>
    </row>
    <row r="243">
      <c r="A243" t="n">
        <v>242</v>
      </c>
      <c r="B243" t="n">
        <v>0</v>
      </c>
      <c r="C243" t="n">
        <v>37330</v>
      </c>
      <c r="D243" t="n">
        <v>120998</v>
      </c>
      <c r="E243" t="n">
        <v>1258949</v>
      </c>
      <c r="F243" t="n">
        <v>12889525</v>
      </c>
      <c r="G243" t="n">
        <v>128972187</v>
      </c>
      <c r="H243" t="n">
        <v>1265614111</v>
      </c>
      <c r="I243" t="n">
        <v>12143838005</v>
      </c>
      <c r="J243" t="n">
        <v>2000</v>
      </c>
      <c r="K243" t="n">
        <v>29921</v>
      </c>
      <c r="L243" t="n">
        <v>2500</v>
      </c>
      <c r="M243" t="n">
        <v>1100</v>
      </c>
      <c r="N243" t="n">
        <v>2210</v>
      </c>
      <c r="O243" t="n">
        <v>3420</v>
      </c>
      <c r="P243" t="n">
        <v>4630</v>
      </c>
      <c r="Q243" t="n">
        <v>5840</v>
      </c>
      <c r="R243" t="n">
        <v>7050</v>
      </c>
      <c r="S243" t="n">
        <v>8260</v>
      </c>
      <c r="T243" t="n">
        <v>9470</v>
      </c>
      <c r="U243" t="n">
        <v>10680</v>
      </c>
      <c r="V243" t="n">
        <v>5434</v>
      </c>
      <c r="W243" t="n">
        <v>1968</v>
      </c>
      <c r="X243" t="n">
        <v>1726</v>
      </c>
      <c r="Y243" t="n">
        <v>8220</v>
      </c>
    </row>
    <row r="244">
      <c r="A244" t="n">
        <v>243</v>
      </c>
      <c r="B244" t="n">
        <v>0</v>
      </c>
      <c r="C244" t="n">
        <v>37890</v>
      </c>
      <c r="D244" t="n">
        <v>123418</v>
      </c>
      <c r="E244" t="n">
        <v>1296718</v>
      </c>
      <c r="F244" t="n">
        <v>13405106</v>
      </c>
      <c r="G244" t="n">
        <v>135420797</v>
      </c>
      <c r="H244" t="n">
        <v>1341550958</v>
      </c>
      <c r="I244" t="n">
        <v>12993906666</v>
      </c>
      <c r="J244" t="n">
        <v>2000</v>
      </c>
      <c r="K244" t="n">
        <v>30221</v>
      </c>
      <c r="L244" t="n">
        <v>2500</v>
      </c>
      <c r="M244" t="n">
        <v>1100</v>
      </c>
      <c r="N244" t="n">
        <v>2215</v>
      </c>
      <c r="O244" t="n">
        <v>3430</v>
      </c>
      <c r="P244" t="n">
        <v>4645</v>
      </c>
      <c r="Q244" t="n">
        <v>5860</v>
      </c>
      <c r="R244" t="n">
        <v>7075</v>
      </c>
      <c r="S244" t="n">
        <v>8290</v>
      </c>
      <c r="T244" t="n">
        <v>9505</v>
      </c>
      <c r="U244" t="n">
        <v>10720</v>
      </c>
      <c r="V244" t="n">
        <v>5466</v>
      </c>
      <c r="W244" t="n">
        <v>1972</v>
      </c>
      <c r="X244" t="n">
        <v>1729</v>
      </c>
      <c r="Y244" t="n">
        <v>8230</v>
      </c>
    </row>
    <row r="245">
      <c r="A245" t="n">
        <v>244</v>
      </c>
      <c r="B245" t="n">
        <v>0</v>
      </c>
      <c r="C245" t="n">
        <v>38459</v>
      </c>
      <c r="D245" t="n">
        <v>125887</v>
      </c>
      <c r="E245" t="n">
        <v>1335620</v>
      </c>
      <c r="F245" t="n">
        <v>13941311</v>
      </c>
      <c r="G245" t="n">
        <v>142191837</v>
      </c>
      <c r="H245" t="n">
        <v>1422044016</v>
      </c>
      <c r="I245" t="n">
        <v>13903480133</v>
      </c>
      <c r="J245" t="n">
        <v>2000</v>
      </c>
      <c r="K245" t="n">
        <v>30524</v>
      </c>
      <c r="L245" t="n">
        <v>2500</v>
      </c>
      <c r="M245" t="n">
        <v>1100</v>
      </c>
      <c r="N245" t="n">
        <v>2220</v>
      </c>
      <c r="O245" t="n">
        <v>3440</v>
      </c>
      <c r="P245" t="n">
        <v>4660</v>
      </c>
      <c r="Q245" t="n">
        <v>5880</v>
      </c>
      <c r="R245" t="n">
        <v>7100</v>
      </c>
      <c r="S245" t="n">
        <v>8320</v>
      </c>
      <c r="T245" t="n">
        <v>9540</v>
      </c>
      <c r="U245" t="n">
        <v>10760</v>
      </c>
      <c r="V245" t="n">
        <v>5498</v>
      </c>
      <c r="W245" t="n">
        <v>1976</v>
      </c>
      <c r="X245" t="n">
        <v>1732</v>
      </c>
      <c r="Y245" t="n">
        <v>8240</v>
      </c>
    </row>
    <row r="246">
      <c r="A246" t="n">
        <v>245</v>
      </c>
      <c r="B246" t="n">
        <v>0</v>
      </c>
      <c r="C246" t="n">
        <v>39036</v>
      </c>
      <c r="D246" t="n">
        <v>128405</v>
      </c>
      <c r="E246" t="n">
        <v>1375689</v>
      </c>
      <c r="F246" t="n">
        <v>14498964</v>
      </c>
      <c r="G246" t="n">
        <v>149301429</v>
      </c>
      <c r="H246" t="n">
        <v>1507366657</v>
      </c>
      <c r="I246" t="n">
        <v>14876723743</v>
      </c>
      <c r="J246" t="n">
        <v>2000</v>
      </c>
      <c r="K246" t="n">
        <v>30830</v>
      </c>
      <c r="L246" t="n">
        <v>2500</v>
      </c>
      <c r="M246" t="n">
        <v>1100</v>
      </c>
      <c r="N246" t="n">
        <v>2225</v>
      </c>
      <c r="O246" t="n">
        <v>3450</v>
      </c>
      <c r="P246" t="n">
        <v>4675</v>
      </c>
      <c r="Q246" t="n">
        <v>5900</v>
      </c>
      <c r="R246" t="n">
        <v>7125</v>
      </c>
      <c r="S246" t="n">
        <v>8350</v>
      </c>
      <c r="T246" t="n">
        <v>9575</v>
      </c>
      <c r="U246" t="n">
        <v>10800</v>
      </c>
      <c r="V246" t="n">
        <v>5530</v>
      </c>
      <c r="W246" t="n">
        <v>1980</v>
      </c>
      <c r="X246" t="n">
        <v>1735</v>
      </c>
      <c r="Y246" t="n">
        <v>8250</v>
      </c>
    </row>
    <row r="247">
      <c r="A247" t="n">
        <v>246</v>
      </c>
      <c r="B247" t="n">
        <v>0</v>
      </c>
      <c r="C247" t="n">
        <v>39622</v>
      </c>
      <c r="D247" t="n">
        <v>130974</v>
      </c>
      <c r="E247" t="n">
        <v>1416960</v>
      </c>
      <c r="F247" t="n">
        <v>15078923</v>
      </c>
      <c r="G247" t="n">
        <v>156766501</v>
      </c>
      <c r="H247" t="n">
        <v>1597808657</v>
      </c>
      <c r="I247" t="n">
        <v>15918094406</v>
      </c>
      <c r="J247" t="n">
        <v>2000</v>
      </c>
      <c r="K247" t="n">
        <v>31139</v>
      </c>
      <c r="L247" t="n">
        <v>2500</v>
      </c>
      <c r="M247" t="n">
        <v>1100</v>
      </c>
      <c r="N247" t="n">
        <v>2230</v>
      </c>
      <c r="O247" t="n">
        <v>3460</v>
      </c>
      <c r="P247" t="n">
        <v>4690</v>
      </c>
      <c r="Q247" t="n">
        <v>5920</v>
      </c>
      <c r="R247" t="n">
        <v>7150</v>
      </c>
      <c r="S247" t="n">
        <v>8380</v>
      </c>
      <c r="T247" t="n">
        <v>9610</v>
      </c>
      <c r="U247" t="n">
        <v>10840</v>
      </c>
      <c r="V247" t="n">
        <v>5562</v>
      </c>
      <c r="W247" t="n">
        <v>1984</v>
      </c>
      <c r="X247" t="n">
        <v>1738</v>
      </c>
      <c r="Y247" t="n">
        <v>8260</v>
      </c>
    </row>
    <row r="248">
      <c r="A248" t="n">
        <v>247</v>
      </c>
      <c r="B248" t="n">
        <v>0</v>
      </c>
      <c r="C248" t="n">
        <v>40217</v>
      </c>
      <c r="D248" t="n">
        <v>133594</v>
      </c>
      <c r="E248" t="n">
        <v>1459469</v>
      </c>
      <c r="F248" t="n">
        <v>15682080</v>
      </c>
      <c r="G248" t="n">
        <v>164604827</v>
      </c>
      <c r="H248" t="n">
        <v>1693677177</v>
      </c>
      <c r="I248" t="n">
        <v>17032361015</v>
      </c>
      <c r="J248" t="n">
        <v>2000</v>
      </c>
      <c r="K248" t="n">
        <v>31451</v>
      </c>
      <c r="L248" t="n">
        <v>2500</v>
      </c>
      <c r="M248" t="n">
        <v>1100</v>
      </c>
      <c r="N248" t="n">
        <v>2235</v>
      </c>
      <c r="O248" t="n">
        <v>3470</v>
      </c>
      <c r="P248" t="n">
        <v>4705</v>
      </c>
      <c r="Q248" t="n">
        <v>5940</v>
      </c>
      <c r="R248" t="n">
        <v>7175</v>
      </c>
      <c r="S248" t="n">
        <v>8410</v>
      </c>
      <c r="T248" t="n">
        <v>9645</v>
      </c>
      <c r="U248" t="n">
        <v>10880</v>
      </c>
      <c r="V248" t="n">
        <v>5594</v>
      </c>
      <c r="W248" t="n">
        <v>1988</v>
      </c>
      <c r="X248" t="n">
        <v>1741</v>
      </c>
      <c r="Y248" t="n">
        <v>8270</v>
      </c>
    </row>
    <row r="249">
      <c r="A249" t="n">
        <v>248</v>
      </c>
      <c r="B249" t="n">
        <v>0</v>
      </c>
      <c r="C249" t="n">
        <v>40821</v>
      </c>
      <c r="D249" t="n">
        <v>136266</v>
      </c>
      <c r="E249" t="n">
        <v>1503254</v>
      </c>
      <c r="F249" t="n">
        <v>16309364</v>
      </c>
      <c r="G249" t="n">
        <v>172835069</v>
      </c>
      <c r="H249" t="n">
        <v>1795297808</v>
      </c>
      <c r="I249" t="n">
        <v>18224626287</v>
      </c>
      <c r="J249" t="n">
        <v>2000</v>
      </c>
      <c r="K249" t="n">
        <v>31766</v>
      </c>
      <c r="L249" t="n">
        <v>2500</v>
      </c>
      <c r="M249" t="n">
        <v>1100</v>
      </c>
      <c r="N249" t="n">
        <v>2240</v>
      </c>
      <c r="O249" t="n">
        <v>3480</v>
      </c>
      <c r="P249" t="n">
        <v>4720</v>
      </c>
      <c r="Q249" t="n">
        <v>5960</v>
      </c>
      <c r="R249" t="n">
        <v>7200</v>
      </c>
      <c r="S249" t="n">
        <v>8440</v>
      </c>
      <c r="T249" t="n">
        <v>9680</v>
      </c>
      <c r="U249" t="n">
        <v>10920</v>
      </c>
      <c r="V249" t="n">
        <v>5626</v>
      </c>
      <c r="W249" t="n">
        <v>1992</v>
      </c>
      <c r="X249" t="n">
        <v>1744</v>
      </c>
      <c r="Y249" t="n">
        <v>8280</v>
      </c>
    </row>
    <row r="250">
      <c r="A250" t="n">
        <v>249</v>
      </c>
      <c r="B250" t="n">
        <v>0</v>
      </c>
      <c r="C250" t="n">
        <v>41434</v>
      </c>
      <c r="D250" t="n">
        <v>138992</v>
      </c>
      <c r="E250" t="n">
        <v>1548352</v>
      </c>
      <c r="F250" t="n">
        <v>16961739</v>
      </c>
      <c r="G250" t="n">
        <v>181476823</v>
      </c>
      <c r="H250" t="n">
        <v>1903015677</v>
      </c>
      <c r="I250" t="n">
        <v>19500350128</v>
      </c>
      <c r="J250" t="n">
        <v>2000</v>
      </c>
      <c r="K250" t="n">
        <v>32084</v>
      </c>
      <c r="L250" t="n">
        <v>2500</v>
      </c>
      <c r="M250" t="n">
        <v>1100</v>
      </c>
      <c r="N250" t="n">
        <v>2245</v>
      </c>
      <c r="O250" t="n">
        <v>3490</v>
      </c>
      <c r="P250" t="n">
        <v>4735</v>
      </c>
      <c r="Q250" t="n">
        <v>5980</v>
      </c>
      <c r="R250" t="n">
        <v>7225</v>
      </c>
      <c r="S250" t="n">
        <v>8470</v>
      </c>
      <c r="T250" t="n">
        <v>9715</v>
      </c>
      <c r="U250" t="n">
        <v>10960</v>
      </c>
      <c r="V250" t="n">
        <v>5659</v>
      </c>
      <c r="W250" t="n">
        <v>1996</v>
      </c>
      <c r="X250" t="n">
        <v>1747</v>
      </c>
      <c r="Y250" t="n">
        <v>8290</v>
      </c>
    </row>
    <row r="251">
      <c r="A251" t="n">
        <v>250</v>
      </c>
      <c r="B251" t="n">
        <v>0</v>
      </c>
      <c r="C251" t="n">
        <v>42056</v>
      </c>
      <c r="D251" t="n">
        <v>141772</v>
      </c>
      <c r="E251" t="n">
        <v>1594803</v>
      </c>
      <c r="F251" t="n">
        <v>17640209</v>
      </c>
      <c r="G251" t="n">
        <v>190550665</v>
      </c>
      <c r="H251" t="n">
        <v>2017196618</v>
      </c>
      <c r="I251" t="n">
        <v>20865374637</v>
      </c>
      <c r="J251" t="n">
        <v>2000</v>
      </c>
      <c r="K251" t="n">
        <v>32405</v>
      </c>
      <c r="L251" t="n">
        <v>2500</v>
      </c>
      <c r="M251" t="n">
        <v>1100</v>
      </c>
      <c r="N251" t="n">
        <v>2250</v>
      </c>
      <c r="O251" t="n">
        <v>3500</v>
      </c>
      <c r="P251" t="n">
        <v>4750</v>
      </c>
      <c r="Q251" t="n">
        <v>6000</v>
      </c>
      <c r="R251" t="n">
        <v>7250</v>
      </c>
      <c r="S251" t="n">
        <v>8500</v>
      </c>
      <c r="T251" t="n">
        <v>9750</v>
      </c>
      <c r="U251" t="n">
        <v>11000</v>
      </c>
      <c r="V251" t="n">
        <v>5692</v>
      </c>
      <c r="W251" t="n">
        <v>2000</v>
      </c>
      <c r="X251" t="n">
        <v>1750</v>
      </c>
      <c r="Y251" t="n">
        <v>8300</v>
      </c>
    </row>
    <row r="252">
      <c r="A252" t="n">
        <v>251</v>
      </c>
      <c r="B252" t="n">
        <v>0</v>
      </c>
      <c r="C252" t="n">
        <v>42687</v>
      </c>
      <c r="D252" t="n">
        <v>144608</v>
      </c>
      <c r="E252" t="n">
        <v>1642648</v>
      </c>
      <c r="F252" t="n">
        <v>18345818</v>
      </c>
      <c r="G252" t="n">
        <v>200078199</v>
      </c>
      <c r="H252" t="n">
        <v>2138228416</v>
      </c>
      <c r="I252" t="n">
        <v>22325950862</v>
      </c>
      <c r="J252" t="n">
        <v>2000</v>
      </c>
      <c r="K252" t="n">
        <v>32730</v>
      </c>
      <c r="L252" t="n">
        <v>2500</v>
      </c>
      <c r="M252" t="n">
        <v>1100</v>
      </c>
      <c r="N252" t="n">
        <v>2255</v>
      </c>
      <c r="O252" t="n">
        <v>3510</v>
      </c>
      <c r="P252" t="n">
        <v>4765</v>
      </c>
      <c r="Q252" t="n">
        <v>6020</v>
      </c>
      <c r="R252" t="n">
        <v>7275</v>
      </c>
      <c r="S252" t="n">
        <v>8530</v>
      </c>
      <c r="T252" t="n">
        <v>9785</v>
      </c>
      <c r="U252" t="n">
        <v>11040</v>
      </c>
      <c r="V252" t="n">
        <v>5725</v>
      </c>
      <c r="W252" t="n">
        <v>2004</v>
      </c>
      <c r="X252" t="n">
        <v>1753</v>
      </c>
      <c r="Y252" t="n">
        <v>8310</v>
      </c>
    </row>
    <row r="253">
      <c r="A253" t="n">
        <v>252</v>
      </c>
      <c r="B253" t="n">
        <v>0</v>
      </c>
      <c r="C253" t="n">
        <v>43328</v>
      </c>
      <c r="D253" t="n">
        <v>147501</v>
      </c>
      <c r="E253" t="n">
        <v>1691928</v>
      </c>
      <c r="F253" t="n">
        <v>19079651</v>
      </c>
      <c r="G253" t="n">
        <v>210082109</v>
      </c>
      <c r="H253" t="n">
        <v>2266522121</v>
      </c>
      <c r="I253" t="n">
        <v>23888767423</v>
      </c>
      <c r="J253" t="n">
        <v>2000</v>
      </c>
      <c r="K253" t="n">
        <v>33058</v>
      </c>
      <c r="L253" t="n">
        <v>2500</v>
      </c>
      <c r="M253" t="n">
        <v>1100</v>
      </c>
      <c r="N253" t="n">
        <v>2260</v>
      </c>
      <c r="O253" t="n">
        <v>3520</v>
      </c>
      <c r="P253" t="n">
        <v>4780</v>
      </c>
      <c r="Q253" t="n">
        <v>6040</v>
      </c>
      <c r="R253" t="n">
        <v>7300</v>
      </c>
      <c r="S253" t="n">
        <v>8560</v>
      </c>
      <c r="T253" t="n">
        <v>9820</v>
      </c>
      <c r="U253" t="n">
        <v>11080</v>
      </c>
      <c r="V253" t="n">
        <v>5758</v>
      </c>
      <c r="W253" t="n">
        <v>2008</v>
      </c>
      <c r="X253" t="n">
        <v>1756</v>
      </c>
      <c r="Y253" t="n">
        <v>8320</v>
      </c>
    </row>
    <row r="254">
      <c r="A254" t="n">
        <v>253</v>
      </c>
      <c r="B254" t="n">
        <v>0</v>
      </c>
      <c r="C254" t="n">
        <v>43978</v>
      </c>
      <c r="D254" t="n">
        <v>150452</v>
      </c>
      <c r="E254" t="n">
        <v>1742686</v>
      </c>
      <c r="F254" t="n">
        <v>19842838</v>
      </c>
      <c r="G254" t="n">
        <v>220586215</v>
      </c>
      <c r="H254" t="n">
        <v>2402513449</v>
      </c>
      <c r="I254" t="n">
        <v>25560981143</v>
      </c>
      <c r="J254" t="n">
        <v>2000</v>
      </c>
      <c r="K254" t="n">
        <v>33389</v>
      </c>
      <c r="L254" t="n">
        <v>2500</v>
      </c>
      <c r="M254" t="n">
        <v>1100</v>
      </c>
      <c r="N254" t="n">
        <v>2265</v>
      </c>
      <c r="O254" t="n">
        <v>3530</v>
      </c>
      <c r="P254" t="n">
        <v>4795</v>
      </c>
      <c r="Q254" t="n">
        <v>6060</v>
      </c>
      <c r="R254" t="n">
        <v>7325</v>
      </c>
      <c r="S254" t="n">
        <v>8590</v>
      </c>
      <c r="T254" t="n">
        <v>9855</v>
      </c>
      <c r="U254" t="n">
        <v>11120</v>
      </c>
      <c r="V254" t="n">
        <v>5791</v>
      </c>
      <c r="W254" t="n">
        <v>2012</v>
      </c>
      <c r="X254" t="n">
        <v>1759</v>
      </c>
      <c r="Y254" t="n">
        <v>8330</v>
      </c>
    </row>
    <row r="255">
      <c r="A255" t="n">
        <v>254</v>
      </c>
      <c r="B255" t="n">
        <v>0</v>
      </c>
      <c r="C255" t="n">
        <v>44638</v>
      </c>
      <c r="D255" t="n">
        <v>153462</v>
      </c>
      <c r="E255" t="n">
        <v>1794967</v>
      </c>
      <c r="F255" t="n">
        <v>20636552</v>
      </c>
      <c r="G255" t="n">
        <v>231615526</v>
      </c>
      <c r="H255" t="n">
        <v>2546664256</v>
      </c>
      <c r="I255" t="n">
        <v>27350249824</v>
      </c>
      <c r="J255" t="n">
        <v>2000</v>
      </c>
      <c r="K255" t="n">
        <v>33723</v>
      </c>
      <c r="L255" t="n">
        <v>2500</v>
      </c>
      <c r="M255" t="n">
        <v>1100</v>
      </c>
      <c r="N255" t="n">
        <v>2270</v>
      </c>
      <c r="O255" t="n">
        <v>3540</v>
      </c>
      <c r="P255" t="n">
        <v>4810</v>
      </c>
      <c r="Q255" t="n">
        <v>6080</v>
      </c>
      <c r="R255" t="n">
        <v>7350</v>
      </c>
      <c r="S255" t="n">
        <v>8620</v>
      </c>
      <c r="T255" t="n">
        <v>9890</v>
      </c>
      <c r="U255" t="n">
        <v>11160</v>
      </c>
      <c r="V255" t="n">
        <v>5824</v>
      </c>
      <c r="W255" t="n">
        <v>2016</v>
      </c>
      <c r="X255" t="n">
        <v>1762</v>
      </c>
      <c r="Y255" t="n">
        <v>8340</v>
      </c>
    </row>
    <row r="256">
      <c r="A256" t="n">
        <v>255</v>
      </c>
      <c r="B256" t="n">
        <v>0</v>
      </c>
      <c r="C256" t="n">
        <v>45308</v>
      </c>
      <c r="D256" t="n">
        <v>156532</v>
      </c>
      <c r="E256" t="n">
        <v>1848817</v>
      </c>
      <c r="F256" t="n">
        <v>21462015</v>
      </c>
      <c r="G256" t="n">
        <v>243196303</v>
      </c>
      <c r="H256" t="n">
        <v>2699464112</v>
      </c>
      <c r="I256" t="n">
        <v>29264767312</v>
      </c>
      <c r="J256" t="n">
        <v>2000</v>
      </c>
      <c r="K256" t="n">
        <v>34061</v>
      </c>
      <c r="L256" t="n">
        <v>2500</v>
      </c>
      <c r="M256" t="n">
        <v>1100</v>
      </c>
      <c r="N256" t="n">
        <v>2275</v>
      </c>
      <c r="O256" t="n">
        <v>3550</v>
      </c>
      <c r="P256" t="n">
        <v>4825</v>
      </c>
      <c r="Q256" t="n">
        <v>6100</v>
      </c>
      <c r="R256" t="n">
        <v>7375</v>
      </c>
      <c r="S256" t="n">
        <v>8650</v>
      </c>
      <c r="T256" t="n">
        <v>9925</v>
      </c>
      <c r="U256" t="n">
        <v>11200</v>
      </c>
      <c r="V256" t="n">
        <v>5858</v>
      </c>
      <c r="W256" t="n">
        <v>2020</v>
      </c>
      <c r="X256" t="n">
        <v>1765</v>
      </c>
      <c r="Y256" t="n">
        <v>8350</v>
      </c>
    </row>
    <row r="257">
      <c r="A257" t="n">
        <v>256</v>
      </c>
      <c r="B257" t="n">
        <v>0</v>
      </c>
      <c r="C257" t="n">
        <v>45988</v>
      </c>
      <c r="D257" t="n">
        <v>159663</v>
      </c>
      <c r="E257" t="n">
        <v>1904282</v>
      </c>
      <c r="F257" t="n">
        <v>22320496</v>
      </c>
      <c r="G257" t="n">
        <v>255356119</v>
      </c>
      <c r="H257" t="n">
        <v>2861431959</v>
      </c>
      <c r="I257" t="n">
        <v>31313301024</v>
      </c>
      <c r="J257" t="n">
        <v>2000</v>
      </c>
      <c r="K257" t="n">
        <v>34402</v>
      </c>
      <c r="L257" t="n">
        <v>2500</v>
      </c>
      <c r="M257" t="n">
        <v>1100</v>
      </c>
      <c r="N257" t="n">
        <v>2280</v>
      </c>
      <c r="O257" t="n">
        <v>3560</v>
      </c>
      <c r="P257" t="n">
        <v>4840</v>
      </c>
      <c r="Q257" t="n">
        <v>6120</v>
      </c>
      <c r="R257" t="n">
        <v>7400</v>
      </c>
      <c r="S257" t="n">
        <v>8680</v>
      </c>
      <c r="T257" t="n">
        <v>9960</v>
      </c>
      <c r="U257" t="n">
        <v>11240</v>
      </c>
      <c r="V257" t="n">
        <v>5892</v>
      </c>
      <c r="W257" t="n">
        <v>2024</v>
      </c>
      <c r="X257" t="n">
        <v>1768</v>
      </c>
      <c r="Y257" t="n">
        <v>8360</v>
      </c>
    </row>
    <row r="258">
      <c r="A258" t="n">
        <v>257</v>
      </c>
      <c r="B258" t="n">
        <v>0</v>
      </c>
      <c r="C258" t="n">
        <v>46678</v>
      </c>
      <c r="D258" t="n">
        <v>162857</v>
      </c>
      <c r="E258" t="n">
        <v>1961411</v>
      </c>
      <c r="F258" t="n">
        <v>23213316</v>
      </c>
      <c r="G258" t="n">
        <v>268123925</v>
      </c>
      <c r="H258" t="n">
        <v>3033117877</v>
      </c>
      <c r="I258" t="n">
        <v>33505232096</v>
      </c>
      <c r="J258" t="n">
        <v>2000</v>
      </c>
      <c r="K258" t="n">
        <v>34747</v>
      </c>
      <c r="L258" t="n">
        <v>2500</v>
      </c>
      <c r="M258" t="n">
        <v>1100</v>
      </c>
      <c r="N258" t="n">
        <v>2285</v>
      </c>
      <c r="O258" t="n">
        <v>3570</v>
      </c>
      <c r="P258" t="n">
        <v>4855</v>
      </c>
      <c r="Q258" t="n">
        <v>6140</v>
      </c>
      <c r="R258" t="n">
        <v>7425</v>
      </c>
      <c r="S258" t="n">
        <v>8710</v>
      </c>
      <c r="T258" t="n">
        <v>9995</v>
      </c>
      <c r="U258" t="n">
        <v>11280</v>
      </c>
      <c r="V258" t="n">
        <v>5926</v>
      </c>
      <c r="W258" t="n">
        <v>2028</v>
      </c>
      <c r="X258" t="n">
        <v>1771</v>
      </c>
      <c r="Y258" t="n">
        <v>8370</v>
      </c>
    </row>
    <row r="259">
      <c r="A259" t="n">
        <v>258</v>
      </c>
      <c r="B259" t="n">
        <v>0</v>
      </c>
      <c r="C259" t="n">
        <v>47379</v>
      </c>
      <c r="D259" t="n">
        <v>166115</v>
      </c>
      <c r="E259" t="n">
        <v>2020254</v>
      </c>
      <c r="F259" t="n">
        <v>24141849</v>
      </c>
      <c r="G259" t="n">
        <v>281530122</v>
      </c>
      <c r="H259" t="n">
        <v>3215104950</v>
      </c>
      <c r="I259" t="n">
        <v>35850598343</v>
      </c>
      <c r="J259" t="n">
        <v>2000</v>
      </c>
      <c r="K259" t="n">
        <v>35095</v>
      </c>
      <c r="L259" t="n">
        <v>2500</v>
      </c>
      <c r="M259" t="n">
        <v>1100</v>
      </c>
      <c r="N259" t="n">
        <v>2290</v>
      </c>
      <c r="O259" t="n">
        <v>3580</v>
      </c>
      <c r="P259" t="n">
        <v>4870</v>
      </c>
      <c r="Q259" t="n">
        <v>6160</v>
      </c>
      <c r="R259" t="n">
        <v>7450</v>
      </c>
      <c r="S259" t="n">
        <v>8740</v>
      </c>
      <c r="T259" t="n">
        <v>10030</v>
      </c>
      <c r="U259" t="n">
        <v>11320</v>
      </c>
      <c r="V259" t="n">
        <v>5960</v>
      </c>
      <c r="W259" t="n">
        <v>2032</v>
      </c>
      <c r="X259" t="n">
        <v>1774</v>
      </c>
      <c r="Y259" t="n">
        <v>8380</v>
      </c>
    </row>
    <row r="260">
      <c r="A260" t="n">
        <v>259</v>
      </c>
      <c r="B260" t="n">
        <v>0</v>
      </c>
      <c r="C260" t="n">
        <v>48090</v>
      </c>
      <c r="D260" t="n">
        <v>169438</v>
      </c>
      <c r="E260" t="n">
        <v>2080862</v>
      </c>
      <c r="F260" t="n">
        <v>25107523</v>
      </c>
      <c r="G260" t="n">
        <v>295606629</v>
      </c>
      <c r="H260" t="n">
        <v>3408011247</v>
      </c>
      <c r="I260" t="n">
        <v>38360140228</v>
      </c>
      <c r="J260" t="n">
        <v>2000</v>
      </c>
      <c r="K260" t="n">
        <v>35446</v>
      </c>
      <c r="L260" t="n">
        <v>2500</v>
      </c>
      <c r="M260" t="n">
        <v>1100</v>
      </c>
      <c r="N260" t="n">
        <v>2295</v>
      </c>
      <c r="O260" t="n">
        <v>3590</v>
      </c>
      <c r="P260" t="n">
        <v>4885</v>
      </c>
      <c r="Q260" t="n">
        <v>6180</v>
      </c>
      <c r="R260" t="n">
        <v>7475</v>
      </c>
      <c r="S260" t="n">
        <v>8770</v>
      </c>
      <c r="T260" t="n">
        <v>10065</v>
      </c>
      <c r="U260" t="n">
        <v>11360</v>
      </c>
      <c r="V260" t="n">
        <v>5994</v>
      </c>
      <c r="W260" t="n">
        <v>2036</v>
      </c>
      <c r="X260" t="n">
        <v>1777</v>
      </c>
      <c r="Y260" t="n">
        <v>8390</v>
      </c>
    </row>
    <row r="261">
      <c r="A261" t="n">
        <v>260</v>
      </c>
      <c r="B261" t="n">
        <v>0</v>
      </c>
      <c r="C261" t="n">
        <v>48812</v>
      </c>
      <c r="D261" t="n">
        <v>172827</v>
      </c>
      <c r="E261" t="n">
        <v>2143288</v>
      </c>
      <c r="F261" t="n">
        <v>26111824</v>
      </c>
      <c r="G261" t="n">
        <v>310386961</v>
      </c>
      <c r="H261" t="n">
        <v>3612491922</v>
      </c>
      <c r="I261" t="n">
        <v>41045350044</v>
      </c>
      <c r="J261" t="n">
        <v>2000</v>
      </c>
      <c r="K261" t="n">
        <v>35801</v>
      </c>
      <c r="L261" t="n">
        <v>2500</v>
      </c>
      <c r="M261" t="n">
        <v>1100</v>
      </c>
      <c r="N261" t="n">
        <v>2300</v>
      </c>
      <c r="O261" t="n">
        <v>3600</v>
      </c>
      <c r="P261" t="n">
        <v>4900</v>
      </c>
      <c r="Q261" t="n">
        <v>6200</v>
      </c>
      <c r="R261" t="n">
        <v>7500</v>
      </c>
      <c r="S261" t="n">
        <v>8800</v>
      </c>
      <c r="T261" t="n">
        <v>10100</v>
      </c>
      <c r="U261" t="n">
        <v>11400</v>
      </c>
      <c r="V261" t="n">
        <v>6028</v>
      </c>
      <c r="W261" t="n">
        <v>2040</v>
      </c>
      <c r="X261" t="n">
        <v>1780</v>
      </c>
      <c r="Y261" t="n">
        <v>8400</v>
      </c>
    </row>
    <row r="262">
      <c r="A262" t="n">
        <v>261</v>
      </c>
      <c r="B262" t="n">
        <v>0</v>
      </c>
      <c r="C262" t="n">
        <v>49545</v>
      </c>
      <c r="D262" t="n">
        <v>176284</v>
      </c>
      <c r="E262" t="n">
        <v>2207587</v>
      </c>
      <c r="F262" t="n">
        <v>27156297</v>
      </c>
      <c r="G262" t="n">
        <v>325906310</v>
      </c>
      <c r="H262" t="n">
        <v>3829241438</v>
      </c>
      <c r="I262" t="n">
        <v>43918524548</v>
      </c>
      <c r="J262" t="n">
        <v>2000</v>
      </c>
      <c r="K262" t="n">
        <v>36160</v>
      </c>
      <c r="L262" t="n">
        <v>2500</v>
      </c>
      <c r="M262" t="n">
        <v>1100</v>
      </c>
      <c r="N262" t="n">
        <v>2305</v>
      </c>
      <c r="O262" t="n">
        <v>3610</v>
      </c>
      <c r="P262" t="n">
        <v>4915</v>
      </c>
      <c r="Q262" t="n">
        <v>6220</v>
      </c>
      <c r="R262" t="n">
        <v>7525</v>
      </c>
      <c r="S262" t="n">
        <v>8830</v>
      </c>
      <c r="T262" t="n">
        <v>10135</v>
      </c>
      <c r="U262" t="n">
        <v>11440</v>
      </c>
      <c r="V262" t="n">
        <v>6063</v>
      </c>
      <c r="W262" t="n">
        <v>2044</v>
      </c>
      <c r="X262" t="n">
        <v>1783</v>
      </c>
      <c r="Y262" t="n">
        <v>8410</v>
      </c>
    </row>
    <row r="263">
      <c r="A263" t="n">
        <v>262</v>
      </c>
      <c r="B263" t="n">
        <v>0</v>
      </c>
      <c r="C263" t="n">
        <v>50289</v>
      </c>
      <c r="D263" t="n">
        <v>179810</v>
      </c>
      <c r="E263" t="n">
        <v>2273815</v>
      </c>
      <c r="F263" t="n">
        <v>28242549</v>
      </c>
      <c r="G263" t="n">
        <v>342201626</v>
      </c>
      <c r="H263" t="n">
        <v>4058995925</v>
      </c>
      <c r="I263" t="n">
        <v>46992821267</v>
      </c>
      <c r="J263" t="n">
        <v>2000</v>
      </c>
      <c r="K263" t="n">
        <v>36522</v>
      </c>
      <c r="L263" t="n">
        <v>2500</v>
      </c>
      <c r="M263" t="n">
        <v>1100</v>
      </c>
      <c r="N263" t="n">
        <v>2310</v>
      </c>
      <c r="O263" t="n">
        <v>3620</v>
      </c>
      <c r="P263" t="n">
        <v>4930</v>
      </c>
      <c r="Q263" t="n">
        <v>6240</v>
      </c>
      <c r="R263" t="n">
        <v>7550</v>
      </c>
      <c r="S263" t="n">
        <v>8860</v>
      </c>
      <c r="T263" t="n">
        <v>10170</v>
      </c>
      <c r="U263" t="n">
        <v>11480</v>
      </c>
      <c r="V263" t="n">
        <v>6098</v>
      </c>
      <c r="W263" t="n">
        <v>2048</v>
      </c>
      <c r="X263" t="n">
        <v>1786</v>
      </c>
      <c r="Y263" t="n">
        <v>8420</v>
      </c>
    </row>
    <row r="264">
      <c r="A264" t="n">
        <v>263</v>
      </c>
      <c r="B264" t="n">
        <v>0</v>
      </c>
      <c r="C264" t="n">
        <v>51044</v>
      </c>
      <c r="D264" t="n">
        <v>183407</v>
      </c>
      <c r="E264" t="n">
        <v>2342030</v>
      </c>
      <c r="F264" t="n">
        <v>29372251</v>
      </c>
      <c r="G264" t="n">
        <v>359311708</v>
      </c>
      <c r="H264" t="n">
        <v>4302535681</v>
      </c>
      <c r="I264" t="n">
        <v>50282318756</v>
      </c>
      <c r="J264" t="n">
        <v>2000</v>
      </c>
      <c r="K264" t="n">
        <v>36888</v>
      </c>
      <c r="L264" t="n">
        <v>2500</v>
      </c>
      <c r="M264" t="n">
        <v>1100</v>
      </c>
      <c r="N264" t="n">
        <v>2315</v>
      </c>
      <c r="O264" t="n">
        <v>3630</v>
      </c>
      <c r="P264" t="n">
        <v>4945</v>
      </c>
      <c r="Q264" t="n">
        <v>6260</v>
      </c>
      <c r="R264" t="n">
        <v>7575</v>
      </c>
      <c r="S264" t="n">
        <v>8890</v>
      </c>
      <c r="T264" t="n">
        <v>10205</v>
      </c>
      <c r="U264" t="n">
        <v>11520</v>
      </c>
      <c r="V264" t="n">
        <v>6133</v>
      </c>
      <c r="W264" t="n">
        <v>2052</v>
      </c>
      <c r="X264" t="n">
        <v>1789</v>
      </c>
      <c r="Y264" t="n">
        <v>8430</v>
      </c>
    </row>
    <row r="265">
      <c r="A265" t="n">
        <v>264</v>
      </c>
      <c r="B265" t="n">
        <v>0</v>
      </c>
      <c r="C265" t="n">
        <v>51810</v>
      </c>
      <c r="D265" t="n">
        <v>187076</v>
      </c>
      <c r="E265" t="n">
        <v>2412291</v>
      </c>
      <c r="F265" t="n">
        <v>30547142</v>
      </c>
      <c r="G265" t="n">
        <v>377277294</v>
      </c>
      <c r="H265" t="n">
        <v>4560687822</v>
      </c>
      <c r="I265" t="n">
        <v>53802081069</v>
      </c>
      <c r="J265" t="n">
        <v>2000</v>
      </c>
      <c r="K265" t="n">
        <v>37257</v>
      </c>
      <c r="L265" t="n">
        <v>2500</v>
      </c>
      <c r="M265" t="n">
        <v>1100</v>
      </c>
      <c r="N265" t="n">
        <v>2320</v>
      </c>
      <c r="O265" t="n">
        <v>3640</v>
      </c>
      <c r="P265" t="n">
        <v>4960</v>
      </c>
      <c r="Q265" t="n">
        <v>6280</v>
      </c>
      <c r="R265" t="n">
        <v>7600</v>
      </c>
      <c r="S265" t="n">
        <v>8920</v>
      </c>
      <c r="T265" t="n">
        <v>10240</v>
      </c>
      <c r="U265" t="n">
        <v>11560</v>
      </c>
      <c r="V265" t="n">
        <v>6168</v>
      </c>
      <c r="W265" t="n">
        <v>2056</v>
      </c>
      <c r="X265" t="n">
        <v>1792</v>
      </c>
      <c r="Y265" t="n">
        <v>8440</v>
      </c>
    </row>
    <row r="266">
      <c r="A266" t="n">
        <v>265</v>
      </c>
      <c r="B266" t="n">
        <v>0</v>
      </c>
      <c r="C266" t="n">
        <v>52588</v>
      </c>
      <c r="D266" t="n">
        <v>190818</v>
      </c>
      <c r="E266" t="n">
        <v>2484660</v>
      </c>
      <c r="F266" t="n">
        <v>31769028</v>
      </c>
      <c r="G266" t="n">
        <v>396141159</v>
      </c>
      <c r="H266" t="n">
        <v>4834329092</v>
      </c>
      <c r="I266" t="n">
        <v>57568226744</v>
      </c>
      <c r="J266" t="n">
        <v>2000</v>
      </c>
      <c r="K266" t="n">
        <v>37630</v>
      </c>
      <c r="L266" t="n">
        <v>2500</v>
      </c>
      <c r="M266" t="n">
        <v>1100</v>
      </c>
      <c r="N266" t="n">
        <v>2325</v>
      </c>
      <c r="O266" t="n">
        <v>3650</v>
      </c>
      <c r="P266" t="n">
        <v>4975</v>
      </c>
      <c r="Q266" t="n">
        <v>6300</v>
      </c>
      <c r="R266" t="n">
        <v>7625</v>
      </c>
      <c r="S266" t="n">
        <v>8950</v>
      </c>
      <c r="T266" t="n">
        <v>10275</v>
      </c>
      <c r="U266" t="n">
        <v>11600</v>
      </c>
      <c r="V266" t="n">
        <v>6203</v>
      </c>
      <c r="W266" t="n">
        <v>2060</v>
      </c>
      <c r="X266" t="n">
        <v>1795</v>
      </c>
      <c r="Y266" t="n">
        <v>8450</v>
      </c>
    </row>
    <row r="267">
      <c r="A267" t="n">
        <v>266</v>
      </c>
      <c r="B267" t="n">
        <v>0</v>
      </c>
      <c r="C267" t="n">
        <v>53377</v>
      </c>
      <c r="D267" t="n">
        <v>194635</v>
      </c>
      <c r="E267" t="n">
        <v>2559200</v>
      </c>
      <c r="F267" t="n">
        <v>33039790</v>
      </c>
      <c r="G267" t="n">
        <v>415948217</v>
      </c>
      <c r="H267" t="n">
        <v>5124388838</v>
      </c>
      <c r="I267" t="n">
        <v>61598002617</v>
      </c>
      <c r="J267" t="n">
        <v>2000</v>
      </c>
      <c r="K267" t="n">
        <v>38007</v>
      </c>
      <c r="L267" t="n">
        <v>2500</v>
      </c>
      <c r="M267" t="n">
        <v>1100</v>
      </c>
      <c r="N267" t="n">
        <v>2330</v>
      </c>
      <c r="O267" t="n">
        <v>3660</v>
      </c>
      <c r="P267" t="n">
        <v>4990</v>
      </c>
      <c r="Q267" t="n">
        <v>6320</v>
      </c>
      <c r="R267" t="n">
        <v>7650</v>
      </c>
      <c r="S267" t="n">
        <v>8980</v>
      </c>
      <c r="T267" t="n">
        <v>10310</v>
      </c>
      <c r="U267" t="n">
        <v>11640</v>
      </c>
      <c r="V267" t="n">
        <v>6239</v>
      </c>
      <c r="W267" t="n">
        <v>2064</v>
      </c>
      <c r="X267" t="n">
        <v>1798</v>
      </c>
      <c r="Y267" t="n">
        <v>8460</v>
      </c>
    </row>
    <row r="268">
      <c r="A268" t="n">
        <v>267</v>
      </c>
      <c r="B268" t="n">
        <v>0</v>
      </c>
      <c r="C268" t="n">
        <v>54178</v>
      </c>
      <c r="D268" t="n">
        <v>198528</v>
      </c>
      <c r="E268" t="n">
        <v>2635976</v>
      </c>
      <c r="F268" t="n">
        <v>34361382</v>
      </c>
      <c r="G268" t="n">
        <v>436745628</v>
      </c>
      <c r="H268" t="n">
        <v>5431852169</v>
      </c>
      <c r="I268" t="n">
        <v>65909862801</v>
      </c>
      <c r="J268" t="n">
        <v>2000</v>
      </c>
      <c r="K268" t="n">
        <v>38388</v>
      </c>
      <c r="L268" t="n">
        <v>2500</v>
      </c>
      <c r="M268" t="n">
        <v>1100</v>
      </c>
      <c r="N268" t="n">
        <v>2335</v>
      </c>
      <c r="O268" t="n">
        <v>3670</v>
      </c>
      <c r="P268" t="n">
        <v>5005</v>
      </c>
      <c r="Q268" t="n">
        <v>6340</v>
      </c>
      <c r="R268" t="n">
        <v>7675</v>
      </c>
      <c r="S268" t="n">
        <v>9010</v>
      </c>
      <c r="T268" t="n">
        <v>10345</v>
      </c>
      <c r="U268" t="n">
        <v>11680</v>
      </c>
      <c r="V268" t="n">
        <v>6275</v>
      </c>
      <c r="W268" t="n">
        <v>2068</v>
      </c>
      <c r="X268" t="n">
        <v>1801</v>
      </c>
      <c r="Y268" t="n">
        <v>8470</v>
      </c>
    </row>
    <row r="269">
      <c r="A269" t="n">
        <v>268</v>
      </c>
      <c r="B269" t="n">
        <v>0</v>
      </c>
      <c r="C269" t="n">
        <v>54991</v>
      </c>
      <c r="D269" t="n">
        <v>202499</v>
      </c>
      <c r="E269" t="n">
        <v>2715056</v>
      </c>
      <c r="F269" t="n">
        <v>35735838</v>
      </c>
      <c r="G269" t="n">
        <v>458582910</v>
      </c>
      <c r="H269" t="n">
        <v>5757763300</v>
      </c>
      <c r="I269" t="n">
        <v>70523553198</v>
      </c>
      <c r="J269" t="n">
        <v>2000</v>
      </c>
      <c r="K269" t="n">
        <v>38772</v>
      </c>
      <c r="L269" t="n">
        <v>2500</v>
      </c>
      <c r="M269" t="n">
        <v>1100</v>
      </c>
      <c r="N269" t="n">
        <v>2340</v>
      </c>
      <c r="O269" t="n">
        <v>3680</v>
      </c>
      <c r="P269" t="n">
        <v>5020</v>
      </c>
      <c r="Q269" t="n">
        <v>6360</v>
      </c>
      <c r="R269" t="n">
        <v>7700</v>
      </c>
      <c r="S269" t="n">
        <v>9040</v>
      </c>
      <c r="T269" t="n">
        <v>10380</v>
      </c>
      <c r="U269" t="n">
        <v>11720</v>
      </c>
      <c r="V269" t="n">
        <v>6311</v>
      </c>
      <c r="W269" t="n">
        <v>2072</v>
      </c>
      <c r="X269" t="n">
        <v>1804</v>
      </c>
      <c r="Y269" t="n">
        <v>8480</v>
      </c>
    </row>
    <row r="270">
      <c r="A270" t="n">
        <v>269</v>
      </c>
      <c r="B270" t="n">
        <v>0</v>
      </c>
      <c r="C270" t="n">
        <v>55816</v>
      </c>
      <c r="D270" t="n">
        <v>206549</v>
      </c>
      <c r="E270" t="n">
        <v>2796508</v>
      </c>
      <c r="F270" t="n">
        <v>37165272</v>
      </c>
      <c r="G270" t="n">
        <v>481512056</v>
      </c>
      <c r="H270" t="n">
        <v>6103229098</v>
      </c>
      <c r="I270" t="n">
        <v>75460201922</v>
      </c>
      <c r="J270" t="n">
        <v>2000</v>
      </c>
      <c r="K270" t="n">
        <v>39160</v>
      </c>
      <c r="L270" t="n">
        <v>2500</v>
      </c>
      <c r="M270" t="n">
        <v>1100</v>
      </c>
      <c r="N270" t="n">
        <v>2345</v>
      </c>
      <c r="O270" t="n">
        <v>3690</v>
      </c>
      <c r="P270" t="n">
        <v>5035</v>
      </c>
      <c r="Q270" t="n">
        <v>6380</v>
      </c>
      <c r="R270" t="n">
        <v>7725</v>
      </c>
      <c r="S270" t="n">
        <v>9070</v>
      </c>
      <c r="T270" t="n">
        <v>10415</v>
      </c>
      <c r="U270" t="n">
        <v>11760</v>
      </c>
      <c r="V270" t="n">
        <v>6347</v>
      </c>
      <c r="W270" t="n">
        <v>2076</v>
      </c>
      <c r="X270" t="n">
        <v>1807</v>
      </c>
      <c r="Y270" t="n">
        <v>8490</v>
      </c>
    </row>
    <row r="271">
      <c r="A271" t="n">
        <v>270</v>
      </c>
      <c r="B271" t="n">
        <v>0</v>
      </c>
      <c r="C271" t="n">
        <v>56654</v>
      </c>
      <c r="D271" t="n">
        <v>210680</v>
      </c>
      <c r="E271" t="n">
        <v>2880404</v>
      </c>
      <c r="F271" t="n">
        <v>38651883</v>
      </c>
      <c r="G271" t="n">
        <v>505587659</v>
      </c>
      <c r="H271" t="n">
        <v>6469422844</v>
      </c>
      <c r="I271" t="n">
        <v>80742416057</v>
      </c>
      <c r="J271" t="n">
        <v>2000</v>
      </c>
      <c r="K271" t="n">
        <v>39552</v>
      </c>
      <c r="L271" t="n">
        <v>2500</v>
      </c>
      <c r="M271" t="n">
        <v>1100</v>
      </c>
      <c r="N271" t="n">
        <v>2350</v>
      </c>
      <c r="O271" t="n">
        <v>3700</v>
      </c>
      <c r="P271" t="n">
        <v>5050</v>
      </c>
      <c r="Q271" t="n">
        <v>6400</v>
      </c>
      <c r="R271" t="n">
        <v>7750</v>
      </c>
      <c r="S271" t="n">
        <v>9100</v>
      </c>
      <c r="T271" t="n">
        <v>10450</v>
      </c>
      <c r="U271" t="n">
        <v>11800</v>
      </c>
      <c r="V271" t="n">
        <v>6383</v>
      </c>
      <c r="W271" t="n">
        <v>2080</v>
      </c>
      <c r="X271" t="n">
        <v>1810</v>
      </c>
      <c r="Y271" t="n">
        <v>8500</v>
      </c>
    </row>
    <row r="272">
      <c r="A272" t="n">
        <v>271</v>
      </c>
      <c r="B272" t="n">
        <v>0</v>
      </c>
      <c r="C272" t="n">
        <v>57504</v>
      </c>
      <c r="D272" t="n">
        <v>214894</v>
      </c>
      <c r="E272" t="n">
        <v>2966817</v>
      </c>
      <c r="F272" t="n">
        <v>40197959</v>
      </c>
      <c r="G272" t="n">
        <v>530867042</v>
      </c>
      <c r="H272" t="n">
        <v>6857588215</v>
      </c>
      <c r="I272" t="n">
        <v>86394385181</v>
      </c>
      <c r="J272" t="n">
        <v>2000</v>
      </c>
      <c r="K272" t="n">
        <v>39948</v>
      </c>
      <c r="L272" t="n">
        <v>2500</v>
      </c>
      <c r="M272" t="n">
        <v>1100</v>
      </c>
      <c r="N272" t="n">
        <v>2355</v>
      </c>
      <c r="O272" t="n">
        <v>3710</v>
      </c>
      <c r="P272" t="n">
        <v>5065</v>
      </c>
      <c r="Q272" t="n">
        <v>6420</v>
      </c>
      <c r="R272" t="n">
        <v>7775</v>
      </c>
      <c r="S272" t="n">
        <v>9130</v>
      </c>
      <c r="T272" t="n">
        <v>10485</v>
      </c>
      <c r="U272" t="n">
        <v>11840</v>
      </c>
      <c r="V272" t="n">
        <v>6419</v>
      </c>
      <c r="W272" t="n">
        <v>2084</v>
      </c>
      <c r="X272" t="n">
        <v>1813</v>
      </c>
      <c r="Y272" t="n">
        <v>8510</v>
      </c>
    </row>
    <row r="273">
      <c r="A273" t="n">
        <v>272</v>
      </c>
      <c r="B273" t="n">
        <v>0</v>
      </c>
      <c r="C273" t="n">
        <v>58367</v>
      </c>
      <c r="D273" t="n">
        <v>219192</v>
      </c>
      <c r="E273" t="n">
        <v>3055822</v>
      </c>
      <c r="F273" t="n">
        <v>41805878</v>
      </c>
      <c r="G273" t="n">
        <v>557410395</v>
      </c>
      <c r="H273" t="n">
        <v>7269043508</v>
      </c>
      <c r="I273" t="n">
        <v>92441992144</v>
      </c>
      <c r="J273" t="n">
        <v>2000</v>
      </c>
      <c r="K273" t="n">
        <v>40348</v>
      </c>
      <c r="L273" t="n">
        <v>2500</v>
      </c>
      <c r="M273" t="n">
        <v>1100</v>
      </c>
      <c r="N273" t="n">
        <v>2360</v>
      </c>
      <c r="O273" t="n">
        <v>3720</v>
      </c>
      <c r="P273" t="n">
        <v>5080</v>
      </c>
      <c r="Q273" t="n">
        <v>6440</v>
      </c>
      <c r="R273" t="n">
        <v>7800</v>
      </c>
      <c r="S273" t="n">
        <v>9160</v>
      </c>
      <c r="T273" t="n">
        <v>10520</v>
      </c>
      <c r="U273" t="n">
        <v>11880</v>
      </c>
      <c r="V273" t="n">
        <v>6456</v>
      </c>
      <c r="W273" t="n">
        <v>2088</v>
      </c>
      <c r="X273" t="n">
        <v>1816</v>
      </c>
      <c r="Y273" t="n">
        <v>8520</v>
      </c>
    </row>
    <row r="274">
      <c r="A274" t="n">
        <v>273</v>
      </c>
      <c r="B274" t="n">
        <v>0</v>
      </c>
      <c r="C274" t="n">
        <v>59243</v>
      </c>
      <c r="D274" t="n">
        <v>223576</v>
      </c>
      <c r="E274" t="n">
        <v>3147497</v>
      </c>
      <c r="F274" t="n">
        <v>43478114</v>
      </c>
      <c r="G274" t="n">
        <v>585280915</v>
      </c>
      <c r="H274" t="n">
        <v>7705186119</v>
      </c>
      <c r="I274" t="n">
        <v>98912931595</v>
      </c>
      <c r="J274" t="n">
        <v>2000</v>
      </c>
      <c r="K274" t="n">
        <v>40752</v>
      </c>
      <c r="L274" t="n">
        <v>2500</v>
      </c>
      <c r="M274" t="n">
        <v>1100</v>
      </c>
      <c r="N274" t="n">
        <v>2365</v>
      </c>
      <c r="O274" t="n">
        <v>3730</v>
      </c>
      <c r="P274" t="n">
        <v>5095</v>
      </c>
      <c r="Q274" t="n">
        <v>6460</v>
      </c>
      <c r="R274" t="n">
        <v>7825</v>
      </c>
      <c r="S274" t="n">
        <v>9190</v>
      </c>
      <c r="T274" t="n">
        <v>10555</v>
      </c>
      <c r="U274" t="n">
        <v>11920</v>
      </c>
      <c r="V274" t="n">
        <v>6493</v>
      </c>
      <c r="W274" t="n">
        <v>2092</v>
      </c>
      <c r="X274" t="n">
        <v>1819</v>
      </c>
      <c r="Y274" t="n">
        <v>8530</v>
      </c>
    </row>
    <row r="275">
      <c r="A275" t="n">
        <v>274</v>
      </c>
      <c r="B275" t="n">
        <v>0</v>
      </c>
      <c r="C275" t="n">
        <v>60132</v>
      </c>
      <c r="D275" t="n">
        <v>228048</v>
      </c>
      <c r="E275" t="n">
        <v>3241922</v>
      </c>
      <c r="F275" t="n">
        <v>45217239</v>
      </c>
      <c r="G275" t="n">
        <v>614544961</v>
      </c>
      <c r="H275" t="n">
        <v>8167497287</v>
      </c>
      <c r="I275" t="n">
        <v>105836836807</v>
      </c>
      <c r="J275" t="n">
        <v>2000</v>
      </c>
      <c r="K275" t="n">
        <v>41160</v>
      </c>
      <c r="L275" t="n">
        <v>2500</v>
      </c>
      <c r="M275" t="n">
        <v>1100</v>
      </c>
      <c r="N275" t="n">
        <v>2370</v>
      </c>
      <c r="O275" t="n">
        <v>3740</v>
      </c>
      <c r="P275" t="n">
        <v>5110</v>
      </c>
      <c r="Q275" t="n">
        <v>6480</v>
      </c>
      <c r="R275" t="n">
        <v>7850</v>
      </c>
      <c r="S275" t="n">
        <v>9220</v>
      </c>
      <c r="T275" t="n">
        <v>10590</v>
      </c>
      <c r="U275" t="n">
        <v>11960</v>
      </c>
      <c r="V275" t="n">
        <v>6530</v>
      </c>
      <c r="W275" t="n">
        <v>2096</v>
      </c>
      <c r="X275" t="n">
        <v>1822</v>
      </c>
      <c r="Y275" t="n">
        <v>8540</v>
      </c>
    </row>
    <row r="276">
      <c r="A276" t="n">
        <v>275</v>
      </c>
      <c r="B276" t="n">
        <v>0</v>
      </c>
      <c r="C276" t="n">
        <v>61034</v>
      </c>
      <c r="D276" t="n">
        <v>232609</v>
      </c>
      <c r="E276" t="n">
        <v>3339180</v>
      </c>
      <c r="F276" t="n">
        <v>47025929</v>
      </c>
      <c r="G276" t="n">
        <v>645272210</v>
      </c>
      <c r="H276" t="n">
        <v>8657547125</v>
      </c>
      <c r="I276" t="n">
        <v>113245415384</v>
      </c>
      <c r="J276" t="n">
        <v>2000</v>
      </c>
      <c r="K276" t="n">
        <v>41572</v>
      </c>
      <c r="L276" t="n">
        <v>2500</v>
      </c>
      <c r="M276" t="n">
        <v>1100</v>
      </c>
      <c r="N276" t="n">
        <v>2375</v>
      </c>
      <c r="O276" t="n">
        <v>3750</v>
      </c>
      <c r="P276" t="n">
        <v>5125</v>
      </c>
      <c r="Q276" t="n">
        <v>6500</v>
      </c>
      <c r="R276" t="n">
        <v>7875</v>
      </c>
      <c r="S276" t="n">
        <v>9250</v>
      </c>
      <c r="T276" t="n">
        <v>10625</v>
      </c>
      <c r="U276" t="n">
        <v>12000</v>
      </c>
      <c r="V276" t="n">
        <v>6567</v>
      </c>
      <c r="W276" t="n">
        <v>2100</v>
      </c>
      <c r="X276" t="n">
        <v>1825</v>
      </c>
      <c r="Y276" t="n">
        <v>8550</v>
      </c>
    </row>
    <row r="277">
      <c r="A277" t="n">
        <v>276</v>
      </c>
      <c r="B277" t="n">
        <v>0</v>
      </c>
      <c r="C277" t="n">
        <v>61950</v>
      </c>
      <c r="D277" t="n">
        <v>237262</v>
      </c>
      <c r="E277" t="n">
        <v>3439356</v>
      </c>
      <c r="F277" t="n">
        <v>48906967</v>
      </c>
      <c r="G277" t="n">
        <v>677535821</v>
      </c>
      <c r="H277" t="n">
        <v>9176999953</v>
      </c>
      <c r="I277" t="n">
        <v>121172594461</v>
      </c>
      <c r="J277" t="n">
        <v>2000</v>
      </c>
      <c r="K277" t="n">
        <v>41988</v>
      </c>
      <c r="L277" t="n">
        <v>2500</v>
      </c>
      <c r="M277" t="n">
        <v>1100</v>
      </c>
      <c r="N277" t="n">
        <v>2380</v>
      </c>
      <c r="O277" t="n">
        <v>3760</v>
      </c>
      <c r="P277" t="n">
        <v>5140</v>
      </c>
      <c r="Q277" t="n">
        <v>6520</v>
      </c>
      <c r="R277" t="n">
        <v>7900</v>
      </c>
      <c r="S277" t="n">
        <v>9280</v>
      </c>
      <c r="T277" t="n">
        <v>10660</v>
      </c>
      <c r="U277" t="n">
        <v>12040</v>
      </c>
      <c r="V277" t="n">
        <v>6604</v>
      </c>
      <c r="W277" t="n">
        <v>2104</v>
      </c>
      <c r="X277" t="n">
        <v>1828</v>
      </c>
      <c r="Y277" t="n">
        <v>8560</v>
      </c>
    </row>
    <row r="278">
      <c r="A278" t="n">
        <v>277</v>
      </c>
      <c r="B278" t="n">
        <v>0</v>
      </c>
      <c r="C278" t="n">
        <v>62880</v>
      </c>
      <c r="D278" t="n">
        <v>242008</v>
      </c>
      <c r="E278" t="n">
        <v>3542537</v>
      </c>
      <c r="F278" t="n">
        <v>50863246</v>
      </c>
      <c r="G278" t="n">
        <v>711412613</v>
      </c>
      <c r="H278" t="n">
        <v>9727619951</v>
      </c>
      <c r="I278" t="n">
        <v>129654676074</v>
      </c>
      <c r="J278" t="n">
        <v>2000</v>
      </c>
      <c r="K278" t="n">
        <v>42408</v>
      </c>
      <c r="L278" t="n">
        <v>2500</v>
      </c>
      <c r="M278" t="n">
        <v>1100</v>
      </c>
      <c r="N278" t="n">
        <v>2385</v>
      </c>
      <c r="O278" t="n">
        <v>3770</v>
      </c>
      <c r="P278" t="n">
        <v>5155</v>
      </c>
      <c r="Q278" t="n">
        <v>6540</v>
      </c>
      <c r="R278" t="n">
        <v>7925</v>
      </c>
      <c r="S278" t="n">
        <v>9310</v>
      </c>
      <c r="T278" t="n">
        <v>10695</v>
      </c>
      <c r="U278" t="n">
        <v>12080</v>
      </c>
      <c r="V278" t="n">
        <v>6642</v>
      </c>
      <c r="W278" t="n">
        <v>2108</v>
      </c>
      <c r="X278" t="n">
        <v>1831</v>
      </c>
      <c r="Y278" t="n">
        <v>8570</v>
      </c>
    </row>
    <row r="279">
      <c r="A279" t="n">
        <v>278</v>
      </c>
      <c r="B279" t="n">
        <v>0</v>
      </c>
      <c r="C279" t="n">
        <v>63824</v>
      </c>
      <c r="D279" t="n">
        <v>246849</v>
      </c>
      <c r="E279" t="n">
        <v>3648814</v>
      </c>
      <c r="F279" t="n">
        <v>52897776</v>
      </c>
      <c r="G279" t="n">
        <v>746983244</v>
      </c>
      <c r="H279" t="n">
        <v>10311277149</v>
      </c>
      <c r="I279" t="n">
        <v>138730503400</v>
      </c>
      <c r="J279" t="n">
        <v>2000</v>
      </c>
      <c r="K279" t="n">
        <v>42833</v>
      </c>
      <c r="L279" t="n">
        <v>2500</v>
      </c>
      <c r="M279" t="n">
        <v>1100</v>
      </c>
      <c r="N279" t="n">
        <v>2390</v>
      </c>
      <c r="O279" t="n">
        <v>3780</v>
      </c>
      <c r="P279" t="n">
        <v>5170</v>
      </c>
      <c r="Q279" t="n">
        <v>6560</v>
      </c>
      <c r="R279" t="n">
        <v>7950</v>
      </c>
      <c r="S279" t="n">
        <v>9340</v>
      </c>
      <c r="T279" t="n">
        <v>10730</v>
      </c>
      <c r="U279" t="n">
        <v>12120</v>
      </c>
      <c r="V279" t="n">
        <v>6680</v>
      </c>
      <c r="W279" t="n">
        <v>2112</v>
      </c>
      <c r="X279" t="n">
        <v>1834</v>
      </c>
      <c r="Y279" t="n">
        <v>8580</v>
      </c>
    </row>
    <row r="280">
      <c r="A280" t="n">
        <v>279</v>
      </c>
      <c r="B280" t="n">
        <v>0</v>
      </c>
      <c r="C280" t="n">
        <v>64782</v>
      </c>
      <c r="D280" t="n">
        <v>251786</v>
      </c>
      <c r="E280" t="n">
        <v>3758279</v>
      </c>
      <c r="F280" t="n">
        <v>55013688</v>
      </c>
      <c r="G280" t="n">
        <v>784332407</v>
      </c>
      <c r="H280" t="n">
        <v>10929953778</v>
      </c>
      <c r="I280" t="n">
        <v>148441638638</v>
      </c>
      <c r="J280" t="n">
        <v>2000</v>
      </c>
      <c r="K280" t="n">
        <v>43262</v>
      </c>
      <c r="L280" t="n">
        <v>2500</v>
      </c>
      <c r="M280" t="n">
        <v>1100</v>
      </c>
      <c r="N280" t="n">
        <v>2395</v>
      </c>
      <c r="O280" t="n">
        <v>3790</v>
      </c>
      <c r="P280" t="n">
        <v>5185</v>
      </c>
      <c r="Q280" t="n">
        <v>6580</v>
      </c>
      <c r="R280" t="n">
        <v>7975</v>
      </c>
      <c r="S280" t="n">
        <v>9370</v>
      </c>
      <c r="T280" t="n">
        <v>10765</v>
      </c>
      <c r="U280" t="n">
        <v>12160</v>
      </c>
      <c r="V280" t="n">
        <v>6718</v>
      </c>
      <c r="W280" t="n">
        <v>2116</v>
      </c>
      <c r="X280" t="n">
        <v>1837</v>
      </c>
      <c r="Y280" t="n">
        <v>8590</v>
      </c>
    </row>
    <row r="281">
      <c r="A281" t="n">
        <v>280</v>
      </c>
      <c r="B281" t="n">
        <v>0</v>
      </c>
      <c r="C281" t="n">
        <v>65754</v>
      </c>
      <c r="D281" t="n">
        <v>256822</v>
      </c>
      <c r="E281" t="n">
        <v>3871028</v>
      </c>
      <c r="F281" t="n">
        <v>57214236</v>
      </c>
      <c r="G281" t="n">
        <v>823549028</v>
      </c>
      <c r="H281" t="n">
        <v>11585751005</v>
      </c>
      <c r="I281" t="n">
        <v>158832553343</v>
      </c>
      <c r="J281" t="n">
        <v>2000</v>
      </c>
      <c r="K281" t="n">
        <v>43695</v>
      </c>
      <c r="L281" t="n">
        <v>2500</v>
      </c>
      <c r="M281" t="n">
        <v>1100</v>
      </c>
      <c r="N281" t="n">
        <v>2400</v>
      </c>
      <c r="O281" t="n">
        <v>3800</v>
      </c>
      <c r="P281" t="n">
        <v>5200</v>
      </c>
      <c r="Q281" t="n">
        <v>6600</v>
      </c>
      <c r="R281" t="n">
        <v>8000</v>
      </c>
      <c r="S281" t="n">
        <v>9400</v>
      </c>
      <c r="T281" t="n">
        <v>10800</v>
      </c>
      <c r="U281" t="n">
        <v>12200</v>
      </c>
      <c r="V281" t="n">
        <v>6756</v>
      </c>
      <c r="W281" t="n">
        <v>2120</v>
      </c>
      <c r="X281" t="n">
        <v>1840</v>
      </c>
      <c r="Y281" t="n">
        <v>8600</v>
      </c>
    </row>
    <row r="282">
      <c r="A282" t="n">
        <v>281</v>
      </c>
      <c r="B282" t="n">
        <v>0</v>
      </c>
      <c r="C282" t="n">
        <v>66741</v>
      </c>
      <c r="D282" t="n">
        <v>261959</v>
      </c>
      <c r="E282" t="n">
        <v>3987159</v>
      </c>
      <c r="F282" t="n">
        <v>59502806</v>
      </c>
      <c r="G282" t="n">
        <v>864726480</v>
      </c>
      <c r="H282" t="n">
        <v>12280896066</v>
      </c>
      <c r="I282" t="n">
        <v>169950832078</v>
      </c>
      <c r="J282" t="n">
        <v>2000</v>
      </c>
      <c r="K282" t="n">
        <v>44132</v>
      </c>
      <c r="L282" t="n">
        <v>2500</v>
      </c>
      <c r="M282" t="n">
        <v>1100</v>
      </c>
      <c r="N282" t="n">
        <v>2405</v>
      </c>
      <c r="O282" t="n">
        <v>3810</v>
      </c>
      <c r="P282" t="n">
        <v>5215</v>
      </c>
      <c r="Q282" t="n">
        <v>6620</v>
      </c>
      <c r="R282" t="n">
        <v>8025</v>
      </c>
      <c r="S282" t="n">
        <v>9430</v>
      </c>
      <c r="T282" t="n">
        <v>10835</v>
      </c>
      <c r="U282" t="n">
        <v>12240</v>
      </c>
      <c r="V282" t="n">
        <v>6794</v>
      </c>
      <c r="W282" t="n">
        <v>2124</v>
      </c>
      <c r="X282" t="n">
        <v>1843</v>
      </c>
      <c r="Y282" t="n">
        <v>8610</v>
      </c>
    </row>
    <row r="283">
      <c r="A283" t="n">
        <v>282</v>
      </c>
      <c r="B283" t="n">
        <v>0</v>
      </c>
      <c r="C283" t="n">
        <v>67743</v>
      </c>
      <c r="D283" t="n">
        <v>267199</v>
      </c>
      <c r="E283" t="n">
        <v>4106774</v>
      </c>
      <c r="F283" t="n">
        <v>61882919</v>
      </c>
      <c r="G283" t="n">
        <v>907962804</v>
      </c>
      <c r="H283" t="n">
        <v>13017749830</v>
      </c>
      <c r="I283" t="n">
        <v>181847390324</v>
      </c>
      <c r="J283" t="n">
        <v>2000</v>
      </c>
      <c r="K283" t="n">
        <v>44574</v>
      </c>
      <c r="L283" t="n">
        <v>2500</v>
      </c>
      <c r="M283" t="n">
        <v>1100</v>
      </c>
      <c r="N283" t="n">
        <v>2410</v>
      </c>
      <c r="O283" t="n">
        <v>3820</v>
      </c>
      <c r="P283" t="n">
        <v>5230</v>
      </c>
      <c r="Q283" t="n">
        <v>6640</v>
      </c>
      <c r="R283" t="n">
        <v>8050</v>
      </c>
      <c r="S283" t="n">
        <v>9460</v>
      </c>
      <c r="T283" t="n">
        <v>10870</v>
      </c>
      <c r="U283" t="n">
        <v>12280</v>
      </c>
      <c r="V283" t="n">
        <v>6832</v>
      </c>
      <c r="W283" t="n">
        <v>2128</v>
      </c>
      <c r="X283" t="n">
        <v>1846</v>
      </c>
      <c r="Y283" t="n">
        <v>8620</v>
      </c>
    </row>
    <row r="284">
      <c r="A284" t="n">
        <v>283</v>
      </c>
      <c r="B284" t="n">
        <v>0</v>
      </c>
      <c r="C284" t="n">
        <v>68760</v>
      </c>
      <c r="D284" t="n">
        <v>272543</v>
      </c>
      <c r="E284" t="n">
        <v>4229978</v>
      </c>
      <c r="F284" t="n">
        <v>64358236</v>
      </c>
      <c r="G284" t="n">
        <v>953360945</v>
      </c>
      <c r="H284" t="n">
        <v>13798814820</v>
      </c>
      <c r="I284" t="n">
        <v>194576707647</v>
      </c>
      <c r="J284" t="n">
        <v>2000</v>
      </c>
      <c r="K284" t="n">
        <v>45020</v>
      </c>
      <c r="L284" t="n">
        <v>2500</v>
      </c>
      <c r="M284" t="n">
        <v>1100</v>
      </c>
      <c r="N284" t="n">
        <v>2415</v>
      </c>
      <c r="O284" t="n">
        <v>3830</v>
      </c>
      <c r="P284" t="n">
        <v>5245</v>
      </c>
      <c r="Q284" t="n">
        <v>6660</v>
      </c>
      <c r="R284" t="n">
        <v>8075</v>
      </c>
      <c r="S284" t="n">
        <v>9490</v>
      </c>
      <c r="T284" t="n">
        <v>10905</v>
      </c>
      <c r="U284" t="n">
        <v>12320</v>
      </c>
      <c r="V284" t="n">
        <v>6871</v>
      </c>
      <c r="W284" t="n">
        <v>2132</v>
      </c>
      <c r="X284" t="n">
        <v>1849</v>
      </c>
      <c r="Y284" t="n">
        <v>8630</v>
      </c>
    </row>
    <row r="285">
      <c r="A285" t="n">
        <v>284</v>
      </c>
      <c r="B285" t="n">
        <v>0</v>
      </c>
      <c r="C285" t="n">
        <v>69792</v>
      </c>
      <c r="D285" t="n">
        <v>277994</v>
      </c>
      <c r="E285" t="n">
        <v>4356878</v>
      </c>
      <c r="F285" t="n">
        <v>66932566</v>
      </c>
      <c r="G285" t="n">
        <v>1001028993</v>
      </c>
      <c r="H285" t="n">
        <v>14626743710</v>
      </c>
      <c r="I285" t="n">
        <v>208197077183</v>
      </c>
      <c r="J285" t="n">
        <v>2000</v>
      </c>
      <c r="K285" t="n">
        <v>45471</v>
      </c>
      <c r="L285" t="n">
        <v>2500</v>
      </c>
      <c r="M285" t="n">
        <v>1100</v>
      </c>
      <c r="N285" t="n">
        <v>2420</v>
      </c>
      <c r="O285" t="n">
        <v>3840</v>
      </c>
      <c r="P285" t="n">
        <v>5260</v>
      </c>
      <c r="Q285" t="n">
        <v>6680</v>
      </c>
      <c r="R285" t="n">
        <v>8100</v>
      </c>
      <c r="S285" t="n">
        <v>9520</v>
      </c>
      <c r="T285" t="n">
        <v>10940</v>
      </c>
      <c r="U285" t="n">
        <v>12360</v>
      </c>
      <c r="V285" t="n">
        <v>6910</v>
      </c>
      <c r="W285" t="n">
        <v>2136</v>
      </c>
      <c r="X285" t="n">
        <v>1852</v>
      </c>
      <c r="Y285" t="n">
        <v>8640</v>
      </c>
    </row>
    <row r="286">
      <c r="A286" t="n">
        <v>285</v>
      </c>
      <c r="B286" t="n">
        <v>0</v>
      </c>
      <c r="C286" t="n">
        <v>70839</v>
      </c>
      <c r="D286" t="n">
        <v>283554</v>
      </c>
      <c r="E286" t="n">
        <v>4487585</v>
      </c>
      <c r="F286" t="n">
        <v>69609869</v>
      </c>
      <c r="G286" t="n">
        <v>1051080443</v>
      </c>
      <c r="H286" t="n">
        <v>15504348333</v>
      </c>
      <c r="I286" t="n">
        <v>222770872586</v>
      </c>
      <c r="J286" t="n">
        <v>2000</v>
      </c>
      <c r="K286" t="n">
        <v>45926</v>
      </c>
      <c r="L286" t="n">
        <v>2500</v>
      </c>
      <c r="M286" t="n">
        <v>1100</v>
      </c>
      <c r="N286" t="n">
        <v>2425</v>
      </c>
      <c r="O286" t="n">
        <v>3850</v>
      </c>
      <c r="P286" t="n">
        <v>5275</v>
      </c>
      <c r="Q286" t="n">
        <v>6700</v>
      </c>
      <c r="R286" t="n">
        <v>8125</v>
      </c>
      <c r="S286" t="n">
        <v>9550</v>
      </c>
      <c r="T286" t="n">
        <v>10975</v>
      </c>
      <c r="U286" t="n">
        <v>12400</v>
      </c>
      <c r="V286" t="n">
        <v>6949</v>
      </c>
      <c r="W286" t="n">
        <v>2140</v>
      </c>
      <c r="X286" t="n">
        <v>1855</v>
      </c>
      <c r="Y286" t="n">
        <v>8650</v>
      </c>
    </row>
    <row r="287">
      <c r="A287" t="n">
        <v>286</v>
      </c>
      <c r="B287" t="n">
        <v>0</v>
      </c>
      <c r="C287" t="n">
        <v>71902</v>
      </c>
      <c r="D287" t="n">
        <v>289226</v>
      </c>
      <c r="E287" t="n">
        <v>4622213</v>
      </c>
      <c r="F287" t="n">
        <v>72394264</v>
      </c>
      <c r="G287" t="n">
        <v>1103634466</v>
      </c>
      <c r="H287" t="n">
        <v>16434609233</v>
      </c>
      <c r="I287" t="n">
        <v>238364833668</v>
      </c>
      <c r="J287" t="n">
        <v>2000</v>
      </c>
      <c r="K287" t="n">
        <v>46386</v>
      </c>
      <c r="L287" t="n">
        <v>2500</v>
      </c>
      <c r="M287" t="n">
        <v>1100</v>
      </c>
      <c r="N287" t="n">
        <v>2430</v>
      </c>
      <c r="O287" t="n">
        <v>3860</v>
      </c>
      <c r="P287" t="n">
        <v>5290</v>
      </c>
      <c r="Q287" t="n">
        <v>6720</v>
      </c>
      <c r="R287" t="n">
        <v>8150</v>
      </c>
      <c r="S287" t="n">
        <v>9580</v>
      </c>
      <c r="T287" t="n">
        <v>11010</v>
      </c>
      <c r="U287" t="n">
        <v>12440</v>
      </c>
      <c r="V287" t="n">
        <v>6988</v>
      </c>
      <c r="W287" t="n">
        <v>2144</v>
      </c>
      <c r="X287" t="n">
        <v>1858</v>
      </c>
      <c r="Y287" t="n">
        <v>8660</v>
      </c>
    </row>
    <row r="288">
      <c r="A288" t="n">
        <v>287</v>
      </c>
      <c r="B288" t="n">
        <v>0</v>
      </c>
      <c r="C288" t="n">
        <v>72981</v>
      </c>
      <c r="D288" t="n">
        <v>295011</v>
      </c>
      <c r="E288" t="n">
        <v>4760880</v>
      </c>
      <c r="F288" t="n">
        <v>75290035</v>
      </c>
      <c r="G288" t="n">
        <v>1158816190</v>
      </c>
      <c r="H288" t="n">
        <v>17420685787</v>
      </c>
      <c r="I288" t="n">
        <v>255050372025</v>
      </c>
      <c r="J288" t="n">
        <v>2000</v>
      </c>
      <c r="K288" t="n">
        <v>46850</v>
      </c>
      <c r="L288" t="n">
        <v>2500</v>
      </c>
      <c r="M288" t="n">
        <v>1100</v>
      </c>
      <c r="N288" t="n">
        <v>2435</v>
      </c>
      <c r="O288" t="n">
        <v>3870</v>
      </c>
      <c r="P288" t="n">
        <v>5305</v>
      </c>
      <c r="Q288" t="n">
        <v>6740</v>
      </c>
      <c r="R288" t="n">
        <v>8175</v>
      </c>
      <c r="S288" t="n">
        <v>9610</v>
      </c>
      <c r="T288" t="n">
        <v>11045</v>
      </c>
      <c r="U288" t="n">
        <v>12480</v>
      </c>
      <c r="V288" t="n">
        <v>7027</v>
      </c>
      <c r="W288" t="n">
        <v>2148</v>
      </c>
      <c r="X288" t="n">
        <v>1861</v>
      </c>
      <c r="Y288" t="n">
        <v>8670</v>
      </c>
    </row>
    <row r="289">
      <c r="A289" t="n">
        <v>288</v>
      </c>
      <c r="B289" t="n">
        <v>0</v>
      </c>
      <c r="C289" t="n">
        <v>74076</v>
      </c>
      <c r="D289" t="n">
        <v>300912</v>
      </c>
      <c r="E289" t="n">
        <v>4903707</v>
      </c>
      <c r="F289" t="n">
        <v>78301637</v>
      </c>
      <c r="G289" t="n">
        <v>1216757000</v>
      </c>
      <c r="H289" t="n">
        <v>18465926935</v>
      </c>
      <c r="I289" t="n">
        <v>272903898067</v>
      </c>
      <c r="J289" t="n">
        <v>2000</v>
      </c>
      <c r="K289" t="n">
        <v>47319</v>
      </c>
      <c r="L289" t="n">
        <v>2500</v>
      </c>
      <c r="M289" t="n">
        <v>1100</v>
      </c>
      <c r="N289" t="n">
        <v>2440</v>
      </c>
      <c r="O289" t="n">
        <v>3880</v>
      </c>
      <c r="P289" t="n">
        <v>5320</v>
      </c>
      <c r="Q289" t="n">
        <v>6760</v>
      </c>
      <c r="R289" t="n">
        <v>8200</v>
      </c>
      <c r="S289" t="n">
        <v>9640</v>
      </c>
      <c r="T289" t="n">
        <v>11080</v>
      </c>
      <c r="U289" t="n">
        <v>12520</v>
      </c>
      <c r="V289" t="n">
        <v>7067</v>
      </c>
      <c r="W289" t="n">
        <v>2152</v>
      </c>
      <c r="X289" t="n">
        <v>1864</v>
      </c>
      <c r="Y289" t="n">
        <v>8680</v>
      </c>
    </row>
    <row r="290">
      <c r="A290" t="n">
        <v>289</v>
      </c>
      <c r="B290" t="n">
        <v>0</v>
      </c>
      <c r="C290" t="n">
        <v>75188</v>
      </c>
      <c r="D290" t="n">
        <v>306931</v>
      </c>
      <c r="E290" t="n">
        <v>5050819</v>
      </c>
      <c r="F290" t="n">
        <v>81433703</v>
      </c>
      <c r="G290" t="n">
        <v>1277594850</v>
      </c>
      <c r="H290" t="n">
        <v>19573882552</v>
      </c>
      <c r="I290" t="n">
        <v>292007170932</v>
      </c>
      <c r="J290" t="n">
        <v>2000</v>
      </c>
      <c r="K290" t="n">
        <v>47793</v>
      </c>
      <c r="L290" t="n">
        <v>2500</v>
      </c>
      <c r="M290" t="n">
        <v>1100</v>
      </c>
      <c r="N290" t="n">
        <v>2445</v>
      </c>
      <c r="O290" t="n">
        <v>3890</v>
      </c>
      <c r="P290" t="n">
        <v>5335</v>
      </c>
      <c r="Q290" t="n">
        <v>6780</v>
      </c>
      <c r="R290" t="n">
        <v>8225</v>
      </c>
      <c r="S290" t="n">
        <v>9670</v>
      </c>
      <c r="T290" t="n">
        <v>11115</v>
      </c>
      <c r="U290" t="n">
        <v>12560</v>
      </c>
      <c r="V290" t="n">
        <v>7107</v>
      </c>
      <c r="W290" t="n">
        <v>2156</v>
      </c>
      <c r="X290" t="n">
        <v>1867</v>
      </c>
      <c r="Y290" t="n">
        <v>8690</v>
      </c>
    </row>
    <row r="291">
      <c r="A291" t="n">
        <v>290</v>
      </c>
      <c r="B291" t="n">
        <v>0</v>
      </c>
      <c r="C291" t="n">
        <v>76316</v>
      </c>
      <c r="D291" t="n">
        <v>313070</v>
      </c>
      <c r="E291" t="n">
        <v>5202344</v>
      </c>
      <c r="F291" t="n">
        <v>84691052</v>
      </c>
      <c r="G291" t="n">
        <v>1341474593</v>
      </c>
      <c r="H291" t="n">
        <v>20748315506</v>
      </c>
      <c r="I291" t="n">
        <v>312447672898</v>
      </c>
      <c r="J291" t="n">
        <v>2000</v>
      </c>
      <c r="K291" t="n">
        <v>48271</v>
      </c>
      <c r="L291" t="n">
        <v>2500</v>
      </c>
      <c r="M291" t="n">
        <v>1100</v>
      </c>
      <c r="N291" t="n">
        <v>2450</v>
      </c>
      <c r="O291" t="n">
        <v>3900</v>
      </c>
      <c r="P291" t="n">
        <v>5350</v>
      </c>
      <c r="Q291" t="n">
        <v>6800</v>
      </c>
      <c r="R291" t="n">
        <v>8250</v>
      </c>
      <c r="S291" t="n">
        <v>9700</v>
      </c>
      <c r="T291" t="n">
        <v>11150</v>
      </c>
      <c r="U291" t="n">
        <v>12600</v>
      </c>
      <c r="V291" t="n">
        <v>7147</v>
      </c>
      <c r="W291" t="n">
        <v>2160</v>
      </c>
      <c r="X291" t="n">
        <v>1870</v>
      </c>
      <c r="Y291" t="n">
        <v>8700</v>
      </c>
    </row>
    <row r="292">
      <c r="A292" t="n">
        <v>291</v>
      </c>
      <c r="B292" t="n">
        <v>0</v>
      </c>
      <c r="C292" t="n">
        <v>77461</v>
      </c>
      <c r="D292" t="n">
        <v>319332</v>
      </c>
      <c r="E292" t="n">
        <v>5358415</v>
      </c>
      <c r="F292" t="n">
        <v>88078695</v>
      </c>
      <c r="G292" t="n">
        <v>1408548323</v>
      </c>
      <c r="H292" t="n">
        <v>21993214437</v>
      </c>
      <c r="I292" t="n">
        <v>334319010001</v>
      </c>
      <c r="J292" t="n">
        <v>2000</v>
      </c>
      <c r="K292" t="n">
        <v>48754</v>
      </c>
      <c r="L292" t="n">
        <v>2500</v>
      </c>
      <c r="M292" t="n">
        <v>1100</v>
      </c>
      <c r="N292" t="n">
        <v>2455</v>
      </c>
      <c r="O292" t="n">
        <v>3910</v>
      </c>
      <c r="P292" t="n">
        <v>5365</v>
      </c>
      <c r="Q292" t="n">
        <v>6820</v>
      </c>
      <c r="R292" t="n">
        <v>8275</v>
      </c>
      <c r="S292" t="n">
        <v>9730</v>
      </c>
      <c r="T292" t="n">
        <v>11185</v>
      </c>
      <c r="U292" t="n">
        <v>12640</v>
      </c>
      <c r="V292" t="n">
        <v>7187</v>
      </c>
      <c r="W292" t="n">
        <v>2164</v>
      </c>
      <c r="X292" t="n">
        <v>1873</v>
      </c>
      <c r="Y292" t="n">
        <v>8710</v>
      </c>
    </row>
    <row r="293">
      <c r="A293" t="n">
        <v>292</v>
      </c>
      <c r="B293" t="n">
        <v>0</v>
      </c>
      <c r="C293" t="n">
        <v>78623</v>
      </c>
      <c r="D293" t="n">
        <v>325719</v>
      </c>
      <c r="E293" t="n">
        <v>5519168</v>
      </c>
      <c r="F293" t="n">
        <v>91601843</v>
      </c>
      <c r="G293" t="n">
        <v>1478975740</v>
      </c>
      <c r="H293" t="n">
        <v>23312807304</v>
      </c>
      <c r="I293" t="n">
        <v>357721340702</v>
      </c>
      <c r="J293" t="n">
        <v>2000</v>
      </c>
      <c r="K293" t="n">
        <v>49242</v>
      </c>
      <c r="L293" t="n">
        <v>2500</v>
      </c>
      <c r="M293" t="n">
        <v>1100</v>
      </c>
      <c r="N293" t="n">
        <v>2460</v>
      </c>
      <c r="O293" t="n">
        <v>3920</v>
      </c>
      <c r="P293" t="n">
        <v>5380</v>
      </c>
      <c r="Q293" t="n">
        <v>6840</v>
      </c>
      <c r="R293" t="n">
        <v>8300</v>
      </c>
      <c r="S293" t="n">
        <v>9760</v>
      </c>
      <c r="T293" t="n">
        <v>11220</v>
      </c>
      <c r="U293" t="n">
        <v>12680</v>
      </c>
      <c r="V293" t="n">
        <v>7227</v>
      </c>
      <c r="W293" t="n">
        <v>2168</v>
      </c>
      <c r="X293" t="n">
        <v>1876</v>
      </c>
      <c r="Y293" t="n">
        <v>8720</v>
      </c>
    </row>
    <row r="294">
      <c r="A294" t="n">
        <v>293</v>
      </c>
      <c r="B294" t="n">
        <v>0</v>
      </c>
      <c r="C294" t="n">
        <v>79803</v>
      </c>
      <c r="D294" t="n">
        <v>332234</v>
      </c>
      <c r="E294" t="n">
        <v>5684744</v>
      </c>
      <c r="F294" t="n">
        <v>95265917</v>
      </c>
      <c r="G294" t="n">
        <v>1552924527</v>
      </c>
      <c r="H294" t="n">
        <v>24711575743</v>
      </c>
      <c r="I294" t="n">
        <v>382761834552</v>
      </c>
      <c r="J294" t="n">
        <v>2000</v>
      </c>
      <c r="K294" t="n">
        <v>49735</v>
      </c>
      <c r="L294" t="n">
        <v>2500</v>
      </c>
      <c r="M294" t="n">
        <v>1100</v>
      </c>
      <c r="N294" t="n">
        <v>2465</v>
      </c>
      <c r="O294" t="n">
        <v>3930</v>
      </c>
      <c r="P294" t="n">
        <v>5395</v>
      </c>
      <c r="Q294" t="n">
        <v>6860</v>
      </c>
      <c r="R294" t="n">
        <v>8325</v>
      </c>
      <c r="S294" t="n">
        <v>9790</v>
      </c>
      <c r="T294" t="n">
        <v>11255</v>
      </c>
      <c r="U294" t="n">
        <v>12720</v>
      </c>
      <c r="V294" t="n">
        <v>7268</v>
      </c>
      <c r="W294" t="n">
        <v>2172</v>
      </c>
      <c r="X294" t="n">
        <v>1879</v>
      </c>
      <c r="Y294" t="n">
        <v>8730</v>
      </c>
    </row>
    <row r="295">
      <c r="A295" t="n">
        <v>294</v>
      </c>
      <c r="B295" t="n">
        <v>0</v>
      </c>
      <c r="C295" t="n">
        <v>81001</v>
      </c>
      <c r="D295" t="n">
        <v>338879</v>
      </c>
      <c r="E295" t="n">
        <v>5855287</v>
      </c>
      <c r="F295" t="n">
        <v>99076554</v>
      </c>
      <c r="G295" t="n">
        <v>1630570754</v>
      </c>
      <c r="H295" t="n">
        <v>26194270288</v>
      </c>
      <c r="I295" t="n">
        <v>409555162971</v>
      </c>
      <c r="J295" t="n">
        <v>2000</v>
      </c>
      <c r="K295" t="n">
        <v>50233</v>
      </c>
      <c r="L295" t="n">
        <v>2500</v>
      </c>
      <c r="M295" t="n">
        <v>1100</v>
      </c>
      <c r="N295" t="n">
        <v>2470</v>
      </c>
      <c r="O295" t="n">
        <v>3940</v>
      </c>
      <c r="P295" t="n">
        <v>5410</v>
      </c>
      <c r="Q295" t="n">
        <v>6880</v>
      </c>
      <c r="R295" t="n">
        <v>8350</v>
      </c>
      <c r="S295" t="n">
        <v>9820</v>
      </c>
      <c r="T295" t="n">
        <v>11290</v>
      </c>
      <c r="U295" t="n">
        <v>12760</v>
      </c>
      <c r="V295" t="n">
        <v>7309</v>
      </c>
      <c r="W295" t="n">
        <v>2176</v>
      </c>
      <c r="X295" t="n">
        <v>1882</v>
      </c>
      <c r="Y295" t="n">
        <v>8740</v>
      </c>
    </row>
    <row r="296">
      <c r="A296" t="n">
        <v>295</v>
      </c>
      <c r="B296" t="n">
        <v>0</v>
      </c>
      <c r="C296" t="n">
        <v>82217</v>
      </c>
      <c r="D296" t="n">
        <v>345657</v>
      </c>
      <c r="E296" t="n">
        <v>6030946</v>
      </c>
      <c r="F296" t="n">
        <v>103039617</v>
      </c>
      <c r="G296" t="n">
        <v>1712099292</v>
      </c>
      <c r="H296" t="n">
        <v>27765926506</v>
      </c>
      <c r="I296" t="n">
        <v>438224024379</v>
      </c>
      <c r="J296" t="n">
        <v>2000</v>
      </c>
      <c r="K296" t="n">
        <v>50736</v>
      </c>
      <c r="L296" t="n">
        <v>2500</v>
      </c>
      <c r="M296" t="n">
        <v>1100</v>
      </c>
      <c r="N296" t="n">
        <v>2475</v>
      </c>
      <c r="O296" t="n">
        <v>3950</v>
      </c>
      <c r="P296" t="n">
        <v>5425</v>
      </c>
      <c r="Q296" t="n">
        <v>6900</v>
      </c>
      <c r="R296" t="n">
        <v>8375</v>
      </c>
      <c r="S296" t="n">
        <v>9850</v>
      </c>
      <c r="T296" t="n">
        <v>11325</v>
      </c>
      <c r="U296" t="n">
        <v>12800</v>
      </c>
      <c r="V296" t="n">
        <v>7350</v>
      </c>
      <c r="W296" t="n">
        <v>2180</v>
      </c>
      <c r="X296" t="n">
        <v>1885</v>
      </c>
      <c r="Y296" t="n">
        <v>8750</v>
      </c>
    </row>
    <row r="297">
      <c r="A297" t="n">
        <v>296</v>
      </c>
      <c r="B297" t="n">
        <v>0</v>
      </c>
      <c r="C297" t="n">
        <v>83451</v>
      </c>
      <c r="D297" t="n">
        <v>352571</v>
      </c>
      <c r="E297" t="n">
        <v>6211875</v>
      </c>
      <c r="F297" t="n">
        <v>107161202</v>
      </c>
      <c r="G297" t="n">
        <v>1797704257</v>
      </c>
      <c r="H297" t="n">
        <v>29431882097</v>
      </c>
      <c r="I297" t="n">
        <v>468899706086</v>
      </c>
      <c r="J297" t="n">
        <v>2000</v>
      </c>
      <c r="K297" t="n">
        <v>51244</v>
      </c>
      <c r="L297" t="n">
        <v>2500</v>
      </c>
      <c r="M297" t="n">
        <v>1100</v>
      </c>
      <c r="N297" t="n">
        <v>2480</v>
      </c>
      <c r="O297" t="n">
        <v>3960</v>
      </c>
      <c r="P297" t="n">
        <v>5440</v>
      </c>
      <c r="Q297" t="n">
        <v>6920</v>
      </c>
      <c r="R297" t="n">
        <v>8400</v>
      </c>
      <c r="S297" t="n">
        <v>9880</v>
      </c>
      <c r="T297" t="n">
        <v>11360</v>
      </c>
      <c r="U297" t="n">
        <v>12840</v>
      </c>
      <c r="V297" t="n">
        <v>7391</v>
      </c>
      <c r="W297" t="n">
        <v>2184</v>
      </c>
      <c r="X297" t="n">
        <v>1888</v>
      </c>
      <c r="Y297" t="n">
        <v>8760</v>
      </c>
    </row>
    <row r="298">
      <c r="A298" t="n">
        <v>297</v>
      </c>
      <c r="B298" t="n">
        <v>0</v>
      </c>
      <c r="C298" t="n">
        <v>84703</v>
      </c>
      <c r="D298" t="n">
        <v>359623</v>
      </c>
      <c r="E298" t="n">
        <v>6398232</v>
      </c>
      <c r="F298" t="n">
        <v>111447651</v>
      </c>
      <c r="G298" t="n">
        <v>1887589470</v>
      </c>
      <c r="H298" t="n">
        <v>31197795023</v>
      </c>
      <c r="I298" t="n">
        <v>501722685513</v>
      </c>
      <c r="J298" t="n">
        <v>2000</v>
      </c>
      <c r="K298" t="n">
        <v>51757</v>
      </c>
      <c r="L298" t="n">
        <v>2500</v>
      </c>
      <c r="M298" t="n">
        <v>1100</v>
      </c>
      <c r="N298" t="n">
        <v>2485</v>
      </c>
      <c r="O298" t="n">
        <v>3970</v>
      </c>
      <c r="P298" t="n">
        <v>5455</v>
      </c>
      <c r="Q298" t="n">
        <v>6940</v>
      </c>
      <c r="R298" t="n">
        <v>8425</v>
      </c>
      <c r="S298" t="n">
        <v>9910</v>
      </c>
      <c r="T298" t="n">
        <v>11395</v>
      </c>
      <c r="U298" t="n">
        <v>12880</v>
      </c>
      <c r="V298" t="n">
        <v>7432</v>
      </c>
      <c r="W298" t="n">
        <v>2188</v>
      </c>
      <c r="X298" t="n">
        <v>1891</v>
      </c>
      <c r="Y298" t="n">
        <v>8770</v>
      </c>
    </row>
    <row r="299">
      <c r="A299" t="n">
        <v>298</v>
      </c>
      <c r="B299" t="n">
        <v>0</v>
      </c>
      <c r="C299" t="n">
        <v>85974</v>
      </c>
      <c r="D299" t="n">
        <v>366816</v>
      </c>
      <c r="E299" t="n">
        <v>6590179</v>
      </c>
      <c r="F299" t="n">
        <v>115905558</v>
      </c>
      <c r="G299" t="n">
        <v>1981968944</v>
      </c>
      <c r="H299" t="n">
        <v>33069662725</v>
      </c>
      <c r="I299" t="n">
        <v>536843273499</v>
      </c>
      <c r="J299" t="n">
        <v>2000</v>
      </c>
      <c r="K299" t="n">
        <v>52275</v>
      </c>
      <c r="L299" t="n">
        <v>2500</v>
      </c>
      <c r="M299" t="n">
        <v>1100</v>
      </c>
      <c r="N299" t="n">
        <v>2490</v>
      </c>
      <c r="O299" t="n">
        <v>3980</v>
      </c>
      <c r="P299" t="n">
        <v>5470</v>
      </c>
      <c r="Q299" t="n">
        <v>6960</v>
      </c>
      <c r="R299" t="n">
        <v>8450</v>
      </c>
      <c r="S299" t="n">
        <v>9940</v>
      </c>
      <c r="T299" t="n">
        <v>11430</v>
      </c>
      <c r="U299" t="n">
        <v>12920</v>
      </c>
      <c r="V299" t="n">
        <v>7474</v>
      </c>
      <c r="W299" t="n">
        <v>2192</v>
      </c>
      <c r="X299" t="n">
        <v>1894</v>
      </c>
      <c r="Y299" t="n">
        <v>8780</v>
      </c>
    </row>
    <row r="300">
      <c r="A300" t="n">
        <v>299</v>
      </c>
      <c r="B300" t="n">
        <v>0</v>
      </c>
      <c r="C300" t="n">
        <v>87264</v>
      </c>
      <c r="D300" t="n">
        <v>374153</v>
      </c>
      <c r="E300" t="n">
        <v>6787885</v>
      </c>
      <c r="F300" t="n">
        <v>120541781</v>
      </c>
      <c r="G300" t="n">
        <v>2081067392</v>
      </c>
      <c r="H300" t="n">
        <v>35053842489</v>
      </c>
      <c r="I300" t="n">
        <v>574422302644</v>
      </c>
      <c r="J300" t="n">
        <v>2000</v>
      </c>
      <c r="K300" t="n">
        <v>52798</v>
      </c>
      <c r="L300" t="n">
        <v>2500</v>
      </c>
      <c r="M300" t="n">
        <v>1100</v>
      </c>
      <c r="N300" t="n">
        <v>2495</v>
      </c>
      <c r="O300" t="n">
        <v>3990</v>
      </c>
      <c r="P300" t="n">
        <v>5485</v>
      </c>
      <c r="Q300" t="n">
        <v>6980</v>
      </c>
      <c r="R300" t="n">
        <v>8475</v>
      </c>
      <c r="S300" t="n">
        <v>9970</v>
      </c>
      <c r="T300" t="n">
        <v>11465</v>
      </c>
      <c r="U300" t="n">
        <v>12960</v>
      </c>
      <c r="V300" t="n">
        <v>7516</v>
      </c>
      <c r="W300" t="n">
        <v>2196</v>
      </c>
      <c r="X300" t="n">
        <v>1897</v>
      </c>
      <c r="Y300" t="n">
        <v>8790</v>
      </c>
    </row>
    <row r="301">
      <c r="A301" t="n">
        <v>300</v>
      </c>
      <c r="B301" t="n">
        <v>0</v>
      </c>
      <c r="C301" t="n">
        <v>88573</v>
      </c>
      <c r="D301" t="n">
        <v>381637</v>
      </c>
      <c r="E301" t="n">
        <v>6991522</v>
      </c>
      <c r="F301" t="n">
        <v>125363453</v>
      </c>
      <c r="G301" t="n">
        <v>2185120762</v>
      </c>
      <c r="H301" t="n">
        <v>37157073039</v>
      </c>
      <c r="I301" t="n">
        <v>614631863830</v>
      </c>
      <c r="J301" t="n">
        <v>2000</v>
      </c>
      <c r="K301" t="n">
        <v>53326</v>
      </c>
      <c r="L301" t="n">
        <v>2500</v>
      </c>
      <c r="M301" t="n">
        <v>1100</v>
      </c>
      <c r="N301" t="n">
        <v>2500</v>
      </c>
      <c r="O301" t="n">
        <v>4000</v>
      </c>
      <c r="P301" t="n">
        <v>5500</v>
      </c>
      <c r="Q301" t="n">
        <v>7000</v>
      </c>
      <c r="R301" t="n">
        <v>8500</v>
      </c>
      <c r="S301" t="n">
        <v>10000</v>
      </c>
      <c r="T301" t="n">
        <v>11500</v>
      </c>
      <c r="U301" t="n">
        <v>13000</v>
      </c>
      <c r="V301" t="n">
        <v>7558</v>
      </c>
      <c r="W301" t="n">
        <v>2200</v>
      </c>
      <c r="X301" t="n">
        <v>1900</v>
      </c>
      <c r="Y301" t="n">
        <v>8800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4"/>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8" customWidth="1" min="3" max="3"/>
    <col width="11" customWidth="1" min="4" max="4"/>
    <col width="15" customWidth="1" min="5" max="5"/>
    <col width="13" customWidth="1" min="6" max="6"/>
    <col width="11" customWidth="1" min="7" max="7"/>
    <col width="8" customWidth="1" min="8" max="8"/>
    <col width="13" customWidth="1" min="9" max="9"/>
    <col width="11" customWidth="1" min="10" max="10"/>
    <col width="12" customWidth="1" min="11" max="11"/>
    <col width="18" customWidth="1" min="12" max="12"/>
    <col width="11" customWidth="1" min="13" max="13"/>
    <col width="14" customWidth="1" min="14" max="14"/>
    <col width="17" customWidth="1" min="15" max="15"/>
    <col width="16" customWidth="1" min="16" max="16"/>
    <col width="18" customWidth="1" min="17" max="17"/>
    <col width="20" customWidth="1" min="18" max="18"/>
    <col width="18" customWidth="1" min="19" max="19"/>
    <col width="15" customWidth="1" min="20" max="20"/>
    <col width="20" customWidth="1" min="21" max="21"/>
    <col width="20" customWidth="1" min="22" max="22"/>
    <col width="60" customWidth="1" min="23" max="23"/>
  </cols>
  <sheetData>
    <row r="1">
      <c r="A1" s="8" t="inlineStr">
        <is>
          <t>Key</t>
        </is>
      </c>
      <c r="B1" s="8" t="inlineStr">
        <is>
          <t>Name</t>
        </is>
      </c>
      <c r="C1" s="8" t="inlineStr">
        <is>
          <t>JobStep</t>
        </is>
      </c>
      <c r="D1" s="8" t="inlineStr">
        <is>
          <t>Cooldown(s)</t>
        </is>
      </c>
      <c r="E1" s="8" t="inlineStr">
        <is>
          <t>CostsActionSlot</t>
        </is>
      </c>
      <c r="F1" s="8" t="inlineStr">
        <is>
          <t>ActionsPerCast</t>
        </is>
      </c>
      <c r="G1" s="8" t="inlineStr">
        <is>
          <t>HitsPerCast</t>
        </is>
      </c>
      <c r="H1" s="8" t="inlineStr">
        <is>
          <t>ICD(s)</t>
        </is>
      </c>
      <c r="I1" s="8" t="inlineStr">
        <is>
          <t>ActiveWindow(s)</t>
        </is>
      </c>
      <c r="J1" s="8" t="inlineStr">
        <is>
          <t>ProcChance%</t>
        </is>
      </c>
      <c r="K1" s="8" t="inlineStr">
        <is>
          <t>RollsPerCast</t>
        </is>
      </c>
      <c r="L1" s="8" t="inlineStr">
        <is>
          <t>BaseDamage(tenths%)</t>
        </is>
      </c>
      <c r="M1" s="8" t="inlineStr">
        <is>
          <t>FactorIndex</t>
        </is>
      </c>
      <c r="N1" s="8" t="inlineStr">
        <is>
          <t>ScalesWithLevel</t>
        </is>
      </c>
      <c r="O1" s="8" t="inlineStr">
        <is>
          <t>SkillMasteryBonus%</t>
        </is>
      </c>
      <c r="P1" s="8" t="inlineStr">
        <is>
          <t>MasteryBossDamage%</t>
        </is>
      </c>
      <c r="Q1" s="8" t="inlineStr">
        <is>
          <t>MasteryNormalDamage%</t>
        </is>
      </c>
      <c r="R1" s="8" t="inlineStr">
        <is>
          <t>NormalMonsterTargets</t>
        </is>
      </c>
      <c r="S1" s="8" t="inlineStr">
        <is>
          <t>BuffTargetStat</t>
        </is>
      </c>
      <c r="T1" s="8" t="inlineStr">
        <is>
          <t>BuffDuration(s)</t>
        </is>
      </c>
      <c r="U1" s="8" t="inlineStr">
        <is>
          <t>MapleHeroBase(tenths%)</t>
        </is>
      </c>
      <c r="V1" s="8" t="inlineStr">
        <is>
          <t>MapleHeroFactorIndex</t>
        </is>
      </c>
      <c r="W1" s="8" t="inlineStr">
        <is>
          <t>Note</t>
        </is>
      </c>
    </row>
    <row r="2">
      <c r="A2" t="inlineStr">
        <is>
          <t>BLAST</t>
        </is>
      </c>
      <c r="B2" t="inlineStr">
        <is>
          <t>Blast</t>
        </is>
      </c>
      <c r="C2" t="n">
        <v>4</v>
      </c>
      <c r="D2" t="inlineStr"/>
      <c r="E2" t="b">
        <v>0</v>
      </c>
      <c r="F2" t="n">
        <v>1</v>
      </c>
      <c r="G2">
        <f>IF(Inputs!$B$3&gt;=136,6,5)</f>
        <v/>
      </c>
      <c r="H2" t="n">
        <v>0</v>
      </c>
      <c r="I2" t="n">
        <v>0</v>
      </c>
      <c r="J2" t="n">
        <v>100</v>
      </c>
      <c r="K2" t="n">
        <v>1</v>
      </c>
      <c r="L2" t="n">
        <v>2900</v>
      </c>
      <c r="M2" t="n">
        <v>21</v>
      </c>
      <c r="N2" t="b">
        <v>1</v>
      </c>
      <c r="O2">
        <f>Calc!F3*IF(Calc!C3=TRUE,1,0)/100*25*(1+7.5*IF(Calc!C12=TRUE,Calc!F12,0)/100)+SUMPRODUCT((Inputs!$B$3&gt;={102,106,116,120,128,132})*{10,1,1,1,1,1})</f>
        <v/>
      </c>
      <c r="P2">
        <f>SUMPRODUCT((Inputs!$B$3&gt;={111,124})*{10,10})</f>
        <v/>
      </c>
      <c r="Q2" t="n">
        <v>0</v>
      </c>
      <c r="R2">
        <f>6+Inputs!$B$32</f>
        <v/>
      </c>
      <c r="S2" t="inlineStr"/>
      <c r="T2" t="n">
        <v>0</v>
      </c>
      <c r="U2" t="inlineStr"/>
      <c r="V2" t="inlineStr"/>
      <c r="W2" t="inlineStr">
        <is>
          <t>4th-job basic-attack effect (supersedes Divine Swing/Divine Charge, confirmed identical wiki wording — 290% damage to 6 target(s) in front 5 time(s) — to every other class's own 4th-job basic attack). factorIndex 21, baseDamage 2900 tenths%. HitsPerCast=5, bumping to 6 once Mastery Lv.136 'Blast - Strike' unlocks (identical level to Hero's own Raging Blow - Strike). SkillMasteryBonus% is Final Attack's own steady-state contribution (ProcChance x AdditionalDamage% x 25, single-stage since Paladin has no Advanced Final Attack), further multiplied by Maple Hero's own +150% FD share targeting Final Attack specifically (a bespoke fold — Final Attack is a HELPER row, not a normal Maple Hero target), PLUS the real Blast - Damage mastery chain (102/106/116/120/128/132, summed as DELTAS). MasteryBossDamage% is the real 2-tier Blast - Boss Monster Damage chain (111/124, +10% each, +20% total).</t>
        </is>
      </c>
    </row>
    <row r="3">
      <c r="A3" t="inlineStr">
        <is>
          <t>FINAL_ATTACK_HELPER</t>
        </is>
      </c>
      <c r="B3" t="inlineStr">
        <is>
          <t>Final Attack (helper)</t>
        </is>
      </c>
      <c r="C3" t="n">
        <v>2</v>
      </c>
      <c r="D3" t="inlineStr"/>
      <c r="E3" t="b">
        <v>0</v>
      </c>
      <c r="F3" t="n">
        <v>1</v>
      </c>
      <c r="G3" t="n">
        <v>1</v>
      </c>
      <c r="H3" t="n">
        <v>0</v>
      </c>
      <c r="I3" t="n">
        <v>0</v>
      </c>
      <c r="J3" t="n">
        <v>100</v>
      </c>
      <c r="K3" t="n">
        <v>1</v>
      </c>
      <c r="L3" t="n">
        <v>350</v>
      </c>
      <c r="M3" t="n">
        <v>21</v>
      </c>
      <c r="N3" t="b">
        <v>1</v>
      </c>
      <c r="O3">
        <f>SUMPRODUCT((Inputs!$B$3&gt;={54})*{50})</f>
        <v/>
      </c>
      <c r="P3" t="n">
        <v>0</v>
      </c>
      <c r="Q3" t="n">
        <v>0</v>
      </c>
      <c r="R3" t="n">
        <v>0</v>
      </c>
      <c r="S3" t="inlineStr"/>
      <c r="T3" t="n">
        <v>0</v>
      </c>
      <c r="U3" t="inlineStr"/>
      <c r="V3" t="inlineStr"/>
      <c r="W3" t="inlineStr">
        <is>
          <t>Helper row only — feeds Blast's own coefficient. 25% chance, 35%-&gt;49% additional damage (levels 1-100), factorIndex 21/baseDamage 350 tenths% — resolves to the IDENTICAL tuple Hero/Bowmaster's own Final Attack helper uses, confirming this is genuinely the same cross-tree shared skill. Mastery Lv.54 'Final Attack - Damage' +50% (real SkillMasteryBonus%, same level as Hero's own chain). Paladin has NO Advanced Final Attack at all (confirmed absent from its skill list) — no second-stage helper needed.</t>
        </is>
      </c>
    </row>
    <row r="4">
      <c r="A4" t="inlineStr">
        <is>
          <t>CLOSE_COMBAT</t>
        </is>
      </c>
      <c r="B4" t="inlineStr">
        <is>
          <t>Close Combat</t>
        </is>
      </c>
      <c r="C4" t="n">
        <v>2</v>
      </c>
      <c r="D4" t="n">
        <v>18</v>
      </c>
      <c r="E4" t="b">
        <v>1</v>
      </c>
      <c r="F4" t="n">
        <v>1</v>
      </c>
      <c r="G4" t="n">
        <v>1</v>
      </c>
      <c r="H4" t="n">
        <v>0</v>
      </c>
      <c r="I4" t="n">
        <v>0</v>
      </c>
      <c r="J4" t="n">
        <v>100</v>
      </c>
      <c r="K4" t="n">
        <v>1</v>
      </c>
      <c r="L4" t="n">
        <v>4600</v>
      </c>
      <c r="M4" t="n">
        <v>12</v>
      </c>
      <c r="N4" t="b">
        <v>1</v>
      </c>
      <c r="O4">
        <f>SUMPRODUCT((Inputs!$B$3&gt;={39})*{50})</f>
        <v/>
      </c>
      <c r="P4" t="n">
        <v>0</v>
      </c>
      <c r="Q4" t="n">
        <v>0</v>
      </c>
      <c r="R4" t="n">
        <v>7</v>
      </c>
      <c r="S4" t="inlineStr"/>
      <c r="T4" t="n">
        <v>0</v>
      </c>
      <c r="U4" t="inlineStr"/>
      <c r="V4" t="inlineStr"/>
      <c r="W4" t="inlineStr">
        <is>
          <t>FLAGGED ASSUMPTION (no individual wiki page exists — confirmed genuine 404, same root-cause gap as Bishop): factorIndex 12 (burst convention), baseDamage 4600 tenths% (460% level-1). 'Deals 460% damage to 7 nearby target(s)', 18s cooldown. Mastery Lv.39 'Close Combat - Damage' +50% (real SkillMasteryBonus%). Mastery Lv.44 'Close Combat - Weaken' (+10%p target damage taken for an unstated duration) is FLAGGED, not modeled — no duration/chance given on the Mastery table to drive a duty-cycle calc. Maple Hero target (4x share, the biggest) — see MAPLE_HERO_RATIOS.</t>
        </is>
      </c>
    </row>
    <row r="5">
      <c r="A5" t="inlineStr">
        <is>
          <t>NOBLE_DEMAND</t>
        </is>
      </c>
      <c r="B5" t="inlineStr">
        <is>
          <t>Noble Demand</t>
        </is>
      </c>
      <c r="C5" t="n">
        <v>3</v>
      </c>
      <c r="D5" t="n">
        <v>30</v>
      </c>
      <c r="E5" t="b">
        <v>1</v>
      </c>
      <c r="F5" t="n">
        <v>1</v>
      </c>
      <c r="G5" t="n">
        <v>1</v>
      </c>
      <c r="H5" t="n">
        <v>0</v>
      </c>
      <c r="I5" t="n">
        <v>0</v>
      </c>
      <c r="J5" t="n">
        <v>100</v>
      </c>
      <c r="K5" t="n">
        <v>1</v>
      </c>
      <c r="L5" t="n">
        <v>16000</v>
      </c>
      <c r="M5" t="n">
        <v>12</v>
      </c>
      <c r="N5" t="b">
        <v>1</v>
      </c>
      <c r="O5">
        <f>SUMPRODUCT((Inputs!$B$3&gt;={73})*{50})</f>
        <v/>
      </c>
      <c r="P5" t="n">
        <v>0</v>
      </c>
      <c r="Q5" t="n">
        <v>0</v>
      </c>
      <c r="R5" t="n">
        <v>8</v>
      </c>
      <c r="S5" t="inlineStr"/>
      <c r="T5" t="n">
        <v>0</v>
      </c>
      <c r="U5" t="inlineStr"/>
      <c r="V5" t="inlineStr"/>
      <c r="W5" t="inlineStr">
        <is>
          <t>FLAGGED ASSUMPTION (no individual wiki page exists): factorIndex 12, baseDamage 16000 tenths% (1600% level-1). 'Deals 1600% damage to 8 nearby target(s) and increases their damage taken by 12% for 10 sec' — the damage-taken-increase component is FLAGGED, not modeled (would need its own duty-cycle bucket wiring, judged out of scope for a flagged-assumption skill). 30s cooldown. Mastery Lv.73 'Noble Demand - Damage' +50% (real SkillMasteryBonus%). Mastery Lv.94 'Noble Demand - Reuse' (-30% cooldown) not separately modeled, same treatment as Hero's own Rush cooldown masteries. Maple Hero target (1x share, the smallest) — see MAPLE_HERO_RATIOS.</t>
        </is>
      </c>
    </row>
    <row r="6">
      <c r="A6" t="inlineStr">
        <is>
          <t>HEAVENS_HAMMER</t>
        </is>
      </c>
      <c r="B6" t="inlineStr">
        <is>
          <t>Heaven's Hammer</t>
        </is>
      </c>
      <c r="C6" t="n">
        <v>4</v>
      </c>
      <c r="D6" t="n">
        <v>18</v>
      </c>
      <c r="E6" t="b">
        <v>1</v>
      </c>
      <c r="F6" t="n">
        <v>1</v>
      </c>
      <c r="G6" t="n">
        <v>5</v>
      </c>
      <c r="H6" t="n">
        <v>0</v>
      </c>
      <c r="I6" t="n">
        <v>0</v>
      </c>
      <c r="J6" t="n">
        <v>100</v>
      </c>
      <c r="K6" t="n">
        <v>1</v>
      </c>
      <c r="L6" t="n">
        <v>7800</v>
      </c>
      <c r="M6" t="n">
        <v>12</v>
      </c>
      <c r="N6" t="b">
        <v>1</v>
      </c>
      <c r="O6">
        <f>SUMPRODUCT((Inputs!$B$3&gt;={108})*{50})</f>
        <v/>
      </c>
      <c r="P6">
        <f>100+IF(Inputs!$B$3&gt;=134,100,0)</f>
        <v/>
      </c>
      <c r="Q6" t="n">
        <v>0</v>
      </c>
      <c r="R6" t="n">
        <v>7</v>
      </c>
      <c r="S6" t="inlineStr"/>
      <c r="T6" t="n">
        <v>0</v>
      </c>
      <c r="U6" t="inlineStr"/>
      <c r="V6" t="inlineStr"/>
      <c r="W6" t="inlineStr">
        <is>
          <t>FLAGGED ASSUMPTION (no individual wiki page exists): factorIndex 12, baseDamage 7800 tenths% (780% level-1). 'Slams a large hammer to deal 780% damage to 7 target(s) in front 5 time(s). Deals additional 100% Boss Monster Damage' — the +100% Boss Monster Damage is the skill's own innate effect (baked into MasteryBossDamage%'s base 100), with Mastery Lv.134 'Heaven's Hammer - Boss Monster Damage' adding another +100% tier on top (total 200% once both are active). 18s cooldown. Mastery Lv.108 'Heaven's Hammer - Damage' +50% (real SkillMasteryBonus%). Not patched (absent from the Aug 13 patch notes PDF's 2-skill Paladin section).</t>
        </is>
      </c>
    </row>
    <row r="7">
      <c r="A7" t="inlineStr">
        <is>
          <t>DIVINE_MARK_MAIN</t>
        </is>
      </c>
      <c r="B7" t="inlineStr">
        <is>
          <t>Divine Mark (main hit)</t>
        </is>
      </c>
      <c r="C7" t="n">
        <v>4</v>
      </c>
      <c r="D7" t="n">
        <v>16</v>
      </c>
      <c r="E7" t="b">
        <v>1</v>
      </c>
      <c r="F7" t="n">
        <v>1</v>
      </c>
      <c r="G7" t="n">
        <v>6</v>
      </c>
      <c r="H7" t="n">
        <v>0</v>
      </c>
      <c r="I7" t="n">
        <v>0</v>
      </c>
      <c r="J7" t="n">
        <v>100</v>
      </c>
      <c r="K7" t="n">
        <v>1</v>
      </c>
      <c r="L7" t="n">
        <v>4600</v>
      </c>
      <c r="M7" t="n">
        <v>12</v>
      </c>
      <c r="N7" t="b">
        <v>1</v>
      </c>
      <c r="O7">
        <f>SUMPRODUCT((Inputs!$B$3&gt;={122})*{50})</f>
        <v/>
      </c>
      <c r="P7" t="n">
        <v>0</v>
      </c>
      <c r="Q7" t="n">
        <v>0</v>
      </c>
      <c r="R7" t="n">
        <v>8</v>
      </c>
      <c r="S7" t="inlineStr"/>
      <c r="T7" t="n">
        <v>0</v>
      </c>
      <c r="U7" t="inlineStr"/>
      <c r="V7" t="inlineStr"/>
      <c r="W7" t="inlineStr">
        <is>
          <t>FLAGGED ASSUMPTION (no individual wiki page exists): factorIndex 12, baseDamage 4600 tenths% (460% level-1). 'Deals 460% damage to 8 target(s) in front 6 time(s), then detonates stigmata of light' (see DIVINE_MARK_DETONATION for the second half — same cast, same cooldown/targets). 16s cooldown. Mastery Lv.122 'Divine Mark - Damage' +50% (real SkillMasteryBonus%, applies to the main hit only — the wiki doesn't specify it applying to the detonation too). Mastery Lv.138 'Divine Mark - Weaken' (+20% target damage taken for 10s) is FLAGGED, not modeled (same reasoning as Noble Demand's own weaken effect).</t>
        </is>
      </c>
    </row>
    <row r="8">
      <c r="A8" t="inlineStr">
        <is>
          <t>DIVINE_MARK_DETONATION</t>
        </is>
      </c>
      <c r="B8" t="inlineStr">
        <is>
          <t>Divine Mark (detonation)</t>
        </is>
      </c>
      <c r="C8" t="n">
        <v>4</v>
      </c>
      <c r="D8" t="n">
        <v>16</v>
      </c>
      <c r="E8" t="b">
        <v>0</v>
      </c>
      <c r="F8" t="n">
        <v>1</v>
      </c>
      <c r="G8" t="n">
        <v>4</v>
      </c>
      <c r="H8" t="n">
        <v>0</v>
      </c>
      <c r="I8" t="n">
        <v>0</v>
      </c>
      <c r="J8" t="n">
        <v>100</v>
      </c>
      <c r="K8" t="n">
        <v>1</v>
      </c>
      <c r="L8" t="n">
        <v>4000</v>
      </c>
      <c r="M8" t="n">
        <v>12</v>
      </c>
      <c r="N8" t="b">
        <v>1</v>
      </c>
      <c r="O8" t="n">
        <v>0</v>
      </c>
      <c r="P8" t="n">
        <v>0</v>
      </c>
      <c r="Q8" t="n">
        <v>0</v>
      </c>
      <c r="R8" t="n">
        <v>8</v>
      </c>
      <c r="S8" t="inlineStr"/>
      <c r="T8" t="n">
        <v>0</v>
      </c>
      <c r="U8" t="inlineStr"/>
      <c r="V8" t="inlineStr"/>
      <c r="W8" t="inlineStr">
        <is>
          <t>Detonation half of the same Divine Mark cast — 'dealing 400% damage to 8 nearby target(s) 4 time(s)'. Shares Divine Mark's own cooldown/cast (CostsActionSlot=False here since DIVINE_MARK_MAIN already costs the action slot for this cast). factorIndex 12, baseDamage 4000 tenths% (400% level-1). FLAGGED ASSUMPTION, same root-cause gap as its main-hit sibling. No own Skill/Boss Mastery (Lv.122's own mastery only mentions 'Divine Mark - Damage' without specifying the detonation, so it's not applied here to avoid double-counting an ambiguous mastery scope).</t>
        </is>
      </c>
    </row>
    <row r="9">
      <c r="A9" t="inlineStr">
        <is>
          <t>DIVINE_JUDGMENT</t>
        </is>
      </c>
      <c r="B9" t="inlineStr">
        <is>
          <t>Divine Judgment (detonation)</t>
        </is>
      </c>
      <c r="C9" t="n">
        <v>4</v>
      </c>
      <c r="D9">
        <f>10/Summary!$B$61</f>
        <v/>
      </c>
      <c r="E9" t="b">
        <v>0</v>
      </c>
      <c r="F9" t="n">
        <v>1</v>
      </c>
      <c r="G9" t="n">
        <v>4</v>
      </c>
      <c r="H9" t="n">
        <v>0</v>
      </c>
      <c r="I9" t="n">
        <v>0</v>
      </c>
      <c r="J9" t="n">
        <v>100</v>
      </c>
      <c r="K9" t="n">
        <v>1</v>
      </c>
      <c r="L9" t="n">
        <v>8500</v>
      </c>
      <c r="M9" t="n">
        <v>12</v>
      </c>
      <c r="N9" t="b">
        <v>1</v>
      </c>
      <c r="O9" t="n">
        <v>0</v>
      </c>
      <c r="P9" t="n">
        <v>0</v>
      </c>
      <c r="Q9" t="n">
        <v>0</v>
      </c>
      <c r="R9" t="n">
        <v>4</v>
      </c>
      <c r="S9" t="inlineStr"/>
      <c r="T9" t="n">
        <v>0</v>
      </c>
      <c r="U9" t="inlineStr"/>
      <c r="V9" t="inlineStr"/>
      <c r="W9" t="inlineStr">
        <is>
          <t>FLAGGED ASSUMPTION (no individual wiki page exists), AND a bespoke trigger-rate approximation: 'Every 10 basic attacks, increases Basic Attack Damage by 30% for 5 sec and creates a Divine Brand that explodes after 1 sec dealing 850% damage to 4 nearby target(s) 4 time(s)'. Modeled as detonation-only — Cooldown(s) is a LIVE formula (10/Summary!Actions Per Second, NOT Basic-Attack-specific Casts Per Second — referencing that cell instead would create a genuine circular reference, since R_BAPS is downstream of the same cast-rate SUMPRODUCT this row's own Q-column formula feeds into, regardless of CostsActionSlot=False) approximating the 'every 10 basic attacks' trigger as a steady-state period, the same self-referencing-a-Summary-constant pattern already established for Marksman's own Quiver Cartridge AS-scaled cooldown. The +30% Basic Attack Damage buff component is FLAGGED, not modeled — stacking another duty-cycle layer on an already-dynamic proc rate was judged out of scope for this pass. factorIndex 12, baseDamage 8500 tenths% (850% level-1). CostsActionSlot=False (the detonation itself doesn't consume the action queue — it's a delayed proc off basic attacks, which already have their own slot).</t>
        </is>
      </c>
    </row>
    <row r="10">
      <c r="A10" t="inlineStr">
        <is>
          <t>MAGIC_CRASH</t>
        </is>
      </c>
      <c r="B10" t="inlineStr">
        <is>
          <t>Magic Crash</t>
        </is>
      </c>
      <c r="C10" t="n">
        <v>4</v>
      </c>
      <c r="D10" t="n">
        <v>28</v>
      </c>
      <c r="E10" t="b">
        <v>1</v>
      </c>
      <c r="F10" t="n">
        <v>1</v>
      </c>
      <c r="G10" t="n">
        <v>1</v>
      </c>
      <c r="H10" t="n">
        <v>0</v>
      </c>
      <c r="I10" t="n">
        <v>0</v>
      </c>
      <c r="J10" t="n">
        <v>100</v>
      </c>
      <c r="K10" t="n">
        <v>1</v>
      </c>
      <c r="L10" t="n">
        <v>48000</v>
      </c>
      <c r="M10" t="n">
        <v>12</v>
      </c>
      <c r="N10" t="b">
        <v>1</v>
      </c>
      <c r="O10" t="n">
        <v>0</v>
      </c>
      <c r="P10" t="n">
        <v>0</v>
      </c>
      <c r="Q10" t="n">
        <v>0</v>
      </c>
      <c r="R10">
        <f>5+IF(Inputs!$B$3&gt;=100,4,0)</f>
        <v/>
      </c>
      <c r="S10" t="inlineStr"/>
      <c r="T10" t="n">
        <v>0</v>
      </c>
      <c r="U10" t="inlineStr"/>
      <c r="V10" t="inlineStr"/>
      <c r="W10" t="inlineStr">
        <is>
          <t>Summons a rock at the target's location, removing 1 buff and dealing 4800%-&gt;9600% damage to 5 nearby target(s), 1 time. factorIndex 12, baseDamage 48000 tenths%. Shared verbatim with Hero and Dark Knight (single wiki page, /w/Magic_Crash) — reuses Hero's own already-resolved tuple directly, not re-derived. PATCHED: targets 5-&gt;9 (effect range +50% not modeled, no such mechanic exists in this project).</t>
        </is>
      </c>
    </row>
    <row r="11">
      <c r="A11" t="inlineStr">
        <is>
          <t>RUSH</t>
        </is>
      </c>
      <c r="B11" t="inlineStr">
        <is>
          <t>Rush</t>
        </is>
      </c>
      <c r="C11" t="n">
        <v>3</v>
      </c>
      <c r="D11" t="n">
        <v>22</v>
      </c>
      <c r="E11" t="b">
        <v>1</v>
      </c>
      <c r="F11" t="n">
        <v>1</v>
      </c>
      <c r="G11" t="n">
        <v>1</v>
      </c>
      <c r="H11" t="n">
        <v>0</v>
      </c>
      <c r="I11" t="n">
        <v>0</v>
      </c>
      <c r="J11" t="n">
        <v>100</v>
      </c>
      <c r="K11" t="n">
        <v>1</v>
      </c>
      <c r="L11" t="n">
        <v>6000</v>
      </c>
      <c r="M11" t="n">
        <v>12</v>
      </c>
      <c r="N11" t="b">
        <v>1</v>
      </c>
      <c r="O11" t="n">
        <v>0</v>
      </c>
      <c r="P11" t="n">
        <v>0</v>
      </c>
      <c r="Q11" t="n">
        <v>0</v>
      </c>
      <c r="R11" t="n">
        <v>12</v>
      </c>
      <c r="S11" t="inlineStr"/>
      <c r="T11" t="n">
        <v>0</v>
      </c>
      <c r="U11" t="inlineStr"/>
      <c r="V11" t="inlineStr"/>
      <c r="W11" t="inlineStr">
        <is>
          <t>Charges to the front to deal 600%-&gt;1200% damage to 12 target(s) (stun 2.5s not modeled). factorIndex 12, baseDamage 6000 tenths%, 22s cooldown. Shared verbatim with Hero and Dark Knight — reuses Hero's own already-resolved tuple directly. Not patched (Mastery Lv.68/90 own cooldown/damage tiers not separately modeled here, same treatment as Hero's own build). Maple Hero target (1.5x share) — see MAPLE_HERO_RATIOS.</t>
        </is>
      </c>
    </row>
    <row r="12">
      <c r="A12" t="inlineStr">
        <is>
          <t>MAPLE_HERO_HELPER</t>
        </is>
      </c>
      <c r="B12" t="inlineStr">
        <is>
          <t>Maple Hero (helper)</t>
        </is>
      </c>
      <c r="C12" t="n">
        <v>4</v>
      </c>
      <c r="D12" t="inlineStr"/>
      <c r="E12" t="b">
        <v>0</v>
      </c>
      <c r="F12" t="n">
        <v>1</v>
      </c>
      <c r="G12" t="n">
        <v>1</v>
      </c>
      <c r="H12" t="n">
        <v>0</v>
      </c>
      <c r="I12" t="n">
        <v>0</v>
      </c>
      <c r="J12" t="n">
        <v>100</v>
      </c>
      <c r="K12" t="n">
        <v>1</v>
      </c>
      <c r="L12" t="n">
        <v>200</v>
      </c>
      <c r="M12" t="n">
        <v>23</v>
      </c>
      <c r="N12" t="b">
        <v>1</v>
      </c>
      <c r="O12" t="n">
        <v>0</v>
      </c>
      <c r="P12" t="n">
        <v>0</v>
      </c>
      <c r="Q12" t="n">
        <v>0</v>
      </c>
      <c r="R12" t="n">
        <v>0</v>
      </c>
      <c r="S12" t="inlineStr"/>
      <c r="T12" t="n">
        <v>0</v>
      </c>
      <c r="U12" t="inlineStr"/>
      <c r="V12" t="inlineStr"/>
      <c r="W12" t="inlineStr">
        <is>
          <t>FLAGGED ASSUMPTION — Maple_Hero_(Paladin) 404s, confirmed no wiki page exists at all (unlike Hero/Bowmaster/Dark Knight's own Maple Hero pages). Shared ratio-feeder row (see MAPLE_HERO_RATIOS) for Noble Demand/Rush/Close Combat's own Final Damage chains, PLUS a bespoke direct fold into Final Attack's own contribution inside BLAST's SkillMasteryBonus% (see that row's own Note). Using only the confirmed level-1 baseline values (factorIndex 23 convention, baseDamage 200 tenths% = Noble Demand's own 20% 1x share), assumed to follow the same '80%-growth-reduction after Lv.120' curve shape already confirmed on every other class's own Maple Hero. No independent DPS row of its own (Calc columns J-N blank/0, only D/E/F computed, read directly by each target row's own K-column formula).</t>
        </is>
      </c>
    </row>
    <row r="13">
      <c r="A13" t="inlineStr">
        <is>
          <t>VESSEL_OF_LIGHT</t>
        </is>
      </c>
      <c r="B13" t="inlineStr">
        <is>
          <t>Vessel of Light</t>
        </is>
      </c>
      <c r="C13" t="n">
        <v>2</v>
      </c>
      <c r="D13" t="inlineStr"/>
      <c r="E13" t="b">
        <v>0</v>
      </c>
      <c r="F13" t="n">
        <v>1</v>
      </c>
      <c r="G13" t="n">
        <v>1</v>
      </c>
      <c r="H13" t="n">
        <v>0</v>
      </c>
      <c r="I13" t="n">
        <v>0</v>
      </c>
      <c r="J13" t="n">
        <v>15</v>
      </c>
      <c r="K13" t="n">
        <v>1</v>
      </c>
      <c r="L13" t="n">
        <v>150</v>
      </c>
      <c r="M13" t="n">
        <v>22</v>
      </c>
      <c r="N13" t="b">
        <v>1</v>
      </c>
      <c r="O13" t="n">
        <v>0</v>
      </c>
      <c r="P13" t="n">
        <v>0</v>
      </c>
      <c r="Q13" t="n">
        <v>0</v>
      </c>
      <c r="R13" t="n">
        <v>0</v>
      </c>
      <c r="S13" t="inlineStr">
        <is>
          <t>ATTACK</t>
        </is>
      </c>
      <c r="T13" t="n">
        <v>10</v>
      </c>
      <c r="U13" t="inlineStr"/>
      <c r="V13" t="inlineStr"/>
      <c r="W13" t="inlineStr">
        <is>
          <t>'When attacking with Basic Attack, increases Attack by 15%-&gt;22% for 10 sec with a 15% chance.' FLAGGED simplification: this is a proc with no stated internal cooldown, so its uptime can't use the standard cooldown-driven duty-cycle helper used everywhere else in this project — instead approximated in Summary as MIN(1, Duration x ProcChance%/100 x Basic Attack Casts Per Second). factorIndex 22, baseDamage 150 tenths% (15%-&gt;22%, levels 1-200). Not patched.</t>
        </is>
      </c>
    </row>
    <row r="14">
      <c r="A14" t="inlineStr">
        <is>
          <t>GREATER_VESSEL_OF_LIGHT</t>
        </is>
      </c>
      <c r="B14" t="inlineStr">
        <is>
          <t>Greater Vessel of Light</t>
        </is>
      </c>
      <c r="C14" t="n">
        <v>4</v>
      </c>
      <c r="D14" t="inlineStr"/>
      <c r="E14" t="b">
        <v>0</v>
      </c>
      <c r="F14" t="n">
        <v>1</v>
      </c>
      <c r="G14" t="n">
        <v>1</v>
      </c>
      <c r="H14" t="n">
        <v>0</v>
      </c>
      <c r="I14" t="n">
        <v>0</v>
      </c>
      <c r="J14" t="n">
        <v>100</v>
      </c>
      <c r="K14" t="n">
        <v>1</v>
      </c>
      <c r="L14" t="n">
        <v>180</v>
      </c>
      <c r="M14" t="n">
        <v>22</v>
      </c>
      <c r="N14" t="b">
        <v>1</v>
      </c>
      <c r="O14" t="n">
        <v>0</v>
      </c>
      <c r="P14" t="n">
        <v>0</v>
      </c>
      <c r="Q14" t="n">
        <v>0</v>
      </c>
      <c r="R14" t="n">
        <v>0</v>
      </c>
      <c r="S14" t="inlineStr">
        <is>
          <t>FINAL_DAMAGE</t>
        </is>
      </c>
      <c r="T14" t="n">
        <v>0</v>
      </c>
      <c r="U14" t="inlineStr"/>
      <c r="V14" t="inlineStr"/>
      <c r="W14" t="inlineStr">
        <is>
          <t>FLAGGED ASSUMPTION (no individual wiki page, single known value): 'Increases Final Damage by 18% for the duration of Vessel of Light.' No own Cooldown/BuffDuration — reuses Vessel of Light's own computed uptime fraction directly in the Summary-sheet formula rather than having an independent duty cycle. factorIndex 22, baseDamage 180 tenths% (18% level-1).</t>
        </is>
      </c>
    </row>
    <row r="15">
      <c r="A15" t="inlineStr">
        <is>
          <t>DIVINE_SHIELD</t>
        </is>
      </c>
      <c r="B15" t="inlineStr">
        <is>
          <t>Divine Shield</t>
        </is>
      </c>
      <c r="C15" t="n">
        <v>3</v>
      </c>
      <c r="D15" t="n">
        <v>15</v>
      </c>
      <c r="E15" t="b">
        <v>0</v>
      </c>
      <c r="F15" t="n">
        <v>1</v>
      </c>
      <c r="G15" t="n">
        <v>1</v>
      </c>
      <c r="H15" t="n">
        <v>0</v>
      </c>
      <c r="I15" t="n">
        <v>0</v>
      </c>
      <c r="J15" t="n">
        <v>100</v>
      </c>
      <c r="K15" t="n">
        <v>1</v>
      </c>
      <c r="L15" t="n">
        <v>150</v>
      </c>
      <c r="M15" t="n">
        <v>22</v>
      </c>
      <c r="N15" t="b">
        <v>1</v>
      </c>
      <c r="O15" t="n">
        <v>0</v>
      </c>
      <c r="P15" t="n">
        <v>0</v>
      </c>
      <c r="Q15" t="n">
        <v>0</v>
      </c>
      <c r="R15" t="n">
        <v>0</v>
      </c>
      <c r="S15" t="inlineStr">
        <is>
          <t>FINAL_DAMAGE</t>
        </is>
      </c>
      <c r="T15" t="n">
        <v>10</v>
      </c>
      <c r="U15" t="inlineStr"/>
      <c r="V15" t="inlineStr"/>
      <c r="W15" t="inlineStr">
        <is>
          <t>'Every 15 sec creates a barrier that lasts for 5 sec to block damage up to 6% of Max HP. Also increases Final Damage by 15% for 10 sec.' Fires on its own fixed interval (not a player-cast cooldown) — modeled the same way as Hero's own Enrage, treating the interval as this row's own Cooldown(s). Barrier-blocking component (defensive) not modeled. factorIndex 22, baseDamage 150 tenths% (15% level-1, no individual wiki page — FLAGGED ASSUMPTION). PATCHED: new 'activates at combat start' behavior not modeled (no such mechanic exists anywhere in this project).</t>
        </is>
      </c>
    </row>
    <row r="16">
      <c r="A16" t="inlineStr">
        <is>
          <t>GUARDIAN</t>
        </is>
      </c>
      <c r="B16" t="inlineStr">
        <is>
          <t>Guardian</t>
        </is>
      </c>
      <c r="C16" t="n">
        <v>4</v>
      </c>
      <c r="D16" t="n">
        <v>24</v>
      </c>
      <c r="E16" t="b">
        <v>1</v>
      </c>
      <c r="F16" t="n">
        <v>1</v>
      </c>
      <c r="G16" t="n">
        <v>1</v>
      </c>
      <c r="H16" t="n">
        <v>0</v>
      </c>
      <c r="I16" t="n">
        <v>0</v>
      </c>
      <c r="J16" t="n">
        <v>100</v>
      </c>
      <c r="K16" t="n">
        <v>1</v>
      </c>
      <c r="L16" t="n">
        <v>100</v>
      </c>
      <c r="M16" t="n">
        <v>22</v>
      </c>
      <c r="N16" t="b">
        <v>1</v>
      </c>
      <c r="O16" t="n">
        <v>0</v>
      </c>
      <c r="P16" t="n">
        <v>0</v>
      </c>
      <c r="Q16" t="n">
        <v>0</v>
      </c>
      <c r="R16" t="n">
        <v>0</v>
      </c>
      <c r="S16" t="inlineStr">
        <is>
          <t>FINAL_DAMAGE</t>
        </is>
      </c>
      <c r="T16" t="n">
        <v>20</v>
      </c>
      <c r="U16" t="inlineStr"/>
      <c r="V16" t="inlineStr"/>
      <c r="W16" t="inlineStr">
        <is>
          <t>FLAGGED ASSUMPTION (no individual wiki page exists): factorIndex 22, baseDamage 100 tenths% (10% level-1). 'Increases your Final Damage by 10% for 20 sec and grants Continuous Recovery to 1 nearby ally for 20 sec, recovering 0.8% HP/sec' — the ally-HP-recovery component not modeled (no HP tracking anywhere in this project). 24s cooldown. Not patched.</t>
        </is>
      </c>
    </row>
    <row r="17">
      <c r="A17" t="inlineStr">
        <is>
          <t>DIVINE_BLESSING</t>
        </is>
      </c>
      <c r="B17" t="inlineStr">
        <is>
          <t>Divine Blessing</t>
        </is>
      </c>
      <c r="C17" t="n">
        <v>4</v>
      </c>
      <c r="D17" t="n">
        <v>30</v>
      </c>
      <c r="E17" t="b">
        <v>1</v>
      </c>
      <c r="F17" t="n">
        <v>1</v>
      </c>
      <c r="G17" t="n">
        <v>1</v>
      </c>
      <c r="H17" t="n">
        <v>0</v>
      </c>
      <c r="I17" t="n">
        <v>0</v>
      </c>
      <c r="J17" t="n">
        <v>100</v>
      </c>
      <c r="K17" t="n">
        <v>1</v>
      </c>
      <c r="L17" t="n">
        <v>120</v>
      </c>
      <c r="M17" t="n">
        <v>22</v>
      </c>
      <c r="N17" t="b">
        <v>1</v>
      </c>
      <c r="O17" t="n">
        <v>0</v>
      </c>
      <c r="P17" t="n">
        <v>0</v>
      </c>
      <c r="Q17" t="n">
        <v>0</v>
      </c>
      <c r="R17" t="n">
        <v>0</v>
      </c>
      <c r="S17" t="inlineStr">
        <is>
          <t>FINAL_DAMAGE</t>
        </is>
      </c>
      <c r="T17" t="n">
        <v>22</v>
      </c>
      <c r="U17" t="inlineStr"/>
      <c r="V17" t="inlineStr"/>
      <c r="W17" t="inlineStr">
        <is>
          <t>FLAGGED ASSUMPTION (no individual wiki page exists): factorIndex 22, baseDamage 120 tenths% (12% level-1). Self-inclusive ally buff (matches Bishop's own 'allied players' precedent) — 'Increases your and 1 nearby ally's Final Damage by 12% for 22 sec', 30s cooldown. Not patched.</t>
        </is>
      </c>
    </row>
    <row r="18">
      <c r="A18" t="inlineStr">
        <is>
          <t>HP_RECOVERY_ATK</t>
        </is>
      </c>
      <c r="B18" t="inlineStr">
        <is>
          <t>HP Recovery (Attack buff)</t>
        </is>
      </c>
      <c r="C18" t="n">
        <v>3</v>
      </c>
      <c r="D18" t="n">
        <v>25</v>
      </c>
      <c r="E18" t="b">
        <v>1</v>
      </c>
      <c r="F18" t="n">
        <v>1</v>
      </c>
      <c r="G18" t="n">
        <v>1</v>
      </c>
      <c r="H18" t="n">
        <v>0</v>
      </c>
      <c r="I18" t="n">
        <v>0</v>
      </c>
      <c r="J18" t="n">
        <v>100</v>
      </c>
      <c r="K18" t="n">
        <v>1</v>
      </c>
      <c r="L18" t="n">
        <v>120</v>
      </c>
      <c r="M18" t="n">
        <v>22</v>
      </c>
      <c r="N18" t="b">
        <v>1</v>
      </c>
      <c r="O18" t="n">
        <v>0</v>
      </c>
      <c r="P18" t="n">
        <v>0</v>
      </c>
      <c r="Q18" t="n">
        <v>0</v>
      </c>
      <c r="R18" t="n">
        <v>0</v>
      </c>
      <c r="S18" t="inlineStr">
        <is>
          <t>ATTACK</t>
        </is>
      </c>
      <c r="T18" t="n">
        <v>20</v>
      </c>
      <c r="U18" t="inlineStr"/>
      <c r="V18" t="inlineStr"/>
      <c r="W18" t="inlineStr">
        <is>
          <t>FLAGGED ASSUMPTION (no individual wiki page exists): factorIndex 22, baseDamage 120 tenths% (12% level-1). 'Immediately recovers HP by 9% and increases Attack by 12% for 20 sec' — the instant HP-restore component not modeled (no HP tracking anywhere in this project). 25s cooldown. Not patched.</t>
        </is>
      </c>
    </row>
    <row r="19">
      <c r="A19" t="inlineStr">
        <is>
          <t>NIMBLE_FEET</t>
        </is>
      </c>
      <c r="B19" t="inlineStr">
        <is>
          <t>Nimble Feet</t>
        </is>
      </c>
      <c r="C19" t="n">
        <v>1</v>
      </c>
      <c r="D19" t="n">
        <v>60</v>
      </c>
      <c r="E19" t="b">
        <v>1</v>
      </c>
      <c r="F19" t="n">
        <v>1</v>
      </c>
      <c r="G19" t="n">
        <v>1</v>
      </c>
      <c r="H19" t="n">
        <v>0</v>
      </c>
      <c r="I19" t="n">
        <v>0</v>
      </c>
      <c r="J19" t="n">
        <v>100</v>
      </c>
      <c r="K19" t="n">
        <v>1</v>
      </c>
      <c r="L19" t="n">
        <v>150</v>
      </c>
      <c r="M19" t="n">
        <v>0</v>
      </c>
      <c r="N19" t="b">
        <v>0</v>
      </c>
      <c r="O19" t="n">
        <v>0</v>
      </c>
      <c r="P19" t="n">
        <v>0</v>
      </c>
      <c r="Q19" t="n">
        <v>0</v>
      </c>
      <c r="R19" t="n">
        <v>1</v>
      </c>
      <c r="S19" t="inlineStr">
        <is>
          <t>ATTACK_SPEED</t>
        </is>
      </c>
      <c r="T19" t="n">
        <v>15</v>
      </c>
      <c r="U19" t="inlineStr"/>
      <c r="V19" t="inlineStr"/>
      <c r="W19" t="inlineStr">
        <is>
          <t>Shared cross-tree verbatim w/ every class in this project (byte-identical wiki wording — '+15% Attack Speed, +10% Speed for 15 sec'). Flat +15% Attack Speed / +10% Speed for 15s, 60s cooldown, non-scaling. FactorIndex unused placeholder.</t>
        </is>
      </c>
    </row>
    <row r="20">
      <c r="A20" t="inlineStr">
        <is>
          <t>WEAPON_ACCELERATION</t>
        </is>
      </c>
      <c r="B20" t="inlineStr">
        <is>
          <t>Weapon Acceleration</t>
        </is>
      </c>
      <c r="C20" t="n">
        <v>2</v>
      </c>
      <c r="D20" t="inlineStr"/>
      <c r="E20" t="b">
        <v>0</v>
      </c>
      <c r="F20" t="n">
        <v>1</v>
      </c>
      <c r="G20" t="n">
        <v>1</v>
      </c>
      <c r="H20" t="n">
        <v>0</v>
      </c>
      <c r="I20" t="n">
        <v>0</v>
      </c>
      <c r="J20" t="n">
        <v>100</v>
      </c>
      <c r="K20" t="n">
        <v>1</v>
      </c>
      <c r="L20" t="n">
        <v>50</v>
      </c>
      <c r="M20" t="n">
        <v>22</v>
      </c>
      <c r="N20" t="b">
        <v>1</v>
      </c>
      <c r="O20" t="n">
        <v>0</v>
      </c>
      <c r="P20" t="n">
        <v>0</v>
      </c>
      <c r="Q20" t="n">
        <v>0</v>
      </c>
      <c r="R20" t="n">
        <v>0</v>
      </c>
      <c r="S20" t="inlineStr">
        <is>
          <t>ATTACK_SPEED</t>
        </is>
      </c>
      <c r="T20" t="n">
        <v>0</v>
      </c>
      <c r="U20" t="inlineStr"/>
      <c r="V20" t="inlineStr"/>
      <c r="W20" t="inlineStr">
        <is>
          <t>Magic Critical pattern — already baked into Inputs!ATTACK_SPEED%; feeds the 2nd-Job Skill Level Bonus delta. Reuses Hero's own Weapon Acceleration tuple directly (byte-identical wiki wording — '+5% Attack Speed'). factorIndex 22, baseDamage 50 tenths% (5%-&gt;6.5%, levels 1-100).</t>
        </is>
      </c>
    </row>
    <row r="21">
      <c r="A21" t="inlineStr">
        <is>
          <t>PHYSICAL_TRAINING</t>
        </is>
      </c>
      <c r="B21" t="inlineStr">
        <is>
          <t>Physical Training</t>
        </is>
      </c>
      <c r="C21" t="n">
        <v>2</v>
      </c>
      <c r="D21" t="inlineStr"/>
      <c r="E21" t="b">
        <v>0</v>
      </c>
      <c r="F21" t="n">
        <v>1</v>
      </c>
      <c r="G21" t="n">
        <v>1</v>
      </c>
      <c r="H21" t="n">
        <v>0</v>
      </c>
      <c r="I21" t="n">
        <v>0</v>
      </c>
      <c r="J21" t="n">
        <v>100</v>
      </c>
      <c r="K21" t="n">
        <v>1</v>
      </c>
      <c r="L21" t="n">
        <v>100</v>
      </c>
      <c r="M21" t="n">
        <v>22</v>
      </c>
      <c r="N21" t="b">
        <v>1</v>
      </c>
      <c r="O21" t="n">
        <v>0</v>
      </c>
      <c r="P21" t="n">
        <v>0</v>
      </c>
      <c r="Q21" t="n">
        <v>0</v>
      </c>
      <c r="R21" t="n">
        <v>0</v>
      </c>
      <c r="S21" t="inlineStr">
        <is>
          <t>BASIC_ATTACK_DAMAGE</t>
        </is>
      </c>
      <c r="T21" t="n">
        <v>0</v>
      </c>
      <c r="U21" t="inlineStr"/>
      <c r="V21" t="inlineStr"/>
      <c r="W21" t="inlineStr">
        <is>
          <t>Magic Critical pattern — already baked into Inputs!BASIC_ATTACK_DAMAGE%; feeds the 2nd-Job Skill Level Bonus delta. Reuses Hero's own Physical Training tuple directly (byte-identical wiki wording — '+10% Basic Attack Damage'). factorIndex 22, baseDamage 100 tenths% (10%-&gt;13%, levels 1-100).</t>
        </is>
      </c>
    </row>
    <row r="22">
      <c r="A22" t="inlineStr">
        <is>
          <t>WEAPON_MASTERY</t>
        </is>
      </c>
      <c r="B22" t="inlineStr">
        <is>
          <t>Weapon Mastery</t>
        </is>
      </c>
      <c r="C22" t="n">
        <v>2</v>
      </c>
      <c r="D22" t="inlineStr"/>
      <c r="E22" t="b">
        <v>0</v>
      </c>
      <c r="F22" t="n">
        <v>1</v>
      </c>
      <c r="G22" t="n">
        <v>1</v>
      </c>
      <c r="H22" t="n">
        <v>0</v>
      </c>
      <c r="I22" t="n">
        <v>0</v>
      </c>
      <c r="J22" t="n">
        <v>100</v>
      </c>
      <c r="K22" t="n">
        <v>1</v>
      </c>
      <c r="L22" t="n">
        <v>150</v>
      </c>
      <c r="M22" t="n">
        <v>22</v>
      </c>
      <c r="N22" t="b">
        <v>1</v>
      </c>
      <c r="O22" t="n">
        <v>0</v>
      </c>
      <c r="P22" t="n">
        <v>0</v>
      </c>
      <c r="Q22" t="n">
        <v>0</v>
      </c>
      <c r="R22" t="n">
        <v>0</v>
      </c>
      <c r="S22" t="inlineStr">
        <is>
          <t>MIN_DAMAGE</t>
        </is>
      </c>
      <c r="T22" t="n">
        <v>0</v>
      </c>
      <c r="U22" t="inlineStr"/>
      <c r="V22" t="inlineStr"/>
      <c r="W22" t="inlineStr">
        <is>
          <t>Magic Critical pattern — already baked into Inputs!MIN_DAMAGE%; feeds the 2nd-Job Skill Level Bonus delta. Reuses Hero's own Weapon Mastery tuple directly. factorIndex 22, baseDamage 150 tenths% (15%-&gt;19.5%, levels 1-100).</t>
        </is>
      </c>
    </row>
    <row r="23">
      <c r="A23" t="inlineStr">
        <is>
          <t>PALADIN_EXPERT_SKILL</t>
        </is>
      </c>
      <c r="B23" t="inlineStr">
        <is>
          <t>Paladin Expert (Skill Damage)</t>
        </is>
      </c>
      <c r="C23" t="n">
        <v>4</v>
      </c>
      <c r="D23" t="inlineStr"/>
      <c r="E23" t="b">
        <v>0</v>
      </c>
      <c r="F23" t="n">
        <v>1</v>
      </c>
      <c r="G23" t="n">
        <v>1</v>
      </c>
      <c r="H23" t="n">
        <v>0</v>
      </c>
      <c r="I23" t="n">
        <v>0</v>
      </c>
      <c r="J23" t="n">
        <v>100</v>
      </c>
      <c r="K23" t="n">
        <v>1</v>
      </c>
      <c r="L23" t="n">
        <v>150</v>
      </c>
      <c r="M23" t="n">
        <v>22</v>
      </c>
      <c r="N23" t="b">
        <v>1</v>
      </c>
      <c r="O23" t="n">
        <v>0</v>
      </c>
      <c r="P23" t="n">
        <v>0</v>
      </c>
      <c r="Q23" t="n">
        <v>0</v>
      </c>
      <c r="R23" t="n">
        <v>0</v>
      </c>
      <c r="S23" t="inlineStr">
        <is>
          <t>SKILL_DAMAGE</t>
        </is>
      </c>
      <c r="T23" t="n">
        <v>0</v>
      </c>
      <c r="U23" t="inlineStr"/>
      <c r="V23" t="inlineStr"/>
      <c r="W23" t="inlineStr">
        <is>
          <t>Magic Critical pattern — already baked into Inputs!SKILL_DAMAGE%; feeds the 4th-Job Skill Level Bonus delta (Skill Damage side). Matches Hero's own Combat Mastery pattern exactly. factorIndex 22, baseDamage 150 tenths% (15%-&gt;24%, levels 1-200).</t>
        </is>
      </c>
    </row>
    <row r="24">
      <c r="A24" t="inlineStr">
        <is>
          <t>PALADIN_EXPERT_MAXDMG</t>
        </is>
      </c>
      <c r="B24" t="inlineStr">
        <is>
          <t>Paladin Expert (Max Damage Multiplier)</t>
        </is>
      </c>
      <c r="C24" t="n">
        <v>4</v>
      </c>
      <c r="D24" t="inlineStr"/>
      <c r="E24" t="b">
        <v>0</v>
      </c>
      <c r="F24" t="n">
        <v>1</v>
      </c>
      <c r="G24" t="n">
        <v>1</v>
      </c>
      <c r="H24" t="n">
        <v>0</v>
      </c>
      <c r="I24" t="n">
        <v>0</v>
      </c>
      <c r="J24" t="n">
        <v>100</v>
      </c>
      <c r="K24" t="n">
        <v>1</v>
      </c>
      <c r="L24" t="n">
        <v>200</v>
      </c>
      <c r="M24" t="n">
        <v>22</v>
      </c>
      <c r="N24" t="b">
        <v>1</v>
      </c>
      <c r="O24" t="n">
        <v>0</v>
      </c>
      <c r="P24" t="n">
        <v>0</v>
      </c>
      <c r="Q24" t="n">
        <v>0</v>
      </c>
      <c r="R24" t="n">
        <v>0</v>
      </c>
      <c r="S24" t="inlineStr">
        <is>
          <t>MAX_DAMAGE</t>
        </is>
      </c>
      <c r="T24" t="n">
        <v>0</v>
      </c>
      <c r="U24" t="inlineStr"/>
      <c r="V24" t="inlineStr"/>
      <c r="W24" t="inlineStr">
        <is>
          <t>Same skill as Paladin Expert (Skill Damage) above, +20%-&gt;32% Max Damage Multiplier. Magic Critical pattern — already baked into Inputs!MAX_DAMAGE%; feeds the 4th-Job Skill Level Bonus delta (Max Damage Multiplier side). factorIndex 22, baseDamage 200 tenths%.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4" customWidth="1" min="2" max="2"/>
    <col width="10" customWidth="1" min="3" max="3"/>
    <col width="12" customWidth="1" min="4" max="4"/>
    <col width="9" customWidth="1" min="5" max="5"/>
    <col width="15" customWidth="1" min="6" max="6"/>
    <col width="13" customWidth="1" min="7" max="7"/>
    <col width="14" customWidth="1" min="8" max="8"/>
    <col width="17" customWidth="1" min="9" max="9"/>
    <col width="13" customWidth="1" min="10" max="10"/>
    <col width="15" customWidth="1" min="11" max="11"/>
    <col width="12" customWidth="1" min="12" max="12"/>
    <col width="12" customWidth="1" min="13" max="13"/>
    <col width="17" customWidth="1" min="14" max="14"/>
    <col width="12" customWidth="1" min="15" max="15"/>
    <col width="10" customWidth="1" min="16" max="16"/>
    <col width="12" customWidth="1" min="17" max="17"/>
    <col width="12" customWidth="1" min="18" max="18"/>
    <col width="14" customWidth="1" min="19" max="19"/>
  </cols>
  <sheetData>
    <row r="1">
      <c r="A1" s="8" t="inlineStr">
        <is>
          <t>Key</t>
        </is>
      </c>
      <c r="B1" s="8" t="inlineStr">
        <is>
          <t>Name</t>
        </is>
      </c>
      <c r="C1" s="8" t="inlineStr">
        <is>
          <t>Unlocked</t>
        </is>
      </c>
      <c r="D1" s="8" t="inlineStr">
        <is>
          <t>InputLevel</t>
        </is>
      </c>
      <c r="E1" s="8" t="inlineStr">
        <is>
          <t>Factor</t>
        </is>
      </c>
      <c r="F1" s="8" t="inlineStr">
        <is>
          <t>CoefficientPercent</t>
        </is>
      </c>
      <c r="G1" s="8" t="inlineStr">
        <is>
          <t>EffectiveHits</t>
        </is>
      </c>
      <c r="H1" s="8" t="inlineStr">
        <is>
          <t>ProcProbability</t>
        </is>
      </c>
      <c r="I1" s="8" t="inlineStr">
        <is>
          <t>MapleHeroMultiplier</t>
        </is>
      </c>
      <c r="J1" s="8" t="inlineStr">
        <is>
          <t>BaseDamage</t>
        </is>
      </c>
      <c r="K1" s="8" t="inlineStr">
        <is>
          <t>BaseHitDamage</t>
        </is>
      </c>
      <c r="L1" s="8" t="inlineStr">
        <is>
          <t>NonCritAvg</t>
        </is>
      </c>
      <c r="M1" s="8" t="inlineStr">
        <is>
          <t>CritAvg</t>
        </is>
      </c>
      <c r="N1" s="8" t="inlineStr">
        <is>
          <t>ExpectedDamage(perHit)</t>
        </is>
      </c>
      <c r="O1" s="8" t="inlineStr">
        <is>
          <t>DPS</t>
        </is>
      </c>
      <c r="P1" s="8" t="inlineStr">
        <is>
          <t>% of Total</t>
        </is>
      </c>
      <c r="Q1" s="8" t="inlineStr">
        <is>
          <t>InvCooldown</t>
        </is>
      </c>
      <c r="R1" s="8" t="inlineStr">
        <is>
          <t>CastsInFight</t>
        </is>
      </c>
      <c r="S1" s="8" t="inlineStr">
        <is>
          <t>HitRate(perSec)</t>
        </is>
      </c>
    </row>
    <row r="2">
      <c r="A2">
        <f>Skills!A2</f>
        <v/>
      </c>
      <c r="B2">
        <f>Skills!B2</f>
        <v/>
      </c>
      <c r="C2">
        <f>Inputs!$B$3&gt;=100</f>
        <v/>
      </c>
      <c r="D2" t="inlineStr"/>
      <c r="E2" t="inlineStr"/>
      <c r="F2">
        <f>Summary!$B$54+Skills!O2</f>
        <v/>
      </c>
      <c r="G2">
        <f>Skills!G2*IF(Skills!H2&gt;0,Skills!I2/Skills!H2,1)</f>
        <v/>
      </c>
      <c r="H2">
        <f>1-(1-Skills!J2/100)^Skills!K2</f>
        <v/>
      </c>
      <c r="I2" t="inlineStr">
        <is>
          <t>1</t>
        </is>
      </c>
      <c r="J2">
        <f>Summary!$B$50*(F2/100)</f>
        <v/>
      </c>
      <c r="K2">
        <f>J2*(1+Summary!$B$51/100)*(1+Inputs!$B$14/100)*(1+IF(Inputs!$B$4="pvp",0,(1-Summary!$B$55)*(Inputs!$B$19+Skills!P2+Summary!$B$59)+Summary!$B$55*(Inputs!$B$20+Skills!Q2+Summary!$B$59))/100)*(1+Inputs!$B$15/100)*(5000/(6000+Inputs!$B$7*(1-Inputs!$B$18/100)))*(1+(Inputs!$B$23+Summary!$B$65)/100)*(1+(IF(Skills!A2="BLAST",Inputs!$B$16,Inputs!$B$17))/100)*(Summary!$B$57*I2)</f>
        <v/>
      </c>
      <c r="L2">
        <f>K2*(MIN(Inputs!$B$21,Inputs!$B$22)/100+Inputs!$B$22/100)/2</f>
        <v/>
      </c>
      <c r="M2">
        <f>L2*(1+(Inputs!$B$9+Summary!$B$64)/100)</f>
        <v/>
      </c>
      <c r="N2">
        <f>L2*(1-MIN((Inputs!$B$8+Summary!$B$58),100)/100)+M2*(MIN((Inputs!$B$8+Summary!$B$58),100)/100)</f>
        <v/>
      </c>
      <c r="O2">
        <f>IF(C2,Skills!G2*N2*Summary!$B$63*IF(Inputs!$B$4="pvp",1,(1-Summary!$B$55)*(1)+Summary!$B$55*(MIN(Skills!R2,Inputs!$B$37))),0)</f>
        <v/>
      </c>
      <c r="P2">
        <f>IF(Summary!$B$3=0,0,O2/Summary!$B$3)</f>
        <v/>
      </c>
      <c r="Q2" t="n">
        <v>0</v>
      </c>
      <c r="R2" t="n">
        <v>0</v>
      </c>
      <c r="S2">
        <f>IFERROR(O2/N2,0)</f>
        <v/>
      </c>
    </row>
    <row r="3">
      <c r="A3">
        <f>Skills!A3</f>
        <v/>
      </c>
      <c r="B3">
        <f>Skills!B3</f>
        <v/>
      </c>
      <c r="C3">
        <f>Inputs!$B$3&gt;=50</f>
        <v/>
      </c>
      <c r="D3">
        <f>IF(Skills!C3=1,60+Inputs!$B$24+Inputs!$B$28,IF(Skills!C3=2,90+Inputs!$B$25+Inputs!$B$28,IF(Skills!C3=3,120+Inputs!$B$26+Inputs!$B$28,MAX(0,(Inputs!$B$3-100)*3)+Inputs!$B$27+Inputs!$B$28)))</f>
        <v/>
      </c>
      <c r="E3">
        <f>INDEX(FactorTable!$B$2:$Y$301, MATCH(ROUND(MIN(300,MAX(1,D3)),0), FactorTable!$A$2:$A$301,0), Skills!M3+1)</f>
        <v/>
      </c>
      <c r="F3">
        <f>IF(Skills!N3=TRUE,(Skills!L3/10)*(E3/1000),Skills!L3/10)+Skills!O3</f>
        <v/>
      </c>
      <c r="G3" t="inlineStr"/>
      <c r="H3" t="inlineStr"/>
      <c r="I3" t="inlineStr">
        <is>
          <t>1</t>
        </is>
      </c>
      <c r="J3" t="inlineStr"/>
      <c r="K3" t="inlineStr"/>
      <c r="L3" t="inlineStr"/>
      <c r="M3" t="inlineStr"/>
      <c r="N3" t="inlineStr"/>
      <c r="O3" t="inlineStr"/>
      <c r="P3" t="inlineStr"/>
      <c r="Q3" t="inlineStr"/>
      <c r="R3" t="inlineStr"/>
      <c r="S3" t="inlineStr"/>
    </row>
    <row r="4">
      <c r="A4">
        <f>Skills!A4</f>
        <v/>
      </c>
      <c r="B4">
        <f>Skills!B4</f>
        <v/>
      </c>
      <c r="C4">
        <f>Inputs!$B$3&gt;=35</f>
        <v/>
      </c>
      <c r="D4">
        <f>IF(Skills!C4=1,60+Inputs!$B$24+Inputs!$B$28,IF(Skills!C4=2,90+Inputs!$B$25+Inputs!$B$28,IF(Skills!C4=3,120+Inputs!$B$26+Inputs!$B$28,MAX(0,(Inputs!$B$3-100)*3)+Inputs!$B$27+Inputs!$B$28)))</f>
        <v/>
      </c>
      <c r="E4">
        <f>INDEX(FactorTable!$B$2:$Y$301, MATCH(ROUND(MIN(300,MAX(1,D4)),0), FactorTable!$A$2:$A$301,0), Skills!M4+1)</f>
        <v/>
      </c>
      <c r="F4">
        <f>IF(Skills!N4=TRUE,(Skills!L4/10)*(E4/1000),Skills!L4/10)+Skills!O4</f>
        <v/>
      </c>
      <c r="G4">
        <f>Skills!G4*IF(Skills!H4&gt;0,Skills!I4/Skills!H4,1)</f>
        <v/>
      </c>
      <c r="H4">
        <f>1-(1-Skills!J4/100)^Skills!K4</f>
        <v/>
      </c>
      <c r="I4" t="inlineStr">
        <is>
          <t>1</t>
        </is>
      </c>
      <c r="J4">
        <f>Summary!$B$50*(F4/100)</f>
        <v/>
      </c>
      <c r="K4">
        <f>J4*(1+Summary!$B$51/100)*(1+Inputs!$B$14/100)*(1+IF(Inputs!$B$4="pvp",0,(1-Summary!$B$55)*(Inputs!$B$19+Skills!P4+Summary!$B$59)+Summary!$B$55*(Inputs!$B$20+Skills!Q4+Summary!$B$59))/100)*(1+Inputs!$B$15/100)*(5000/(6000+Inputs!$B$7*(1-Inputs!$B$18/100)))*(1+(Inputs!$B$23+Summary!$B$65)/100)*(1+4.0*IF(C12=TRUE,F12,0)/100)*(1+(IF(Skills!A4="BLAST",Inputs!$B$16,Inputs!$B$17))/100)*(Summary!$B$57*I4)</f>
        <v/>
      </c>
      <c r="L4">
        <f>K4*(MIN(Inputs!$B$21,Inputs!$B$22)/100+Inputs!$B$22/100)/2</f>
        <v/>
      </c>
      <c r="M4">
        <f>L4*(1+(Inputs!$B$9+Summary!$B$64)/100)</f>
        <v/>
      </c>
      <c r="N4">
        <f>L4*(1-MIN((Inputs!$B$8+Summary!$B$58),100)/100)+M4*(MIN((Inputs!$B$8+Summary!$B$58),100)/100)</f>
        <v/>
      </c>
      <c r="O4">
        <f>IF(C4,H4*N4*IF(AND(Inputs!$B$4&lt;&gt;"pvp",Inputs!$B$35&gt;0),((Skills!G4*((R4-1)*IF(Skills!H4&gt;0,Skills!I4/Skills!H4,1)+IF(Skills!H4&gt;0,MIN(Skills!I4,MAX(0,Inputs!$B$35-((R4-1)*IF(Inputs!$B$4="pvp",15,MAX(0.1,Skills!D4-IF(Skills!E4=TRUE,Inputs!$B$31,0))))))/Skills!H4,1)))/Inputs!$B$35),G4*Q4)*IF(Inputs!$B$4="pvp",1,(1-Summary!$B$55)*(1)+Summary!$B$55*(MIN(Skills!R4,Inputs!$B$37))),0)</f>
        <v/>
      </c>
      <c r="P4">
        <f>IF(Summary!$B$3=0,0,O4/Summary!$B$3)</f>
        <v/>
      </c>
      <c r="Q4">
        <f>IFERROR(1/IF(Inputs!$B$4="pvp",15,MAX(0.1,Skills!D4-IF(Skills!E4=TRUE,Inputs!$B$31,0))),0)</f>
        <v/>
      </c>
      <c r="R4">
        <f>IF(AND(Inputs!$B$4&lt;&gt;"pvp",Inputs!$B$35&gt;0),(INT(Inputs!$B$35/IF(Inputs!$B$4="pvp",15,MAX(0.1,Skills!D4-IF(Skills!E4=TRUE,Inputs!$B$31,0))))+1),0)</f>
        <v/>
      </c>
      <c r="S4">
        <f>IFERROR(O4/N4,0)</f>
        <v/>
      </c>
    </row>
    <row r="5">
      <c r="A5">
        <f>Skills!A5</f>
        <v/>
      </c>
      <c r="B5">
        <f>Skills!B5</f>
        <v/>
      </c>
      <c r="C5">
        <f>Inputs!$B$3&gt;=66</f>
        <v/>
      </c>
      <c r="D5">
        <f>IF(Skills!C5=1,60+Inputs!$B$24+Inputs!$B$28,IF(Skills!C5=2,90+Inputs!$B$25+Inputs!$B$28,IF(Skills!C5=3,120+Inputs!$B$26+Inputs!$B$28,MAX(0,(Inputs!$B$3-100)*3)+Inputs!$B$27+Inputs!$B$28)))</f>
        <v/>
      </c>
      <c r="E5">
        <f>INDEX(FactorTable!$B$2:$Y$301, MATCH(ROUND(MIN(300,MAX(1,D5)),0), FactorTable!$A$2:$A$301,0), Skills!M5+1)</f>
        <v/>
      </c>
      <c r="F5">
        <f>IF(Skills!N5=TRUE,(Skills!L5/10)*(E5/1000),Skills!L5/10)+Skills!O5</f>
        <v/>
      </c>
      <c r="G5">
        <f>Skills!G5*IF(Skills!H5&gt;0,Skills!I5/Skills!H5,1)</f>
        <v/>
      </c>
      <c r="H5">
        <f>1-(1-Skills!J5/100)^Skills!K5</f>
        <v/>
      </c>
      <c r="I5" t="inlineStr">
        <is>
          <t>1</t>
        </is>
      </c>
      <c r="J5">
        <f>Summary!$B$50*(F5/100)</f>
        <v/>
      </c>
      <c r="K5">
        <f>J5*(1+Summary!$B$51/100)*(1+Inputs!$B$14/100)*(1+IF(Inputs!$B$4="pvp",0,(1-Summary!$B$55)*(Inputs!$B$19+Skills!P5+Summary!$B$59)+Summary!$B$55*(Inputs!$B$20+Skills!Q5+Summary!$B$59))/100)*(1+Inputs!$B$15/100)*(5000/(6000+Inputs!$B$7*(1-Inputs!$B$18/100)))*(1+(Inputs!$B$23+Summary!$B$65)/100)*(1+1.0*IF(C12=TRUE,F12,0)/100)*(1+(IF(Skills!A5="BLAST",Inputs!$B$16,Inputs!$B$17))/100)*(Summary!$B$57*I5)</f>
        <v/>
      </c>
      <c r="L5">
        <f>K5*(MIN(Inputs!$B$21,Inputs!$B$22)/100+Inputs!$B$22/100)/2</f>
        <v/>
      </c>
      <c r="M5">
        <f>L5*(1+(Inputs!$B$9+Summary!$B$64)/100)</f>
        <v/>
      </c>
      <c r="N5">
        <f>L5*(1-MIN((Inputs!$B$8+Summary!$B$58),100)/100)+M5*(MIN((Inputs!$B$8+Summary!$B$58),100)/100)</f>
        <v/>
      </c>
      <c r="O5">
        <f>IF(C5,H5*N5*IF(AND(Inputs!$B$4&lt;&gt;"pvp",Inputs!$B$35&gt;0),((Skills!G5*((R5-1)*IF(Skills!H5&gt;0,Skills!I5/Skills!H5,1)+IF(Skills!H5&gt;0,MIN(Skills!I5,MAX(0,Inputs!$B$35-((R5-1)*IF(Inputs!$B$4="pvp",15,MAX(0.1,Skills!D5-IF(Skills!E5=TRUE,Inputs!$B$31,0))))))/Skills!H5,1)))/Inputs!$B$35),G5*Q5)*IF(Inputs!$B$4="pvp",1,(1-Summary!$B$55)*(1)+Summary!$B$55*(MIN(Skills!R5,Inputs!$B$37))),0)</f>
        <v/>
      </c>
      <c r="P5">
        <f>IF(Summary!$B$3=0,0,O5/Summary!$B$3)</f>
        <v/>
      </c>
      <c r="Q5">
        <f>IFERROR(1/IF(Inputs!$B$4="pvp",15,MAX(0.1,Skills!D5-IF(Skills!E5=TRUE,Inputs!$B$31,0))),0)</f>
        <v/>
      </c>
      <c r="R5">
        <f>IF(AND(Inputs!$B$4&lt;&gt;"pvp",Inputs!$B$35&gt;0),(INT(Inputs!$B$35/IF(Inputs!$B$4="pvp",15,MAX(0.1,Skills!D5-IF(Skills!E5=TRUE,Inputs!$B$31,0))))+1),0)</f>
        <v/>
      </c>
      <c r="S5">
        <f>IFERROR(O5/N5,0)</f>
        <v/>
      </c>
    </row>
    <row r="6">
      <c r="A6">
        <f>Skills!A6</f>
        <v/>
      </c>
      <c r="B6">
        <f>Skills!B6</f>
        <v/>
      </c>
      <c r="C6">
        <f>Inputs!$B$3&gt;=103</f>
        <v/>
      </c>
      <c r="D6">
        <f>IF(Skills!C6=1,60+Inputs!$B$24+Inputs!$B$28,IF(Skills!C6=2,90+Inputs!$B$25+Inputs!$B$28,IF(Skills!C6=3,120+Inputs!$B$26+Inputs!$B$28,MAX(0,(Inputs!$B$3-100)*3)+Inputs!$B$27+Inputs!$B$28)))</f>
        <v/>
      </c>
      <c r="E6">
        <f>INDEX(FactorTable!$B$2:$Y$301, MATCH(ROUND(MIN(300,MAX(1,D6)),0), FactorTable!$A$2:$A$301,0), Skills!M6+1)</f>
        <v/>
      </c>
      <c r="F6">
        <f>IF(Skills!N6=TRUE,(Skills!L6/10)*(E6/1000),Skills!L6/10)+Skills!O6</f>
        <v/>
      </c>
      <c r="G6">
        <f>Skills!G6*IF(Skills!H6&gt;0,Skills!I6/Skills!H6,1)</f>
        <v/>
      </c>
      <c r="H6">
        <f>1-(1-Skills!J6/100)^Skills!K6</f>
        <v/>
      </c>
      <c r="I6" t="inlineStr">
        <is>
          <t>1</t>
        </is>
      </c>
      <c r="J6">
        <f>Summary!$B$50*(F6/100)</f>
        <v/>
      </c>
      <c r="K6">
        <f>J6*(1+Summary!$B$51/100)*(1+Inputs!$B$14/100)*(1+IF(Inputs!$B$4="pvp",0,(1-Summary!$B$55)*(Inputs!$B$19+Skills!P6+Summary!$B$59)+Summary!$B$55*(Inputs!$B$20+Skills!Q6+Summary!$B$59))/100)*(1+Inputs!$B$15/100)*(5000/(6000+Inputs!$B$7*(1-Inputs!$B$18/100)))*(1+(Inputs!$B$23+Summary!$B$65)/100)*(1+(IF(Skills!A6="BLAST",Inputs!$B$16,Inputs!$B$17))/100)*(Summary!$B$57*I6)</f>
        <v/>
      </c>
      <c r="L6">
        <f>K6*(MIN(Inputs!$B$21,Inputs!$B$22)/100+Inputs!$B$22/100)/2</f>
        <v/>
      </c>
      <c r="M6">
        <f>L6*(1+(Inputs!$B$9+Summary!$B$64)/100)</f>
        <v/>
      </c>
      <c r="N6">
        <f>L6*(1-MIN((Inputs!$B$8+Summary!$B$58),100)/100)+M6*(MIN((Inputs!$B$8+Summary!$B$58),100)/100)</f>
        <v/>
      </c>
      <c r="O6">
        <f>IF(C6,H6*N6*IF(AND(Inputs!$B$4&lt;&gt;"pvp",Inputs!$B$35&gt;0),((Skills!G6*((R6-1)*IF(Skills!H6&gt;0,Skills!I6/Skills!H6,1)+IF(Skills!H6&gt;0,MIN(Skills!I6,MAX(0,Inputs!$B$35-((R6-1)*IF(Inputs!$B$4="pvp",15,MAX(0.1,Skills!D6-IF(Skills!E6=TRUE,Inputs!$B$31,0))))))/Skills!H6,1)))/Inputs!$B$35),G6*Q6)*IF(Inputs!$B$4="pvp",1,(1-Summary!$B$55)*(1)+Summary!$B$55*(MIN(Skills!R6,Inputs!$B$37))),0)</f>
        <v/>
      </c>
      <c r="P6">
        <f>IF(Summary!$B$3=0,0,O6/Summary!$B$3)</f>
        <v/>
      </c>
      <c r="Q6">
        <f>IFERROR(1/IF(Inputs!$B$4="pvp",15,MAX(0.1,Skills!D6-IF(Skills!E6=TRUE,Inputs!$B$31,0))),0)</f>
        <v/>
      </c>
      <c r="R6">
        <f>IF(AND(Inputs!$B$4&lt;&gt;"pvp",Inputs!$B$35&gt;0),(INT(Inputs!$B$35/IF(Inputs!$B$4="pvp",15,MAX(0.1,Skills!D6-IF(Skills!E6=TRUE,Inputs!$B$31,0))))+1),0)</f>
        <v/>
      </c>
      <c r="S6">
        <f>IFERROR(O6/N6,0)</f>
        <v/>
      </c>
    </row>
    <row r="7">
      <c r="A7">
        <f>Skills!A7</f>
        <v/>
      </c>
      <c r="B7">
        <f>Skills!B7</f>
        <v/>
      </c>
      <c r="C7">
        <f>Inputs!$B$3&gt;=107</f>
        <v/>
      </c>
      <c r="D7">
        <f>IF(Skills!C7=1,60+Inputs!$B$24+Inputs!$B$28,IF(Skills!C7=2,90+Inputs!$B$25+Inputs!$B$28,IF(Skills!C7=3,120+Inputs!$B$26+Inputs!$B$28,MAX(0,(Inputs!$B$3-100)*3)+Inputs!$B$27+Inputs!$B$28)))</f>
        <v/>
      </c>
      <c r="E7">
        <f>INDEX(FactorTable!$B$2:$Y$301, MATCH(ROUND(MIN(300,MAX(1,D7)),0), FactorTable!$A$2:$A$301,0), Skills!M7+1)</f>
        <v/>
      </c>
      <c r="F7">
        <f>IF(Skills!N7=TRUE,(Skills!L7/10)*(E7/1000),Skills!L7/10)+Skills!O7</f>
        <v/>
      </c>
      <c r="G7">
        <f>Skills!G7*IF(Skills!H7&gt;0,Skills!I7/Skills!H7,1)</f>
        <v/>
      </c>
      <c r="H7">
        <f>1-(1-Skills!J7/100)^Skills!K7</f>
        <v/>
      </c>
      <c r="I7" t="inlineStr">
        <is>
          <t>1</t>
        </is>
      </c>
      <c r="J7">
        <f>Summary!$B$50*(F7/100)</f>
        <v/>
      </c>
      <c r="K7">
        <f>J7*(1+Summary!$B$51/100)*(1+Inputs!$B$14/100)*(1+IF(Inputs!$B$4="pvp",0,(1-Summary!$B$55)*(Inputs!$B$19+Skills!P7+Summary!$B$59)+Summary!$B$55*(Inputs!$B$20+Skills!Q7+Summary!$B$59))/100)*(1+Inputs!$B$15/100)*(5000/(6000+Inputs!$B$7*(1-Inputs!$B$18/100)))*(1+(Inputs!$B$23+Summary!$B$65)/100)*(1+(IF(Skills!A7="BLAST",Inputs!$B$16,Inputs!$B$17))/100)*(Summary!$B$57*I7)</f>
        <v/>
      </c>
      <c r="L7">
        <f>K7*(MIN(Inputs!$B$21,Inputs!$B$22)/100+Inputs!$B$22/100)/2</f>
        <v/>
      </c>
      <c r="M7">
        <f>L7*(1+(Inputs!$B$9+Summary!$B$64)/100)</f>
        <v/>
      </c>
      <c r="N7">
        <f>L7*(1-MIN((Inputs!$B$8+Summary!$B$58),100)/100)+M7*(MIN((Inputs!$B$8+Summary!$B$58),100)/100)</f>
        <v/>
      </c>
      <c r="O7">
        <f>IF(C7,H7*N7*IF(AND(Inputs!$B$4&lt;&gt;"pvp",Inputs!$B$35&gt;0),((Skills!G7*((R7-1)*IF(Skills!H7&gt;0,Skills!I7/Skills!H7,1)+IF(Skills!H7&gt;0,MIN(Skills!I7,MAX(0,Inputs!$B$35-((R7-1)*IF(Inputs!$B$4="pvp",15,MAX(0.1,Skills!D7-IF(Skills!E7=TRUE,Inputs!$B$31,0))))))/Skills!H7,1)))/Inputs!$B$35),G7*Q7)*IF(Inputs!$B$4="pvp",1,(1-Summary!$B$55)*(1)+Summary!$B$55*(MIN(Skills!R7,Inputs!$B$37))),0)</f>
        <v/>
      </c>
      <c r="P7">
        <f>IF(Summary!$B$3=0,0,O7/Summary!$B$3)</f>
        <v/>
      </c>
      <c r="Q7">
        <f>IFERROR(1/IF(Inputs!$B$4="pvp",15,MAX(0.1,Skills!D7-IF(Skills!E7=TRUE,Inputs!$B$31,0))),0)</f>
        <v/>
      </c>
      <c r="R7">
        <f>IF(AND(Inputs!$B$4&lt;&gt;"pvp",Inputs!$B$35&gt;0),(INT(Inputs!$B$35/IF(Inputs!$B$4="pvp",15,MAX(0.1,Skills!D7-IF(Skills!E7=TRUE,Inputs!$B$31,0))))+1),0)</f>
        <v/>
      </c>
      <c r="S7">
        <f>IFERROR(O7/N7,0)</f>
        <v/>
      </c>
    </row>
    <row r="8">
      <c r="A8">
        <f>Skills!A8</f>
        <v/>
      </c>
      <c r="B8">
        <f>Skills!B8</f>
        <v/>
      </c>
      <c r="C8">
        <f>Inputs!$B$3&gt;=107</f>
        <v/>
      </c>
      <c r="D8">
        <f>IF(Skills!C8=1,60+Inputs!$B$24+Inputs!$B$28,IF(Skills!C8=2,90+Inputs!$B$25+Inputs!$B$28,IF(Skills!C8=3,120+Inputs!$B$26+Inputs!$B$28,MAX(0,(Inputs!$B$3-100)*3)+Inputs!$B$27+Inputs!$B$28)))</f>
        <v/>
      </c>
      <c r="E8">
        <f>INDEX(FactorTable!$B$2:$Y$301, MATCH(ROUND(MIN(300,MAX(1,D8)),0), FactorTable!$A$2:$A$301,0), Skills!M8+1)</f>
        <v/>
      </c>
      <c r="F8">
        <f>IF(Skills!N8=TRUE,(Skills!L8/10)*(E8/1000),Skills!L8/10)+Skills!O8</f>
        <v/>
      </c>
      <c r="G8">
        <f>Skills!G8*IF(Skills!H8&gt;0,Skills!I8/Skills!H8,1)</f>
        <v/>
      </c>
      <c r="H8">
        <f>1-(1-Skills!J8/100)^Skills!K8</f>
        <v/>
      </c>
      <c r="I8" t="inlineStr">
        <is>
          <t>1</t>
        </is>
      </c>
      <c r="J8">
        <f>Summary!$B$50*(F8/100)</f>
        <v/>
      </c>
      <c r="K8">
        <f>J8*(1+Summary!$B$51/100)*(1+Inputs!$B$14/100)*(1+IF(Inputs!$B$4="pvp",0,(1-Summary!$B$55)*(Inputs!$B$19+Skills!P8+Summary!$B$59)+Summary!$B$55*(Inputs!$B$20+Skills!Q8+Summary!$B$59))/100)*(1+Inputs!$B$15/100)*(5000/(6000+Inputs!$B$7*(1-Inputs!$B$18/100)))*(1+(Inputs!$B$23+Summary!$B$65)/100)*(1+(IF(Skills!A8="BLAST",Inputs!$B$16,Inputs!$B$17))/100)*(Summary!$B$57*I8)</f>
        <v/>
      </c>
      <c r="L8">
        <f>K8*(MIN(Inputs!$B$21,Inputs!$B$22)/100+Inputs!$B$22/100)/2</f>
        <v/>
      </c>
      <c r="M8">
        <f>L8*(1+(Inputs!$B$9+Summary!$B$64)/100)</f>
        <v/>
      </c>
      <c r="N8">
        <f>L8*(1-MIN((Inputs!$B$8+Summary!$B$58),100)/100)+M8*(MIN((Inputs!$B$8+Summary!$B$58),100)/100)</f>
        <v/>
      </c>
      <c r="O8">
        <f>IF(C8,H8*N8*IF(AND(Inputs!$B$4&lt;&gt;"pvp",Inputs!$B$35&gt;0),((Skills!G8*((R8-1)*IF(Skills!H8&gt;0,Skills!I8/Skills!H8,1)+IF(Skills!H8&gt;0,MIN(Skills!I8,MAX(0,Inputs!$B$35-((R8-1)*IF(Inputs!$B$4="pvp",15,MAX(0.1,Skills!D8-IF(Skills!E8=TRUE,Inputs!$B$31,0))))))/Skills!H8,1)))/Inputs!$B$35),G8*Q8)*IF(Inputs!$B$4="pvp",1,(1-Summary!$B$55)*(1)+Summary!$B$55*(MIN(Skills!R8,Inputs!$B$37))),0)</f>
        <v/>
      </c>
      <c r="P8">
        <f>IF(Summary!$B$3=0,0,O8/Summary!$B$3)</f>
        <v/>
      </c>
      <c r="Q8">
        <f>IFERROR(1/IF(Inputs!$B$4="pvp",15,MAX(0.1,Skills!D8-IF(Skills!E8=TRUE,Inputs!$B$31,0))),0)</f>
        <v/>
      </c>
      <c r="R8">
        <f>IF(AND(Inputs!$B$4&lt;&gt;"pvp",Inputs!$B$35&gt;0),(INT(Inputs!$B$35/IF(Inputs!$B$4="pvp",15,MAX(0.1,Skills!D8-IF(Skills!E8=TRUE,Inputs!$B$31,0))))+1),0)</f>
        <v/>
      </c>
      <c r="S8">
        <f>IFERROR(O8/N8,0)</f>
        <v/>
      </c>
    </row>
    <row r="9">
      <c r="A9">
        <f>Skills!A9</f>
        <v/>
      </c>
      <c r="B9">
        <f>Skills!B9</f>
        <v/>
      </c>
      <c r="C9">
        <f>Inputs!$B$3&gt;=125</f>
        <v/>
      </c>
      <c r="D9">
        <f>IF(Skills!C9=1,60+Inputs!$B$24+Inputs!$B$28,IF(Skills!C9=2,90+Inputs!$B$25+Inputs!$B$28,IF(Skills!C9=3,120+Inputs!$B$26+Inputs!$B$28,MAX(0,(Inputs!$B$3-100)*3)+Inputs!$B$27+Inputs!$B$28)))</f>
        <v/>
      </c>
      <c r="E9">
        <f>INDEX(FactorTable!$B$2:$Y$301, MATCH(ROUND(MIN(300,MAX(1,D9)),0), FactorTable!$A$2:$A$301,0), Skills!M9+1)</f>
        <v/>
      </c>
      <c r="F9">
        <f>IF(Skills!N9=TRUE,(Skills!L9/10)*(E9/1000),Skills!L9/10)+Skills!O9</f>
        <v/>
      </c>
      <c r="G9">
        <f>Skills!G9*IF(Skills!H9&gt;0,Skills!I9/Skills!H9,1)</f>
        <v/>
      </c>
      <c r="H9">
        <f>1-(1-Skills!J9/100)^Skills!K9</f>
        <v/>
      </c>
      <c r="I9" t="inlineStr">
        <is>
          <t>1</t>
        </is>
      </c>
      <c r="J9">
        <f>Summary!$B$50*(F9/100)</f>
        <v/>
      </c>
      <c r="K9">
        <f>J9*(1+Summary!$B$51/100)*(1+Inputs!$B$14/100)*(1+IF(Inputs!$B$4="pvp",0,(1-Summary!$B$55)*(Inputs!$B$19+Skills!P9+Summary!$B$59)+Summary!$B$55*(Inputs!$B$20+Skills!Q9+Summary!$B$59))/100)*(1+Inputs!$B$15/100)*(5000/(6000+Inputs!$B$7*(1-Inputs!$B$18/100)))*(1+(Inputs!$B$23+Summary!$B$65)/100)*(1+(IF(Skills!A9="BLAST",Inputs!$B$16,Inputs!$B$17))/100)*(Summary!$B$57*I9)</f>
        <v/>
      </c>
      <c r="L9">
        <f>K9*(MIN(Inputs!$B$21,Inputs!$B$22)/100+Inputs!$B$22/100)/2</f>
        <v/>
      </c>
      <c r="M9">
        <f>L9*(1+(Inputs!$B$9+Summary!$B$64)/100)</f>
        <v/>
      </c>
      <c r="N9">
        <f>L9*(1-MIN((Inputs!$B$8+Summary!$B$58),100)/100)+M9*(MIN((Inputs!$B$8+Summary!$B$58),100)/100)</f>
        <v/>
      </c>
      <c r="O9">
        <f>IF(C9,H9*N9*IF(AND(Inputs!$B$4&lt;&gt;"pvp",Inputs!$B$35&gt;0),((Skills!G9*((R9-1)*IF(Skills!H9&gt;0,Skills!I9/Skills!H9,1)+IF(Skills!H9&gt;0,MIN(Skills!I9,MAX(0,Inputs!$B$35-((R9-1)*IF(Inputs!$B$4="pvp",15,MAX(0.1,Skills!D9-IF(Skills!E9=TRUE,Inputs!$B$31,0))))))/Skills!H9,1)))/Inputs!$B$35),G9*Q9)*IF(Inputs!$B$4="pvp",1,(1-Summary!$B$55)*(1)+Summary!$B$55*(MIN(Skills!R9,Inputs!$B$37))),0)</f>
        <v/>
      </c>
      <c r="P9">
        <f>IF(Summary!$B$3=0,0,O9/Summary!$B$3)</f>
        <v/>
      </c>
      <c r="Q9">
        <f>IFERROR(1/IF(Inputs!$B$4="pvp",15,MAX(0.1,Skills!D9-IF(Skills!E9=TRUE,Inputs!$B$31,0))),0)</f>
        <v/>
      </c>
      <c r="R9">
        <f>IF(AND(Inputs!$B$4&lt;&gt;"pvp",Inputs!$B$35&gt;0),(INT(Inputs!$B$35/IF(Inputs!$B$4="pvp",15,MAX(0.1,Skills!D9-IF(Skills!E9=TRUE,Inputs!$B$31,0))))+1),0)</f>
        <v/>
      </c>
      <c r="S9">
        <f>IFERROR(O9/N9,0)</f>
        <v/>
      </c>
    </row>
    <row r="10">
      <c r="A10">
        <f>Skills!A10</f>
        <v/>
      </c>
      <c r="B10">
        <f>Skills!B10</f>
        <v/>
      </c>
      <c r="C10">
        <f>Inputs!$B$3&gt;=117</f>
        <v/>
      </c>
      <c r="D10">
        <f>IF(Skills!C10=1,60+Inputs!$B$24+Inputs!$B$28,IF(Skills!C10=2,90+Inputs!$B$25+Inputs!$B$28,IF(Skills!C10=3,120+Inputs!$B$26+Inputs!$B$28,MAX(0,(Inputs!$B$3-100)*3)+Inputs!$B$27+Inputs!$B$28)))</f>
        <v/>
      </c>
      <c r="E10">
        <f>INDEX(FactorTable!$B$2:$Y$301, MATCH(ROUND(MIN(300,MAX(1,D10)),0), FactorTable!$A$2:$A$301,0), Skills!M10+1)</f>
        <v/>
      </c>
      <c r="F10">
        <f>IF(Skills!N10=TRUE,(Skills!L10/10)*(E10/1000),Skills!L10/10)+Skills!O10</f>
        <v/>
      </c>
      <c r="G10">
        <f>Skills!G10*IF(Skills!H10&gt;0,Skills!I10/Skills!H10,1)</f>
        <v/>
      </c>
      <c r="H10">
        <f>1-(1-Skills!J10/100)^Skills!K10</f>
        <v/>
      </c>
      <c r="I10" t="inlineStr">
        <is>
          <t>1</t>
        </is>
      </c>
      <c r="J10">
        <f>Summary!$B$50*(F10/100)</f>
        <v/>
      </c>
      <c r="K10">
        <f>J10*(1+Summary!$B$51/100)*(1+Inputs!$B$14/100)*(1+IF(Inputs!$B$4="pvp",0,(1-Summary!$B$55)*(Inputs!$B$19+Skills!P10+Summary!$B$59)+Summary!$B$55*(Inputs!$B$20+Skills!Q10+Summary!$B$59))/100)*(1+Inputs!$B$15/100)*(5000/(6000+Inputs!$B$7*(1-Inputs!$B$18/100)))*(1+(Inputs!$B$23+Summary!$B$65)/100)*(1+(IF(Skills!A10="BLAST",Inputs!$B$16,Inputs!$B$17))/100)*(Summary!$B$57*I10)</f>
        <v/>
      </c>
      <c r="L10">
        <f>K10*(MIN(Inputs!$B$21,Inputs!$B$22)/100+Inputs!$B$22/100)/2</f>
        <v/>
      </c>
      <c r="M10">
        <f>L10*(1+(Inputs!$B$9+Summary!$B$64)/100)</f>
        <v/>
      </c>
      <c r="N10">
        <f>L10*(1-MIN((Inputs!$B$8+Summary!$B$58),100)/100)+M10*(MIN((Inputs!$B$8+Summary!$B$58),100)/100)</f>
        <v/>
      </c>
      <c r="O10">
        <f>IF(C10,H10*N10*IF(AND(Inputs!$B$4&lt;&gt;"pvp",Inputs!$B$35&gt;0),((Skills!G10*((R10-1)*IF(Skills!H10&gt;0,Skills!I10/Skills!H10,1)+IF(Skills!H10&gt;0,MIN(Skills!I10,MAX(0,Inputs!$B$35-((R10-1)*IF(Inputs!$B$4="pvp",15,MAX(0.1,Skills!D10-IF(Skills!E10=TRUE,Inputs!$B$31,0))))))/Skills!H10,1)))/Inputs!$B$35),G10*Q10)*IF(Inputs!$B$4="pvp",1,(1-Summary!$B$55)*(1)+Summary!$B$55*(MIN(Skills!R10,Inputs!$B$37))),0)</f>
        <v/>
      </c>
      <c r="P10">
        <f>IF(Summary!$B$3=0,0,O10/Summary!$B$3)</f>
        <v/>
      </c>
      <c r="Q10">
        <f>IFERROR(1/IF(Inputs!$B$4="pvp",15,MAX(0.1,Skills!D10-IF(Skills!E10=TRUE,Inputs!$B$31,0))),0)</f>
        <v/>
      </c>
      <c r="R10">
        <f>IF(AND(Inputs!$B$4&lt;&gt;"pvp",Inputs!$B$35&gt;0),(INT(Inputs!$B$35/IF(Inputs!$B$4="pvp",15,MAX(0.1,Skills!D10-IF(Skills!E10=TRUE,Inputs!$B$31,0))))+1),0)</f>
        <v/>
      </c>
      <c r="S10">
        <f>IFERROR(O10/N10,0)</f>
        <v/>
      </c>
    </row>
    <row r="11">
      <c r="A11">
        <f>Skills!A11</f>
        <v/>
      </c>
      <c r="B11">
        <f>Skills!B11</f>
        <v/>
      </c>
      <c r="C11">
        <f>Inputs!$B$3&gt;=63</f>
        <v/>
      </c>
      <c r="D11">
        <f>IF(Skills!C11=1,60+Inputs!$B$24+Inputs!$B$28,IF(Skills!C11=2,90+Inputs!$B$25+Inputs!$B$28,IF(Skills!C11=3,120+Inputs!$B$26+Inputs!$B$28,MAX(0,(Inputs!$B$3-100)*3)+Inputs!$B$27+Inputs!$B$28)))</f>
        <v/>
      </c>
      <c r="E11">
        <f>INDEX(FactorTable!$B$2:$Y$301, MATCH(ROUND(MIN(300,MAX(1,D11)),0), FactorTable!$A$2:$A$301,0), Skills!M11+1)</f>
        <v/>
      </c>
      <c r="F11">
        <f>IF(Skills!N11=TRUE,(Skills!L11/10)*(E11/1000),Skills!L11/10)+Skills!O11</f>
        <v/>
      </c>
      <c r="G11">
        <f>Skills!G11*IF(Skills!H11&gt;0,Skills!I11/Skills!H11,1)</f>
        <v/>
      </c>
      <c r="H11">
        <f>1-(1-Skills!J11/100)^Skills!K11</f>
        <v/>
      </c>
      <c r="I11" t="inlineStr">
        <is>
          <t>1</t>
        </is>
      </c>
      <c r="J11">
        <f>Summary!$B$50*(F11/100)</f>
        <v/>
      </c>
      <c r="K11">
        <f>J11*(1+Summary!$B$51/100)*(1+Inputs!$B$14/100)*(1+IF(Inputs!$B$4="pvp",0,(1-Summary!$B$55)*(Inputs!$B$19+Skills!P11+Summary!$B$59)+Summary!$B$55*(Inputs!$B$20+Skills!Q11+Summary!$B$59))/100)*(1+Inputs!$B$15/100)*(5000/(6000+Inputs!$B$7*(1-Inputs!$B$18/100)))*(1+(Inputs!$B$23+Summary!$B$65)/100)*(1+1.5*IF(C12=TRUE,F12,0)/100)*(1+(IF(Skills!A11="BLAST",Inputs!$B$16,Inputs!$B$17))/100)*(Summary!$B$57*I11)</f>
        <v/>
      </c>
      <c r="L11">
        <f>K11*(MIN(Inputs!$B$21,Inputs!$B$22)/100+Inputs!$B$22/100)/2</f>
        <v/>
      </c>
      <c r="M11">
        <f>L11*(1+(Inputs!$B$9+Summary!$B$64)/100)</f>
        <v/>
      </c>
      <c r="N11">
        <f>L11*(1-MIN((Inputs!$B$8+Summary!$B$58),100)/100)+M11*(MIN((Inputs!$B$8+Summary!$B$58),100)/100)</f>
        <v/>
      </c>
      <c r="O11">
        <f>IF(C11,H11*N11*IF(AND(Inputs!$B$4&lt;&gt;"pvp",Inputs!$B$35&gt;0),((Skills!G11*((R11-1)*IF(Skills!H11&gt;0,Skills!I11/Skills!H11,1)+IF(Skills!H11&gt;0,MIN(Skills!I11,MAX(0,Inputs!$B$35-((R11-1)*IF(Inputs!$B$4="pvp",15,MAX(0.1,Skills!D11-IF(Skills!E11=TRUE,Inputs!$B$31,0))))))/Skills!H11,1)))/Inputs!$B$35),G11*Q11)*IF(Inputs!$B$4="pvp",1,(1-Summary!$B$55)*(1)+Summary!$B$55*(MIN(Skills!R11,Inputs!$B$37))),0)</f>
        <v/>
      </c>
      <c r="P11">
        <f>IF(Summary!$B$3=0,0,O11/Summary!$B$3)</f>
        <v/>
      </c>
      <c r="Q11">
        <f>IFERROR(1/IF(Inputs!$B$4="pvp",15,MAX(0.1,Skills!D11-IF(Skills!E11=TRUE,Inputs!$B$31,0))),0)</f>
        <v/>
      </c>
      <c r="R11">
        <f>IF(AND(Inputs!$B$4&lt;&gt;"pvp",Inputs!$B$35&gt;0),(INT(Inputs!$B$35/IF(Inputs!$B$4="pvp",15,MAX(0.1,Skills!D11-IF(Skills!E11=TRUE,Inputs!$B$31,0))))+1),0)</f>
        <v/>
      </c>
      <c r="S11">
        <f>IFERROR(O11/N11,0)</f>
        <v/>
      </c>
    </row>
    <row r="12">
      <c r="A12">
        <f>Skills!A12</f>
        <v/>
      </c>
      <c r="B12">
        <f>Skills!B12</f>
        <v/>
      </c>
      <c r="C12">
        <f>Inputs!$B$3&gt;=100</f>
        <v/>
      </c>
      <c r="D12">
        <f>IF(Skills!C12=1,60+Inputs!$B$24+Inputs!$B$28,IF(Skills!C12=2,90+Inputs!$B$25+Inputs!$B$28,IF(Skills!C12=3,120+Inputs!$B$26+Inputs!$B$28,MAX(0,(Inputs!$B$3-100)*3)+Inputs!$B$27+Inputs!$B$28)))</f>
        <v/>
      </c>
      <c r="E12">
        <f>INDEX(FactorTable!$B$2:$Y$301, MATCH(ROUND(MIN(300,MAX(1,D12)),0), FactorTable!$A$2:$A$301,0), Skills!M12+1)</f>
        <v/>
      </c>
      <c r="F12">
        <f>IF(Skills!N12=TRUE,(Skills!L12/10)*(E12/1000),Skills!L12/10)+Skills!O12</f>
        <v/>
      </c>
      <c r="G12" t="inlineStr"/>
      <c r="H12" t="inlineStr"/>
      <c r="I12" t="inlineStr">
        <is>
          <t>1</t>
        </is>
      </c>
      <c r="J12" t="inlineStr"/>
      <c r="K12" t="inlineStr"/>
      <c r="L12" t="inlineStr"/>
      <c r="M12" t="inlineStr"/>
      <c r="N12" t="inlineStr"/>
      <c r="O12" t="inlineStr"/>
      <c r="P12" t="inlineStr"/>
      <c r="Q12" t="inlineStr"/>
      <c r="R12" t="inlineStr"/>
      <c r="S12" t="inlineStr"/>
    </row>
    <row r="13">
      <c r="A13">
        <f>Skills!A13</f>
        <v/>
      </c>
      <c r="B13">
        <f>Skills!B13</f>
        <v/>
      </c>
      <c r="C13">
        <f>Inputs!$B$3&gt;=45</f>
        <v/>
      </c>
      <c r="D13">
        <f>IF(Skills!C13=1,60+Inputs!$B$24+Inputs!$B$28,IF(Skills!C13=2,90+Inputs!$B$25+Inputs!$B$28,IF(Skills!C13=3,120+Inputs!$B$26+Inputs!$B$28,MAX(0,(Inputs!$B$3-100)*3)+Inputs!$B$27+Inputs!$B$28)))</f>
        <v/>
      </c>
      <c r="E13">
        <f>INDEX(FactorTable!$B$2:$Y$301, MATCH(ROUND(MIN(300,MAX(1,D13)),0), FactorTable!$A$2:$A$301,0), Skills!M13+1)</f>
        <v/>
      </c>
      <c r="F13">
        <f>IF(Skills!N13=TRUE,(Skills!L13/10)*(E13/1000),Skills!L13/10)+Skills!O13</f>
        <v/>
      </c>
      <c r="G13">
        <f>Skills!G13*IF(Skills!H13&gt;0,Skills!I13/Skills!H13,1)</f>
        <v/>
      </c>
      <c r="H13">
        <f>1-(1-Skills!J13/100)^Skills!K13</f>
        <v/>
      </c>
      <c r="I13" t="inlineStr">
        <is>
          <t>1</t>
        </is>
      </c>
      <c r="J13" t="inlineStr"/>
      <c r="K13" t="inlineStr"/>
      <c r="L13" t="inlineStr"/>
      <c r="M13" t="inlineStr"/>
      <c r="N13" t="inlineStr"/>
      <c r="O13" t="n">
        <v>0</v>
      </c>
      <c r="P13">
        <f>IF(Summary!$B$3=0,0,O13/Summary!$B$3)</f>
        <v/>
      </c>
      <c r="Q13" t="n">
        <v>0</v>
      </c>
      <c r="R13" t="n">
        <v>0</v>
      </c>
      <c r="S13">
        <f>IFERROR(O13/N13,0)</f>
        <v/>
      </c>
    </row>
    <row r="14">
      <c r="A14">
        <f>Skills!A14</f>
        <v/>
      </c>
      <c r="B14">
        <f>Skills!B14</f>
        <v/>
      </c>
      <c r="C14">
        <f>Inputs!$B$3&gt;=110</f>
        <v/>
      </c>
      <c r="D14">
        <f>IF(Skills!C14=1,60+Inputs!$B$24+Inputs!$B$28,IF(Skills!C14=2,90+Inputs!$B$25+Inputs!$B$28,IF(Skills!C14=3,120+Inputs!$B$26+Inputs!$B$28,MAX(0,(Inputs!$B$3-100)*3)+Inputs!$B$27+Inputs!$B$28)))</f>
        <v/>
      </c>
      <c r="E14">
        <f>INDEX(FactorTable!$B$2:$Y$301, MATCH(ROUND(MIN(300,MAX(1,D14)),0), FactorTable!$A$2:$A$301,0), Skills!M14+1)</f>
        <v/>
      </c>
      <c r="F14">
        <f>IF(Skills!N14=TRUE,(Skills!L14/10)*(E14/1000),Skills!L14/10)+Skills!O14</f>
        <v/>
      </c>
      <c r="G14">
        <f>Skills!G14*IF(Skills!H14&gt;0,Skills!I14/Skills!H14,1)</f>
        <v/>
      </c>
      <c r="H14">
        <f>1-(1-Skills!J14/100)^Skills!K14</f>
        <v/>
      </c>
      <c r="I14" t="inlineStr">
        <is>
          <t>1</t>
        </is>
      </c>
      <c r="J14" t="inlineStr"/>
      <c r="K14" t="inlineStr"/>
      <c r="L14" t="inlineStr"/>
      <c r="M14" t="inlineStr"/>
      <c r="N14" t="inlineStr"/>
      <c r="O14" t="n">
        <v>0</v>
      </c>
      <c r="P14">
        <f>IF(Summary!$B$3=0,0,O14/Summary!$B$3)</f>
        <v/>
      </c>
      <c r="Q14" t="n">
        <v>0</v>
      </c>
      <c r="R14" t="n">
        <v>0</v>
      </c>
      <c r="S14">
        <f>IFERROR(O14/N14,0)</f>
        <v/>
      </c>
    </row>
    <row r="15">
      <c r="A15">
        <f>Skills!A15</f>
        <v/>
      </c>
      <c r="B15">
        <f>Skills!B15</f>
        <v/>
      </c>
      <c r="C15">
        <f>Inputs!$B$3&gt;=75</f>
        <v/>
      </c>
      <c r="D15">
        <f>IF(Skills!C15=1,60+Inputs!$B$24+Inputs!$B$28,IF(Skills!C15=2,90+Inputs!$B$25+Inputs!$B$28,IF(Skills!C15=3,120+Inputs!$B$26+Inputs!$B$28,MAX(0,(Inputs!$B$3-100)*3)+Inputs!$B$27+Inputs!$B$28)))</f>
        <v/>
      </c>
      <c r="E15">
        <f>INDEX(FactorTable!$B$2:$Y$301, MATCH(ROUND(MIN(300,MAX(1,D15)),0), FactorTable!$A$2:$A$301,0), Skills!M15+1)</f>
        <v/>
      </c>
      <c r="F15">
        <f>IF(Skills!N15=TRUE,(Skills!L15/10)*(E15/1000),Skills!L15/10)+Skills!O15</f>
        <v/>
      </c>
      <c r="G15">
        <f>Skills!G15*IF(Skills!H15&gt;0,Skills!I15/Skills!H15,1)</f>
        <v/>
      </c>
      <c r="H15">
        <f>1-(1-Skills!J15/100)^Skills!K15</f>
        <v/>
      </c>
      <c r="I15" t="inlineStr">
        <is>
          <t>1</t>
        </is>
      </c>
      <c r="J15" t="inlineStr"/>
      <c r="K15" t="inlineStr"/>
      <c r="L15" t="inlineStr"/>
      <c r="M15" t="inlineStr"/>
      <c r="N15" t="inlineStr"/>
      <c r="O15" t="n">
        <v>0</v>
      </c>
      <c r="P15">
        <f>IF(Summary!$B$3=0,0,O15/Summary!$B$3)</f>
        <v/>
      </c>
      <c r="Q15">
        <f>IFERROR(1/IF(Inputs!$B$4="pvp",15,MAX(0.1,Skills!D15-IF(Skills!E15=TRUE,Inputs!$B$31,0))),0)</f>
        <v/>
      </c>
      <c r="R15">
        <f>IF(AND(Inputs!$B$4&lt;&gt;"pvp",Inputs!$B$35&gt;0),(INT(Inputs!$B$35/IF(Inputs!$B$4="pvp",15,MAX(0.1,Skills!D15-IF(Skills!E15=TRUE,Inputs!$B$31,0))))+1),0)</f>
        <v/>
      </c>
      <c r="S15">
        <f>IFERROR(O15/N15,0)</f>
        <v/>
      </c>
    </row>
    <row r="16">
      <c r="A16">
        <f>Skills!A16</f>
        <v/>
      </c>
      <c r="B16">
        <f>Skills!B16</f>
        <v/>
      </c>
      <c r="C16">
        <f>Inputs!$B$3&gt;=105</f>
        <v/>
      </c>
      <c r="D16">
        <f>IF(Skills!C16=1,60+Inputs!$B$24+Inputs!$B$28,IF(Skills!C16=2,90+Inputs!$B$25+Inputs!$B$28,IF(Skills!C16=3,120+Inputs!$B$26+Inputs!$B$28,MAX(0,(Inputs!$B$3-100)*3)+Inputs!$B$27+Inputs!$B$28)))</f>
        <v/>
      </c>
      <c r="E16">
        <f>INDEX(FactorTable!$B$2:$Y$301, MATCH(ROUND(MIN(300,MAX(1,D16)),0), FactorTable!$A$2:$A$301,0), Skills!M16+1)</f>
        <v/>
      </c>
      <c r="F16">
        <f>IF(Skills!N16=TRUE,(Skills!L16/10)*(E16/1000),Skills!L16/10)+Skills!O16</f>
        <v/>
      </c>
      <c r="G16">
        <f>Skills!G16*IF(Skills!H16&gt;0,Skills!I16/Skills!H16,1)</f>
        <v/>
      </c>
      <c r="H16">
        <f>1-(1-Skills!J16/100)^Skills!K16</f>
        <v/>
      </c>
      <c r="I16" t="inlineStr">
        <is>
          <t>1</t>
        </is>
      </c>
      <c r="J16" t="inlineStr"/>
      <c r="K16" t="inlineStr"/>
      <c r="L16" t="inlineStr"/>
      <c r="M16" t="inlineStr"/>
      <c r="N16" t="inlineStr"/>
      <c r="O16" t="n">
        <v>0</v>
      </c>
      <c r="P16">
        <f>IF(Summary!$B$3=0,0,O16/Summary!$B$3)</f>
        <v/>
      </c>
      <c r="Q16">
        <f>IFERROR(1/IF(Inputs!$B$4="pvp",15,MAX(0.1,Skills!D16-IF(Skills!E16=TRUE,Inputs!$B$31,0))),0)</f>
        <v/>
      </c>
      <c r="R16">
        <f>IF(AND(Inputs!$B$4&lt;&gt;"pvp",Inputs!$B$35&gt;0),(INT(Inputs!$B$35/IF(Inputs!$B$4="pvp",15,MAX(0.1,Skills!D16-IF(Skills!E16=TRUE,Inputs!$B$31,0))))+1),0)</f>
        <v/>
      </c>
      <c r="S16">
        <f>IFERROR(O16/N16,0)</f>
        <v/>
      </c>
    </row>
    <row r="17">
      <c r="A17">
        <f>Skills!A17</f>
        <v/>
      </c>
      <c r="B17">
        <f>Skills!B17</f>
        <v/>
      </c>
      <c r="C17">
        <f>Inputs!$B$3&gt;=115</f>
        <v/>
      </c>
      <c r="D17">
        <f>IF(Skills!C17=1,60+Inputs!$B$24+Inputs!$B$28,IF(Skills!C17=2,90+Inputs!$B$25+Inputs!$B$28,IF(Skills!C17=3,120+Inputs!$B$26+Inputs!$B$28,MAX(0,(Inputs!$B$3-100)*3)+Inputs!$B$27+Inputs!$B$28)))</f>
        <v/>
      </c>
      <c r="E17">
        <f>INDEX(FactorTable!$B$2:$Y$301, MATCH(ROUND(MIN(300,MAX(1,D17)),0), FactorTable!$A$2:$A$301,0), Skills!M17+1)</f>
        <v/>
      </c>
      <c r="F17">
        <f>IF(Skills!N17=TRUE,(Skills!L17/10)*(E17/1000),Skills!L17/10)+Skills!O17</f>
        <v/>
      </c>
      <c r="G17">
        <f>Skills!G17*IF(Skills!H17&gt;0,Skills!I17/Skills!H17,1)</f>
        <v/>
      </c>
      <c r="H17">
        <f>1-(1-Skills!J17/100)^Skills!K17</f>
        <v/>
      </c>
      <c r="I17" t="inlineStr">
        <is>
          <t>1</t>
        </is>
      </c>
      <c r="J17" t="inlineStr"/>
      <c r="K17" t="inlineStr"/>
      <c r="L17" t="inlineStr"/>
      <c r="M17" t="inlineStr"/>
      <c r="N17" t="inlineStr"/>
      <c r="O17" t="n">
        <v>0</v>
      </c>
      <c r="P17">
        <f>IF(Summary!$B$3=0,0,O17/Summary!$B$3)</f>
        <v/>
      </c>
      <c r="Q17">
        <f>IFERROR(1/IF(Inputs!$B$4="pvp",15,MAX(0.1,Skills!D17-IF(Skills!E17=TRUE,Inputs!$B$31,0))),0)</f>
        <v/>
      </c>
      <c r="R17">
        <f>IF(AND(Inputs!$B$4&lt;&gt;"pvp",Inputs!$B$35&gt;0),(INT(Inputs!$B$35/IF(Inputs!$B$4="pvp",15,MAX(0.1,Skills!D17-IF(Skills!E17=TRUE,Inputs!$B$31,0))))+1),0)</f>
        <v/>
      </c>
      <c r="S17">
        <f>IFERROR(O17/N17,0)</f>
        <v/>
      </c>
    </row>
    <row r="18">
      <c r="A18">
        <f>Skills!A18</f>
        <v/>
      </c>
      <c r="B18">
        <f>Skills!B18</f>
        <v/>
      </c>
      <c r="C18">
        <f>Inputs!$B$3&gt;=74</f>
        <v/>
      </c>
      <c r="D18">
        <f>IF(Skills!C18=1,60+Inputs!$B$24+Inputs!$B$28,IF(Skills!C18=2,90+Inputs!$B$25+Inputs!$B$28,IF(Skills!C18=3,120+Inputs!$B$26+Inputs!$B$28,MAX(0,(Inputs!$B$3-100)*3)+Inputs!$B$27+Inputs!$B$28)))</f>
        <v/>
      </c>
      <c r="E18">
        <f>INDEX(FactorTable!$B$2:$Y$301, MATCH(ROUND(MIN(300,MAX(1,D18)),0), FactorTable!$A$2:$A$301,0), Skills!M18+1)</f>
        <v/>
      </c>
      <c r="F18">
        <f>IF(Skills!N18=TRUE,(Skills!L18/10)*(E18/1000),Skills!L18/10)+Skills!O18</f>
        <v/>
      </c>
      <c r="G18">
        <f>Skills!G18*IF(Skills!H18&gt;0,Skills!I18/Skills!H18,1)</f>
        <v/>
      </c>
      <c r="H18">
        <f>1-(1-Skills!J18/100)^Skills!K18</f>
        <v/>
      </c>
      <c r="I18" t="inlineStr">
        <is>
          <t>1</t>
        </is>
      </c>
      <c r="J18" t="inlineStr"/>
      <c r="K18" t="inlineStr"/>
      <c r="L18" t="inlineStr"/>
      <c r="M18" t="inlineStr"/>
      <c r="N18" t="inlineStr"/>
      <c r="O18" t="n">
        <v>0</v>
      </c>
      <c r="P18">
        <f>IF(Summary!$B$3=0,0,O18/Summary!$B$3)</f>
        <v/>
      </c>
      <c r="Q18">
        <f>IFERROR(1/IF(Inputs!$B$4="pvp",15,MAX(0.1,Skills!D18-IF(Skills!E18=TRUE,Inputs!$B$31,0))),0)</f>
        <v/>
      </c>
      <c r="R18">
        <f>IF(AND(Inputs!$B$4&lt;&gt;"pvp",Inputs!$B$35&gt;0),(INT(Inputs!$B$35/IF(Inputs!$B$4="pvp",15,MAX(0.1,Skills!D18-IF(Skills!E18=TRUE,Inputs!$B$31,0))))+1),0)</f>
        <v/>
      </c>
      <c r="S18">
        <f>IFERROR(O18/N18,0)</f>
        <v/>
      </c>
    </row>
    <row r="19">
      <c r="A19">
        <f>Skills!A19</f>
        <v/>
      </c>
      <c r="B19">
        <f>Skills!B19</f>
        <v/>
      </c>
      <c r="C19">
        <f>TRUE</f>
        <v/>
      </c>
      <c r="D19">
        <f>IF(Skills!C19=1,60+Inputs!$B$24+Inputs!$B$28,IF(Skills!C19=2,90+Inputs!$B$25+Inputs!$B$28,IF(Skills!C19=3,120+Inputs!$B$26+Inputs!$B$28,MAX(0,(Inputs!$B$3-100)*3)+Inputs!$B$27+Inputs!$B$28)))</f>
        <v/>
      </c>
      <c r="E19">
        <f>INDEX(FactorTable!$B$2:$Y$301, MATCH(ROUND(MIN(300,MAX(1,D19)),0), FactorTable!$A$2:$A$301,0), Skills!M19+1)</f>
        <v/>
      </c>
      <c r="F19">
        <f>IF(Skills!N19=TRUE,(Skills!L19/10)*(E19/1000),Skills!L19/10)+Skills!O19</f>
        <v/>
      </c>
      <c r="G19">
        <f>Skills!G19*IF(Skills!H19&gt;0,Skills!I19/Skills!H19,1)</f>
        <v/>
      </c>
      <c r="H19">
        <f>1-(1-Skills!J19/100)^Skills!K19</f>
        <v/>
      </c>
      <c r="I19" t="inlineStr">
        <is>
          <t>1</t>
        </is>
      </c>
      <c r="J19" t="inlineStr"/>
      <c r="K19" t="inlineStr"/>
      <c r="L19" t="inlineStr"/>
      <c r="M19" t="inlineStr"/>
      <c r="N19" t="inlineStr"/>
      <c r="O19" t="n">
        <v>0</v>
      </c>
      <c r="P19">
        <f>IF(Summary!$B$3=0,0,O19/Summary!$B$3)</f>
        <v/>
      </c>
      <c r="Q19">
        <f>IFERROR(1/IF(Inputs!$B$4="pvp",15,MAX(0.1,Skills!D19-IF(Skills!E19=TRUE,Inputs!$B$31,0))),0)</f>
        <v/>
      </c>
      <c r="R19">
        <f>IF(AND(Inputs!$B$4&lt;&gt;"pvp",Inputs!$B$35&gt;0),(INT(Inputs!$B$35/IF(Inputs!$B$4="pvp",15,MAX(0.1,Skills!D19-IF(Skills!E19=TRUE,Inputs!$B$31,0))))+1),0)</f>
        <v/>
      </c>
      <c r="S19">
        <f>IFERROR(O19/N19,0)</f>
        <v/>
      </c>
    </row>
    <row r="20">
      <c r="A20">
        <f>Skills!A20</f>
        <v/>
      </c>
      <c r="B20">
        <f>Skills!B20</f>
        <v/>
      </c>
      <c r="C20">
        <f>Inputs!$B$3&gt;=33</f>
        <v/>
      </c>
      <c r="D20">
        <f>IF(Skills!C20=1,60+Inputs!$B$24+Inputs!$B$28,IF(Skills!C20=2,90+Inputs!$B$25+Inputs!$B$28,IF(Skills!C20=3,120+Inputs!$B$26+Inputs!$B$28,MAX(0,(Inputs!$B$3-100)*3)+Inputs!$B$27+Inputs!$B$28)))</f>
        <v/>
      </c>
      <c r="E20">
        <f>INDEX(FactorTable!$B$2:$Y$301, MATCH(ROUND(MIN(300,MAX(1,D20)),0), FactorTable!$A$2:$A$301,0), Skills!M20+1)</f>
        <v/>
      </c>
      <c r="F20">
        <f>IF(Skills!N20=TRUE,(Skills!L20/10)*(E20/1000),Skills!L20/10)+Skills!O20</f>
        <v/>
      </c>
      <c r="G20">
        <f>Skills!G20*IF(Skills!H20&gt;0,Skills!I20/Skills!H20,1)</f>
        <v/>
      </c>
      <c r="H20">
        <f>1-(1-Skills!J20/100)^Skills!K20</f>
        <v/>
      </c>
      <c r="I20" t="inlineStr">
        <is>
          <t>1</t>
        </is>
      </c>
      <c r="J20" t="inlineStr"/>
      <c r="K20" t="inlineStr"/>
      <c r="L20" t="inlineStr"/>
      <c r="M20" t="inlineStr"/>
      <c r="N20" t="inlineStr"/>
      <c r="O20" t="n">
        <v>0</v>
      </c>
      <c r="P20">
        <f>IF(Summary!$B$3=0,0,O20/Summary!$B$3)</f>
        <v/>
      </c>
      <c r="Q20" t="n">
        <v>0</v>
      </c>
      <c r="R20" t="n">
        <v>0</v>
      </c>
      <c r="S20">
        <f>IFERROR(O20/N20,0)</f>
        <v/>
      </c>
    </row>
    <row r="21">
      <c r="A21">
        <f>Skills!A21</f>
        <v/>
      </c>
      <c r="B21">
        <f>Skills!B21</f>
        <v/>
      </c>
      <c r="C21">
        <f>Inputs!$B$3&gt;=38</f>
        <v/>
      </c>
      <c r="D21">
        <f>IF(Skills!C21=1,60+Inputs!$B$24+Inputs!$B$28,IF(Skills!C21=2,90+Inputs!$B$25+Inputs!$B$28,IF(Skills!C21=3,120+Inputs!$B$26+Inputs!$B$28,MAX(0,(Inputs!$B$3-100)*3)+Inputs!$B$27+Inputs!$B$28)))</f>
        <v/>
      </c>
      <c r="E21">
        <f>INDEX(FactorTable!$B$2:$Y$301, MATCH(ROUND(MIN(300,MAX(1,D21)),0), FactorTable!$A$2:$A$301,0), Skills!M21+1)</f>
        <v/>
      </c>
      <c r="F21">
        <f>IF(Skills!N21=TRUE,(Skills!L21/10)*(E21/1000),Skills!L21/10)+Skills!O21</f>
        <v/>
      </c>
      <c r="G21">
        <f>Skills!G21*IF(Skills!H21&gt;0,Skills!I21/Skills!H21,1)</f>
        <v/>
      </c>
      <c r="H21">
        <f>1-(1-Skills!J21/100)^Skills!K21</f>
        <v/>
      </c>
      <c r="I21" t="inlineStr">
        <is>
          <t>1</t>
        </is>
      </c>
      <c r="J21" t="inlineStr"/>
      <c r="K21" t="inlineStr"/>
      <c r="L21" t="inlineStr"/>
      <c r="M21" t="inlineStr"/>
      <c r="N21" t="inlineStr"/>
      <c r="O21" t="n">
        <v>0</v>
      </c>
      <c r="P21">
        <f>IF(Summary!$B$3=0,0,O21/Summary!$B$3)</f>
        <v/>
      </c>
      <c r="Q21" t="n">
        <v>0</v>
      </c>
      <c r="R21" t="n">
        <v>0</v>
      </c>
      <c r="S21">
        <f>IFERROR(O21/N21,0)</f>
        <v/>
      </c>
    </row>
    <row r="22">
      <c r="A22">
        <f>Skills!A22</f>
        <v/>
      </c>
      <c r="B22">
        <f>Skills!B22</f>
        <v/>
      </c>
      <c r="C22">
        <f>Inputs!$B$3&gt;=43</f>
        <v/>
      </c>
      <c r="D22">
        <f>IF(Skills!C22=1,60+Inputs!$B$24+Inputs!$B$28,IF(Skills!C22=2,90+Inputs!$B$25+Inputs!$B$28,IF(Skills!C22=3,120+Inputs!$B$26+Inputs!$B$28,MAX(0,(Inputs!$B$3-100)*3)+Inputs!$B$27+Inputs!$B$28)))</f>
        <v/>
      </c>
      <c r="E22">
        <f>INDEX(FactorTable!$B$2:$Y$301, MATCH(ROUND(MIN(300,MAX(1,D22)),0), FactorTable!$A$2:$A$301,0), Skills!M22+1)</f>
        <v/>
      </c>
      <c r="F22">
        <f>IF(Skills!N22=TRUE,(Skills!L22/10)*(E22/1000),Skills!L22/10)+Skills!O22</f>
        <v/>
      </c>
      <c r="G22">
        <f>Skills!G22*IF(Skills!H22&gt;0,Skills!I22/Skills!H22,1)</f>
        <v/>
      </c>
      <c r="H22">
        <f>1-(1-Skills!J22/100)^Skills!K22</f>
        <v/>
      </c>
      <c r="I22" t="inlineStr">
        <is>
          <t>1</t>
        </is>
      </c>
      <c r="J22" t="inlineStr"/>
      <c r="K22" t="inlineStr"/>
      <c r="L22" t="inlineStr"/>
      <c r="M22" t="inlineStr"/>
      <c r="N22" t="inlineStr"/>
      <c r="O22" t="n">
        <v>0</v>
      </c>
      <c r="P22">
        <f>IF(Summary!$B$3=0,0,O22/Summary!$B$3)</f>
        <v/>
      </c>
      <c r="Q22" t="n">
        <v>0</v>
      </c>
      <c r="R22" t="n">
        <v>0</v>
      </c>
      <c r="S22">
        <f>IFERROR(O22/N22,0)</f>
        <v/>
      </c>
    </row>
    <row r="23">
      <c r="A23">
        <f>Skills!A23</f>
        <v/>
      </c>
      <c r="B23">
        <f>Skills!B23</f>
        <v/>
      </c>
      <c r="C23">
        <f>Inputs!$B$3&gt;=120</f>
        <v/>
      </c>
      <c r="D23">
        <f>IF(Skills!C23=1,60+Inputs!$B$24+Inputs!$B$28,IF(Skills!C23=2,90+Inputs!$B$25+Inputs!$B$28,IF(Skills!C23=3,120+Inputs!$B$26+Inputs!$B$28,MAX(0,(Inputs!$B$3-100)*3)+Inputs!$B$27+Inputs!$B$28)))</f>
        <v/>
      </c>
      <c r="E23">
        <f>INDEX(FactorTable!$B$2:$Y$301, MATCH(ROUND(MIN(300,MAX(1,D23)),0), FactorTable!$A$2:$A$301,0), Skills!M23+1)</f>
        <v/>
      </c>
      <c r="F23">
        <f>IF(Skills!N23=TRUE,(Skills!L23/10)*(E23/1000),Skills!L23/10)+Skills!O23</f>
        <v/>
      </c>
      <c r="G23">
        <f>Skills!G23*IF(Skills!H23&gt;0,Skills!I23/Skills!H23,1)</f>
        <v/>
      </c>
      <c r="H23">
        <f>1-(1-Skills!J23/100)^Skills!K23</f>
        <v/>
      </c>
      <c r="I23" t="inlineStr">
        <is>
          <t>1</t>
        </is>
      </c>
      <c r="J23" t="inlineStr"/>
      <c r="K23" t="inlineStr"/>
      <c r="L23" t="inlineStr"/>
      <c r="M23" t="inlineStr"/>
      <c r="N23" t="inlineStr"/>
      <c r="O23" t="n">
        <v>0</v>
      </c>
      <c r="P23">
        <f>IF(Summary!$B$3=0,0,O23/Summary!$B$3)</f>
        <v/>
      </c>
      <c r="Q23" t="n">
        <v>0</v>
      </c>
      <c r="R23" t="n">
        <v>0</v>
      </c>
      <c r="S23">
        <f>IFERROR(O23/N23,0)</f>
        <v/>
      </c>
    </row>
    <row r="24">
      <c r="A24">
        <f>Skills!A24</f>
        <v/>
      </c>
      <c r="B24">
        <f>Skills!B24</f>
        <v/>
      </c>
      <c r="C24">
        <f>Inputs!$B$3&gt;=120</f>
        <v/>
      </c>
      <c r="D24">
        <f>IF(Skills!C24=1,60+Inputs!$B$24+Inputs!$B$28,IF(Skills!C24=2,90+Inputs!$B$25+Inputs!$B$28,IF(Skills!C24=3,120+Inputs!$B$26+Inputs!$B$28,MAX(0,(Inputs!$B$3-100)*3)+Inputs!$B$27+Inputs!$B$28)))</f>
        <v/>
      </c>
      <c r="E24">
        <f>INDEX(FactorTable!$B$2:$Y$301, MATCH(ROUND(MIN(300,MAX(1,D24)),0), FactorTable!$A$2:$A$301,0), Skills!M24+1)</f>
        <v/>
      </c>
      <c r="F24">
        <f>IF(Skills!N24=TRUE,(Skills!L24/10)*(E24/1000),Skills!L24/10)+Skills!O24</f>
        <v/>
      </c>
      <c r="G24">
        <f>Skills!G24*IF(Skills!H24&gt;0,Skills!I24/Skills!H24,1)</f>
        <v/>
      </c>
      <c r="H24">
        <f>1-(1-Skills!J24/100)^Skills!K24</f>
        <v/>
      </c>
      <c r="I24" t="inlineStr">
        <is>
          <t>1</t>
        </is>
      </c>
      <c r="J24" t="inlineStr"/>
      <c r="K24" t="inlineStr"/>
      <c r="L24" t="inlineStr"/>
      <c r="M24" t="inlineStr"/>
      <c r="N24" t="inlineStr"/>
      <c r="O24" t="n">
        <v>0</v>
      </c>
      <c r="P24">
        <f>IF(Summary!$B$3=0,0,O24/Summary!$B$3)</f>
        <v/>
      </c>
      <c r="Q24" t="n">
        <v>0</v>
      </c>
      <c r="R24" t="n">
        <v>0</v>
      </c>
      <c r="S24">
        <f>IFERROR(O24/N24,0)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6"/>
  <sheetViews>
    <sheetView workbookViewId="0">
      <selection activeCell="A1" sqref="A1"/>
    </sheetView>
  </sheetViews>
  <sheetFormatPr baseColWidth="8" defaultRowHeight="15"/>
  <cols>
    <col width="65" customWidth="1" min="1" max="1"/>
    <col width="16" customWidth="1" min="2" max="2"/>
    <col width="12" customWidth="1" min="3" max="3"/>
  </cols>
  <sheetData>
    <row r="1">
      <c r="A1" s="4" t="inlineStr">
        <is>
          <t>Paladin — DPS Summary</t>
        </is>
      </c>
    </row>
    <row r="3">
      <c r="A3" s="9" t="inlineStr">
        <is>
          <t>TOTAL DPS</t>
        </is>
      </c>
      <c r="B3" s="9">
        <f>SUM(Calc!O2:O24)</f>
        <v/>
      </c>
    </row>
    <row r="5">
      <c r="A5" s="7" t="inlineStr">
        <is>
          <t>Per-Skill DPS Breakdown</t>
        </is>
      </c>
    </row>
    <row r="6">
      <c r="A6" s="8" t="inlineStr">
        <is>
          <t>Skill</t>
        </is>
      </c>
      <c r="B6" s="8" t="inlineStr">
        <is>
          <t>DPS</t>
        </is>
      </c>
      <c r="C6" s="8" t="inlineStr">
        <is>
          <t>% of Total</t>
        </is>
      </c>
    </row>
    <row r="7">
      <c r="A7">
        <f>Calc!B2</f>
        <v/>
      </c>
      <c r="B7">
        <f>Calc!O2</f>
        <v/>
      </c>
      <c r="C7">
        <f>Calc!P2*100</f>
        <v/>
      </c>
    </row>
    <row r="8">
      <c r="A8">
        <f>Calc!B4</f>
        <v/>
      </c>
      <c r="B8">
        <f>Calc!O4</f>
        <v/>
      </c>
      <c r="C8">
        <f>Calc!P4*100</f>
        <v/>
      </c>
    </row>
    <row r="9">
      <c r="A9">
        <f>Calc!B5</f>
        <v/>
      </c>
      <c r="B9">
        <f>Calc!O5</f>
        <v/>
      </c>
      <c r="C9">
        <f>Calc!P5*100</f>
        <v/>
      </c>
    </row>
    <row r="10">
      <c r="A10">
        <f>Calc!B6</f>
        <v/>
      </c>
      <c r="B10">
        <f>Calc!O6</f>
        <v/>
      </c>
      <c r="C10">
        <f>Calc!P6*100</f>
        <v/>
      </c>
    </row>
    <row r="11">
      <c r="A11">
        <f>Calc!B7</f>
        <v/>
      </c>
      <c r="B11">
        <f>Calc!O7</f>
        <v/>
      </c>
      <c r="C11">
        <f>Calc!P7*100</f>
        <v/>
      </c>
    </row>
    <row r="12">
      <c r="A12">
        <f>Calc!B8</f>
        <v/>
      </c>
      <c r="B12">
        <f>Calc!O8</f>
        <v/>
      </c>
      <c r="C12">
        <f>Calc!P8*100</f>
        <v/>
      </c>
    </row>
    <row r="13">
      <c r="A13">
        <f>Calc!B9</f>
        <v/>
      </c>
      <c r="B13">
        <f>Calc!O9</f>
        <v/>
      </c>
      <c r="C13">
        <f>Calc!P9*100</f>
        <v/>
      </c>
    </row>
    <row r="14">
      <c r="A14">
        <f>Calc!B10</f>
        <v/>
      </c>
      <c r="B14">
        <f>Calc!O10</f>
        <v/>
      </c>
      <c r="C14">
        <f>Calc!P10*100</f>
        <v/>
      </c>
    </row>
    <row r="15">
      <c r="A15">
        <f>Calc!B11</f>
        <v/>
      </c>
      <c r="B15">
        <f>Calc!O11</f>
        <v/>
      </c>
      <c r="C15">
        <f>Calc!P11*100</f>
        <v/>
      </c>
    </row>
    <row r="16">
      <c r="A16" s="7" t="inlineStr">
        <is>
          <t>Marginal DPS &amp; Stat Value (see Sensitivity for full detail)</t>
        </is>
      </c>
    </row>
    <row r="18">
      <c r="A18" s="8" t="inlineStr">
        <is>
          <t>Stat</t>
        </is>
      </c>
      <c r="B18" s="8" t="inlineStr">
        <is>
          <t>DPS per +1</t>
        </is>
      </c>
      <c r="C18" s="8" t="inlineStr">
        <is>
          <t>Units per +1% DPS</t>
        </is>
      </c>
    </row>
    <row r="19">
      <c r="A19">
        <f>Sensitivity!A5</f>
        <v/>
      </c>
      <c r="B19">
        <f>Sensitivity!H5</f>
        <v/>
      </c>
      <c r="C19">
        <f>Sensitivity!B5</f>
        <v/>
      </c>
    </row>
    <row r="20">
      <c r="A20">
        <f>Sensitivity!A6</f>
        <v/>
      </c>
      <c r="B20">
        <f>Sensitivity!H6</f>
        <v/>
      </c>
      <c r="C20">
        <f>Sensitivity!B6</f>
        <v/>
      </c>
    </row>
    <row r="21">
      <c r="A21">
        <f>Sensitivity!A7</f>
        <v/>
      </c>
      <c r="B21">
        <f>Sensitivity!H7</f>
        <v/>
      </c>
      <c r="C21">
        <f>Sensitivity!B7</f>
        <v/>
      </c>
    </row>
    <row r="22">
      <c r="A22">
        <f>Sensitivity!A8</f>
        <v/>
      </c>
      <c r="B22">
        <f>Sensitivity!H8</f>
        <v/>
      </c>
      <c r="C22">
        <f>Sensitivity!B8</f>
        <v/>
      </c>
    </row>
    <row r="23">
      <c r="A23">
        <f>Sensitivity!A9</f>
        <v/>
      </c>
      <c r="B23">
        <f>Sensitivity!H9</f>
        <v/>
      </c>
      <c r="C23">
        <f>Sensitivity!B9</f>
        <v/>
      </c>
    </row>
    <row r="24">
      <c r="A24">
        <f>Sensitivity!A10</f>
        <v/>
      </c>
      <c r="B24">
        <f>Sensitivity!H10</f>
        <v/>
      </c>
      <c r="C24">
        <f>Sensitivity!B10</f>
        <v/>
      </c>
    </row>
    <row r="25">
      <c r="A25">
        <f>Sensitivity!A11</f>
        <v/>
      </c>
      <c r="B25">
        <f>Sensitivity!H11</f>
        <v/>
      </c>
      <c r="C25">
        <f>Sensitivity!B11</f>
        <v/>
      </c>
    </row>
    <row r="26">
      <c r="A26">
        <f>Sensitivity!A12</f>
        <v/>
      </c>
      <c r="B26">
        <f>Sensitivity!H12</f>
        <v/>
      </c>
      <c r="C26">
        <f>Sensitivity!B12</f>
        <v/>
      </c>
    </row>
    <row r="27">
      <c r="A27">
        <f>Sensitivity!A13</f>
        <v/>
      </c>
      <c r="B27">
        <f>Sensitivity!H13</f>
        <v/>
      </c>
      <c r="C27">
        <f>Sensitivity!B13</f>
        <v/>
      </c>
    </row>
    <row r="28">
      <c r="A28">
        <f>Sensitivity!A14</f>
        <v/>
      </c>
      <c r="B28">
        <f>Sensitivity!H14</f>
        <v/>
      </c>
      <c r="C28">
        <f>Sensitivity!B14</f>
        <v/>
      </c>
    </row>
    <row r="29">
      <c r="A29">
        <f>Sensitivity!A15</f>
        <v/>
      </c>
      <c r="B29">
        <f>Sensitivity!H15</f>
        <v/>
      </c>
      <c r="C29">
        <f>Sensitivity!B15</f>
        <v/>
      </c>
    </row>
    <row r="30">
      <c r="A30">
        <f>Sensitivity!A16</f>
        <v/>
      </c>
      <c r="B30">
        <f>Sensitivity!H16</f>
        <v/>
      </c>
      <c r="C30">
        <f>Sensitivity!B16</f>
        <v/>
      </c>
    </row>
    <row r="31">
      <c r="A31">
        <f>Sensitivity!A17</f>
        <v/>
      </c>
      <c r="B31">
        <f>Sensitivity!H17</f>
        <v/>
      </c>
      <c r="C31">
        <f>Sensitivity!B17</f>
        <v/>
      </c>
    </row>
    <row r="32">
      <c r="A32">
        <f>Sensitivity!A18</f>
        <v/>
      </c>
      <c r="B32">
        <f>Sensitivity!H18</f>
        <v/>
      </c>
      <c r="C32">
        <f>Sensitivity!B18</f>
        <v/>
      </c>
    </row>
    <row r="33">
      <c r="A33">
        <f>Sensitivity!A19</f>
        <v/>
      </c>
      <c r="B33">
        <f>Sensitivity!H19</f>
        <v/>
      </c>
      <c r="C33">
        <f>Sensitivity!B19</f>
        <v/>
      </c>
    </row>
    <row r="34">
      <c r="A34">
        <f>Sensitivity!A20</f>
        <v/>
      </c>
      <c r="B34">
        <f>Sensitivity!H20</f>
        <v/>
      </c>
      <c r="C34">
        <f>Sensitivity!B20</f>
        <v/>
      </c>
    </row>
    <row r="35">
      <c r="A35">
        <f>Sensitivity!A21</f>
        <v/>
      </c>
      <c r="B35">
        <f>Sensitivity!H21</f>
        <v/>
      </c>
      <c r="C35">
        <f>Sensitivity!B21</f>
        <v/>
      </c>
    </row>
    <row r="36">
      <c r="A36">
        <f>Sensitivity!A22</f>
        <v/>
      </c>
      <c r="B36">
        <f>Sensitivity!H22</f>
        <v/>
      </c>
      <c r="C36">
        <f>Sensitivity!B22</f>
        <v/>
      </c>
    </row>
    <row r="37">
      <c r="A37">
        <f>Sensitivity!A23</f>
        <v/>
      </c>
      <c r="B37">
        <f>Sensitivity!H23</f>
        <v/>
      </c>
      <c r="C37">
        <f>Sensitivity!B23</f>
        <v/>
      </c>
    </row>
    <row r="38">
      <c r="A38">
        <f>Sensitivity!A24</f>
        <v/>
      </c>
      <c r="B38">
        <f>Sensitivity!H24</f>
        <v/>
      </c>
      <c r="C38">
        <f>Sensitivity!B24</f>
        <v/>
      </c>
    </row>
    <row r="39">
      <c r="A39">
        <f>Sensitivity!A25</f>
        <v/>
      </c>
      <c r="B39">
        <f>Sensitivity!H25</f>
        <v/>
      </c>
      <c r="C39">
        <f>Sensitivity!B25</f>
        <v/>
      </c>
    </row>
    <row r="40">
      <c r="A40">
        <f>Sensitivity!A26</f>
        <v/>
      </c>
      <c r="B40">
        <f>Sensitivity!H26</f>
        <v/>
      </c>
      <c r="C40">
        <f>Sensitivity!B26</f>
        <v/>
      </c>
    </row>
    <row r="41">
      <c r="A41">
        <f>Sensitivity!A27</f>
        <v/>
      </c>
      <c r="B41">
        <f>Sensitivity!H27</f>
        <v/>
      </c>
      <c r="C41">
        <f>Sensitivity!B27</f>
        <v/>
      </c>
    </row>
    <row r="42">
      <c r="A42">
        <f>Sensitivity!A28</f>
        <v/>
      </c>
      <c r="B42">
        <f>Sensitivity!H28</f>
        <v/>
      </c>
      <c r="C42">
        <f>Sensitivity!B28</f>
        <v/>
      </c>
    </row>
    <row r="43">
      <c r="A43">
        <f>Sensitivity!A29</f>
        <v/>
      </c>
      <c r="B43">
        <f>Sensitivity!H29</f>
        <v/>
      </c>
      <c r="C43">
        <f>Sensitivity!B29</f>
        <v/>
      </c>
    </row>
    <row r="44">
      <c r="A44">
        <f>Sensitivity!A30</f>
        <v/>
      </c>
      <c r="B44">
        <f>Sensitivity!H30</f>
        <v/>
      </c>
      <c r="C44">
        <f>Sensitivity!B30</f>
        <v/>
      </c>
    </row>
    <row r="49">
      <c r="A49" s="7" t="inlineStr">
        <is>
          <t>Derived Values (read-only, computed from Inputs)</t>
        </is>
      </c>
    </row>
    <row r="50">
      <c r="A50" t="inlineStr">
        <is>
          <t>ATTACK (= Flat ATTACK x (1+ATTACK%/100))</t>
        </is>
      </c>
      <c r="B50">
        <f>Inputs!$B$5*(1+Inputs!$B$6/100)</f>
        <v/>
      </c>
    </row>
    <row r="51">
      <c r="A51" t="inlineStr">
        <is>
          <t>STAT_DAMAGE % (= 1% of total STR + 0.25% of DEX)</t>
        </is>
      </c>
      <c r="B51">
        <f>(Inputs!$B$11*(1+Inputs!$B$12/100))*0.01+Inputs!$B$13*0.0025</f>
        <v/>
      </c>
    </row>
    <row r="52">
      <c r="A52" t="inlineStr">
        <is>
          <t>Basic Attack (Blast) Input Level (4th job formula)</t>
        </is>
      </c>
      <c r="B52">
        <f>MAX(0,(Inputs!$B$3-100)*3)+Inputs!$B$27+Inputs!$B$28</f>
        <v/>
      </c>
    </row>
    <row r="53">
      <c r="A53" t="inlineStr">
        <is>
          <t>Basic Attack Factor (factorIndex 21, universal 4th-job basic attack)</t>
        </is>
      </c>
      <c r="B53">
        <f>INDEX(FactorTable!$B$2:$Y$301, MATCH(ROUND(MIN(300,MAX(1,Summary!$B$52)),0), FactorTable!$A$2:$A$301,0), 22)</f>
        <v/>
      </c>
    </row>
    <row r="54">
      <c r="A54" t="inlineStr">
        <is>
          <t>SKILL_COEFFICIENT — Blast base coefficient % (before bonuses)</t>
        </is>
      </c>
      <c r="B54">
        <f>290*Summary!$B$53/1000</f>
        <v/>
      </c>
    </row>
    <row r="55">
      <c r="A55" t="inlineStr">
        <is>
          <t>Normal-Monster Weight (= 0 for boss, 1 for normal, Breakthrough Normal Weight % for breakthrough, 0 for pvp)</t>
        </is>
      </c>
      <c r="B55">
        <f>IF(Inputs!$B$4="normal",1,IF(Inputs!$B$4="breakthrough",Inputs!$B$36/100,0))</f>
        <v/>
      </c>
    </row>
    <row r="57">
      <c r="A57" t="inlineStr">
        <is>
          <t>Attack%% Bucket Multiplier (Vessel of Light + HP Recovery, summed additively)</t>
        </is>
      </c>
      <c r="B57">
        <f>1+(((Calc!C13=TRUE)*Calc!F13*MIN(1,Skills!T13*(Skills!J13/100)*Summary!$B$63))+((Calc!C18=TRUE)*Calc!F18*IF(AND(Inputs!$B$4&lt;&gt;"pvp",Inputs!$B$35&gt;0),(((Calc!R18-1)*(Skills!T18*(1+Inputs!$B$33/100))+MIN((Skills!T18*(1+Inputs!$B$33/100)),MAX(0,Inputs!$B$35-((Calc!R18-1)*Skills!D18))))/Inputs!$B$35),IF(Inputs!$B$4="pvp",MIN((Skills!T18*(1+Inputs!$B$33/100)),15)/15,(Skills!T18*(1+Inputs!$B$33/100))/Skills!D18))))/100</f>
        <v/>
      </c>
    </row>
    <row r="58">
      <c r="A58" t="inlineStr">
        <is>
          <t>Global Crit Rate Bonus % (unused — no live Crit-Rate-buff source exists)</t>
        </is>
      </c>
      <c r="B58" t="n">
        <v>0</v>
      </c>
    </row>
    <row r="59">
      <c r="A59" t="inlineStr">
        <is>
          <t>Global Monster Damage-Taken Bonus % (unused — Close Combat/Noble Demand/Divine Mark's own weaken effects flagged, not modeled)</t>
        </is>
      </c>
      <c r="B59" t="n">
        <v>0</v>
      </c>
    </row>
    <row r="60">
      <c r="A60" t="inlineStr">
        <is>
          <t>Attack Speed Buff Bonus % (Nimble Feet, duty-cycle averaged)</t>
        </is>
      </c>
      <c r="B60">
        <f>((Calc!C19=TRUE)*Calc!F19*IF(AND(Inputs!$B$4&lt;&gt;"pvp",Inputs!$B$35&gt;0),(((Calc!R19-1)*(Skills!T19*(1+Inputs!$B$33/100))+MIN((Skills!T19*(1+Inputs!$B$33/100)),MAX(0,Inputs!$B$35-((Calc!R19-1)*Skills!D19))))/Inputs!$B$35),IF(Inputs!$B$4="pvp",MIN((Skills!T19*(1+Inputs!$B$33/100)),15)/15,(Skills!T19*(1+Inputs!$B$33/100))/Skills!D19)))</f>
        <v/>
      </c>
    </row>
    <row r="61">
      <c r="A61" t="inlineStr">
        <is>
          <t>Actions Per Second</t>
        </is>
      </c>
      <c r="B61">
        <f>1+MIN(150,150*(1-(1-Inputs!$B$10/150)*(1-B60/150)))/100</f>
        <v/>
      </c>
    </row>
    <row r="62">
      <c r="A62" t="inlineStr">
        <is>
          <t>Skill + Buff Cast Rate (subtracted from Blast, 1/s)</t>
        </is>
      </c>
      <c r="B62">
        <f>IF(AND(Inputs!$B$4&lt;&gt;"pvp",Inputs!$B$35&gt;0),SUMPRODUCT((Skills!E2:E24=TRUE)*(Calc!C2:C24=TRUE)*Calc!R2:R24*Skills!F2:F24)/Inputs!$B$35,SUMPRODUCT((Skills!E2:E24=TRUE)*(Calc!C2:C24=TRUE)*Calc!Q2:Q24*Skills!F2:F24))</f>
        <v/>
      </c>
    </row>
    <row r="63">
      <c r="A63" t="inlineStr">
        <is>
          <t>Blast (Basic Attack) Casts Per Second</t>
        </is>
      </c>
      <c r="B63">
        <f>MAX(0,B61-B62)</f>
        <v/>
      </c>
    </row>
    <row r="64">
      <c r="A64" t="inlineStr">
        <is>
          <t>Global Critical Damage Bonus % (unused — no live Crit-Damage-buff source exists)</t>
        </is>
      </c>
      <c r="B64" t="n">
        <v>0</v>
      </c>
    </row>
    <row r="65">
      <c r="A65" t="inlineStr">
        <is>
          <t>Global Final Damage Bonus % (Divine Shield + Guardian + Divine Blessing + Greater Vessel of Light)</t>
        </is>
      </c>
      <c r="B65">
        <f>((Calc!C15=TRUE)*Calc!F15*IF(AND(Inputs!$B$4&lt;&gt;"pvp",Inputs!$B$35&gt;0),(((Calc!R15-1)*(Skills!T15*(1+Inputs!$B$33/100))+MIN((Skills!T15*(1+Inputs!$B$33/100)),MAX(0,Inputs!$B$35-((Calc!R15-1)*Skills!D15))))/Inputs!$B$35),IF(Inputs!$B$4="pvp",MIN((Skills!T15*(1+Inputs!$B$33/100)),15)/15,(Skills!T15*(1+Inputs!$B$33/100))/Skills!D15)))+((Calc!C16=TRUE)*Calc!F16*IF(AND(Inputs!$B$4&lt;&gt;"pvp",Inputs!$B$35&gt;0),(((Calc!R16-1)*(Skills!T16*(1+Inputs!$B$33/100))+MIN((Skills!T16*(1+Inputs!$B$33/100)),MAX(0,Inputs!$B$35-((Calc!R16-1)*Skills!D16))))/Inputs!$B$35),IF(Inputs!$B$4="pvp",MIN((Skills!T16*(1+Inputs!$B$33/100)),15)/15,(Skills!T16*(1+Inputs!$B$33/100))/Skills!D16)))+((Calc!C17=TRUE)*Calc!F17*IF(AND(Inputs!$B$4&lt;&gt;"pvp",Inputs!$B$35&gt;0),(((Calc!R17-1)*(Skills!T17*(1+Inputs!$B$33/100))+MIN((Skills!T17*(1+Inputs!$B$33/100)),MAX(0,Inputs!$B$35-((Calc!R17-1)*Skills!D17))))/Inputs!$B$35),IF(Inputs!$B$4="pvp",MIN((Skills!T17*(1+Inputs!$B$33/100)),15)/15,(Skills!T17*(1+Inputs!$B$33/100))/Skills!D17)))+((Calc!C14=TRUE)*Calc!F14*MIN(1,Skills!T13*(Skills!J13/100)*Summary!$B$63))</f>
        <v/>
      </c>
    </row>
    <row r="66">
      <c r="A66" t="inlineStr">
        <is>
          <t>Blast (Basic Attack) DPS</t>
        </is>
      </c>
      <c r="B66">
        <f>Calc!O2</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1018"/>
  <sheetViews>
    <sheetView workbookViewId="0">
      <pane ySplit="4" topLeftCell="A5" activePane="bottomLeft" state="frozen"/>
      <selection pane="bottomLeft" activeCell="A1" sqref="A1"/>
    </sheetView>
  </sheetViews>
  <sheetFormatPr baseColWidth="8" defaultRowHeight="15"/>
  <cols>
    <col width="40" customWidth="1" min="1" max="1"/>
    <col width="16" customWidth="1" min="2" max="2"/>
    <col width="8" customWidth="1" min="3" max="3"/>
    <col width="14" customWidth="1" min="4" max="4"/>
    <col width="14" customWidth="1" min="5" max="5"/>
    <col width="16" customWidth="1" min="6" max="6"/>
    <col width="14" customWidth="1" min="7" max="7"/>
    <col width="12" customWidth="1" min="8" max="8"/>
    <col width="10" customWidth="1" min="9" max="9"/>
  </cols>
  <sheetData>
    <row r="1">
      <c r="A1" s="4" t="inlineStr">
        <is>
          <t>Marginal DPS per +1 (percentage point / skill level / flat point)</t>
        </is>
      </c>
    </row>
    <row r="2">
      <c r="A2" t="inlineStr">
        <is>
          <t>Attack Speed and Def Pen combine their +1 via the diminishing-returns formula (new = (1-(1-old/factor)*(1-1/factor))*factor), not a flat add.</t>
        </is>
      </c>
    </row>
    <row r="4">
      <c r="A4" s="8" t="inlineStr">
        <is>
          <t>Stat</t>
        </is>
      </c>
      <c r="B4" s="8" t="inlineStr">
        <is>
          <t>Units per +1% DPS</t>
        </is>
      </c>
      <c r="C4" s="8" t="inlineStr">
        <is>
          <t>Type</t>
        </is>
      </c>
      <c r="D4" s="8" t="inlineStr">
        <is>
          <t>Current Value</t>
        </is>
      </c>
      <c r="E4" s="8" t="inlineStr">
        <is>
          <t>New Value</t>
        </is>
      </c>
      <c r="F4" s="8" t="inlineStr">
        <is>
          <t>Baseline Total DPS</t>
        </is>
      </c>
      <c r="G4" s="8" t="inlineStr">
        <is>
          <t>New Total DPS</t>
        </is>
      </c>
      <c r="H4" s="8" t="inlineStr">
        <is>
          <t>DPS Gain</t>
        </is>
      </c>
      <c r="I4" s="8" t="inlineStr">
        <is>
          <t>% Gain</t>
        </is>
      </c>
    </row>
    <row r="5">
      <c r="A5" t="inlineStr">
        <is>
          <t>Flat STR</t>
        </is>
      </c>
      <c r="B5">
        <f>IFERROR(1/(I5-100),"n/a")</f>
        <v/>
      </c>
      <c r="C5" t="inlineStr">
        <is>
          <t>flat</t>
        </is>
      </c>
      <c r="D5">
        <f>Inputs!$B$11</f>
        <v/>
      </c>
      <c r="E5">
        <f>(Inputs!$B$11+1)</f>
        <v/>
      </c>
      <c r="F5">
        <f>Summary!$B$3</f>
        <v/>
      </c>
      <c r="G5">
        <f>B68</f>
        <v/>
      </c>
      <c r="H5">
        <f>G5-F5</f>
        <v/>
      </c>
      <c r="I5">
        <f>IF(F5=0,0,G5/F5*100)</f>
        <v/>
      </c>
    </row>
    <row r="6">
      <c r="A6" t="inlineStr">
        <is>
          <t>STR %</t>
        </is>
      </c>
      <c r="B6">
        <f>IFERROR(1/(I6-100),"n/a")</f>
        <v/>
      </c>
      <c r="C6" t="inlineStr">
        <is>
          <t>pct</t>
        </is>
      </c>
      <c r="D6">
        <f>Inputs!$B$12</f>
        <v/>
      </c>
      <c r="E6">
        <f>(Inputs!$B$12+1)</f>
        <v/>
      </c>
      <c r="F6">
        <f>Summary!$B$3</f>
        <v/>
      </c>
      <c r="G6">
        <f>B106</f>
        <v/>
      </c>
      <c r="H6">
        <f>G6-F6</f>
        <v/>
      </c>
      <c r="I6">
        <f>IF(F6=0,0,G6/F6*100)</f>
        <v/>
      </c>
    </row>
    <row r="7">
      <c r="A7" t="inlineStr">
        <is>
          <t>DEX</t>
        </is>
      </c>
      <c r="B7">
        <f>IFERROR(1/(I7-100),"n/a")</f>
        <v/>
      </c>
      <c r="C7" t="inlineStr">
        <is>
          <t>flat</t>
        </is>
      </c>
      <c r="D7">
        <f>Inputs!$B$13</f>
        <v/>
      </c>
      <c r="E7">
        <f>(Inputs!$B$13+1)</f>
        <v/>
      </c>
      <c r="F7">
        <f>Summary!$B$3</f>
        <v/>
      </c>
      <c r="G7">
        <f>B144</f>
        <v/>
      </c>
      <c r="H7">
        <f>G7-F7</f>
        <v/>
      </c>
      <c r="I7">
        <f>IF(F7=0,0,G7/F7*100)</f>
        <v/>
      </c>
    </row>
    <row r="8">
      <c r="A8" t="inlineStr">
        <is>
          <t>DAMAGE %</t>
        </is>
      </c>
      <c r="B8">
        <f>IFERROR(1/(I8-100),"n/a")</f>
        <v/>
      </c>
      <c r="C8" t="inlineStr">
        <is>
          <t>pct</t>
        </is>
      </c>
      <c r="D8">
        <f>Inputs!$B$14</f>
        <v/>
      </c>
      <c r="E8">
        <f>(Inputs!$B$14+1)</f>
        <v/>
      </c>
      <c r="F8">
        <f>Summary!$B$3</f>
        <v/>
      </c>
      <c r="G8">
        <f>B182</f>
        <v/>
      </c>
      <c r="H8">
        <f>G8-F8</f>
        <v/>
      </c>
      <c r="I8">
        <f>IF(F8=0,0,G8/F8*100)</f>
        <v/>
      </c>
    </row>
    <row r="9">
      <c r="A9" t="inlineStr">
        <is>
          <t>DAMAGE_AMP %</t>
        </is>
      </c>
      <c r="B9">
        <f>IFERROR(1/(I9-100),"n/a")</f>
        <v/>
      </c>
      <c r="C9" t="inlineStr">
        <is>
          <t>pct</t>
        </is>
      </c>
      <c r="D9">
        <f>Inputs!$B$15</f>
        <v/>
      </c>
      <c r="E9">
        <f>(Inputs!$B$15+1)</f>
        <v/>
      </c>
      <c r="F9">
        <f>Summary!$B$3</f>
        <v/>
      </c>
      <c r="G9">
        <f>B220</f>
        <v/>
      </c>
      <c r="H9">
        <f>G9-F9</f>
        <v/>
      </c>
      <c r="I9">
        <f>IF(F9=0,0,G9/F9*100)</f>
        <v/>
      </c>
    </row>
    <row r="10">
      <c r="A10" t="inlineStr">
        <is>
          <t>BOSS_DAMAGE %</t>
        </is>
      </c>
      <c r="B10">
        <f>IFERROR(1/(I10-100),"n/a")</f>
        <v/>
      </c>
      <c r="C10" t="inlineStr">
        <is>
          <t>pct</t>
        </is>
      </c>
      <c r="D10">
        <f>Inputs!$B$19</f>
        <v/>
      </c>
      <c r="E10">
        <f>(Inputs!$B$19+1)</f>
        <v/>
      </c>
      <c r="F10">
        <f>Summary!$B$3</f>
        <v/>
      </c>
      <c r="G10">
        <f>B258</f>
        <v/>
      </c>
      <c r="H10">
        <f>G10-F10</f>
        <v/>
      </c>
      <c r="I10">
        <f>IF(F10=0,0,G10/F10*100)</f>
        <v/>
      </c>
    </row>
    <row r="11">
      <c r="A11" t="inlineStr">
        <is>
          <t>NORMAL_DAMAGE %</t>
        </is>
      </c>
      <c r="B11">
        <f>IFERROR(1/(I11-100),"n/a")</f>
        <v/>
      </c>
      <c r="C11" t="inlineStr">
        <is>
          <t>pct</t>
        </is>
      </c>
      <c r="D11">
        <f>Inputs!$B$20</f>
        <v/>
      </c>
      <c r="E11">
        <f>(Inputs!$B$20+1)</f>
        <v/>
      </c>
      <c r="F11">
        <f>Summary!$B$3</f>
        <v/>
      </c>
      <c r="G11">
        <f>B296</f>
        <v/>
      </c>
      <c r="H11">
        <f>G11-F11</f>
        <v/>
      </c>
      <c r="I11">
        <f>IF(F11=0,0,G11/F11*100)</f>
        <v/>
      </c>
    </row>
    <row r="12">
      <c r="A12" t="inlineStr">
        <is>
          <t>FINAL_DAMAGE % (multiplicative source)</t>
        </is>
      </c>
      <c r="B12">
        <f>IFERROR(1/(I12-100),"n/a")</f>
        <v/>
      </c>
      <c r="C12" t="inlineStr">
        <is>
          <t>mult</t>
        </is>
      </c>
      <c r="D12">
        <f>Inputs!$B$23</f>
        <v/>
      </c>
      <c r="E12">
        <f>((((1+Inputs!$B$23/100)*(1.01))-1)*100)</f>
        <v/>
      </c>
      <c r="F12">
        <f>Summary!$B$3</f>
        <v/>
      </c>
      <c r="G12">
        <f>B334</f>
        <v/>
      </c>
      <c r="H12">
        <f>G12-F12</f>
        <v/>
      </c>
      <c r="I12">
        <f>IF(F12=0,0,G12/F12*100)</f>
        <v/>
      </c>
    </row>
    <row r="13">
      <c r="A13" t="inlineStr">
        <is>
          <t>MIN_DAMAGE %</t>
        </is>
      </c>
      <c r="B13">
        <f>IFERROR(1/(I13-100),"n/a")</f>
        <v/>
      </c>
      <c r="C13" t="inlineStr">
        <is>
          <t>pct</t>
        </is>
      </c>
      <c r="D13">
        <f>Inputs!$B$21</f>
        <v/>
      </c>
      <c r="E13">
        <f>(Inputs!$B$21+1)</f>
        <v/>
      </c>
      <c r="F13">
        <f>Summary!$B$3</f>
        <v/>
      </c>
      <c r="G13">
        <f>B372</f>
        <v/>
      </c>
      <c r="H13">
        <f>G13-F13</f>
        <v/>
      </c>
      <c r="I13">
        <f>IF(F13=0,0,G13/F13*100)</f>
        <v/>
      </c>
    </row>
    <row r="14">
      <c r="A14" t="inlineStr">
        <is>
          <t>MAX_DAMAGE %</t>
        </is>
      </c>
      <c r="B14">
        <f>IFERROR(1/(I14-100),"n/a")</f>
        <v/>
      </c>
      <c r="C14" t="inlineStr">
        <is>
          <t>pct</t>
        </is>
      </c>
      <c r="D14">
        <f>Inputs!$B$22</f>
        <v/>
      </c>
      <c r="E14">
        <f>(Inputs!$B$22+1)</f>
        <v/>
      </c>
      <c r="F14">
        <f>Summary!$B$3</f>
        <v/>
      </c>
      <c r="G14">
        <f>B410</f>
        <v/>
      </c>
      <c r="H14">
        <f>G14-F14</f>
        <v/>
      </c>
      <c r="I14">
        <f>IF(F14=0,0,G14/F14*100)</f>
        <v/>
      </c>
    </row>
    <row r="15">
      <c r="A15" t="inlineStr">
        <is>
          <t>CRIT_RATE %</t>
        </is>
      </c>
      <c r="B15">
        <f>IFERROR(1/(I15-100),"n/a")</f>
        <v/>
      </c>
      <c r="C15" t="inlineStr">
        <is>
          <t>pct</t>
        </is>
      </c>
      <c r="D15">
        <f>Inputs!$B$8</f>
        <v/>
      </c>
      <c r="E15">
        <f>(Inputs!$B$8+1)</f>
        <v/>
      </c>
      <c r="F15">
        <f>Summary!$B$3</f>
        <v/>
      </c>
      <c r="G15">
        <f>B448</f>
        <v/>
      </c>
      <c r="H15">
        <f>G15-F15</f>
        <v/>
      </c>
      <c r="I15">
        <f>IF(F15=0,0,G15/F15*100)</f>
        <v/>
      </c>
    </row>
    <row r="16">
      <c r="A16" t="inlineStr">
        <is>
          <t>CRIT_DAMAGE %</t>
        </is>
      </c>
      <c r="B16">
        <f>IFERROR(1/(I16-100),"n/a")</f>
        <v/>
      </c>
      <c r="C16" t="inlineStr">
        <is>
          <t>pct</t>
        </is>
      </c>
      <c r="D16">
        <f>Inputs!$B$9</f>
        <v/>
      </c>
      <c r="E16">
        <f>(Inputs!$B$9+1)</f>
        <v/>
      </c>
      <c r="F16">
        <f>Summary!$B$3</f>
        <v/>
      </c>
      <c r="G16">
        <f>B486</f>
        <v/>
      </c>
      <c r="H16">
        <f>G16-F16</f>
        <v/>
      </c>
      <c r="I16">
        <f>IF(F16=0,0,G16/F16*100)</f>
        <v/>
      </c>
    </row>
    <row r="17">
      <c r="A17" t="inlineStr">
        <is>
          <t>ATTACK_SPEED % (diminishing returns, factor 150)</t>
        </is>
      </c>
      <c r="B17">
        <f>IFERROR(1/(I17-100),"n/a")</f>
        <v/>
      </c>
      <c r="C17" t="inlineStr">
        <is>
          <t>dr150</t>
        </is>
      </c>
      <c r="D17">
        <f>Inputs!$B$10</f>
        <v/>
      </c>
      <c r="E17">
        <f>((1-(1-Inputs!$B$10/150)*(1-1/150))*150)</f>
        <v/>
      </c>
      <c r="F17">
        <f>Summary!$B$3</f>
        <v/>
      </c>
      <c r="G17">
        <f>B524</f>
        <v/>
      </c>
      <c r="H17">
        <f>G17-F17</f>
        <v/>
      </c>
      <c r="I17">
        <f>IF(F17=0,0,G17/F17*100)</f>
        <v/>
      </c>
    </row>
    <row r="18">
      <c r="A18" t="inlineStr">
        <is>
          <t>DEF_PEN % (diminishing returns, factor 100)</t>
        </is>
      </c>
      <c r="B18">
        <f>IFERROR(1/(I18-100),"n/a")</f>
        <v/>
      </c>
      <c r="C18" t="inlineStr">
        <is>
          <t>dr100</t>
        </is>
      </c>
      <c r="D18">
        <f>Inputs!$B$18</f>
        <v/>
      </c>
      <c r="E18">
        <f>((1-(1-Inputs!$B$18/100)*(1-1/100))*100)</f>
        <v/>
      </c>
      <c r="F18">
        <f>Summary!$B$3</f>
        <v/>
      </c>
      <c r="G18">
        <f>B562</f>
        <v/>
      </c>
      <c r="H18">
        <f>G18-F18</f>
        <v/>
      </c>
      <c r="I18">
        <f>IF(F18=0,0,G18/F18*100)</f>
        <v/>
      </c>
    </row>
    <row r="19">
      <c r="A19" t="inlineStr">
        <is>
          <t>BASIC_ATTACK_DAMAGE %</t>
        </is>
      </c>
      <c r="B19">
        <f>IFERROR(1/(I19-100),"n/a")</f>
        <v/>
      </c>
      <c r="C19" t="inlineStr">
        <is>
          <t>pct</t>
        </is>
      </c>
      <c r="D19">
        <f>Inputs!$B$16</f>
        <v/>
      </c>
      <c r="E19">
        <f>(Inputs!$B$16+1)</f>
        <v/>
      </c>
      <c r="F19">
        <f>Summary!$B$3</f>
        <v/>
      </c>
      <c r="G19">
        <f>B600</f>
        <v/>
      </c>
      <c r="H19">
        <f>G19-F19</f>
        <v/>
      </c>
      <c r="I19">
        <f>IF(F19=0,0,G19/F19*100)</f>
        <v/>
      </c>
    </row>
    <row r="20">
      <c r="A20" t="inlineStr">
        <is>
          <t>SKILL_DAMAGE %</t>
        </is>
      </c>
      <c r="B20">
        <f>IFERROR(1/(I20-100),"n/a")</f>
        <v/>
      </c>
      <c r="C20" t="inlineStr">
        <is>
          <t>pct</t>
        </is>
      </c>
      <c r="D20">
        <f>Inputs!$B$17</f>
        <v/>
      </c>
      <c r="E20">
        <f>(Inputs!$B$17+1)</f>
        <v/>
      </c>
      <c r="F20">
        <f>Summary!$B$3</f>
        <v/>
      </c>
      <c r="G20">
        <f>B638</f>
        <v/>
      </c>
      <c r="H20">
        <f>G20-F20</f>
        <v/>
      </c>
      <c r="I20">
        <f>IF(F20=0,0,G20/F20*100)</f>
        <v/>
      </c>
    </row>
    <row r="21">
      <c r="A21" t="inlineStr">
        <is>
          <t>Skill Level Bonus — 1st Job</t>
        </is>
      </c>
      <c r="B21">
        <f>IFERROR(1/(I21-100),"n/a")</f>
        <v/>
      </c>
      <c r="C21" t="inlineStr">
        <is>
          <t>level</t>
        </is>
      </c>
      <c r="D21">
        <f>Inputs!$B$24</f>
        <v/>
      </c>
      <c r="E21">
        <f>(Inputs!$B$24+1)</f>
        <v/>
      </c>
      <c r="F21">
        <f>Summary!$B$3</f>
        <v/>
      </c>
      <c r="G21">
        <f>B676</f>
        <v/>
      </c>
      <c r="H21">
        <f>G21-F21</f>
        <v/>
      </c>
      <c r="I21">
        <f>IF(F21=0,0,G21/F21*100)</f>
        <v/>
      </c>
    </row>
    <row r="22">
      <c r="A22" t="inlineStr">
        <is>
          <t>Skill Level Bonus — 2nd Job</t>
        </is>
      </c>
      <c r="B22">
        <f>IFERROR(1/(I22-100),"n/a")</f>
        <v/>
      </c>
      <c r="C22" t="inlineStr">
        <is>
          <t>level</t>
        </is>
      </c>
      <c r="D22">
        <f>Inputs!$B$25</f>
        <v/>
      </c>
      <c r="E22">
        <f>(Inputs!$B$25+1)</f>
        <v/>
      </c>
      <c r="F22">
        <f>Summary!$B$3</f>
        <v/>
      </c>
      <c r="G22">
        <f>B714</f>
        <v/>
      </c>
      <c r="H22">
        <f>G22-F22</f>
        <v/>
      </c>
      <c r="I22">
        <f>IF(F22=0,0,G22/F22*100)</f>
        <v/>
      </c>
    </row>
    <row r="23">
      <c r="A23" t="inlineStr">
        <is>
          <t>Skill Level Bonus — 3rd Job</t>
        </is>
      </c>
      <c r="B23">
        <f>IFERROR(1/(I23-100),"n/a")</f>
        <v/>
      </c>
      <c r="C23" t="inlineStr">
        <is>
          <t>level</t>
        </is>
      </c>
      <c r="D23">
        <f>Inputs!$B$26</f>
        <v/>
      </c>
      <c r="E23">
        <f>(Inputs!$B$26+1)</f>
        <v/>
      </c>
      <c r="F23">
        <f>Summary!$B$3</f>
        <v/>
      </c>
      <c r="G23">
        <f>B752</f>
        <v/>
      </c>
      <c r="H23">
        <f>G23-F23</f>
        <v/>
      </c>
      <c r="I23">
        <f>IF(F23=0,0,G23/F23*100)</f>
        <v/>
      </c>
    </row>
    <row r="24">
      <c r="A24" t="inlineStr">
        <is>
          <t>Skill Level Bonus — 4th Job</t>
        </is>
      </c>
      <c r="B24">
        <f>IFERROR(1/(I24-100),"n/a")</f>
        <v/>
      </c>
      <c r="C24" t="inlineStr">
        <is>
          <t>level</t>
        </is>
      </c>
      <c r="D24">
        <f>Inputs!$B$27</f>
        <v/>
      </c>
      <c r="E24">
        <f>(Inputs!$B$27+1)</f>
        <v/>
      </c>
      <c r="F24">
        <f>Summary!$B$3</f>
        <v/>
      </c>
      <c r="G24">
        <f>B790</f>
        <v/>
      </c>
      <c r="H24">
        <f>G24-F24</f>
        <v/>
      </c>
      <c r="I24">
        <f>IF(F24=0,0,G24/F24*100)</f>
        <v/>
      </c>
    </row>
    <row r="25">
      <c r="A25" t="inlineStr">
        <is>
          <t>Skill Level Bonus — All Skills</t>
        </is>
      </c>
      <c r="B25">
        <f>IFERROR(1/(I25-100),"n/a")</f>
        <v/>
      </c>
      <c r="C25" t="inlineStr">
        <is>
          <t>level</t>
        </is>
      </c>
      <c r="D25">
        <f>Inputs!$B$28</f>
        <v/>
      </c>
      <c r="E25">
        <f>(Inputs!$B$28+1)</f>
        <v/>
      </c>
      <c r="F25">
        <f>Summary!$B$3</f>
        <v/>
      </c>
      <c r="G25">
        <f>B828</f>
        <v/>
      </c>
      <c r="H25">
        <f>G25-F25</f>
        <v/>
      </c>
      <c r="I25">
        <f>IF(F25=0,0,G25/F25*100)</f>
        <v/>
      </c>
    </row>
    <row r="26">
      <c r="A26" t="inlineStr">
        <is>
          <t>Flat ATTACK</t>
        </is>
      </c>
      <c r="B26">
        <f>IFERROR(1/(I26-100),"n/a")</f>
        <v/>
      </c>
      <c r="C26" t="inlineStr">
        <is>
          <t>flat</t>
        </is>
      </c>
      <c r="D26">
        <f>Inputs!$B$5</f>
        <v/>
      </c>
      <c r="E26">
        <f>(Inputs!$B$5+1)</f>
        <v/>
      </c>
      <c r="F26">
        <f>Summary!$B$3</f>
        <v/>
      </c>
      <c r="G26">
        <f>B866</f>
        <v/>
      </c>
      <c r="H26">
        <f>G26-F26</f>
        <v/>
      </c>
      <c r="I26">
        <f>IF(F26=0,0,G26/F26*100)</f>
        <v/>
      </c>
    </row>
    <row r="27">
      <c r="A27" t="inlineStr">
        <is>
          <t>ATTACK %</t>
        </is>
      </c>
      <c r="B27">
        <f>IFERROR(1/(I27-100),"n/a")</f>
        <v/>
      </c>
      <c r="C27" t="inlineStr">
        <is>
          <t>pct</t>
        </is>
      </c>
      <c r="D27">
        <f>Inputs!$B$6</f>
        <v/>
      </c>
      <c r="E27">
        <f>(Inputs!$B$6+1)</f>
        <v/>
      </c>
      <c r="F27">
        <f>Summary!$B$3</f>
        <v/>
      </c>
      <c r="G27">
        <f>B904</f>
        <v/>
      </c>
      <c r="H27">
        <f>G27-F27</f>
        <v/>
      </c>
      <c r="I27">
        <f>IF(F27=0,0,G27/F27*100)</f>
        <v/>
      </c>
    </row>
    <row r="28">
      <c r="A28" t="inlineStr">
        <is>
          <t>Skill Cooldown Decrease (seconds)</t>
        </is>
      </c>
      <c r="B28">
        <f>IFERROR(1/(I28-100),"n/a")</f>
        <v/>
      </c>
      <c r="C28" t="inlineStr">
        <is>
          <t>flat</t>
        </is>
      </c>
      <c r="D28">
        <f>Inputs!$B$31</f>
        <v/>
      </c>
      <c r="E28">
        <f>(Inputs!$B$31+1)</f>
        <v/>
      </c>
      <c r="F28">
        <f>Summary!$B$3</f>
        <v/>
      </c>
      <c r="G28">
        <f>B942</f>
        <v/>
      </c>
      <c r="H28">
        <f>G28-F28</f>
        <v/>
      </c>
      <c r="I28">
        <f>IF(F28=0,0,G28/F28*100)</f>
        <v/>
      </c>
    </row>
    <row r="29">
      <c r="A29" t="inlineStr">
        <is>
          <t>Basic Attack Target Increase (flat)</t>
        </is>
      </c>
      <c r="B29">
        <f>IFERROR(1/(I29-100),"n/a")</f>
        <v/>
      </c>
      <c r="C29" t="inlineStr">
        <is>
          <t>flat</t>
        </is>
      </c>
      <c r="D29">
        <f>Inputs!$B$32</f>
        <v/>
      </c>
      <c r="E29">
        <f>(Inputs!$B$32+1)</f>
        <v/>
      </c>
      <c r="F29">
        <f>Summary!$B$3</f>
        <v/>
      </c>
      <c r="G29">
        <f>B980</f>
        <v/>
      </c>
      <c r="H29">
        <f>G29-F29</f>
        <v/>
      </c>
      <c r="I29">
        <f>IF(F29=0,0,G29/F29*100)</f>
        <v/>
      </c>
    </row>
    <row r="30">
      <c r="A30" t="inlineStr">
        <is>
          <t>Buff Duration Increase %</t>
        </is>
      </c>
      <c r="B30">
        <f>IFERROR(1/(I30-100),"n/a")</f>
        <v/>
      </c>
      <c r="C30" t="inlineStr">
        <is>
          <t>pct</t>
        </is>
      </c>
      <c r="D30">
        <f>Inputs!$B$33</f>
        <v/>
      </c>
      <c r="E30">
        <f>(Inputs!$B$33+1)</f>
        <v/>
      </c>
      <c r="F30">
        <f>Summary!$B$3</f>
        <v/>
      </c>
      <c r="G30">
        <f>B1018</f>
        <v/>
      </c>
      <c r="H30">
        <f>G30-F30</f>
        <v/>
      </c>
      <c r="I30">
        <f>IF(F30=0,0,G30/F30*100)</f>
        <v/>
      </c>
    </row>
    <row r="33">
      <c r="A33" s="5" t="inlineStr">
        <is>
          <t>Stat: Flat STR</t>
        </is>
      </c>
    </row>
    <row r="34">
      <c r="A34" s="8" t="inlineStr">
        <is>
          <t>Key</t>
        </is>
      </c>
      <c r="B34" s="8" t="inlineStr">
        <is>
          <t>Name</t>
        </is>
      </c>
      <c r="C34" s="8" t="inlineStr">
        <is>
          <t>Unlocked</t>
        </is>
      </c>
      <c r="D34" s="8" t="inlineStr">
        <is>
          <t>InputLevel</t>
        </is>
      </c>
      <c r="E34" s="8" t="inlineStr">
        <is>
          <t>Factor</t>
        </is>
      </c>
      <c r="F34" s="8" t="inlineStr">
        <is>
          <t>CoefficientPercent</t>
        </is>
      </c>
      <c r="G34" s="8" t="inlineStr">
        <is>
          <t>EffectiveHits</t>
        </is>
      </c>
      <c r="H34" s="8" t="inlineStr">
        <is>
          <t>ProcProbability</t>
        </is>
      </c>
      <c r="I34" s="8" t="inlineStr">
        <is>
          <t>MapleHeroMultiplier</t>
        </is>
      </c>
      <c r="J34" s="8" t="inlineStr">
        <is>
          <t>BaseDamage</t>
        </is>
      </c>
      <c r="K34" s="8" t="inlineStr">
        <is>
          <t>BaseHitDamage</t>
        </is>
      </c>
      <c r="L34" s="8" t="inlineStr">
        <is>
          <t>NonCritAvg</t>
        </is>
      </c>
      <c r="M34" s="8" t="inlineStr">
        <is>
          <t>CritAvg</t>
        </is>
      </c>
      <c r="N34" s="8" t="inlineStr">
        <is>
          <t>ExpectedDamage(perHit)</t>
        </is>
      </c>
      <c r="O34" s="8" t="inlineStr">
        <is>
          <t>DPS</t>
        </is>
      </c>
      <c r="P34" s="8" t="inlineStr">
        <is>
          <t>% of Total</t>
        </is>
      </c>
      <c r="Q34" s="8" t="inlineStr">
        <is>
          <t>InvCooldown</t>
        </is>
      </c>
      <c r="R34" s="8" t="inlineStr">
        <is>
          <t>CastsInFight</t>
        </is>
      </c>
      <c r="S34" s="8" t="inlineStr">
        <is>
          <t>HitRate(perSec)</t>
        </is>
      </c>
      <c r="U34" t="inlineStr">
        <is>
          <t>helpers</t>
        </is>
      </c>
    </row>
    <row r="35">
      <c r="A35">
        <f>Skills!A2</f>
        <v/>
      </c>
      <c r="B35">
        <f>Skills!B2</f>
        <v/>
      </c>
      <c r="C35">
        <f>Inputs!$B$3&gt;=100</f>
        <v/>
      </c>
      <c r="D35" t="inlineStr"/>
      <c r="E35" t="inlineStr"/>
      <c r="F35">
        <f>U37+Skills!O2</f>
        <v/>
      </c>
      <c r="G35">
        <f>Skills!G2*IF(Skills!H2&gt;0,Skills!I2/Skills!H2,1)</f>
        <v/>
      </c>
      <c r="H35">
        <f>1-(1-Skills!J2/100)^Skills!K2</f>
        <v/>
      </c>
      <c r="I35" t="inlineStr">
        <is>
          <t>1</t>
        </is>
      </c>
      <c r="J35">
        <f>(Inputs!$B$5*(1+Inputs!$B$6/100))*(F35/100)</f>
        <v/>
      </c>
      <c r="K35">
        <f>J35*(1+(((Inputs!$B$11+1)*(1+Inputs!$B$12/100))*0.01+Inputs!$B$13*0.0025)/100)*(1+Inputs!$B$14/100)*(1+IF(Inputs!$B$4="pvp",0,(1-Summary!$B$55)*(Inputs!$B$19+0+Skills!P2)+Summary!$B$55*(Inputs!$B$20+Skills!Q2))/100)*(1+Inputs!$B$15/100)*(5000/(6000+Inputs!$B$7*(1-(Inputs!$B$18+0)/100)))*(1+(Inputs!$B$23+0+B66)/100)*(1+(IF(Skills!A2="BLAST",Inputs!$B$16+((C54=TRUE)*(F54-Calc!F21)),Inputs!$B$17+((C56=TRUE)*(F56-Calc!F23))))/100)*((1+(((C46=TRUE)*F46*MIN(1,Skills!T13*(Skills!J13/100)*B64))+((C51=TRUE)*F51*IF(AND(Inputs!$B$4&lt;&gt;"pvp",Inputs!$B$35&gt;0),(((S51-1)*(Skills!T18*(1+Inputs!$B$33/100))+MIN((Skills!T18*(1+Inputs!$B$33/100)),MAX(0,Inputs!$B$35-((S51-1)*Skills!D18))))/Inputs!$B$35),IF(Inputs!$B$4="pvp",MIN((Skills!T18*(1+Inputs!$B$33/100)),15)/15,(Skills!T18*(1+Inputs!$B$33/100))/Skills!D18)))+0)/100)*I35)</f>
        <v/>
      </c>
      <c r="L35">
        <f>K35*(MIN(Inputs!$B$21+((C55=TRUE)*(F55-Calc!F22)),Inputs!$B$22+((C57=TRUE)*(F57-Calc!F24)))/100+(Inputs!$B$22+((C57=TRUE)*(F57-Calc!F24)))/100)/2</f>
        <v/>
      </c>
      <c r="M35">
        <f>L35*(1+(Inputs!$B$9+0+B65)/100)</f>
        <v/>
      </c>
      <c r="N35">
        <f>L35*(1-MIN((Inputs!$B$8+0+B60),100)/100)+M35*(MIN((Inputs!$B$8+0+B60),100)/100)</f>
        <v/>
      </c>
      <c r="O35">
        <f>IF(C35,Skills!G2*N35*B64*IF(Inputs!$B$4="pvp",1,(1-Summary!$B$55)*(1)+Summary!$B$55*(MIN((6+Inputs!$B$32),Inputs!$B$37))),0)</f>
        <v/>
      </c>
      <c r="P35">
        <f>IF(B68=0,0,O35/B68)</f>
        <v/>
      </c>
      <c r="Q35" t="n">
        <v>0</v>
      </c>
      <c r="R35" t="n">
        <v>0</v>
      </c>
      <c r="S35">
        <f>IFERROR(O35/N35,0)</f>
        <v/>
      </c>
      <c r="U35">
        <f>MAX(0,(Inputs!$B$3-100)*3)+Inputs!$B$27+Inputs!$B$28</f>
        <v/>
      </c>
    </row>
    <row r="36">
      <c r="A36">
        <f>Skills!A3</f>
        <v/>
      </c>
      <c r="B36">
        <f>Skills!B3</f>
        <v/>
      </c>
      <c r="C36">
        <f>Inputs!$B$3&gt;=50</f>
        <v/>
      </c>
      <c r="D36">
        <f>IF(Skills!C3=1,60+Inputs!$B$24+Inputs!$B$28,IF(Skills!C3=2,90+Inputs!$B$25+Inputs!$B$28,IF(Skills!C3=3,120+Inputs!$B$26+Inputs!$B$28,MAX(0,(Inputs!$B$3-100)*3)+Inputs!$B$27+Inputs!$B$28)))</f>
        <v/>
      </c>
      <c r="E36">
        <f>INDEX(FactorTable!$B$2:$Y$301, MATCH(ROUND(MIN(300,MAX(1,D36)),0), FactorTable!$A$2:$A$301,0), Skills!M3+1)</f>
        <v/>
      </c>
      <c r="F36">
        <f>IF(Skills!N3=TRUE,(Skills!L3/10)*(E36/1000),Skills!L3/10)+Skills!O3</f>
        <v/>
      </c>
      <c r="G36" t="inlineStr"/>
      <c r="H36" t="inlineStr"/>
      <c r="I36" t="inlineStr">
        <is>
          <t>1</t>
        </is>
      </c>
      <c r="J36" t="inlineStr"/>
      <c r="K36" t="inlineStr"/>
      <c r="L36" t="inlineStr"/>
      <c r="M36" t="inlineStr"/>
      <c r="N36" t="inlineStr"/>
      <c r="O36" t="inlineStr"/>
      <c r="P36" t="inlineStr"/>
      <c r="Q36" t="inlineStr"/>
      <c r="R36" t="inlineStr"/>
      <c r="S36" t="inlineStr"/>
      <c r="U36">
        <f>INDEX(FactorTable!$B$2:$Y$301, MATCH(ROUND(MIN(300,MAX(1,U35)),0), FactorTable!$A$2:$A$301,0), 22)</f>
        <v/>
      </c>
    </row>
    <row r="37">
      <c r="A37">
        <f>Skills!A4</f>
        <v/>
      </c>
      <c r="B37">
        <f>Skills!B4</f>
        <v/>
      </c>
      <c r="C37">
        <f>Inputs!$B$3&gt;=35</f>
        <v/>
      </c>
      <c r="D37">
        <f>IF(Skills!C4=1,60+Inputs!$B$24+Inputs!$B$28,IF(Skills!C4=2,90+Inputs!$B$25+Inputs!$B$28,IF(Skills!C4=3,120+Inputs!$B$26+Inputs!$B$28,MAX(0,(Inputs!$B$3-100)*3)+Inputs!$B$27+Inputs!$B$28)))</f>
        <v/>
      </c>
      <c r="E37">
        <f>INDEX(FactorTable!$B$2:$Y$301, MATCH(ROUND(MIN(300,MAX(1,D37)),0), FactorTable!$A$2:$A$301,0), Skills!M4+1)</f>
        <v/>
      </c>
      <c r="F37">
        <f>IF(Skills!N4=TRUE,(Skills!L4/10)*(E37/1000),Skills!L4/10)+Skills!O4</f>
        <v/>
      </c>
      <c r="G37">
        <f>Skills!G4*IF(Skills!H4&gt;0,Skills!I4/Skills!H4,1)</f>
        <v/>
      </c>
      <c r="H37">
        <f>1-(1-Skills!J4/100)^Skills!K4</f>
        <v/>
      </c>
      <c r="I37" t="inlineStr">
        <is>
          <t>1</t>
        </is>
      </c>
      <c r="J37">
        <f>(Inputs!$B$5*(1+Inputs!$B$6/100))*(F37/100)</f>
        <v/>
      </c>
      <c r="K37">
        <f>J37*(1+(((Inputs!$B$11+1)*(1+Inputs!$B$12/100))*0.01+Inputs!$B$13*0.0025)/100)*(1+Inputs!$B$14/100)*(1+IF(Inputs!$B$4="pvp",0,(1-Summary!$B$55)*(Inputs!$B$19+0+Skills!P4)+Summary!$B$55*(Inputs!$B$20+Skills!Q4))/100)*(1+Inputs!$B$15/100)*(5000/(6000+Inputs!$B$7*(1-(Inputs!$B$18+0)/100)))*(1+(Inputs!$B$23+0+B66)/100)*(1+4.0*IF(C45=TRUE,F45,0)/100)*(1+(IF(Skills!A4="BLAST",Inputs!$B$16+((C54=TRUE)*(F54-Calc!F21)),Inputs!$B$17+((C56=TRUE)*(F56-Calc!F23))))/100)*((1+(((C46=TRUE)*F46*MIN(1,Skills!T13*(Skills!J13/100)*B64))+((C51=TRUE)*F51*IF(AND(Inputs!$B$4&lt;&gt;"pvp",Inputs!$B$35&gt;0),(((S51-1)*(Skills!T18*(1+Inputs!$B$33/100))+MIN((Skills!T18*(1+Inputs!$B$33/100)),MAX(0,Inputs!$B$35-((S51-1)*Skills!D18))))/Inputs!$B$35),IF(Inputs!$B$4="pvp",MIN((Skills!T18*(1+Inputs!$B$33/100)),15)/15,(Skills!T18*(1+Inputs!$B$33/100))/Skills!D18)))+0)/100)*I37)</f>
        <v/>
      </c>
      <c r="L37">
        <f>K37*(MIN(Inputs!$B$21+((C55=TRUE)*(F55-Calc!F22)),Inputs!$B$22+((C57=TRUE)*(F57-Calc!F24)))/100+(Inputs!$B$22+((C57=TRUE)*(F57-Calc!F24)))/100)/2</f>
        <v/>
      </c>
      <c r="M37">
        <f>L37*(1+(Inputs!$B$9+0+B65)/100)</f>
        <v/>
      </c>
      <c r="N37">
        <f>L37*(1-MIN((Inputs!$B$8+0+B60),100)/100)+M37*(MIN((Inputs!$B$8+0+B60),100)/100)</f>
        <v/>
      </c>
      <c r="O37">
        <f>IF(C37,H37*N37*IF(AND(Inputs!$B$4&lt;&gt;"pvp",Inputs!$B$35&gt;0),((Skills!G4*((R37-1)*IF(Skills!H4&gt;0,Skills!I4/Skills!H4,1)+IF(Skills!H4&gt;0,MIN(Skills!I4,MAX(0,Inputs!$B$35-((R37-1)*IF(Inputs!$B$4="pvp",15,MAX(0.1,Skills!D4-IF(Skills!E4=TRUE,Inputs!$B$31,0))))))/Skills!H4,1)))/Inputs!$B$35),G37*Q37)*IF(Inputs!$B$4="pvp",1,(1-Summary!$B$55)*(1)+Summary!$B$55*(MIN(Skills!R4,Inputs!$B$37))),0)</f>
        <v/>
      </c>
      <c r="P37">
        <f>IF(B68=0,0,O37/B68)</f>
        <v/>
      </c>
      <c r="Q37">
        <f>IFERROR(1/IF(Inputs!$B$4="pvp",15,MAX(0.1,Skills!D4-IF(Skills!E4=TRUE,Inputs!$B$31,0))),0)</f>
        <v/>
      </c>
      <c r="R37">
        <f>IF(AND(Inputs!$B$4&lt;&gt;"pvp",Inputs!$B$35&gt;0),(INT(Inputs!$B$35/IF(Inputs!$B$4="pvp",15,MAX(0.1,Skills!D4-IF(Skills!E4=TRUE,Inputs!$B$31,0))))+1),0)</f>
        <v/>
      </c>
      <c r="S37">
        <f>IFERROR(O37/N37,0)</f>
        <v/>
      </c>
      <c r="U37">
        <f>290*U36/1000</f>
        <v/>
      </c>
    </row>
    <row r="38">
      <c r="A38">
        <f>Skills!A5</f>
        <v/>
      </c>
      <c r="B38">
        <f>Skills!B5</f>
        <v/>
      </c>
      <c r="C38">
        <f>Inputs!$B$3&gt;=66</f>
        <v/>
      </c>
      <c r="D38">
        <f>IF(Skills!C5=1,60+Inputs!$B$24+Inputs!$B$28,IF(Skills!C5=2,90+Inputs!$B$25+Inputs!$B$28,IF(Skills!C5=3,120+Inputs!$B$26+Inputs!$B$28,MAX(0,(Inputs!$B$3-100)*3)+Inputs!$B$27+Inputs!$B$28)))</f>
        <v/>
      </c>
      <c r="E38">
        <f>INDEX(FactorTable!$B$2:$Y$301, MATCH(ROUND(MIN(300,MAX(1,D38)),0), FactorTable!$A$2:$A$301,0), Skills!M5+1)</f>
        <v/>
      </c>
      <c r="F38">
        <f>IF(Skills!N5=TRUE,(Skills!L5/10)*(E38/1000),Skills!L5/10)+Skills!O5</f>
        <v/>
      </c>
      <c r="G38">
        <f>Skills!G5*IF(Skills!H5&gt;0,Skills!I5/Skills!H5,1)</f>
        <v/>
      </c>
      <c r="H38">
        <f>1-(1-Skills!J5/100)^Skills!K5</f>
        <v/>
      </c>
      <c r="I38" t="inlineStr">
        <is>
          <t>1</t>
        </is>
      </c>
      <c r="J38">
        <f>(Inputs!$B$5*(1+Inputs!$B$6/100))*(F38/100)</f>
        <v/>
      </c>
      <c r="K38">
        <f>J38*(1+(((Inputs!$B$11+1)*(1+Inputs!$B$12/100))*0.01+Inputs!$B$13*0.0025)/100)*(1+Inputs!$B$14/100)*(1+IF(Inputs!$B$4="pvp",0,(1-Summary!$B$55)*(Inputs!$B$19+0+Skills!P5)+Summary!$B$55*(Inputs!$B$20+Skills!Q5))/100)*(1+Inputs!$B$15/100)*(5000/(6000+Inputs!$B$7*(1-(Inputs!$B$18+0)/100)))*(1+(Inputs!$B$23+0+B66)/100)*(1+1.0*IF(C45=TRUE,F45,0)/100)*(1+(IF(Skills!A5="BLAST",Inputs!$B$16+((C54=TRUE)*(F54-Calc!F21)),Inputs!$B$17+((C56=TRUE)*(F56-Calc!F23))))/100)*((1+(((C46=TRUE)*F46*MIN(1,Skills!T13*(Skills!J13/100)*B64))+((C51=TRUE)*F51*IF(AND(Inputs!$B$4&lt;&gt;"pvp",Inputs!$B$35&gt;0),(((S51-1)*(Skills!T18*(1+Inputs!$B$33/100))+MIN((Skills!T18*(1+Inputs!$B$33/100)),MAX(0,Inputs!$B$35-((S51-1)*Skills!D18))))/Inputs!$B$35),IF(Inputs!$B$4="pvp",MIN((Skills!T18*(1+Inputs!$B$33/100)),15)/15,(Skills!T18*(1+Inputs!$B$33/100))/Skills!D18)))+0)/100)*I38)</f>
        <v/>
      </c>
      <c r="L38">
        <f>K38*(MIN(Inputs!$B$21+((C55=TRUE)*(F55-Calc!F22)),Inputs!$B$22+((C57=TRUE)*(F57-Calc!F24)))/100+(Inputs!$B$22+((C57=TRUE)*(F57-Calc!F24)))/100)/2</f>
        <v/>
      </c>
      <c r="M38">
        <f>L38*(1+(Inputs!$B$9+0+B65)/100)</f>
        <v/>
      </c>
      <c r="N38">
        <f>L38*(1-MIN((Inputs!$B$8+0+B60),100)/100)+M38*(MIN((Inputs!$B$8+0+B60),100)/100)</f>
        <v/>
      </c>
      <c r="O38">
        <f>IF(C38,H38*N38*IF(AND(Inputs!$B$4&lt;&gt;"pvp",Inputs!$B$35&gt;0),((Skills!G5*((R38-1)*IF(Skills!H5&gt;0,Skills!I5/Skills!H5,1)+IF(Skills!H5&gt;0,MIN(Skills!I5,MAX(0,Inputs!$B$35-((R38-1)*IF(Inputs!$B$4="pvp",15,MAX(0.1,Skills!D5-IF(Skills!E5=TRUE,Inputs!$B$31,0))))))/Skills!H5,1)))/Inputs!$B$35),G38*Q38)*IF(Inputs!$B$4="pvp",1,(1-Summary!$B$55)*(1)+Summary!$B$55*(MIN(Skills!R5,Inputs!$B$37))),0)</f>
        <v/>
      </c>
      <c r="P38">
        <f>IF(B68=0,0,O38/B68)</f>
        <v/>
      </c>
      <c r="Q38">
        <f>IFERROR(1/IF(Inputs!$B$4="pvp",15,MAX(0.1,Skills!D5-IF(Skills!E5=TRUE,Inputs!$B$31,0))),0)</f>
        <v/>
      </c>
      <c r="R38">
        <f>IF(AND(Inputs!$B$4&lt;&gt;"pvp",Inputs!$B$35&gt;0),(INT(Inputs!$B$35/IF(Inputs!$B$4="pvp",15,MAX(0.1,Skills!D5-IF(Skills!E5=TRUE,Inputs!$B$31,0))))+1),0)</f>
        <v/>
      </c>
      <c r="S38">
        <f>IFERROR(O38/N38,0)</f>
        <v/>
      </c>
    </row>
    <row r="39">
      <c r="A39">
        <f>Skills!A6</f>
        <v/>
      </c>
      <c r="B39">
        <f>Skills!B6</f>
        <v/>
      </c>
      <c r="C39">
        <f>Inputs!$B$3&gt;=103</f>
        <v/>
      </c>
      <c r="D39">
        <f>IF(Skills!C6=1,60+Inputs!$B$24+Inputs!$B$28,IF(Skills!C6=2,90+Inputs!$B$25+Inputs!$B$28,IF(Skills!C6=3,120+Inputs!$B$26+Inputs!$B$28,MAX(0,(Inputs!$B$3-100)*3)+Inputs!$B$27+Inputs!$B$28)))</f>
        <v/>
      </c>
      <c r="E39">
        <f>INDEX(FactorTable!$B$2:$Y$301, MATCH(ROUND(MIN(300,MAX(1,D39)),0), FactorTable!$A$2:$A$301,0), Skills!M6+1)</f>
        <v/>
      </c>
      <c r="F39">
        <f>IF(Skills!N6=TRUE,(Skills!L6/10)*(E39/1000),Skills!L6/10)+Skills!O6</f>
        <v/>
      </c>
      <c r="G39">
        <f>Skills!G6*IF(Skills!H6&gt;0,Skills!I6/Skills!H6,1)</f>
        <v/>
      </c>
      <c r="H39">
        <f>1-(1-Skills!J6/100)^Skills!K6</f>
        <v/>
      </c>
      <c r="I39" t="inlineStr">
        <is>
          <t>1</t>
        </is>
      </c>
      <c r="J39">
        <f>(Inputs!$B$5*(1+Inputs!$B$6/100))*(F39/100)</f>
        <v/>
      </c>
      <c r="K39">
        <f>J39*(1+(((Inputs!$B$11+1)*(1+Inputs!$B$12/100))*0.01+Inputs!$B$13*0.0025)/100)*(1+Inputs!$B$14/100)*(1+IF(Inputs!$B$4="pvp",0,(1-Summary!$B$55)*(Inputs!$B$19+0+Skills!P6)+Summary!$B$55*(Inputs!$B$20+Skills!Q6))/100)*(1+Inputs!$B$15/100)*(5000/(6000+Inputs!$B$7*(1-(Inputs!$B$18+0)/100)))*(1+(Inputs!$B$23+0+B66)/100)*(1+(IF(Skills!A6="BLAST",Inputs!$B$16+((C54=TRUE)*(F54-Calc!F21)),Inputs!$B$17+((C56=TRUE)*(F56-Calc!F23))))/100)*((1+(((C46=TRUE)*F46*MIN(1,Skills!T13*(Skills!J13/100)*B64))+((C51=TRUE)*F51*IF(AND(Inputs!$B$4&lt;&gt;"pvp",Inputs!$B$35&gt;0),(((S51-1)*(Skills!T18*(1+Inputs!$B$33/100))+MIN((Skills!T18*(1+Inputs!$B$33/100)),MAX(0,Inputs!$B$35-((S51-1)*Skills!D18))))/Inputs!$B$35),IF(Inputs!$B$4="pvp",MIN((Skills!T18*(1+Inputs!$B$33/100)),15)/15,(Skills!T18*(1+Inputs!$B$33/100))/Skills!D18)))+0)/100)*I39)</f>
        <v/>
      </c>
      <c r="L39">
        <f>K39*(MIN(Inputs!$B$21+((C55=TRUE)*(F55-Calc!F22)),Inputs!$B$22+((C57=TRUE)*(F57-Calc!F24)))/100+(Inputs!$B$22+((C57=TRUE)*(F57-Calc!F24)))/100)/2</f>
        <v/>
      </c>
      <c r="M39">
        <f>L39*(1+(Inputs!$B$9+0+B65)/100)</f>
        <v/>
      </c>
      <c r="N39">
        <f>L39*(1-MIN((Inputs!$B$8+0+B60),100)/100)+M39*(MIN((Inputs!$B$8+0+B60),100)/100)</f>
        <v/>
      </c>
      <c r="O39">
        <f>IF(C39,H39*N39*IF(AND(Inputs!$B$4&lt;&gt;"pvp",Inputs!$B$35&gt;0),((Skills!G6*((R39-1)*IF(Skills!H6&gt;0,Skills!I6/Skills!H6,1)+IF(Skills!H6&gt;0,MIN(Skills!I6,MAX(0,Inputs!$B$35-((R39-1)*IF(Inputs!$B$4="pvp",15,MAX(0.1,Skills!D6-IF(Skills!E6=TRUE,Inputs!$B$31,0))))))/Skills!H6,1)))/Inputs!$B$35),G39*Q39)*IF(Inputs!$B$4="pvp",1,(1-Summary!$B$55)*(1)+Summary!$B$55*(MIN(Skills!R6,Inputs!$B$37))),0)</f>
        <v/>
      </c>
      <c r="P39">
        <f>IF(B68=0,0,O39/B68)</f>
        <v/>
      </c>
      <c r="Q39">
        <f>IFERROR(1/IF(Inputs!$B$4="pvp",15,MAX(0.1,Skills!D6-IF(Skills!E6=TRUE,Inputs!$B$31,0))),0)</f>
        <v/>
      </c>
      <c r="R39">
        <f>IF(AND(Inputs!$B$4&lt;&gt;"pvp",Inputs!$B$35&gt;0),(INT(Inputs!$B$35/IF(Inputs!$B$4="pvp",15,MAX(0.1,Skills!D6-IF(Skills!E6=TRUE,Inputs!$B$31,0))))+1),0)</f>
        <v/>
      </c>
      <c r="S39">
        <f>IFERROR(O39/N39,0)</f>
        <v/>
      </c>
    </row>
    <row r="40">
      <c r="A40">
        <f>Skills!A7</f>
        <v/>
      </c>
      <c r="B40">
        <f>Skills!B7</f>
        <v/>
      </c>
      <c r="C40">
        <f>Inputs!$B$3&gt;=107</f>
        <v/>
      </c>
      <c r="D40">
        <f>IF(Skills!C7=1,60+Inputs!$B$24+Inputs!$B$28,IF(Skills!C7=2,90+Inputs!$B$25+Inputs!$B$28,IF(Skills!C7=3,120+Inputs!$B$26+Inputs!$B$28,MAX(0,(Inputs!$B$3-100)*3)+Inputs!$B$27+Inputs!$B$28)))</f>
        <v/>
      </c>
      <c r="E40">
        <f>INDEX(FactorTable!$B$2:$Y$301, MATCH(ROUND(MIN(300,MAX(1,D40)),0), FactorTable!$A$2:$A$301,0), Skills!M7+1)</f>
        <v/>
      </c>
      <c r="F40">
        <f>IF(Skills!N7=TRUE,(Skills!L7/10)*(E40/1000),Skills!L7/10)+Skills!O7</f>
        <v/>
      </c>
      <c r="G40">
        <f>Skills!G7*IF(Skills!H7&gt;0,Skills!I7/Skills!H7,1)</f>
        <v/>
      </c>
      <c r="H40">
        <f>1-(1-Skills!J7/100)^Skills!K7</f>
        <v/>
      </c>
      <c r="I40" t="inlineStr">
        <is>
          <t>1</t>
        </is>
      </c>
      <c r="J40">
        <f>(Inputs!$B$5*(1+Inputs!$B$6/100))*(F40/100)</f>
        <v/>
      </c>
      <c r="K40">
        <f>J40*(1+(((Inputs!$B$11+1)*(1+Inputs!$B$12/100))*0.01+Inputs!$B$13*0.0025)/100)*(1+Inputs!$B$14/100)*(1+IF(Inputs!$B$4="pvp",0,(1-Summary!$B$55)*(Inputs!$B$19+0+Skills!P7)+Summary!$B$55*(Inputs!$B$20+Skills!Q7))/100)*(1+Inputs!$B$15/100)*(5000/(6000+Inputs!$B$7*(1-(Inputs!$B$18+0)/100)))*(1+(Inputs!$B$23+0+B66)/100)*(1+(IF(Skills!A7="BLAST",Inputs!$B$16+((C54=TRUE)*(F54-Calc!F21)),Inputs!$B$17+((C56=TRUE)*(F56-Calc!F23))))/100)*((1+(((C46=TRUE)*F46*MIN(1,Skills!T13*(Skills!J13/100)*B64))+((C51=TRUE)*F51*IF(AND(Inputs!$B$4&lt;&gt;"pvp",Inputs!$B$35&gt;0),(((S51-1)*(Skills!T18*(1+Inputs!$B$33/100))+MIN((Skills!T18*(1+Inputs!$B$33/100)),MAX(0,Inputs!$B$35-((S51-1)*Skills!D18))))/Inputs!$B$35),IF(Inputs!$B$4="pvp",MIN((Skills!T18*(1+Inputs!$B$33/100)),15)/15,(Skills!T18*(1+Inputs!$B$33/100))/Skills!D18)))+0)/100)*I40)</f>
        <v/>
      </c>
      <c r="L40">
        <f>K40*(MIN(Inputs!$B$21+((C55=TRUE)*(F55-Calc!F22)),Inputs!$B$22+((C57=TRUE)*(F57-Calc!F24)))/100+(Inputs!$B$22+((C57=TRUE)*(F57-Calc!F24)))/100)/2</f>
        <v/>
      </c>
      <c r="M40">
        <f>L40*(1+(Inputs!$B$9+0+B65)/100)</f>
        <v/>
      </c>
      <c r="N40">
        <f>L40*(1-MIN((Inputs!$B$8+0+B60),100)/100)+M40*(MIN((Inputs!$B$8+0+B60),100)/100)</f>
        <v/>
      </c>
      <c r="O40">
        <f>IF(C40,H40*N40*IF(AND(Inputs!$B$4&lt;&gt;"pvp",Inputs!$B$35&gt;0),((Skills!G7*((R40-1)*IF(Skills!H7&gt;0,Skills!I7/Skills!H7,1)+IF(Skills!H7&gt;0,MIN(Skills!I7,MAX(0,Inputs!$B$35-((R40-1)*IF(Inputs!$B$4="pvp",15,MAX(0.1,Skills!D7-IF(Skills!E7=TRUE,Inputs!$B$31,0))))))/Skills!H7,1)))/Inputs!$B$35),G40*Q40)*IF(Inputs!$B$4="pvp",1,(1-Summary!$B$55)*(1)+Summary!$B$55*(MIN(Skills!R7,Inputs!$B$37))),0)</f>
        <v/>
      </c>
      <c r="P40">
        <f>IF(B68=0,0,O40/B68)</f>
        <v/>
      </c>
      <c r="Q40">
        <f>IFERROR(1/IF(Inputs!$B$4="pvp",15,MAX(0.1,Skills!D7-IF(Skills!E7=TRUE,Inputs!$B$31,0))),0)</f>
        <v/>
      </c>
      <c r="R40">
        <f>IF(AND(Inputs!$B$4&lt;&gt;"pvp",Inputs!$B$35&gt;0),(INT(Inputs!$B$35/IF(Inputs!$B$4="pvp",15,MAX(0.1,Skills!D7-IF(Skills!E7=TRUE,Inputs!$B$31,0))))+1),0)</f>
        <v/>
      </c>
      <c r="S40">
        <f>IFERROR(O40/N40,0)</f>
        <v/>
      </c>
    </row>
    <row r="41">
      <c r="A41">
        <f>Skills!A8</f>
        <v/>
      </c>
      <c r="B41">
        <f>Skills!B8</f>
        <v/>
      </c>
      <c r="C41">
        <f>Inputs!$B$3&gt;=107</f>
        <v/>
      </c>
      <c r="D41">
        <f>IF(Skills!C8=1,60+Inputs!$B$24+Inputs!$B$28,IF(Skills!C8=2,90+Inputs!$B$25+Inputs!$B$28,IF(Skills!C8=3,120+Inputs!$B$26+Inputs!$B$28,MAX(0,(Inputs!$B$3-100)*3)+Inputs!$B$27+Inputs!$B$28)))</f>
        <v/>
      </c>
      <c r="E41">
        <f>INDEX(FactorTable!$B$2:$Y$301, MATCH(ROUND(MIN(300,MAX(1,D41)),0), FactorTable!$A$2:$A$301,0), Skills!M8+1)</f>
        <v/>
      </c>
      <c r="F41">
        <f>IF(Skills!N8=TRUE,(Skills!L8/10)*(E41/1000),Skills!L8/10)+Skills!O8</f>
        <v/>
      </c>
      <c r="G41">
        <f>Skills!G8*IF(Skills!H8&gt;0,Skills!I8/Skills!H8,1)</f>
        <v/>
      </c>
      <c r="H41">
        <f>1-(1-Skills!J8/100)^Skills!K8</f>
        <v/>
      </c>
      <c r="I41" t="inlineStr">
        <is>
          <t>1</t>
        </is>
      </c>
      <c r="J41">
        <f>(Inputs!$B$5*(1+Inputs!$B$6/100))*(F41/100)</f>
        <v/>
      </c>
      <c r="K41">
        <f>J41*(1+(((Inputs!$B$11+1)*(1+Inputs!$B$12/100))*0.01+Inputs!$B$13*0.0025)/100)*(1+Inputs!$B$14/100)*(1+IF(Inputs!$B$4="pvp",0,(1-Summary!$B$55)*(Inputs!$B$19+0+Skills!P8)+Summary!$B$55*(Inputs!$B$20+Skills!Q8))/100)*(1+Inputs!$B$15/100)*(5000/(6000+Inputs!$B$7*(1-(Inputs!$B$18+0)/100)))*(1+(Inputs!$B$23+0+B66)/100)*(1+(IF(Skills!A8="BLAST",Inputs!$B$16+((C54=TRUE)*(F54-Calc!F21)),Inputs!$B$17+((C56=TRUE)*(F56-Calc!F23))))/100)*((1+(((C46=TRUE)*F46*MIN(1,Skills!T13*(Skills!J13/100)*B64))+((C51=TRUE)*F51*IF(AND(Inputs!$B$4&lt;&gt;"pvp",Inputs!$B$35&gt;0),(((S51-1)*(Skills!T18*(1+Inputs!$B$33/100))+MIN((Skills!T18*(1+Inputs!$B$33/100)),MAX(0,Inputs!$B$35-((S51-1)*Skills!D18))))/Inputs!$B$35),IF(Inputs!$B$4="pvp",MIN((Skills!T18*(1+Inputs!$B$33/100)),15)/15,(Skills!T18*(1+Inputs!$B$33/100))/Skills!D18)))+0)/100)*I41)</f>
        <v/>
      </c>
      <c r="L41">
        <f>K41*(MIN(Inputs!$B$21+((C55=TRUE)*(F55-Calc!F22)),Inputs!$B$22+((C57=TRUE)*(F57-Calc!F24)))/100+(Inputs!$B$22+((C57=TRUE)*(F57-Calc!F24)))/100)/2</f>
        <v/>
      </c>
      <c r="M41">
        <f>L41*(1+(Inputs!$B$9+0+B65)/100)</f>
        <v/>
      </c>
      <c r="N41">
        <f>L41*(1-MIN((Inputs!$B$8+0+B60),100)/100)+M41*(MIN((Inputs!$B$8+0+B60),100)/100)</f>
        <v/>
      </c>
      <c r="O41">
        <f>IF(C41,H41*N41*IF(AND(Inputs!$B$4&lt;&gt;"pvp",Inputs!$B$35&gt;0),((Skills!G8*((R41-1)*IF(Skills!H8&gt;0,Skills!I8/Skills!H8,1)+IF(Skills!H8&gt;0,MIN(Skills!I8,MAX(0,Inputs!$B$35-((R41-1)*IF(Inputs!$B$4="pvp",15,MAX(0.1,Skills!D8-IF(Skills!E8=TRUE,Inputs!$B$31,0))))))/Skills!H8,1)))/Inputs!$B$35),G41*Q41)*IF(Inputs!$B$4="pvp",1,(1-Summary!$B$55)*(1)+Summary!$B$55*(MIN(Skills!R8,Inputs!$B$37))),0)</f>
        <v/>
      </c>
      <c r="P41">
        <f>IF(B68=0,0,O41/B68)</f>
        <v/>
      </c>
      <c r="Q41">
        <f>IFERROR(1/IF(Inputs!$B$4="pvp",15,MAX(0.1,Skills!D8-IF(Skills!E8=TRUE,Inputs!$B$31,0))),0)</f>
        <v/>
      </c>
      <c r="R41">
        <f>IF(AND(Inputs!$B$4&lt;&gt;"pvp",Inputs!$B$35&gt;0),(INT(Inputs!$B$35/IF(Inputs!$B$4="pvp",15,MAX(0.1,Skills!D8-IF(Skills!E8=TRUE,Inputs!$B$31,0))))+1),0)</f>
        <v/>
      </c>
      <c r="S41">
        <f>IFERROR(O41/N41,0)</f>
        <v/>
      </c>
    </row>
    <row r="42">
      <c r="A42">
        <f>Skills!A9</f>
        <v/>
      </c>
      <c r="B42">
        <f>Skills!B9</f>
        <v/>
      </c>
      <c r="C42">
        <f>Inputs!$B$3&gt;=125</f>
        <v/>
      </c>
      <c r="D42">
        <f>IF(Skills!C9=1,60+Inputs!$B$24+Inputs!$B$28,IF(Skills!C9=2,90+Inputs!$B$25+Inputs!$B$28,IF(Skills!C9=3,120+Inputs!$B$26+Inputs!$B$28,MAX(0,(Inputs!$B$3-100)*3)+Inputs!$B$27+Inputs!$B$28)))</f>
        <v/>
      </c>
      <c r="E42">
        <f>INDEX(FactorTable!$B$2:$Y$301, MATCH(ROUND(MIN(300,MAX(1,D42)),0), FactorTable!$A$2:$A$301,0), Skills!M9+1)</f>
        <v/>
      </c>
      <c r="F42">
        <f>IF(Skills!N9=TRUE,(Skills!L9/10)*(E42/1000),Skills!L9/10)+Skills!O9</f>
        <v/>
      </c>
      <c r="G42">
        <f>Skills!G9*IF(Skills!H9&gt;0,Skills!I9/Skills!H9,1)</f>
        <v/>
      </c>
      <c r="H42">
        <f>1-(1-Skills!J9/100)^Skills!K9</f>
        <v/>
      </c>
      <c r="I42" t="inlineStr">
        <is>
          <t>1</t>
        </is>
      </c>
      <c r="J42">
        <f>(Inputs!$B$5*(1+Inputs!$B$6/100))*(F42/100)</f>
        <v/>
      </c>
      <c r="K42">
        <f>J42*(1+(((Inputs!$B$11+1)*(1+Inputs!$B$12/100))*0.01+Inputs!$B$13*0.0025)/100)*(1+Inputs!$B$14/100)*(1+IF(Inputs!$B$4="pvp",0,(1-Summary!$B$55)*(Inputs!$B$19+0+Skills!P9)+Summary!$B$55*(Inputs!$B$20+Skills!Q9))/100)*(1+Inputs!$B$15/100)*(5000/(6000+Inputs!$B$7*(1-(Inputs!$B$18+0)/100)))*(1+(Inputs!$B$23+0+B66)/100)*(1+(IF(Skills!A9="BLAST",Inputs!$B$16+((C54=TRUE)*(F54-Calc!F21)),Inputs!$B$17+((C56=TRUE)*(F56-Calc!F23))))/100)*((1+(((C46=TRUE)*F46*MIN(1,Skills!T13*(Skills!J13/100)*B64))+((C51=TRUE)*F51*IF(AND(Inputs!$B$4&lt;&gt;"pvp",Inputs!$B$35&gt;0),(((S51-1)*(Skills!T18*(1+Inputs!$B$33/100))+MIN((Skills!T18*(1+Inputs!$B$33/100)),MAX(0,Inputs!$B$35-((S51-1)*Skills!D18))))/Inputs!$B$35),IF(Inputs!$B$4="pvp",MIN((Skills!T18*(1+Inputs!$B$33/100)),15)/15,(Skills!T18*(1+Inputs!$B$33/100))/Skills!D18)))+0)/100)*I42)</f>
        <v/>
      </c>
      <c r="L42">
        <f>K42*(MIN(Inputs!$B$21+((C55=TRUE)*(F55-Calc!F22)),Inputs!$B$22+((C57=TRUE)*(F57-Calc!F24)))/100+(Inputs!$B$22+((C57=TRUE)*(F57-Calc!F24)))/100)/2</f>
        <v/>
      </c>
      <c r="M42">
        <f>L42*(1+(Inputs!$B$9+0+B65)/100)</f>
        <v/>
      </c>
      <c r="N42">
        <f>L42*(1-MIN((Inputs!$B$8+0+B60),100)/100)+M42*(MIN((Inputs!$B$8+0+B60),100)/100)</f>
        <v/>
      </c>
      <c r="O42">
        <f>IF(C42,H42*N42*IF(AND(Inputs!$B$4&lt;&gt;"pvp",Inputs!$B$35&gt;0),((Skills!G9*((R42-1)*IF(Skills!H9&gt;0,Skills!I9/Skills!H9,1)+IF(Skills!H9&gt;0,MIN(Skills!I9,MAX(0,Inputs!$B$35-((R42-1)*IF(Inputs!$B$4="pvp",15,MAX(0.1,Skills!D9-IF(Skills!E9=TRUE,Inputs!$B$31,0))))))/Skills!H9,1)))/Inputs!$B$35),G42*Q42)*IF(Inputs!$B$4="pvp",1,(1-Summary!$B$55)*(1)+Summary!$B$55*(MIN(Skills!R9,Inputs!$B$37))),0)</f>
        <v/>
      </c>
      <c r="P42">
        <f>IF(B68=0,0,O42/B68)</f>
        <v/>
      </c>
      <c r="Q42">
        <f>IFERROR(1/IF(Inputs!$B$4="pvp",15,MAX(0.1,Skills!D9-IF(Skills!E9=TRUE,Inputs!$B$31,0))),0)</f>
        <v/>
      </c>
      <c r="R42">
        <f>IF(AND(Inputs!$B$4&lt;&gt;"pvp",Inputs!$B$35&gt;0),(INT(Inputs!$B$35/IF(Inputs!$B$4="pvp",15,MAX(0.1,Skills!D9-IF(Skills!E9=TRUE,Inputs!$B$31,0))))+1),0)</f>
        <v/>
      </c>
      <c r="S42">
        <f>IFERROR(O42/N42,0)</f>
        <v/>
      </c>
    </row>
    <row r="43">
      <c r="A43">
        <f>Skills!A10</f>
        <v/>
      </c>
      <c r="B43">
        <f>Skills!B10</f>
        <v/>
      </c>
      <c r="C43">
        <f>Inputs!$B$3&gt;=117</f>
        <v/>
      </c>
      <c r="D43">
        <f>IF(Skills!C10=1,60+Inputs!$B$24+Inputs!$B$28,IF(Skills!C10=2,90+Inputs!$B$25+Inputs!$B$28,IF(Skills!C10=3,120+Inputs!$B$26+Inputs!$B$28,MAX(0,(Inputs!$B$3-100)*3)+Inputs!$B$27+Inputs!$B$28)))</f>
        <v/>
      </c>
      <c r="E43">
        <f>INDEX(FactorTable!$B$2:$Y$301, MATCH(ROUND(MIN(300,MAX(1,D43)),0), FactorTable!$A$2:$A$301,0), Skills!M10+1)</f>
        <v/>
      </c>
      <c r="F43">
        <f>IF(Skills!N10=TRUE,(Skills!L10/10)*(E43/1000),Skills!L10/10)+Skills!O10</f>
        <v/>
      </c>
      <c r="G43">
        <f>Skills!G10*IF(Skills!H10&gt;0,Skills!I10/Skills!H10,1)</f>
        <v/>
      </c>
      <c r="H43">
        <f>1-(1-Skills!J10/100)^Skills!K10</f>
        <v/>
      </c>
      <c r="I43" t="inlineStr">
        <is>
          <t>1</t>
        </is>
      </c>
      <c r="J43">
        <f>(Inputs!$B$5*(1+Inputs!$B$6/100))*(F43/100)</f>
        <v/>
      </c>
      <c r="K43">
        <f>J43*(1+(((Inputs!$B$11+1)*(1+Inputs!$B$12/100))*0.01+Inputs!$B$13*0.0025)/100)*(1+Inputs!$B$14/100)*(1+IF(Inputs!$B$4="pvp",0,(1-Summary!$B$55)*(Inputs!$B$19+0+Skills!P10)+Summary!$B$55*(Inputs!$B$20+Skills!Q10))/100)*(1+Inputs!$B$15/100)*(5000/(6000+Inputs!$B$7*(1-(Inputs!$B$18+0)/100)))*(1+(Inputs!$B$23+0+B66)/100)*(1+(IF(Skills!A10="BLAST",Inputs!$B$16+((C54=TRUE)*(F54-Calc!F21)),Inputs!$B$17+((C56=TRUE)*(F56-Calc!F23))))/100)*((1+(((C46=TRUE)*F46*MIN(1,Skills!T13*(Skills!J13/100)*B64))+((C51=TRUE)*F51*IF(AND(Inputs!$B$4&lt;&gt;"pvp",Inputs!$B$35&gt;0),(((S51-1)*(Skills!T18*(1+Inputs!$B$33/100))+MIN((Skills!T18*(1+Inputs!$B$33/100)),MAX(0,Inputs!$B$35-((S51-1)*Skills!D18))))/Inputs!$B$35),IF(Inputs!$B$4="pvp",MIN((Skills!T18*(1+Inputs!$B$33/100)),15)/15,(Skills!T18*(1+Inputs!$B$33/100))/Skills!D18)))+0)/100)*I43)</f>
        <v/>
      </c>
      <c r="L43">
        <f>K43*(MIN(Inputs!$B$21+((C55=TRUE)*(F55-Calc!F22)),Inputs!$B$22+((C57=TRUE)*(F57-Calc!F24)))/100+(Inputs!$B$22+((C57=TRUE)*(F57-Calc!F24)))/100)/2</f>
        <v/>
      </c>
      <c r="M43">
        <f>L43*(1+(Inputs!$B$9+0+B65)/100)</f>
        <v/>
      </c>
      <c r="N43">
        <f>L43*(1-MIN((Inputs!$B$8+0+B60),100)/100)+M43*(MIN((Inputs!$B$8+0+B60),100)/100)</f>
        <v/>
      </c>
      <c r="O43">
        <f>IF(C43,H43*N43*IF(AND(Inputs!$B$4&lt;&gt;"pvp",Inputs!$B$35&gt;0),((Skills!G10*((R43-1)*IF(Skills!H10&gt;0,Skills!I10/Skills!H10,1)+IF(Skills!H10&gt;0,MIN(Skills!I10,MAX(0,Inputs!$B$35-((R43-1)*IF(Inputs!$B$4="pvp",15,MAX(0.1,Skills!D10-IF(Skills!E10=TRUE,Inputs!$B$31,0))))))/Skills!H10,1)))/Inputs!$B$35),G43*Q43)*IF(Inputs!$B$4="pvp",1,(1-Summary!$B$55)*(1)+Summary!$B$55*(MIN(Skills!R10,Inputs!$B$37))),0)</f>
        <v/>
      </c>
      <c r="P43">
        <f>IF(B68=0,0,O43/B68)</f>
        <v/>
      </c>
      <c r="Q43">
        <f>IFERROR(1/IF(Inputs!$B$4="pvp",15,MAX(0.1,Skills!D10-IF(Skills!E10=TRUE,Inputs!$B$31,0))),0)</f>
        <v/>
      </c>
      <c r="R43">
        <f>IF(AND(Inputs!$B$4&lt;&gt;"pvp",Inputs!$B$35&gt;0),(INT(Inputs!$B$35/IF(Inputs!$B$4="pvp",15,MAX(0.1,Skills!D10-IF(Skills!E10=TRUE,Inputs!$B$31,0))))+1),0)</f>
        <v/>
      </c>
      <c r="S43">
        <f>IFERROR(O43/N43,0)</f>
        <v/>
      </c>
    </row>
    <row r="44">
      <c r="A44">
        <f>Skills!A11</f>
        <v/>
      </c>
      <c r="B44">
        <f>Skills!B11</f>
        <v/>
      </c>
      <c r="C44">
        <f>Inputs!$B$3&gt;=63</f>
        <v/>
      </c>
      <c r="D44">
        <f>IF(Skills!C11=1,60+Inputs!$B$24+Inputs!$B$28,IF(Skills!C11=2,90+Inputs!$B$25+Inputs!$B$28,IF(Skills!C11=3,120+Inputs!$B$26+Inputs!$B$28,MAX(0,(Inputs!$B$3-100)*3)+Inputs!$B$27+Inputs!$B$28)))</f>
        <v/>
      </c>
      <c r="E44">
        <f>INDEX(FactorTable!$B$2:$Y$301, MATCH(ROUND(MIN(300,MAX(1,D44)),0), FactorTable!$A$2:$A$301,0), Skills!M11+1)</f>
        <v/>
      </c>
      <c r="F44">
        <f>IF(Skills!N11=TRUE,(Skills!L11/10)*(E44/1000),Skills!L11/10)+Skills!O11</f>
        <v/>
      </c>
      <c r="G44">
        <f>Skills!G11*IF(Skills!H11&gt;0,Skills!I11/Skills!H11,1)</f>
        <v/>
      </c>
      <c r="H44">
        <f>1-(1-Skills!J11/100)^Skills!K11</f>
        <v/>
      </c>
      <c r="I44" t="inlineStr">
        <is>
          <t>1</t>
        </is>
      </c>
      <c r="J44">
        <f>(Inputs!$B$5*(1+Inputs!$B$6/100))*(F44/100)</f>
        <v/>
      </c>
      <c r="K44">
        <f>J44*(1+(((Inputs!$B$11+1)*(1+Inputs!$B$12/100))*0.01+Inputs!$B$13*0.0025)/100)*(1+Inputs!$B$14/100)*(1+IF(Inputs!$B$4="pvp",0,(1-Summary!$B$55)*(Inputs!$B$19+0+Skills!P11)+Summary!$B$55*(Inputs!$B$20+Skills!Q11))/100)*(1+Inputs!$B$15/100)*(5000/(6000+Inputs!$B$7*(1-(Inputs!$B$18+0)/100)))*(1+(Inputs!$B$23+0+B66)/100)*(1+1.5*IF(C45=TRUE,F45,0)/100)*(1+(IF(Skills!A11="BLAST",Inputs!$B$16+((C54=TRUE)*(F54-Calc!F21)),Inputs!$B$17+((C56=TRUE)*(F56-Calc!F23))))/100)*((1+(((C46=TRUE)*F46*MIN(1,Skills!T13*(Skills!J13/100)*B64))+((C51=TRUE)*F51*IF(AND(Inputs!$B$4&lt;&gt;"pvp",Inputs!$B$35&gt;0),(((S51-1)*(Skills!T18*(1+Inputs!$B$33/100))+MIN((Skills!T18*(1+Inputs!$B$33/100)),MAX(0,Inputs!$B$35-((S51-1)*Skills!D18))))/Inputs!$B$35),IF(Inputs!$B$4="pvp",MIN((Skills!T18*(1+Inputs!$B$33/100)),15)/15,(Skills!T18*(1+Inputs!$B$33/100))/Skills!D18)))+0)/100)*I44)</f>
        <v/>
      </c>
      <c r="L44">
        <f>K44*(MIN(Inputs!$B$21+((C55=TRUE)*(F55-Calc!F22)),Inputs!$B$22+((C57=TRUE)*(F57-Calc!F24)))/100+(Inputs!$B$22+((C57=TRUE)*(F57-Calc!F24)))/100)/2</f>
        <v/>
      </c>
      <c r="M44">
        <f>L44*(1+(Inputs!$B$9+0+B65)/100)</f>
        <v/>
      </c>
      <c r="N44">
        <f>L44*(1-MIN((Inputs!$B$8+0+B60),100)/100)+M44*(MIN((Inputs!$B$8+0+B60),100)/100)</f>
        <v/>
      </c>
      <c r="O44">
        <f>IF(C44,H44*N44*IF(AND(Inputs!$B$4&lt;&gt;"pvp",Inputs!$B$35&gt;0),((Skills!G11*((R44-1)*IF(Skills!H11&gt;0,Skills!I11/Skills!H11,1)+IF(Skills!H11&gt;0,MIN(Skills!I11,MAX(0,Inputs!$B$35-((R44-1)*IF(Inputs!$B$4="pvp",15,MAX(0.1,Skills!D11-IF(Skills!E11=TRUE,Inputs!$B$31,0))))))/Skills!H11,1)))/Inputs!$B$35),G44*Q44)*IF(Inputs!$B$4="pvp",1,(1-Summary!$B$55)*(1)+Summary!$B$55*(MIN(Skills!R11,Inputs!$B$37))),0)</f>
        <v/>
      </c>
      <c r="P44">
        <f>IF(B68=0,0,O44/B68)</f>
        <v/>
      </c>
      <c r="Q44">
        <f>IFERROR(1/IF(Inputs!$B$4="pvp",15,MAX(0.1,Skills!D11-IF(Skills!E11=TRUE,Inputs!$B$31,0))),0)</f>
        <v/>
      </c>
      <c r="R44">
        <f>IF(AND(Inputs!$B$4&lt;&gt;"pvp",Inputs!$B$35&gt;0),(INT(Inputs!$B$35/IF(Inputs!$B$4="pvp",15,MAX(0.1,Skills!D11-IF(Skills!E11=TRUE,Inputs!$B$31,0))))+1),0)</f>
        <v/>
      </c>
      <c r="S44">
        <f>IFERROR(O44/N44,0)</f>
        <v/>
      </c>
    </row>
    <row r="45">
      <c r="A45">
        <f>Skills!A12</f>
        <v/>
      </c>
      <c r="B45">
        <f>Skills!B12</f>
        <v/>
      </c>
      <c r="C45">
        <f>Inputs!$B$3&gt;=100</f>
        <v/>
      </c>
      <c r="D45">
        <f>IF(Skills!C12=1,60+Inputs!$B$24+Inputs!$B$28,IF(Skills!C12=2,90+Inputs!$B$25+Inputs!$B$28,IF(Skills!C12=3,120+Inputs!$B$26+Inputs!$B$28,MAX(0,(Inputs!$B$3-100)*3)+Inputs!$B$27+Inputs!$B$28)))</f>
        <v/>
      </c>
      <c r="E45">
        <f>INDEX(FactorTable!$B$2:$Y$301, MATCH(ROUND(MIN(300,MAX(1,D45)),0), FactorTable!$A$2:$A$301,0), Skills!M12+1)</f>
        <v/>
      </c>
      <c r="F45">
        <f>IF(Skills!N12=TRUE,(Skills!L12/10)*(E45/1000),Skills!L12/10)+Skills!O12</f>
        <v/>
      </c>
      <c r="G45" t="inlineStr"/>
      <c r="H45" t="inlineStr"/>
      <c r="I45" t="inlineStr">
        <is>
          <t>1</t>
        </is>
      </c>
      <c r="J45" t="inlineStr"/>
      <c r="K45" t="inlineStr"/>
      <c r="L45" t="inlineStr"/>
      <c r="M45" t="inlineStr"/>
      <c r="N45" t="inlineStr"/>
      <c r="O45" t="inlineStr"/>
      <c r="P45" t="inlineStr"/>
      <c r="Q45" t="inlineStr"/>
      <c r="R45" t="inlineStr"/>
      <c r="S45" t="inlineStr"/>
    </row>
    <row r="46">
      <c r="A46">
        <f>Skills!A13</f>
        <v/>
      </c>
      <c r="B46">
        <f>Skills!B13</f>
        <v/>
      </c>
      <c r="C46">
        <f>Inputs!$B$3&gt;=45</f>
        <v/>
      </c>
      <c r="D46">
        <f>IF(Skills!C13=1,60+Inputs!$B$24+Inputs!$B$28,IF(Skills!C13=2,90+Inputs!$B$25+Inputs!$B$28,IF(Skills!C13=3,120+Inputs!$B$26+Inputs!$B$28,MAX(0,(Inputs!$B$3-100)*3)+Inputs!$B$27+Inputs!$B$28)))</f>
        <v/>
      </c>
      <c r="E46">
        <f>INDEX(FactorTable!$B$2:$Y$301, MATCH(ROUND(MIN(300,MAX(1,D46)),0), FactorTable!$A$2:$A$301,0), Skills!M13+1)</f>
        <v/>
      </c>
      <c r="F46">
        <f>IF(Skills!N13=TRUE,(Skills!L13/10)*(E46/1000),Skills!L13/10)+Skills!O13</f>
        <v/>
      </c>
      <c r="G46">
        <f>Skills!G13*IF(Skills!H13&gt;0,Skills!I13/Skills!H13,1)</f>
        <v/>
      </c>
      <c r="H46">
        <f>1-(1-Skills!J13/100)^Skills!K13</f>
        <v/>
      </c>
      <c r="I46" t="inlineStr">
        <is>
          <t>1</t>
        </is>
      </c>
      <c r="J46" t="inlineStr"/>
      <c r="K46" t="inlineStr"/>
      <c r="L46" t="inlineStr"/>
      <c r="M46" t="inlineStr"/>
      <c r="N46" t="inlineStr"/>
      <c r="O46" t="n">
        <v>0</v>
      </c>
      <c r="P46">
        <f>IF(B68=0,0,O46/B68)</f>
        <v/>
      </c>
      <c r="Q46" t="n">
        <v>0</v>
      </c>
      <c r="R46" t="n">
        <v>0</v>
      </c>
      <c r="S46">
        <f>IFERROR(O46/N46,0)</f>
        <v/>
      </c>
    </row>
    <row r="47">
      <c r="A47">
        <f>Skills!A14</f>
        <v/>
      </c>
      <c r="B47">
        <f>Skills!B14</f>
        <v/>
      </c>
      <c r="C47">
        <f>Inputs!$B$3&gt;=110</f>
        <v/>
      </c>
      <c r="D47">
        <f>IF(Skills!C14=1,60+Inputs!$B$24+Inputs!$B$28,IF(Skills!C14=2,90+Inputs!$B$25+Inputs!$B$28,IF(Skills!C14=3,120+Inputs!$B$26+Inputs!$B$28,MAX(0,(Inputs!$B$3-100)*3)+Inputs!$B$27+Inputs!$B$28)))</f>
        <v/>
      </c>
      <c r="E47">
        <f>INDEX(FactorTable!$B$2:$Y$301, MATCH(ROUND(MIN(300,MAX(1,D47)),0), FactorTable!$A$2:$A$301,0), Skills!M14+1)</f>
        <v/>
      </c>
      <c r="F47">
        <f>IF(Skills!N14=TRUE,(Skills!L14/10)*(E47/1000),Skills!L14/10)+Skills!O14</f>
        <v/>
      </c>
      <c r="G47">
        <f>Skills!G14*IF(Skills!H14&gt;0,Skills!I14/Skills!H14,1)</f>
        <v/>
      </c>
      <c r="H47">
        <f>1-(1-Skills!J14/100)^Skills!K14</f>
        <v/>
      </c>
      <c r="I47" t="inlineStr">
        <is>
          <t>1</t>
        </is>
      </c>
      <c r="J47" t="inlineStr"/>
      <c r="K47" t="inlineStr"/>
      <c r="L47" t="inlineStr"/>
      <c r="M47" t="inlineStr"/>
      <c r="N47" t="inlineStr"/>
      <c r="O47" t="n">
        <v>0</v>
      </c>
      <c r="P47">
        <f>IF(B68=0,0,O47/B68)</f>
        <v/>
      </c>
      <c r="Q47" t="n">
        <v>0</v>
      </c>
      <c r="R47" t="n">
        <v>0</v>
      </c>
      <c r="S47">
        <f>IFERROR(O47/N47,0)</f>
        <v/>
      </c>
    </row>
    <row r="48">
      <c r="A48">
        <f>Skills!A15</f>
        <v/>
      </c>
      <c r="B48">
        <f>Skills!B15</f>
        <v/>
      </c>
      <c r="C48">
        <f>Inputs!$B$3&gt;=75</f>
        <v/>
      </c>
      <c r="D48">
        <f>IF(Skills!C15=1,60+Inputs!$B$24+Inputs!$B$28,IF(Skills!C15=2,90+Inputs!$B$25+Inputs!$B$28,IF(Skills!C15=3,120+Inputs!$B$26+Inputs!$B$28,MAX(0,(Inputs!$B$3-100)*3)+Inputs!$B$27+Inputs!$B$28)))</f>
        <v/>
      </c>
      <c r="E48">
        <f>INDEX(FactorTable!$B$2:$Y$301, MATCH(ROUND(MIN(300,MAX(1,D48)),0), FactorTable!$A$2:$A$301,0), Skills!M15+1)</f>
        <v/>
      </c>
      <c r="F48">
        <f>IF(Skills!N15=TRUE,(Skills!L15/10)*(E48/1000),Skills!L15/10)+Skills!O15</f>
        <v/>
      </c>
      <c r="G48">
        <f>Skills!G15*IF(Skills!H15&gt;0,Skills!I15/Skills!H15,1)</f>
        <v/>
      </c>
      <c r="H48">
        <f>1-(1-Skills!J15/100)^Skills!K15</f>
        <v/>
      </c>
      <c r="I48" t="inlineStr">
        <is>
          <t>1</t>
        </is>
      </c>
      <c r="J48" t="inlineStr"/>
      <c r="K48" t="inlineStr"/>
      <c r="L48" t="inlineStr"/>
      <c r="M48" t="inlineStr"/>
      <c r="N48" t="inlineStr"/>
      <c r="O48" t="n">
        <v>0</v>
      </c>
      <c r="P48">
        <f>IF(B68=0,0,O48/B68)</f>
        <v/>
      </c>
      <c r="Q48">
        <f>IFERROR(1/IF(Inputs!$B$4="pvp",15,MAX(0.1,Skills!D15-IF(Skills!E15=TRUE,Inputs!$B$31,0))),0)</f>
        <v/>
      </c>
      <c r="R48">
        <f>IF(AND(Inputs!$B$4&lt;&gt;"pvp",Inputs!$B$35&gt;0),(INT(Inputs!$B$35/IF(Inputs!$B$4="pvp",15,MAX(0.1,Skills!D15-IF(Skills!E15=TRUE,Inputs!$B$31,0))))+1),0)</f>
        <v/>
      </c>
      <c r="S48">
        <f>IFERROR(O48/N48,0)</f>
        <v/>
      </c>
    </row>
    <row r="49">
      <c r="A49">
        <f>Skills!A16</f>
        <v/>
      </c>
      <c r="B49">
        <f>Skills!B16</f>
        <v/>
      </c>
      <c r="C49">
        <f>Inputs!$B$3&gt;=105</f>
        <v/>
      </c>
      <c r="D49">
        <f>IF(Skills!C16=1,60+Inputs!$B$24+Inputs!$B$28,IF(Skills!C16=2,90+Inputs!$B$25+Inputs!$B$28,IF(Skills!C16=3,120+Inputs!$B$26+Inputs!$B$28,MAX(0,(Inputs!$B$3-100)*3)+Inputs!$B$27+Inputs!$B$28)))</f>
        <v/>
      </c>
      <c r="E49">
        <f>INDEX(FactorTable!$B$2:$Y$301, MATCH(ROUND(MIN(300,MAX(1,D49)),0), FactorTable!$A$2:$A$301,0), Skills!M16+1)</f>
        <v/>
      </c>
      <c r="F49">
        <f>IF(Skills!N16=TRUE,(Skills!L16/10)*(E49/1000),Skills!L16/10)+Skills!O16</f>
        <v/>
      </c>
      <c r="G49">
        <f>Skills!G16*IF(Skills!H16&gt;0,Skills!I16/Skills!H16,1)</f>
        <v/>
      </c>
      <c r="H49">
        <f>1-(1-Skills!J16/100)^Skills!K16</f>
        <v/>
      </c>
      <c r="I49" t="inlineStr">
        <is>
          <t>1</t>
        </is>
      </c>
      <c r="J49" t="inlineStr"/>
      <c r="K49" t="inlineStr"/>
      <c r="L49" t="inlineStr"/>
      <c r="M49" t="inlineStr"/>
      <c r="N49" t="inlineStr"/>
      <c r="O49" t="n">
        <v>0</v>
      </c>
      <c r="P49">
        <f>IF(B68=0,0,O49/B68)</f>
        <v/>
      </c>
      <c r="Q49">
        <f>IFERROR(1/IF(Inputs!$B$4="pvp",15,MAX(0.1,Skills!D16-IF(Skills!E16=TRUE,Inputs!$B$31,0))),0)</f>
        <v/>
      </c>
      <c r="R49">
        <f>IF(AND(Inputs!$B$4&lt;&gt;"pvp",Inputs!$B$35&gt;0),(INT(Inputs!$B$35/IF(Inputs!$B$4="pvp",15,MAX(0.1,Skills!D16-IF(Skills!E16=TRUE,Inputs!$B$31,0))))+1),0)</f>
        <v/>
      </c>
      <c r="S49">
        <f>IFERROR(O49/N49,0)</f>
        <v/>
      </c>
    </row>
    <row r="50">
      <c r="A50">
        <f>Skills!A17</f>
        <v/>
      </c>
      <c r="B50">
        <f>Skills!B17</f>
        <v/>
      </c>
      <c r="C50">
        <f>Inputs!$B$3&gt;=115</f>
        <v/>
      </c>
      <c r="D50">
        <f>IF(Skills!C17=1,60+Inputs!$B$24+Inputs!$B$28,IF(Skills!C17=2,90+Inputs!$B$25+Inputs!$B$28,IF(Skills!C17=3,120+Inputs!$B$26+Inputs!$B$28,MAX(0,(Inputs!$B$3-100)*3)+Inputs!$B$27+Inputs!$B$28)))</f>
        <v/>
      </c>
      <c r="E50">
        <f>INDEX(FactorTable!$B$2:$Y$301, MATCH(ROUND(MIN(300,MAX(1,D50)),0), FactorTable!$A$2:$A$301,0), Skills!M17+1)</f>
        <v/>
      </c>
      <c r="F50">
        <f>IF(Skills!N17=TRUE,(Skills!L17/10)*(E50/1000),Skills!L17/10)+Skills!O17</f>
        <v/>
      </c>
      <c r="G50">
        <f>Skills!G17*IF(Skills!H17&gt;0,Skills!I17/Skills!H17,1)</f>
        <v/>
      </c>
      <c r="H50">
        <f>1-(1-Skills!J17/100)^Skills!K17</f>
        <v/>
      </c>
      <c r="I50" t="inlineStr">
        <is>
          <t>1</t>
        </is>
      </c>
      <c r="J50" t="inlineStr"/>
      <c r="K50" t="inlineStr"/>
      <c r="L50" t="inlineStr"/>
      <c r="M50" t="inlineStr"/>
      <c r="N50" t="inlineStr"/>
      <c r="O50" t="n">
        <v>0</v>
      </c>
      <c r="P50">
        <f>IF(B68=0,0,O50/B68)</f>
        <v/>
      </c>
      <c r="Q50">
        <f>IFERROR(1/IF(Inputs!$B$4="pvp",15,MAX(0.1,Skills!D17-IF(Skills!E17=TRUE,Inputs!$B$31,0))),0)</f>
        <v/>
      </c>
      <c r="R50">
        <f>IF(AND(Inputs!$B$4&lt;&gt;"pvp",Inputs!$B$35&gt;0),(INT(Inputs!$B$35/IF(Inputs!$B$4="pvp",15,MAX(0.1,Skills!D17-IF(Skills!E17=TRUE,Inputs!$B$31,0))))+1),0)</f>
        <v/>
      </c>
      <c r="S50">
        <f>IFERROR(O50/N50,0)</f>
        <v/>
      </c>
    </row>
    <row r="51">
      <c r="A51">
        <f>Skills!A18</f>
        <v/>
      </c>
      <c r="B51">
        <f>Skills!B18</f>
        <v/>
      </c>
      <c r="C51">
        <f>Inputs!$B$3&gt;=74</f>
        <v/>
      </c>
      <c r="D51">
        <f>IF(Skills!C18=1,60+Inputs!$B$24+Inputs!$B$28,IF(Skills!C18=2,90+Inputs!$B$25+Inputs!$B$28,IF(Skills!C18=3,120+Inputs!$B$26+Inputs!$B$28,MAX(0,(Inputs!$B$3-100)*3)+Inputs!$B$27+Inputs!$B$28)))</f>
        <v/>
      </c>
      <c r="E51">
        <f>INDEX(FactorTable!$B$2:$Y$301, MATCH(ROUND(MIN(300,MAX(1,D51)),0), FactorTable!$A$2:$A$301,0), Skills!M18+1)</f>
        <v/>
      </c>
      <c r="F51">
        <f>IF(Skills!N18=TRUE,(Skills!L18/10)*(E51/1000),Skills!L18/10)+Skills!O18</f>
        <v/>
      </c>
      <c r="G51">
        <f>Skills!G18*IF(Skills!H18&gt;0,Skills!I18/Skills!H18,1)</f>
        <v/>
      </c>
      <c r="H51">
        <f>1-(1-Skills!J18/100)^Skills!K18</f>
        <v/>
      </c>
      <c r="I51" t="inlineStr">
        <is>
          <t>1</t>
        </is>
      </c>
      <c r="J51" t="inlineStr"/>
      <c r="K51" t="inlineStr"/>
      <c r="L51" t="inlineStr"/>
      <c r="M51" t="inlineStr"/>
      <c r="N51" t="inlineStr"/>
      <c r="O51" t="n">
        <v>0</v>
      </c>
      <c r="P51">
        <f>IF(B68=0,0,O51/B68)</f>
        <v/>
      </c>
      <c r="Q51">
        <f>IFERROR(1/IF(Inputs!$B$4="pvp",15,MAX(0.1,Skills!D18-IF(Skills!E18=TRUE,Inputs!$B$31,0))),0)</f>
        <v/>
      </c>
      <c r="R51">
        <f>IF(AND(Inputs!$B$4&lt;&gt;"pvp",Inputs!$B$35&gt;0),(INT(Inputs!$B$35/IF(Inputs!$B$4="pvp",15,MAX(0.1,Skills!D18-IF(Skills!E18=TRUE,Inputs!$B$31,0))))+1),0)</f>
        <v/>
      </c>
      <c r="S51">
        <f>IFERROR(O51/N51,0)</f>
        <v/>
      </c>
    </row>
    <row r="52">
      <c r="A52">
        <f>Skills!A19</f>
        <v/>
      </c>
      <c r="B52">
        <f>Skills!B19</f>
        <v/>
      </c>
      <c r="C52">
        <f>TRUE</f>
        <v/>
      </c>
      <c r="D52">
        <f>IF(Skills!C19=1,60+Inputs!$B$24+Inputs!$B$28,IF(Skills!C19=2,90+Inputs!$B$25+Inputs!$B$28,IF(Skills!C19=3,120+Inputs!$B$26+Inputs!$B$28,MAX(0,(Inputs!$B$3-100)*3)+Inputs!$B$27+Inputs!$B$28)))</f>
        <v/>
      </c>
      <c r="E52">
        <f>INDEX(FactorTable!$B$2:$Y$301, MATCH(ROUND(MIN(300,MAX(1,D52)),0), FactorTable!$A$2:$A$301,0), Skills!M19+1)</f>
        <v/>
      </c>
      <c r="F52">
        <f>IF(Skills!N19=TRUE,(Skills!L19/10)*(E52/1000),Skills!L19/10)+Skills!O19</f>
        <v/>
      </c>
      <c r="G52">
        <f>Skills!G19*IF(Skills!H19&gt;0,Skills!I19/Skills!H19,1)</f>
        <v/>
      </c>
      <c r="H52">
        <f>1-(1-Skills!J19/100)^Skills!K19</f>
        <v/>
      </c>
      <c r="I52" t="inlineStr">
        <is>
          <t>1</t>
        </is>
      </c>
      <c r="J52" t="inlineStr"/>
      <c r="K52" t="inlineStr"/>
      <c r="L52" t="inlineStr"/>
      <c r="M52" t="inlineStr"/>
      <c r="N52" t="inlineStr"/>
      <c r="O52" t="n">
        <v>0</v>
      </c>
      <c r="P52">
        <f>IF(B68=0,0,O52/B68)</f>
        <v/>
      </c>
      <c r="Q52">
        <f>IFERROR(1/IF(Inputs!$B$4="pvp",15,MAX(0.1,Skills!D19-IF(Skills!E19=TRUE,Inputs!$B$31,0))),0)</f>
        <v/>
      </c>
      <c r="R52">
        <f>IF(AND(Inputs!$B$4&lt;&gt;"pvp",Inputs!$B$35&gt;0),(INT(Inputs!$B$35/IF(Inputs!$B$4="pvp",15,MAX(0.1,Skills!D19-IF(Skills!E19=TRUE,Inputs!$B$31,0))))+1),0)</f>
        <v/>
      </c>
      <c r="S52">
        <f>IFERROR(O52/N52,0)</f>
        <v/>
      </c>
    </row>
    <row r="53">
      <c r="A53">
        <f>Skills!A20</f>
        <v/>
      </c>
      <c r="B53">
        <f>Skills!B20</f>
        <v/>
      </c>
      <c r="C53">
        <f>Inputs!$B$3&gt;=33</f>
        <v/>
      </c>
      <c r="D53">
        <f>IF(Skills!C20=1,60+Inputs!$B$24+Inputs!$B$28,IF(Skills!C20=2,90+Inputs!$B$25+Inputs!$B$28,IF(Skills!C20=3,120+Inputs!$B$26+Inputs!$B$28,MAX(0,(Inputs!$B$3-100)*3)+Inputs!$B$27+Inputs!$B$28)))</f>
        <v/>
      </c>
      <c r="E53">
        <f>INDEX(FactorTable!$B$2:$Y$301, MATCH(ROUND(MIN(300,MAX(1,D53)),0), FactorTable!$A$2:$A$301,0), Skills!M20+1)</f>
        <v/>
      </c>
      <c r="F53">
        <f>IF(Skills!N20=TRUE,(Skills!L20/10)*(E53/1000),Skills!L20/10)+Skills!O20</f>
        <v/>
      </c>
      <c r="G53">
        <f>Skills!G20*IF(Skills!H20&gt;0,Skills!I20/Skills!H20,1)</f>
        <v/>
      </c>
      <c r="H53">
        <f>1-(1-Skills!J20/100)^Skills!K20</f>
        <v/>
      </c>
      <c r="I53" t="inlineStr">
        <is>
          <t>1</t>
        </is>
      </c>
      <c r="J53" t="inlineStr"/>
      <c r="K53" t="inlineStr"/>
      <c r="L53" t="inlineStr"/>
      <c r="M53" t="inlineStr"/>
      <c r="N53" t="inlineStr"/>
      <c r="O53" t="n">
        <v>0</v>
      </c>
      <c r="P53">
        <f>IF(B68=0,0,O53/B68)</f>
        <v/>
      </c>
      <c r="Q53" t="n">
        <v>0</v>
      </c>
      <c r="R53" t="n">
        <v>0</v>
      </c>
      <c r="S53">
        <f>IFERROR(O53/N53,0)</f>
        <v/>
      </c>
    </row>
    <row r="54">
      <c r="A54">
        <f>Skills!A21</f>
        <v/>
      </c>
      <c r="B54">
        <f>Skills!B21</f>
        <v/>
      </c>
      <c r="C54">
        <f>Inputs!$B$3&gt;=38</f>
        <v/>
      </c>
      <c r="D54">
        <f>IF(Skills!C21=1,60+Inputs!$B$24+Inputs!$B$28,IF(Skills!C21=2,90+Inputs!$B$25+Inputs!$B$28,IF(Skills!C21=3,120+Inputs!$B$26+Inputs!$B$28,MAX(0,(Inputs!$B$3-100)*3)+Inputs!$B$27+Inputs!$B$28)))</f>
        <v/>
      </c>
      <c r="E54">
        <f>INDEX(FactorTable!$B$2:$Y$301, MATCH(ROUND(MIN(300,MAX(1,D54)),0), FactorTable!$A$2:$A$301,0), Skills!M21+1)</f>
        <v/>
      </c>
      <c r="F54">
        <f>IF(Skills!N21=TRUE,(Skills!L21/10)*(E54/1000),Skills!L21/10)+Skills!O21</f>
        <v/>
      </c>
      <c r="G54">
        <f>Skills!G21*IF(Skills!H21&gt;0,Skills!I21/Skills!H21,1)</f>
        <v/>
      </c>
      <c r="H54">
        <f>1-(1-Skills!J21/100)^Skills!K21</f>
        <v/>
      </c>
      <c r="I54" t="inlineStr">
        <is>
          <t>1</t>
        </is>
      </c>
      <c r="J54" t="inlineStr"/>
      <c r="K54" t="inlineStr"/>
      <c r="L54" t="inlineStr"/>
      <c r="M54" t="inlineStr"/>
      <c r="N54" t="inlineStr"/>
      <c r="O54" t="n">
        <v>0</v>
      </c>
      <c r="P54">
        <f>IF(B68=0,0,O54/B68)</f>
        <v/>
      </c>
      <c r="Q54" t="n">
        <v>0</v>
      </c>
      <c r="R54" t="n">
        <v>0</v>
      </c>
      <c r="S54">
        <f>IFERROR(O54/N54,0)</f>
        <v/>
      </c>
    </row>
    <row r="55">
      <c r="A55">
        <f>Skills!A22</f>
        <v/>
      </c>
      <c r="B55">
        <f>Skills!B22</f>
        <v/>
      </c>
      <c r="C55">
        <f>Inputs!$B$3&gt;=43</f>
        <v/>
      </c>
      <c r="D55">
        <f>IF(Skills!C22=1,60+Inputs!$B$24+Inputs!$B$28,IF(Skills!C22=2,90+Inputs!$B$25+Inputs!$B$28,IF(Skills!C22=3,120+Inputs!$B$26+Inputs!$B$28,MAX(0,(Inputs!$B$3-100)*3)+Inputs!$B$27+Inputs!$B$28)))</f>
        <v/>
      </c>
      <c r="E55">
        <f>INDEX(FactorTable!$B$2:$Y$301, MATCH(ROUND(MIN(300,MAX(1,D55)),0), FactorTable!$A$2:$A$301,0), Skills!M22+1)</f>
        <v/>
      </c>
      <c r="F55">
        <f>IF(Skills!N22=TRUE,(Skills!L22/10)*(E55/1000),Skills!L22/10)+Skills!O22</f>
        <v/>
      </c>
      <c r="G55">
        <f>Skills!G22*IF(Skills!H22&gt;0,Skills!I22/Skills!H22,1)</f>
        <v/>
      </c>
      <c r="H55">
        <f>1-(1-Skills!J22/100)^Skills!K22</f>
        <v/>
      </c>
      <c r="I55" t="inlineStr">
        <is>
          <t>1</t>
        </is>
      </c>
      <c r="J55" t="inlineStr"/>
      <c r="K55" t="inlineStr"/>
      <c r="L55" t="inlineStr"/>
      <c r="M55" t="inlineStr"/>
      <c r="N55" t="inlineStr"/>
      <c r="O55" t="n">
        <v>0</v>
      </c>
      <c r="P55">
        <f>IF(B68=0,0,O55/B68)</f>
        <v/>
      </c>
      <c r="Q55" t="n">
        <v>0</v>
      </c>
      <c r="R55" t="n">
        <v>0</v>
      </c>
      <c r="S55">
        <f>IFERROR(O55/N55,0)</f>
        <v/>
      </c>
    </row>
    <row r="56">
      <c r="A56">
        <f>Skills!A23</f>
        <v/>
      </c>
      <c r="B56">
        <f>Skills!B23</f>
        <v/>
      </c>
      <c r="C56">
        <f>Inputs!$B$3&gt;=120</f>
        <v/>
      </c>
      <c r="D56">
        <f>IF(Skills!C23=1,60+Inputs!$B$24+Inputs!$B$28,IF(Skills!C23=2,90+Inputs!$B$25+Inputs!$B$28,IF(Skills!C23=3,120+Inputs!$B$26+Inputs!$B$28,MAX(0,(Inputs!$B$3-100)*3)+Inputs!$B$27+Inputs!$B$28)))</f>
        <v/>
      </c>
      <c r="E56">
        <f>INDEX(FactorTable!$B$2:$Y$301, MATCH(ROUND(MIN(300,MAX(1,D56)),0), FactorTable!$A$2:$A$301,0), Skills!M23+1)</f>
        <v/>
      </c>
      <c r="F56">
        <f>IF(Skills!N23=TRUE,(Skills!L23/10)*(E56/1000),Skills!L23/10)+Skills!O23</f>
        <v/>
      </c>
      <c r="G56">
        <f>Skills!G23*IF(Skills!H23&gt;0,Skills!I23/Skills!H23,1)</f>
        <v/>
      </c>
      <c r="H56">
        <f>1-(1-Skills!J23/100)^Skills!K23</f>
        <v/>
      </c>
      <c r="I56" t="inlineStr">
        <is>
          <t>1</t>
        </is>
      </c>
      <c r="J56" t="inlineStr"/>
      <c r="K56" t="inlineStr"/>
      <c r="L56" t="inlineStr"/>
      <c r="M56" t="inlineStr"/>
      <c r="N56" t="inlineStr"/>
      <c r="O56" t="n">
        <v>0</v>
      </c>
      <c r="P56">
        <f>IF(B68=0,0,O56/B68)</f>
        <v/>
      </c>
      <c r="Q56" t="n">
        <v>0</v>
      </c>
      <c r="R56" t="n">
        <v>0</v>
      </c>
      <c r="S56">
        <f>IFERROR(O56/N56,0)</f>
        <v/>
      </c>
    </row>
    <row r="57">
      <c r="A57">
        <f>Skills!A24</f>
        <v/>
      </c>
      <c r="B57">
        <f>Skills!B24</f>
        <v/>
      </c>
      <c r="C57">
        <f>Inputs!$B$3&gt;=120</f>
        <v/>
      </c>
      <c r="D57">
        <f>IF(Skills!C24=1,60+Inputs!$B$24+Inputs!$B$28,IF(Skills!C24=2,90+Inputs!$B$25+Inputs!$B$28,IF(Skills!C24=3,120+Inputs!$B$26+Inputs!$B$28,MAX(0,(Inputs!$B$3-100)*3)+Inputs!$B$27+Inputs!$B$28)))</f>
        <v/>
      </c>
      <c r="E57">
        <f>INDEX(FactorTable!$B$2:$Y$301, MATCH(ROUND(MIN(300,MAX(1,D57)),0), FactorTable!$A$2:$A$301,0), Skills!M24+1)</f>
        <v/>
      </c>
      <c r="F57">
        <f>IF(Skills!N24=TRUE,(Skills!L24/10)*(E57/1000),Skills!L24/10)+Skills!O24</f>
        <v/>
      </c>
      <c r="G57">
        <f>Skills!G24*IF(Skills!H24&gt;0,Skills!I24/Skills!H24,1)</f>
        <v/>
      </c>
      <c r="H57">
        <f>1-(1-Skills!J24/100)^Skills!K24</f>
        <v/>
      </c>
      <c r="I57" t="inlineStr">
        <is>
          <t>1</t>
        </is>
      </c>
      <c r="J57" t="inlineStr"/>
      <c r="K57" t="inlineStr"/>
      <c r="L57" t="inlineStr"/>
      <c r="M57" t="inlineStr"/>
      <c r="N57" t="inlineStr"/>
      <c r="O57" t="n">
        <v>0</v>
      </c>
      <c r="P57">
        <f>IF(B68=0,0,O57/B68)</f>
        <v/>
      </c>
      <c r="Q57" t="n">
        <v>0</v>
      </c>
      <c r="R57" t="n">
        <v>0</v>
      </c>
      <c r="S57">
        <f>IFERROR(O57/N57,0)</f>
        <v/>
      </c>
    </row>
    <row r="59">
      <c r="A59" t="inlineStr">
        <is>
          <t>Attack% Bucket Multiplier</t>
        </is>
      </c>
      <c r="B59">
        <f>(1+(((C46=TRUE)*F46*MIN(1,Skills!T13*(Skills!J13/100)*B64))+((C51=TRUE)*F51*IF(AND(Inputs!$B$4&lt;&gt;"pvp",Inputs!$B$35&gt;0),(((S51-1)*(Skills!T18*(1+Inputs!$B$33/100))+MIN((Skills!T18*(1+Inputs!$B$33/100)),MAX(0,Inputs!$B$35-((S51-1)*Skills!D18))))/Inputs!$B$35),IF(Inputs!$B$4="pvp",MIN((Skills!T18*(1+Inputs!$B$33/100)),15)/15,(Skills!T18*(1+Inputs!$B$33/100))/Skills!D18)))+0)/100)</f>
        <v/>
      </c>
    </row>
    <row r="60">
      <c r="A60" t="inlineStr">
        <is>
          <t>Global Crit Rate Bonus %</t>
        </is>
      </c>
      <c r="B60" t="n">
        <v>0</v>
      </c>
    </row>
    <row r="61">
      <c r="A61" t="inlineStr">
        <is>
          <t>Attack Speed Buff Bonus %</t>
        </is>
      </c>
      <c r="B61">
        <f>((C52=TRUE)*F52*IF(AND(Inputs!$B$4&lt;&gt;"pvp",Inputs!$B$35&gt;0),(((S52-1)*(Skills!T19*(1+Inputs!$B$33/100))+MIN((Skills!T19*(1+Inputs!$B$33/100)),MAX(0,Inputs!$B$35-((S52-1)*Skills!D19))))/Inputs!$B$35),IF(Inputs!$B$4="pvp",MIN((Skills!T19*(1+Inputs!$B$33/100)),15)/15,(Skills!T19*(1+Inputs!$B$33/100))/Skills!D19)))</f>
        <v/>
      </c>
    </row>
    <row r="62">
      <c r="A62" t="inlineStr">
        <is>
          <t>Actions Per Second</t>
        </is>
      </c>
      <c r="B62">
        <f>1+MIN(150,150*(1-(1-(Inputs!$B$10+((C53=TRUE)*(F53-Calc!F20)))/150)*(1-B61/150)))/100</f>
        <v/>
      </c>
    </row>
    <row r="63">
      <c r="A63" t="inlineStr">
        <is>
          <t>Skill + Buff Cast Rate</t>
        </is>
      </c>
      <c r="B63">
        <f>IF(AND(Inputs!$B$4&lt;&gt;"pvp",Inputs!$B$35&gt;0),SUMPRODUCT((Skills!E2:E24=TRUE)*(C35:C57=TRUE)*R35:R57*Skills!F2:F24)/Inputs!$B$35,SUMPRODUCT((Skills!E2:E24=TRUE)*(C35:C57=TRUE)*Q35:Q57*Skills!F2:F24))</f>
        <v/>
      </c>
    </row>
    <row r="64">
      <c r="A64" t="inlineStr">
        <is>
          <t>Blast Casts Per Second</t>
        </is>
      </c>
      <c r="B64">
        <f>MAX(0,B62-B63)</f>
        <v/>
      </c>
    </row>
    <row r="65">
      <c r="A65" t="inlineStr">
        <is>
          <t>Global Critical Damage Bonus % (unused)</t>
        </is>
      </c>
      <c r="B65" t="n">
        <v>0</v>
      </c>
    </row>
    <row r="66">
      <c r="A66" t="inlineStr">
        <is>
          <t>Global Final Damage Bonus % (Divine Shield + Guardian + Divine Blessing + Greater Vessel of Light)</t>
        </is>
      </c>
      <c r="B66">
        <f>((C48=TRUE)*F48*IF(AND(Inputs!$B$4&lt;&gt;"pvp",Inputs!$B$35&gt;0),(((S48-1)*(Skills!T15*(1+Inputs!$B$33/100))+MIN((Skills!T15*(1+Inputs!$B$33/100)),MAX(0,Inputs!$B$35-((S48-1)*Skills!D15))))/Inputs!$B$35),IF(Inputs!$B$4="pvp",MIN((Skills!T15*(1+Inputs!$B$33/100)),15)/15,(Skills!T15*(1+Inputs!$B$33/100))/Skills!D15)))+((C49=TRUE)*F49*IF(AND(Inputs!$B$4&lt;&gt;"pvp",Inputs!$B$35&gt;0),(((S49-1)*(Skills!T16*(1+Inputs!$B$33/100))+MIN((Skills!T16*(1+Inputs!$B$33/100)),MAX(0,Inputs!$B$35-((S49-1)*Skills!D16))))/Inputs!$B$35),IF(Inputs!$B$4="pvp",MIN((Skills!T16*(1+Inputs!$B$33/100)),15)/15,(Skills!T16*(1+Inputs!$B$33/100))/Skills!D16)))+((C50=TRUE)*F50*IF(AND(Inputs!$B$4&lt;&gt;"pvp",Inputs!$B$35&gt;0),(((S50-1)*(Skills!T17*(1+Inputs!$B$33/100))+MIN((Skills!T17*(1+Inputs!$B$33/100)),MAX(0,Inputs!$B$35-((S50-1)*Skills!D17))))/Inputs!$B$35),IF(Inputs!$B$4="pvp",MIN((Skills!T17*(1+Inputs!$B$33/100)),15)/15,(Skills!T17*(1+Inputs!$B$33/100))/Skills!D17)))+((C47=TRUE)*F47*MIN(1,Skills!T13*(Skills!J13/100)*B64))</f>
        <v/>
      </c>
    </row>
    <row r="68">
      <c r="A68" s="5" t="inlineStr">
        <is>
          <t>TOTAL DPS</t>
        </is>
      </c>
      <c r="B68" s="5">
        <f>SUM(O35:O57)</f>
        <v/>
      </c>
    </row>
    <row r="71">
      <c r="A71" s="5" t="inlineStr">
        <is>
          <t>Stat: STR %</t>
        </is>
      </c>
    </row>
    <row r="72">
      <c r="A72" s="8" t="inlineStr">
        <is>
          <t>Key</t>
        </is>
      </c>
      <c r="B72" s="8" t="inlineStr">
        <is>
          <t>Name</t>
        </is>
      </c>
      <c r="C72" s="8" t="inlineStr">
        <is>
          <t>Unlocked</t>
        </is>
      </c>
      <c r="D72" s="8" t="inlineStr">
        <is>
          <t>InputLevel</t>
        </is>
      </c>
      <c r="E72" s="8" t="inlineStr">
        <is>
          <t>Factor</t>
        </is>
      </c>
      <c r="F72" s="8" t="inlineStr">
        <is>
          <t>CoefficientPercent</t>
        </is>
      </c>
      <c r="G72" s="8" t="inlineStr">
        <is>
          <t>EffectiveHits</t>
        </is>
      </c>
      <c r="H72" s="8" t="inlineStr">
        <is>
          <t>ProcProbability</t>
        </is>
      </c>
      <c r="I72" s="8" t="inlineStr">
        <is>
          <t>MapleHeroMultiplier</t>
        </is>
      </c>
      <c r="J72" s="8" t="inlineStr">
        <is>
          <t>BaseDamage</t>
        </is>
      </c>
      <c r="K72" s="8" t="inlineStr">
        <is>
          <t>BaseHitDamage</t>
        </is>
      </c>
      <c r="L72" s="8" t="inlineStr">
        <is>
          <t>NonCritAvg</t>
        </is>
      </c>
      <c r="M72" s="8" t="inlineStr">
        <is>
          <t>CritAvg</t>
        </is>
      </c>
      <c r="N72" s="8" t="inlineStr">
        <is>
          <t>ExpectedDamage(perHit)</t>
        </is>
      </c>
      <c r="O72" s="8" t="inlineStr">
        <is>
          <t>DPS</t>
        </is>
      </c>
      <c r="P72" s="8" t="inlineStr">
        <is>
          <t>% of Total</t>
        </is>
      </c>
      <c r="Q72" s="8" t="inlineStr">
        <is>
          <t>InvCooldown</t>
        </is>
      </c>
      <c r="R72" s="8" t="inlineStr">
        <is>
          <t>CastsInFight</t>
        </is>
      </c>
      <c r="S72" s="8" t="inlineStr">
        <is>
          <t>HitRate(perSec)</t>
        </is>
      </c>
      <c r="U72" t="inlineStr">
        <is>
          <t>helpers</t>
        </is>
      </c>
    </row>
    <row r="73">
      <c r="A73">
        <f>Skills!A2</f>
        <v/>
      </c>
      <c r="B73">
        <f>Skills!B2</f>
        <v/>
      </c>
      <c r="C73">
        <f>Inputs!$B$3&gt;=100</f>
        <v/>
      </c>
      <c r="D73" t="inlineStr"/>
      <c r="E73" t="inlineStr"/>
      <c r="F73">
        <f>U75+Skills!O2</f>
        <v/>
      </c>
      <c r="G73">
        <f>Skills!G2*IF(Skills!H2&gt;0,Skills!I2/Skills!H2,1)</f>
        <v/>
      </c>
      <c r="H73">
        <f>1-(1-Skills!J2/100)^Skills!K2</f>
        <v/>
      </c>
      <c r="I73" t="inlineStr">
        <is>
          <t>1</t>
        </is>
      </c>
      <c r="J73">
        <f>(Inputs!$B$5*(1+Inputs!$B$6/100))*(F73/100)</f>
        <v/>
      </c>
      <c r="K73">
        <f>J73*(1+((Inputs!$B$11*(1+(Inputs!$B$12+1)/100))*0.01+Inputs!$B$13*0.0025)/100)*(1+Inputs!$B$14/100)*(1+IF(Inputs!$B$4="pvp",0,(1-Summary!$B$55)*(Inputs!$B$19+0+Skills!P2)+Summary!$B$55*(Inputs!$B$20+Skills!Q2))/100)*(1+Inputs!$B$15/100)*(5000/(6000+Inputs!$B$7*(1-(Inputs!$B$18+0)/100)))*(1+(Inputs!$B$23+0+B104)/100)*(1+(IF(Skills!A2="BLAST",Inputs!$B$16+((C92=TRUE)*(F92-Calc!F21)),Inputs!$B$17+((C94=TRUE)*(F94-Calc!F23))))/100)*((1+(((C84=TRUE)*F84*MIN(1,Skills!T13*(Skills!J13/100)*B102))+((C89=TRUE)*F89*IF(AND(Inputs!$B$4&lt;&gt;"pvp",Inputs!$B$35&gt;0),(((S89-1)*(Skills!T18*(1+Inputs!$B$33/100))+MIN((Skills!T18*(1+Inputs!$B$33/100)),MAX(0,Inputs!$B$35-((S89-1)*Skills!D18))))/Inputs!$B$35),IF(Inputs!$B$4="pvp",MIN((Skills!T18*(1+Inputs!$B$33/100)),15)/15,(Skills!T18*(1+Inputs!$B$33/100))/Skills!D18)))+0)/100)*I73)</f>
        <v/>
      </c>
      <c r="L73">
        <f>K73*(MIN(Inputs!$B$21+((C93=TRUE)*(F93-Calc!F22)),Inputs!$B$22+((C95=TRUE)*(F95-Calc!F24)))/100+(Inputs!$B$22+((C95=TRUE)*(F95-Calc!F24)))/100)/2</f>
        <v/>
      </c>
      <c r="M73">
        <f>L73*(1+(Inputs!$B$9+0+B103)/100)</f>
        <v/>
      </c>
      <c r="N73">
        <f>L73*(1-MIN((Inputs!$B$8+0+B98),100)/100)+M73*(MIN((Inputs!$B$8+0+B98),100)/100)</f>
        <v/>
      </c>
      <c r="O73">
        <f>IF(C73,Skills!G2*N73*B102*IF(Inputs!$B$4="pvp",1,(1-Summary!$B$55)*(1)+Summary!$B$55*(MIN((6+Inputs!$B$32),Inputs!$B$37))),0)</f>
        <v/>
      </c>
      <c r="P73">
        <f>IF(B106=0,0,O73/B106)</f>
        <v/>
      </c>
      <c r="Q73" t="n">
        <v>0</v>
      </c>
      <c r="R73" t="n">
        <v>0</v>
      </c>
      <c r="S73">
        <f>IFERROR(O73/N73,0)</f>
        <v/>
      </c>
      <c r="U73">
        <f>MAX(0,(Inputs!$B$3-100)*3)+Inputs!$B$27+Inputs!$B$28</f>
        <v/>
      </c>
    </row>
    <row r="74">
      <c r="A74">
        <f>Skills!A3</f>
        <v/>
      </c>
      <c r="B74">
        <f>Skills!B3</f>
        <v/>
      </c>
      <c r="C74">
        <f>Inputs!$B$3&gt;=50</f>
        <v/>
      </c>
      <c r="D74">
        <f>IF(Skills!C3=1,60+Inputs!$B$24+Inputs!$B$28,IF(Skills!C3=2,90+Inputs!$B$25+Inputs!$B$28,IF(Skills!C3=3,120+Inputs!$B$26+Inputs!$B$28,MAX(0,(Inputs!$B$3-100)*3)+Inputs!$B$27+Inputs!$B$28)))</f>
        <v/>
      </c>
      <c r="E74">
        <f>INDEX(FactorTable!$B$2:$Y$301, MATCH(ROUND(MIN(300,MAX(1,D74)),0), FactorTable!$A$2:$A$301,0), Skills!M3+1)</f>
        <v/>
      </c>
      <c r="F74">
        <f>IF(Skills!N3=TRUE,(Skills!L3/10)*(E74/1000),Skills!L3/10)+Skills!O3</f>
        <v/>
      </c>
      <c r="G74" t="inlineStr"/>
      <c r="H74" t="inlineStr"/>
      <c r="I74" t="inlineStr">
        <is>
          <t>1</t>
        </is>
      </c>
      <c r="J74" t="inlineStr"/>
      <c r="K74" t="inlineStr"/>
      <c r="L74" t="inlineStr"/>
      <c r="M74" t="inlineStr"/>
      <c r="N74" t="inlineStr"/>
      <c r="O74" t="inlineStr"/>
      <c r="P74" t="inlineStr"/>
      <c r="Q74" t="inlineStr"/>
      <c r="R74" t="inlineStr"/>
      <c r="S74" t="inlineStr"/>
      <c r="U74">
        <f>INDEX(FactorTable!$B$2:$Y$301, MATCH(ROUND(MIN(300,MAX(1,U73)),0), FactorTable!$A$2:$A$301,0), 22)</f>
        <v/>
      </c>
    </row>
    <row r="75">
      <c r="A75">
        <f>Skills!A4</f>
        <v/>
      </c>
      <c r="B75">
        <f>Skills!B4</f>
        <v/>
      </c>
      <c r="C75">
        <f>Inputs!$B$3&gt;=35</f>
        <v/>
      </c>
      <c r="D75">
        <f>IF(Skills!C4=1,60+Inputs!$B$24+Inputs!$B$28,IF(Skills!C4=2,90+Inputs!$B$25+Inputs!$B$28,IF(Skills!C4=3,120+Inputs!$B$26+Inputs!$B$28,MAX(0,(Inputs!$B$3-100)*3)+Inputs!$B$27+Inputs!$B$28)))</f>
        <v/>
      </c>
      <c r="E75">
        <f>INDEX(FactorTable!$B$2:$Y$301, MATCH(ROUND(MIN(300,MAX(1,D75)),0), FactorTable!$A$2:$A$301,0), Skills!M4+1)</f>
        <v/>
      </c>
      <c r="F75">
        <f>IF(Skills!N4=TRUE,(Skills!L4/10)*(E75/1000),Skills!L4/10)+Skills!O4</f>
        <v/>
      </c>
      <c r="G75">
        <f>Skills!G4*IF(Skills!H4&gt;0,Skills!I4/Skills!H4,1)</f>
        <v/>
      </c>
      <c r="H75">
        <f>1-(1-Skills!J4/100)^Skills!K4</f>
        <v/>
      </c>
      <c r="I75" t="inlineStr">
        <is>
          <t>1</t>
        </is>
      </c>
      <c r="J75">
        <f>(Inputs!$B$5*(1+Inputs!$B$6/100))*(F75/100)</f>
        <v/>
      </c>
      <c r="K75">
        <f>J75*(1+((Inputs!$B$11*(1+(Inputs!$B$12+1)/100))*0.01+Inputs!$B$13*0.0025)/100)*(1+Inputs!$B$14/100)*(1+IF(Inputs!$B$4="pvp",0,(1-Summary!$B$55)*(Inputs!$B$19+0+Skills!P4)+Summary!$B$55*(Inputs!$B$20+Skills!Q4))/100)*(1+Inputs!$B$15/100)*(5000/(6000+Inputs!$B$7*(1-(Inputs!$B$18+0)/100)))*(1+(Inputs!$B$23+0+B104)/100)*(1+4.0*IF(C83=TRUE,F83,0)/100)*(1+(IF(Skills!A4="BLAST",Inputs!$B$16+((C92=TRUE)*(F92-Calc!F21)),Inputs!$B$17+((C94=TRUE)*(F94-Calc!F23))))/100)*((1+(((C84=TRUE)*F84*MIN(1,Skills!T13*(Skills!J13/100)*B102))+((C89=TRUE)*F89*IF(AND(Inputs!$B$4&lt;&gt;"pvp",Inputs!$B$35&gt;0),(((S89-1)*(Skills!T18*(1+Inputs!$B$33/100))+MIN((Skills!T18*(1+Inputs!$B$33/100)),MAX(0,Inputs!$B$35-((S89-1)*Skills!D18))))/Inputs!$B$35),IF(Inputs!$B$4="pvp",MIN((Skills!T18*(1+Inputs!$B$33/100)),15)/15,(Skills!T18*(1+Inputs!$B$33/100))/Skills!D18)))+0)/100)*I75)</f>
        <v/>
      </c>
      <c r="L75">
        <f>K75*(MIN(Inputs!$B$21+((C93=TRUE)*(F93-Calc!F22)),Inputs!$B$22+((C95=TRUE)*(F95-Calc!F24)))/100+(Inputs!$B$22+((C95=TRUE)*(F95-Calc!F24)))/100)/2</f>
        <v/>
      </c>
      <c r="M75">
        <f>L75*(1+(Inputs!$B$9+0+B103)/100)</f>
        <v/>
      </c>
      <c r="N75">
        <f>L75*(1-MIN((Inputs!$B$8+0+B98),100)/100)+M75*(MIN((Inputs!$B$8+0+B98),100)/100)</f>
        <v/>
      </c>
      <c r="O75">
        <f>IF(C75,H75*N75*IF(AND(Inputs!$B$4&lt;&gt;"pvp",Inputs!$B$35&gt;0),((Skills!G4*((R75-1)*IF(Skills!H4&gt;0,Skills!I4/Skills!H4,1)+IF(Skills!H4&gt;0,MIN(Skills!I4,MAX(0,Inputs!$B$35-((R75-1)*IF(Inputs!$B$4="pvp",15,MAX(0.1,Skills!D4-IF(Skills!E4=TRUE,Inputs!$B$31,0))))))/Skills!H4,1)))/Inputs!$B$35),G75*Q75)*IF(Inputs!$B$4="pvp",1,(1-Summary!$B$55)*(1)+Summary!$B$55*(MIN(Skills!R4,Inputs!$B$37))),0)</f>
        <v/>
      </c>
      <c r="P75">
        <f>IF(B106=0,0,O75/B106)</f>
        <v/>
      </c>
      <c r="Q75">
        <f>IFERROR(1/IF(Inputs!$B$4="pvp",15,MAX(0.1,Skills!D4-IF(Skills!E4=TRUE,Inputs!$B$31,0))),0)</f>
        <v/>
      </c>
      <c r="R75">
        <f>IF(AND(Inputs!$B$4&lt;&gt;"pvp",Inputs!$B$35&gt;0),(INT(Inputs!$B$35/IF(Inputs!$B$4="pvp",15,MAX(0.1,Skills!D4-IF(Skills!E4=TRUE,Inputs!$B$31,0))))+1),0)</f>
        <v/>
      </c>
      <c r="S75">
        <f>IFERROR(O75/N75,0)</f>
        <v/>
      </c>
      <c r="U75">
        <f>290*U74/1000</f>
        <v/>
      </c>
    </row>
    <row r="76">
      <c r="A76">
        <f>Skills!A5</f>
        <v/>
      </c>
      <c r="B76">
        <f>Skills!B5</f>
        <v/>
      </c>
      <c r="C76">
        <f>Inputs!$B$3&gt;=66</f>
        <v/>
      </c>
      <c r="D76">
        <f>IF(Skills!C5=1,60+Inputs!$B$24+Inputs!$B$28,IF(Skills!C5=2,90+Inputs!$B$25+Inputs!$B$28,IF(Skills!C5=3,120+Inputs!$B$26+Inputs!$B$28,MAX(0,(Inputs!$B$3-100)*3)+Inputs!$B$27+Inputs!$B$28)))</f>
        <v/>
      </c>
      <c r="E76">
        <f>INDEX(FactorTable!$B$2:$Y$301, MATCH(ROUND(MIN(300,MAX(1,D76)),0), FactorTable!$A$2:$A$301,0), Skills!M5+1)</f>
        <v/>
      </c>
      <c r="F76">
        <f>IF(Skills!N5=TRUE,(Skills!L5/10)*(E76/1000),Skills!L5/10)+Skills!O5</f>
        <v/>
      </c>
      <c r="G76">
        <f>Skills!G5*IF(Skills!H5&gt;0,Skills!I5/Skills!H5,1)</f>
        <v/>
      </c>
      <c r="H76">
        <f>1-(1-Skills!J5/100)^Skills!K5</f>
        <v/>
      </c>
      <c r="I76" t="inlineStr">
        <is>
          <t>1</t>
        </is>
      </c>
      <c r="J76">
        <f>(Inputs!$B$5*(1+Inputs!$B$6/100))*(F76/100)</f>
        <v/>
      </c>
      <c r="K76">
        <f>J76*(1+((Inputs!$B$11*(1+(Inputs!$B$12+1)/100))*0.01+Inputs!$B$13*0.0025)/100)*(1+Inputs!$B$14/100)*(1+IF(Inputs!$B$4="pvp",0,(1-Summary!$B$55)*(Inputs!$B$19+0+Skills!P5)+Summary!$B$55*(Inputs!$B$20+Skills!Q5))/100)*(1+Inputs!$B$15/100)*(5000/(6000+Inputs!$B$7*(1-(Inputs!$B$18+0)/100)))*(1+(Inputs!$B$23+0+B104)/100)*(1+1.0*IF(C83=TRUE,F83,0)/100)*(1+(IF(Skills!A5="BLAST",Inputs!$B$16+((C92=TRUE)*(F92-Calc!F21)),Inputs!$B$17+((C94=TRUE)*(F94-Calc!F23))))/100)*((1+(((C84=TRUE)*F84*MIN(1,Skills!T13*(Skills!J13/100)*B102))+((C89=TRUE)*F89*IF(AND(Inputs!$B$4&lt;&gt;"pvp",Inputs!$B$35&gt;0),(((S89-1)*(Skills!T18*(1+Inputs!$B$33/100))+MIN((Skills!T18*(1+Inputs!$B$33/100)),MAX(0,Inputs!$B$35-((S89-1)*Skills!D18))))/Inputs!$B$35),IF(Inputs!$B$4="pvp",MIN((Skills!T18*(1+Inputs!$B$33/100)),15)/15,(Skills!T18*(1+Inputs!$B$33/100))/Skills!D18)))+0)/100)*I76)</f>
        <v/>
      </c>
      <c r="L76">
        <f>K76*(MIN(Inputs!$B$21+((C93=TRUE)*(F93-Calc!F22)),Inputs!$B$22+((C95=TRUE)*(F95-Calc!F24)))/100+(Inputs!$B$22+((C95=TRUE)*(F95-Calc!F24)))/100)/2</f>
        <v/>
      </c>
      <c r="M76">
        <f>L76*(1+(Inputs!$B$9+0+B103)/100)</f>
        <v/>
      </c>
      <c r="N76">
        <f>L76*(1-MIN((Inputs!$B$8+0+B98),100)/100)+M76*(MIN((Inputs!$B$8+0+B98),100)/100)</f>
        <v/>
      </c>
      <c r="O76">
        <f>IF(C76,H76*N76*IF(AND(Inputs!$B$4&lt;&gt;"pvp",Inputs!$B$35&gt;0),((Skills!G5*((R76-1)*IF(Skills!H5&gt;0,Skills!I5/Skills!H5,1)+IF(Skills!H5&gt;0,MIN(Skills!I5,MAX(0,Inputs!$B$35-((R76-1)*IF(Inputs!$B$4="pvp",15,MAX(0.1,Skills!D5-IF(Skills!E5=TRUE,Inputs!$B$31,0))))))/Skills!H5,1)))/Inputs!$B$35),G76*Q76)*IF(Inputs!$B$4="pvp",1,(1-Summary!$B$55)*(1)+Summary!$B$55*(MIN(Skills!R5,Inputs!$B$37))),0)</f>
        <v/>
      </c>
      <c r="P76">
        <f>IF(B106=0,0,O76/B106)</f>
        <v/>
      </c>
      <c r="Q76">
        <f>IFERROR(1/IF(Inputs!$B$4="pvp",15,MAX(0.1,Skills!D5-IF(Skills!E5=TRUE,Inputs!$B$31,0))),0)</f>
        <v/>
      </c>
      <c r="R76">
        <f>IF(AND(Inputs!$B$4&lt;&gt;"pvp",Inputs!$B$35&gt;0),(INT(Inputs!$B$35/IF(Inputs!$B$4="pvp",15,MAX(0.1,Skills!D5-IF(Skills!E5=TRUE,Inputs!$B$31,0))))+1),0)</f>
        <v/>
      </c>
      <c r="S76">
        <f>IFERROR(O76/N76,0)</f>
        <v/>
      </c>
    </row>
    <row r="77">
      <c r="A77">
        <f>Skills!A6</f>
        <v/>
      </c>
      <c r="B77">
        <f>Skills!B6</f>
        <v/>
      </c>
      <c r="C77">
        <f>Inputs!$B$3&gt;=103</f>
        <v/>
      </c>
      <c r="D77">
        <f>IF(Skills!C6=1,60+Inputs!$B$24+Inputs!$B$28,IF(Skills!C6=2,90+Inputs!$B$25+Inputs!$B$28,IF(Skills!C6=3,120+Inputs!$B$26+Inputs!$B$28,MAX(0,(Inputs!$B$3-100)*3)+Inputs!$B$27+Inputs!$B$28)))</f>
        <v/>
      </c>
      <c r="E77">
        <f>INDEX(FactorTable!$B$2:$Y$301, MATCH(ROUND(MIN(300,MAX(1,D77)),0), FactorTable!$A$2:$A$301,0), Skills!M6+1)</f>
        <v/>
      </c>
      <c r="F77">
        <f>IF(Skills!N6=TRUE,(Skills!L6/10)*(E77/1000),Skills!L6/10)+Skills!O6</f>
        <v/>
      </c>
      <c r="G77">
        <f>Skills!G6*IF(Skills!H6&gt;0,Skills!I6/Skills!H6,1)</f>
        <v/>
      </c>
      <c r="H77">
        <f>1-(1-Skills!J6/100)^Skills!K6</f>
        <v/>
      </c>
      <c r="I77" t="inlineStr">
        <is>
          <t>1</t>
        </is>
      </c>
      <c r="J77">
        <f>(Inputs!$B$5*(1+Inputs!$B$6/100))*(F77/100)</f>
        <v/>
      </c>
      <c r="K77">
        <f>J77*(1+((Inputs!$B$11*(1+(Inputs!$B$12+1)/100))*0.01+Inputs!$B$13*0.0025)/100)*(1+Inputs!$B$14/100)*(1+IF(Inputs!$B$4="pvp",0,(1-Summary!$B$55)*(Inputs!$B$19+0+Skills!P6)+Summary!$B$55*(Inputs!$B$20+Skills!Q6))/100)*(1+Inputs!$B$15/100)*(5000/(6000+Inputs!$B$7*(1-(Inputs!$B$18+0)/100)))*(1+(Inputs!$B$23+0+B104)/100)*(1+(IF(Skills!A6="BLAST",Inputs!$B$16+((C92=TRUE)*(F92-Calc!F21)),Inputs!$B$17+((C94=TRUE)*(F94-Calc!F23))))/100)*((1+(((C84=TRUE)*F84*MIN(1,Skills!T13*(Skills!J13/100)*B102))+((C89=TRUE)*F89*IF(AND(Inputs!$B$4&lt;&gt;"pvp",Inputs!$B$35&gt;0),(((S89-1)*(Skills!T18*(1+Inputs!$B$33/100))+MIN((Skills!T18*(1+Inputs!$B$33/100)),MAX(0,Inputs!$B$35-((S89-1)*Skills!D18))))/Inputs!$B$35),IF(Inputs!$B$4="pvp",MIN((Skills!T18*(1+Inputs!$B$33/100)),15)/15,(Skills!T18*(1+Inputs!$B$33/100))/Skills!D18)))+0)/100)*I77)</f>
        <v/>
      </c>
      <c r="L77">
        <f>K77*(MIN(Inputs!$B$21+((C93=TRUE)*(F93-Calc!F22)),Inputs!$B$22+((C95=TRUE)*(F95-Calc!F24)))/100+(Inputs!$B$22+((C95=TRUE)*(F95-Calc!F24)))/100)/2</f>
        <v/>
      </c>
      <c r="M77">
        <f>L77*(1+(Inputs!$B$9+0+B103)/100)</f>
        <v/>
      </c>
      <c r="N77">
        <f>L77*(1-MIN((Inputs!$B$8+0+B98),100)/100)+M77*(MIN((Inputs!$B$8+0+B98),100)/100)</f>
        <v/>
      </c>
      <c r="O77">
        <f>IF(C77,H77*N77*IF(AND(Inputs!$B$4&lt;&gt;"pvp",Inputs!$B$35&gt;0),((Skills!G6*((R77-1)*IF(Skills!H6&gt;0,Skills!I6/Skills!H6,1)+IF(Skills!H6&gt;0,MIN(Skills!I6,MAX(0,Inputs!$B$35-((R77-1)*IF(Inputs!$B$4="pvp",15,MAX(0.1,Skills!D6-IF(Skills!E6=TRUE,Inputs!$B$31,0))))))/Skills!H6,1)))/Inputs!$B$35),G77*Q77)*IF(Inputs!$B$4="pvp",1,(1-Summary!$B$55)*(1)+Summary!$B$55*(MIN(Skills!R6,Inputs!$B$37))),0)</f>
        <v/>
      </c>
      <c r="P77">
        <f>IF(B106=0,0,O77/B106)</f>
        <v/>
      </c>
      <c r="Q77">
        <f>IFERROR(1/IF(Inputs!$B$4="pvp",15,MAX(0.1,Skills!D6-IF(Skills!E6=TRUE,Inputs!$B$31,0))),0)</f>
        <v/>
      </c>
      <c r="R77">
        <f>IF(AND(Inputs!$B$4&lt;&gt;"pvp",Inputs!$B$35&gt;0),(INT(Inputs!$B$35/IF(Inputs!$B$4="pvp",15,MAX(0.1,Skills!D6-IF(Skills!E6=TRUE,Inputs!$B$31,0))))+1),0)</f>
        <v/>
      </c>
      <c r="S77">
        <f>IFERROR(O77/N77,0)</f>
        <v/>
      </c>
    </row>
    <row r="78">
      <c r="A78">
        <f>Skills!A7</f>
        <v/>
      </c>
      <c r="B78">
        <f>Skills!B7</f>
        <v/>
      </c>
      <c r="C78">
        <f>Inputs!$B$3&gt;=107</f>
        <v/>
      </c>
      <c r="D78">
        <f>IF(Skills!C7=1,60+Inputs!$B$24+Inputs!$B$28,IF(Skills!C7=2,90+Inputs!$B$25+Inputs!$B$28,IF(Skills!C7=3,120+Inputs!$B$26+Inputs!$B$28,MAX(0,(Inputs!$B$3-100)*3)+Inputs!$B$27+Inputs!$B$28)))</f>
        <v/>
      </c>
      <c r="E78">
        <f>INDEX(FactorTable!$B$2:$Y$301, MATCH(ROUND(MIN(300,MAX(1,D78)),0), FactorTable!$A$2:$A$301,0), Skills!M7+1)</f>
        <v/>
      </c>
      <c r="F78">
        <f>IF(Skills!N7=TRUE,(Skills!L7/10)*(E78/1000),Skills!L7/10)+Skills!O7</f>
        <v/>
      </c>
      <c r="G78">
        <f>Skills!G7*IF(Skills!H7&gt;0,Skills!I7/Skills!H7,1)</f>
        <v/>
      </c>
      <c r="H78">
        <f>1-(1-Skills!J7/100)^Skills!K7</f>
        <v/>
      </c>
      <c r="I78" t="inlineStr">
        <is>
          <t>1</t>
        </is>
      </c>
      <c r="J78">
        <f>(Inputs!$B$5*(1+Inputs!$B$6/100))*(F78/100)</f>
        <v/>
      </c>
      <c r="K78">
        <f>J78*(1+((Inputs!$B$11*(1+(Inputs!$B$12+1)/100))*0.01+Inputs!$B$13*0.0025)/100)*(1+Inputs!$B$14/100)*(1+IF(Inputs!$B$4="pvp",0,(1-Summary!$B$55)*(Inputs!$B$19+0+Skills!P7)+Summary!$B$55*(Inputs!$B$20+Skills!Q7))/100)*(1+Inputs!$B$15/100)*(5000/(6000+Inputs!$B$7*(1-(Inputs!$B$18+0)/100)))*(1+(Inputs!$B$23+0+B104)/100)*(1+(IF(Skills!A7="BLAST",Inputs!$B$16+((C92=TRUE)*(F92-Calc!F21)),Inputs!$B$17+((C94=TRUE)*(F94-Calc!F23))))/100)*((1+(((C84=TRUE)*F84*MIN(1,Skills!T13*(Skills!J13/100)*B102))+((C89=TRUE)*F89*IF(AND(Inputs!$B$4&lt;&gt;"pvp",Inputs!$B$35&gt;0),(((S89-1)*(Skills!T18*(1+Inputs!$B$33/100))+MIN((Skills!T18*(1+Inputs!$B$33/100)),MAX(0,Inputs!$B$35-((S89-1)*Skills!D18))))/Inputs!$B$35),IF(Inputs!$B$4="pvp",MIN((Skills!T18*(1+Inputs!$B$33/100)),15)/15,(Skills!T18*(1+Inputs!$B$33/100))/Skills!D18)))+0)/100)*I78)</f>
        <v/>
      </c>
      <c r="L78">
        <f>K78*(MIN(Inputs!$B$21+((C93=TRUE)*(F93-Calc!F22)),Inputs!$B$22+((C95=TRUE)*(F95-Calc!F24)))/100+(Inputs!$B$22+((C95=TRUE)*(F95-Calc!F24)))/100)/2</f>
        <v/>
      </c>
      <c r="M78">
        <f>L78*(1+(Inputs!$B$9+0+B103)/100)</f>
        <v/>
      </c>
      <c r="N78">
        <f>L78*(1-MIN((Inputs!$B$8+0+B98),100)/100)+M78*(MIN((Inputs!$B$8+0+B98),100)/100)</f>
        <v/>
      </c>
      <c r="O78">
        <f>IF(C78,H78*N78*IF(AND(Inputs!$B$4&lt;&gt;"pvp",Inputs!$B$35&gt;0),((Skills!G7*((R78-1)*IF(Skills!H7&gt;0,Skills!I7/Skills!H7,1)+IF(Skills!H7&gt;0,MIN(Skills!I7,MAX(0,Inputs!$B$35-((R78-1)*IF(Inputs!$B$4="pvp",15,MAX(0.1,Skills!D7-IF(Skills!E7=TRUE,Inputs!$B$31,0))))))/Skills!H7,1)))/Inputs!$B$35),G78*Q78)*IF(Inputs!$B$4="pvp",1,(1-Summary!$B$55)*(1)+Summary!$B$55*(MIN(Skills!R7,Inputs!$B$37))),0)</f>
        <v/>
      </c>
      <c r="P78">
        <f>IF(B106=0,0,O78/B106)</f>
        <v/>
      </c>
      <c r="Q78">
        <f>IFERROR(1/IF(Inputs!$B$4="pvp",15,MAX(0.1,Skills!D7-IF(Skills!E7=TRUE,Inputs!$B$31,0))),0)</f>
        <v/>
      </c>
      <c r="R78">
        <f>IF(AND(Inputs!$B$4&lt;&gt;"pvp",Inputs!$B$35&gt;0),(INT(Inputs!$B$35/IF(Inputs!$B$4="pvp",15,MAX(0.1,Skills!D7-IF(Skills!E7=TRUE,Inputs!$B$31,0))))+1),0)</f>
        <v/>
      </c>
      <c r="S78">
        <f>IFERROR(O78/N78,0)</f>
        <v/>
      </c>
    </row>
    <row r="79">
      <c r="A79">
        <f>Skills!A8</f>
        <v/>
      </c>
      <c r="B79">
        <f>Skills!B8</f>
        <v/>
      </c>
      <c r="C79">
        <f>Inputs!$B$3&gt;=107</f>
        <v/>
      </c>
      <c r="D79">
        <f>IF(Skills!C8=1,60+Inputs!$B$24+Inputs!$B$28,IF(Skills!C8=2,90+Inputs!$B$25+Inputs!$B$28,IF(Skills!C8=3,120+Inputs!$B$26+Inputs!$B$28,MAX(0,(Inputs!$B$3-100)*3)+Inputs!$B$27+Inputs!$B$28)))</f>
        <v/>
      </c>
      <c r="E79">
        <f>INDEX(FactorTable!$B$2:$Y$301, MATCH(ROUND(MIN(300,MAX(1,D79)),0), FactorTable!$A$2:$A$301,0), Skills!M8+1)</f>
        <v/>
      </c>
      <c r="F79">
        <f>IF(Skills!N8=TRUE,(Skills!L8/10)*(E79/1000),Skills!L8/10)+Skills!O8</f>
        <v/>
      </c>
      <c r="G79">
        <f>Skills!G8*IF(Skills!H8&gt;0,Skills!I8/Skills!H8,1)</f>
        <v/>
      </c>
      <c r="H79">
        <f>1-(1-Skills!J8/100)^Skills!K8</f>
        <v/>
      </c>
      <c r="I79" t="inlineStr">
        <is>
          <t>1</t>
        </is>
      </c>
      <c r="J79">
        <f>(Inputs!$B$5*(1+Inputs!$B$6/100))*(F79/100)</f>
        <v/>
      </c>
      <c r="K79">
        <f>J79*(1+((Inputs!$B$11*(1+(Inputs!$B$12+1)/100))*0.01+Inputs!$B$13*0.0025)/100)*(1+Inputs!$B$14/100)*(1+IF(Inputs!$B$4="pvp",0,(1-Summary!$B$55)*(Inputs!$B$19+0+Skills!P8)+Summary!$B$55*(Inputs!$B$20+Skills!Q8))/100)*(1+Inputs!$B$15/100)*(5000/(6000+Inputs!$B$7*(1-(Inputs!$B$18+0)/100)))*(1+(Inputs!$B$23+0+B104)/100)*(1+(IF(Skills!A8="BLAST",Inputs!$B$16+((C92=TRUE)*(F92-Calc!F21)),Inputs!$B$17+((C94=TRUE)*(F94-Calc!F23))))/100)*((1+(((C84=TRUE)*F84*MIN(1,Skills!T13*(Skills!J13/100)*B102))+((C89=TRUE)*F89*IF(AND(Inputs!$B$4&lt;&gt;"pvp",Inputs!$B$35&gt;0),(((S89-1)*(Skills!T18*(1+Inputs!$B$33/100))+MIN((Skills!T18*(1+Inputs!$B$33/100)),MAX(0,Inputs!$B$35-((S89-1)*Skills!D18))))/Inputs!$B$35),IF(Inputs!$B$4="pvp",MIN((Skills!T18*(1+Inputs!$B$33/100)),15)/15,(Skills!T18*(1+Inputs!$B$33/100))/Skills!D18)))+0)/100)*I79)</f>
        <v/>
      </c>
      <c r="L79">
        <f>K79*(MIN(Inputs!$B$21+((C93=TRUE)*(F93-Calc!F22)),Inputs!$B$22+((C95=TRUE)*(F95-Calc!F24)))/100+(Inputs!$B$22+((C95=TRUE)*(F95-Calc!F24)))/100)/2</f>
        <v/>
      </c>
      <c r="M79">
        <f>L79*(1+(Inputs!$B$9+0+B103)/100)</f>
        <v/>
      </c>
      <c r="N79">
        <f>L79*(1-MIN((Inputs!$B$8+0+B98),100)/100)+M79*(MIN((Inputs!$B$8+0+B98),100)/100)</f>
        <v/>
      </c>
      <c r="O79">
        <f>IF(C79,H79*N79*IF(AND(Inputs!$B$4&lt;&gt;"pvp",Inputs!$B$35&gt;0),((Skills!G8*((R79-1)*IF(Skills!H8&gt;0,Skills!I8/Skills!H8,1)+IF(Skills!H8&gt;0,MIN(Skills!I8,MAX(0,Inputs!$B$35-((R79-1)*IF(Inputs!$B$4="pvp",15,MAX(0.1,Skills!D8-IF(Skills!E8=TRUE,Inputs!$B$31,0))))))/Skills!H8,1)))/Inputs!$B$35),G79*Q79)*IF(Inputs!$B$4="pvp",1,(1-Summary!$B$55)*(1)+Summary!$B$55*(MIN(Skills!R8,Inputs!$B$37))),0)</f>
        <v/>
      </c>
      <c r="P79">
        <f>IF(B106=0,0,O79/B106)</f>
        <v/>
      </c>
      <c r="Q79">
        <f>IFERROR(1/IF(Inputs!$B$4="pvp",15,MAX(0.1,Skills!D8-IF(Skills!E8=TRUE,Inputs!$B$31,0))),0)</f>
        <v/>
      </c>
      <c r="R79">
        <f>IF(AND(Inputs!$B$4&lt;&gt;"pvp",Inputs!$B$35&gt;0),(INT(Inputs!$B$35/IF(Inputs!$B$4="pvp",15,MAX(0.1,Skills!D8-IF(Skills!E8=TRUE,Inputs!$B$31,0))))+1),0)</f>
        <v/>
      </c>
      <c r="S79">
        <f>IFERROR(O79/N79,0)</f>
        <v/>
      </c>
    </row>
    <row r="80">
      <c r="A80">
        <f>Skills!A9</f>
        <v/>
      </c>
      <c r="B80">
        <f>Skills!B9</f>
        <v/>
      </c>
      <c r="C80">
        <f>Inputs!$B$3&gt;=125</f>
        <v/>
      </c>
      <c r="D80">
        <f>IF(Skills!C9=1,60+Inputs!$B$24+Inputs!$B$28,IF(Skills!C9=2,90+Inputs!$B$25+Inputs!$B$28,IF(Skills!C9=3,120+Inputs!$B$26+Inputs!$B$28,MAX(0,(Inputs!$B$3-100)*3)+Inputs!$B$27+Inputs!$B$28)))</f>
        <v/>
      </c>
      <c r="E80">
        <f>INDEX(FactorTable!$B$2:$Y$301, MATCH(ROUND(MIN(300,MAX(1,D80)),0), FactorTable!$A$2:$A$301,0), Skills!M9+1)</f>
        <v/>
      </c>
      <c r="F80">
        <f>IF(Skills!N9=TRUE,(Skills!L9/10)*(E80/1000),Skills!L9/10)+Skills!O9</f>
        <v/>
      </c>
      <c r="G80">
        <f>Skills!G9*IF(Skills!H9&gt;0,Skills!I9/Skills!H9,1)</f>
        <v/>
      </c>
      <c r="H80">
        <f>1-(1-Skills!J9/100)^Skills!K9</f>
        <v/>
      </c>
      <c r="I80" t="inlineStr">
        <is>
          <t>1</t>
        </is>
      </c>
      <c r="J80">
        <f>(Inputs!$B$5*(1+Inputs!$B$6/100))*(F80/100)</f>
        <v/>
      </c>
      <c r="K80">
        <f>J80*(1+((Inputs!$B$11*(1+(Inputs!$B$12+1)/100))*0.01+Inputs!$B$13*0.0025)/100)*(1+Inputs!$B$14/100)*(1+IF(Inputs!$B$4="pvp",0,(1-Summary!$B$55)*(Inputs!$B$19+0+Skills!P9)+Summary!$B$55*(Inputs!$B$20+Skills!Q9))/100)*(1+Inputs!$B$15/100)*(5000/(6000+Inputs!$B$7*(1-(Inputs!$B$18+0)/100)))*(1+(Inputs!$B$23+0+B104)/100)*(1+(IF(Skills!A9="BLAST",Inputs!$B$16+((C92=TRUE)*(F92-Calc!F21)),Inputs!$B$17+((C94=TRUE)*(F94-Calc!F23))))/100)*((1+(((C84=TRUE)*F84*MIN(1,Skills!T13*(Skills!J13/100)*B102))+((C89=TRUE)*F89*IF(AND(Inputs!$B$4&lt;&gt;"pvp",Inputs!$B$35&gt;0),(((S89-1)*(Skills!T18*(1+Inputs!$B$33/100))+MIN((Skills!T18*(1+Inputs!$B$33/100)),MAX(0,Inputs!$B$35-((S89-1)*Skills!D18))))/Inputs!$B$35),IF(Inputs!$B$4="pvp",MIN((Skills!T18*(1+Inputs!$B$33/100)),15)/15,(Skills!T18*(1+Inputs!$B$33/100))/Skills!D18)))+0)/100)*I80)</f>
        <v/>
      </c>
      <c r="L80">
        <f>K80*(MIN(Inputs!$B$21+((C93=TRUE)*(F93-Calc!F22)),Inputs!$B$22+((C95=TRUE)*(F95-Calc!F24)))/100+(Inputs!$B$22+((C95=TRUE)*(F95-Calc!F24)))/100)/2</f>
        <v/>
      </c>
      <c r="M80">
        <f>L80*(1+(Inputs!$B$9+0+B103)/100)</f>
        <v/>
      </c>
      <c r="N80">
        <f>L80*(1-MIN((Inputs!$B$8+0+B98),100)/100)+M80*(MIN((Inputs!$B$8+0+B98),100)/100)</f>
        <v/>
      </c>
      <c r="O80">
        <f>IF(C80,H80*N80*IF(AND(Inputs!$B$4&lt;&gt;"pvp",Inputs!$B$35&gt;0),((Skills!G9*((R80-1)*IF(Skills!H9&gt;0,Skills!I9/Skills!H9,1)+IF(Skills!H9&gt;0,MIN(Skills!I9,MAX(0,Inputs!$B$35-((R80-1)*IF(Inputs!$B$4="pvp",15,MAX(0.1,Skills!D9-IF(Skills!E9=TRUE,Inputs!$B$31,0))))))/Skills!H9,1)))/Inputs!$B$35),G80*Q80)*IF(Inputs!$B$4="pvp",1,(1-Summary!$B$55)*(1)+Summary!$B$55*(MIN(Skills!R9,Inputs!$B$37))),0)</f>
        <v/>
      </c>
      <c r="P80">
        <f>IF(B106=0,0,O80/B106)</f>
        <v/>
      </c>
      <c r="Q80">
        <f>IFERROR(1/IF(Inputs!$B$4="pvp",15,MAX(0.1,Skills!D9-IF(Skills!E9=TRUE,Inputs!$B$31,0))),0)</f>
        <v/>
      </c>
      <c r="R80">
        <f>IF(AND(Inputs!$B$4&lt;&gt;"pvp",Inputs!$B$35&gt;0),(INT(Inputs!$B$35/IF(Inputs!$B$4="pvp",15,MAX(0.1,Skills!D9-IF(Skills!E9=TRUE,Inputs!$B$31,0))))+1),0)</f>
        <v/>
      </c>
      <c r="S80">
        <f>IFERROR(O80/N80,0)</f>
        <v/>
      </c>
    </row>
    <row r="81">
      <c r="A81">
        <f>Skills!A10</f>
        <v/>
      </c>
      <c r="B81">
        <f>Skills!B10</f>
        <v/>
      </c>
      <c r="C81">
        <f>Inputs!$B$3&gt;=117</f>
        <v/>
      </c>
      <c r="D81">
        <f>IF(Skills!C10=1,60+Inputs!$B$24+Inputs!$B$28,IF(Skills!C10=2,90+Inputs!$B$25+Inputs!$B$28,IF(Skills!C10=3,120+Inputs!$B$26+Inputs!$B$28,MAX(0,(Inputs!$B$3-100)*3)+Inputs!$B$27+Inputs!$B$28)))</f>
        <v/>
      </c>
      <c r="E81">
        <f>INDEX(FactorTable!$B$2:$Y$301, MATCH(ROUND(MIN(300,MAX(1,D81)),0), FactorTable!$A$2:$A$301,0), Skills!M10+1)</f>
        <v/>
      </c>
      <c r="F81">
        <f>IF(Skills!N10=TRUE,(Skills!L10/10)*(E81/1000),Skills!L10/10)+Skills!O10</f>
        <v/>
      </c>
      <c r="G81">
        <f>Skills!G10*IF(Skills!H10&gt;0,Skills!I10/Skills!H10,1)</f>
        <v/>
      </c>
      <c r="H81">
        <f>1-(1-Skills!J10/100)^Skills!K10</f>
        <v/>
      </c>
      <c r="I81" t="inlineStr">
        <is>
          <t>1</t>
        </is>
      </c>
      <c r="J81">
        <f>(Inputs!$B$5*(1+Inputs!$B$6/100))*(F81/100)</f>
        <v/>
      </c>
      <c r="K81">
        <f>J81*(1+((Inputs!$B$11*(1+(Inputs!$B$12+1)/100))*0.01+Inputs!$B$13*0.0025)/100)*(1+Inputs!$B$14/100)*(1+IF(Inputs!$B$4="pvp",0,(1-Summary!$B$55)*(Inputs!$B$19+0+Skills!P10)+Summary!$B$55*(Inputs!$B$20+Skills!Q10))/100)*(1+Inputs!$B$15/100)*(5000/(6000+Inputs!$B$7*(1-(Inputs!$B$18+0)/100)))*(1+(Inputs!$B$23+0+B104)/100)*(1+(IF(Skills!A10="BLAST",Inputs!$B$16+((C92=TRUE)*(F92-Calc!F21)),Inputs!$B$17+((C94=TRUE)*(F94-Calc!F23))))/100)*((1+(((C84=TRUE)*F84*MIN(1,Skills!T13*(Skills!J13/100)*B102))+((C89=TRUE)*F89*IF(AND(Inputs!$B$4&lt;&gt;"pvp",Inputs!$B$35&gt;0),(((S89-1)*(Skills!T18*(1+Inputs!$B$33/100))+MIN((Skills!T18*(1+Inputs!$B$33/100)),MAX(0,Inputs!$B$35-((S89-1)*Skills!D18))))/Inputs!$B$35),IF(Inputs!$B$4="pvp",MIN((Skills!T18*(1+Inputs!$B$33/100)),15)/15,(Skills!T18*(1+Inputs!$B$33/100))/Skills!D18)))+0)/100)*I81)</f>
        <v/>
      </c>
      <c r="L81">
        <f>K81*(MIN(Inputs!$B$21+((C93=TRUE)*(F93-Calc!F22)),Inputs!$B$22+((C95=TRUE)*(F95-Calc!F24)))/100+(Inputs!$B$22+((C95=TRUE)*(F95-Calc!F24)))/100)/2</f>
        <v/>
      </c>
      <c r="M81">
        <f>L81*(1+(Inputs!$B$9+0+B103)/100)</f>
        <v/>
      </c>
      <c r="N81">
        <f>L81*(1-MIN((Inputs!$B$8+0+B98),100)/100)+M81*(MIN((Inputs!$B$8+0+B98),100)/100)</f>
        <v/>
      </c>
      <c r="O81">
        <f>IF(C81,H81*N81*IF(AND(Inputs!$B$4&lt;&gt;"pvp",Inputs!$B$35&gt;0),((Skills!G10*((R81-1)*IF(Skills!H10&gt;0,Skills!I10/Skills!H10,1)+IF(Skills!H10&gt;0,MIN(Skills!I10,MAX(0,Inputs!$B$35-((R81-1)*IF(Inputs!$B$4="pvp",15,MAX(0.1,Skills!D10-IF(Skills!E10=TRUE,Inputs!$B$31,0))))))/Skills!H10,1)))/Inputs!$B$35),G81*Q81)*IF(Inputs!$B$4="pvp",1,(1-Summary!$B$55)*(1)+Summary!$B$55*(MIN(Skills!R10,Inputs!$B$37))),0)</f>
        <v/>
      </c>
      <c r="P81">
        <f>IF(B106=0,0,O81/B106)</f>
        <v/>
      </c>
      <c r="Q81">
        <f>IFERROR(1/IF(Inputs!$B$4="pvp",15,MAX(0.1,Skills!D10-IF(Skills!E10=TRUE,Inputs!$B$31,0))),0)</f>
        <v/>
      </c>
      <c r="R81">
        <f>IF(AND(Inputs!$B$4&lt;&gt;"pvp",Inputs!$B$35&gt;0),(INT(Inputs!$B$35/IF(Inputs!$B$4="pvp",15,MAX(0.1,Skills!D10-IF(Skills!E10=TRUE,Inputs!$B$31,0))))+1),0)</f>
        <v/>
      </c>
      <c r="S81">
        <f>IFERROR(O81/N81,0)</f>
        <v/>
      </c>
    </row>
    <row r="82">
      <c r="A82">
        <f>Skills!A11</f>
        <v/>
      </c>
      <c r="B82">
        <f>Skills!B11</f>
        <v/>
      </c>
      <c r="C82">
        <f>Inputs!$B$3&gt;=63</f>
        <v/>
      </c>
      <c r="D82">
        <f>IF(Skills!C11=1,60+Inputs!$B$24+Inputs!$B$28,IF(Skills!C11=2,90+Inputs!$B$25+Inputs!$B$28,IF(Skills!C11=3,120+Inputs!$B$26+Inputs!$B$28,MAX(0,(Inputs!$B$3-100)*3)+Inputs!$B$27+Inputs!$B$28)))</f>
        <v/>
      </c>
      <c r="E82">
        <f>INDEX(FactorTable!$B$2:$Y$301, MATCH(ROUND(MIN(300,MAX(1,D82)),0), FactorTable!$A$2:$A$301,0), Skills!M11+1)</f>
        <v/>
      </c>
      <c r="F82">
        <f>IF(Skills!N11=TRUE,(Skills!L11/10)*(E82/1000),Skills!L11/10)+Skills!O11</f>
        <v/>
      </c>
      <c r="G82">
        <f>Skills!G11*IF(Skills!H11&gt;0,Skills!I11/Skills!H11,1)</f>
        <v/>
      </c>
      <c r="H82">
        <f>1-(1-Skills!J11/100)^Skills!K11</f>
        <v/>
      </c>
      <c r="I82" t="inlineStr">
        <is>
          <t>1</t>
        </is>
      </c>
      <c r="J82">
        <f>(Inputs!$B$5*(1+Inputs!$B$6/100))*(F82/100)</f>
        <v/>
      </c>
      <c r="K82">
        <f>J82*(1+((Inputs!$B$11*(1+(Inputs!$B$12+1)/100))*0.01+Inputs!$B$13*0.0025)/100)*(1+Inputs!$B$14/100)*(1+IF(Inputs!$B$4="pvp",0,(1-Summary!$B$55)*(Inputs!$B$19+0+Skills!P11)+Summary!$B$55*(Inputs!$B$20+Skills!Q11))/100)*(1+Inputs!$B$15/100)*(5000/(6000+Inputs!$B$7*(1-(Inputs!$B$18+0)/100)))*(1+(Inputs!$B$23+0+B104)/100)*(1+1.5*IF(C83=TRUE,F83,0)/100)*(1+(IF(Skills!A11="BLAST",Inputs!$B$16+((C92=TRUE)*(F92-Calc!F21)),Inputs!$B$17+((C94=TRUE)*(F94-Calc!F23))))/100)*((1+(((C84=TRUE)*F84*MIN(1,Skills!T13*(Skills!J13/100)*B102))+((C89=TRUE)*F89*IF(AND(Inputs!$B$4&lt;&gt;"pvp",Inputs!$B$35&gt;0),(((S89-1)*(Skills!T18*(1+Inputs!$B$33/100))+MIN((Skills!T18*(1+Inputs!$B$33/100)),MAX(0,Inputs!$B$35-((S89-1)*Skills!D18))))/Inputs!$B$35),IF(Inputs!$B$4="pvp",MIN((Skills!T18*(1+Inputs!$B$33/100)),15)/15,(Skills!T18*(1+Inputs!$B$33/100))/Skills!D18)))+0)/100)*I82)</f>
        <v/>
      </c>
      <c r="L82">
        <f>K82*(MIN(Inputs!$B$21+((C93=TRUE)*(F93-Calc!F22)),Inputs!$B$22+((C95=TRUE)*(F95-Calc!F24)))/100+(Inputs!$B$22+((C95=TRUE)*(F95-Calc!F24)))/100)/2</f>
        <v/>
      </c>
      <c r="M82">
        <f>L82*(1+(Inputs!$B$9+0+B103)/100)</f>
        <v/>
      </c>
      <c r="N82">
        <f>L82*(1-MIN((Inputs!$B$8+0+B98),100)/100)+M82*(MIN((Inputs!$B$8+0+B98),100)/100)</f>
        <v/>
      </c>
      <c r="O82">
        <f>IF(C82,H82*N82*IF(AND(Inputs!$B$4&lt;&gt;"pvp",Inputs!$B$35&gt;0),((Skills!G11*((R82-1)*IF(Skills!H11&gt;0,Skills!I11/Skills!H11,1)+IF(Skills!H11&gt;0,MIN(Skills!I11,MAX(0,Inputs!$B$35-((R82-1)*IF(Inputs!$B$4="pvp",15,MAX(0.1,Skills!D11-IF(Skills!E11=TRUE,Inputs!$B$31,0))))))/Skills!H11,1)))/Inputs!$B$35),G82*Q82)*IF(Inputs!$B$4="pvp",1,(1-Summary!$B$55)*(1)+Summary!$B$55*(MIN(Skills!R11,Inputs!$B$37))),0)</f>
        <v/>
      </c>
      <c r="P82">
        <f>IF(B106=0,0,O82/B106)</f>
        <v/>
      </c>
      <c r="Q82">
        <f>IFERROR(1/IF(Inputs!$B$4="pvp",15,MAX(0.1,Skills!D11-IF(Skills!E11=TRUE,Inputs!$B$31,0))),0)</f>
        <v/>
      </c>
      <c r="R82">
        <f>IF(AND(Inputs!$B$4&lt;&gt;"pvp",Inputs!$B$35&gt;0),(INT(Inputs!$B$35/IF(Inputs!$B$4="pvp",15,MAX(0.1,Skills!D11-IF(Skills!E11=TRUE,Inputs!$B$31,0))))+1),0)</f>
        <v/>
      </c>
      <c r="S82">
        <f>IFERROR(O82/N82,0)</f>
        <v/>
      </c>
    </row>
    <row r="83">
      <c r="A83">
        <f>Skills!A12</f>
        <v/>
      </c>
      <c r="B83">
        <f>Skills!B12</f>
        <v/>
      </c>
      <c r="C83">
        <f>Inputs!$B$3&gt;=100</f>
        <v/>
      </c>
      <c r="D83">
        <f>IF(Skills!C12=1,60+Inputs!$B$24+Inputs!$B$28,IF(Skills!C12=2,90+Inputs!$B$25+Inputs!$B$28,IF(Skills!C12=3,120+Inputs!$B$26+Inputs!$B$28,MAX(0,(Inputs!$B$3-100)*3)+Inputs!$B$27+Inputs!$B$28)))</f>
        <v/>
      </c>
      <c r="E83">
        <f>INDEX(FactorTable!$B$2:$Y$301, MATCH(ROUND(MIN(300,MAX(1,D83)),0), FactorTable!$A$2:$A$301,0), Skills!M12+1)</f>
        <v/>
      </c>
      <c r="F83">
        <f>IF(Skills!N12=TRUE,(Skills!L12/10)*(E83/1000),Skills!L12/10)+Skills!O12</f>
        <v/>
      </c>
      <c r="G83" t="inlineStr"/>
      <c r="H83" t="inlineStr"/>
      <c r="I83" t="inlineStr">
        <is>
          <t>1</t>
        </is>
      </c>
      <c r="J83" t="inlineStr"/>
      <c r="K83" t="inlineStr"/>
      <c r="L83" t="inlineStr"/>
      <c r="M83" t="inlineStr"/>
      <c r="N83" t="inlineStr"/>
      <c r="O83" t="inlineStr"/>
      <c r="P83" t="inlineStr"/>
      <c r="Q83" t="inlineStr"/>
      <c r="R83" t="inlineStr"/>
      <c r="S83" t="inlineStr"/>
    </row>
    <row r="84">
      <c r="A84">
        <f>Skills!A13</f>
        <v/>
      </c>
      <c r="B84">
        <f>Skills!B13</f>
        <v/>
      </c>
      <c r="C84">
        <f>Inputs!$B$3&gt;=45</f>
        <v/>
      </c>
      <c r="D84">
        <f>IF(Skills!C13=1,60+Inputs!$B$24+Inputs!$B$28,IF(Skills!C13=2,90+Inputs!$B$25+Inputs!$B$28,IF(Skills!C13=3,120+Inputs!$B$26+Inputs!$B$28,MAX(0,(Inputs!$B$3-100)*3)+Inputs!$B$27+Inputs!$B$28)))</f>
        <v/>
      </c>
      <c r="E84">
        <f>INDEX(FactorTable!$B$2:$Y$301, MATCH(ROUND(MIN(300,MAX(1,D84)),0), FactorTable!$A$2:$A$301,0), Skills!M13+1)</f>
        <v/>
      </c>
      <c r="F84">
        <f>IF(Skills!N13=TRUE,(Skills!L13/10)*(E84/1000),Skills!L13/10)+Skills!O13</f>
        <v/>
      </c>
      <c r="G84">
        <f>Skills!G13*IF(Skills!H13&gt;0,Skills!I13/Skills!H13,1)</f>
        <v/>
      </c>
      <c r="H84">
        <f>1-(1-Skills!J13/100)^Skills!K13</f>
        <v/>
      </c>
      <c r="I84" t="inlineStr">
        <is>
          <t>1</t>
        </is>
      </c>
      <c r="J84" t="inlineStr"/>
      <c r="K84" t="inlineStr"/>
      <c r="L84" t="inlineStr"/>
      <c r="M84" t="inlineStr"/>
      <c r="N84" t="inlineStr"/>
      <c r="O84" t="n">
        <v>0</v>
      </c>
      <c r="P84">
        <f>IF(B106=0,0,O84/B106)</f>
        <v/>
      </c>
      <c r="Q84" t="n">
        <v>0</v>
      </c>
      <c r="R84" t="n">
        <v>0</v>
      </c>
      <c r="S84">
        <f>IFERROR(O84/N84,0)</f>
        <v/>
      </c>
    </row>
    <row r="85">
      <c r="A85">
        <f>Skills!A14</f>
        <v/>
      </c>
      <c r="B85">
        <f>Skills!B14</f>
        <v/>
      </c>
      <c r="C85">
        <f>Inputs!$B$3&gt;=110</f>
        <v/>
      </c>
      <c r="D85">
        <f>IF(Skills!C14=1,60+Inputs!$B$24+Inputs!$B$28,IF(Skills!C14=2,90+Inputs!$B$25+Inputs!$B$28,IF(Skills!C14=3,120+Inputs!$B$26+Inputs!$B$28,MAX(0,(Inputs!$B$3-100)*3)+Inputs!$B$27+Inputs!$B$28)))</f>
        <v/>
      </c>
      <c r="E85">
        <f>INDEX(FactorTable!$B$2:$Y$301, MATCH(ROUND(MIN(300,MAX(1,D85)),0), FactorTable!$A$2:$A$301,0), Skills!M14+1)</f>
        <v/>
      </c>
      <c r="F85">
        <f>IF(Skills!N14=TRUE,(Skills!L14/10)*(E85/1000),Skills!L14/10)+Skills!O14</f>
        <v/>
      </c>
      <c r="G85">
        <f>Skills!G14*IF(Skills!H14&gt;0,Skills!I14/Skills!H14,1)</f>
        <v/>
      </c>
      <c r="H85">
        <f>1-(1-Skills!J14/100)^Skills!K14</f>
        <v/>
      </c>
      <c r="I85" t="inlineStr">
        <is>
          <t>1</t>
        </is>
      </c>
      <c r="J85" t="inlineStr"/>
      <c r="K85" t="inlineStr"/>
      <c r="L85" t="inlineStr"/>
      <c r="M85" t="inlineStr"/>
      <c r="N85" t="inlineStr"/>
      <c r="O85" t="n">
        <v>0</v>
      </c>
      <c r="P85">
        <f>IF(B106=0,0,O85/B106)</f>
        <v/>
      </c>
      <c r="Q85" t="n">
        <v>0</v>
      </c>
      <c r="R85" t="n">
        <v>0</v>
      </c>
      <c r="S85">
        <f>IFERROR(O85/N85,0)</f>
        <v/>
      </c>
    </row>
    <row r="86">
      <c r="A86">
        <f>Skills!A15</f>
        <v/>
      </c>
      <c r="B86">
        <f>Skills!B15</f>
        <v/>
      </c>
      <c r="C86">
        <f>Inputs!$B$3&gt;=75</f>
        <v/>
      </c>
      <c r="D86">
        <f>IF(Skills!C15=1,60+Inputs!$B$24+Inputs!$B$28,IF(Skills!C15=2,90+Inputs!$B$25+Inputs!$B$28,IF(Skills!C15=3,120+Inputs!$B$26+Inputs!$B$28,MAX(0,(Inputs!$B$3-100)*3)+Inputs!$B$27+Inputs!$B$28)))</f>
        <v/>
      </c>
      <c r="E86">
        <f>INDEX(FactorTable!$B$2:$Y$301, MATCH(ROUND(MIN(300,MAX(1,D86)),0), FactorTable!$A$2:$A$301,0), Skills!M15+1)</f>
        <v/>
      </c>
      <c r="F86">
        <f>IF(Skills!N15=TRUE,(Skills!L15/10)*(E86/1000),Skills!L15/10)+Skills!O15</f>
        <v/>
      </c>
      <c r="G86">
        <f>Skills!G15*IF(Skills!H15&gt;0,Skills!I15/Skills!H15,1)</f>
        <v/>
      </c>
      <c r="H86">
        <f>1-(1-Skills!J15/100)^Skills!K15</f>
        <v/>
      </c>
      <c r="I86" t="inlineStr">
        <is>
          <t>1</t>
        </is>
      </c>
      <c r="J86" t="inlineStr"/>
      <c r="K86" t="inlineStr"/>
      <c r="L86" t="inlineStr"/>
      <c r="M86" t="inlineStr"/>
      <c r="N86" t="inlineStr"/>
      <c r="O86" t="n">
        <v>0</v>
      </c>
      <c r="P86">
        <f>IF(B106=0,0,O86/B106)</f>
        <v/>
      </c>
      <c r="Q86">
        <f>IFERROR(1/IF(Inputs!$B$4="pvp",15,MAX(0.1,Skills!D15-IF(Skills!E15=TRUE,Inputs!$B$31,0))),0)</f>
        <v/>
      </c>
      <c r="R86">
        <f>IF(AND(Inputs!$B$4&lt;&gt;"pvp",Inputs!$B$35&gt;0),(INT(Inputs!$B$35/IF(Inputs!$B$4="pvp",15,MAX(0.1,Skills!D15-IF(Skills!E15=TRUE,Inputs!$B$31,0))))+1),0)</f>
        <v/>
      </c>
      <c r="S86">
        <f>IFERROR(O86/N86,0)</f>
        <v/>
      </c>
    </row>
    <row r="87">
      <c r="A87">
        <f>Skills!A16</f>
        <v/>
      </c>
      <c r="B87">
        <f>Skills!B16</f>
        <v/>
      </c>
      <c r="C87">
        <f>Inputs!$B$3&gt;=105</f>
        <v/>
      </c>
      <c r="D87">
        <f>IF(Skills!C16=1,60+Inputs!$B$24+Inputs!$B$28,IF(Skills!C16=2,90+Inputs!$B$25+Inputs!$B$28,IF(Skills!C16=3,120+Inputs!$B$26+Inputs!$B$28,MAX(0,(Inputs!$B$3-100)*3)+Inputs!$B$27+Inputs!$B$28)))</f>
        <v/>
      </c>
      <c r="E87">
        <f>INDEX(FactorTable!$B$2:$Y$301, MATCH(ROUND(MIN(300,MAX(1,D87)),0), FactorTable!$A$2:$A$301,0), Skills!M16+1)</f>
        <v/>
      </c>
      <c r="F87">
        <f>IF(Skills!N16=TRUE,(Skills!L16/10)*(E87/1000),Skills!L16/10)+Skills!O16</f>
        <v/>
      </c>
      <c r="G87">
        <f>Skills!G16*IF(Skills!H16&gt;0,Skills!I16/Skills!H16,1)</f>
        <v/>
      </c>
      <c r="H87">
        <f>1-(1-Skills!J16/100)^Skills!K16</f>
        <v/>
      </c>
      <c r="I87" t="inlineStr">
        <is>
          <t>1</t>
        </is>
      </c>
      <c r="J87" t="inlineStr"/>
      <c r="K87" t="inlineStr"/>
      <c r="L87" t="inlineStr"/>
      <c r="M87" t="inlineStr"/>
      <c r="N87" t="inlineStr"/>
      <c r="O87" t="n">
        <v>0</v>
      </c>
      <c r="P87">
        <f>IF(B106=0,0,O87/B106)</f>
        <v/>
      </c>
      <c r="Q87">
        <f>IFERROR(1/IF(Inputs!$B$4="pvp",15,MAX(0.1,Skills!D16-IF(Skills!E16=TRUE,Inputs!$B$31,0))),0)</f>
        <v/>
      </c>
      <c r="R87">
        <f>IF(AND(Inputs!$B$4&lt;&gt;"pvp",Inputs!$B$35&gt;0),(INT(Inputs!$B$35/IF(Inputs!$B$4="pvp",15,MAX(0.1,Skills!D16-IF(Skills!E16=TRUE,Inputs!$B$31,0))))+1),0)</f>
        <v/>
      </c>
      <c r="S87">
        <f>IFERROR(O87/N87,0)</f>
        <v/>
      </c>
    </row>
    <row r="88">
      <c r="A88">
        <f>Skills!A17</f>
        <v/>
      </c>
      <c r="B88">
        <f>Skills!B17</f>
        <v/>
      </c>
      <c r="C88">
        <f>Inputs!$B$3&gt;=115</f>
        <v/>
      </c>
      <c r="D88">
        <f>IF(Skills!C17=1,60+Inputs!$B$24+Inputs!$B$28,IF(Skills!C17=2,90+Inputs!$B$25+Inputs!$B$28,IF(Skills!C17=3,120+Inputs!$B$26+Inputs!$B$28,MAX(0,(Inputs!$B$3-100)*3)+Inputs!$B$27+Inputs!$B$28)))</f>
        <v/>
      </c>
      <c r="E88">
        <f>INDEX(FactorTable!$B$2:$Y$301, MATCH(ROUND(MIN(300,MAX(1,D88)),0), FactorTable!$A$2:$A$301,0), Skills!M17+1)</f>
        <v/>
      </c>
      <c r="F88">
        <f>IF(Skills!N17=TRUE,(Skills!L17/10)*(E88/1000),Skills!L17/10)+Skills!O17</f>
        <v/>
      </c>
      <c r="G88">
        <f>Skills!G17*IF(Skills!H17&gt;0,Skills!I17/Skills!H17,1)</f>
        <v/>
      </c>
      <c r="H88">
        <f>1-(1-Skills!J17/100)^Skills!K17</f>
        <v/>
      </c>
      <c r="I88" t="inlineStr">
        <is>
          <t>1</t>
        </is>
      </c>
      <c r="J88" t="inlineStr"/>
      <c r="K88" t="inlineStr"/>
      <c r="L88" t="inlineStr"/>
      <c r="M88" t="inlineStr"/>
      <c r="N88" t="inlineStr"/>
      <c r="O88" t="n">
        <v>0</v>
      </c>
      <c r="P88">
        <f>IF(B106=0,0,O88/B106)</f>
        <v/>
      </c>
      <c r="Q88">
        <f>IFERROR(1/IF(Inputs!$B$4="pvp",15,MAX(0.1,Skills!D17-IF(Skills!E17=TRUE,Inputs!$B$31,0))),0)</f>
        <v/>
      </c>
      <c r="R88">
        <f>IF(AND(Inputs!$B$4&lt;&gt;"pvp",Inputs!$B$35&gt;0),(INT(Inputs!$B$35/IF(Inputs!$B$4="pvp",15,MAX(0.1,Skills!D17-IF(Skills!E17=TRUE,Inputs!$B$31,0))))+1),0)</f>
        <v/>
      </c>
      <c r="S88">
        <f>IFERROR(O88/N88,0)</f>
        <v/>
      </c>
    </row>
    <row r="89">
      <c r="A89">
        <f>Skills!A18</f>
        <v/>
      </c>
      <c r="B89">
        <f>Skills!B18</f>
        <v/>
      </c>
      <c r="C89">
        <f>Inputs!$B$3&gt;=74</f>
        <v/>
      </c>
      <c r="D89">
        <f>IF(Skills!C18=1,60+Inputs!$B$24+Inputs!$B$28,IF(Skills!C18=2,90+Inputs!$B$25+Inputs!$B$28,IF(Skills!C18=3,120+Inputs!$B$26+Inputs!$B$28,MAX(0,(Inputs!$B$3-100)*3)+Inputs!$B$27+Inputs!$B$28)))</f>
        <v/>
      </c>
      <c r="E89">
        <f>INDEX(FactorTable!$B$2:$Y$301, MATCH(ROUND(MIN(300,MAX(1,D89)),0), FactorTable!$A$2:$A$301,0), Skills!M18+1)</f>
        <v/>
      </c>
      <c r="F89">
        <f>IF(Skills!N18=TRUE,(Skills!L18/10)*(E89/1000),Skills!L18/10)+Skills!O18</f>
        <v/>
      </c>
      <c r="G89">
        <f>Skills!G18*IF(Skills!H18&gt;0,Skills!I18/Skills!H18,1)</f>
        <v/>
      </c>
      <c r="H89">
        <f>1-(1-Skills!J18/100)^Skills!K18</f>
        <v/>
      </c>
      <c r="I89" t="inlineStr">
        <is>
          <t>1</t>
        </is>
      </c>
      <c r="J89" t="inlineStr"/>
      <c r="K89" t="inlineStr"/>
      <c r="L89" t="inlineStr"/>
      <c r="M89" t="inlineStr"/>
      <c r="N89" t="inlineStr"/>
      <c r="O89" t="n">
        <v>0</v>
      </c>
      <c r="P89">
        <f>IF(B106=0,0,O89/B106)</f>
        <v/>
      </c>
      <c r="Q89">
        <f>IFERROR(1/IF(Inputs!$B$4="pvp",15,MAX(0.1,Skills!D18-IF(Skills!E18=TRUE,Inputs!$B$31,0))),0)</f>
        <v/>
      </c>
      <c r="R89">
        <f>IF(AND(Inputs!$B$4&lt;&gt;"pvp",Inputs!$B$35&gt;0),(INT(Inputs!$B$35/IF(Inputs!$B$4="pvp",15,MAX(0.1,Skills!D18-IF(Skills!E18=TRUE,Inputs!$B$31,0))))+1),0)</f>
        <v/>
      </c>
      <c r="S89">
        <f>IFERROR(O89/N89,0)</f>
        <v/>
      </c>
    </row>
    <row r="90">
      <c r="A90">
        <f>Skills!A19</f>
        <v/>
      </c>
      <c r="B90">
        <f>Skills!B19</f>
        <v/>
      </c>
      <c r="C90">
        <f>TRUE</f>
        <v/>
      </c>
      <c r="D90">
        <f>IF(Skills!C19=1,60+Inputs!$B$24+Inputs!$B$28,IF(Skills!C19=2,90+Inputs!$B$25+Inputs!$B$28,IF(Skills!C19=3,120+Inputs!$B$26+Inputs!$B$28,MAX(0,(Inputs!$B$3-100)*3)+Inputs!$B$27+Inputs!$B$28)))</f>
        <v/>
      </c>
      <c r="E90">
        <f>INDEX(FactorTable!$B$2:$Y$301, MATCH(ROUND(MIN(300,MAX(1,D90)),0), FactorTable!$A$2:$A$301,0), Skills!M19+1)</f>
        <v/>
      </c>
      <c r="F90">
        <f>IF(Skills!N19=TRUE,(Skills!L19/10)*(E90/1000),Skills!L19/10)+Skills!O19</f>
        <v/>
      </c>
      <c r="G90">
        <f>Skills!G19*IF(Skills!H19&gt;0,Skills!I19/Skills!H19,1)</f>
        <v/>
      </c>
      <c r="H90">
        <f>1-(1-Skills!J19/100)^Skills!K19</f>
        <v/>
      </c>
      <c r="I90" t="inlineStr">
        <is>
          <t>1</t>
        </is>
      </c>
      <c r="J90" t="inlineStr"/>
      <c r="K90" t="inlineStr"/>
      <c r="L90" t="inlineStr"/>
      <c r="M90" t="inlineStr"/>
      <c r="N90" t="inlineStr"/>
      <c r="O90" t="n">
        <v>0</v>
      </c>
      <c r="P90">
        <f>IF(B106=0,0,O90/B106)</f>
        <v/>
      </c>
      <c r="Q90">
        <f>IFERROR(1/IF(Inputs!$B$4="pvp",15,MAX(0.1,Skills!D19-IF(Skills!E19=TRUE,Inputs!$B$31,0))),0)</f>
        <v/>
      </c>
      <c r="R90">
        <f>IF(AND(Inputs!$B$4&lt;&gt;"pvp",Inputs!$B$35&gt;0),(INT(Inputs!$B$35/IF(Inputs!$B$4="pvp",15,MAX(0.1,Skills!D19-IF(Skills!E19=TRUE,Inputs!$B$31,0))))+1),0)</f>
        <v/>
      </c>
      <c r="S90">
        <f>IFERROR(O90/N90,0)</f>
        <v/>
      </c>
    </row>
    <row r="91">
      <c r="A91">
        <f>Skills!A20</f>
        <v/>
      </c>
      <c r="B91">
        <f>Skills!B20</f>
        <v/>
      </c>
      <c r="C91">
        <f>Inputs!$B$3&gt;=33</f>
        <v/>
      </c>
      <c r="D91">
        <f>IF(Skills!C20=1,60+Inputs!$B$24+Inputs!$B$28,IF(Skills!C20=2,90+Inputs!$B$25+Inputs!$B$28,IF(Skills!C20=3,120+Inputs!$B$26+Inputs!$B$28,MAX(0,(Inputs!$B$3-100)*3)+Inputs!$B$27+Inputs!$B$28)))</f>
        <v/>
      </c>
      <c r="E91">
        <f>INDEX(FactorTable!$B$2:$Y$301, MATCH(ROUND(MIN(300,MAX(1,D91)),0), FactorTable!$A$2:$A$301,0), Skills!M20+1)</f>
        <v/>
      </c>
      <c r="F91">
        <f>IF(Skills!N20=TRUE,(Skills!L20/10)*(E91/1000),Skills!L20/10)+Skills!O20</f>
        <v/>
      </c>
      <c r="G91">
        <f>Skills!G20*IF(Skills!H20&gt;0,Skills!I20/Skills!H20,1)</f>
        <v/>
      </c>
      <c r="H91">
        <f>1-(1-Skills!J20/100)^Skills!K20</f>
        <v/>
      </c>
      <c r="I91" t="inlineStr">
        <is>
          <t>1</t>
        </is>
      </c>
      <c r="J91" t="inlineStr"/>
      <c r="K91" t="inlineStr"/>
      <c r="L91" t="inlineStr"/>
      <c r="M91" t="inlineStr"/>
      <c r="N91" t="inlineStr"/>
      <c r="O91" t="n">
        <v>0</v>
      </c>
      <c r="P91">
        <f>IF(B106=0,0,O91/B106)</f>
        <v/>
      </c>
      <c r="Q91" t="n">
        <v>0</v>
      </c>
      <c r="R91" t="n">
        <v>0</v>
      </c>
      <c r="S91">
        <f>IFERROR(O91/N91,0)</f>
        <v/>
      </c>
    </row>
    <row r="92">
      <c r="A92">
        <f>Skills!A21</f>
        <v/>
      </c>
      <c r="B92">
        <f>Skills!B21</f>
        <v/>
      </c>
      <c r="C92">
        <f>Inputs!$B$3&gt;=38</f>
        <v/>
      </c>
      <c r="D92">
        <f>IF(Skills!C21=1,60+Inputs!$B$24+Inputs!$B$28,IF(Skills!C21=2,90+Inputs!$B$25+Inputs!$B$28,IF(Skills!C21=3,120+Inputs!$B$26+Inputs!$B$28,MAX(0,(Inputs!$B$3-100)*3)+Inputs!$B$27+Inputs!$B$28)))</f>
        <v/>
      </c>
      <c r="E92">
        <f>INDEX(FactorTable!$B$2:$Y$301, MATCH(ROUND(MIN(300,MAX(1,D92)),0), FactorTable!$A$2:$A$301,0), Skills!M21+1)</f>
        <v/>
      </c>
      <c r="F92">
        <f>IF(Skills!N21=TRUE,(Skills!L21/10)*(E92/1000),Skills!L21/10)+Skills!O21</f>
        <v/>
      </c>
      <c r="G92">
        <f>Skills!G21*IF(Skills!H21&gt;0,Skills!I21/Skills!H21,1)</f>
        <v/>
      </c>
      <c r="H92">
        <f>1-(1-Skills!J21/100)^Skills!K21</f>
        <v/>
      </c>
      <c r="I92" t="inlineStr">
        <is>
          <t>1</t>
        </is>
      </c>
      <c r="J92" t="inlineStr"/>
      <c r="K92" t="inlineStr"/>
      <c r="L92" t="inlineStr"/>
      <c r="M92" t="inlineStr"/>
      <c r="N92" t="inlineStr"/>
      <c r="O92" t="n">
        <v>0</v>
      </c>
      <c r="P92">
        <f>IF(B106=0,0,O92/B106)</f>
        <v/>
      </c>
      <c r="Q92" t="n">
        <v>0</v>
      </c>
      <c r="R92" t="n">
        <v>0</v>
      </c>
      <c r="S92">
        <f>IFERROR(O92/N92,0)</f>
        <v/>
      </c>
    </row>
    <row r="93">
      <c r="A93">
        <f>Skills!A22</f>
        <v/>
      </c>
      <c r="B93">
        <f>Skills!B22</f>
        <v/>
      </c>
      <c r="C93">
        <f>Inputs!$B$3&gt;=43</f>
        <v/>
      </c>
      <c r="D93">
        <f>IF(Skills!C22=1,60+Inputs!$B$24+Inputs!$B$28,IF(Skills!C22=2,90+Inputs!$B$25+Inputs!$B$28,IF(Skills!C22=3,120+Inputs!$B$26+Inputs!$B$28,MAX(0,(Inputs!$B$3-100)*3)+Inputs!$B$27+Inputs!$B$28)))</f>
        <v/>
      </c>
      <c r="E93">
        <f>INDEX(FactorTable!$B$2:$Y$301, MATCH(ROUND(MIN(300,MAX(1,D93)),0), FactorTable!$A$2:$A$301,0), Skills!M22+1)</f>
        <v/>
      </c>
      <c r="F93">
        <f>IF(Skills!N22=TRUE,(Skills!L22/10)*(E93/1000),Skills!L22/10)+Skills!O22</f>
        <v/>
      </c>
      <c r="G93">
        <f>Skills!G22*IF(Skills!H22&gt;0,Skills!I22/Skills!H22,1)</f>
        <v/>
      </c>
      <c r="H93">
        <f>1-(1-Skills!J22/100)^Skills!K22</f>
        <v/>
      </c>
      <c r="I93" t="inlineStr">
        <is>
          <t>1</t>
        </is>
      </c>
      <c r="J93" t="inlineStr"/>
      <c r="K93" t="inlineStr"/>
      <c r="L93" t="inlineStr"/>
      <c r="M93" t="inlineStr"/>
      <c r="N93" t="inlineStr"/>
      <c r="O93" t="n">
        <v>0</v>
      </c>
      <c r="P93">
        <f>IF(B106=0,0,O93/B106)</f>
        <v/>
      </c>
      <c r="Q93" t="n">
        <v>0</v>
      </c>
      <c r="R93" t="n">
        <v>0</v>
      </c>
      <c r="S93">
        <f>IFERROR(O93/N93,0)</f>
        <v/>
      </c>
    </row>
    <row r="94">
      <c r="A94">
        <f>Skills!A23</f>
        <v/>
      </c>
      <c r="B94">
        <f>Skills!B23</f>
        <v/>
      </c>
      <c r="C94">
        <f>Inputs!$B$3&gt;=120</f>
        <v/>
      </c>
      <c r="D94">
        <f>IF(Skills!C23=1,60+Inputs!$B$24+Inputs!$B$28,IF(Skills!C23=2,90+Inputs!$B$25+Inputs!$B$28,IF(Skills!C23=3,120+Inputs!$B$26+Inputs!$B$28,MAX(0,(Inputs!$B$3-100)*3)+Inputs!$B$27+Inputs!$B$28)))</f>
        <v/>
      </c>
      <c r="E94">
        <f>INDEX(FactorTable!$B$2:$Y$301, MATCH(ROUND(MIN(300,MAX(1,D94)),0), FactorTable!$A$2:$A$301,0), Skills!M23+1)</f>
        <v/>
      </c>
      <c r="F94">
        <f>IF(Skills!N23=TRUE,(Skills!L23/10)*(E94/1000),Skills!L23/10)+Skills!O23</f>
        <v/>
      </c>
      <c r="G94">
        <f>Skills!G23*IF(Skills!H23&gt;0,Skills!I23/Skills!H23,1)</f>
        <v/>
      </c>
      <c r="H94">
        <f>1-(1-Skills!J23/100)^Skills!K23</f>
        <v/>
      </c>
      <c r="I94" t="inlineStr">
        <is>
          <t>1</t>
        </is>
      </c>
      <c r="J94" t="inlineStr"/>
      <c r="K94" t="inlineStr"/>
      <c r="L94" t="inlineStr"/>
      <c r="M94" t="inlineStr"/>
      <c r="N94" t="inlineStr"/>
      <c r="O94" t="n">
        <v>0</v>
      </c>
      <c r="P94">
        <f>IF(B106=0,0,O94/B106)</f>
        <v/>
      </c>
      <c r="Q94" t="n">
        <v>0</v>
      </c>
      <c r="R94" t="n">
        <v>0</v>
      </c>
      <c r="S94">
        <f>IFERROR(O94/N94,0)</f>
        <v/>
      </c>
    </row>
    <row r="95">
      <c r="A95">
        <f>Skills!A24</f>
        <v/>
      </c>
      <c r="B95">
        <f>Skills!B24</f>
        <v/>
      </c>
      <c r="C95">
        <f>Inputs!$B$3&gt;=120</f>
        <v/>
      </c>
      <c r="D95">
        <f>IF(Skills!C24=1,60+Inputs!$B$24+Inputs!$B$28,IF(Skills!C24=2,90+Inputs!$B$25+Inputs!$B$28,IF(Skills!C24=3,120+Inputs!$B$26+Inputs!$B$28,MAX(0,(Inputs!$B$3-100)*3)+Inputs!$B$27+Inputs!$B$28)))</f>
        <v/>
      </c>
      <c r="E95">
        <f>INDEX(FactorTable!$B$2:$Y$301, MATCH(ROUND(MIN(300,MAX(1,D95)),0), FactorTable!$A$2:$A$301,0), Skills!M24+1)</f>
        <v/>
      </c>
      <c r="F95">
        <f>IF(Skills!N24=TRUE,(Skills!L24/10)*(E95/1000),Skills!L24/10)+Skills!O24</f>
        <v/>
      </c>
      <c r="G95">
        <f>Skills!G24*IF(Skills!H24&gt;0,Skills!I24/Skills!H24,1)</f>
        <v/>
      </c>
      <c r="H95">
        <f>1-(1-Skills!J24/100)^Skills!K24</f>
        <v/>
      </c>
      <c r="I95" t="inlineStr">
        <is>
          <t>1</t>
        </is>
      </c>
      <c r="J95" t="inlineStr"/>
      <c r="K95" t="inlineStr"/>
      <c r="L95" t="inlineStr"/>
      <c r="M95" t="inlineStr"/>
      <c r="N95" t="inlineStr"/>
      <c r="O95" t="n">
        <v>0</v>
      </c>
      <c r="P95">
        <f>IF(B106=0,0,O95/B106)</f>
        <v/>
      </c>
      <c r="Q95" t="n">
        <v>0</v>
      </c>
      <c r="R95" t="n">
        <v>0</v>
      </c>
      <c r="S95">
        <f>IFERROR(O95/N95,0)</f>
        <v/>
      </c>
    </row>
    <row r="97">
      <c r="A97" t="inlineStr">
        <is>
          <t>Attack% Bucket Multiplier</t>
        </is>
      </c>
      <c r="B97">
        <f>(1+(((C84=TRUE)*F84*MIN(1,Skills!T13*(Skills!J13/100)*B102))+((C89=TRUE)*F89*IF(AND(Inputs!$B$4&lt;&gt;"pvp",Inputs!$B$35&gt;0),(((S89-1)*(Skills!T18*(1+Inputs!$B$33/100))+MIN((Skills!T18*(1+Inputs!$B$33/100)),MAX(0,Inputs!$B$35-((S89-1)*Skills!D18))))/Inputs!$B$35),IF(Inputs!$B$4="pvp",MIN((Skills!T18*(1+Inputs!$B$33/100)),15)/15,(Skills!T18*(1+Inputs!$B$33/100))/Skills!D18)))+0)/100)</f>
        <v/>
      </c>
    </row>
    <row r="98">
      <c r="A98" t="inlineStr">
        <is>
          <t>Global Crit Rate Bonus %</t>
        </is>
      </c>
      <c r="B98" t="n">
        <v>0</v>
      </c>
    </row>
    <row r="99">
      <c r="A99" t="inlineStr">
        <is>
          <t>Attack Speed Buff Bonus %</t>
        </is>
      </c>
      <c r="B99">
        <f>((C90=TRUE)*F90*IF(AND(Inputs!$B$4&lt;&gt;"pvp",Inputs!$B$35&gt;0),(((S90-1)*(Skills!T19*(1+Inputs!$B$33/100))+MIN((Skills!T19*(1+Inputs!$B$33/100)),MAX(0,Inputs!$B$35-((S90-1)*Skills!D19))))/Inputs!$B$35),IF(Inputs!$B$4="pvp",MIN((Skills!T19*(1+Inputs!$B$33/100)),15)/15,(Skills!T19*(1+Inputs!$B$33/100))/Skills!D19)))</f>
        <v/>
      </c>
    </row>
    <row r="100">
      <c r="A100" t="inlineStr">
        <is>
          <t>Actions Per Second</t>
        </is>
      </c>
      <c r="B100">
        <f>1+MIN(150,150*(1-(1-(Inputs!$B$10+((C91=TRUE)*(F91-Calc!F20)))/150)*(1-B99/150)))/100</f>
        <v/>
      </c>
    </row>
    <row r="101">
      <c r="A101" t="inlineStr">
        <is>
          <t>Skill + Buff Cast Rate</t>
        </is>
      </c>
      <c r="B101">
        <f>IF(AND(Inputs!$B$4&lt;&gt;"pvp",Inputs!$B$35&gt;0),SUMPRODUCT((Skills!E2:E24=TRUE)*(C73:C95=TRUE)*R73:R95*Skills!F2:F24)/Inputs!$B$35,SUMPRODUCT((Skills!E2:E24=TRUE)*(C73:C95=TRUE)*Q73:Q95*Skills!F2:F24))</f>
        <v/>
      </c>
    </row>
    <row r="102">
      <c r="A102" t="inlineStr">
        <is>
          <t>Blast Casts Per Second</t>
        </is>
      </c>
      <c r="B102">
        <f>MAX(0,B100-B101)</f>
        <v/>
      </c>
    </row>
    <row r="103">
      <c r="A103" t="inlineStr">
        <is>
          <t>Global Critical Damage Bonus % (unused)</t>
        </is>
      </c>
      <c r="B103" t="n">
        <v>0</v>
      </c>
    </row>
    <row r="104">
      <c r="A104" t="inlineStr">
        <is>
          <t>Global Final Damage Bonus % (Divine Shield + Guardian + Divine Blessing + Greater Vessel of Light)</t>
        </is>
      </c>
      <c r="B104">
        <f>((C86=TRUE)*F86*IF(AND(Inputs!$B$4&lt;&gt;"pvp",Inputs!$B$35&gt;0),(((S86-1)*(Skills!T15*(1+Inputs!$B$33/100))+MIN((Skills!T15*(1+Inputs!$B$33/100)),MAX(0,Inputs!$B$35-((S86-1)*Skills!D15))))/Inputs!$B$35),IF(Inputs!$B$4="pvp",MIN((Skills!T15*(1+Inputs!$B$33/100)),15)/15,(Skills!T15*(1+Inputs!$B$33/100))/Skills!D15)))+((C87=TRUE)*F87*IF(AND(Inputs!$B$4&lt;&gt;"pvp",Inputs!$B$35&gt;0),(((S87-1)*(Skills!T16*(1+Inputs!$B$33/100))+MIN((Skills!T16*(1+Inputs!$B$33/100)),MAX(0,Inputs!$B$35-((S87-1)*Skills!D16))))/Inputs!$B$35),IF(Inputs!$B$4="pvp",MIN((Skills!T16*(1+Inputs!$B$33/100)),15)/15,(Skills!T16*(1+Inputs!$B$33/100))/Skills!D16)))+((C88=TRUE)*F88*IF(AND(Inputs!$B$4&lt;&gt;"pvp",Inputs!$B$35&gt;0),(((S88-1)*(Skills!T17*(1+Inputs!$B$33/100))+MIN((Skills!T17*(1+Inputs!$B$33/100)),MAX(0,Inputs!$B$35-((S88-1)*Skills!D17))))/Inputs!$B$35),IF(Inputs!$B$4="pvp",MIN((Skills!T17*(1+Inputs!$B$33/100)),15)/15,(Skills!T17*(1+Inputs!$B$33/100))/Skills!D17)))+((C85=TRUE)*F85*MIN(1,Skills!T13*(Skills!J13/100)*B102))</f>
        <v/>
      </c>
    </row>
    <row r="106">
      <c r="A106" s="5" t="inlineStr">
        <is>
          <t>TOTAL DPS</t>
        </is>
      </c>
      <c r="B106" s="5">
        <f>SUM(O73:O95)</f>
        <v/>
      </c>
    </row>
    <row r="109">
      <c r="A109" s="5" t="inlineStr">
        <is>
          <t>Stat: DEX</t>
        </is>
      </c>
    </row>
    <row r="110">
      <c r="A110" s="8" t="inlineStr">
        <is>
          <t>Key</t>
        </is>
      </c>
      <c r="B110" s="8" t="inlineStr">
        <is>
          <t>Name</t>
        </is>
      </c>
      <c r="C110" s="8" t="inlineStr">
        <is>
          <t>Unlocked</t>
        </is>
      </c>
      <c r="D110" s="8" t="inlineStr">
        <is>
          <t>InputLevel</t>
        </is>
      </c>
      <c r="E110" s="8" t="inlineStr">
        <is>
          <t>Factor</t>
        </is>
      </c>
      <c r="F110" s="8" t="inlineStr">
        <is>
          <t>CoefficientPercent</t>
        </is>
      </c>
      <c r="G110" s="8" t="inlineStr">
        <is>
          <t>EffectiveHits</t>
        </is>
      </c>
      <c r="H110" s="8" t="inlineStr">
        <is>
          <t>ProcProbability</t>
        </is>
      </c>
      <c r="I110" s="8" t="inlineStr">
        <is>
          <t>MapleHeroMultiplier</t>
        </is>
      </c>
      <c r="J110" s="8" t="inlineStr">
        <is>
          <t>BaseDamage</t>
        </is>
      </c>
      <c r="K110" s="8" t="inlineStr">
        <is>
          <t>BaseHitDamage</t>
        </is>
      </c>
      <c r="L110" s="8" t="inlineStr">
        <is>
          <t>NonCritAvg</t>
        </is>
      </c>
      <c r="M110" s="8" t="inlineStr">
        <is>
          <t>CritAvg</t>
        </is>
      </c>
      <c r="N110" s="8" t="inlineStr">
        <is>
          <t>ExpectedDamage(perHit)</t>
        </is>
      </c>
      <c r="O110" s="8" t="inlineStr">
        <is>
          <t>DPS</t>
        </is>
      </c>
      <c r="P110" s="8" t="inlineStr">
        <is>
          <t>% of Total</t>
        </is>
      </c>
      <c r="Q110" s="8" t="inlineStr">
        <is>
          <t>InvCooldown</t>
        </is>
      </c>
      <c r="R110" s="8" t="inlineStr">
        <is>
          <t>CastsInFight</t>
        </is>
      </c>
      <c r="S110" s="8" t="inlineStr">
        <is>
          <t>HitRate(perSec)</t>
        </is>
      </c>
      <c r="U110" t="inlineStr">
        <is>
          <t>helpers</t>
        </is>
      </c>
    </row>
    <row r="111">
      <c r="A111">
        <f>Skills!A2</f>
        <v/>
      </c>
      <c r="B111">
        <f>Skills!B2</f>
        <v/>
      </c>
      <c r="C111">
        <f>Inputs!$B$3&gt;=100</f>
        <v/>
      </c>
      <c r="D111" t="inlineStr"/>
      <c r="E111" t="inlineStr"/>
      <c r="F111">
        <f>U113+Skills!O2</f>
        <v/>
      </c>
      <c r="G111">
        <f>Skills!G2*IF(Skills!H2&gt;0,Skills!I2/Skills!H2,1)</f>
        <v/>
      </c>
      <c r="H111">
        <f>1-(1-Skills!J2/100)^Skills!K2</f>
        <v/>
      </c>
      <c r="I111" t="inlineStr">
        <is>
          <t>1</t>
        </is>
      </c>
      <c r="J111">
        <f>(Inputs!$B$5*(1+Inputs!$B$6/100))*(F111/100)</f>
        <v/>
      </c>
      <c r="K111">
        <f>J111*(1+((Inputs!$B$11*(1+Inputs!$B$12/100))*0.01+(Inputs!$B$13+1)*0.0025)/100)*(1+Inputs!$B$14/100)*(1+IF(Inputs!$B$4="pvp",0,(1-Summary!$B$55)*(Inputs!$B$19+0+Skills!P2)+Summary!$B$55*(Inputs!$B$20+Skills!Q2))/100)*(1+Inputs!$B$15/100)*(5000/(6000+Inputs!$B$7*(1-(Inputs!$B$18+0)/100)))*(1+(Inputs!$B$23+0+B142)/100)*(1+(IF(Skills!A2="BLAST",Inputs!$B$16+((C130=TRUE)*(F130-Calc!F21)),Inputs!$B$17+((C132=TRUE)*(F132-Calc!F23))))/100)*((1+(((C122=TRUE)*F122*MIN(1,Skills!T13*(Skills!J13/100)*B140))+((C127=TRUE)*F127*IF(AND(Inputs!$B$4&lt;&gt;"pvp",Inputs!$B$35&gt;0),(((S127-1)*(Skills!T18*(1+Inputs!$B$33/100))+MIN((Skills!T18*(1+Inputs!$B$33/100)),MAX(0,Inputs!$B$35-((S127-1)*Skills!D18))))/Inputs!$B$35),IF(Inputs!$B$4="pvp",MIN((Skills!T18*(1+Inputs!$B$33/100)),15)/15,(Skills!T18*(1+Inputs!$B$33/100))/Skills!D18)))+0)/100)*I111)</f>
        <v/>
      </c>
      <c r="L111">
        <f>K111*(MIN(Inputs!$B$21+((C131=TRUE)*(F131-Calc!F22)),Inputs!$B$22+((C133=TRUE)*(F133-Calc!F24)))/100+(Inputs!$B$22+((C133=TRUE)*(F133-Calc!F24)))/100)/2</f>
        <v/>
      </c>
      <c r="M111">
        <f>L111*(1+(Inputs!$B$9+0+B141)/100)</f>
        <v/>
      </c>
      <c r="N111">
        <f>L111*(1-MIN((Inputs!$B$8+0+B136),100)/100)+M111*(MIN((Inputs!$B$8+0+B136),100)/100)</f>
        <v/>
      </c>
      <c r="O111">
        <f>IF(C111,Skills!G2*N111*B140*IF(Inputs!$B$4="pvp",1,(1-Summary!$B$55)*(1)+Summary!$B$55*(MIN((6+Inputs!$B$32),Inputs!$B$37))),0)</f>
        <v/>
      </c>
      <c r="P111">
        <f>IF(B144=0,0,O111/B144)</f>
        <v/>
      </c>
      <c r="Q111" t="n">
        <v>0</v>
      </c>
      <c r="R111" t="n">
        <v>0</v>
      </c>
      <c r="S111">
        <f>IFERROR(O111/N111,0)</f>
        <v/>
      </c>
      <c r="U111">
        <f>MAX(0,(Inputs!$B$3-100)*3)+Inputs!$B$27+Inputs!$B$28</f>
        <v/>
      </c>
    </row>
    <row r="112">
      <c r="A112">
        <f>Skills!A3</f>
        <v/>
      </c>
      <c r="B112">
        <f>Skills!B3</f>
        <v/>
      </c>
      <c r="C112">
        <f>Inputs!$B$3&gt;=50</f>
        <v/>
      </c>
      <c r="D112">
        <f>IF(Skills!C3=1,60+Inputs!$B$24+Inputs!$B$28,IF(Skills!C3=2,90+Inputs!$B$25+Inputs!$B$28,IF(Skills!C3=3,120+Inputs!$B$26+Inputs!$B$28,MAX(0,(Inputs!$B$3-100)*3)+Inputs!$B$27+Inputs!$B$28)))</f>
        <v/>
      </c>
      <c r="E112">
        <f>INDEX(FactorTable!$B$2:$Y$301, MATCH(ROUND(MIN(300,MAX(1,D112)),0), FactorTable!$A$2:$A$301,0), Skills!M3+1)</f>
        <v/>
      </c>
      <c r="F112">
        <f>IF(Skills!N3=TRUE,(Skills!L3/10)*(E112/1000),Skills!L3/10)+Skills!O3</f>
        <v/>
      </c>
      <c r="G112" t="inlineStr"/>
      <c r="H112" t="inlineStr"/>
      <c r="I112" t="inlineStr">
        <is>
          <t>1</t>
        </is>
      </c>
      <c r="J112" t="inlineStr"/>
      <c r="K112" t="inlineStr"/>
      <c r="L112" t="inlineStr"/>
      <c r="M112" t="inlineStr"/>
      <c r="N112" t="inlineStr"/>
      <c r="O112" t="inlineStr"/>
      <c r="P112" t="inlineStr"/>
      <c r="Q112" t="inlineStr"/>
      <c r="R112" t="inlineStr"/>
      <c r="S112" t="inlineStr"/>
      <c r="U112">
        <f>INDEX(FactorTable!$B$2:$Y$301, MATCH(ROUND(MIN(300,MAX(1,U111)),0), FactorTable!$A$2:$A$301,0), 22)</f>
        <v/>
      </c>
    </row>
    <row r="113">
      <c r="A113">
        <f>Skills!A4</f>
        <v/>
      </c>
      <c r="B113">
        <f>Skills!B4</f>
        <v/>
      </c>
      <c r="C113">
        <f>Inputs!$B$3&gt;=35</f>
        <v/>
      </c>
      <c r="D113">
        <f>IF(Skills!C4=1,60+Inputs!$B$24+Inputs!$B$28,IF(Skills!C4=2,90+Inputs!$B$25+Inputs!$B$28,IF(Skills!C4=3,120+Inputs!$B$26+Inputs!$B$28,MAX(0,(Inputs!$B$3-100)*3)+Inputs!$B$27+Inputs!$B$28)))</f>
        <v/>
      </c>
      <c r="E113">
        <f>INDEX(FactorTable!$B$2:$Y$301, MATCH(ROUND(MIN(300,MAX(1,D113)),0), FactorTable!$A$2:$A$301,0), Skills!M4+1)</f>
        <v/>
      </c>
      <c r="F113">
        <f>IF(Skills!N4=TRUE,(Skills!L4/10)*(E113/1000),Skills!L4/10)+Skills!O4</f>
        <v/>
      </c>
      <c r="G113">
        <f>Skills!G4*IF(Skills!H4&gt;0,Skills!I4/Skills!H4,1)</f>
        <v/>
      </c>
      <c r="H113">
        <f>1-(1-Skills!J4/100)^Skills!K4</f>
        <v/>
      </c>
      <c r="I113" t="inlineStr">
        <is>
          <t>1</t>
        </is>
      </c>
      <c r="J113">
        <f>(Inputs!$B$5*(1+Inputs!$B$6/100))*(F113/100)</f>
        <v/>
      </c>
      <c r="K113">
        <f>J113*(1+((Inputs!$B$11*(1+Inputs!$B$12/100))*0.01+(Inputs!$B$13+1)*0.0025)/100)*(1+Inputs!$B$14/100)*(1+IF(Inputs!$B$4="pvp",0,(1-Summary!$B$55)*(Inputs!$B$19+0+Skills!P4)+Summary!$B$55*(Inputs!$B$20+Skills!Q4))/100)*(1+Inputs!$B$15/100)*(5000/(6000+Inputs!$B$7*(1-(Inputs!$B$18+0)/100)))*(1+(Inputs!$B$23+0+B142)/100)*(1+4.0*IF(C121=TRUE,F121,0)/100)*(1+(IF(Skills!A4="BLAST",Inputs!$B$16+((C130=TRUE)*(F130-Calc!F21)),Inputs!$B$17+((C132=TRUE)*(F132-Calc!F23))))/100)*((1+(((C122=TRUE)*F122*MIN(1,Skills!T13*(Skills!J13/100)*B140))+((C127=TRUE)*F127*IF(AND(Inputs!$B$4&lt;&gt;"pvp",Inputs!$B$35&gt;0),(((S127-1)*(Skills!T18*(1+Inputs!$B$33/100))+MIN((Skills!T18*(1+Inputs!$B$33/100)),MAX(0,Inputs!$B$35-((S127-1)*Skills!D18))))/Inputs!$B$35),IF(Inputs!$B$4="pvp",MIN((Skills!T18*(1+Inputs!$B$33/100)),15)/15,(Skills!T18*(1+Inputs!$B$33/100))/Skills!D18)))+0)/100)*I113)</f>
        <v/>
      </c>
      <c r="L113">
        <f>K113*(MIN(Inputs!$B$21+((C131=TRUE)*(F131-Calc!F22)),Inputs!$B$22+((C133=TRUE)*(F133-Calc!F24)))/100+(Inputs!$B$22+((C133=TRUE)*(F133-Calc!F24)))/100)/2</f>
        <v/>
      </c>
      <c r="M113">
        <f>L113*(1+(Inputs!$B$9+0+B141)/100)</f>
        <v/>
      </c>
      <c r="N113">
        <f>L113*(1-MIN((Inputs!$B$8+0+B136),100)/100)+M113*(MIN((Inputs!$B$8+0+B136),100)/100)</f>
        <v/>
      </c>
      <c r="O113">
        <f>IF(C113,H113*N113*IF(AND(Inputs!$B$4&lt;&gt;"pvp",Inputs!$B$35&gt;0),((Skills!G4*((R113-1)*IF(Skills!H4&gt;0,Skills!I4/Skills!H4,1)+IF(Skills!H4&gt;0,MIN(Skills!I4,MAX(0,Inputs!$B$35-((R113-1)*IF(Inputs!$B$4="pvp",15,MAX(0.1,Skills!D4-IF(Skills!E4=TRUE,Inputs!$B$31,0))))))/Skills!H4,1)))/Inputs!$B$35),G113*Q113)*IF(Inputs!$B$4="pvp",1,(1-Summary!$B$55)*(1)+Summary!$B$55*(MIN(Skills!R4,Inputs!$B$37))),0)</f>
        <v/>
      </c>
      <c r="P113">
        <f>IF(B144=0,0,O113/B144)</f>
        <v/>
      </c>
      <c r="Q113">
        <f>IFERROR(1/IF(Inputs!$B$4="pvp",15,MAX(0.1,Skills!D4-IF(Skills!E4=TRUE,Inputs!$B$31,0))),0)</f>
        <v/>
      </c>
      <c r="R113">
        <f>IF(AND(Inputs!$B$4&lt;&gt;"pvp",Inputs!$B$35&gt;0),(INT(Inputs!$B$35/IF(Inputs!$B$4="pvp",15,MAX(0.1,Skills!D4-IF(Skills!E4=TRUE,Inputs!$B$31,0))))+1),0)</f>
        <v/>
      </c>
      <c r="S113">
        <f>IFERROR(O113/N113,0)</f>
        <v/>
      </c>
      <c r="U113">
        <f>290*U112/1000</f>
        <v/>
      </c>
    </row>
    <row r="114">
      <c r="A114">
        <f>Skills!A5</f>
        <v/>
      </c>
      <c r="B114">
        <f>Skills!B5</f>
        <v/>
      </c>
      <c r="C114">
        <f>Inputs!$B$3&gt;=66</f>
        <v/>
      </c>
      <c r="D114">
        <f>IF(Skills!C5=1,60+Inputs!$B$24+Inputs!$B$28,IF(Skills!C5=2,90+Inputs!$B$25+Inputs!$B$28,IF(Skills!C5=3,120+Inputs!$B$26+Inputs!$B$28,MAX(0,(Inputs!$B$3-100)*3)+Inputs!$B$27+Inputs!$B$28)))</f>
        <v/>
      </c>
      <c r="E114">
        <f>INDEX(FactorTable!$B$2:$Y$301, MATCH(ROUND(MIN(300,MAX(1,D114)),0), FactorTable!$A$2:$A$301,0), Skills!M5+1)</f>
        <v/>
      </c>
      <c r="F114">
        <f>IF(Skills!N5=TRUE,(Skills!L5/10)*(E114/1000),Skills!L5/10)+Skills!O5</f>
        <v/>
      </c>
      <c r="G114">
        <f>Skills!G5*IF(Skills!H5&gt;0,Skills!I5/Skills!H5,1)</f>
        <v/>
      </c>
      <c r="H114">
        <f>1-(1-Skills!J5/100)^Skills!K5</f>
        <v/>
      </c>
      <c r="I114" t="inlineStr">
        <is>
          <t>1</t>
        </is>
      </c>
      <c r="J114">
        <f>(Inputs!$B$5*(1+Inputs!$B$6/100))*(F114/100)</f>
        <v/>
      </c>
      <c r="K114">
        <f>J114*(1+((Inputs!$B$11*(1+Inputs!$B$12/100))*0.01+(Inputs!$B$13+1)*0.0025)/100)*(1+Inputs!$B$14/100)*(1+IF(Inputs!$B$4="pvp",0,(1-Summary!$B$55)*(Inputs!$B$19+0+Skills!P5)+Summary!$B$55*(Inputs!$B$20+Skills!Q5))/100)*(1+Inputs!$B$15/100)*(5000/(6000+Inputs!$B$7*(1-(Inputs!$B$18+0)/100)))*(1+(Inputs!$B$23+0+B142)/100)*(1+1.0*IF(C121=TRUE,F121,0)/100)*(1+(IF(Skills!A5="BLAST",Inputs!$B$16+((C130=TRUE)*(F130-Calc!F21)),Inputs!$B$17+((C132=TRUE)*(F132-Calc!F23))))/100)*((1+(((C122=TRUE)*F122*MIN(1,Skills!T13*(Skills!J13/100)*B140))+((C127=TRUE)*F127*IF(AND(Inputs!$B$4&lt;&gt;"pvp",Inputs!$B$35&gt;0),(((S127-1)*(Skills!T18*(1+Inputs!$B$33/100))+MIN((Skills!T18*(1+Inputs!$B$33/100)),MAX(0,Inputs!$B$35-((S127-1)*Skills!D18))))/Inputs!$B$35),IF(Inputs!$B$4="pvp",MIN((Skills!T18*(1+Inputs!$B$33/100)),15)/15,(Skills!T18*(1+Inputs!$B$33/100))/Skills!D18)))+0)/100)*I114)</f>
        <v/>
      </c>
      <c r="L114">
        <f>K114*(MIN(Inputs!$B$21+((C131=TRUE)*(F131-Calc!F22)),Inputs!$B$22+((C133=TRUE)*(F133-Calc!F24)))/100+(Inputs!$B$22+((C133=TRUE)*(F133-Calc!F24)))/100)/2</f>
        <v/>
      </c>
      <c r="M114">
        <f>L114*(1+(Inputs!$B$9+0+B141)/100)</f>
        <v/>
      </c>
      <c r="N114">
        <f>L114*(1-MIN((Inputs!$B$8+0+B136),100)/100)+M114*(MIN((Inputs!$B$8+0+B136),100)/100)</f>
        <v/>
      </c>
      <c r="O114">
        <f>IF(C114,H114*N114*IF(AND(Inputs!$B$4&lt;&gt;"pvp",Inputs!$B$35&gt;0),((Skills!G5*((R114-1)*IF(Skills!H5&gt;0,Skills!I5/Skills!H5,1)+IF(Skills!H5&gt;0,MIN(Skills!I5,MAX(0,Inputs!$B$35-((R114-1)*IF(Inputs!$B$4="pvp",15,MAX(0.1,Skills!D5-IF(Skills!E5=TRUE,Inputs!$B$31,0))))))/Skills!H5,1)))/Inputs!$B$35),G114*Q114)*IF(Inputs!$B$4="pvp",1,(1-Summary!$B$55)*(1)+Summary!$B$55*(MIN(Skills!R5,Inputs!$B$37))),0)</f>
        <v/>
      </c>
      <c r="P114">
        <f>IF(B144=0,0,O114/B144)</f>
        <v/>
      </c>
      <c r="Q114">
        <f>IFERROR(1/IF(Inputs!$B$4="pvp",15,MAX(0.1,Skills!D5-IF(Skills!E5=TRUE,Inputs!$B$31,0))),0)</f>
        <v/>
      </c>
      <c r="R114">
        <f>IF(AND(Inputs!$B$4&lt;&gt;"pvp",Inputs!$B$35&gt;0),(INT(Inputs!$B$35/IF(Inputs!$B$4="pvp",15,MAX(0.1,Skills!D5-IF(Skills!E5=TRUE,Inputs!$B$31,0))))+1),0)</f>
        <v/>
      </c>
      <c r="S114">
        <f>IFERROR(O114/N114,0)</f>
        <v/>
      </c>
    </row>
    <row r="115">
      <c r="A115">
        <f>Skills!A6</f>
        <v/>
      </c>
      <c r="B115">
        <f>Skills!B6</f>
        <v/>
      </c>
      <c r="C115">
        <f>Inputs!$B$3&gt;=103</f>
        <v/>
      </c>
      <c r="D115">
        <f>IF(Skills!C6=1,60+Inputs!$B$24+Inputs!$B$28,IF(Skills!C6=2,90+Inputs!$B$25+Inputs!$B$28,IF(Skills!C6=3,120+Inputs!$B$26+Inputs!$B$28,MAX(0,(Inputs!$B$3-100)*3)+Inputs!$B$27+Inputs!$B$28)))</f>
        <v/>
      </c>
      <c r="E115">
        <f>INDEX(FactorTable!$B$2:$Y$301, MATCH(ROUND(MIN(300,MAX(1,D115)),0), FactorTable!$A$2:$A$301,0), Skills!M6+1)</f>
        <v/>
      </c>
      <c r="F115">
        <f>IF(Skills!N6=TRUE,(Skills!L6/10)*(E115/1000),Skills!L6/10)+Skills!O6</f>
        <v/>
      </c>
      <c r="G115">
        <f>Skills!G6*IF(Skills!H6&gt;0,Skills!I6/Skills!H6,1)</f>
        <v/>
      </c>
      <c r="H115">
        <f>1-(1-Skills!J6/100)^Skills!K6</f>
        <v/>
      </c>
      <c r="I115" t="inlineStr">
        <is>
          <t>1</t>
        </is>
      </c>
      <c r="J115">
        <f>(Inputs!$B$5*(1+Inputs!$B$6/100))*(F115/100)</f>
        <v/>
      </c>
      <c r="K115">
        <f>J115*(1+((Inputs!$B$11*(1+Inputs!$B$12/100))*0.01+(Inputs!$B$13+1)*0.0025)/100)*(1+Inputs!$B$14/100)*(1+IF(Inputs!$B$4="pvp",0,(1-Summary!$B$55)*(Inputs!$B$19+0+Skills!P6)+Summary!$B$55*(Inputs!$B$20+Skills!Q6))/100)*(1+Inputs!$B$15/100)*(5000/(6000+Inputs!$B$7*(1-(Inputs!$B$18+0)/100)))*(1+(Inputs!$B$23+0+B142)/100)*(1+(IF(Skills!A6="BLAST",Inputs!$B$16+((C130=TRUE)*(F130-Calc!F21)),Inputs!$B$17+((C132=TRUE)*(F132-Calc!F23))))/100)*((1+(((C122=TRUE)*F122*MIN(1,Skills!T13*(Skills!J13/100)*B140))+((C127=TRUE)*F127*IF(AND(Inputs!$B$4&lt;&gt;"pvp",Inputs!$B$35&gt;0),(((S127-1)*(Skills!T18*(1+Inputs!$B$33/100))+MIN((Skills!T18*(1+Inputs!$B$33/100)),MAX(0,Inputs!$B$35-((S127-1)*Skills!D18))))/Inputs!$B$35),IF(Inputs!$B$4="pvp",MIN((Skills!T18*(1+Inputs!$B$33/100)),15)/15,(Skills!T18*(1+Inputs!$B$33/100))/Skills!D18)))+0)/100)*I115)</f>
        <v/>
      </c>
      <c r="L115">
        <f>K115*(MIN(Inputs!$B$21+((C131=TRUE)*(F131-Calc!F22)),Inputs!$B$22+((C133=TRUE)*(F133-Calc!F24)))/100+(Inputs!$B$22+((C133=TRUE)*(F133-Calc!F24)))/100)/2</f>
        <v/>
      </c>
      <c r="M115">
        <f>L115*(1+(Inputs!$B$9+0+B141)/100)</f>
        <v/>
      </c>
      <c r="N115">
        <f>L115*(1-MIN((Inputs!$B$8+0+B136),100)/100)+M115*(MIN((Inputs!$B$8+0+B136),100)/100)</f>
        <v/>
      </c>
      <c r="O115">
        <f>IF(C115,H115*N115*IF(AND(Inputs!$B$4&lt;&gt;"pvp",Inputs!$B$35&gt;0),((Skills!G6*((R115-1)*IF(Skills!H6&gt;0,Skills!I6/Skills!H6,1)+IF(Skills!H6&gt;0,MIN(Skills!I6,MAX(0,Inputs!$B$35-((R115-1)*IF(Inputs!$B$4="pvp",15,MAX(0.1,Skills!D6-IF(Skills!E6=TRUE,Inputs!$B$31,0))))))/Skills!H6,1)))/Inputs!$B$35),G115*Q115)*IF(Inputs!$B$4="pvp",1,(1-Summary!$B$55)*(1)+Summary!$B$55*(MIN(Skills!R6,Inputs!$B$37))),0)</f>
        <v/>
      </c>
      <c r="P115">
        <f>IF(B144=0,0,O115/B144)</f>
        <v/>
      </c>
      <c r="Q115">
        <f>IFERROR(1/IF(Inputs!$B$4="pvp",15,MAX(0.1,Skills!D6-IF(Skills!E6=TRUE,Inputs!$B$31,0))),0)</f>
        <v/>
      </c>
      <c r="R115">
        <f>IF(AND(Inputs!$B$4&lt;&gt;"pvp",Inputs!$B$35&gt;0),(INT(Inputs!$B$35/IF(Inputs!$B$4="pvp",15,MAX(0.1,Skills!D6-IF(Skills!E6=TRUE,Inputs!$B$31,0))))+1),0)</f>
        <v/>
      </c>
      <c r="S115">
        <f>IFERROR(O115/N115,0)</f>
        <v/>
      </c>
    </row>
    <row r="116">
      <c r="A116">
        <f>Skills!A7</f>
        <v/>
      </c>
      <c r="B116">
        <f>Skills!B7</f>
        <v/>
      </c>
      <c r="C116">
        <f>Inputs!$B$3&gt;=107</f>
        <v/>
      </c>
      <c r="D116">
        <f>IF(Skills!C7=1,60+Inputs!$B$24+Inputs!$B$28,IF(Skills!C7=2,90+Inputs!$B$25+Inputs!$B$28,IF(Skills!C7=3,120+Inputs!$B$26+Inputs!$B$28,MAX(0,(Inputs!$B$3-100)*3)+Inputs!$B$27+Inputs!$B$28)))</f>
        <v/>
      </c>
      <c r="E116">
        <f>INDEX(FactorTable!$B$2:$Y$301, MATCH(ROUND(MIN(300,MAX(1,D116)),0), FactorTable!$A$2:$A$301,0), Skills!M7+1)</f>
        <v/>
      </c>
      <c r="F116">
        <f>IF(Skills!N7=TRUE,(Skills!L7/10)*(E116/1000),Skills!L7/10)+Skills!O7</f>
        <v/>
      </c>
      <c r="G116">
        <f>Skills!G7*IF(Skills!H7&gt;0,Skills!I7/Skills!H7,1)</f>
        <v/>
      </c>
      <c r="H116">
        <f>1-(1-Skills!J7/100)^Skills!K7</f>
        <v/>
      </c>
      <c r="I116" t="inlineStr">
        <is>
          <t>1</t>
        </is>
      </c>
      <c r="J116">
        <f>(Inputs!$B$5*(1+Inputs!$B$6/100))*(F116/100)</f>
        <v/>
      </c>
      <c r="K116">
        <f>J116*(1+((Inputs!$B$11*(1+Inputs!$B$12/100))*0.01+(Inputs!$B$13+1)*0.0025)/100)*(1+Inputs!$B$14/100)*(1+IF(Inputs!$B$4="pvp",0,(1-Summary!$B$55)*(Inputs!$B$19+0+Skills!P7)+Summary!$B$55*(Inputs!$B$20+Skills!Q7))/100)*(1+Inputs!$B$15/100)*(5000/(6000+Inputs!$B$7*(1-(Inputs!$B$18+0)/100)))*(1+(Inputs!$B$23+0+B142)/100)*(1+(IF(Skills!A7="BLAST",Inputs!$B$16+((C130=TRUE)*(F130-Calc!F21)),Inputs!$B$17+((C132=TRUE)*(F132-Calc!F23))))/100)*((1+(((C122=TRUE)*F122*MIN(1,Skills!T13*(Skills!J13/100)*B140))+((C127=TRUE)*F127*IF(AND(Inputs!$B$4&lt;&gt;"pvp",Inputs!$B$35&gt;0),(((S127-1)*(Skills!T18*(1+Inputs!$B$33/100))+MIN((Skills!T18*(1+Inputs!$B$33/100)),MAX(0,Inputs!$B$35-((S127-1)*Skills!D18))))/Inputs!$B$35),IF(Inputs!$B$4="pvp",MIN((Skills!T18*(1+Inputs!$B$33/100)),15)/15,(Skills!T18*(1+Inputs!$B$33/100))/Skills!D18)))+0)/100)*I116)</f>
        <v/>
      </c>
      <c r="L116">
        <f>K116*(MIN(Inputs!$B$21+((C131=TRUE)*(F131-Calc!F22)),Inputs!$B$22+((C133=TRUE)*(F133-Calc!F24)))/100+(Inputs!$B$22+((C133=TRUE)*(F133-Calc!F24)))/100)/2</f>
        <v/>
      </c>
      <c r="M116">
        <f>L116*(1+(Inputs!$B$9+0+B141)/100)</f>
        <v/>
      </c>
      <c r="N116">
        <f>L116*(1-MIN((Inputs!$B$8+0+B136),100)/100)+M116*(MIN((Inputs!$B$8+0+B136),100)/100)</f>
        <v/>
      </c>
      <c r="O116">
        <f>IF(C116,H116*N116*IF(AND(Inputs!$B$4&lt;&gt;"pvp",Inputs!$B$35&gt;0),((Skills!G7*((R116-1)*IF(Skills!H7&gt;0,Skills!I7/Skills!H7,1)+IF(Skills!H7&gt;0,MIN(Skills!I7,MAX(0,Inputs!$B$35-((R116-1)*IF(Inputs!$B$4="pvp",15,MAX(0.1,Skills!D7-IF(Skills!E7=TRUE,Inputs!$B$31,0))))))/Skills!H7,1)))/Inputs!$B$35),G116*Q116)*IF(Inputs!$B$4="pvp",1,(1-Summary!$B$55)*(1)+Summary!$B$55*(MIN(Skills!R7,Inputs!$B$37))),0)</f>
        <v/>
      </c>
      <c r="P116">
        <f>IF(B144=0,0,O116/B144)</f>
        <v/>
      </c>
      <c r="Q116">
        <f>IFERROR(1/IF(Inputs!$B$4="pvp",15,MAX(0.1,Skills!D7-IF(Skills!E7=TRUE,Inputs!$B$31,0))),0)</f>
        <v/>
      </c>
      <c r="R116">
        <f>IF(AND(Inputs!$B$4&lt;&gt;"pvp",Inputs!$B$35&gt;0),(INT(Inputs!$B$35/IF(Inputs!$B$4="pvp",15,MAX(0.1,Skills!D7-IF(Skills!E7=TRUE,Inputs!$B$31,0))))+1),0)</f>
        <v/>
      </c>
      <c r="S116">
        <f>IFERROR(O116/N116,0)</f>
        <v/>
      </c>
    </row>
    <row r="117">
      <c r="A117">
        <f>Skills!A8</f>
        <v/>
      </c>
      <c r="B117">
        <f>Skills!B8</f>
        <v/>
      </c>
      <c r="C117">
        <f>Inputs!$B$3&gt;=107</f>
        <v/>
      </c>
      <c r="D117">
        <f>IF(Skills!C8=1,60+Inputs!$B$24+Inputs!$B$28,IF(Skills!C8=2,90+Inputs!$B$25+Inputs!$B$28,IF(Skills!C8=3,120+Inputs!$B$26+Inputs!$B$28,MAX(0,(Inputs!$B$3-100)*3)+Inputs!$B$27+Inputs!$B$28)))</f>
        <v/>
      </c>
      <c r="E117">
        <f>INDEX(FactorTable!$B$2:$Y$301, MATCH(ROUND(MIN(300,MAX(1,D117)),0), FactorTable!$A$2:$A$301,0), Skills!M8+1)</f>
        <v/>
      </c>
      <c r="F117">
        <f>IF(Skills!N8=TRUE,(Skills!L8/10)*(E117/1000),Skills!L8/10)+Skills!O8</f>
        <v/>
      </c>
      <c r="G117">
        <f>Skills!G8*IF(Skills!H8&gt;0,Skills!I8/Skills!H8,1)</f>
        <v/>
      </c>
      <c r="H117">
        <f>1-(1-Skills!J8/100)^Skills!K8</f>
        <v/>
      </c>
      <c r="I117" t="inlineStr">
        <is>
          <t>1</t>
        </is>
      </c>
      <c r="J117">
        <f>(Inputs!$B$5*(1+Inputs!$B$6/100))*(F117/100)</f>
        <v/>
      </c>
      <c r="K117">
        <f>J117*(1+((Inputs!$B$11*(1+Inputs!$B$12/100))*0.01+(Inputs!$B$13+1)*0.0025)/100)*(1+Inputs!$B$14/100)*(1+IF(Inputs!$B$4="pvp",0,(1-Summary!$B$55)*(Inputs!$B$19+0+Skills!P8)+Summary!$B$55*(Inputs!$B$20+Skills!Q8))/100)*(1+Inputs!$B$15/100)*(5000/(6000+Inputs!$B$7*(1-(Inputs!$B$18+0)/100)))*(1+(Inputs!$B$23+0+B142)/100)*(1+(IF(Skills!A8="BLAST",Inputs!$B$16+((C130=TRUE)*(F130-Calc!F21)),Inputs!$B$17+((C132=TRUE)*(F132-Calc!F23))))/100)*((1+(((C122=TRUE)*F122*MIN(1,Skills!T13*(Skills!J13/100)*B140))+((C127=TRUE)*F127*IF(AND(Inputs!$B$4&lt;&gt;"pvp",Inputs!$B$35&gt;0),(((S127-1)*(Skills!T18*(1+Inputs!$B$33/100))+MIN((Skills!T18*(1+Inputs!$B$33/100)),MAX(0,Inputs!$B$35-((S127-1)*Skills!D18))))/Inputs!$B$35),IF(Inputs!$B$4="pvp",MIN((Skills!T18*(1+Inputs!$B$33/100)),15)/15,(Skills!T18*(1+Inputs!$B$33/100))/Skills!D18)))+0)/100)*I117)</f>
        <v/>
      </c>
      <c r="L117">
        <f>K117*(MIN(Inputs!$B$21+((C131=TRUE)*(F131-Calc!F22)),Inputs!$B$22+((C133=TRUE)*(F133-Calc!F24)))/100+(Inputs!$B$22+((C133=TRUE)*(F133-Calc!F24)))/100)/2</f>
        <v/>
      </c>
      <c r="M117">
        <f>L117*(1+(Inputs!$B$9+0+B141)/100)</f>
        <v/>
      </c>
      <c r="N117">
        <f>L117*(1-MIN((Inputs!$B$8+0+B136),100)/100)+M117*(MIN((Inputs!$B$8+0+B136),100)/100)</f>
        <v/>
      </c>
      <c r="O117">
        <f>IF(C117,H117*N117*IF(AND(Inputs!$B$4&lt;&gt;"pvp",Inputs!$B$35&gt;0),((Skills!G8*((R117-1)*IF(Skills!H8&gt;0,Skills!I8/Skills!H8,1)+IF(Skills!H8&gt;0,MIN(Skills!I8,MAX(0,Inputs!$B$35-((R117-1)*IF(Inputs!$B$4="pvp",15,MAX(0.1,Skills!D8-IF(Skills!E8=TRUE,Inputs!$B$31,0))))))/Skills!H8,1)))/Inputs!$B$35),G117*Q117)*IF(Inputs!$B$4="pvp",1,(1-Summary!$B$55)*(1)+Summary!$B$55*(MIN(Skills!R8,Inputs!$B$37))),0)</f>
        <v/>
      </c>
      <c r="P117">
        <f>IF(B144=0,0,O117/B144)</f>
        <v/>
      </c>
      <c r="Q117">
        <f>IFERROR(1/IF(Inputs!$B$4="pvp",15,MAX(0.1,Skills!D8-IF(Skills!E8=TRUE,Inputs!$B$31,0))),0)</f>
        <v/>
      </c>
      <c r="R117">
        <f>IF(AND(Inputs!$B$4&lt;&gt;"pvp",Inputs!$B$35&gt;0),(INT(Inputs!$B$35/IF(Inputs!$B$4="pvp",15,MAX(0.1,Skills!D8-IF(Skills!E8=TRUE,Inputs!$B$31,0))))+1),0)</f>
        <v/>
      </c>
      <c r="S117">
        <f>IFERROR(O117/N117,0)</f>
        <v/>
      </c>
    </row>
    <row r="118">
      <c r="A118">
        <f>Skills!A9</f>
        <v/>
      </c>
      <c r="B118">
        <f>Skills!B9</f>
        <v/>
      </c>
      <c r="C118">
        <f>Inputs!$B$3&gt;=125</f>
        <v/>
      </c>
      <c r="D118">
        <f>IF(Skills!C9=1,60+Inputs!$B$24+Inputs!$B$28,IF(Skills!C9=2,90+Inputs!$B$25+Inputs!$B$28,IF(Skills!C9=3,120+Inputs!$B$26+Inputs!$B$28,MAX(0,(Inputs!$B$3-100)*3)+Inputs!$B$27+Inputs!$B$28)))</f>
        <v/>
      </c>
      <c r="E118">
        <f>INDEX(FactorTable!$B$2:$Y$301, MATCH(ROUND(MIN(300,MAX(1,D118)),0), FactorTable!$A$2:$A$301,0), Skills!M9+1)</f>
        <v/>
      </c>
      <c r="F118">
        <f>IF(Skills!N9=TRUE,(Skills!L9/10)*(E118/1000),Skills!L9/10)+Skills!O9</f>
        <v/>
      </c>
      <c r="G118">
        <f>Skills!G9*IF(Skills!H9&gt;0,Skills!I9/Skills!H9,1)</f>
        <v/>
      </c>
      <c r="H118">
        <f>1-(1-Skills!J9/100)^Skills!K9</f>
        <v/>
      </c>
      <c r="I118" t="inlineStr">
        <is>
          <t>1</t>
        </is>
      </c>
      <c r="J118">
        <f>(Inputs!$B$5*(1+Inputs!$B$6/100))*(F118/100)</f>
        <v/>
      </c>
      <c r="K118">
        <f>J118*(1+((Inputs!$B$11*(1+Inputs!$B$12/100))*0.01+(Inputs!$B$13+1)*0.0025)/100)*(1+Inputs!$B$14/100)*(1+IF(Inputs!$B$4="pvp",0,(1-Summary!$B$55)*(Inputs!$B$19+0+Skills!P9)+Summary!$B$55*(Inputs!$B$20+Skills!Q9))/100)*(1+Inputs!$B$15/100)*(5000/(6000+Inputs!$B$7*(1-(Inputs!$B$18+0)/100)))*(1+(Inputs!$B$23+0+B142)/100)*(1+(IF(Skills!A9="BLAST",Inputs!$B$16+((C130=TRUE)*(F130-Calc!F21)),Inputs!$B$17+((C132=TRUE)*(F132-Calc!F23))))/100)*((1+(((C122=TRUE)*F122*MIN(1,Skills!T13*(Skills!J13/100)*B140))+((C127=TRUE)*F127*IF(AND(Inputs!$B$4&lt;&gt;"pvp",Inputs!$B$35&gt;0),(((S127-1)*(Skills!T18*(1+Inputs!$B$33/100))+MIN((Skills!T18*(1+Inputs!$B$33/100)),MAX(0,Inputs!$B$35-((S127-1)*Skills!D18))))/Inputs!$B$35),IF(Inputs!$B$4="pvp",MIN((Skills!T18*(1+Inputs!$B$33/100)),15)/15,(Skills!T18*(1+Inputs!$B$33/100))/Skills!D18)))+0)/100)*I118)</f>
        <v/>
      </c>
      <c r="L118">
        <f>K118*(MIN(Inputs!$B$21+((C131=TRUE)*(F131-Calc!F22)),Inputs!$B$22+((C133=TRUE)*(F133-Calc!F24)))/100+(Inputs!$B$22+((C133=TRUE)*(F133-Calc!F24)))/100)/2</f>
        <v/>
      </c>
      <c r="M118">
        <f>L118*(1+(Inputs!$B$9+0+B141)/100)</f>
        <v/>
      </c>
      <c r="N118">
        <f>L118*(1-MIN((Inputs!$B$8+0+B136),100)/100)+M118*(MIN((Inputs!$B$8+0+B136),100)/100)</f>
        <v/>
      </c>
      <c r="O118">
        <f>IF(C118,H118*N118*IF(AND(Inputs!$B$4&lt;&gt;"pvp",Inputs!$B$35&gt;0),((Skills!G9*((R118-1)*IF(Skills!H9&gt;0,Skills!I9/Skills!H9,1)+IF(Skills!H9&gt;0,MIN(Skills!I9,MAX(0,Inputs!$B$35-((R118-1)*IF(Inputs!$B$4="pvp",15,MAX(0.1,Skills!D9-IF(Skills!E9=TRUE,Inputs!$B$31,0))))))/Skills!H9,1)))/Inputs!$B$35),G118*Q118)*IF(Inputs!$B$4="pvp",1,(1-Summary!$B$55)*(1)+Summary!$B$55*(MIN(Skills!R9,Inputs!$B$37))),0)</f>
        <v/>
      </c>
      <c r="P118">
        <f>IF(B144=0,0,O118/B144)</f>
        <v/>
      </c>
      <c r="Q118">
        <f>IFERROR(1/IF(Inputs!$B$4="pvp",15,MAX(0.1,Skills!D9-IF(Skills!E9=TRUE,Inputs!$B$31,0))),0)</f>
        <v/>
      </c>
      <c r="R118">
        <f>IF(AND(Inputs!$B$4&lt;&gt;"pvp",Inputs!$B$35&gt;0),(INT(Inputs!$B$35/IF(Inputs!$B$4="pvp",15,MAX(0.1,Skills!D9-IF(Skills!E9=TRUE,Inputs!$B$31,0))))+1),0)</f>
        <v/>
      </c>
      <c r="S118">
        <f>IFERROR(O118/N118,0)</f>
        <v/>
      </c>
    </row>
    <row r="119">
      <c r="A119">
        <f>Skills!A10</f>
        <v/>
      </c>
      <c r="B119">
        <f>Skills!B10</f>
        <v/>
      </c>
      <c r="C119">
        <f>Inputs!$B$3&gt;=117</f>
        <v/>
      </c>
      <c r="D119">
        <f>IF(Skills!C10=1,60+Inputs!$B$24+Inputs!$B$28,IF(Skills!C10=2,90+Inputs!$B$25+Inputs!$B$28,IF(Skills!C10=3,120+Inputs!$B$26+Inputs!$B$28,MAX(0,(Inputs!$B$3-100)*3)+Inputs!$B$27+Inputs!$B$28)))</f>
        <v/>
      </c>
      <c r="E119">
        <f>INDEX(FactorTable!$B$2:$Y$301, MATCH(ROUND(MIN(300,MAX(1,D119)),0), FactorTable!$A$2:$A$301,0), Skills!M10+1)</f>
        <v/>
      </c>
      <c r="F119">
        <f>IF(Skills!N10=TRUE,(Skills!L10/10)*(E119/1000),Skills!L10/10)+Skills!O10</f>
        <v/>
      </c>
      <c r="G119">
        <f>Skills!G10*IF(Skills!H10&gt;0,Skills!I10/Skills!H10,1)</f>
        <v/>
      </c>
      <c r="H119">
        <f>1-(1-Skills!J10/100)^Skills!K10</f>
        <v/>
      </c>
      <c r="I119" t="inlineStr">
        <is>
          <t>1</t>
        </is>
      </c>
      <c r="J119">
        <f>(Inputs!$B$5*(1+Inputs!$B$6/100))*(F119/100)</f>
        <v/>
      </c>
      <c r="K119">
        <f>J119*(1+((Inputs!$B$11*(1+Inputs!$B$12/100))*0.01+(Inputs!$B$13+1)*0.0025)/100)*(1+Inputs!$B$14/100)*(1+IF(Inputs!$B$4="pvp",0,(1-Summary!$B$55)*(Inputs!$B$19+0+Skills!P10)+Summary!$B$55*(Inputs!$B$20+Skills!Q10))/100)*(1+Inputs!$B$15/100)*(5000/(6000+Inputs!$B$7*(1-(Inputs!$B$18+0)/100)))*(1+(Inputs!$B$23+0+B142)/100)*(1+(IF(Skills!A10="BLAST",Inputs!$B$16+((C130=TRUE)*(F130-Calc!F21)),Inputs!$B$17+((C132=TRUE)*(F132-Calc!F23))))/100)*((1+(((C122=TRUE)*F122*MIN(1,Skills!T13*(Skills!J13/100)*B140))+((C127=TRUE)*F127*IF(AND(Inputs!$B$4&lt;&gt;"pvp",Inputs!$B$35&gt;0),(((S127-1)*(Skills!T18*(1+Inputs!$B$33/100))+MIN((Skills!T18*(1+Inputs!$B$33/100)),MAX(0,Inputs!$B$35-((S127-1)*Skills!D18))))/Inputs!$B$35),IF(Inputs!$B$4="pvp",MIN((Skills!T18*(1+Inputs!$B$33/100)),15)/15,(Skills!T18*(1+Inputs!$B$33/100))/Skills!D18)))+0)/100)*I119)</f>
        <v/>
      </c>
      <c r="L119">
        <f>K119*(MIN(Inputs!$B$21+((C131=TRUE)*(F131-Calc!F22)),Inputs!$B$22+((C133=TRUE)*(F133-Calc!F24)))/100+(Inputs!$B$22+((C133=TRUE)*(F133-Calc!F24)))/100)/2</f>
        <v/>
      </c>
      <c r="M119">
        <f>L119*(1+(Inputs!$B$9+0+B141)/100)</f>
        <v/>
      </c>
      <c r="N119">
        <f>L119*(1-MIN((Inputs!$B$8+0+B136),100)/100)+M119*(MIN((Inputs!$B$8+0+B136),100)/100)</f>
        <v/>
      </c>
      <c r="O119">
        <f>IF(C119,H119*N119*IF(AND(Inputs!$B$4&lt;&gt;"pvp",Inputs!$B$35&gt;0),((Skills!G10*((R119-1)*IF(Skills!H10&gt;0,Skills!I10/Skills!H10,1)+IF(Skills!H10&gt;0,MIN(Skills!I10,MAX(0,Inputs!$B$35-((R119-1)*IF(Inputs!$B$4="pvp",15,MAX(0.1,Skills!D10-IF(Skills!E10=TRUE,Inputs!$B$31,0))))))/Skills!H10,1)))/Inputs!$B$35),G119*Q119)*IF(Inputs!$B$4="pvp",1,(1-Summary!$B$55)*(1)+Summary!$B$55*(MIN(Skills!R10,Inputs!$B$37))),0)</f>
        <v/>
      </c>
      <c r="P119">
        <f>IF(B144=0,0,O119/B144)</f>
        <v/>
      </c>
      <c r="Q119">
        <f>IFERROR(1/IF(Inputs!$B$4="pvp",15,MAX(0.1,Skills!D10-IF(Skills!E10=TRUE,Inputs!$B$31,0))),0)</f>
        <v/>
      </c>
      <c r="R119">
        <f>IF(AND(Inputs!$B$4&lt;&gt;"pvp",Inputs!$B$35&gt;0),(INT(Inputs!$B$35/IF(Inputs!$B$4="pvp",15,MAX(0.1,Skills!D10-IF(Skills!E10=TRUE,Inputs!$B$31,0))))+1),0)</f>
        <v/>
      </c>
      <c r="S119">
        <f>IFERROR(O119/N119,0)</f>
        <v/>
      </c>
    </row>
    <row r="120">
      <c r="A120">
        <f>Skills!A11</f>
        <v/>
      </c>
      <c r="B120">
        <f>Skills!B11</f>
        <v/>
      </c>
      <c r="C120">
        <f>Inputs!$B$3&gt;=63</f>
        <v/>
      </c>
      <c r="D120">
        <f>IF(Skills!C11=1,60+Inputs!$B$24+Inputs!$B$28,IF(Skills!C11=2,90+Inputs!$B$25+Inputs!$B$28,IF(Skills!C11=3,120+Inputs!$B$26+Inputs!$B$28,MAX(0,(Inputs!$B$3-100)*3)+Inputs!$B$27+Inputs!$B$28)))</f>
        <v/>
      </c>
      <c r="E120">
        <f>INDEX(FactorTable!$B$2:$Y$301, MATCH(ROUND(MIN(300,MAX(1,D120)),0), FactorTable!$A$2:$A$301,0), Skills!M11+1)</f>
        <v/>
      </c>
      <c r="F120">
        <f>IF(Skills!N11=TRUE,(Skills!L11/10)*(E120/1000),Skills!L11/10)+Skills!O11</f>
        <v/>
      </c>
      <c r="G120">
        <f>Skills!G11*IF(Skills!H11&gt;0,Skills!I11/Skills!H11,1)</f>
        <v/>
      </c>
      <c r="H120">
        <f>1-(1-Skills!J11/100)^Skills!K11</f>
        <v/>
      </c>
      <c r="I120" t="inlineStr">
        <is>
          <t>1</t>
        </is>
      </c>
      <c r="J120">
        <f>(Inputs!$B$5*(1+Inputs!$B$6/100))*(F120/100)</f>
        <v/>
      </c>
      <c r="K120">
        <f>J120*(1+((Inputs!$B$11*(1+Inputs!$B$12/100))*0.01+(Inputs!$B$13+1)*0.0025)/100)*(1+Inputs!$B$14/100)*(1+IF(Inputs!$B$4="pvp",0,(1-Summary!$B$55)*(Inputs!$B$19+0+Skills!P11)+Summary!$B$55*(Inputs!$B$20+Skills!Q11))/100)*(1+Inputs!$B$15/100)*(5000/(6000+Inputs!$B$7*(1-(Inputs!$B$18+0)/100)))*(1+(Inputs!$B$23+0+B142)/100)*(1+1.5*IF(C121=TRUE,F121,0)/100)*(1+(IF(Skills!A11="BLAST",Inputs!$B$16+((C130=TRUE)*(F130-Calc!F21)),Inputs!$B$17+((C132=TRUE)*(F132-Calc!F23))))/100)*((1+(((C122=TRUE)*F122*MIN(1,Skills!T13*(Skills!J13/100)*B140))+((C127=TRUE)*F127*IF(AND(Inputs!$B$4&lt;&gt;"pvp",Inputs!$B$35&gt;0),(((S127-1)*(Skills!T18*(1+Inputs!$B$33/100))+MIN((Skills!T18*(1+Inputs!$B$33/100)),MAX(0,Inputs!$B$35-((S127-1)*Skills!D18))))/Inputs!$B$35),IF(Inputs!$B$4="pvp",MIN((Skills!T18*(1+Inputs!$B$33/100)),15)/15,(Skills!T18*(1+Inputs!$B$33/100))/Skills!D18)))+0)/100)*I120)</f>
        <v/>
      </c>
      <c r="L120">
        <f>K120*(MIN(Inputs!$B$21+((C131=TRUE)*(F131-Calc!F22)),Inputs!$B$22+((C133=TRUE)*(F133-Calc!F24)))/100+(Inputs!$B$22+((C133=TRUE)*(F133-Calc!F24)))/100)/2</f>
        <v/>
      </c>
      <c r="M120">
        <f>L120*(1+(Inputs!$B$9+0+B141)/100)</f>
        <v/>
      </c>
      <c r="N120">
        <f>L120*(1-MIN((Inputs!$B$8+0+B136),100)/100)+M120*(MIN((Inputs!$B$8+0+B136),100)/100)</f>
        <v/>
      </c>
      <c r="O120">
        <f>IF(C120,H120*N120*IF(AND(Inputs!$B$4&lt;&gt;"pvp",Inputs!$B$35&gt;0),((Skills!G11*((R120-1)*IF(Skills!H11&gt;0,Skills!I11/Skills!H11,1)+IF(Skills!H11&gt;0,MIN(Skills!I11,MAX(0,Inputs!$B$35-((R120-1)*IF(Inputs!$B$4="pvp",15,MAX(0.1,Skills!D11-IF(Skills!E11=TRUE,Inputs!$B$31,0))))))/Skills!H11,1)))/Inputs!$B$35),G120*Q120)*IF(Inputs!$B$4="pvp",1,(1-Summary!$B$55)*(1)+Summary!$B$55*(MIN(Skills!R11,Inputs!$B$37))),0)</f>
        <v/>
      </c>
      <c r="P120">
        <f>IF(B144=0,0,O120/B144)</f>
        <v/>
      </c>
      <c r="Q120">
        <f>IFERROR(1/IF(Inputs!$B$4="pvp",15,MAX(0.1,Skills!D11-IF(Skills!E11=TRUE,Inputs!$B$31,0))),0)</f>
        <v/>
      </c>
      <c r="R120">
        <f>IF(AND(Inputs!$B$4&lt;&gt;"pvp",Inputs!$B$35&gt;0),(INT(Inputs!$B$35/IF(Inputs!$B$4="pvp",15,MAX(0.1,Skills!D11-IF(Skills!E11=TRUE,Inputs!$B$31,0))))+1),0)</f>
        <v/>
      </c>
      <c r="S120">
        <f>IFERROR(O120/N120,0)</f>
        <v/>
      </c>
    </row>
    <row r="121">
      <c r="A121">
        <f>Skills!A12</f>
        <v/>
      </c>
      <c r="B121">
        <f>Skills!B12</f>
        <v/>
      </c>
      <c r="C121">
        <f>Inputs!$B$3&gt;=100</f>
        <v/>
      </c>
      <c r="D121">
        <f>IF(Skills!C12=1,60+Inputs!$B$24+Inputs!$B$28,IF(Skills!C12=2,90+Inputs!$B$25+Inputs!$B$28,IF(Skills!C12=3,120+Inputs!$B$26+Inputs!$B$28,MAX(0,(Inputs!$B$3-100)*3)+Inputs!$B$27+Inputs!$B$28)))</f>
        <v/>
      </c>
      <c r="E121">
        <f>INDEX(FactorTable!$B$2:$Y$301, MATCH(ROUND(MIN(300,MAX(1,D121)),0), FactorTable!$A$2:$A$301,0), Skills!M12+1)</f>
        <v/>
      </c>
      <c r="F121">
        <f>IF(Skills!N12=TRUE,(Skills!L12/10)*(E121/1000),Skills!L12/10)+Skills!O12</f>
        <v/>
      </c>
      <c r="G121" t="inlineStr"/>
      <c r="H121" t="inlineStr"/>
      <c r="I121" t="inlineStr">
        <is>
          <t>1</t>
        </is>
      </c>
      <c r="J121" t="inlineStr"/>
      <c r="K121" t="inlineStr"/>
      <c r="L121" t="inlineStr"/>
      <c r="M121" t="inlineStr"/>
      <c r="N121" t="inlineStr"/>
      <c r="O121" t="inlineStr"/>
      <c r="P121" t="inlineStr"/>
      <c r="Q121" t="inlineStr"/>
      <c r="R121" t="inlineStr"/>
      <c r="S121" t="inlineStr"/>
    </row>
    <row r="122">
      <c r="A122">
        <f>Skills!A13</f>
        <v/>
      </c>
      <c r="B122">
        <f>Skills!B13</f>
        <v/>
      </c>
      <c r="C122">
        <f>Inputs!$B$3&gt;=45</f>
        <v/>
      </c>
      <c r="D122">
        <f>IF(Skills!C13=1,60+Inputs!$B$24+Inputs!$B$28,IF(Skills!C13=2,90+Inputs!$B$25+Inputs!$B$28,IF(Skills!C13=3,120+Inputs!$B$26+Inputs!$B$28,MAX(0,(Inputs!$B$3-100)*3)+Inputs!$B$27+Inputs!$B$28)))</f>
        <v/>
      </c>
      <c r="E122">
        <f>INDEX(FactorTable!$B$2:$Y$301, MATCH(ROUND(MIN(300,MAX(1,D122)),0), FactorTable!$A$2:$A$301,0), Skills!M13+1)</f>
        <v/>
      </c>
      <c r="F122">
        <f>IF(Skills!N13=TRUE,(Skills!L13/10)*(E122/1000),Skills!L13/10)+Skills!O13</f>
        <v/>
      </c>
      <c r="G122">
        <f>Skills!G13*IF(Skills!H13&gt;0,Skills!I13/Skills!H13,1)</f>
        <v/>
      </c>
      <c r="H122">
        <f>1-(1-Skills!J13/100)^Skills!K13</f>
        <v/>
      </c>
      <c r="I122" t="inlineStr">
        <is>
          <t>1</t>
        </is>
      </c>
      <c r="J122" t="inlineStr"/>
      <c r="K122" t="inlineStr"/>
      <c r="L122" t="inlineStr"/>
      <c r="M122" t="inlineStr"/>
      <c r="N122" t="inlineStr"/>
      <c r="O122" t="n">
        <v>0</v>
      </c>
      <c r="P122">
        <f>IF(B144=0,0,O122/B144)</f>
        <v/>
      </c>
      <c r="Q122" t="n">
        <v>0</v>
      </c>
      <c r="R122" t="n">
        <v>0</v>
      </c>
      <c r="S122">
        <f>IFERROR(O122/N122,0)</f>
        <v/>
      </c>
    </row>
    <row r="123">
      <c r="A123">
        <f>Skills!A14</f>
        <v/>
      </c>
      <c r="B123">
        <f>Skills!B14</f>
        <v/>
      </c>
      <c r="C123">
        <f>Inputs!$B$3&gt;=110</f>
        <v/>
      </c>
      <c r="D123">
        <f>IF(Skills!C14=1,60+Inputs!$B$24+Inputs!$B$28,IF(Skills!C14=2,90+Inputs!$B$25+Inputs!$B$28,IF(Skills!C14=3,120+Inputs!$B$26+Inputs!$B$28,MAX(0,(Inputs!$B$3-100)*3)+Inputs!$B$27+Inputs!$B$28)))</f>
        <v/>
      </c>
      <c r="E123">
        <f>INDEX(FactorTable!$B$2:$Y$301, MATCH(ROUND(MIN(300,MAX(1,D123)),0), FactorTable!$A$2:$A$301,0), Skills!M14+1)</f>
        <v/>
      </c>
      <c r="F123">
        <f>IF(Skills!N14=TRUE,(Skills!L14/10)*(E123/1000),Skills!L14/10)+Skills!O14</f>
        <v/>
      </c>
      <c r="G123">
        <f>Skills!G14*IF(Skills!H14&gt;0,Skills!I14/Skills!H14,1)</f>
        <v/>
      </c>
      <c r="H123">
        <f>1-(1-Skills!J14/100)^Skills!K14</f>
        <v/>
      </c>
      <c r="I123" t="inlineStr">
        <is>
          <t>1</t>
        </is>
      </c>
      <c r="J123" t="inlineStr"/>
      <c r="K123" t="inlineStr"/>
      <c r="L123" t="inlineStr"/>
      <c r="M123" t="inlineStr"/>
      <c r="N123" t="inlineStr"/>
      <c r="O123" t="n">
        <v>0</v>
      </c>
      <c r="P123">
        <f>IF(B144=0,0,O123/B144)</f>
        <v/>
      </c>
      <c r="Q123" t="n">
        <v>0</v>
      </c>
      <c r="R123" t="n">
        <v>0</v>
      </c>
      <c r="S123">
        <f>IFERROR(O123/N123,0)</f>
        <v/>
      </c>
    </row>
    <row r="124">
      <c r="A124">
        <f>Skills!A15</f>
        <v/>
      </c>
      <c r="B124">
        <f>Skills!B15</f>
        <v/>
      </c>
      <c r="C124">
        <f>Inputs!$B$3&gt;=75</f>
        <v/>
      </c>
      <c r="D124">
        <f>IF(Skills!C15=1,60+Inputs!$B$24+Inputs!$B$28,IF(Skills!C15=2,90+Inputs!$B$25+Inputs!$B$28,IF(Skills!C15=3,120+Inputs!$B$26+Inputs!$B$28,MAX(0,(Inputs!$B$3-100)*3)+Inputs!$B$27+Inputs!$B$28)))</f>
        <v/>
      </c>
      <c r="E124">
        <f>INDEX(FactorTable!$B$2:$Y$301, MATCH(ROUND(MIN(300,MAX(1,D124)),0), FactorTable!$A$2:$A$301,0), Skills!M15+1)</f>
        <v/>
      </c>
      <c r="F124">
        <f>IF(Skills!N15=TRUE,(Skills!L15/10)*(E124/1000),Skills!L15/10)+Skills!O15</f>
        <v/>
      </c>
      <c r="G124">
        <f>Skills!G15*IF(Skills!H15&gt;0,Skills!I15/Skills!H15,1)</f>
        <v/>
      </c>
      <c r="H124">
        <f>1-(1-Skills!J15/100)^Skills!K15</f>
        <v/>
      </c>
      <c r="I124" t="inlineStr">
        <is>
          <t>1</t>
        </is>
      </c>
      <c r="J124" t="inlineStr"/>
      <c r="K124" t="inlineStr"/>
      <c r="L124" t="inlineStr"/>
      <c r="M124" t="inlineStr"/>
      <c r="N124" t="inlineStr"/>
      <c r="O124" t="n">
        <v>0</v>
      </c>
      <c r="P124">
        <f>IF(B144=0,0,O124/B144)</f>
        <v/>
      </c>
      <c r="Q124">
        <f>IFERROR(1/IF(Inputs!$B$4="pvp",15,MAX(0.1,Skills!D15-IF(Skills!E15=TRUE,Inputs!$B$31,0))),0)</f>
        <v/>
      </c>
      <c r="R124">
        <f>IF(AND(Inputs!$B$4&lt;&gt;"pvp",Inputs!$B$35&gt;0),(INT(Inputs!$B$35/IF(Inputs!$B$4="pvp",15,MAX(0.1,Skills!D15-IF(Skills!E15=TRUE,Inputs!$B$31,0))))+1),0)</f>
        <v/>
      </c>
      <c r="S124">
        <f>IFERROR(O124/N124,0)</f>
        <v/>
      </c>
    </row>
    <row r="125">
      <c r="A125">
        <f>Skills!A16</f>
        <v/>
      </c>
      <c r="B125">
        <f>Skills!B16</f>
        <v/>
      </c>
      <c r="C125">
        <f>Inputs!$B$3&gt;=105</f>
        <v/>
      </c>
      <c r="D125">
        <f>IF(Skills!C16=1,60+Inputs!$B$24+Inputs!$B$28,IF(Skills!C16=2,90+Inputs!$B$25+Inputs!$B$28,IF(Skills!C16=3,120+Inputs!$B$26+Inputs!$B$28,MAX(0,(Inputs!$B$3-100)*3)+Inputs!$B$27+Inputs!$B$28)))</f>
        <v/>
      </c>
      <c r="E125">
        <f>INDEX(FactorTable!$B$2:$Y$301, MATCH(ROUND(MIN(300,MAX(1,D125)),0), FactorTable!$A$2:$A$301,0), Skills!M16+1)</f>
        <v/>
      </c>
      <c r="F125">
        <f>IF(Skills!N16=TRUE,(Skills!L16/10)*(E125/1000),Skills!L16/10)+Skills!O16</f>
        <v/>
      </c>
      <c r="G125">
        <f>Skills!G16*IF(Skills!H16&gt;0,Skills!I16/Skills!H16,1)</f>
        <v/>
      </c>
      <c r="H125">
        <f>1-(1-Skills!J16/100)^Skills!K16</f>
        <v/>
      </c>
      <c r="I125" t="inlineStr">
        <is>
          <t>1</t>
        </is>
      </c>
      <c r="J125" t="inlineStr"/>
      <c r="K125" t="inlineStr"/>
      <c r="L125" t="inlineStr"/>
      <c r="M125" t="inlineStr"/>
      <c r="N125" t="inlineStr"/>
      <c r="O125" t="n">
        <v>0</v>
      </c>
      <c r="P125">
        <f>IF(B144=0,0,O125/B144)</f>
        <v/>
      </c>
      <c r="Q125">
        <f>IFERROR(1/IF(Inputs!$B$4="pvp",15,MAX(0.1,Skills!D16-IF(Skills!E16=TRUE,Inputs!$B$31,0))),0)</f>
        <v/>
      </c>
      <c r="R125">
        <f>IF(AND(Inputs!$B$4&lt;&gt;"pvp",Inputs!$B$35&gt;0),(INT(Inputs!$B$35/IF(Inputs!$B$4="pvp",15,MAX(0.1,Skills!D16-IF(Skills!E16=TRUE,Inputs!$B$31,0))))+1),0)</f>
        <v/>
      </c>
      <c r="S125">
        <f>IFERROR(O125/N125,0)</f>
        <v/>
      </c>
    </row>
    <row r="126">
      <c r="A126">
        <f>Skills!A17</f>
        <v/>
      </c>
      <c r="B126">
        <f>Skills!B17</f>
        <v/>
      </c>
      <c r="C126">
        <f>Inputs!$B$3&gt;=115</f>
        <v/>
      </c>
      <c r="D126">
        <f>IF(Skills!C17=1,60+Inputs!$B$24+Inputs!$B$28,IF(Skills!C17=2,90+Inputs!$B$25+Inputs!$B$28,IF(Skills!C17=3,120+Inputs!$B$26+Inputs!$B$28,MAX(0,(Inputs!$B$3-100)*3)+Inputs!$B$27+Inputs!$B$28)))</f>
        <v/>
      </c>
      <c r="E126">
        <f>INDEX(FactorTable!$B$2:$Y$301, MATCH(ROUND(MIN(300,MAX(1,D126)),0), FactorTable!$A$2:$A$301,0), Skills!M17+1)</f>
        <v/>
      </c>
      <c r="F126">
        <f>IF(Skills!N17=TRUE,(Skills!L17/10)*(E126/1000),Skills!L17/10)+Skills!O17</f>
        <v/>
      </c>
      <c r="G126">
        <f>Skills!G17*IF(Skills!H17&gt;0,Skills!I17/Skills!H17,1)</f>
        <v/>
      </c>
      <c r="H126">
        <f>1-(1-Skills!J17/100)^Skills!K17</f>
        <v/>
      </c>
      <c r="I126" t="inlineStr">
        <is>
          <t>1</t>
        </is>
      </c>
      <c r="J126" t="inlineStr"/>
      <c r="K126" t="inlineStr"/>
      <c r="L126" t="inlineStr"/>
      <c r="M126" t="inlineStr"/>
      <c r="N126" t="inlineStr"/>
      <c r="O126" t="n">
        <v>0</v>
      </c>
      <c r="P126">
        <f>IF(B144=0,0,O126/B144)</f>
        <v/>
      </c>
      <c r="Q126">
        <f>IFERROR(1/IF(Inputs!$B$4="pvp",15,MAX(0.1,Skills!D17-IF(Skills!E17=TRUE,Inputs!$B$31,0))),0)</f>
        <v/>
      </c>
      <c r="R126">
        <f>IF(AND(Inputs!$B$4&lt;&gt;"pvp",Inputs!$B$35&gt;0),(INT(Inputs!$B$35/IF(Inputs!$B$4="pvp",15,MAX(0.1,Skills!D17-IF(Skills!E17=TRUE,Inputs!$B$31,0))))+1),0)</f>
        <v/>
      </c>
      <c r="S126">
        <f>IFERROR(O126/N126,0)</f>
        <v/>
      </c>
    </row>
    <row r="127">
      <c r="A127">
        <f>Skills!A18</f>
        <v/>
      </c>
      <c r="B127">
        <f>Skills!B18</f>
        <v/>
      </c>
      <c r="C127">
        <f>Inputs!$B$3&gt;=74</f>
        <v/>
      </c>
      <c r="D127">
        <f>IF(Skills!C18=1,60+Inputs!$B$24+Inputs!$B$28,IF(Skills!C18=2,90+Inputs!$B$25+Inputs!$B$28,IF(Skills!C18=3,120+Inputs!$B$26+Inputs!$B$28,MAX(0,(Inputs!$B$3-100)*3)+Inputs!$B$27+Inputs!$B$28)))</f>
        <v/>
      </c>
      <c r="E127">
        <f>INDEX(FactorTable!$B$2:$Y$301, MATCH(ROUND(MIN(300,MAX(1,D127)),0), FactorTable!$A$2:$A$301,0), Skills!M18+1)</f>
        <v/>
      </c>
      <c r="F127">
        <f>IF(Skills!N18=TRUE,(Skills!L18/10)*(E127/1000),Skills!L18/10)+Skills!O18</f>
        <v/>
      </c>
      <c r="G127">
        <f>Skills!G18*IF(Skills!H18&gt;0,Skills!I18/Skills!H18,1)</f>
        <v/>
      </c>
      <c r="H127">
        <f>1-(1-Skills!J18/100)^Skills!K18</f>
        <v/>
      </c>
      <c r="I127" t="inlineStr">
        <is>
          <t>1</t>
        </is>
      </c>
      <c r="J127" t="inlineStr"/>
      <c r="K127" t="inlineStr"/>
      <c r="L127" t="inlineStr"/>
      <c r="M127" t="inlineStr"/>
      <c r="N127" t="inlineStr"/>
      <c r="O127" t="n">
        <v>0</v>
      </c>
      <c r="P127">
        <f>IF(B144=0,0,O127/B144)</f>
        <v/>
      </c>
      <c r="Q127">
        <f>IFERROR(1/IF(Inputs!$B$4="pvp",15,MAX(0.1,Skills!D18-IF(Skills!E18=TRUE,Inputs!$B$31,0))),0)</f>
        <v/>
      </c>
      <c r="R127">
        <f>IF(AND(Inputs!$B$4&lt;&gt;"pvp",Inputs!$B$35&gt;0),(INT(Inputs!$B$35/IF(Inputs!$B$4="pvp",15,MAX(0.1,Skills!D18-IF(Skills!E18=TRUE,Inputs!$B$31,0))))+1),0)</f>
        <v/>
      </c>
      <c r="S127">
        <f>IFERROR(O127/N127,0)</f>
        <v/>
      </c>
    </row>
    <row r="128">
      <c r="A128">
        <f>Skills!A19</f>
        <v/>
      </c>
      <c r="B128">
        <f>Skills!B19</f>
        <v/>
      </c>
      <c r="C128">
        <f>TRUE</f>
        <v/>
      </c>
      <c r="D128">
        <f>IF(Skills!C19=1,60+Inputs!$B$24+Inputs!$B$28,IF(Skills!C19=2,90+Inputs!$B$25+Inputs!$B$28,IF(Skills!C19=3,120+Inputs!$B$26+Inputs!$B$28,MAX(0,(Inputs!$B$3-100)*3)+Inputs!$B$27+Inputs!$B$28)))</f>
        <v/>
      </c>
      <c r="E128">
        <f>INDEX(FactorTable!$B$2:$Y$301, MATCH(ROUND(MIN(300,MAX(1,D128)),0), FactorTable!$A$2:$A$301,0), Skills!M19+1)</f>
        <v/>
      </c>
      <c r="F128">
        <f>IF(Skills!N19=TRUE,(Skills!L19/10)*(E128/1000),Skills!L19/10)+Skills!O19</f>
        <v/>
      </c>
      <c r="G128">
        <f>Skills!G19*IF(Skills!H19&gt;0,Skills!I19/Skills!H19,1)</f>
        <v/>
      </c>
      <c r="H128">
        <f>1-(1-Skills!J19/100)^Skills!K19</f>
        <v/>
      </c>
      <c r="I128" t="inlineStr">
        <is>
          <t>1</t>
        </is>
      </c>
      <c r="J128" t="inlineStr"/>
      <c r="K128" t="inlineStr"/>
      <c r="L128" t="inlineStr"/>
      <c r="M128" t="inlineStr"/>
      <c r="N128" t="inlineStr"/>
      <c r="O128" t="n">
        <v>0</v>
      </c>
      <c r="P128">
        <f>IF(B144=0,0,O128/B144)</f>
        <v/>
      </c>
      <c r="Q128">
        <f>IFERROR(1/IF(Inputs!$B$4="pvp",15,MAX(0.1,Skills!D19-IF(Skills!E19=TRUE,Inputs!$B$31,0))),0)</f>
        <v/>
      </c>
      <c r="R128">
        <f>IF(AND(Inputs!$B$4&lt;&gt;"pvp",Inputs!$B$35&gt;0),(INT(Inputs!$B$35/IF(Inputs!$B$4="pvp",15,MAX(0.1,Skills!D19-IF(Skills!E19=TRUE,Inputs!$B$31,0))))+1),0)</f>
        <v/>
      </c>
      <c r="S128">
        <f>IFERROR(O128/N128,0)</f>
        <v/>
      </c>
    </row>
    <row r="129">
      <c r="A129">
        <f>Skills!A20</f>
        <v/>
      </c>
      <c r="B129">
        <f>Skills!B20</f>
        <v/>
      </c>
      <c r="C129">
        <f>Inputs!$B$3&gt;=33</f>
        <v/>
      </c>
      <c r="D129">
        <f>IF(Skills!C20=1,60+Inputs!$B$24+Inputs!$B$28,IF(Skills!C20=2,90+Inputs!$B$25+Inputs!$B$28,IF(Skills!C20=3,120+Inputs!$B$26+Inputs!$B$28,MAX(0,(Inputs!$B$3-100)*3)+Inputs!$B$27+Inputs!$B$28)))</f>
        <v/>
      </c>
      <c r="E129">
        <f>INDEX(FactorTable!$B$2:$Y$301, MATCH(ROUND(MIN(300,MAX(1,D129)),0), FactorTable!$A$2:$A$301,0), Skills!M20+1)</f>
        <v/>
      </c>
      <c r="F129">
        <f>IF(Skills!N20=TRUE,(Skills!L20/10)*(E129/1000),Skills!L20/10)+Skills!O20</f>
        <v/>
      </c>
      <c r="G129">
        <f>Skills!G20*IF(Skills!H20&gt;0,Skills!I20/Skills!H20,1)</f>
        <v/>
      </c>
      <c r="H129">
        <f>1-(1-Skills!J20/100)^Skills!K20</f>
        <v/>
      </c>
      <c r="I129" t="inlineStr">
        <is>
          <t>1</t>
        </is>
      </c>
      <c r="J129" t="inlineStr"/>
      <c r="K129" t="inlineStr"/>
      <c r="L129" t="inlineStr"/>
      <c r="M129" t="inlineStr"/>
      <c r="N129" t="inlineStr"/>
      <c r="O129" t="n">
        <v>0</v>
      </c>
      <c r="P129">
        <f>IF(B144=0,0,O129/B144)</f>
        <v/>
      </c>
      <c r="Q129" t="n">
        <v>0</v>
      </c>
      <c r="R129" t="n">
        <v>0</v>
      </c>
      <c r="S129">
        <f>IFERROR(O129/N129,0)</f>
        <v/>
      </c>
    </row>
    <row r="130">
      <c r="A130">
        <f>Skills!A21</f>
        <v/>
      </c>
      <c r="B130">
        <f>Skills!B21</f>
        <v/>
      </c>
      <c r="C130">
        <f>Inputs!$B$3&gt;=38</f>
        <v/>
      </c>
      <c r="D130">
        <f>IF(Skills!C21=1,60+Inputs!$B$24+Inputs!$B$28,IF(Skills!C21=2,90+Inputs!$B$25+Inputs!$B$28,IF(Skills!C21=3,120+Inputs!$B$26+Inputs!$B$28,MAX(0,(Inputs!$B$3-100)*3)+Inputs!$B$27+Inputs!$B$28)))</f>
        <v/>
      </c>
      <c r="E130">
        <f>INDEX(FactorTable!$B$2:$Y$301, MATCH(ROUND(MIN(300,MAX(1,D130)),0), FactorTable!$A$2:$A$301,0), Skills!M21+1)</f>
        <v/>
      </c>
      <c r="F130">
        <f>IF(Skills!N21=TRUE,(Skills!L21/10)*(E130/1000),Skills!L21/10)+Skills!O21</f>
        <v/>
      </c>
      <c r="G130">
        <f>Skills!G21*IF(Skills!H21&gt;0,Skills!I21/Skills!H21,1)</f>
        <v/>
      </c>
      <c r="H130">
        <f>1-(1-Skills!J21/100)^Skills!K21</f>
        <v/>
      </c>
      <c r="I130" t="inlineStr">
        <is>
          <t>1</t>
        </is>
      </c>
      <c r="J130" t="inlineStr"/>
      <c r="K130" t="inlineStr"/>
      <c r="L130" t="inlineStr"/>
      <c r="M130" t="inlineStr"/>
      <c r="N130" t="inlineStr"/>
      <c r="O130" t="n">
        <v>0</v>
      </c>
      <c r="P130">
        <f>IF(B144=0,0,O130/B144)</f>
        <v/>
      </c>
      <c r="Q130" t="n">
        <v>0</v>
      </c>
      <c r="R130" t="n">
        <v>0</v>
      </c>
      <c r="S130">
        <f>IFERROR(O130/N130,0)</f>
        <v/>
      </c>
    </row>
    <row r="131">
      <c r="A131">
        <f>Skills!A22</f>
        <v/>
      </c>
      <c r="B131">
        <f>Skills!B22</f>
        <v/>
      </c>
      <c r="C131">
        <f>Inputs!$B$3&gt;=43</f>
        <v/>
      </c>
      <c r="D131">
        <f>IF(Skills!C22=1,60+Inputs!$B$24+Inputs!$B$28,IF(Skills!C22=2,90+Inputs!$B$25+Inputs!$B$28,IF(Skills!C22=3,120+Inputs!$B$26+Inputs!$B$28,MAX(0,(Inputs!$B$3-100)*3)+Inputs!$B$27+Inputs!$B$28)))</f>
        <v/>
      </c>
      <c r="E131">
        <f>INDEX(FactorTable!$B$2:$Y$301, MATCH(ROUND(MIN(300,MAX(1,D131)),0), FactorTable!$A$2:$A$301,0), Skills!M22+1)</f>
        <v/>
      </c>
      <c r="F131">
        <f>IF(Skills!N22=TRUE,(Skills!L22/10)*(E131/1000),Skills!L22/10)+Skills!O22</f>
        <v/>
      </c>
      <c r="G131">
        <f>Skills!G22*IF(Skills!H22&gt;0,Skills!I22/Skills!H22,1)</f>
        <v/>
      </c>
      <c r="H131">
        <f>1-(1-Skills!J22/100)^Skills!K22</f>
        <v/>
      </c>
      <c r="I131" t="inlineStr">
        <is>
          <t>1</t>
        </is>
      </c>
      <c r="J131" t="inlineStr"/>
      <c r="K131" t="inlineStr"/>
      <c r="L131" t="inlineStr"/>
      <c r="M131" t="inlineStr"/>
      <c r="N131" t="inlineStr"/>
      <c r="O131" t="n">
        <v>0</v>
      </c>
      <c r="P131">
        <f>IF(B144=0,0,O131/B144)</f>
        <v/>
      </c>
      <c r="Q131" t="n">
        <v>0</v>
      </c>
      <c r="R131" t="n">
        <v>0</v>
      </c>
      <c r="S131">
        <f>IFERROR(O131/N131,0)</f>
        <v/>
      </c>
    </row>
    <row r="132">
      <c r="A132">
        <f>Skills!A23</f>
        <v/>
      </c>
      <c r="B132">
        <f>Skills!B23</f>
        <v/>
      </c>
      <c r="C132">
        <f>Inputs!$B$3&gt;=120</f>
        <v/>
      </c>
      <c r="D132">
        <f>IF(Skills!C23=1,60+Inputs!$B$24+Inputs!$B$28,IF(Skills!C23=2,90+Inputs!$B$25+Inputs!$B$28,IF(Skills!C23=3,120+Inputs!$B$26+Inputs!$B$28,MAX(0,(Inputs!$B$3-100)*3)+Inputs!$B$27+Inputs!$B$28)))</f>
        <v/>
      </c>
      <c r="E132">
        <f>INDEX(FactorTable!$B$2:$Y$301, MATCH(ROUND(MIN(300,MAX(1,D132)),0), FactorTable!$A$2:$A$301,0), Skills!M23+1)</f>
        <v/>
      </c>
      <c r="F132">
        <f>IF(Skills!N23=TRUE,(Skills!L23/10)*(E132/1000),Skills!L23/10)+Skills!O23</f>
        <v/>
      </c>
      <c r="G132">
        <f>Skills!G23*IF(Skills!H23&gt;0,Skills!I23/Skills!H23,1)</f>
        <v/>
      </c>
      <c r="H132">
        <f>1-(1-Skills!J23/100)^Skills!K23</f>
        <v/>
      </c>
      <c r="I132" t="inlineStr">
        <is>
          <t>1</t>
        </is>
      </c>
      <c r="J132" t="inlineStr"/>
      <c r="K132" t="inlineStr"/>
      <c r="L132" t="inlineStr"/>
      <c r="M132" t="inlineStr"/>
      <c r="N132" t="inlineStr"/>
      <c r="O132" t="n">
        <v>0</v>
      </c>
      <c r="P132">
        <f>IF(B144=0,0,O132/B144)</f>
        <v/>
      </c>
      <c r="Q132" t="n">
        <v>0</v>
      </c>
      <c r="R132" t="n">
        <v>0</v>
      </c>
      <c r="S132">
        <f>IFERROR(O132/N132,0)</f>
        <v/>
      </c>
    </row>
    <row r="133">
      <c r="A133">
        <f>Skills!A24</f>
        <v/>
      </c>
      <c r="B133">
        <f>Skills!B24</f>
        <v/>
      </c>
      <c r="C133">
        <f>Inputs!$B$3&gt;=120</f>
        <v/>
      </c>
      <c r="D133">
        <f>IF(Skills!C24=1,60+Inputs!$B$24+Inputs!$B$28,IF(Skills!C24=2,90+Inputs!$B$25+Inputs!$B$28,IF(Skills!C24=3,120+Inputs!$B$26+Inputs!$B$28,MAX(0,(Inputs!$B$3-100)*3)+Inputs!$B$27+Inputs!$B$28)))</f>
        <v/>
      </c>
      <c r="E133">
        <f>INDEX(FactorTable!$B$2:$Y$301, MATCH(ROUND(MIN(300,MAX(1,D133)),0), FactorTable!$A$2:$A$301,0), Skills!M24+1)</f>
        <v/>
      </c>
      <c r="F133">
        <f>IF(Skills!N24=TRUE,(Skills!L24/10)*(E133/1000),Skills!L24/10)+Skills!O24</f>
        <v/>
      </c>
      <c r="G133">
        <f>Skills!G24*IF(Skills!H24&gt;0,Skills!I24/Skills!H24,1)</f>
        <v/>
      </c>
      <c r="H133">
        <f>1-(1-Skills!J24/100)^Skills!K24</f>
        <v/>
      </c>
      <c r="I133" t="inlineStr">
        <is>
          <t>1</t>
        </is>
      </c>
      <c r="J133" t="inlineStr"/>
      <c r="K133" t="inlineStr"/>
      <c r="L133" t="inlineStr"/>
      <c r="M133" t="inlineStr"/>
      <c r="N133" t="inlineStr"/>
      <c r="O133" t="n">
        <v>0</v>
      </c>
      <c r="P133">
        <f>IF(B144=0,0,O133/B144)</f>
        <v/>
      </c>
      <c r="Q133" t="n">
        <v>0</v>
      </c>
      <c r="R133" t="n">
        <v>0</v>
      </c>
      <c r="S133">
        <f>IFERROR(O133/N133,0)</f>
        <v/>
      </c>
    </row>
    <row r="135">
      <c r="A135" t="inlineStr">
        <is>
          <t>Attack% Bucket Multiplier</t>
        </is>
      </c>
      <c r="B135">
        <f>(1+(((C122=TRUE)*F122*MIN(1,Skills!T13*(Skills!J13/100)*B140))+((C127=TRUE)*F127*IF(AND(Inputs!$B$4&lt;&gt;"pvp",Inputs!$B$35&gt;0),(((S127-1)*(Skills!T18*(1+Inputs!$B$33/100))+MIN((Skills!T18*(1+Inputs!$B$33/100)),MAX(0,Inputs!$B$35-((S127-1)*Skills!D18))))/Inputs!$B$35),IF(Inputs!$B$4="pvp",MIN((Skills!T18*(1+Inputs!$B$33/100)),15)/15,(Skills!T18*(1+Inputs!$B$33/100))/Skills!D18)))+0)/100)</f>
        <v/>
      </c>
    </row>
    <row r="136">
      <c r="A136" t="inlineStr">
        <is>
          <t>Global Crit Rate Bonus %</t>
        </is>
      </c>
      <c r="B136" t="n">
        <v>0</v>
      </c>
    </row>
    <row r="137">
      <c r="A137" t="inlineStr">
        <is>
          <t>Attack Speed Buff Bonus %</t>
        </is>
      </c>
      <c r="B137">
        <f>((C128=TRUE)*F128*IF(AND(Inputs!$B$4&lt;&gt;"pvp",Inputs!$B$35&gt;0),(((S128-1)*(Skills!T19*(1+Inputs!$B$33/100))+MIN((Skills!T19*(1+Inputs!$B$33/100)),MAX(0,Inputs!$B$35-((S128-1)*Skills!D19))))/Inputs!$B$35),IF(Inputs!$B$4="pvp",MIN((Skills!T19*(1+Inputs!$B$33/100)),15)/15,(Skills!T19*(1+Inputs!$B$33/100))/Skills!D19)))</f>
        <v/>
      </c>
    </row>
    <row r="138">
      <c r="A138" t="inlineStr">
        <is>
          <t>Actions Per Second</t>
        </is>
      </c>
      <c r="B138">
        <f>1+MIN(150,150*(1-(1-(Inputs!$B$10+((C129=TRUE)*(F129-Calc!F20)))/150)*(1-B137/150)))/100</f>
        <v/>
      </c>
    </row>
    <row r="139">
      <c r="A139" t="inlineStr">
        <is>
          <t>Skill + Buff Cast Rate</t>
        </is>
      </c>
      <c r="B139">
        <f>IF(AND(Inputs!$B$4&lt;&gt;"pvp",Inputs!$B$35&gt;0),SUMPRODUCT((Skills!E2:E24=TRUE)*(C111:C133=TRUE)*R111:R133*Skills!F2:F24)/Inputs!$B$35,SUMPRODUCT((Skills!E2:E24=TRUE)*(C111:C133=TRUE)*Q111:Q133*Skills!F2:F24))</f>
        <v/>
      </c>
    </row>
    <row r="140">
      <c r="A140" t="inlineStr">
        <is>
          <t>Blast Casts Per Second</t>
        </is>
      </c>
      <c r="B140">
        <f>MAX(0,B138-B139)</f>
        <v/>
      </c>
    </row>
    <row r="141">
      <c r="A141" t="inlineStr">
        <is>
          <t>Global Critical Damage Bonus % (unused)</t>
        </is>
      </c>
      <c r="B141" t="n">
        <v>0</v>
      </c>
    </row>
    <row r="142">
      <c r="A142" t="inlineStr">
        <is>
          <t>Global Final Damage Bonus % (Divine Shield + Guardian + Divine Blessing + Greater Vessel of Light)</t>
        </is>
      </c>
      <c r="B142">
        <f>((C124=TRUE)*F124*IF(AND(Inputs!$B$4&lt;&gt;"pvp",Inputs!$B$35&gt;0),(((S124-1)*(Skills!T15*(1+Inputs!$B$33/100))+MIN((Skills!T15*(1+Inputs!$B$33/100)),MAX(0,Inputs!$B$35-((S124-1)*Skills!D15))))/Inputs!$B$35),IF(Inputs!$B$4="pvp",MIN((Skills!T15*(1+Inputs!$B$33/100)),15)/15,(Skills!T15*(1+Inputs!$B$33/100))/Skills!D15)))+((C125=TRUE)*F125*IF(AND(Inputs!$B$4&lt;&gt;"pvp",Inputs!$B$35&gt;0),(((S125-1)*(Skills!T16*(1+Inputs!$B$33/100))+MIN((Skills!T16*(1+Inputs!$B$33/100)),MAX(0,Inputs!$B$35-((S125-1)*Skills!D16))))/Inputs!$B$35),IF(Inputs!$B$4="pvp",MIN((Skills!T16*(1+Inputs!$B$33/100)),15)/15,(Skills!T16*(1+Inputs!$B$33/100))/Skills!D16)))+((C126=TRUE)*F126*IF(AND(Inputs!$B$4&lt;&gt;"pvp",Inputs!$B$35&gt;0),(((S126-1)*(Skills!T17*(1+Inputs!$B$33/100))+MIN((Skills!T17*(1+Inputs!$B$33/100)),MAX(0,Inputs!$B$35-((S126-1)*Skills!D17))))/Inputs!$B$35),IF(Inputs!$B$4="pvp",MIN((Skills!T17*(1+Inputs!$B$33/100)),15)/15,(Skills!T17*(1+Inputs!$B$33/100))/Skills!D17)))+((C123=TRUE)*F123*MIN(1,Skills!T13*(Skills!J13/100)*B140))</f>
        <v/>
      </c>
    </row>
    <row r="144">
      <c r="A144" s="5" t="inlineStr">
        <is>
          <t>TOTAL DPS</t>
        </is>
      </c>
      <c r="B144" s="5">
        <f>SUM(O111:O133)</f>
        <v/>
      </c>
    </row>
    <row r="147">
      <c r="A147" s="5" t="inlineStr">
        <is>
          <t>Stat: DAMAGE %</t>
        </is>
      </c>
    </row>
    <row r="148">
      <c r="A148" s="8" t="inlineStr">
        <is>
          <t>Key</t>
        </is>
      </c>
      <c r="B148" s="8" t="inlineStr">
        <is>
          <t>Name</t>
        </is>
      </c>
      <c r="C148" s="8" t="inlineStr">
        <is>
          <t>Unlocked</t>
        </is>
      </c>
      <c r="D148" s="8" t="inlineStr">
        <is>
          <t>InputLevel</t>
        </is>
      </c>
      <c r="E148" s="8" t="inlineStr">
        <is>
          <t>Factor</t>
        </is>
      </c>
      <c r="F148" s="8" t="inlineStr">
        <is>
          <t>CoefficientPercent</t>
        </is>
      </c>
      <c r="G148" s="8" t="inlineStr">
        <is>
          <t>EffectiveHits</t>
        </is>
      </c>
      <c r="H148" s="8" t="inlineStr">
        <is>
          <t>ProcProbability</t>
        </is>
      </c>
      <c r="I148" s="8" t="inlineStr">
        <is>
          <t>MapleHeroMultiplier</t>
        </is>
      </c>
      <c r="J148" s="8" t="inlineStr">
        <is>
          <t>BaseDamage</t>
        </is>
      </c>
      <c r="K148" s="8" t="inlineStr">
        <is>
          <t>BaseHitDamage</t>
        </is>
      </c>
      <c r="L148" s="8" t="inlineStr">
        <is>
          <t>NonCritAvg</t>
        </is>
      </c>
      <c r="M148" s="8" t="inlineStr">
        <is>
          <t>CritAvg</t>
        </is>
      </c>
      <c r="N148" s="8" t="inlineStr">
        <is>
          <t>ExpectedDamage(perHit)</t>
        </is>
      </c>
      <c r="O148" s="8" t="inlineStr">
        <is>
          <t>DPS</t>
        </is>
      </c>
      <c r="P148" s="8" t="inlineStr">
        <is>
          <t>% of Total</t>
        </is>
      </c>
      <c r="Q148" s="8" t="inlineStr">
        <is>
          <t>InvCooldown</t>
        </is>
      </c>
      <c r="R148" s="8" t="inlineStr">
        <is>
          <t>CastsInFight</t>
        </is>
      </c>
      <c r="S148" s="8" t="inlineStr">
        <is>
          <t>HitRate(perSec)</t>
        </is>
      </c>
      <c r="U148" t="inlineStr">
        <is>
          <t>helpers</t>
        </is>
      </c>
    </row>
    <row r="149">
      <c r="A149">
        <f>Skills!A2</f>
        <v/>
      </c>
      <c r="B149">
        <f>Skills!B2</f>
        <v/>
      </c>
      <c r="C149">
        <f>Inputs!$B$3&gt;=100</f>
        <v/>
      </c>
      <c r="D149" t="inlineStr"/>
      <c r="E149" t="inlineStr"/>
      <c r="F149">
        <f>U151+Skills!O2</f>
        <v/>
      </c>
      <c r="G149">
        <f>Skills!G2*IF(Skills!H2&gt;0,Skills!I2/Skills!H2,1)</f>
        <v/>
      </c>
      <c r="H149">
        <f>1-(1-Skills!J2/100)^Skills!K2</f>
        <v/>
      </c>
      <c r="I149" t="inlineStr">
        <is>
          <t>1</t>
        </is>
      </c>
      <c r="J149">
        <f>(Inputs!$B$5*(1+Inputs!$B$6/100))*(F149/100)</f>
        <v/>
      </c>
      <c r="K149">
        <f>J149*(1+((Inputs!$B$11*(1+Inputs!$B$12/100))*0.01+Inputs!$B$13*0.0025)/100)*(1+(Inputs!$B$14+1)/100)*(1+IF(Inputs!$B$4="pvp",0,(1-Summary!$B$55)*(Inputs!$B$19+0+Skills!P2)+Summary!$B$55*(Inputs!$B$20+Skills!Q2))/100)*(1+Inputs!$B$15/100)*(5000/(6000+Inputs!$B$7*(1-(Inputs!$B$18+0)/100)))*(1+(Inputs!$B$23+0+B180)/100)*(1+(IF(Skills!A2="BLAST",Inputs!$B$16+((C168=TRUE)*(F168-Calc!F21)),Inputs!$B$17+((C170=TRUE)*(F170-Calc!F23))))/100)*((1+(((C160=TRUE)*F160*MIN(1,Skills!T13*(Skills!J13/100)*B178))+((C165=TRUE)*F165*IF(AND(Inputs!$B$4&lt;&gt;"pvp",Inputs!$B$35&gt;0),(((S165-1)*(Skills!T18*(1+Inputs!$B$33/100))+MIN((Skills!T18*(1+Inputs!$B$33/100)),MAX(0,Inputs!$B$35-((S165-1)*Skills!D18))))/Inputs!$B$35),IF(Inputs!$B$4="pvp",MIN((Skills!T18*(1+Inputs!$B$33/100)),15)/15,(Skills!T18*(1+Inputs!$B$33/100))/Skills!D18)))+0)/100)*I149)</f>
        <v/>
      </c>
      <c r="L149">
        <f>K149*(MIN(Inputs!$B$21+((C169=TRUE)*(F169-Calc!F22)),Inputs!$B$22+((C171=TRUE)*(F171-Calc!F24)))/100+(Inputs!$B$22+((C171=TRUE)*(F171-Calc!F24)))/100)/2</f>
        <v/>
      </c>
      <c r="M149">
        <f>L149*(1+(Inputs!$B$9+0+B179)/100)</f>
        <v/>
      </c>
      <c r="N149">
        <f>L149*(1-MIN((Inputs!$B$8+0+B174),100)/100)+M149*(MIN((Inputs!$B$8+0+B174),100)/100)</f>
        <v/>
      </c>
      <c r="O149">
        <f>IF(C149,Skills!G2*N149*B178*IF(Inputs!$B$4="pvp",1,(1-Summary!$B$55)*(1)+Summary!$B$55*(MIN((6+Inputs!$B$32),Inputs!$B$37))),0)</f>
        <v/>
      </c>
      <c r="P149">
        <f>IF(B182=0,0,O149/B182)</f>
        <v/>
      </c>
      <c r="Q149" t="n">
        <v>0</v>
      </c>
      <c r="R149" t="n">
        <v>0</v>
      </c>
      <c r="S149">
        <f>IFERROR(O149/N149,0)</f>
        <v/>
      </c>
      <c r="U149">
        <f>MAX(0,(Inputs!$B$3-100)*3)+Inputs!$B$27+Inputs!$B$28</f>
        <v/>
      </c>
    </row>
    <row r="150">
      <c r="A150">
        <f>Skills!A3</f>
        <v/>
      </c>
      <c r="B150">
        <f>Skills!B3</f>
        <v/>
      </c>
      <c r="C150">
        <f>Inputs!$B$3&gt;=50</f>
        <v/>
      </c>
      <c r="D150">
        <f>IF(Skills!C3=1,60+Inputs!$B$24+Inputs!$B$28,IF(Skills!C3=2,90+Inputs!$B$25+Inputs!$B$28,IF(Skills!C3=3,120+Inputs!$B$26+Inputs!$B$28,MAX(0,(Inputs!$B$3-100)*3)+Inputs!$B$27+Inputs!$B$28)))</f>
        <v/>
      </c>
      <c r="E150">
        <f>INDEX(FactorTable!$B$2:$Y$301, MATCH(ROUND(MIN(300,MAX(1,D150)),0), FactorTable!$A$2:$A$301,0), Skills!M3+1)</f>
        <v/>
      </c>
      <c r="F150">
        <f>IF(Skills!N3=TRUE,(Skills!L3/10)*(E150/1000),Skills!L3/10)+Skills!O3</f>
        <v/>
      </c>
      <c r="G150" t="inlineStr"/>
      <c r="H150" t="inlineStr"/>
      <c r="I150" t="inlineStr">
        <is>
          <t>1</t>
        </is>
      </c>
      <c r="J150" t="inlineStr"/>
      <c r="K150" t="inlineStr"/>
      <c r="L150" t="inlineStr"/>
      <c r="M150" t="inlineStr"/>
      <c r="N150" t="inlineStr"/>
      <c r="O150" t="inlineStr"/>
      <c r="P150" t="inlineStr"/>
      <c r="Q150" t="inlineStr"/>
      <c r="R150" t="inlineStr"/>
      <c r="S150" t="inlineStr"/>
      <c r="U150">
        <f>INDEX(FactorTable!$B$2:$Y$301, MATCH(ROUND(MIN(300,MAX(1,U149)),0), FactorTable!$A$2:$A$301,0), 22)</f>
        <v/>
      </c>
    </row>
    <row r="151">
      <c r="A151">
        <f>Skills!A4</f>
        <v/>
      </c>
      <c r="B151">
        <f>Skills!B4</f>
        <v/>
      </c>
      <c r="C151">
        <f>Inputs!$B$3&gt;=35</f>
        <v/>
      </c>
      <c r="D151">
        <f>IF(Skills!C4=1,60+Inputs!$B$24+Inputs!$B$28,IF(Skills!C4=2,90+Inputs!$B$25+Inputs!$B$28,IF(Skills!C4=3,120+Inputs!$B$26+Inputs!$B$28,MAX(0,(Inputs!$B$3-100)*3)+Inputs!$B$27+Inputs!$B$28)))</f>
        <v/>
      </c>
      <c r="E151">
        <f>INDEX(FactorTable!$B$2:$Y$301, MATCH(ROUND(MIN(300,MAX(1,D151)),0), FactorTable!$A$2:$A$301,0), Skills!M4+1)</f>
        <v/>
      </c>
      <c r="F151">
        <f>IF(Skills!N4=TRUE,(Skills!L4/10)*(E151/1000),Skills!L4/10)+Skills!O4</f>
        <v/>
      </c>
      <c r="G151">
        <f>Skills!G4*IF(Skills!H4&gt;0,Skills!I4/Skills!H4,1)</f>
        <v/>
      </c>
      <c r="H151">
        <f>1-(1-Skills!J4/100)^Skills!K4</f>
        <v/>
      </c>
      <c r="I151" t="inlineStr">
        <is>
          <t>1</t>
        </is>
      </c>
      <c r="J151">
        <f>(Inputs!$B$5*(1+Inputs!$B$6/100))*(F151/100)</f>
        <v/>
      </c>
      <c r="K151">
        <f>J151*(1+((Inputs!$B$11*(1+Inputs!$B$12/100))*0.01+Inputs!$B$13*0.0025)/100)*(1+(Inputs!$B$14+1)/100)*(1+IF(Inputs!$B$4="pvp",0,(1-Summary!$B$55)*(Inputs!$B$19+0+Skills!P4)+Summary!$B$55*(Inputs!$B$20+Skills!Q4))/100)*(1+Inputs!$B$15/100)*(5000/(6000+Inputs!$B$7*(1-(Inputs!$B$18+0)/100)))*(1+(Inputs!$B$23+0+B180)/100)*(1+4.0*IF(C159=TRUE,F159,0)/100)*(1+(IF(Skills!A4="BLAST",Inputs!$B$16+((C168=TRUE)*(F168-Calc!F21)),Inputs!$B$17+((C170=TRUE)*(F170-Calc!F23))))/100)*((1+(((C160=TRUE)*F160*MIN(1,Skills!T13*(Skills!J13/100)*B178))+((C165=TRUE)*F165*IF(AND(Inputs!$B$4&lt;&gt;"pvp",Inputs!$B$35&gt;0),(((S165-1)*(Skills!T18*(1+Inputs!$B$33/100))+MIN((Skills!T18*(1+Inputs!$B$33/100)),MAX(0,Inputs!$B$35-((S165-1)*Skills!D18))))/Inputs!$B$35),IF(Inputs!$B$4="pvp",MIN((Skills!T18*(1+Inputs!$B$33/100)),15)/15,(Skills!T18*(1+Inputs!$B$33/100))/Skills!D18)))+0)/100)*I151)</f>
        <v/>
      </c>
      <c r="L151">
        <f>K151*(MIN(Inputs!$B$21+((C169=TRUE)*(F169-Calc!F22)),Inputs!$B$22+((C171=TRUE)*(F171-Calc!F24)))/100+(Inputs!$B$22+((C171=TRUE)*(F171-Calc!F24)))/100)/2</f>
        <v/>
      </c>
      <c r="M151">
        <f>L151*(1+(Inputs!$B$9+0+B179)/100)</f>
        <v/>
      </c>
      <c r="N151">
        <f>L151*(1-MIN((Inputs!$B$8+0+B174),100)/100)+M151*(MIN((Inputs!$B$8+0+B174),100)/100)</f>
        <v/>
      </c>
      <c r="O151">
        <f>IF(C151,H151*N151*IF(AND(Inputs!$B$4&lt;&gt;"pvp",Inputs!$B$35&gt;0),((Skills!G4*((R151-1)*IF(Skills!H4&gt;0,Skills!I4/Skills!H4,1)+IF(Skills!H4&gt;0,MIN(Skills!I4,MAX(0,Inputs!$B$35-((R151-1)*IF(Inputs!$B$4="pvp",15,MAX(0.1,Skills!D4-IF(Skills!E4=TRUE,Inputs!$B$31,0))))))/Skills!H4,1)))/Inputs!$B$35),G151*Q151)*IF(Inputs!$B$4="pvp",1,(1-Summary!$B$55)*(1)+Summary!$B$55*(MIN(Skills!R4,Inputs!$B$37))),0)</f>
        <v/>
      </c>
      <c r="P151">
        <f>IF(B182=0,0,O151/B182)</f>
        <v/>
      </c>
      <c r="Q151">
        <f>IFERROR(1/IF(Inputs!$B$4="pvp",15,MAX(0.1,Skills!D4-IF(Skills!E4=TRUE,Inputs!$B$31,0))),0)</f>
        <v/>
      </c>
      <c r="R151">
        <f>IF(AND(Inputs!$B$4&lt;&gt;"pvp",Inputs!$B$35&gt;0),(INT(Inputs!$B$35/IF(Inputs!$B$4="pvp",15,MAX(0.1,Skills!D4-IF(Skills!E4=TRUE,Inputs!$B$31,0))))+1),0)</f>
        <v/>
      </c>
      <c r="S151">
        <f>IFERROR(O151/N151,0)</f>
        <v/>
      </c>
      <c r="U151">
        <f>290*U150/1000</f>
        <v/>
      </c>
    </row>
    <row r="152">
      <c r="A152">
        <f>Skills!A5</f>
        <v/>
      </c>
      <c r="B152">
        <f>Skills!B5</f>
        <v/>
      </c>
      <c r="C152">
        <f>Inputs!$B$3&gt;=66</f>
        <v/>
      </c>
      <c r="D152">
        <f>IF(Skills!C5=1,60+Inputs!$B$24+Inputs!$B$28,IF(Skills!C5=2,90+Inputs!$B$25+Inputs!$B$28,IF(Skills!C5=3,120+Inputs!$B$26+Inputs!$B$28,MAX(0,(Inputs!$B$3-100)*3)+Inputs!$B$27+Inputs!$B$28)))</f>
        <v/>
      </c>
      <c r="E152">
        <f>INDEX(FactorTable!$B$2:$Y$301, MATCH(ROUND(MIN(300,MAX(1,D152)),0), FactorTable!$A$2:$A$301,0), Skills!M5+1)</f>
        <v/>
      </c>
      <c r="F152">
        <f>IF(Skills!N5=TRUE,(Skills!L5/10)*(E152/1000),Skills!L5/10)+Skills!O5</f>
        <v/>
      </c>
      <c r="G152">
        <f>Skills!G5*IF(Skills!H5&gt;0,Skills!I5/Skills!H5,1)</f>
        <v/>
      </c>
      <c r="H152">
        <f>1-(1-Skills!J5/100)^Skills!K5</f>
        <v/>
      </c>
      <c r="I152" t="inlineStr">
        <is>
          <t>1</t>
        </is>
      </c>
      <c r="J152">
        <f>(Inputs!$B$5*(1+Inputs!$B$6/100))*(F152/100)</f>
        <v/>
      </c>
      <c r="K152">
        <f>J152*(1+((Inputs!$B$11*(1+Inputs!$B$12/100))*0.01+Inputs!$B$13*0.0025)/100)*(1+(Inputs!$B$14+1)/100)*(1+IF(Inputs!$B$4="pvp",0,(1-Summary!$B$55)*(Inputs!$B$19+0+Skills!P5)+Summary!$B$55*(Inputs!$B$20+Skills!Q5))/100)*(1+Inputs!$B$15/100)*(5000/(6000+Inputs!$B$7*(1-(Inputs!$B$18+0)/100)))*(1+(Inputs!$B$23+0+B180)/100)*(1+1.0*IF(C159=TRUE,F159,0)/100)*(1+(IF(Skills!A5="BLAST",Inputs!$B$16+((C168=TRUE)*(F168-Calc!F21)),Inputs!$B$17+((C170=TRUE)*(F170-Calc!F23))))/100)*((1+(((C160=TRUE)*F160*MIN(1,Skills!T13*(Skills!J13/100)*B178))+((C165=TRUE)*F165*IF(AND(Inputs!$B$4&lt;&gt;"pvp",Inputs!$B$35&gt;0),(((S165-1)*(Skills!T18*(1+Inputs!$B$33/100))+MIN((Skills!T18*(1+Inputs!$B$33/100)),MAX(0,Inputs!$B$35-((S165-1)*Skills!D18))))/Inputs!$B$35),IF(Inputs!$B$4="pvp",MIN((Skills!T18*(1+Inputs!$B$33/100)),15)/15,(Skills!T18*(1+Inputs!$B$33/100))/Skills!D18)))+0)/100)*I152)</f>
        <v/>
      </c>
      <c r="L152">
        <f>K152*(MIN(Inputs!$B$21+((C169=TRUE)*(F169-Calc!F22)),Inputs!$B$22+((C171=TRUE)*(F171-Calc!F24)))/100+(Inputs!$B$22+((C171=TRUE)*(F171-Calc!F24)))/100)/2</f>
        <v/>
      </c>
      <c r="M152">
        <f>L152*(1+(Inputs!$B$9+0+B179)/100)</f>
        <v/>
      </c>
      <c r="N152">
        <f>L152*(1-MIN((Inputs!$B$8+0+B174),100)/100)+M152*(MIN((Inputs!$B$8+0+B174),100)/100)</f>
        <v/>
      </c>
      <c r="O152">
        <f>IF(C152,H152*N152*IF(AND(Inputs!$B$4&lt;&gt;"pvp",Inputs!$B$35&gt;0),((Skills!G5*((R152-1)*IF(Skills!H5&gt;0,Skills!I5/Skills!H5,1)+IF(Skills!H5&gt;0,MIN(Skills!I5,MAX(0,Inputs!$B$35-((R152-1)*IF(Inputs!$B$4="pvp",15,MAX(0.1,Skills!D5-IF(Skills!E5=TRUE,Inputs!$B$31,0))))))/Skills!H5,1)))/Inputs!$B$35),G152*Q152)*IF(Inputs!$B$4="pvp",1,(1-Summary!$B$55)*(1)+Summary!$B$55*(MIN(Skills!R5,Inputs!$B$37))),0)</f>
        <v/>
      </c>
      <c r="P152">
        <f>IF(B182=0,0,O152/B182)</f>
        <v/>
      </c>
      <c r="Q152">
        <f>IFERROR(1/IF(Inputs!$B$4="pvp",15,MAX(0.1,Skills!D5-IF(Skills!E5=TRUE,Inputs!$B$31,0))),0)</f>
        <v/>
      </c>
      <c r="R152">
        <f>IF(AND(Inputs!$B$4&lt;&gt;"pvp",Inputs!$B$35&gt;0),(INT(Inputs!$B$35/IF(Inputs!$B$4="pvp",15,MAX(0.1,Skills!D5-IF(Skills!E5=TRUE,Inputs!$B$31,0))))+1),0)</f>
        <v/>
      </c>
      <c r="S152">
        <f>IFERROR(O152/N152,0)</f>
        <v/>
      </c>
    </row>
    <row r="153">
      <c r="A153">
        <f>Skills!A6</f>
        <v/>
      </c>
      <c r="B153">
        <f>Skills!B6</f>
        <v/>
      </c>
      <c r="C153">
        <f>Inputs!$B$3&gt;=103</f>
        <v/>
      </c>
      <c r="D153">
        <f>IF(Skills!C6=1,60+Inputs!$B$24+Inputs!$B$28,IF(Skills!C6=2,90+Inputs!$B$25+Inputs!$B$28,IF(Skills!C6=3,120+Inputs!$B$26+Inputs!$B$28,MAX(0,(Inputs!$B$3-100)*3)+Inputs!$B$27+Inputs!$B$28)))</f>
        <v/>
      </c>
      <c r="E153">
        <f>INDEX(FactorTable!$B$2:$Y$301, MATCH(ROUND(MIN(300,MAX(1,D153)),0), FactorTable!$A$2:$A$301,0), Skills!M6+1)</f>
        <v/>
      </c>
      <c r="F153">
        <f>IF(Skills!N6=TRUE,(Skills!L6/10)*(E153/1000),Skills!L6/10)+Skills!O6</f>
        <v/>
      </c>
      <c r="G153">
        <f>Skills!G6*IF(Skills!H6&gt;0,Skills!I6/Skills!H6,1)</f>
        <v/>
      </c>
      <c r="H153">
        <f>1-(1-Skills!J6/100)^Skills!K6</f>
        <v/>
      </c>
      <c r="I153" t="inlineStr">
        <is>
          <t>1</t>
        </is>
      </c>
      <c r="J153">
        <f>(Inputs!$B$5*(1+Inputs!$B$6/100))*(F153/100)</f>
        <v/>
      </c>
      <c r="K153">
        <f>J153*(1+((Inputs!$B$11*(1+Inputs!$B$12/100))*0.01+Inputs!$B$13*0.0025)/100)*(1+(Inputs!$B$14+1)/100)*(1+IF(Inputs!$B$4="pvp",0,(1-Summary!$B$55)*(Inputs!$B$19+0+Skills!P6)+Summary!$B$55*(Inputs!$B$20+Skills!Q6))/100)*(1+Inputs!$B$15/100)*(5000/(6000+Inputs!$B$7*(1-(Inputs!$B$18+0)/100)))*(1+(Inputs!$B$23+0+B180)/100)*(1+(IF(Skills!A6="BLAST",Inputs!$B$16+((C168=TRUE)*(F168-Calc!F21)),Inputs!$B$17+((C170=TRUE)*(F170-Calc!F23))))/100)*((1+(((C160=TRUE)*F160*MIN(1,Skills!T13*(Skills!J13/100)*B178))+((C165=TRUE)*F165*IF(AND(Inputs!$B$4&lt;&gt;"pvp",Inputs!$B$35&gt;0),(((S165-1)*(Skills!T18*(1+Inputs!$B$33/100))+MIN((Skills!T18*(1+Inputs!$B$33/100)),MAX(0,Inputs!$B$35-((S165-1)*Skills!D18))))/Inputs!$B$35),IF(Inputs!$B$4="pvp",MIN((Skills!T18*(1+Inputs!$B$33/100)),15)/15,(Skills!T18*(1+Inputs!$B$33/100))/Skills!D18)))+0)/100)*I153)</f>
        <v/>
      </c>
      <c r="L153">
        <f>K153*(MIN(Inputs!$B$21+((C169=TRUE)*(F169-Calc!F22)),Inputs!$B$22+((C171=TRUE)*(F171-Calc!F24)))/100+(Inputs!$B$22+((C171=TRUE)*(F171-Calc!F24)))/100)/2</f>
        <v/>
      </c>
      <c r="M153">
        <f>L153*(1+(Inputs!$B$9+0+B179)/100)</f>
        <v/>
      </c>
      <c r="N153">
        <f>L153*(1-MIN((Inputs!$B$8+0+B174),100)/100)+M153*(MIN((Inputs!$B$8+0+B174),100)/100)</f>
        <v/>
      </c>
      <c r="O153">
        <f>IF(C153,H153*N153*IF(AND(Inputs!$B$4&lt;&gt;"pvp",Inputs!$B$35&gt;0),((Skills!G6*((R153-1)*IF(Skills!H6&gt;0,Skills!I6/Skills!H6,1)+IF(Skills!H6&gt;0,MIN(Skills!I6,MAX(0,Inputs!$B$35-((R153-1)*IF(Inputs!$B$4="pvp",15,MAX(0.1,Skills!D6-IF(Skills!E6=TRUE,Inputs!$B$31,0))))))/Skills!H6,1)))/Inputs!$B$35),G153*Q153)*IF(Inputs!$B$4="pvp",1,(1-Summary!$B$55)*(1)+Summary!$B$55*(MIN(Skills!R6,Inputs!$B$37))),0)</f>
        <v/>
      </c>
      <c r="P153">
        <f>IF(B182=0,0,O153/B182)</f>
        <v/>
      </c>
      <c r="Q153">
        <f>IFERROR(1/IF(Inputs!$B$4="pvp",15,MAX(0.1,Skills!D6-IF(Skills!E6=TRUE,Inputs!$B$31,0))),0)</f>
        <v/>
      </c>
      <c r="R153">
        <f>IF(AND(Inputs!$B$4&lt;&gt;"pvp",Inputs!$B$35&gt;0),(INT(Inputs!$B$35/IF(Inputs!$B$4="pvp",15,MAX(0.1,Skills!D6-IF(Skills!E6=TRUE,Inputs!$B$31,0))))+1),0)</f>
        <v/>
      </c>
      <c r="S153">
        <f>IFERROR(O153/N153,0)</f>
        <v/>
      </c>
    </row>
    <row r="154">
      <c r="A154">
        <f>Skills!A7</f>
        <v/>
      </c>
      <c r="B154">
        <f>Skills!B7</f>
        <v/>
      </c>
      <c r="C154">
        <f>Inputs!$B$3&gt;=107</f>
        <v/>
      </c>
      <c r="D154">
        <f>IF(Skills!C7=1,60+Inputs!$B$24+Inputs!$B$28,IF(Skills!C7=2,90+Inputs!$B$25+Inputs!$B$28,IF(Skills!C7=3,120+Inputs!$B$26+Inputs!$B$28,MAX(0,(Inputs!$B$3-100)*3)+Inputs!$B$27+Inputs!$B$28)))</f>
        <v/>
      </c>
      <c r="E154">
        <f>INDEX(FactorTable!$B$2:$Y$301, MATCH(ROUND(MIN(300,MAX(1,D154)),0), FactorTable!$A$2:$A$301,0), Skills!M7+1)</f>
        <v/>
      </c>
      <c r="F154">
        <f>IF(Skills!N7=TRUE,(Skills!L7/10)*(E154/1000),Skills!L7/10)+Skills!O7</f>
        <v/>
      </c>
      <c r="G154">
        <f>Skills!G7*IF(Skills!H7&gt;0,Skills!I7/Skills!H7,1)</f>
        <v/>
      </c>
      <c r="H154">
        <f>1-(1-Skills!J7/100)^Skills!K7</f>
        <v/>
      </c>
      <c r="I154" t="inlineStr">
        <is>
          <t>1</t>
        </is>
      </c>
      <c r="J154">
        <f>(Inputs!$B$5*(1+Inputs!$B$6/100))*(F154/100)</f>
        <v/>
      </c>
      <c r="K154">
        <f>J154*(1+((Inputs!$B$11*(1+Inputs!$B$12/100))*0.01+Inputs!$B$13*0.0025)/100)*(1+(Inputs!$B$14+1)/100)*(1+IF(Inputs!$B$4="pvp",0,(1-Summary!$B$55)*(Inputs!$B$19+0+Skills!P7)+Summary!$B$55*(Inputs!$B$20+Skills!Q7))/100)*(1+Inputs!$B$15/100)*(5000/(6000+Inputs!$B$7*(1-(Inputs!$B$18+0)/100)))*(1+(Inputs!$B$23+0+B180)/100)*(1+(IF(Skills!A7="BLAST",Inputs!$B$16+((C168=TRUE)*(F168-Calc!F21)),Inputs!$B$17+((C170=TRUE)*(F170-Calc!F23))))/100)*((1+(((C160=TRUE)*F160*MIN(1,Skills!T13*(Skills!J13/100)*B178))+((C165=TRUE)*F165*IF(AND(Inputs!$B$4&lt;&gt;"pvp",Inputs!$B$35&gt;0),(((S165-1)*(Skills!T18*(1+Inputs!$B$33/100))+MIN((Skills!T18*(1+Inputs!$B$33/100)),MAX(0,Inputs!$B$35-((S165-1)*Skills!D18))))/Inputs!$B$35),IF(Inputs!$B$4="pvp",MIN((Skills!T18*(1+Inputs!$B$33/100)),15)/15,(Skills!T18*(1+Inputs!$B$33/100))/Skills!D18)))+0)/100)*I154)</f>
        <v/>
      </c>
      <c r="L154">
        <f>K154*(MIN(Inputs!$B$21+((C169=TRUE)*(F169-Calc!F22)),Inputs!$B$22+((C171=TRUE)*(F171-Calc!F24)))/100+(Inputs!$B$22+((C171=TRUE)*(F171-Calc!F24)))/100)/2</f>
        <v/>
      </c>
      <c r="M154">
        <f>L154*(1+(Inputs!$B$9+0+B179)/100)</f>
        <v/>
      </c>
      <c r="N154">
        <f>L154*(1-MIN((Inputs!$B$8+0+B174),100)/100)+M154*(MIN((Inputs!$B$8+0+B174),100)/100)</f>
        <v/>
      </c>
      <c r="O154">
        <f>IF(C154,H154*N154*IF(AND(Inputs!$B$4&lt;&gt;"pvp",Inputs!$B$35&gt;0),((Skills!G7*((R154-1)*IF(Skills!H7&gt;0,Skills!I7/Skills!H7,1)+IF(Skills!H7&gt;0,MIN(Skills!I7,MAX(0,Inputs!$B$35-((R154-1)*IF(Inputs!$B$4="pvp",15,MAX(0.1,Skills!D7-IF(Skills!E7=TRUE,Inputs!$B$31,0))))))/Skills!H7,1)))/Inputs!$B$35),G154*Q154)*IF(Inputs!$B$4="pvp",1,(1-Summary!$B$55)*(1)+Summary!$B$55*(MIN(Skills!R7,Inputs!$B$37))),0)</f>
        <v/>
      </c>
      <c r="P154">
        <f>IF(B182=0,0,O154/B182)</f>
        <v/>
      </c>
      <c r="Q154">
        <f>IFERROR(1/IF(Inputs!$B$4="pvp",15,MAX(0.1,Skills!D7-IF(Skills!E7=TRUE,Inputs!$B$31,0))),0)</f>
        <v/>
      </c>
      <c r="R154">
        <f>IF(AND(Inputs!$B$4&lt;&gt;"pvp",Inputs!$B$35&gt;0),(INT(Inputs!$B$35/IF(Inputs!$B$4="pvp",15,MAX(0.1,Skills!D7-IF(Skills!E7=TRUE,Inputs!$B$31,0))))+1),0)</f>
        <v/>
      </c>
      <c r="S154">
        <f>IFERROR(O154/N154,0)</f>
        <v/>
      </c>
    </row>
    <row r="155">
      <c r="A155">
        <f>Skills!A8</f>
        <v/>
      </c>
      <c r="B155">
        <f>Skills!B8</f>
        <v/>
      </c>
      <c r="C155">
        <f>Inputs!$B$3&gt;=107</f>
        <v/>
      </c>
      <c r="D155">
        <f>IF(Skills!C8=1,60+Inputs!$B$24+Inputs!$B$28,IF(Skills!C8=2,90+Inputs!$B$25+Inputs!$B$28,IF(Skills!C8=3,120+Inputs!$B$26+Inputs!$B$28,MAX(0,(Inputs!$B$3-100)*3)+Inputs!$B$27+Inputs!$B$28)))</f>
        <v/>
      </c>
      <c r="E155">
        <f>INDEX(FactorTable!$B$2:$Y$301, MATCH(ROUND(MIN(300,MAX(1,D155)),0), FactorTable!$A$2:$A$301,0), Skills!M8+1)</f>
        <v/>
      </c>
      <c r="F155">
        <f>IF(Skills!N8=TRUE,(Skills!L8/10)*(E155/1000),Skills!L8/10)+Skills!O8</f>
        <v/>
      </c>
      <c r="G155">
        <f>Skills!G8*IF(Skills!H8&gt;0,Skills!I8/Skills!H8,1)</f>
        <v/>
      </c>
      <c r="H155">
        <f>1-(1-Skills!J8/100)^Skills!K8</f>
        <v/>
      </c>
      <c r="I155" t="inlineStr">
        <is>
          <t>1</t>
        </is>
      </c>
      <c r="J155">
        <f>(Inputs!$B$5*(1+Inputs!$B$6/100))*(F155/100)</f>
        <v/>
      </c>
      <c r="K155">
        <f>J155*(1+((Inputs!$B$11*(1+Inputs!$B$12/100))*0.01+Inputs!$B$13*0.0025)/100)*(1+(Inputs!$B$14+1)/100)*(1+IF(Inputs!$B$4="pvp",0,(1-Summary!$B$55)*(Inputs!$B$19+0+Skills!P8)+Summary!$B$55*(Inputs!$B$20+Skills!Q8))/100)*(1+Inputs!$B$15/100)*(5000/(6000+Inputs!$B$7*(1-(Inputs!$B$18+0)/100)))*(1+(Inputs!$B$23+0+B180)/100)*(1+(IF(Skills!A8="BLAST",Inputs!$B$16+((C168=TRUE)*(F168-Calc!F21)),Inputs!$B$17+((C170=TRUE)*(F170-Calc!F23))))/100)*((1+(((C160=TRUE)*F160*MIN(1,Skills!T13*(Skills!J13/100)*B178))+((C165=TRUE)*F165*IF(AND(Inputs!$B$4&lt;&gt;"pvp",Inputs!$B$35&gt;0),(((S165-1)*(Skills!T18*(1+Inputs!$B$33/100))+MIN((Skills!T18*(1+Inputs!$B$33/100)),MAX(0,Inputs!$B$35-((S165-1)*Skills!D18))))/Inputs!$B$35),IF(Inputs!$B$4="pvp",MIN((Skills!T18*(1+Inputs!$B$33/100)),15)/15,(Skills!T18*(1+Inputs!$B$33/100))/Skills!D18)))+0)/100)*I155)</f>
        <v/>
      </c>
      <c r="L155">
        <f>K155*(MIN(Inputs!$B$21+((C169=TRUE)*(F169-Calc!F22)),Inputs!$B$22+((C171=TRUE)*(F171-Calc!F24)))/100+(Inputs!$B$22+((C171=TRUE)*(F171-Calc!F24)))/100)/2</f>
        <v/>
      </c>
      <c r="M155">
        <f>L155*(1+(Inputs!$B$9+0+B179)/100)</f>
        <v/>
      </c>
      <c r="N155">
        <f>L155*(1-MIN((Inputs!$B$8+0+B174),100)/100)+M155*(MIN((Inputs!$B$8+0+B174),100)/100)</f>
        <v/>
      </c>
      <c r="O155">
        <f>IF(C155,H155*N155*IF(AND(Inputs!$B$4&lt;&gt;"pvp",Inputs!$B$35&gt;0),((Skills!G8*((R155-1)*IF(Skills!H8&gt;0,Skills!I8/Skills!H8,1)+IF(Skills!H8&gt;0,MIN(Skills!I8,MAX(0,Inputs!$B$35-((R155-1)*IF(Inputs!$B$4="pvp",15,MAX(0.1,Skills!D8-IF(Skills!E8=TRUE,Inputs!$B$31,0))))))/Skills!H8,1)))/Inputs!$B$35),G155*Q155)*IF(Inputs!$B$4="pvp",1,(1-Summary!$B$55)*(1)+Summary!$B$55*(MIN(Skills!R8,Inputs!$B$37))),0)</f>
        <v/>
      </c>
      <c r="P155">
        <f>IF(B182=0,0,O155/B182)</f>
        <v/>
      </c>
      <c r="Q155">
        <f>IFERROR(1/IF(Inputs!$B$4="pvp",15,MAX(0.1,Skills!D8-IF(Skills!E8=TRUE,Inputs!$B$31,0))),0)</f>
        <v/>
      </c>
      <c r="R155">
        <f>IF(AND(Inputs!$B$4&lt;&gt;"pvp",Inputs!$B$35&gt;0),(INT(Inputs!$B$35/IF(Inputs!$B$4="pvp",15,MAX(0.1,Skills!D8-IF(Skills!E8=TRUE,Inputs!$B$31,0))))+1),0)</f>
        <v/>
      </c>
      <c r="S155">
        <f>IFERROR(O155/N155,0)</f>
        <v/>
      </c>
    </row>
    <row r="156">
      <c r="A156">
        <f>Skills!A9</f>
        <v/>
      </c>
      <c r="B156">
        <f>Skills!B9</f>
        <v/>
      </c>
      <c r="C156">
        <f>Inputs!$B$3&gt;=125</f>
        <v/>
      </c>
      <c r="D156">
        <f>IF(Skills!C9=1,60+Inputs!$B$24+Inputs!$B$28,IF(Skills!C9=2,90+Inputs!$B$25+Inputs!$B$28,IF(Skills!C9=3,120+Inputs!$B$26+Inputs!$B$28,MAX(0,(Inputs!$B$3-100)*3)+Inputs!$B$27+Inputs!$B$28)))</f>
        <v/>
      </c>
      <c r="E156">
        <f>INDEX(FactorTable!$B$2:$Y$301, MATCH(ROUND(MIN(300,MAX(1,D156)),0), FactorTable!$A$2:$A$301,0), Skills!M9+1)</f>
        <v/>
      </c>
      <c r="F156">
        <f>IF(Skills!N9=TRUE,(Skills!L9/10)*(E156/1000),Skills!L9/10)+Skills!O9</f>
        <v/>
      </c>
      <c r="G156">
        <f>Skills!G9*IF(Skills!H9&gt;0,Skills!I9/Skills!H9,1)</f>
        <v/>
      </c>
      <c r="H156">
        <f>1-(1-Skills!J9/100)^Skills!K9</f>
        <v/>
      </c>
      <c r="I156" t="inlineStr">
        <is>
          <t>1</t>
        </is>
      </c>
      <c r="J156">
        <f>(Inputs!$B$5*(1+Inputs!$B$6/100))*(F156/100)</f>
        <v/>
      </c>
      <c r="K156">
        <f>J156*(1+((Inputs!$B$11*(1+Inputs!$B$12/100))*0.01+Inputs!$B$13*0.0025)/100)*(1+(Inputs!$B$14+1)/100)*(1+IF(Inputs!$B$4="pvp",0,(1-Summary!$B$55)*(Inputs!$B$19+0+Skills!P9)+Summary!$B$55*(Inputs!$B$20+Skills!Q9))/100)*(1+Inputs!$B$15/100)*(5000/(6000+Inputs!$B$7*(1-(Inputs!$B$18+0)/100)))*(1+(Inputs!$B$23+0+B180)/100)*(1+(IF(Skills!A9="BLAST",Inputs!$B$16+((C168=TRUE)*(F168-Calc!F21)),Inputs!$B$17+((C170=TRUE)*(F170-Calc!F23))))/100)*((1+(((C160=TRUE)*F160*MIN(1,Skills!T13*(Skills!J13/100)*B178))+((C165=TRUE)*F165*IF(AND(Inputs!$B$4&lt;&gt;"pvp",Inputs!$B$35&gt;0),(((S165-1)*(Skills!T18*(1+Inputs!$B$33/100))+MIN((Skills!T18*(1+Inputs!$B$33/100)),MAX(0,Inputs!$B$35-((S165-1)*Skills!D18))))/Inputs!$B$35),IF(Inputs!$B$4="pvp",MIN((Skills!T18*(1+Inputs!$B$33/100)),15)/15,(Skills!T18*(1+Inputs!$B$33/100))/Skills!D18)))+0)/100)*I156)</f>
        <v/>
      </c>
      <c r="L156">
        <f>K156*(MIN(Inputs!$B$21+((C169=TRUE)*(F169-Calc!F22)),Inputs!$B$22+((C171=TRUE)*(F171-Calc!F24)))/100+(Inputs!$B$22+((C171=TRUE)*(F171-Calc!F24)))/100)/2</f>
        <v/>
      </c>
      <c r="M156">
        <f>L156*(1+(Inputs!$B$9+0+B179)/100)</f>
        <v/>
      </c>
      <c r="N156">
        <f>L156*(1-MIN((Inputs!$B$8+0+B174),100)/100)+M156*(MIN((Inputs!$B$8+0+B174),100)/100)</f>
        <v/>
      </c>
      <c r="O156">
        <f>IF(C156,H156*N156*IF(AND(Inputs!$B$4&lt;&gt;"pvp",Inputs!$B$35&gt;0),((Skills!G9*((R156-1)*IF(Skills!H9&gt;0,Skills!I9/Skills!H9,1)+IF(Skills!H9&gt;0,MIN(Skills!I9,MAX(0,Inputs!$B$35-((R156-1)*IF(Inputs!$B$4="pvp",15,MAX(0.1,Skills!D9-IF(Skills!E9=TRUE,Inputs!$B$31,0))))))/Skills!H9,1)))/Inputs!$B$35),G156*Q156)*IF(Inputs!$B$4="pvp",1,(1-Summary!$B$55)*(1)+Summary!$B$55*(MIN(Skills!R9,Inputs!$B$37))),0)</f>
        <v/>
      </c>
      <c r="P156">
        <f>IF(B182=0,0,O156/B182)</f>
        <v/>
      </c>
      <c r="Q156">
        <f>IFERROR(1/IF(Inputs!$B$4="pvp",15,MAX(0.1,Skills!D9-IF(Skills!E9=TRUE,Inputs!$B$31,0))),0)</f>
        <v/>
      </c>
      <c r="R156">
        <f>IF(AND(Inputs!$B$4&lt;&gt;"pvp",Inputs!$B$35&gt;0),(INT(Inputs!$B$35/IF(Inputs!$B$4="pvp",15,MAX(0.1,Skills!D9-IF(Skills!E9=TRUE,Inputs!$B$31,0))))+1),0)</f>
        <v/>
      </c>
      <c r="S156">
        <f>IFERROR(O156/N156,0)</f>
        <v/>
      </c>
    </row>
    <row r="157">
      <c r="A157">
        <f>Skills!A10</f>
        <v/>
      </c>
      <c r="B157">
        <f>Skills!B10</f>
        <v/>
      </c>
      <c r="C157">
        <f>Inputs!$B$3&gt;=117</f>
        <v/>
      </c>
      <c r="D157">
        <f>IF(Skills!C10=1,60+Inputs!$B$24+Inputs!$B$28,IF(Skills!C10=2,90+Inputs!$B$25+Inputs!$B$28,IF(Skills!C10=3,120+Inputs!$B$26+Inputs!$B$28,MAX(0,(Inputs!$B$3-100)*3)+Inputs!$B$27+Inputs!$B$28)))</f>
        <v/>
      </c>
      <c r="E157">
        <f>INDEX(FactorTable!$B$2:$Y$301, MATCH(ROUND(MIN(300,MAX(1,D157)),0), FactorTable!$A$2:$A$301,0), Skills!M10+1)</f>
        <v/>
      </c>
      <c r="F157">
        <f>IF(Skills!N10=TRUE,(Skills!L10/10)*(E157/1000),Skills!L10/10)+Skills!O10</f>
        <v/>
      </c>
      <c r="G157">
        <f>Skills!G10*IF(Skills!H10&gt;0,Skills!I10/Skills!H10,1)</f>
        <v/>
      </c>
      <c r="H157">
        <f>1-(1-Skills!J10/100)^Skills!K10</f>
        <v/>
      </c>
      <c r="I157" t="inlineStr">
        <is>
          <t>1</t>
        </is>
      </c>
      <c r="J157">
        <f>(Inputs!$B$5*(1+Inputs!$B$6/100))*(F157/100)</f>
        <v/>
      </c>
      <c r="K157">
        <f>J157*(1+((Inputs!$B$11*(1+Inputs!$B$12/100))*0.01+Inputs!$B$13*0.0025)/100)*(1+(Inputs!$B$14+1)/100)*(1+IF(Inputs!$B$4="pvp",0,(1-Summary!$B$55)*(Inputs!$B$19+0+Skills!P10)+Summary!$B$55*(Inputs!$B$20+Skills!Q10))/100)*(1+Inputs!$B$15/100)*(5000/(6000+Inputs!$B$7*(1-(Inputs!$B$18+0)/100)))*(1+(Inputs!$B$23+0+B180)/100)*(1+(IF(Skills!A10="BLAST",Inputs!$B$16+((C168=TRUE)*(F168-Calc!F21)),Inputs!$B$17+((C170=TRUE)*(F170-Calc!F23))))/100)*((1+(((C160=TRUE)*F160*MIN(1,Skills!T13*(Skills!J13/100)*B178))+((C165=TRUE)*F165*IF(AND(Inputs!$B$4&lt;&gt;"pvp",Inputs!$B$35&gt;0),(((S165-1)*(Skills!T18*(1+Inputs!$B$33/100))+MIN((Skills!T18*(1+Inputs!$B$33/100)),MAX(0,Inputs!$B$35-((S165-1)*Skills!D18))))/Inputs!$B$35),IF(Inputs!$B$4="pvp",MIN((Skills!T18*(1+Inputs!$B$33/100)),15)/15,(Skills!T18*(1+Inputs!$B$33/100))/Skills!D18)))+0)/100)*I157)</f>
        <v/>
      </c>
      <c r="L157">
        <f>K157*(MIN(Inputs!$B$21+((C169=TRUE)*(F169-Calc!F22)),Inputs!$B$22+((C171=TRUE)*(F171-Calc!F24)))/100+(Inputs!$B$22+((C171=TRUE)*(F171-Calc!F24)))/100)/2</f>
        <v/>
      </c>
      <c r="M157">
        <f>L157*(1+(Inputs!$B$9+0+B179)/100)</f>
        <v/>
      </c>
      <c r="N157">
        <f>L157*(1-MIN((Inputs!$B$8+0+B174),100)/100)+M157*(MIN((Inputs!$B$8+0+B174),100)/100)</f>
        <v/>
      </c>
      <c r="O157">
        <f>IF(C157,H157*N157*IF(AND(Inputs!$B$4&lt;&gt;"pvp",Inputs!$B$35&gt;0),((Skills!G10*((R157-1)*IF(Skills!H10&gt;0,Skills!I10/Skills!H10,1)+IF(Skills!H10&gt;0,MIN(Skills!I10,MAX(0,Inputs!$B$35-((R157-1)*IF(Inputs!$B$4="pvp",15,MAX(0.1,Skills!D10-IF(Skills!E10=TRUE,Inputs!$B$31,0))))))/Skills!H10,1)))/Inputs!$B$35),G157*Q157)*IF(Inputs!$B$4="pvp",1,(1-Summary!$B$55)*(1)+Summary!$B$55*(MIN(Skills!R10,Inputs!$B$37))),0)</f>
        <v/>
      </c>
      <c r="P157">
        <f>IF(B182=0,0,O157/B182)</f>
        <v/>
      </c>
      <c r="Q157">
        <f>IFERROR(1/IF(Inputs!$B$4="pvp",15,MAX(0.1,Skills!D10-IF(Skills!E10=TRUE,Inputs!$B$31,0))),0)</f>
        <v/>
      </c>
      <c r="R157">
        <f>IF(AND(Inputs!$B$4&lt;&gt;"pvp",Inputs!$B$35&gt;0),(INT(Inputs!$B$35/IF(Inputs!$B$4="pvp",15,MAX(0.1,Skills!D10-IF(Skills!E10=TRUE,Inputs!$B$31,0))))+1),0)</f>
        <v/>
      </c>
      <c r="S157">
        <f>IFERROR(O157/N157,0)</f>
        <v/>
      </c>
    </row>
    <row r="158">
      <c r="A158">
        <f>Skills!A11</f>
        <v/>
      </c>
      <c r="B158">
        <f>Skills!B11</f>
        <v/>
      </c>
      <c r="C158">
        <f>Inputs!$B$3&gt;=63</f>
        <v/>
      </c>
      <c r="D158">
        <f>IF(Skills!C11=1,60+Inputs!$B$24+Inputs!$B$28,IF(Skills!C11=2,90+Inputs!$B$25+Inputs!$B$28,IF(Skills!C11=3,120+Inputs!$B$26+Inputs!$B$28,MAX(0,(Inputs!$B$3-100)*3)+Inputs!$B$27+Inputs!$B$28)))</f>
        <v/>
      </c>
      <c r="E158">
        <f>INDEX(FactorTable!$B$2:$Y$301, MATCH(ROUND(MIN(300,MAX(1,D158)),0), FactorTable!$A$2:$A$301,0), Skills!M11+1)</f>
        <v/>
      </c>
      <c r="F158">
        <f>IF(Skills!N11=TRUE,(Skills!L11/10)*(E158/1000),Skills!L11/10)+Skills!O11</f>
        <v/>
      </c>
      <c r="G158">
        <f>Skills!G11*IF(Skills!H11&gt;0,Skills!I11/Skills!H11,1)</f>
        <v/>
      </c>
      <c r="H158">
        <f>1-(1-Skills!J11/100)^Skills!K11</f>
        <v/>
      </c>
      <c r="I158" t="inlineStr">
        <is>
          <t>1</t>
        </is>
      </c>
      <c r="J158">
        <f>(Inputs!$B$5*(1+Inputs!$B$6/100))*(F158/100)</f>
        <v/>
      </c>
      <c r="K158">
        <f>J158*(1+((Inputs!$B$11*(1+Inputs!$B$12/100))*0.01+Inputs!$B$13*0.0025)/100)*(1+(Inputs!$B$14+1)/100)*(1+IF(Inputs!$B$4="pvp",0,(1-Summary!$B$55)*(Inputs!$B$19+0+Skills!P11)+Summary!$B$55*(Inputs!$B$20+Skills!Q11))/100)*(1+Inputs!$B$15/100)*(5000/(6000+Inputs!$B$7*(1-(Inputs!$B$18+0)/100)))*(1+(Inputs!$B$23+0+B180)/100)*(1+1.5*IF(C159=TRUE,F159,0)/100)*(1+(IF(Skills!A11="BLAST",Inputs!$B$16+((C168=TRUE)*(F168-Calc!F21)),Inputs!$B$17+((C170=TRUE)*(F170-Calc!F23))))/100)*((1+(((C160=TRUE)*F160*MIN(1,Skills!T13*(Skills!J13/100)*B178))+((C165=TRUE)*F165*IF(AND(Inputs!$B$4&lt;&gt;"pvp",Inputs!$B$35&gt;0),(((S165-1)*(Skills!T18*(1+Inputs!$B$33/100))+MIN((Skills!T18*(1+Inputs!$B$33/100)),MAX(0,Inputs!$B$35-((S165-1)*Skills!D18))))/Inputs!$B$35),IF(Inputs!$B$4="pvp",MIN((Skills!T18*(1+Inputs!$B$33/100)),15)/15,(Skills!T18*(1+Inputs!$B$33/100))/Skills!D18)))+0)/100)*I158)</f>
        <v/>
      </c>
      <c r="L158">
        <f>K158*(MIN(Inputs!$B$21+((C169=TRUE)*(F169-Calc!F22)),Inputs!$B$22+((C171=TRUE)*(F171-Calc!F24)))/100+(Inputs!$B$22+((C171=TRUE)*(F171-Calc!F24)))/100)/2</f>
        <v/>
      </c>
      <c r="M158">
        <f>L158*(1+(Inputs!$B$9+0+B179)/100)</f>
        <v/>
      </c>
      <c r="N158">
        <f>L158*(1-MIN((Inputs!$B$8+0+B174),100)/100)+M158*(MIN((Inputs!$B$8+0+B174),100)/100)</f>
        <v/>
      </c>
      <c r="O158">
        <f>IF(C158,H158*N158*IF(AND(Inputs!$B$4&lt;&gt;"pvp",Inputs!$B$35&gt;0),((Skills!G11*((R158-1)*IF(Skills!H11&gt;0,Skills!I11/Skills!H11,1)+IF(Skills!H11&gt;0,MIN(Skills!I11,MAX(0,Inputs!$B$35-((R158-1)*IF(Inputs!$B$4="pvp",15,MAX(0.1,Skills!D11-IF(Skills!E11=TRUE,Inputs!$B$31,0))))))/Skills!H11,1)))/Inputs!$B$35),G158*Q158)*IF(Inputs!$B$4="pvp",1,(1-Summary!$B$55)*(1)+Summary!$B$55*(MIN(Skills!R11,Inputs!$B$37))),0)</f>
        <v/>
      </c>
      <c r="P158">
        <f>IF(B182=0,0,O158/B182)</f>
        <v/>
      </c>
      <c r="Q158">
        <f>IFERROR(1/IF(Inputs!$B$4="pvp",15,MAX(0.1,Skills!D11-IF(Skills!E11=TRUE,Inputs!$B$31,0))),0)</f>
        <v/>
      </c>
      <c r="R158">
        <f>IF(AND(Inputs!$B$4&lt;&gt;"pvp",Inputs!$B$35&gt;0),(INT(Inputs!$B$35/IF(Inputs!$B$4="pvp",15,MAX(0.1,Skills!D11-IF(Skills!E11=TRUE,Inputs!$B$31,0))))+1),0)</f>
        <v/>
      </c>
      <c r="S158">
        <f>IFERROR(O158/N158,0)</f>
        <v/>
      </c>
    </row>
    <row r="159">
      <c r="A159">
        <f>Skills!A12</f>
        <v/>
      </c>
      <c r="B159">
        <f>Skills!B12</f>
        <v/>
      </c>
      <c r="C159">
        <f>Inputs!$B$3&gt;=100</f>
        <v/>
      </c>
      <c r="D159">
        <f>IF(Skills!C12=1,60+Inputs!$B$24+Inputs!$B$28,IF(Skills!C12=2,90+Inputs!$B$25+Inputs!$B$28,IF(Skills!C12=3,120+Inputs!$B$26+Inputs!$B$28,MAX(0,(Inputs!$B$3-100)*3)+Inputs!$B$27+Inputs!$B$28)))</f>
        <v/>
      </c>
      <c r="E159">
        <f>INDEX(FactorTable!$B$2:$Y$301, MATCH(ROUND(MIN(300,MAX(1,D159)),0), FactorTable!$A$2:$A$301,0), Skills!M12+1)</f>
        <v/>
      </c>
      <c r="F159">
        <f>IF(Skills!N12=TRUE,(Skills!L12/10)*(E159/1000),Skills!L12/10)+Skills!O12</f>
        <v/>
      </c>
      <c r="G159" t="inlineStr"/>
      <c r="H159" t="inlineStr"/>
      <c r="I159" t="inlineStr">
        <is>
          <t>1</t>
        </is>
      </c>
      <c r="J159" t="inlineStr"/>
      <c r="K159" t="inlineStr"/>
      <c r="L159" t="inlineStr"/>
      <c r="M159" t="inlineStr"/>
      <c r="N159" t="inlineStr"/>
      <c r="O159" t="inlineStr"/>
      <c r="P159" t="inlineStr"/>
      <c r="Q159" t="inlineStr"/>
      <c r="R159" t="inlineStr"/>
      <c r="S159" t="inlineStr"/>
    </row>
    <row r="160">
      <c r="A160">
        <f>Skills!A13</f>
        <v/>
      </c>
      <c r="B160">
        <f>Skills!B13</f>
        <v/>
      </c>
      <c r="C160">
        <f>Inputs!$B$3&gt;=45</f>
        <v/>
      </c>
      <c r="D160">
        <f>IF(Skills!C13=1,60+Inputs!$B$24+Inputs!$B$28,IF(Skills!C13=2,90+Inputs!$B$25+Inputs!$B$28,IF(Skills!C13=3,120+Inputs!$B$26+Inputs!$B$28,MAX(0,(Inputs!$B$3-100)*3)+Inputs!$B$27+Inputs!$B$28)))</f>
        <v/>
      </c>
      <c r="E160">
        <f>INDEX(FactorTable!$B$2:$Y$301, MATCH(ROUND(MIN(300,MAX(1,D160)),0), FactorTable!$A$2:$A$301,0), Skills!M13+1)</f>
        <v/>
      </c>
      <c r="F160">
        <f>IF(Skills!N13=TRUE,(Skills!L13/10)*(E160/1000),Skills!L13/10)+Skills!O13</f>
        <v/>
      </c>
      <c r="G160">
        <f>Skills!G13*IF(Skills!H13&gt;0,Skills!I13/Skills!H13,1)</f>
        <v/>
      </c>
      <c r="H160">
        <f>1-(1-Skills!J13/100)^Skills!K13</f>
        <v/>
      </c>
      <c r="I160" t="inlineStr">
        <is>
          <t>1</t>
        </is>
      </c>
      <c r="J160" t="inlineStr"/>
      <c r="K160" t="inlineStr"/>
      <c r="L160" t="inlineStr"/>
      <c r="M160" t="inlineStr"/>
      <c r="N160" t="inlineStr"/>
      <c r="O160" t="n">
        <v>0</v>
      </c>
      <c r="P160">
        <f>IF(B182=0,0,O160/B182)</f>
        <v/>
      </c>
      <c r="Q160" t="n">
        <v>0</v>
      </c>
      <c r="R160" t="n">
        <v>0</v>
      </c>
      <c r="S160">
        <f>IFERROR(O160/N160,0)</f>
        <v/>
      </c>
    </row>
    <row r="161">
      <c r="A161">
        <f>Skills!A14</f>
        <v/>
      </c>
      <c r="B161">
        <f>Skills!B14</f>
        <v/>
      </c>
      <c r="C161">
        <f>Inputs!$B$3&gt;=110</f>
        <v/>
      </c>
      <c r="D161">
        <f>IF(Skills!C14=1,60+Inputs!$B$24+Inputs!$B$28,IF(Skills!C14=2,90+Inputs!$B$25+Inputs!$B$28,IF(Skills!C14=3,120+Inputs!$B$26+Inputs!$B$28,MAX(0,(Inputs!$B$3-100)*3)+Inputs!$B$27+Inputs!$B$28)))</f>
        <v/>
      </c>
      <c r="E161">
        <f>INDEX(FactorTable!$B$2:$Y$301, MATCH(ROUND(MIN(300,MAX(1,D161)),0), FactorTable!$A$2:$A$301,0), Skills!M14+1)</f>
        <v/>
      </c>
      <c r="F161">
        <f>IF(Skills!N14=TRUE,(Skills!L14/10)*(E161/1000),Skills!L14/10)+Skills!O14</f>
        <v/>
      </c>
      <c r="G161">
        <f>Skills!G14*IF(Skills!H14&gt;0,Skills!I14/Skills!H14,1)</f>
        <v/>
      </c>
      <c r="H161">
        <f>1-(1-Skills!J14/100)^Skills!K14</f>
        <v/>
      </c>
      <c r="I161" t="inlineStr">
        <is>
          <t>1</t>
        </is>
      </c>
      <c r="J161" t="inlineStr"/>
      <c r="K161" t="inlineStr"/>
      <c r="L161" t="inlineStr"/>
      <c r="M161" t="inlineStr"/>
      <c r="N161" t="inlineStr"/>
      <c r="O161" t="n">
        <v>0</v>
      </c>
      <c r="P161">
        <f>IF(B182=0,0,O161/B182)</f>
        <v/>
      </c>
      <c r="Q161" t="n">
        <v>0</v>
      </c>
      <c r="R161" t="n">
        <v>0</v>
      </c>
      <c r="S161">
        <f>IFERROR(O161/N161,0)</f>
        <v/>
      </c>
    </row>
    <row r="162">
      <c r="A162">
        <f>Skills!A15</f>
        <v/>
      </c>
      <c r="B162">
        <f>Skills!B15</f>
        <v/>
      </c>
      <c r="C162">
        <f>Inputs!$B$3&gt;=75</f>
        <v/>
      </c>
      <c r="D162">
        <f>IF(Skills!C15=1,60+Inputs!$B$24+Inputs!$B$28,IF(Skills!C15=2,90+Inputs!$B$25+Inputs!$B$28,IF(Skills!C15=3,120+Inputs!$B$26+Inputs!$B$28,MAX(0,(Inputs!$B$3-100)*3)+Inputs!$B$27+Inputs!$B$28)))</f>
        <v/>
      </c>
      <c r="E162">
        <f>INDEX(FactorTable!$B$2:$Y$301, MATCH(ROUND(MIN(300,MAX(1,D162)),0), FactorTable!$A$2:$A$301,0), Skills!M15+1)</f>
        <v/>
      </c>
      <c r="F162">
        <f>IF(Skills!N15=TRUE,(Skills!L15/10)*(E162/1000),Skills!L15/10)+Skills!O15</f>
        <v/>
      </c>
      <c r="G162">
        <f>Skills!G15*IF(Skills!H15&gt;0,Skills!I15/Skills!H15,1)</f>
        <v/>
      </c>
      <c r="H162">
        <f>1-(1-Skills!J15/100)^Skills!K15</f>
        <v/>
      </c>
      <c r="I162" t="inlineStr">
        <is>
          <t>1</t>
        </is>
      </c>
      <c r="J162" t="inlineStr"/>
      <c r="K162" t="inlineStr"/>
      <c r="L162" t="inlineStr"/>
      <c r="M162" t="inlineStr"/>
      <c r="N162" t="inlineStr"/>
      <c r="O162" t="n">
        <v>0</v>
      </c>
      <c r="P162">
        <f>IF(B182=0,0,O162/B182)</f>
        <v/>
      </c>
      <c r="Q162">
        <f>IFERROR(1/IF(Inputs!$B$4="pvp",15,MAX(0.1,Skills!D15-IF(Skills!E15=TRUE,Inputs!$B$31,0))),0)</f>
        <v/>
      </c>
      <c r="R162">
        <f>IF(AND(Inputs!$B$4&lt;&gt;"pvp",Inputs!$B$35&gt;0),(INT(Inputs!$B$35/IF(Inputs!$B$4="pvp",15,MAX(0.1,Skills!D15-IF(Skills!E15=TRUE,Inputs!$B$31,0))))+1),0)</f>
        <v/>
      </c>
      <c r="S162">
        <f>IFERROR(O162/N162,0)</f>
        <v/>
      </c>
    </row>
    <row r="163">
      <c r="A163">
        <f>Skills!A16</f>
        <v/>
      </c>
      <c r="B163">
        <f>Skills!B16</f>
        <v/>
      </c>
      <c r="C163">
        <f>Inputs!$B$3&gt;=105</f>
        <v/>
      </c>
      <c r="D163">
        <f>IF(Skills!C16=1,60+Inputs!$B$24+Inputs!$B$28,IF(Skills!C16=2,90+Inputs!$B$25+Inputs!$B$28,IF(Skills!C16=3,120+Inputs!$B$26+Inputs!$B$28,MAX(0,(Inputs!$B$3-100)*3)+Inputs!$B$27+Inputs!$B$28)))</f>
        <v/>
      </c>
      <c r="E163">
        <f>INDEX(FactorTable!$B$2:$Y$301, MATCH(ROUND(MIN(300,MAX(1,D163)),0), FactorTable!$A$2:$A$301,0), Skills!M16+1)</f>
        <v/>
      </c>
      <c r="F163">
        <f>IF(Skills!N16=TRUE,(Skills!L16/10)*(E163/1000),Skills!L16/10)+Skills!O16</f>
        <v/>
      </c>
      <c r="G163">
        <f>Skills!G16*IF(Skills!H16&gt;0,Skills!I16/Skills!H16,1)</f>
        <v/>
      </c>
      <c r="H163">
        <f>1-(1-Skills!J16/100)^Skills!K16</f>
        <v/>
      </c>
      <c r="I163" t="inlineStr">
        <is>
          <t>1</t>
        </is>
      </c>
      <c r="J163" t="inlineStr"/>
      <c r="K163" t="inlineStr"/>
      <c r="L163" t="inlineStr"/>
      <c r="M163" t="inlineStr"/>
      <c r="N163" t="inlineStr"/>
      <c r="O163" t="n">
        <v>0</v>
      </c>
      <c r="P163">
        <f>IF(B182=0,0,O163/B182)</f>
        <v/>
      </c>
      <c r="Q163">
        <f>IFERROR(1/IF(Inputs!$B$4="pvp",15,MAX(0.1,Skills!D16-IF(Skills!E16=TRUE,Inputs!$B$31,0))),0)</f>
        <v/>
      </c>
      <c r="R163">
        <f>IF(AND(Inputs!$B$4&lt;&gt;"pvp",Inputs!$B$35&gt;0),(INT(Inputs!$B$35/IF(Inputs!$B$4="pvp",15,MAX(0.1,Skills!D16-IF(Skills!E16=TRUE,Inputs!$B$31,0))))+1),0)</f>
        <v/>
      </c>
      <c r="S163">
        <f>IFERROR(O163/N163,0)</f>
        <v/>
      </c>
    </row>
    <row r="164">
      <c r="A164">
        <f>Skills!A17</f>
        <v/>
      </c>
      <c r="B164">
        <f>Skills!B17</f>
        <v/>
      </c>
      <c r="C164">
        <f>Inputs!$B$3&gt;=115</f>
        <v/>
      </c>
      <c r="D164">
        <f>IF(Skills!C17=1,60+Inputs!$B$24+Inputs!$B$28,IF(Skills!C17=2,90+Inputs!$B$25+Inputs!$B$28,IF(Skills!C17=3,120+Inputs!$B$26+Inputs!$B$28,MAX(0,(Inputs!$B$3-100)*3)+Inputs!$B$27+Inputs!$B$28)))</f>
        <v/>
      </c>
      <c r="E164">
        <f>INDEX(FactorTable!$B$2:$Y$301, MATCH(ROUND(MIN(300,MAX(1,D164)),0), FactorTable!$A$2:$A$301,0), Skills!M17+1)</f>
        <v/>
      </c>
      <c r="F164">
        <f>IF(Skills!N17=TRUE,(Skills!L17/10)*(E164/1000),Skills!L17/10)+Skills!O17</f>
        <v/>
      </c>
      <c r="G164">
        <f>Skills!G17*IF(Skills!H17&gt;0,Skills!I17/Skills!H17,1)</f>
        <v/>
      </c>
      <c r="H164">
        <f>1-(1-Skills!J17/100)^Skills!K17</f>
        <v/>
      </c>
      <c r="I164" t="inlineStr">
        <is>
          <t>1</t>
        </is>
      </c>
      <c r="J164" t="inlineStr"/>
      <c r="K164" t="inlineStr"/>
      <c r="L164" t="inlineStr"/>
      <c r="M164" t="inlineStr"/>
      <c r="N164" t="inlineStr"/>
      <c r="O164" t="n">
        <v>0</v>
      </c>
      <c r="P164">
        <f>IF(B182=0,0,O164/B182)</f>
        <v/>
      </c>
      <c r="Q164">
        <f>IFERROR(1/IF(Inputs!$B$4="pvp",15,MAX(0.1,Skills!D17-IF(Skills!E17=TRUE,Inputs!$B$31,0))),0)</f>
        <v/>
      </c>
      <c r="R164">
        <f>IF(AND(Inputs!$B$4&lt;&gt;"pvp",Inputs!$B$35&gt;0),(INT(Inputs!$B$35/IF(Inputs!$B$4="pvp",15,MAX(0.1,Skills!D17-IF(Skills!E17=TRUE,Inputs!$B$31,0))))+1),0)</f>
        <v/>
      </c>
      <c r="S164">
        <f>IFERROR(O164/N164,0)</f>
        <v/>
      </c>
    </row>
    <row r="165">
      <c r="A165">
        <f>Skills!A18</f>
        <v/>
      </c>
      <c r="B165">
        <f>Skills!B18</f>
        <v/>
      </c>
      <c r="C165">
        <f>Inputs!$B$3&gt;=74</f>
        <v/>
      </c>
      <c r="D165">
        <f>IF(Skills!C18=1,60+Inputs!$B$24+Inputs!$B$28,IF(Skills!C18=2,90+Inputs!$B$25+Inputs!$B$28,IF(Skills!C18=3,120+Inputs!$B$26+Inputs!$B$28,MAX(0,(Inputs!$B$3-100)*3)+Inputs!$B$27+Inputs!$B$28)))</f>
        <v/>
      </c>
      <c r="E165">
        <f>INDEX(FactorTable!$B$2:$Y$301, MATCH(ROUND(MIN(300,MAX(1,D165)),0), FactorTable!$A$2:$A$301,0), Skills!M18+1)</f>
        <v/>
      </c>
      <c r="F165">
        <f>IF(Skills!N18=TRUE,(Skills!L18/10)*(E165/1000),Skills!L18/10)+Skills!O18</f>
        <v/>
      </c>
      <c r="G165">
        <f>Skills!G18*IF(Skills!H18&gt;0,Skills!I18/Skills!H18,1)</f>
        <v/>
      </c>
      <c r="H165">
        <f>1-(1-Skills!J18/100)^Skills!K18</f>
        <v/>
      </c>
      <c r="I165" t="inlineStr">
        <is>
          <t>1</t>
        </is>
      </c>
      <c r="J165" t="inlineStr"/>
      <c r="K165" t="inlineStr"/>
      <c r="L165" t="inlineStr"/>
      <c r="M165" t="inlineStr"/>
      <c r="N165" t="inlineStr"/>
      <c r="O165" t="n">
        <v>0</v>
      </c>
      <c r="P165">
        <f>IF(B182=0,0,O165/B182)</f>
        <v/>
      </c>
      <c r="Q165">
        <f>IFERROR(1/IF(Inputs!$B$4="pvp",15,MAX(0.1,Skills!D18-IF(Skills!E18=TRUE,Inputs!$B$31,0))),0)</f>
        <v/>
      </c>
      <c r="R165">
        <f>IF(AND(Inputs!$B$4&lt;&gt;"pvp",Inputs!$B$35&gt;0),(INT(Inputs!$B$35/IF(Inputs!$B$4="pvp",15,MAX(0.1,Skills!D18-IF(Skills!E18=TRUE,Inputs!$B$31,0))))+1),0)</f>
        <v/>
      </c>
      <c r="S165">
        <f>IFERROR(O165/N165,0)</f>
        <v/>
      </c>
    </row>
    <row r="166">
      <c r="A166">
        <f>Skills!A19</f>
        <v/>
      </c>
      <c r="B166">
        <f>Skills!B19</f>
        <v/>
      </c>
      <c r="C166">
        <f>TRUE</f>
        <v/>
      </c>
      <c r="D166">
        <f>IF(Skills!C19=1,60+Inputs!$B$24+Inputs!$B$28,IF(Skills!C19=2,90+Inputs!$B$25+Inputs!$B$28,IF(Skills!C19=3,120+Inputs!$B$26+Inputs!$B$28,MAX(0,(Inputs!$B$3-100)*3)+Inputs!$B$27+Inputs!$B$28)))</f>
        <v/>
      </c>
      <c r="E166">
        <f>INDEX(FactorTable!$B$2:$Y$301, MATCH(ROUND(MIN(300,MAX(1,D166)),0), FactorTable!$A$2:$A$301,0), Skills!M19+1)</f>
        <v/>
      </c>
      <c r="F166">
        <f>IF(Skills!N19=TRUE,(Skills!L19/10)*(E166/1000),Skills!L19/10)+Skills!O19</f>
        <v/>
      </c>
      <c r="G166">
        <f>Skills!G19*IF(Skills!H19&gt;0,Skills!I19/Skills!H19,1)</f>
        <v/>
      </c>
      <c r="H166">
        <f>1-(1-Skills!J19/100)^Skills!K19</f>
        <v/>
      </c>
      <c r="I166" t="inlineStr">
        <is>
          <t>1</t>
        </is>
      </c>
      <c r="J166" t="inlineStr"/>
      <c r="K166" t="inlineStr"/>
      <c r="L166" t="inlineStr"/>
      <c r="M166" t="inlineStr"/>
      <c r="N166" t="inlineStr"/>
      <c r="O166" t="n">
        <v>0</v>
      </c>
      <c r="P166">
        <f>IF(B182=0,0,O166/B182)</f>
        <v/>
      </c>
      <c r="Q166">
        <f>IFERROR(1/IF(Inputs!$B$4="pvp",15,MAX(0.1,Skills!D19-IF(Skills!E19=TRUE,Inputs!$B$31,0))),0)</f>
        <v/>
      </c>
      <c r="R166">
        <f>IF(AND(Inputs!$B$4&lt;&gt;"pvp",Inputs!$B$35&gt;0),(INT(Inputs!$B$35/IF(Inputs!$B$4="pvp",15,MAX(0.1,Skills!D19-IF(Skills!E19=TRUE,Inputs!$B$31,0))))+1),0)</f>
        <v/>
      </c>
      <c r="S166">
        <f>IFERROR(O166/N166,0)</f>
        <v/>
      </c>
    </row>
    <row r="167">
      <c r="A167">
        <f>Skills!A20</f>
        <v/>
      </c>
      <c r="B167">
        <f>Skills!B20</f>
        <v/>
      </c>
      <c r="C167">
        <f>Inputs!$B$3&gt;=33</f>
        <v/>
      </c>
      <c r="D167">
        <f>IF(Skills!C20=1,60+Inputs!$B$24+Inputs!$B$28,IF(Skills!C20=2,90+Inputs!$B$25+Inputs!$B$28,IF(Skills!C20=3,120+Inputs!$B$26+Inputs!$B$28,MAX(0,(Inputs!$B$3-100)*3)+Inputs!$B$27+Inputs!$B$28)))</f>
        <v/>
      </c>
      <c r="E167">
        <f>INDEX(FactorTable!$B$2:$Y$301, MATCH(ROUND(MIN(300,MAX(1,D167)),0), FactorTable!$A$2:$A$301,0), Skills!M20+1)</f>
        <v/>
      </c>
      <c r="F167">
        <f>IF(Skills!N20=TRUE,(Skills!L20/10)*(E167/1000),Skills!L20/10)+Skills!O20</f>
        <v/>
      </c>
      <c r="G167">
        <f>Skills!G20*IF(Skills!H20&gt;0,Skills!I20/Skills!H20,1)</f>
        <v/>
      </c>
      <c r="H167">
        <f>1-(1-Skills!J20/100)^Skills!K20</f>
        <v/>
      </c>
      <c r="I167" t="inlineStr">
        <is>
          <t>1</t>
        </is>
      </c>
      <c r="J167" t="inlineStr"/>
      <c r="K167" t="inlineStr"/>
      <c r="L167" t="inlineStr"/>
      <c r="M167" t="inlineStr"/>
      <c r="N167" t="inlineStr"/>
      <c r="O167" t="n">
        <v>0</v>
      </c>
      <c r="P167">
        <f>IF(B182=0,0,O167/B182)</f>
        <v/>
      </c>
      <c r="Q167" t="n">
        <v>0</v>
      </c>
      <c r="R167" t="n">
        <v>0</v>
      </c>
      <c r="S167">
        <f>IFERROR(O167/N167,0)</f>
        <v/>
      </c>
    </row>
    <row r="168">
      <c r="A168">
        <f>Skills!A21</f>
        <v/>
      </c>
      <c r="B168">
        <f>Skills!B21</f>
        <v/>
      </c>
      <c r="C168">
        <f>Inputs!$B$3&gt;=38</f>
        <v/>
      </c>
      <c r="D168">
        <f>IF(Skills!C21=1,60+Inputs!$B$24+Inputs!$B$28,IF(Skills!C21=2,90+Inputs!$B$25+Inputs!$B$28,IF(Skills!C21=3,120+Inputs!$B$26+Inputs!$B$28,MAX(0,(Inputs!$B$3-100)*3)+Inputs!$B$27+Inputs!$B$28)))</f>
        <v/>
      </c>
      <c r="E168">
        <f>INDEX(FactorTable!$B$2:$Y$301, MATCH(ROUND(MIN(300,MAX(1,D168)),0), FactorTable!$A$2:$A$301,0), Skills!M21+1)</f>
        <v/>
      </c>
      <c r="F168">
        <f>IF(Skills!N21=TRUE,(Skills!L21/10)*(E168/1000),Skills!L21/10)+Skills!O21</f>
        <v/>
      </c>
      <c r="G168">
        <f>Skills!G21*IF(Skills!H21&gt;0,Skills!I21/Skills!H21,1)</f>
        <v/>
      </c>
      <c r="H168">
        <f>1-(1-Skills!J21/100)^Skills!K21</f>
        <v/>
      </c>
      <c r="I168" t="inlineStr">
        <is>
          <t>1</t>
        </is>
      </c>
      <c r="J168" t="inlineStr"/>
      <c r="K168" t="inlineStr"/>
      <c r="L168" t="inlineStr"/>
      <c r="M168" t="inlineStr"/>
      <c r="N168" t="inlineStr"/>
      <c r="O168" t="n">
        <v>0</v>
      </c>
      <c r="P168">
        <f>IF(B182=0,0,O168/B182)</f>
        <v/>
      </c>
      <c r="Q168" t="n">
        <v>0</v>
      </c>
      <c r="R168" t="n">
        <v>0</v>
      </c>
      <c r="S168">
        <f>IFERROR(O168/N168,0)</f>
        <v/>
      </c>
    </row>
    <row r="169">
      <c r="A169">
        <f>Skills!A22</f>
        <v/>
      </c>
      <c r="B169">
        <f>Skills!B22</f>
        <v/>
      </c>
      <c r="C169">
        <f>Inputs!$B$3&gt;=43</f>
        <v/>
      </c>
      <c r="D169">
        <f>IF(Skills!C22=1,60+Inputs!$B$24+Inputs!$B$28,IF(Skills!C22=2,90+Inputs!$B$25+Inputs!$B$28,IF(Skills!C22=3,120+Inputs!$B$26+Inputs!$B$28,MAX(0,(Inputs!$B$3-100)*3)+Inputs!$B$27+Inputs!$B$28)))</f>
        <v/>
      </c>
      <c r="E169">
        <f>INDEX(FactorTable!$B$2:$Y$301, MATCH(ROUND(MIN(300,MAX(1,D169)),0), FactorTable!$A$2:$A$301,0), Skills!M22+1)</f>
        <v/>
      </c>
      <c r="F169">
        <f>IF(Skills!N22=TRUE,(Skills!L22/10)*(E169/1000),Skills!L22/10)+Skills!O22</f>
        <v/>
      </c>
      <c r="G169">
        <f>Skills!G22*IF(Skills!H22&gt;0,Skills!I22/Skills!H22,1)</f>
        <v/>
      </c>
      <c r="H169">
        <f>1-(1-Skills!J22/100)^Skills!K22</f>
        <v/>
      </c>
      <c r="I169" t="inlineStr">
        <is>
          <t>1</t>
        </is>
      </c>
      <c r="J169" t="inlineStr"/>
      <c r="K169" t="inlineStr"/>
      <c r="L169" t="inlineStr"/>
      <c r="M169" t="inlineStr"/>
      <c r="N169" t="inlineStr"/>
      <c r="O169" t="n">
        <v>0</v>
      </c>
      <c r="P169">
        <f>IF(B182=0,0,O169/B182)</f>
        <v/>
      </c>
      <c r="Q169" t="n">
        <v>0</v>
      </c>
      <c r="R169" t="n">
        <v>0</v>
      </c>
      <c r="S169">
        <f>IFERROR(O169/N169,0)</f>
        <v/>
      </c>
    </row>
    <row r="170">
      <c r="A170">
        <f>Skills!A23</f>
        <v/>
      </c>
      <c r="B170">
        <f>Skills!B23</f>
        <v/>
      </c>
      <c r="C170">
        <f>Inputs!$B$3&gt;=120</f>
        <v/>
      </c>
      <c r="D170">
        <f>IF(Skills!C23=1,60+Inputs!$B$24+Inputs!$B$28,IF(Skills!C23=2,90+Inputs!$B$25+Inputs!$B$28,IF(Skills!C23=3,120+Inputs!$B$26+Inputs!$B$28,MAX(0,(Inputs!$B$3-100)*3)+Inputs!$B$27+Inputs!$B$28)))</f>
        <v/>
      </c>
      <c r="E170">
        <f>INDEX(FactorTable!$B$2:$Y$301, MATCH(ROUND(MIN(300,MAX(1,D170)),0), FactorTable!$A$2:$A$301,0), Skills!M23+1)</f>
        <v/>
      </c>
      <c r="F170">
        <f>IF(Skills!N23=TRUE,(Skills!L23/10)*(E170/1000),Skills!L23/10)+Skills!O23</f>
        <v/>
      </c>
      <c r="G170">
        <f>Skills!G23*IF(Skills!H23&gt;0,Skills!I23/Skills!H23,1)</f>
        <v/>
      </c>
      <c r="H170">
        <f>1-(1-Skills!J23/100)^Skills!K23</f>
        <v/>
      </c>
      <c r="I170" t="inlineStr">
        <is>
          <t>1</t>
        </is>
      </c>
      <c r="J170" t="inlineStr"/>
      <c r="K170" t="inlineStr"/>
      <c r="L170" t="inlineStr"/>
      <c r="M170" t="inlineStr"/>
      <c r="N170" t="inlineStr"/>
      <c r="O170" t="n">
        <v>0</v>
      </c>
      <c r="P170">
        <f>IF(B182=0,0,O170/B182)</f>
        <v/>
      </c>
      <c r="Q170" t="n">
        <v>0</v>
      </c>
      <c r="R170" t="n">
        <v>0</v>
      </c>
      <c r="S170">
        <f>IFERROR(O170/N170,0)</f>
        <v/>
      </c>
    </row>
    <row r="171">
      <c r="A171">
        <f>Skills!A24</f>
        <v/>
      </c>
      <c r="B171">
        <f>Skills!B24</f>
        <v/>
      </c>
      <c r="C171">
        <f>Inputs!$B$3&gt;=120</f>
        <v/>
      </c>
      <c r="D171">
        <f>IF(Skills!C24=1,60+Inputs!$B$24+Inputs!$B$28,IF(Skills!C24=2,90+Inputs!$B$25+Inputs!$B$28,IF(Skills!C24=3,120+Inputs!$B$26+Inputs!$B$28,MAX(0,(Inputs!$B$3-100)*3)+Inputs!$B$27+Inputs!$B$28)))</f>
        <v/>
      </c>
      <c r="E171">
        <f>INDEX(FactorTable!$B$2:$Y$301, MATCH(ROUND(MIN(300,MAX(1,D171)),0), FactorTable!$A$2:$A$301,0), Skills!M24+1)</f>
        <v/>
      </c>
      <c r="F171">
        <f>IF(Skills!N24=TRUE,(Skills!L24/10)*(E171/1000),Skills!L24/10)+Skills!O24</f>
        <v/>
      </c>
      <c r="G171">
        <f>Skills!G24*IF(Skills!H24&gt;0,Skills!I24/Skills!H24,1)</f>
        <v/>
      </c>
      <c r="H171">
        <f>1-(1-Skills!J24/100)^Skills!K24</f>
        <v/>
      </c>
      <c r="I171" t="inlineStr">
        <is>
          <t>1</t>
        </is>
      </c>
      <c r="J171" t="inlineStr"/>
      <c r="K171" t="inlineStr"/>
      <c r="L171" t="inlineStr"/>
      <c r="M171" t="inlineStr"/>
      <c r="N171" t="inlineStr"/>
      <c r="O171" t="n">
        <v>0</v>
      </c>
      <c r="P171">
        <f>IF(B182=0,0,O171/B182)</f>
        <v/>
      </c>
      <c r="Q171" t="n">
        <v>0</v>
      </c>
      <c r="R171" t="n">
        <v>0</v>
      </c>
      <c r="S171">
        <f>IFERROR(O171/N171,0)</f>
        <v/>
      </c>
    </row>
    <row r="173">
      <c r="A173" t="inlineStr">
        <is>
          <t>Attack% Bucket Multiplier</t>
        </is>
      </c>
      <c r="B173">
        <f>(1+(((C160=TRUE)*F160*MIN(1,Skills!T13*(Skills!J13/100)*B178))+((C165=TRUE)*F165*IF(AND(Inputs!$B$4&lt;&gt;"pvp",Inputs!$B$35&gt;0),(((S165-1)*(Skills!T18*(1+Inputs!$B$33/100))+MIN((Skills!T18*(1+Inputs!$B$33/100)),MAX(0,Inputs!$B$35-((S165-1)*Skills!D18))))/Inputs!$B$35),IF(Inputs!$B$4="pvp",MIN((Skills!T18*(1+Inputs!$B$33/100)),15)/15,(Skills!T18*(1+Inputs!$B$33/100))/Skills!D18)))+0)/100)</f>
        <v/>
      </c>
    </row>
    <row r="174">
      <c r="A174" t="inlineStr">
        <is>
          <t>Global Crit Rate Bonus %</t>
        </is>
      </c>
      <c r="B174" t="n">
        <v>0</v>
      </c>
    </row>
    <row r="175">
      <c r="A175" t="inlineStr">
        <is>
          <t>Attack Speed Buff Bonus %</t>
        </is>
      </c>
      <c r="B175">
        <f>((C166=TRUE)*F166*IF(AND(Inputs!$B$4&lt;&gt;"pvp",Inputs!$B$35&gt;0),(((S166-1)*(Skills!T19*(1+Inputs!$B$33/100))+MIN((Skills!T19*(1+Inputs!$B$33/100)),MAX(0,Inputs!$B$35-((S166-1)*Skills!D19))))/Inputs!$B$35),IF(Inputs!$B$4="pvp",MIN((Skills!T19*(1+Inputs!$B$33/100)),15)/15,(Skills!T19*(1+Inputs!$B$33/100))/Skills!D19)))</f>
        <v/>
      </c>
    </row>
    <row r="176">
      <c r="A176" t="inlineStr">
        <is>
          <t>Actions Per Second</t>
        </is>
      </c>
      <c r="B176">
        <f>1+MIN(150,150*(1-(1-(Inputs!$B$10+((C167=TRUE)*(F167-Calc!F20)))/150)*(1-B175/150)))/100</f>
        <v/>
      </c>
    </row>
    <row r="177">
      <c r="A177" t="inlineStr">
        <is>
          <t>Skill + Buff Cast Rate</t>
        </is>
      </c>
      <c r="B177">
        <f>IF(AND(Inputs!$B$4&lt;&gt;"pvp",Inputs!$B$35&gt;0),SUMPRODUCT((Skills!E2:E24=TRUE)*(C149:C171=TRUE)*R149:R171*Skills!F2:F24)/Inputs!$B$35,SUMPRODUCT((Skills!E2:E24=TRUE)*(C149:C171=TRUE)*Q149:Q171*Skills!F2:F24))</f>
        <v/>
      </c>
    </row>
    <row r="178">
      <c r="A178" t="inlineStr">
        <is>
          <t>Blast Casts Per Second</t>
        </is>
      </c>
      <c r="B178">
        <f>MAX(0,B176-B177)</f>
        <v/>
      </c>
    </row>
    <row r="179">
      <c r="A179" t="inlineStr">
        <is>
          <t>Global Critical Damage Bonus % (unused)</t>
        </is>
      </c>
      <c r="B179" t="n">
        <v>0</v>
      </c>
    </row>
    <row r="180">
      <c r="A180" t="inlineStr">
        <is>
          <t>Global Final Damage Bonus % (Divine Shield + Guardian + Divine Blessing + Greater Vessel of Light)</t>
        </is>
      </c>
      <c r="B180">
        <f>((C162=TRUE)*F162*IF(AND(Inputs!$B$4&lt;&gt;"pvp",Inputs!$B$35&gt;0),(((S162-1)*(Skills!T15*(1+Inputs!$B$33/100))+MIN((Skills!T15*(1+Inputs!$B$33/100)),MAX(0,Inputs!$B$35-((S162-1)*Skills!D15))))/Inputs!$B$35),IF(Inputs!$B$4="pvp",MIN((Skills!T15*(1+Inputs!$B$33/100)),15)/15,(Skills!T15*(1+Inputs!$B$33/100))/Skills!D15)))+((C163=TRUE)*F163*IF(AND(Inputs!$B$4&lt;&gt;"pvp",Inputs!$B$35&gt;0),(((S163-1)*(Skills!T16*(1+Inputs!$B$33/100))+MIN((Skills!T16*(1+Inputs!$B$33/100)),MAX(0,Inputs!$B$35-((S163-1)*Skills!D16))))/Inputs!$B$35),IF(Inputs!$B$4="pvp",MIN((Skills!T16*(1+Inputs!$B$33/100)),15)/15,(Skills!T16*(1+Inputs!$B$33/100))/Skills!D16)))+((C164=TRUE)*F164*IF(AND(Inputs!$B$4&lt;&gt;"pvp",Inputs!$B$35&gt;0),(((S164-1)*(Skills!T17*(1+Inputs!$B$33/100))+MIN((Skills!T17*(1+Inputs!$B$33/100)),MAX(0,Inputs!$B$35-((S164-1)*Skills!D17))))/Inputs!$B$35),IF(Inputs!$B$4="pvp",MIN((Skills!T17*(1+Inputs!$B$33/100)),15)/15,(Skills!T17*(1+Inputs!$B$33/100))/Skills!D17)))+((C161=TRUE)*F161*MIN(1,Skills!T13*(Skills!J13/100)*B178))</f>
        <v/>
      </c>
    </row>
    <row r="182">
      <c r="A182" s="5" t="inlineStr">
        <is>
          <t>TOTAL DPS</t>
        </is>
      </c>
      <c r="B182" s="5">
        <f>SUM(O149:O171)</f>
        <v/>
      </c>
    </row>
    <row r="185">
      <c r="A185" s="5" t="inlineStr">
        <is>
          <t>Stat: DAMAGE_AMP %</t>
        </is>
      </c>
    </row>
    <row r="186">
      <c r="A186" s="8" t="inlineStr">
        <is>
          <t>Key</t>
        </is>
      </c>
      <c r="B186" s="8" t="inlineStr">
        <is>
          <t>Name</t>
        </is>
      </c>
      <c r="C186" s="8" t="inlineStr">
        <is>
          <t>Unlocked</t>
        </is>
      </c>
      <c r="D186" s="8" t="inlineStr">
        <is>
          <t>InputLevel</t>
        </is>
      </c>
      <c r="E186" s="8" t="inlineStr">
        <is>
          <t>Factor</t>
        </is>
      </c>
      <c r="F186" s="8" t="inlineStr">
        <is>
          <t>CoefficientPercent</t>
        </is>
      </c>
      <c r="G186" s="8" t="inlineStr">
        <is>
          <t>EffectiveHits</t>
        </is>
      </c>
      <c r="H186" s="8" t="inlineStr">
        <is>
          <t>ProcProbability</t>
        </is>
      </c>
      <c r="I186" s="8" t="inlineStr">
        <is>
          <t>MapleHeroMultiplier</t>
        </is>
      </c>
      <c r="J186" s="8" t="inlineStr">
        <is>
          <t>BaseDamage</t>
        </is>
      </c>
      <c r="K186" s="8" t="inlineStr">
        <is>
          <t>BaseHitDamage</t>
        </is>
      </c>
      <c r="L186" s="8" t="inlineStr">
        <is>
          <t>NonCritAvg</t>
        </is>
      </c>
      <c r="M186" s="8" t="inlineStr">
        <is>
          <t>CritAvg</t>
        </is>
      </c>
      <c r="N186" s="8" t="inlineStr">
        <is>
          <t>ExpectedDamage(perHit)</t>
        </is>
      </c>
      <c r="O186" s="8" t="inlineStr">
        <is>
          <t>DPS</t>
        </is>
      </c>
      <c r="P186" s="8" t="inlineStr">
        <is>
          <t>% of Total</t>
        </is>
      </c>
      <c r="Q186" s="8" t="inlineStr">
        <is>
          <t>InvCooldown</t>
        </is>
      </c>
      <c r="R186" s="8" t="inlineStr">
        <is>
          <t>CastsInFight</t>
        </is>
      </c>
      <c r="S186" s="8" t="inlineStr">
        <is>
          <t>HitRate(perSec)</t>
        </is>
      </c>
      <c r="U186" t="inlineStr">
        <is>
          <t>helpers</t>
        </is>
      </c>
    </row>
    <row r="187">
      <c r="A187">
        <f>Skills!A2</f>
        <v/>
      </c>
      <c r="B187">
        <f>Skills!B2</f>
        <v/>
      </c>
      <c r="C187">
        <f>Inputs!$B$3&gt;=100</f>
        <v/>
      </c>
      <c r="D187" t="inlineStr"/>
      <c r="E187" t="inlineStr"/>
      <c r="F187">
        <f>U189+Skills!O2</f>
        <v/>
      </c>
      <c r="G187">
        <f>Skills!G2*IF(Skills!H2&gt;0,Skills!I2/Skills!H2,1)</f>
        <v/>
      </c>
      <c r="H187">
        <f>1-(1-Skills!J2/100)^Skills!K2</f>
        <v/>
      </c>
      <c r="I187" t="inlineStr">
        <is>
          <t>1</t>
        </is>
      </c>
      <c r="J187">
        <f>(Inputs!$B$5*(1+Inputs!$B$6/100))*(F187/100)</f>
        <v/>
      </c>
      <c r="K187">
        <f>J187*(1+((Inputs!$B$11*(1+Inputs!$B$12/100))*0.01+Inputs!$B$13*0.0025)/100)*(1+Inputs!$B$14/100)*(1+IF(Inputs!$B$4="pvp",0,(1-Summary!$B$55)*(Inputs!$B$19+0+Skills!P2)+Summary!$B$55*(Inputs!$B$20+Skills!Q2))/100)*(1+(Inputs!$B$15+1)/100)*(5000/(6000+Inputs!$B$7*(1-(Inputs!$B$18+0)/100)))*(1+(Inputs!$B$23+0+B218)/100)*(1+(IF(Skills!A2="BLAST",Inputs!$B$16+((C206=TRUE)*(F206-Calc!F21)),Inputs!$B$17+((C208=TRUE)*(F208-Calc!F23))))/100)*((1+(((C198=TRUE)*F198*MIN(1,Skills!T13*(Skills!J13/100)*B216))+((C203=TRUE)*F203*IF(AND(Inputs!$B$4&lt;&gt;"pvp",Inputs!$B$35&gt;0),(((S203-1)*(Skills!T18*(1+Inputs!$B$33/100))+MIN((Skills!T18*(1+Inputs!$B$33/100)),MAX(0,Inputs!$B$35-((S203-1)*Skills!D18))))/Inputs!$B$35),IF(Inputs!$B$4="pvp",MIN((Skills!T18*(1+Inputs!$B$33/100)),15)/15,(Skills!T18*(1+Inputs!$B$33/100))/Skills!D18)))+0)/100)*I187)</f>
        <v/>
      </c>
      <c r="L187">
        <f>K187*(MIN(Inputs!$B$21+((C207=TRUE)*(F207-Calc!F22)),Inputs!$B$22+((C209=TRUE)*(F209-Calc!F24)))/100+(Inputs!$B$22+((C209=TRUE)*(F209-Calc!F24)))/100)/2</f>
        <v/>
      </c>
      <c r="M187">
        <f>L187*(1+(Inputs!$B$9+0+B217)/100)</f>
        <v/>
      </c>
      <c r="N187">
        <f>L187*(1-MIN((Inputs!$B$8+0+B212),100)/100)+M187*(MIN((Inputs!$B$8+0+B212),100)/100)</f>
        <v/>
      </c>
      <c r="O187">
        <f>IF(C187,Skills!G2*N187*B216*IF(Inputs!$B$4="pvp",1,(1-Summary!$B$55)*(1)+Summary!$B$55*(MIN((6+Inputs!$B$32),Inputs!$B$37))),0)</f>
        <v/>
      </c>
      <c r="P187">
        <f>IF(B220=0,0,O187/B220)</f>
        <v/>
      </c>
      <c r="Q187" t="n">
        <v>0</v>
      </c>
      <c r="R187" t="n">
        <v>0</v>
      </c>
      <c r="S187">
        <f>IFERROR(O187/N187,0)</f>
        <v/>
      </c>
      <c r="U187">
        <f>MAX(0,(Inputs!$B$3-100)*3)+Inputs!$B$27+Inputs!$B$28</f>
        <v/>
      </c>
    </row>
    <row r="188">
      <c r="A188">
        <f>Skills!A3</f>
        <v/>
      </c>
      <c r="B188">
        <f>Skills!B3</f>
        <v/>
      </c>
      <c r="C188">
        <f>Inputs!$B$3&gt;=50</f>
        <v/>
      </c>
      <c r="D188">
        <f>IF(Skills!C3=1,60+Inputs!$B$24+Inputs!$B$28,IF(Skills!C3=2,90+Inputs!$B$25+Inputs!$B$28,IF(Skills!C3=3,120+Inputs!$B$26+Inputs!$B$28,MAX(0,(Inputs!$B$3-100)*3)+Inputs!$B$27+Inputs!$B$28)))</f>
        <v/>
      </c>
      <c r="E188">
        <f>INDEX(FactorTable!$B$2:$Y$301, MATCH(ROUND(MIN(300,MAX(1,D188)),0), FactorTable!$A$2:$A$301,0), Skills!M3+1)</f>
        <v/>
      </c>
      <c r="F188">
        <f>IF(Skills!N3=TRUE,(Skills!L3/10)*(E188/1000),Skills!L3/10)+Skills!O3</f>
        <v/>
      </c>
      <c r="G188" t="inlineStr"/>
      <c r="H188" t="inlineStr"/>
      <c r="I188" t="inlineStr">
        <is>
          <t>1</t>
        </is>
      </c>
      <c r="J188" t="inlineStr"/>
      <c r="K188" t="inlineStr"/>
      <c r="L188" t="inlineStr"/>
      <c r="M188" t="inlineStr"/>
      <c r="N188" t="inlineStr"/>
      <c r="O188" t="inlineStr"/>
      <c r="P188" t="inlineStr"/>
      <c r="Q188" t="inlineStr"/>
      <c r="R188" t="inlineStr"/>
      <c r="S188" t="inlineStr"/>
      <c r="U188">
        <f>INDEX(FactorTable!$B$2:$Y$301, MATCH(ROUND(MIN(300,MAX(1,U187)),0), FactorTable!$A$2:$A$301,0), 22)</f>
        <v/>
      </c>
    </row>
    <row r="189">
      <c r="A189">
        <f>Skills!A4</f>
        <v/>
      </c>
      <c r="B189">
        <f>Skills!B4</f>
        <v/>
      </c>
      <c r="C189">
        <f>Inputs!$B$3&gt;=35</f>
        <v/>
      </c>
      <c r="D189">
        <f>IF(Skills!C4=1,60+Inputs!$B$24+Inputs!$B$28,IF(Skills!C4=2,90+Inputs!$B$25+Inputs!$B$28,IF(Skills!C4=3,120+Inputs!$B$26+Inputs!$B$28,MAX(0,(Inputs!$B$3-100)*3)+Inputs!$B$27+Inputs!$B$28)))</f>
        <v/>
      </c>
      <c r="E189">
        <f>INDEX(FactorTable!$B$2:$Y$301, MATCH(ROUND(MIN(300,MAX(1,D189)),0), FactorTable!$A$2:$A$301,0), Skills!M4+1)</f>
        <v/>
      </c>
      <c r="F189">
        <f>IF(Skills!N4=TRUE,(Skills!L4/10)*(E189/1000),Skills!L4/10)+Skills!O4</f>
        <v/>
      </c>
      <c r="G189">
        <f>Skills!G4*IF(Skills!H4&gt;0,Skills!I4/Skills!H4,1)</f>
        <v/>
      </c>
      <c r="H189">
        <f>1-(1-Skills!J4/100)^Skills!K4</f>
        <v/>
      </c>
      <c r="I189" t="inlineStr">
        <is>
          <t>1</t>
        </is>
      </c>
      <c r="J189">
        <f>(Inputs!$B$5*(1+Inputs!$B$6/100))*(F189/100)</f>
        <v/>
      </c>
      <c r="K189">
        <f>J189*(1+((Inputs!$B$11*(1+Inputs!$B$12/100))*0.01+Inputs!$B$13*0.0025)/100)*(1+Inputs!$B$14/100)*(1+IF(Inputs!$B$4="pvp",0,(1-Summary!$B$55)*(Inputs!$B$19+0+Skills!P4)+Summary!$B$55*(Inputs!$B$20+Skills!Q4))/100)*(1+(Inputs!$B$15+1)/100)*(5000/(6000+Inputs!$B$7*(1-(Inputs!$B$18+0)/100)))*(1+(Inputs!$B$23+0+B218)/100)*(1+4.0*IF(C197=TRUE,F197,0)/100)*(1+(IF(Skills!A4="BLAST",Inputs!$B$16+((C206=TRUE)*(F206-Calc!F21)),Inputs!$B$17+((C208=TRUE)*(F208-Calc!F23))))/100)*((1+(((C198=TRUE)*F198*MIN(1,Skills!T13*(Skills!J13/100)*B216))+((C203=TRUE)*F203*IF(AND(Inputs!$B$4&lt;&gt;"pvp",Inputs!$B$35&gt;0),(((S203-1)*(Skills!T18*(1+Inputs!$B$33/100))+MIN((Skills!T18*(1+Inputs!$B$33/100)),MAX(0,Inputs!$B$35-((S203-1)*Skills!D18))))/Inputs!$B$35),IF(Inputs!$B$4="pvp",MIN((Skills!T18*(1+Inputs!$B$33/100)),15)/15,(Skills!T18*(1+Inputs!$B$33/100))/Skills!D18)))+0)/100)*I189)</f>
        <v/>
      </c>
      <c r="L189">
        <f>K189*(MIN(Inputs!$B$21+((C207=TRUE)*(F207-Calc!F22)),Inputs!$B$22+((C209=TRUE)*(F209-Calc!F24)))/100+(Inputs!$B$22+((C209=TRUE)*(F209-Calc!F24)))/100)/2</f>
        <v/>
      </c>
      <c r="M189">
        <f>L189*(1+(Inputs!$B$9+0+B217)/100)</f>
        <v/>
      </c>
      <c r="N189">
        <f>L189*(1-MIN((Inputs!$B$8+0+B212),100)/100)+M189*(MIN((Inputs!$B$8+0+B212),100)/100)</f>
        <v/>
      </c>
      <c r="O189">
        <f>IF(C189,H189*N189*IF(AND(Inputs!$B$4&lt;&gt;"pvp",Inputs!$B$35&gt;0),((Skills!G4*((R189-1)*IF(Skills!H4&gt;0,Skills!I4/Skills!H4,1)+IF(Skills!H4&gt;0,MIN(Skills!I4,MAX(0,Inputs!$B$35-((R189-1)*IF(Inputs!$B$4="pvp",15,MAX(0.1,Skills!D4-IF(Skills!E4=TRUE,Inputs!$B$31,0))))))/Skills!H4,1)))/Inputs!$B$35),G189*Q189)*IF(Inputs!$B$4="pvp",1,(1-Summary!$B$55)*(1)+Summary!$B$55*(MIN(Skills!R4,Inputs!$B$37))),0)</f>
        <v/>
      </c>
      <c r="P189">
        <f>IF(B220=0,0,O189/B220)</f>
        <v/>
      </c>
      <c r="Q189">
        <f>IFERROR(1/IF(Inputs!$B$4="pvp",15,MAX(0.1,Skills!D4-IF(Skills!E4=TRUE,Inputs!$B$31,0))),0)</f>
        <v/>
      </c>
      <c r="R189">
        <f>IF(AND(Inputs!$B$4&lt;&gt;"pvp",Inputs!$B$35&gt;0),(INT(Inputs!$B$35/IF(Inputs!$B$4="pvp",15,MAX(0.1,Skills!D4-IF(Skills!E4=TRUE,Inputs!$B$31,0))))+1),0)</f>
        <v/>
      </c>
      <c r="S189">
        <f>IFERROR(O189/N189,0)</f>
        <v/>
      </c>
      <c r="U189">
        <f>290*U188/1000</f>
        <v/>
      </c>
    </row>
    <row r="190">
      <c r="A190">
        <f>Skills!A5</f>
        <v/>
      </c>
      <c r="B190">
        <f>Skills!B5</f>
        <v/>
      </c>
      <c r="C190">
        <f>Inputs!$B$3&gt;=66</f>
        <v/>
      </c>
      <c r="D190">
        <f>IF(Skills!C5=1,60+Inputs!$B$24+Inputs!$B$28,IF(Skills!C5=2,90+Inputs!$B$25+Inputs!$B$28,IF(Skills!C5=3,120+Inputs!$B$26+Inputs!$B$28,MAX(0,(Inputs!$B$3-100)*3)+Inputs!$B$27+Inputs!$B$28)))</f>
        <v/>
      </c>
      <c r="E190">
        <f>INDEX(FactorTable!$B$2:$Y$301, MATCH(ROUND(MIN(300,MAX(1,D190)),0), FactorTable!$A$2:$A$301,0), Skills!M5+1)</f>
        <v/>
      </c>
      <c r="F190">
        <f>IF(Skills!N5=TRUE,(Skills!L5/10)*(E190/1000),Skills!L5/10)+Skills!O5</f>
        <v/>
      </c>
      <c r="G190">
        <f>Skills!G5*IF(Skills!H5&gt;0,Skills!I5/Skills!H5,1)</f>
        <v/>
      </c>
      <c r="H190">
        <f>1-(1-Skills!J5/100)^Skills!K5</f>
        <v/>
      </c>
      <c r="I190" t="inlineStr">
        <is>
          <t>1</t>
        </is>
      </c>
      <c r="J190">
        <f>(Inputs!$B$5*(1+Inputs!$B$6/100))*(F190/100)</f>
        <v/>
      </c>
      <c r="K190">
        <f>J190*(1+((Inputs!$B$11*(1+Inputs!$B$12/100))*0.01+Inputs!$B$13*0.0025)/100)*(1+Inputs!$B$14/100)*(1+IF(Inputs!$B$4="pvp",0,(1-Summary!$B$55)*(Inputs!$B$19+0+Skills!P5)+Summary!$B$55*(Inputs!$B$20+Skills!Q5))/100)*(1+(Inputs!$B$15+1)/100)*(5000/(6000+Inputs!$B$7*(1-(Inputs!$B$18+0)/100)))*(1+(Inputs!$B$23+0+B218)/100)*(1+1.0*IF(C197=TRUE,F197,0)/100)*(1+(IF(Skills!A5="BLAST",Inputs!$B$16+((C206=TRUE)*(F206-Calc!F21)),Inputs!$B$17+((C208=TRUE)*(F208-Calc!F23))))/100)*((1+(((C198=TRUE)*F198*MIN(1,Skills!T13*(Skills!J13/100)*B216))+((C203=TRUE)*F203*IF(AND(Inputs!$B$4&lt;&gt;"pvp",Inputs!$B$35&gt;0),(((S203-1)*(Skills!T18*(1+Inputs!$B$33/100))+MIN((Skills!T18*(1+Inputs!$B$33/100)),MAX(0,Inputs!$B$35-((S203-1)*Skills!D18))))/Inputs!$B$35),IF(Inputs!$B$4="pvp",MIN((Skills!T18*(1+Inputs!$B$33/100)),15)/15,(Skills!T18*(1+Inputs!$B$33/100))/Skills!D18)))+0)/100)*I190)</f>
        <v/>
      </c>
      <c r="L190">
        <f>K190*(MIN(Inputs!$B$21+((C207=TRUE)*(F207-Calc!F22)),Inputs!$B$22+((C209=TRUE)*(F209-Calc!F24)))/100+(Inputs!$B$22+((C209=TRUE)*(F209-Calc!F24)))/100)/2</f>
        <v/>
      </c>
      <c r="M190">
        <f>L190*(1+(Inputs!$B$9+0+B217)/100)</f>
        <v/>
      </c>
      <c r="N190">
        <f>L190*(1-MIN((Inputs!$B$8+0+B212),100)/100)+M190*(MIN((Inputs!$B$8+0+B212),100)/100)</f>
        <v/>
      </c>
      <c r="O190">
        <f>IF(C190,H190*N190*IF(AND(Inputs!$B$4&lt;&gt;"pvp",Inputs!$B$35&gt;0),((Skills!G5*((R190-1)*IF(Skills!H5&gt;0,Skills!I5/Skills!H5,1)+IF(Skills!H5&gt;0,MIN(Skills!I5,MAX(0,Inputs!$B$35-((R190-1)*IF(Inputs!$B$4="pvp",15,MAX(0.1,Skills!D5-IF(Skills!E5=TRUE,Inputs!$B$31,0))))))/Skills!H5,1)))/Inputs!$B$35),G190*Q190)*IF(Inputs!$B$4="pvp",1,(1-Summary!$B$55)*(1)+Summary!$B$55*(MIN(Skills!R5,Inputs!$B$37))),0)</f>
        <v/>
      </c>
      <c r="P190">
        <f>IF(B220=0,0,O190/B220)</f>
        <v/>
      </c>
      <c r="Q190">
        <f>IFERROR(1/IF(Inputs!$B$4="pvp",15,MAX(0.1,Skills!D5-IF(Skills!E5=TRUE,Inputs!$B$31,0))),0)</f>
        <v/>
      </c>
      <c r="R190">
        <f>IF(AND(Inputs!$B$4&lt;&gt;"pvp",Inputs!$B$35&gt;0),(INT(Inputs!$B$35/IF(Inputs!$B$4="pvp",15,MAX(0.1,Skills!D5-IF(Skills!E5=TRUE,Inputs!$B$31,0))))+1),0)</f>
        <v/>
      </c>
      <c r="S190">
        <f>IFERROR(O190/N190,0)</f>
        <v/>
      </c>
    </row>
    <row r="191">
      <c r="A191">
        <f>Skills!A6</f>
        <v/>
      </c>
      <c r="B191">
        <f>Skills!B6</f>
        <v/>
      </c>
      <c r="C191">
        <f>Inputs!$B$3&gt;=103</f>
        <v/>
      </c>
      <c r="D191">
        <f>IF(Skills!C6=1,60+Inputs!$B$24+Inputs!$B$28,IF(Skills!C6=2,90+Inputs!$B$25+Inputs!$B$28,IF(Skills!C6=3,120+Inputs!$B$26+Inputs!$B$28,MAX(0,(Inputs!$B$3-100)*3)+Inputs!$B$27+Inputs!$B$28)))</f>
        <v/>
      </c>
      <c r="E191">
        <f>INDEX(FactorTable!$B$2:$Y$301, MATCH(ROUND(MIN(300,MAX(1,D191)),0), FactorTable!$A$2:$A$301,0), Skills!M6+1)</f>
        <v/>
      </c>
      <c r="F191">
        <f>IF(Skills!N6=TRUE,(Skills!L6/10)*(E191/1000),Skills!L6/10)+Skills!O6</f>
        <v/>
      </c>
      <c r="G191">
        <f>Skills!G6*IF(Skills!H6&gt;0,Skills!I6/Skills!H6,1)</f>
        <v/>
      </c>
      <c r="H191">
        <f>1-(1-Skills!J6/100)^Skills!K6</f>
        <v/>
      </c>
      <c r="I191" t="inlineStr">
        <is>
          <t>1</t>
        </is>
      </c>
      <c r="J191">
        <f>(Inputs!$B$5*(1+Inputs!$B$6/100))*(F191/100)</f>
        <v/>
      </c>
      <c r="K191">
        <f>J191*(1+((Inputs!$B$11*(1+Inputs!$B$12/100))*0.01+Inputs!$B$13*0.0025)/100)*(1+Inputs!$B$14/100)*(1+IF(Inputs!$B$4="pvp",0,(1-Summary!$B$55)*(Inputs!$B$19+0+Skills!P6)+Summary!$B$55*(Inputs!$B$20+Skills!Q6))/100)*(1+(Inputs!$B$15+1)/100)*(5000/(6000+Inputs!$B$7*(1-(Inputs!$B$18+0)/100)))*(1+(Inputs!$B$23+0+B218)/100)*(1+(IF(Skills!A6="BLAST",Inputs!$B$16+((C206=TRUE)*(F206-Calc!F21)),Inputs!$B$17+((C208=TRUE)*(F208-Calc!F23))))/100)*((1+(((C198=TRUE)*F198*MIN(1,Skills!T13*(Skills!J13/100)*B216))+((C203=TRUE)*F203*IF(AND(Inputs!$B$4&lt;&gt;"pvp",Inputs!$B$35&gt;0),(((S203-1)*(Skills!T18*(1+Inputs!$B$33/100))+MIN((Skills!T18*(1+Inputs!$B$33/100)),MAX(0,Inputs!$B$35-((S203-1)*Skills!D18))))/Inputs!$B$35),IF(Inputs!$B$4="pvp",MIN((Skills!T18*(1+Inputs!$B$33/100)),15)/15,(Skills!T18*(1+Inputs!$B$33/100))/Skills!D18)))+0)/100)*I191)</f>
        <v/>
      </c>
      <c r="L191">
        <f>K191*(MIN(Inputs!$B$21+((C207=TRUE)*(F207-Calc!F22)),Inputs!$B$22+((C209=TRUE)*(F209-Calc!F24)))/100+(Inputs!$B$22+((C209=TRUE)*(F209-Calc!F24)))/100)/2</f>
        <v/>
      </c>
      <c r="M191">
        <f>L191*(1+(Inputs!$B$9+0+B217)/100)</f>
        <v/>
      </c>
      <c r="N191">
        <f>L191*(1-MIN((Inputs!$B$8+0+B212),100)/100)+M191*(MIN((Inputs!$B$8+0+B212),100)/100)</f>
        <v/>
      </c>
      <c r="O191">
        <f>IF(C191,H191*N191*IF(AND(Inputs!$B$4&lt;&gt;"pvp",Inputs!$B$35&gt;0),((Skills!G6*((R191-1)*IF(Skills!H6&gt;0,Skills!I6/Skills!H6,1)+IF(Skills!H6&gt;0,MIN(Skills!I6,MAX(0,Inputs!$B$35-((R191-1)*IF(Inputs!$B$4="pvp",15,MAX(0.1,Skills!D6-IF(Skills!E6=TRUE,Inputs!$B$31,0))))))/Skills!H6,1)))/Inputs!$B$35),G191*Q191)*IF(Inputs!$B$4="pvp",1,(1-Summary!$B$55)*(1)+Summary!$B$55*(MIN(Skills!R6,Inputs!$B$37))),0)</f>
        <v/>
      </c>
      <c r="P191">
        <f>IF(B220=0,0,O191/B220)</f>
        <v/>
      </c>
      <c r="Q191">
        <f>IFERROR(1/IF(Inputs!$B$4="pvp",15,MAX(0.1,Skills!D6-IF(Skills!E6=TRUE,Inputs!$B$31,0))),0)</f>
        <v/>
      </c>
      <c r="R191">
        <f>IF(AND(Inputs!$B$4&lt;&gt;"pvp",Inputs!$B$35&gt;0),(INT(Inputs!$B$35/IF(Inputs!$B$4="pvp",15,MAX(0.1,Skills!D6-IF(Skills!E6=TRUE,Inputs!$B$31,0))))+1),0)</f>
        <v/>
      </c>
      <c r="S191">
        <f>IFERROR(O191/N191,0)</f>
        <v/>
      </c>
    </row>
    <row r="192">
      <c r="A192">
        <f>Skills!A7</f>
        <v/>
      </c>
      <c r="B192">
        <f>Skills!B7</f>
        <v/>
      </c>
      <c r="C192">
        <f>Inputs!$B$3&gt;=107</f>
        <v/>
      </c>
      <c r="D192">
        <f>IF(Skills!C7=1,60+Inputs!$B$24+Inputs!$B$28,IF(Skills!C7=2,90+Inputs!$B$25+Inputs!$B$28,IF(Skills!C7=3,120+Inputs!$B$26+Inputs!$B$28,MAX(0,(Inputs!$B$3-100)*3)+Inputs!$B$27+Inputs!$B$28)))</f>
        <v/>
      </c>
      <c r="E192">
        <f>INDEX(FactorTable!$B$2:$Y$301, MATCH(ROUND(MIN(300,MAX(1,D192)),0), FactorTable!$A$2:$A$301,0), Skills!M7+1)</f>
        <v/>
      </c>
      <c r="F192">
        <f>IF(Skills!N7=TRUE,(Skills!L7/10)*(E192/1000),Skills!L7/10)+Skills!O7</f>
        <v/>
      </c>
      <c r="G192">
        <f>Skills!G7*IF(Skills!H7&gt;0,Skills!I7/Skills!H7,1)</f>
        <v/>
      </c>
      <c r="H192">
        <f>1-(1-Skills!J7/100)^Skills!K7</f>
        <v/>
      </c>
      <c r="I192" t="inlineStr">
        <is>
          <t>1</t>
        </is>
      </c>
      <c r="J192">
        <f>(Inputs!$B$5*(1+Inputs!$B$6/100))*(F192/100)</f>
        <v/>
      </c>
      <c r="K192">
        <f>J192*(1+((Inputs!$B$11*(1+Inputs!$B$12/100))*0.01+Inputs!$B$13*0.0025)/100)*(1+Inputs!$B$14/100)*(1+IF(Inputs!$B$4="pvp",0,(1-Summary!$B$55)*(Inputs!$B$19+0+Skills!P7)+Summary!$B$55*(Inputs!$B$20+Skills!Q7))/100)*(1+(Inputs!$B$15+1)/100)*(5000/(6000+Inputs!$B$7*(1-(Inputs!$B$18+0)/100)))*(1+(Inputs!$B$23+0+B218)/100)*(1+(IF(Skills!A7="BLAST",Inputs!$B$16+((C206=TRUE)*(F206-Calc!F21)),Inputs!$B$17+((C208=TRUE)*(F208-Calc!F23))))/100)*((1+(((C198=TRUE)*F198*MIN(1,Skills!T13*(Skills!J13/100)*B216))+((C203=TRUE)*F203*IF(AND(Inputs!$B$4&lt;&gt;"pvp",Inputs!$B$35&gt;0),(((S203-1)*(Skills!T18*(1+Inputs!$B$33/100))+MIN((Skills!T18*(1+Inputs!$B$33/100)),MAX(0,Inputs!$B$35-((S203-1)*Skills!D18))))/Inputs!$B$35),IF(Inputs!$B$4="pvp",MIN((Skills!T18*(1+Inputs!$B$33/100)),15)/15,(Skills!T18*(1+Inputs!$B$33/100))/Skills!D18)))+0)/100)*I192)</f>
        <v/>
      </c>
      <c r="L192">
        <f>K192*(MIN(Inputs!$B$21+((C207=TRUE)*(F207-Calc!F22)),Inputs!$B$22+((C209=TRUE)*(F209-Calc!F24)))/100+(Inputs!$B$22+((C209=TRUE)*(F209-Calc!F24)))/100)/2</f>
        <v/>
      </c>
      <c r="M192">
        <f>L192*(1+(Inputs!$B$9+0+B217)/100)</f>
        <v/>
      </c>
      <c r="N192">
        <f>L192*(1-MIN((Inputs!$B$8+0+B212),100)/100)+M192*(MIN((Inputs!$B$8+0+B212),100)/100)</f>
        <v/>
      </c>
      <c r="O192">
        <f>IF(C192,H192*N192*IF(AND(Inputs!$B$4&lt;&gt;"pvp",Inputs!$B$35&gt;0),((Skills!G7*((R192-1)*IF(Skills!H7&gt;0,Skills!I7/Skills!H7,1)+IF(Skills!H7&gt;0,MIN(Skills!I7,MAX(0,Inputs!$B$35-((R192-1)*IF(Inputs!$B$4="pvp",15,MAX(0.1,Skills!D7-IF(Skills!E7=TRUE,Inputs!$B$31,0))))))/Skills!H7,1)))/Inputs!$B$35),G192*Q192)*IF(Inputs!$B$4="pvp",1,(1-Summary!$B$55)*(1)+Summary!$B$55*(MIN(Skills!R7,Inputs!$B$37))),0)</f>
        <v/>
      </c>
      <c r="P192">
        <f>IF(B220=0,0,O192/B220)</f>
        <v/>
      </c>
      <c r="Q192">
        <f>IFERROR(1/IF(Inputs!$B$4="pvp",15,MAX(0.1,Skills!D7-IF(Skills!E7=TRUE,Inputs!$B$31,0))),0)</f>
        <v/>
      </c>
      <c r="R192">
        <f>IF(AND(Inputs!$B$4&lt;&gt;"pvp",Inputs!$B$35&gt;0),(INT(Inputs!$B$35/IF(Inputs!$B$4="pvp",15,MAX(0.1,Skills!D7-IF(Skills!E7=TRUE,Inputs!$B$31,0))))+1),0)</f>
        <v/>
      </c>
      <c r="S192">
        <f>IFERROR(O192/N192,0)</f>
        <v/>
      </c>
    </row>
    <row r="193">
      <c r="A193">
        <f>Skills!A8</f>
        <v/>
      </c>
      <c r="B193">
        <f>Skills!B8</f>
        <v/>
      </c>
      <c r="C193">
        <f>Inputs!$B$3&gt;=107</f>
        <v/>
      </c>
      <c r="D193">
        <f>IF(Skills!C8=1,60+Inputs!$B$24+Inputs!$B$28,IF(Skills!C8=2,90+Inputs!$B$25+Inputs!$B$28,IF(Skills!C8=3,120+Inputs!$B$26+Inputs!$B$28,MAX(0,(Inputs!$B$3-100)*3)+Inputs!$B$27+Inputs!$B$28)))</f>
        <v/>
      </c>
      <c r="E193">
        <f>INDEX(FactorTable!$B$2:$Y$301, MATCH(ROUND(MIN(300,MAX(1,D193)),0), FactorTable!$A$2:$A$301,0), Skills!M8+1)</f>
        <v/>
      </c>
      <c r="F193">
        <f>IF(Skills!N8=TRUE,(Skills!L8/10)*(E193/1000),Skills!L8/10)+Skills!O8</f>
        <v/>
      </c>
      <c r="G193">
        <f>Skills!G8*IF(Skills!H8&gt;0,Skills!I8/Skills!H8,1)</f>
        <v/>
      </c>
      <c r="H193">
        <f>1-(1-Skills!J8/100)^Skills!K8</f>
        <v/>
      </c>
      <c r="I193" t="inlineStr">
        <is>
          <t>1</t>
        </is>
      </c>
      <c r="J193">
        <f>(Inputs!$B$5*(1+Inputs!$B$6/100))*(F193/100)</f>
        <v/>
      </c>
      <c r="K193">
        <f>J193*(1+((Inputs!$B$11*(1+Inputs!$B$12/100))*0.01+Inputs!$B$13*0.0025)/100)*(1+Inputs!$B$14/100)*(1+IF(Inputs!$B$4="pvp",0,(1-Summary!$B$55)*(Inputs!$B$19+0+Skills!P8)+Summary!$B$55*(Inputs!$B$20+Skills!Q8))/100)*(1+(Inputs!$B$15+1)/100)*(5000/(6000+Inputs!$B$7*(1-(Inputs!$B$18+0)/100)))*(1+(Inputs!$B$23+0+B218)/100)*(1+(IF(Skills!A8="BLAST",Inputs!$B$16+((C206=TRUE)*(F206-Calc!F21)),Inputs!$B$17+((C208=TRUE)*(F208-Calc!F23))))/100)*((1+(((C198=TRUE)*F198*MIN(1,Skills!T13*(Skills!J13/100)*B216))+((C203=TRUE)*F203*IF(AND(Inputs!$B$4&lt;&gt;"pvp",Inputs!$B$35&gt;0),(((S203-1)*(Skills!T18*(1+Inputs!$B$33/100))+MIN((Skills!T18*(1+Inputs!$B$33/100)),MAX(0,Inputs!$B$35-((S203-1)*Skills!D18))))/Inputs!$B$35),IF(Inputs!$B$4="pvp",MIN((Skills!T18*(1+Inputs!$B$33/100)),15)/15,(Skills!T18*(1+Inputs!$B$33/100))/Skills!D18)))+0)/100)*I193)</f>
        <v/>
      </c>
      <c r="L193">
        <f>K193*(MIN(Inputs!$B$21+((C207=TRUE)*(F207-Calc!F22)),Inputs!$B$22+((C209=TRUE)*(F209-Calc!F24)))/100+(Inputs!$B$22+((C209=TRUE)*(F209-Calc!F24)))/100)/2</f>
        <v/>
      </c>
      <c r="M193">
        <f>L193*(1+(Inputs!$B$9+0+B217)/100)</f>
        <v/>
      </c>
      <c r="N193">
        <f>L193*(1-MIN((Inputs!$B$8+0+B212),100)/100)+M193*(MIN((Inputs!$B$8+0+B212),100)/100)</f>
        <v/>
      </c>
      <c r="O193">
        <f>IF(C193,H193*N193*IF(AND(Inputs!$B$4&lt;&gt;"pvp",Inputs!$B$35&gt;0),((Skills!G8*((R193-1)*IF(Skills!H8&gt;0,Skills!I8/Skills!H8,1)+IF(Skills!H8&gt;0,MIN(Skills!I8,MAX(0,Inputs!$B$35-((R193-1)*IF(Inputs!$B$4="pvp",15,MAX(0.1,Skills!D8-IF(Skills!E8=TRUE,Inputs!$B$31,0))))))/Skills!H8,1)))/Inputs!$B$35),G193*Q193)*IF(Inputs!$B$4="pvp",1,(1-Summary!$B$55)*(1)+Summary!$B$55*(MIN(Skills!R8,Inputs!$B$37))),0)</f>
        <v/>
      </c>
      <c r="P193">
        <f>IF(B220=0,0,O193/B220)</f>
        <v/>
      </c>
      <c r="Q193">
        <f>IFERROR(1/IF(Inputs!$B$4="pvp",15,MAX(0.1,Skills!D8-IF(Skills!E8=TRUE,Inputs!$B$31,0))),0)</f>
        <v/>
      </c>
      <c r="R193">
        <f>IF(AND(Inputs!$B$4&lt;&gt;"pvp",Inputs!$B$35&gt;0),(INT(Inputs!$B$35/IF(Inputs!$B$4="pvp",15,MAX(0.1,Skills!D8-IF(Skills!E8=TRUE,Inputs!$B$31,0))))+1),0)</f>
        <v/>
      </c>
      <c r="S193">
        <f>IFERROR(O193/N193,0)</f>
        <v/>
      </c>
    </row>
    <row r="194">
      <c r="A194">
        <f>Skills!A9</f>
        <v/>
      </c>
      <c r="B194">
        <f>Skills!B9</f>
        <v/>
      </c>
      <c r="C194">
        <f>Inputs!$B$3&gt;=125</f>
        <v/>
      </c>
      <c r="D194">
        <f>IF(Skills!C9=1,60+Inputs!$B$24+Inputs!$B$28,IF(Skills!C9=2,90+Inputs!$B$25+Inputs!$B$28,IF(Skills!C9=3,120+Inputs!$B$26+Inputs!$B$28,MAX(0,(Inputs!$B$3-100)*3)+Inputs!$B$27+Inputs!$B$28)))</f>
        <v/>
      </c>
      <c r="E194">
        <f>INDEX(FactorTable!$B$2:$Y$301, MATCH(ROUND(MIN(300,MAX(1,D194)),0), FactorTable!$A$2:$A$301,0), Skills!M9+1)</f>
        <v/>
      </c>
      <c r="F194">
        <f>IF(Skills!N9=TRUE,(Skills!L9/10)*(E194/1000),Skills!L9/10)+Skills!O9</f>
        <v/>
      </c>
      <c r="G194">
        <f>Skills!G9*IF(Skills!H9&gt;0,Skills!I9/Skills!H9,1)</f>
        <v/>
      </c>
      <c r="H194">
        <f>1-(1-Skills!J9/100)^Skills!K9</f>
        <v/>
      </c>
      <c r="I194" t="inlineStr">
        <is>
          <t>1</t>
        </is>
      </c>
      <c r="J194">
        <f>(Inputs!$B$5*(1+Inputs!$B$6/100))*(F194/100)</f>
        <v/>
      </c>
      <c r="K194">
        <f>J194*(1+((Inputs!$B$11*(1+Inputs!$B$12/100))*0.01+Inputs!$B$13*0.0025)/100)*(1+Inputs!$B$14/100)*(1+IF(Inputs!$B$4="pvp",0,(1-Summary!$B$55)*(Inputs!$B$19+0+Skills!P9)+Summary!$B$55*(Inputs!$B$20+Skills!Q9))/100)*(1+(Inputs!$B$15+1)/100)*(5000/(6000+Inputs!$B$7*(1-(Inputs!$B$18+0)/100)))*(1+(Inputs!$B$23+0+B218)/100)*(1+(IF(Skills!A9="BLAST",Inputs!$B$16+((C206=TRUE)*(F206-Calc!F21)),Inputs!$B$17+((C208=TRUE)*(F208-Calc!F23))))/100)*((1+(((C198=TRUE)*F198*MIN(1,Skills!T13*(Skills!J13/100)*B216))+((C203=TRUE)*F203*IF(AND(Inputs!$B$4&lt;&gt;"pvp",Inputs!$B$35&gt;0),(((S203-1)*(Skills!T18*(1+Inputs!$B$33/100))+MIN((Skills!T18*(1+Inputs!$B$33/100)),MAX(0,Inputs!$B$35-((S203-1)*Skills!D18))))/Inputs!$B$35),IF(Inputs!$B$4="pvp",MIN((Skills!T18*(1+Inputs!$B$33/100)),15)/15,(Skills!T18*(1+Inputs!$B$33/100))/Skills!D18)))+0)/100)*I194)</f>
        <v/>
      </c>
      <c r="L194">
        <f>K194*(MIN(Inputs!$B$21+((C207=TRUE)*(F207-Calc!F22)),Inputs!$B$22+((C209=TRUE)*(F209-Calc!F24)))/100+(Inputs!$B$22+((C209=TRUE)*(F209-Calc!F24)))/100)/2</f>
        <v/>
      </c>
      <c r="M194">
        <f>L194*(1+(Inputs!$B$9+0+B217)/100)</f>
        <v/>
      </c>
      <c r="N194">
        <f>L194*(1-MIN((Inputs!$B$8+0+B212),100)/100)+M194*(MIN((Inputs!$B$8+0+B212),100)/100)</f>
        <v/>
      </c>
      <c r="O194">
        <f>IF(C194,H194*N194*IF(AND(Inputs!$B$4&lt;&gt;"pvp",Inputs!$B$35&gt;0),((Skills!G9*((R194-1)*IF(Skills!H9&gt;0,Skills!I9/Skills!H9,1)+IF(Skills!H9&gt;0,MIN(Skills!I9,MAX(0,Inputs!$B$35-((R194-1)*IF(Inputs!$B$4="pvp",15,MAX(0.1,Skills!D9-IF(Skills!E9=TRUE,Inputs!$B$31,0))))))/Skills!H9,1)))/Inputs!$B$35),G194*Q194)*IF(Inputs!$B$4="pvp",1,(1-Summary!$B$55)*(1)+Summary!$B$55*(MIN(Skills!R9,Inputs!$B$37))),0)</f>
        <v/>
      </c>
      <c r="P194">
        <f>IF(B220=0,0,O194/B220)</f>
        <v/>
      </c>
      <c r="Q194">
        <f>IFERROR(1/IF(Inputs!$B$4="pvp",15,MAX(0.1,Skills!D9-IF(Skills!E9=TRUE,Inputs!$B$31,0))),0)</f>
        <v/>
      </c>
      <c r="R194">
        <f>IF(AND(Inputs!$B$4&lt;&gt;"pvp",Inputs!$B$35&gt;0),(INT(Inputs!$B$35/IF(Inputs!$B$4="pvp",15,MAX(0.1,Skills!D9-IF(Skills!E9=TRUE,Inputs!$B$31,0))))+1),0)</f>
        <v/>
      </c>
      <c r="S194">
        <f>IFERROR(O194/N194,0)</f>
        <v/>
      </c>
    </row>
    <row r="195">
      <c r="A195">
        <f>Skills!A10</f>
        <v/>
      </c>
      <c r="B195">
        <f>Skills!B10</f>
        <v/>
      </c>
      <c r="C195">
        <f>Inputs!$B$3&gt;=117</f>
        <v/>
      </c>
      <c r="D195">
        <f>IF(Skills!C10=1,60+Inputs!$B$24+Inputs!$B$28,IF(Skills!C10=2,90+Inputs!$B$25+Inputs!$B$28,IF(Skills!C10=3,120+Inputs!$B$26+Inputs!$B$28,MAX(0,(Inputs!$B$3-100)*3)+Inputs!$B$27+Inputs!$B$28)))</f>
        <v/>
      </c>
      <c r="E195">
        <f>INDEX(FactorTable!$B$2:$Y$301, MATCH(ROUND(MIN(300,MAX(1,D195)),0), FactorTable!$A$2:$A$301,0), Skills!M10+1)</f>
        <v/>
      </c>
      <c r="F195">
        <f>IF(Skills!N10=TRUE,(Skills!L10/10)*(E195/1000),Skills!L10/10)+Skills!O10</f>
        <v/>
      </c>
      <c r="G195">
        <f>Skills!G10*IF(Skills!H10&gt;0,Skills!I10/Skills!H10,1)</f>
        <v/>
      </c>
      <c r="H195">
        <f>1-(1-Skills!J10/100)^Skills!K10</f>
        <v/>
      </c>
      <c r="I195" t="inlineStr">
        <is>
          <t>1</t>
        </is>
      </c>
      <c r="J195">
        <f>(Inputs!$B$5*(1+Inputs!$B$6/100))*(F195/100)</f>
        <v/>
      </c>
      <c r="K195">
        <f>J195*(1+((Inputs!$B$11*(1+Inputs!$B$12/100))*0.01+Inputs!$B$13*0.0025)/100)*(1+Inputs!$B$14/100)*(1+IF(Inputs!$B$4="pvp",0,(1-Summary!$B$55)*(Inputs!$B$19+0+Skills!P10)+Summary!$B$55*(Inputs!$B$20+Skills!Q10))/100)*(1+(Inputs!$B$15+1)/100)*(5000/(6000+Inputs!$B$7*(1-(Inputs!$B$18+0)/100)))*(1+(Inputs!$B$23+0+B218)/100)*(1+(IF(Skills!A10="BLAST",Inputs!$B$16+((C206=TRUE)*(F206-Calc!F21)),Inputs!$B$17+((C208=TRUE)*(F208-Calc!F23))))/100)*((1+(((C198=TRUE)*F198*MIN(1,Skills!T13*(Skills!J13/100)*B216))+((C203=TRUE)*F203*IF(AND(Inputs!$B$4&lt;&gt;"pvp",Inputs!$B$35&gt;0),(((S203-1)*(Skills!T18*(1+Inputs!$B$33/100))+MIN((Skills!T18*(1+Inputs!$B$33/100)),MAX(0,Inputs!$B$35-((S203-1)*Skills!D18))))/Inputs!$B$35),IF(Inputs!$B$4="pvp",MIN((Skills!T18*(1+Inputs!$B$33/100)),15)/15,(Skills!T18*(1+Inputs!$B$33/100))/Skills!D18)))+0)/100)*I195)</f>
        <v/>
      </c>
      <c r="L195">
        <f>K195*(MIN(Inputs!$B$21+((C207=TRUE)*(F207-Calc!F22)),Inputs!$B$22+((C209=TRUE)*(F209-Calc!F24)))/100+(Inputs!$B$22+((C209=TRUE)*(F209-Calc!F24)))/100)/2</f>
        <v/>
      </c>
      <c r="M195">
        <f>L195*(1+(Inputs!$B$9+0+B217)/100)</f>
        <v/>
      </c>
      <c r="N195">
        <f>L195*(1-MIN((Inputs!$B$8+0+B212),100)/100)+M195*(MIN((Inputs!$B$8+0+B212),100)/100)</f>
        <v/>
      </c>
      <c r="O195">
        <f>IF(C195,H195*N195*IF(AND(Inputs!$B$4&lt;&gt;"pvp",Inputs!$B$35&gt;0),((Skills!G10*((R195-1)*IF(Skills!H10&gt;0,Skills!I10/Skills!H10,1)+IF(Skills!H10&gt;0,MIN(Skills!I10,MAX(0,Inputs!$B$35-((R195-1)*IF(Inputs!$B$4="pvp",15,MAX(0.1,Skills!D10-IF(Skills!E10=TRUE,Inputs!$B$31,0))))))/Skills!H10,1)))/Inputs!$B$35),G195*Q195)*IF(Inputs!$B$4="pvp",1,(1-Summary!$B$55)*(1)+Summary!$B$55*(MIN(Skills!R10,Inputs!$B$37))),0)</f>
        <v/>
      </c>
      <c r="P195">
        <f>IF(B220=0,0,O195/B220)</f>
        <v/>
      </c>
      <c r="Q195">
        <f>IFERROR(1/IF(Inputs!$B$4="pvp",15,MAX(0.1,Skills!D10-IF(Skills!E10=TRUE,Inputs!$B$31,0))),0)</f>
        <v/>
      </c>
      <c r="R195">
        <f>IF(AND(Inputs!$B$4&lt;&gt;"pvp",Inputs!$B$35&gt;0),(INT(Inputs!$B$35/IF(Inputs!$B$4="pvp",15,MAX(0.1,Skills!D10-IF(Skills!E10=TRUE,Inputs!$B$31,0))))+1),0)</f>
        <v/>
      </c>
      <c r="S195">
        <f>IFERROR(O195/N195,0)</f>
        <v/>
      </c>
    </row>
    <row r="196">
      <c r="A196">
        <f>Skills!A11</f>
        <v/>
      </c>
      <c r="B196">
        <f>Skills!B11</f>
        <v/>
      </c>
      <c r="C196">
        <f>Inputs!$B$3&gt;=63</f>
        <v/>
      </c>
      <c r="D196">
        <f>IF(Skills!C11=1,60+Inputs!$B$24+Inputs!$B$28,IF(Skills!C11=2,90+Inputs!$B$25+Inputs!$B$28,IF(Skills!C11=3,120+Inputs!$B$26+Inputs!$B$28,MAX(0,(Inputs!$B$3-100)*3)+Inputs!$B$27+Inputs!$B$28)))</f>
        <v/>
      </c>
      <c r="E196">
        <f>INDEX(FactorTable!$B$2:$Y$301, MATCH(ROUND(MIN(300,MAX(1,D196)),0), FactorTable!$A$2:$A$301,0), Skills!M11+1)</f>
        <v/>
      </c>
      <c r="F196">
        <f>IF(Skills!N11=TRUE,(Skills!L11/10)*(E196/1000),Skills!L11/10)+Skills!O11</f>
        <v/>
      </c>
      <c r="G196">
        <f>Skills!G11*IF(Skills!H11&gt;0,Skills!I11/Skills!H11,1)</f>
        <v/>
      </c>
      <c r="H196">
        <f>1-(1-Skills!J11/100)^Skills!K11</f>
        <v/>
      </c>
      <c r="I196" t="inlineStr">
        <is>
          <t>1</t>
        </is>
      </c>
      <c r="J196">
        <f>(Inputs!$B$5*(1+Inputs!$B$6/100))*(F196/100)</f>
        <v/>
      </c>
      <c r="K196">
        <f>J196*(1+((Inputs!$B$11*(1+Inputs!$B$12/100))*0.01+Inputs!$B$13*0.0025)/100)*(1+Inputs!$B$14/100)*(1+IF(Inputs!$B$4="pvp",0,(1-Summary!$B$55)*(Inputs!$B$19+0+Skills!P11)+Summary!$B$55*(Inputs!$B$20+Skills!Q11))/100)*(1+(Inputs!$B$15+1)/100)*(5000/(6000+Inputs!$B$7*(1-(Inputs!$B$18+0)/100)))*(1+(Inputs!$B$23+0+B218)/100)*(1+1.5*IF(C197=TRUE,F197,0)/100)*(1+(IF(Skills!A11="BLAST",Inputs!$B$16+((C206=TRUE)*(F206-Calc!F21)),Inputs!$B$17+((C208=TRUE)*(F208-Calc!F23))))/100)*((1+(((C198=TRUE)*F198*MIN(1,Skills!T13*(Skills!J13/100)*B216))+((C203=TRUE)*F203*IF(AND(Inputs!$B$4&lt;&gt;"pvp",Inputs!$B$35&gt;0),(((S203-1)*(Skills!T18*(1+Inputs!$B$33/100))+MIN((Skills!T18*(1+Inputs!$B$33/100)),MAX(0,Inputs!$B$35-((S203-1)*Skills!D18))))/Inputs!$B$35),IF(Inputs!$B$4="pvp",MIN((Skills!T18*(1+Inputs!$B$33/100)),15)/15,(Skills!T18*(1+Inputs!$B$33/100))/Skills!D18)))+0)/100)*I196)</f>
        <v/>
      </c>
      <c r="L196">
        <f>K196*(MIN(Inputs!$B$21+((C207=TRUE)*(F207-Calc!F22)),Inputs!$B$22+((C209=TRUE)*(F209-Calc!F24)))/100+(Inputs!$B$22+((C209=TRUE)*(F209-Calc!F24)))/100)/2</f>
        <v/>
      </c>
      <c r="M196">
        <f>L196*(1+(Inputs!$B$9+0+B217)/100)</f>
        <v/>
      </c>
      <c r="N196">
        <f>L196*(1-MIN((Inputs!$B$8+0+B212),100)/100)+M196*(MIN((Inputs!$B$8+0+B212),100)/100)</f>
        <v/>
      </c>
      <c r="O196">
        <f>IF(C196,H196*N196*IF(AND(Inputs!$B$4&lt;&gt;"pvp",Inputs!$B$35&gt;0),((Skills!G11*((R196-1)*IF(Skills!H11&gt;0,Skills!I11/Skills!H11,1)+IF(Skills!H11&gt;0,MIN(Skills!I11,MAX(0,Inputs!$B$35-((R196-1)*IF(Inputs!$B$4="pvp",15,MAX(0.1,Skills!D11-IF(Skills!E11=TRUE,Inputs!$B$31,0))))))/Skills!H11,1)))/Inputs!$B$35),G196*Q196)*IF(Inputs!$B$4="pvp",1,(1-Summary!$B$55)*(1)+Summary!$B$55*(MIN(Skills!R11,Inputs!$B$37))),0)</f>
        <v/>
      </c>
      <c r="P196">
        <f>IF(B220=0,0,O196/B220)</f>
        <v/>
      </c>
      <c r="Q196">
        <f>IFERROR(1/IF(Inputs!$B$4="pvp",15,MAX(0.1,Skills!D11-IF(Skills!E11=TRUE,Inputs!$B$31,0))),0)</f>
        <v/>
      </c>
      <c r="R196">
        <f>IF(AND(Inputs!$B$4&lt;&gt;"pvp",Inputs!$B$35&gt;0),(INT(Inputs!$B$35/IF(Inputs!$B$4="pvp",15,MAX(0.1,Skills!D11-IF(Skills!E11=TRUE,Inputs!$B$31,0))))+1),0)</f>
        <v/>
      </c>
      <c r="S196">
        <f>IFERROR(O196/N196,0)</f>
        <v/>
      </c>
    </row>
    <row r="197">
      <c r="A197">
        <f>Skills!A12</f>
        <v/>
      </c>
      <c r="B197">
        <f>Skills!B12</f>
        <v/>
      </c>
      <c r="C197">
        <f>Inputs!$B$3&gt;=100</f>
        <v/>
      </c>
      <c r="D197">
        <f>IF(Skills!C12=1,60+Inputs!$B$24+Inputs!$B$28,IF(Skills!C12=2,90+Inputs!$B$25+Inputs!$B$28,IF(Skills!C12=3,120+Inputs!$B$26+Inputs!$B$28,MAX(0,(Inputs!$B$3-100)*3)+Inputs!$B$27+Inputs!$B$28)))</f>
        <v/>
      </c>
      <c r="E197">
        <f>INDEX(FactorTable!$B$2:$Y$301, MATCH(ROUND(MIN(300,MAX(1,D197)),0), FactorTable!$A$2:$A$301,0), Skills!M12+1)</f>
        <v/>
      </c>
      <c r="F197">
        <f>IF(Skills!N12=TRUE,(Skills!L12/10)*(E197/1000),Skills!L12/10)+Skills!O12</f>
        <v/>
      </c>
      <c r="G197" t="inlineStr"/>
      <c r="H197" t="inlineStr"/>
      <c r="I197" t="inlineStr">
        <is>
          <t>1</t>
        </is>
      </c>
      <c r="J197" t="inlineStr"/>
      <c r="K197" t="inlineStr"/>
      <c r="L197" t="inlineStr"/>
      <c r="M197" t="inlineStr"/>
      <c r="N197" t="inlineStr"/>
      <c r="O197" t="inlineStr"/>
      <c r="P197" t="inlineStr"/>
      <c r="Q197" t="inlineStr"/>
      <c r="R197" t="inlineStr"/>
      <c r="S197" t="inlineStr"/>
    </row>
    <row r="198">
      <c r="A198">
        <f>Skills!A13</f>
        <v/>
      </c>
      <c r="B198">
        <f>Skills!B13</f>
        <v/>
      </c>
      <c r="C198">
        <f>Inputs!$B$3&gt;=45</f>
        <v/>
      </c>
      <c r="D198">
        <f>IF(Skills!C13=1,60+Inputs!$B$24+Inputs!$B$28,IF(Skills!C13=2,90+Inputs!$B$25+Inputs!$B$28,IF(Skills!C13=3,120+Inputs!$B$26+Inputs!$B$28,MAX(0,(Inputs!$B$3-100)*3)+Inputs!$B$27+Inputs!$B$28)))</f>
        <v/>
      </c>
      <c r="E198">
        <f>INDEX(FactorTable!$B$2:$Y$301, MATCH(ROUND(MIN(300,MAX(1,D198)),0), FactorTable!$A$2:$A$301,0), Skills!M13+1)</f>
        <v/>
      </c>
      <c r="F198">
        <f>IF(Skills!N13=TRUE,(Skills!L13/10)*(E198/1000),Skills!L13/10)+Skills!O13</f>
        <v/>
      </c>
      <c r="G198">
        <f>Skills!G13*IF(Skills!H13&gt;0,Skills!I13/Skills!H13,1)</f>
        <v/>
      </c>
      <c r="H198">
        <f>1-(1-Skills!J13/100)^Skills!K13</f>
        <v/>
      </c>
      <c r="I198" t="inlineStr">
        <is>
          <t>1</t>
        </is>
      </c>
      <c r="J198" t="inlineStr"/>
      <c r="K198" t="inlineStr"/>
      <c r="L198" t="inlineStr"/>
      <c r="M198" t="inlineStr"/>
      <c r="N198" t="inlineStr"/>
      <c r="O198" t="n">
        <v>0</v>
      </c>
      <c r="P198">
        <f>IF(B220=0,0,O198/B220)</f>
        <v/>
      </c>
      <c r="Q198" t="n">
        <v>0</v>
      </c>
      <c r="R198" t="n">
        <v>0</v>
      </c>
      <c r="S198">
        <f>IFERROR(O198/N198,0)</f>
        <v/>
      </c>
    </row>
    <row r="199">
      <c r="A199">
        <f>Skills!A14</f>
        <v/>
      </c>
      <c r="B199">
        <f>Skills!B14</f>
        <v/>
      </c>
      <c r="C199">
        <f>Inputs!$B$3&gt;=110</f>
        <v/>
      </c>
      <c r="D199">
        <f>IF(Skills!C14=1,60+Inputs!$B$24+Inputs!$B$28,IF(Skills!C14=2,90+Inputs!$B$25+Inputs!$B$28,IF(Skills!C14=3,120+Inputs!$B$26+Inputs!$B$28,MAX(0,(Inputs!$B$3-100)*3)+Inputs!$B$27+Inputs!$B$28)))</f>
        <v/>
      </c>
      <c r="E199">
        <f>INDEX(FactorTable!$B$2:$Y$301, MATCH(ROUND(MIN(300,MAX(1,D199)),0), FactorTable!$A$2:$A$301,0), Skills!M14+1)</f>
        <v/>
      </c>
      <c r="F199">
        <f>IF(Skills!N14=TRUE,(Skills!L14/10)*(E199/1000),Skills!L14/10)+Skills!O14</f>
        <v/>
      </c>
      <c r="G199">
        <f>Skills!G14*IF(Skills!H14&gt;0,Skills!I14/Skills!H14,1)</f>
        <v/>
      </c>
      <c r="H199">
        <f>1-(1-Skills!J14/100)^Skills!K14</f>
        <v/>
      </c>
      <c r="I199" t="inlineStr">
        <is>
          <t>1</t>
        </is>
      </c>
      <c r="J199" t="inlineStr"/>
      <c r="K199" t="inlineStr"/>
      <c r="L199" t="inlineStr"/>
      <c r="M199" t="inlineStr"/>
      <c r="N199" t="inlineStr"/>
      <c r="O199" t="n">
        <v>0</v>
      </c>
      <c r="P199">
        <f>IF(B220=0,0,O199/B220)</f>
        <v/>
      </c>
      <c r="Q199" t="n">
        <v>0</v>
      </c>
      <c r="R199" t="n">
        <v>0</v>
      </c>
      <c r="S199">
        <f>IFERROR(O199/N199,0)</f>
        <v/>
      </c>
    </row>
    <row r="200">
      <c r="A200">
        <f>Skills!A15</f>
        <v/>
      </c>
      <c r="B200">
        <f>Skills!B15</f>
        <v/>
      </c>
      <c r="C200">
        <f>Inputs!$B$3&gt;=75</f>
        <v/>
      </c>
      <c r="D200">
        <f>IF(Skills!C15=1,60+Inputs!$B$24+Inputs!$B$28,IF(Skills!C15=2,90+Inputs!$B$25+Inputs!$B$28,IF(Skills!C15=3,120+Inputs!$B$26+Inputs!$B$28,MAX(0,(Inputs!$B$3-100)*3)+Inputs!$B$27+Inputs!$B$28)))</f>
        <v/>
      </c>
      <c r="E200">
        <f>INDEX(FactorTable!$B$2:$Y$301, MATCH(ROUND(MIN(300,MAX(1,D200)),0), FactorTable!$A$2:$A$301,0), Skills!M15+1)</f>
        <v/>
      </c>
      <c r="F200">
        <f>IF(Skills!N15=TRUE,(Skills!L15/10)*(E200/1000),Skills!L15/10)+Skills!O15</f>
        <v/>
      </c>
      <c r="G200">
        <f>Skills!G15*IF(Skills!H15&gt;0,Skills!I15/Skills!H15,1)</f>
        <v/>
      </c>
      <c r="H200">
        <f>1-(1-Skills!J15/100)^Skills!K15</f>
        <v/>
      </c>
      <c r="I200" t="inlineStr">
        <is>
          <t>1</t>
        </is>
      </c>
      <c r="J200" t="inlineStr"/>
      <c r="K200" t="inlineStr"/>
      <c r="L200" t="inlineStr"/>
      <c r="M200" t="inlineStr"/>
      <c r="N200" t="inlineStr"/>
      <c r="O200" t="n">
        <v>0</v>
      </c>
      <c r="P200">
        <f>IF(B220=0,0,O200/B220)</f>
        <v/>
      </c>
      <c r="Q200">
        <f>IFERROR(1/IF(Inputs!$B$4="pvp",15,MAX(0.1,Skills!D15-IF(Skills!E15=TRUE,Inputs!$B$31,0))),0)</f>
        <v/>
      </c>
      <c r="R200">
        <f>IF(AND(Inputs!$B$4&lt;&gt;"pvp",Inputs!$B$35&gt;0),(INT(Inputs!$B$35/IF(Inputs!$B$4="pvp",15,MAX(0.1,Skills!D15-IF(Skills!E15=TRUE,Inputs!$B$31,0))))+1),0)</f>
        <v/>
      </c>
      <c r="S200">
        <f>IFERROR(O200/N200,0)</f>
        <v/>
      </c>
    </row>
    <row r="201">
      <c r="A201">
        <f>Skills!A16</f>
        <v/>
      </c>
      <c r="B201">
        <f>Skills!B16</f>
        <v/>
      </c>
      <c r="C201">
        <f>Inputs!$B$3&gt;=105</f>
        <v/>
      </c>
      <c r="D201">
        <f>IF(Skills!C16=1,60+Inputs!$B$24+Inputs!$B$28,IF(Skills!C16=2,90+Inputs!$B$25+Inputs!$B$28,IF(Skills!C16=3,120+Inputs!$B$26+Inputs!$B$28,MAX(0,(Inputs!$B$3-100)*3)+Inputs!$B$27+Inputs!$B$28)))</f>
        <v/>
      </c>
      <c r="E201">
        <f>INDEX(FactorTable!$B$2:$Y$301, MATCH(ROUND(MIN(300,MAX(1,D201)),0), FactorTable!$A$2:$A$301,0), Skills!M16+1)</f>
        <v/>
      </c>
      <c r="F201">
        <f>IF(Skills!N16=TRUE,(Skills!L16/10)*(E201/1000),Skills!L16/10)+Skills!O16</f>
        <v/>
      </c>
      <c r="G201">
        <f>Skills!G16*IF(Skills!H16&gt;0,Skills!I16/Skills!H16,1)</f>
        <v/>
      </c>
      <c r="H201">
        <f>1-(1-Skills!J16/100)^Skills!K16</f>
        <v/>
      </c>
      <c r="I201" t="inlineStr">
        <is>
          <t>1</t>
        </is>
      </c>
      <c r="J201" t="inlineStr"/>
      <c r="K201" t="inlineStr"/>
      <c r="L201" t="inlineStr"/>
      <c r="M201" t="inlineStr"/>
      <c r="N201" t="inlineStr"/>
      <c r="O201" t="n">
        <v>0</v>
      </c>
      <c r="P201">
        <f>IF(B220=0,0,O201/B220)</f>
        <v/>
      </c>
      <c r="Q201">
        <f>IFERROR(1/IF(Inputs!$B$4="pvp",15,MAX(0.1,Skills!D16-IF(Skills!E16=TRUE,Inputs!$B$31,0))),0)</f>
        <v/>
      </c>
      <c r="R201">
        <f>IF(AND(Inputs!$B$4&lt;&gt;"pvp",Inputs!$B$35&gt;0),(INT(Inputs!$B$35/IF(Inputs!$B$4="pvp",15,MAX(0.1,Skills!D16-IF(Skills!E16=TRUE,Inputs!$B$31,0))))+1),0)</f>
        <v/>
      </c>
      <c r="S201">
        <f>IFERROR(O201/N201,0)</f>
        <v/>
      </c>
    </row>
    <row r="202">
      <c r="A202">
        <f>Skills!A17</f>
        <v/>
      </c>
      <c r="B202">
        <f>Skills!B17</f>
        <v/>
      </c>
      <c r="C202">
        <f>Inputs!$B$3&gt;=115</f>
        <v/>
      </c>
      <c r="D202">
        <f>IF(Skills!C17=1,60+Inputs!$B$24+Inputs!$B$28,IF(Skills!C17=2,90+Inputs!$B$25+Inputs!$B$28,IF(Skills!C17=3,120+Inputs!$B$26+Inputs!$B$28,MAX(0,(Inputs!$B$3-100)*3)+Inputs!$B$27+Inputs!$B$28)))</f>
        <v/>
      </c>
      <c r="E202">
        <f>INDEX(FactorTable!$B$2:$Y$301, MATCH(ROUND(MIN(300,MAX(1,D202)),0), FactorTable!$A$2:$A$301,0), Skills!M17+1)</f>
        <v/>
      </c>
      <c r="F202">
        <f>IF(Skills!N17=TRUE,(Skills!L17/10)*(E202/1000),Skills!L17/10)+Skills!O17</f>
        <v/>
      </c>
      <c r="G202">
        <f>Skills!G17*IF(Skills!H17&gt;0,Skills!I17/Skills!H17,1)</f>
        <v/>
      </c>
      <c r="H202">
        <f>1-(1-Skills!J17/100)^Skills!K17</f>
        <v/>
      </c>
      <c r="I202" t="inlineStr">
        <is>
          <t>1</t>
        </is>
      </c>
      <c r="J202" t="inlineStr"/>
      <c r="K202" t="inlineStr"/>
      <c r="L202" t="inlineStr"/>
      <c r="M202" t="inlineStr"/>
      <c r="N202" t="inlineStr"/>
      <c r="O202" t="n">
        <v>0</v>
      </c>
      <c r="P202">
        <f>IF(B220=0,0,O202/B220)</f>
        <v/>
      </c>
      <c r="Q202">
        <f>IFERROR(1/IF(Inputs!$B$4="pvp",15,MAX(0.1,Skills!D17-IF(Skills!E17=TRUE,Inputs!$B$31,0))),0)</f>
        <v/>
      </c>
      <c r="R202">
        <f>IF(AND(Inputs!$B$4&lt;&gt;"pvp",Inputs!$B$35&gt;0),(INT(Inputs!$B$35/IF(Inputs!$B$4="pvp",15,MAX(0.1,Skills!D17-IF(Skills!E17=TRUE,Inputs!$B$31,0))))+1),0)</f>
        <v/>
      </c>
      <c r="S202">
        <f>IFERROR(O202/N202,0)</f>
        <v/>
      </c>
    </row>
    <row r="203">
      <c r="A203">
        <f>Skills!A18</f>
        <v/>
      </c>
      <c r="B203">
        <f>Skills!B18</f>
        <v/>
      </c>
      <c r="C203">
        <f>Inputs!$B$3&gt;=74</f>
        <v/>
      </c>
      <c r="D203">
        <f>IF(Skills!C18=1,60+Inputs!$B$24+Inputs!$B$28,IF(Skills!C18=2,90+Inputs!$B$25+Inputs!$B$28,IF(Skills!C18=3,120+Inputs!$B$26+Inputs!$B$28,MAX(0,(Inputs!$B$3-100)*3)+Inputs!$B$27+Inputs!$B$28)))</f>
        <v/>
      </c>
      <c r="E203">
        <f>INDEX(FactorTable!$B$2:$Y$301, MATCH(ROUND(MIN(300,MAX(1,D203)),0), FactorTable!$A$2:$A$301,0), Skills!M18+1)</f>
        <v/>
      </c>
      <c r="F203">
        <f>IF(Skills!N18=TRUE,(Skills!L18/10)*(E203/1000),Skills!L18/10)+Skills!O18</f>
        <v/>
      </c>
      <c r="G203">
        <f>Skills!G18*IF(Skills!H18&gt;0,Skills!I18/Skills!H18,1)</f>
        <v/>
      </c>
      <c r="H203">
        <f>1-(1-Skills!J18/100)^Skills!K18</f>
        <v/>
      </c>
      <c r="I203" t="inlineStr">
        <is>
          <t>1</t>
        </is>
      </c>
      <c r="J203" t="inlineStr"/>
      <c r="K203" t="inlineStr"/>
      <c r="L203" t="inlineStr"/>
      <c r="M203" t="inlineStr"/>
      <c r="N203" t="inlineStr"/>
      <c r="O203" t="n">
        <v>0</v>
      </c>
      <c r="P203">
        <f>IF(B220=0,0,O203/B220)</f>
        <v/>
      </c>
      <c r="Q203">
        <f>IFERROR(1/IF(Inputs!$B$4="pvp",15,MAX(0.1,Skills!D18-IF(Skills!E18=TRUE,Inputs!$B$31,0))),0)</f>
        <v/>
      </c>
      <c r="R203">
        <f>IF(AND(Inputs!$B$4&lt;&gt;"pvp",Inputs!$B$35&gt;0),(INT(Inputs!$B$35/IF(Inputs!$B$4="pvp",15,MAX(0.1,Skills!D18-IF(Skills!E18=TRUE,Inputs!$B$31,0))))+1),0)</f>
        <v/>
      </c>
      <c r="S203">
        <f>IFERROR(O203/N203,0)</f>
        <v/>
      </c>
    </row>
    <row r="204">
      <c r="A204">
        <f>Skills!A19</f>
        <v/>
      </c>
      <c r="B204">
        <f>Skills!B19</f>
        <v/>
      </c>
      <c r="C204">
        <f>TRUE</f>
        <v/>
      </c>
      <c r="D204">
        <f>IF(Skills!C19=1,60+Inputs!$B$24+Inputs!$B$28,IF(Skills!C19=2,90+Inputs!$B$25+Inputs!$B$28,IF(Skills!C19=3,120+Inputs!$B$26+Inputs!$B$28,MAX(0,(Inputs!$B$3-100)*3)+Inputs!$B$27+Inputs!$B$28)))</f>
        <v/>
      </c>
      <c r="E204">
        <f>INDEX(FactorTable!$B$2:$Y$301, MATCH(ROUND(MIN(300,MAX(1,D204)),0), FactorTable!$A$2:$A$301,0), Skills!M19+1)</f>
        <v/>
      </c>
      <c r="F204">
        <f>IF(Skills!N19=TRUE,(Skills!L19/10)*(E204/1000),Skills!L19/10)+Skills!O19</f>
        <v/>
      </c>
      <c r="G204">
        <f>Skills!G19*IF(Skills!H19&gt;0,Skills!I19/Skills!H19,1)</f>
        <v/>
      </c>
      <c r="H204">
        <f>1-(1-Skills!J19/100)^Skills!K19</f>
        <v/>
      </c>
      <c r="I204" t="inlineStr">
        <is>
          <t>1</t>
        </is>
      </c>
      <c r="J204" t="inlineStr"/>
      <c r="K204" t="inlineStr"/>
      <c r="L204" t="inlineStr"/>
      <c r="M204" t="inlineStr"/>
      <c r="N204" t="inlineStr"/>
      <c r="O204" t="n">
        <v>0</v>
      </c>
      <c r="P204">
        <f>IF(B220=0,0,O204/B220)</f>
        <v/>
      </c>
      <c r="Q204">
        <f>IFERROR(1/IF(Inputs!$B$4="pvp",15,MAX(0.1,Skills!D19-IF(Skills!E19=TRUE,Inputs!$B$31,0))),0)</f>
        <v/>
      </c>
      <c r="R204">
        <f>IF(AND(Inputs!$B$4&lt;&gt;"pvp",Inputs!$B$35&gt;0),(INT(Inputs!$B$35/IF(Inputs!$B$4="pvp",15,MAX(0.1,Skills!D19-IF(Skills!E19=TRUE,Inputs!$B$31,0))))+1),0)</f>
        <v/>
      </c>
      <c r="S204">
        <f>IFERROR(O204/N204,0)</f>
        <v/>
      </c>
    </row>
    <row r="205">
      <c r="A205">
        <f>Skills!A20</f>
        <v/>
      </c>
      <c r="B205">
        <f>Skills!B20</f>
        <v/>
      </c>
      <c r="C205">
        <f>Inputs!$B$3&gt;=33</f>
        <v/>
      </c>
      <c r="D205">
        <f>IF(Skills!C20=1,60+Inputs!$B$24+Inputs!$B$28,IF(Skills!C20=2,90+Inputs!$B$25+Inputs!$B$28,IF(Skills!C20=3,120+Inputs!$B$26+Inputs!$B$28,MAX(0,(Inputs!$B$3-100)*3)+Inputs!$B$27+Inputs!$B$28)))</f>
        <v/>
      </c>
      <c r="E205">
        <f>INDEX(FactorTable!$B$2:$Y$301, MATCH(ROUND(MIN(300,MAX(1,D205)),0), FactorTable!$A$2:$A$301,0), Skills!M20+1)</f>
        <v/>
      </c>
      <c r="F205">
        <f>IF(Skills!N20=TRUE,(Skills!L20/10)*(E205/1000),Skills!L20/10)+Skills!O20</f>
        <v/>
      </c>
      <c r="G205">
        <f>Skills!G20*IF(Skills!H20&gt;0,Skills!I20/Skills!H20,1)</f>
        <v/>
      </c>
      <c r="H205">
        <f>1-(1-Skills!J20/100)^Skills!K20</f>
        <v/>
      </c>
      <c r="I205" t="inlineStr">
        <is>
          <t>1</t>
        </is>
      </c>
      <c r="J205" t="inlineStr"/>
      <c r="K205" t="inlineStr"/>
      <c r="L205" t="inlineStr"/>
      <c r="M205" t="inlineStr"/>
      <c r="N205" t="inlineStr"/>
      <c r="O205" t="n">
        <v>0</v>
      </c>
      <c r="P205">
        <f>IF(B220=0,0,O205/B220)</f>
        <v/>
      </c>
      <c r="Q205" t="n">
        <v>0</v>
      </c>
      <c r="R205" t="n">
        <v>0</v>
      </c>
      <c r="S205">
        <f>IFERROR(O205/N205,0)</f>
        <v/>
      </c>
    </row>
    <row r="206">
      <c r="A206">
        <f>Skills!A21</f>
        <v/>
      </c>
      <c r="B206">
        <f>Skills!B21</f>
        <v/>
      </c>
      <c r="C206">
        <f>Inputs!$B$3&gt;=38</f>
        <v/>
      </c>
      <c r="D206">
        <f>IF(Skills!C21=1,60+Inputs!$B$24+Inputs!$B$28,IF(Skills!C21=2,90+Inputs!$B$25+Inputs!$B$28,IF(Skills!C21=3,120+Inputs!$B$26+Inputs!$B$28,MAX(0,(Inputs!$B$3-100)*3)+Inputs!$B$27+Inputs!$B$28)))</f>
        <v/>
      </c>
      <c r="E206">
        <f>INDEX(FactorTable!$B$2:$Y$301, MATCH(ROUND(MIN(300,MAX(1,D206)),0), FactorTable!$A$2:$A$301,0), Skills!M21+1)</f>
        <v/>
      </c>
      <c r="F206">
        <f>IF(Skills!N21=TRUE,(Skills!L21/10)*(E206/1000),Skills!L21/10)+Skills!O21</f>
        <v/>
      </c>
      <c r="G206">
        <f>Skills!G21*IF(Skills!H21&gt;0,Skills!I21/Skills!H21,1)</f>
        <v/>
      </c>
      <c r="H206">
        <f>1-(1-Skills!J21/100)^Skills!K21</f>
        <v/>
      </c>
      <c r="I206" t="inlineStr">
        <is>
          <t>1</t>
        </is>
      </c>
      <c r="J206" t="inlineStr"/>
      <c r="K206" t="inlineStr"/>
      <c r="L206" t="inlineStr"/>
      <c r="M206" t="inlineStr"/>
      <c r="N206" t="inlineStr"/>
      <c r="O206" t="n">
        <v>0</v>
      </c>
      <c r="P206">
        <f>IF(B220=0,0,O206/B220)</f>
        <v/>
      </c>
      <c r="Q206" t="n">
        <v>0</v>
      </c>
      <c r="R206" t="n">
        <v>0</v>
      </c>
      <c r="S206">
        <f>IFERROR(O206/N206,0)</f>
        <v/>
      </c>
    </row>
    <row r="207">
      <c r="A207">
        <f>Skills!A22</f>
        <v/>
      </c>
      <c r="B207">
        <f>Skills!B22</f>
        <v/>
      </c>
      <c r="C207">
        <f>Inputs!$B$3&gt;=43</f>
        <v/>
      </c>
      <c r="D207">
        <f>IF(Skills!C22=1,60+Inputs!$B$24+Inputs!$B$28,IF(Skills!C22=2,90+Inputs!$B$25+Inputs!$B$28,IF(Skills!C22=3,120+Inputs!$B$26+Inputs!$B$28,MAX(0,(Inputs!$B$3-100)*3)+Inputs!$B$27+Inputs!$B$28)))</f>
        <v/>
      </c>
      <c r="E207">
        <f>INDEX(FactorTable!$B$2:$Y$301, MATCH(ROUND(MIN(300,MAX(1,D207)),0), FactorTable!$A$2:$A$301,0), Skills!M22+1)</f>
        <v/>
      </c>
      <c r="F207">
        <f>IF(Skills!N22=TRUE,(Skills!L22/10)*(E207/1000),Skills!L22/10)+Skills!O22</f>
        <v/>
      </c>
      <c r="G207">
        <f>Skills!G22*IF(Skills!H22&gt;0,Skills!I22/Skills!H22,1)</f>
        <v/>
      </c>
      <c r="H207">
        <f>1-(1-Skills!J22/100)^Skills!K22</f>
        <v/>
      </c>
      <c r="I207" t="inlineStr">
        <is>
          <t>1</t>
        </is>
      </c>
      <c r="J207" t="inlineStr"/>
      <c r="K207" t="inlineStr"/>
      <c r="L207" t="inlineStr"/>
      <c r="M207" t="inlineStr"/>
      <c r="N207" t="inlineStr"/>
      <c r="O207" t="n">
        <v>0</v>
      </c>
      <c r="P207">
        <f>IF(B220=0,0,O207/B220)</f>
        <v/>
      </c>
      <c r="Q207" t="n">
        <v>0</v>
      </c>
      <c r="R207" t="n">
        <v>0</v>
      </c>
      <c r="S207">
        <f>IFERROR(O207/N207,0)</f>
        <v/>
      </c>
    </row>
    <row r="208">
      <c r="A208">
        <f>Skills!A23</f>
        <v/>
      </c>
      <c r="B208">
        <f>Skills!B23</f>
        <v/>
      </c>
      <c r="C208">
        <f>Inputs!$B$3&gt;=120</f>
        <v/>
      </c>
      <c r="D208">
        <f>IF(Skills!C23=1,60+Inputs!$B$24+Inputs!$B$28,IF(Skills!C23=2,90+Inputs!$B$25+Inputs!$B$28,IF(Skills!C23=3,120+Inputs!$B$26+Inputs!$B$28,MAX(0,(Inputs!$B$3-100)*3)+Inputs!$B$27+Inputs!$B$28)))</f>
        <v/>
      </c>
      <c r="E208">
        <f>INDEX(FactorTable!$B$2:$Y$301, MATCH(ROUND(MIN(300,MAX(1,D208)),0), FactorTable!$A$2:$A$301,0), Skills!M23+1)</f>
        <v/>
      </c>
      <c r="F208">
        <f>IF(Skills!N23=TRUE,(Skills!L23/10)*(E208/1000),Skills!L23/10)+Skills!O23</f>
        <v/>
      </c>
      <c r="G208">
        <f>Skills!G23*IF(Skills!H23&gt;0,Skills!I23/Skills!H23,1)</f>
        <v/>
      </c>
      <c r="H208">
        <f>1-(1-Skills!J23/100)^Skills!K23</f>
        <v/>
      </c>
      <c r="I208" t="inlineStr">
        <is>
          <t>1</t>
        </is>
      </c>
      <c r="J208" t="inlineStr"/>
      <c r="K208" t="inlineStr"/>
      <c r="L208" t="inlineStr"/>
      <c r="M208" t="inlineStr"/>
      <c r="N208" t="inlineStr"/>
      <c r="O208" t="n">
        <v>0</v>
      </c>
      <c r="P208">
        <f>IF(B220=0,0,O208/B220)</f>
        <v/>
      </c>
      <c r="Q208" t="n">
        <v>0</v>
      </c>
      <c r="R208" t="n">
        <v>0</v>
      </c>
      <c r="S208">
        <f>IFERROR(O208/N208,0)</f>
        <v/>
      </c>
    </row>
    <row r="209">
      <c r="A209">
        <f>Skills!A24</f>
        <v/>
      </c>
      <c r="B209">
        <f>Skills!B24</f>
        <v/>
      </c>
      <c r="C209">
        <f>Inputs!$B$3&gt;=120</f>
        <v/>
      </c>
      <c r="D209">
        <f>IF(Skills!C24=1,60+Inputs!$B$24+Inputs!$B$28,IF(Skills!C24=2,90+Inputs!$B$25+Inputs!$B$28,IF(Skills!C24=3,120+Inputs!$B$26+Inputs!$B$28,MAX(0,(Inputs!$B$3-100)*3)+Inputs!$B$27+Inputs!$B$28)))</f>
        <v/>
      </c>
      <c r="E209">
        <f>INDEX(FactorTable!$B$2:$Y$301, MATCH(ROUND(MIN(300,MAX(1,D209)),0), FactorTable!$A$2:$A$301,0), Skills!M24+1)</f>
        <v/>
      </c>
      <c r="F209">
        <f>IF(Skills!N24=TRUE,(Skills!L24/10)*(E209/1000),Skills!L24/10)+Skills!O24</f>
        <v/>
      </c>
      <c r="G209">
        <f>Skills!G24*IF(Skills!H24&gt;0,Skills!I24/Skills!H24,1)</f>
        <v/>
      </c>
      <c r="H209">
        <f>1-(1-Skills!J24/100)^Skills!K24</f>
        <v/>
      </c>
      <c r="I209" t="inlineStr">
        <is>
          <t>1</t>
        </is>
      </c>
      <c r="J209" t="inlineStr"/>
      <c r="K209" t="inlineStr"/>
      <c r="L209" t="inlineStr"/>
      <c r="M209" t="inlineStr"/>
      <c r="N209" t="inlineStr"/>
      <c r="O209" t="n">
        <v>0</v>
      </c>
      <c r="P209">
        <f>IF(B220=0,0,O209/B220)</f>
        <v/>
      </c>
      <c r="Q209" t="n">
        <v>0</v>
      </c>
      <c r="R209" t="n">
        <v>0</v>
      </c>
      <c r="S209">
        <f>IFERROR(O209/N209,0)</f>
        <v/>
      </c>
    </row>
    <row r="211">
      <c r="A211" t="inlineStr">
        <is>
          <t>Attack% Bucket Multiplier</t>
        </is>
      </c>
      <c r="B211">
        <f>(1+(((C198=TRUE)*F198*MIN(1,Skills!T13*(Skills!J13/100)*B216))+((C203=TRUE)*F203*IF(AND(Inputs!$B$4&lt;&gt;"pvp",Inputs!$B$35&gt;0),(((S203-1)*(Skills!T18*(1+Inputs!$B$33/100))+MIN((Skills!T18*(1+Inputs!$B$33/100)),MAX(0,Inputs!$B$35-((S203-1)*Skills!D18))))/Inputs!$B$35),IF(Inputs!$B$4="pvp",MIN((Skills!T18*(1+Inputs!$B$33/100)),15)/15,(Skills!T18*(1+Inputs!$B$33/100))/Skills!D18)))+0)/100)</f>
        <v/>
      </c>
    </row>
    <row r="212">
      <c r="A212" t="inlineStr">
        <is>
          <t>Global Crit Rate Bonus %</t>
        </is>
      </c>
      <c r="B212" t="n">
        <v>0</v>
      </c>
    </row>
    <row r="213">
      <c r="A213" t="inlineStr">
        <is>
          <t>Attack Speed Buff Bonus %</t>
        </is>
      </c>
      <c r="B213">
        <f>((C204=TRUE)*F204*IF(AND(Inputs!$B$4&lt;&gt;"pvp",Inputs!$B$35&gt;0),(((S204-1)*(Skills!T19*(1+Inputs!$B$33/100))+MIN((Skills!T19*(1+Inputs!$B$33/100)),MAX(0,Inputs!$B$35-((S204-1)*Skills!D19))))/Inputs!$B$35),IF(Inputs!$B$4="pvp",MIN((Skills!T19*(1+Inputs!$B$33/100)),15)/15,(Skills!T19*(1+Inputs!$B$33/100))/Skills!D19)))</f>
        <v/>
      </c>
    </row>
    <row r="214">
      <c r="A214" t="inlineStr">
        <is>
          <t>Actions Per Second</t>
        </is>
      </c>
      <c r="B214">
        <f>1+MIN(150,150*(1-(1-(Inputs!$B$10+((C205=TRUE)*(F205-Calc!F20)))/150)*(1-B213/150)))/100</f>
        <v/>
      </c>
    </row>
    <row r="215">
      <c r="A215" t="inlineStr">
        <is>
          <t>Skill + Buff Cast Rate</t>
        </is>
      </c>
      <c r="B215">
        <f>IF(AND(Inputs!$B$4&lt;&gt;"pvp",Inputs!$B$35&gt;0),SUMPRODUCT((Skills!E2:E24=TRUE)*(C187:C209=TRUE)*R187:R209*Skills!F2:F24)/Inputs!$B$35,SUMPRODUCT((Skills!E2:E24=TRUE)*(C187:C209=TRUE)*Q187:Q209*Skills!F2:F24))</f>
        <v/>
      </c>
    </row>
    <row r="216">
      <c r="A216" t="inlineStr">
        <is>
          <t>Blast Casts Per Second</t>
        </is>
      </c>
      <c r="B216">
        <f>MAX(0,B214-B215)</f>
        <v/>
      </c>
    </row>
    <row r="217">
      <c r="A217" t="inlineStr">
        <is>
          <t>Global Critical Damage Bonus % (unused)</t>
        </is>
      </c>
      <c r="B217" t="n">
        <v>0</v>
      </c>
    </row>
    <row r="218">
      <c r="A218" t="inlineStr">
        <is>
          <t>Global Final Damage Bonus % (Divine Shield + Guardian + Divine Blessing + Greater Vessel of Light)</t>
        </is>
      </c>
      <c r="B218">
        <f>((C200=TRUE)*F200*IF(AND(Inputs!$B$4&lt;&gt;"pvp",Inputs!$B$35&gt;0),(((S200-1)*(Skills!T15*(1+Inputs!$B$33/100))+MIN((Skills!T15*(1+Inputs!$B$33/100)),MAX(0,Inputs!$B$35-((S200-1)*Skills!D15))))/Inputs!$B$35),IF(Inputs!$B$4="pvp",MIN((Skills!T15*(1+Inputs!$B$33/100)),15)/15,(Skills!T15*(1+Inputs!$B$33/100))/Skills!D15)))+((C201=TRUE)*F201*IF(AND(Inputs!$B$4&lt;&gt;"pvp",Inputs!$B$35&gt;0),(((S201-1)*(Skills!T16*(1+Inputs!$B$33/100))+MIN((Skills!T16*(1+Inputs!$B$33/100)),MAX(0,Inputs!$B$35-((S201-1)*Skills!D16))))/Inputs!$B$35),IF(Inputs!$B$4="pvp",MIN((Skills!T16*(1+Inputs!$B$33/100)),15)/15,(Skills!T16*(1+Inputs!$B$33/100))/Skills!D16)))+((C202=TRUE)*F202*IF(AND(Inputs!$B$4&lt;&gt;"pvp",Inputs!$B$35&gt;0),(((S202-1)*(Skills!T17*(1+Inputs!$B$33/100))+MIN((Skills!T17*(1+Inputs!$B$33/100)),MAX(0,Inputs!$B$35-((S202-1)*Skills!D17))))/Inputs!$B$35),IF(Inputs!$B$4="pvp",MIN((Skills!T17*(1+Inputs!$B$33/100)),15)/15,(Skills!T17*(1+Inputs!$B$33/100))/Skills!D17)))+((C199=TRUE)*F199*MIN(1,Skills!T13*(Skills!J13/100)*B216))</f>
        <v/>
      </c>
    </row>
    <row r="220">
      <c r="A220" s="5" t="inlineStr">
        <is>
          <t>TOTAL DPS</t>
        </is>
      </c>
      <c r="B220" s="5">
        <f>SUM(O187:O209)</f>
        <v/>
      </c>
    </row>
    <row r="223">
      <c r="A223" s="5" t="inlineStr">
        <is>
          <t>Stat: BOSS_DAMAGE %</t>
        </is>
      </c>
    </row>
    <row r="224">
      <c r="A224" s="8" t="inlineStr">
        <is>
          <t>Key</t>
        </is>
      </c>
      <c r="B224" s="8" t="inlineStr">
        <is>
          <t>Name</t>
        </is>
      </c>
      <c r="C224" s="8" t="inlineStr">
        <is>
          <t>Unlocked</t>
        </is>
      </c>
      <c r="D224" s="8" t="inlineStr">
        <is>
          <t>InputLevel</t>
        </is>
      </c>
      <c r="E224" s="8" t="inlineStr">
        <is>
          <t>Factor</t>
        </is>
      </c>
      <c r="F224" s="8" t="inlineStr">
        <is>
          <t>CoefficientPercent</t>
        </is>
      </c>
      <c r="G224" s="8" t="inlineStr">
        <is>
          <t>EffectiveHits</t>
        </is>
      </c>
      <c r="H224" s="8" t="inlineStr">
        <is>
          <t>ProcProbability</t>
        </is>
      </c>
      <c r="I224" s="8" t="inlineStr">
        <is>
          <t>MapleHeroMultiplier</t>
        </is>
      </c>
      <c r="J224" s="8" t="inlineStr">
        <is>
          <t>BaseDamage</t>
        </is>
      </c>
      <c r="K224" s="8" t="inlineStr">
        <is>
          <t>BaseHitDamage</t>
        </is>
      </c>
      <c r="L224" s="8" t="inlineStr">
        <is>
          <t>NonCritAvg</t>
        </is>
      </c>
      <c r="M224" s="8" t="inlineStr">
        <is>
          <t>CritAvg</t>
        </is>
      </c>
      <c r="N224" s="8" t="inlineStr">
        <is>
          <t>ExpectedDamage(perHit)</t>
        </is>
      </c>
      <c r="O224" s="8" t="inlineStr">
        <is>
          <t>DPS</t>
        </is>
      </c>
      <c r="P224" s="8" t="inlineStr">
        <is>
          <t>% of Total</t>
        </is>
      </c>
      <c r="Q224" s="8" t="inlineStr">
        <is>
          <t>InvCooldown</t>
        </is>
      </c>
      <c r="R224" s="8" t="inlineStr">
        <is>
          <t>CastsInFight</t>
        </is>
      </c>
      <c r="S224" s="8" t="inlineStr">
        <is>
          <t>HitRate(perSec)</t>
        </is>
      </c>
      <c r="U224" t="inlineStr">
        <is>
          <t>helpers</t>
        </is>
      </c>
    </row>
    <row r="225">
      <c r="A225">
        <f>Skills!A2</f>
        <v/>
      </c>
      <c r="B225">
        <f>Skills!B2</f>
        <v/>
      </c>
      <c r="C225">
        <f>Inputs!$B$3&gt;=100</f>
        <v/>
      </c>
      <c r="D225" t="inlineStr"/>
      <c r="E225" t="inlineStr"/>
      <c r="F225">
        <f>U227+Skills!O2</f>
        <v/>
      </c>
      <c r="G225">
        <f>Skills!G2*IF(Skills!H2&gt;0,Skills!I2/Skills!H2,1)</f>
        <v/>
      </c>
      <c r="H225">
        <f>1-(1-Skills!J2/100)^Skills!K2</f>
        <v/>
      </c>
      <c r="I225" t="inlineStr">
        <is>
          <t>1</t>
        </is>
      </c>
      <c r="J225">
        <f>(Inputs!$B$5*(1+Inputs!$B$6/100))*(F225/100)</f>
        <v/>
      </c>
      <c r="K225">
        <f>J225*(1+((Inputs!$B$11*(1+Inputs!$B$12/100))*0.01+Inputs!$B$13*0.0025)/100)*(1+Inputs!$B$14/100)*(1+IF(Inputs!$B$4="pvp",0,(1-Summary!$B$55)*((Inputs!$B$19+1)+0+Skills!P2)+Summary!$B$55*(Inputs!$B$20+Skills!Q2))/100)*(1+Inputs!$B$15/100)*(5000/(6000+Inputs!$B$7*(1-(Inputs!$B$18+0)/100)))*(1+(Inputs!$B$23+0+B256)/100)*(1+(IF(Skills!A2="BLAST",Inputs!$B$16+((C244=TRUE)*(F244-Calc!F21)),Inputs!$B$17+((C246=TRUE)*(F246-Calc!F23))))/100)*((1+(((C236=TRUE)*F236*MIN(1,Skills!T13*(Skills!J13/100)*B254))+((C241=TRUE)*F241*IF(AND(Inputs!$B$4&lt;&gt;"pvp",Inputs!$B$35&gt;0),(((S241-1)*(Skills!T18*(1+Inputs!$B$33/100))+MIN((Skills!T18*(1+Inputs!$B$33/100)),MAX(0,Inputs!$B$35-((S241-1)*Skills!D18))))/Inputs!$B$35),IF(Inputs!$B$4="pvp",MIN((Skills!T18*(1+Inputs!$B$33/100)),15)/15,(Skills!T18*(1+Inputs!$B$33/100))/Skills!D18)))+0)/100)*I225)</f>
        <v/>
      </c>
      <c r="L225">
        <f>K225*(MIN(Inputs!$B$21+((C245=TRUE)*(F245-Calc!F22)),Inputs!$B$22+((C247=TRUE)*(F247-Calc!F24)))/100+(Inputs!$B$22+((C247=TRUE)*(F247-Calc!F24)))/100)/2</f>
        <v/>
      </c>
      <c r="M225">
        <f>L225*(1+(Inputs!$B$9+0+B255)/100)</f>
        <v/>
      </c>
      <c r="N225">
        <f>L225*(1-MIN((Inputs!$B$8+0+B250),100)/100)+M225*(MIN((Inputs!$B$8+0+B250),100)/100)</f>
        <v/>
      </c>
      <c r="O225">
        <f>IF(C225,Skills!G2*N225*B254*IF(Inputs!$B$4="pvp",1,(1-Summary!$B$55)*(1)+Summary!$B$55*(MIN((6+Inputs!$B$32),Inputs!$B$37))),0)</f>
        <v/>
      </c>
      <c r="P225">
        <f>IF(B258=0,0,O225/B258)</f>
        <v/>
      </c>
      <c r="Q225" t="n">
        <v>0</v>
      </c>
      <c r="R225" t="n">
        <v>0</v>
      </c>
      <c r="S225">
        <f>IFERROR(O225/N225,0)</f>
        <v/>
      </c>
      <c r="U225">
        <f>MAX(0,(Inputs!$B$3-100)*3)+Inputs!$B$27+Inputs!$B$28</f>
        <v/>
      </c>
    </row>
    <row r="226">
      <c r="A226">
        <f>Skills!A3</f>
        <v/>
      </c>
      <c r="B226">
        <f>Skills!B3</f>
        <v/>
      </c>
      <c r="C226">
        <f>Inputs!$B$3&gt;=50</f>
        <v/>
      </c>
      <c r="D226">
        <f>IF(Skills!C3=1,60+Inputs!$B$24+Inputs!$B$28,IF(Skills!C3=2,90+Inputs!$B$25+Inputs!$B$28,IF(Skills!C3=3,120+Inputs!$B$26+Inputs!$B$28,MAX(0,(Inputs!$B$3-100)*3)+Inputs!$B$27+Inputs!$B$28)))</f>
        <v/>
      </c>
      <c r="E226">
        <f>INDEX(FactorTable!$B$2:$Y$301, MATCH(ROUND(MIN(300,MAX(1,D226)),0), FactorTable!$A$2:$A$301,0), Skills!M3+1)</f>
        <v/>
      </c>
      <c r="F226">
        <f>IF(Skills!N3=TRUE,(Skills!L3/10)*(E226/1000),Skills!L3/10)+Skills!O3</f>
        <v/>
      </c>
      <c r="G226" t="inlineStr"/>
      <c r="H226" t="inlineStr"/>
      <c r="I226" t="inlineStr">
        <is>
          <t>1</t>
        </is>
      </c>
      <c r="J226" t="inlineStr"/>
      <c r="K226" t="inlineStr"/>
      <c r="L226" t="inlineStr"/>
      <c r="M226" t="inlineStr"/>
      <c r="N226" t="inlineStr"/>
      <c r="O226" t="inlineStr"/>
      <c r="P226" t="inlineStr"/>
      <c r="Q226" t="inlineStr"/>
      <c r="R226" t="inlineStr"/>
      <c r="S226" t="inlineStr"/>
      <c r="U226">
        <f>INDEX(FactorTable!$B$2:$Y$301, MATCH(ROUND(MIN(300,MAX(1,U225)),0), FactorTable!$A$2:$A$301,0), 22)</f>
        <v/>
      </c>
    </row>
    <row r="227">
      <c r="A227">
        <f>Skills!A4</f>
        <v/>
      </c>
      <c r="B227">
        <f>Skills!B4</f>
        <v/>
      </c>
      <c r="C227">
        <f>Inputs!$B$3&gt;=35</f>
        <v/>
      </c>
      <c r="D227">
        <f>IF(Skills!C4=1,60+Inputs!$B$24+Inputs!$B$28,IF(Skills!C4=2,90+Inputs!$B$25+Inputs!$B$28,IF(Skills!C4=3,120+Inputs!$B$26+Inputs!$B$28,MAX(0,(Inputs!$B$3-100)*3)+Inputs!$B$27+Inputs!$B$28)))</f>
        <v/>
      </c>
      <c r="E227">
        <f>INDEX(FactorTable!$B$2:$Y$301, MATCH(ROUND(MIN(300,MAX(1,D227)),0), FactorTable!$A$2:$A$301,0), Skills!M4+1)</f>
        <v/>
      </c>
      <c r="F227">
        <f>IF(Skills!N4=TRUE,(Skills!L4/10)*(E227/1000),Skills!L4/10)+Skills!O4</f>
        <v/>
      </c>
      <c r="G227">
        <f>Skills!G4*IF(Skills!H4&gt;0,Skills!I4/Skills!H4,1)</f>
        <v/>
      </c>
      <c r="H227">
        <f>1-(1-Skills!J4/100)^Skills!K4</f>
        <v/>
      </c>
      <c r="I227" t="inlineStr">
        <is>
          <t>1</t>
        </is>
      </c>
      <c r="J227">
        <f>(Inputs!$B$5*(1+Inputs!$B$6/100))*(F227/100)</f>
        <v/>
      </c>
      <c r="K227">
        <f>J227*(1+((Inputs!$B$11*(1+Inputs!$B$12/100))*0.01+Inputs!$B$13*0.0025)/100)*(1+Inputs!$B$14/100)*(1+IF(Inputs!$B$4="pvp",0,(1-Summary!$B$55)*((Inputs!$B$19+1)+0+Skills!P4)+Summary!$B$55*(Inputs!$B$20+Skills!Q4))/100)*(1+Inputs!$B$15/100)*(5000/(6000+Inputs!$B$7*(1-(Inputs!$B$18+0)/100)))*(1+(Inputs!$B$23+0+B256)/100)*(1+4.0*IF(C235=TRUE,F235,0)/100)*(1+(IF(Skills!A4="BLAST",Inputs!$B$16+((C244=TRUE)*(F244-Calc!F21)),Inputs!$B$17+((C246=TRUE)*(F246-Calc!F23))))/100)*((1+(((C236=TRUE)*F236*MIN(1,Skills!T13*(Skills!J13/100)*B254))+((C241=TRUE)*F241*IF(AND(Inputs!$B$4&lt;&gt;"pvp",Inputs!$B$35&gt;0),(((S241-1)*(Skills!T18*(1+Inputs!$B$33/100))+MIN((Skills!T18*(1+Inputs!$B$33/100)),MAX(0,Inputs!$B$35-((S241-1)*Skills!D18))))/Inputs!$B$35),IF(Inputs!$B$4="pvp",MIN((Skills!T18*(1+Inputs!$B$33/100)),15)/15,(Skills!T18*(1+Inputs!$B$33/100))/Skills!D18)))+0)/100)*I227)</f>
        <v/>
      </c>
      <c r="L227">
        <f>K227*(MIN(Inputs!$B$21+((C245=TRUE)*(F245-Calc!F22)),Inputs!$B$22+((C247=TRUE)*(F247-Calc!F24)))/100+(Inputs!$B$22+((C247=TRUE)*(F247-Calc!F24)))/100)/2</f>
        <v/>
      </c>
      <c r="M227">
        <f>L227*(1+(Inputs!$B$9+0+B255)/100)</f>
        <v/>
      </c>
      <c r="N227">
        <f>L227*(1-MIN((Inputs!$B$8+0+B250),100)/100)+M227*(MIN((Inputs!$B$8+0+B250),100)/100)</f>
        <v/>
      </c>
      <c r="O227">
        <f>IF(C227,H227*N227*IF(AND(Inputs!$B$4&lt;&gt;"pvp",Inputs!$B$35&gt;0),((Skills!G4*((R227-1)*IF(Skills!H4&gt;0,Skills!I4/Skills!H4,1)+IF(Skills!H4&gt;0,MIN(Skills!I4,MAX(0,Inputs!$B$35-((R227-1)*IF(Inputs!$B$4="pvp",15,MAX(0.1,Skills!D4-IF(Skills!E4=TRUE,Inputs!$B$31,0))))))/Skills!H4,1)))/Inputs!$B$35),G227*Q227)*IF(Inputs!$B$4="pvp",1,(1-Summary!$B$55)*(1)+Summary!$B$55*(MIN(Skills!R4,Inputs!$B$37))),0)</f>
        <v/>
      </c>
      <c r="P227">
        <f>IF(B258=0,0,O227/B258)</f>
        <v/>
      </c>
      <c r="Q227">
        <f>IFERROR(1/IF(Inputs!$B$4="pvp",15,MAX(0.1,Skills!D4-IF(Skills!E4=TRUE,Inputs!$B$31,0))),0)</f>
        <v/>
      </c>
      <c r="R227">
        <f>IF(AND(Inputs!$B$4&lt;&gt;"pvp",Inputs!$B$35&gt;0),(INT(Inputs!$B$35/IF(Inputs!$B$4="pvp",15,MAX(0.1,Skills!D4-IF(Skills!E4=TRUE,Inputs!$B$31,0))))+1),0)</f>
        <v/>
      </c>
      <c r="S227">
        <f>IFERROR(O227/N227,0)</f>
        <v/>
      </c>
      <c r="U227">
        <f>290*U226/1000</f>
        <v/>
      </c>
    </row>
    <row r="228">
      <c r="A228">
        <f>Skills!A5</f>
        <v/>
      </c>
      <c r="B228">
        <f>Skills!B5</f>
        <v/>
      </c>
      <c r="C228">
        <f>Inputs!$B$3&gt;=66</f>
        <v/>
      </c>
      <c r="D228">
        <f>IF(Skills!C5=1,60+Inputs!$B$24+Inputs!$B$28,IF(Skills!C5=2,90+Inputs!$B$25+Inputs!$B$28,IF(Skills!C5=3,120+Inputs!$B$26+Inputs!$B$28,MAX(0,(Inputs!$B$3-100)*3)+Inputs!$B$27+Inputs!$B$28)))</f>
        <v/>
      </c>
      <c r="E228">
        <f>INDEX(FactorTable!$B$2:$Y$301, MATCH(ROUND(MIN(300,MAX(1,D228)),0), FactorTable!$A$2:$A$301,0), Skills!M5+1)</f>
        <v/>
      </c>
      <c r="F228">
        <f>IF(Skills!N5=TRUE,(Skills!L5/10)*(E228/1000),Skills!L5/10)+Skills!O5</f>
        <v/>
      </c>
      <c r="G228">
        <f>Skills!G5*IF(Skills!H5&gt;0,Skills!I5/Skills!H5,1)</f>
        <v/>
      </c>
      <c r="H228">
        <f>1-(1-Skills!J5/100)^Skills!K5</f>
        <v/>
      </c>
      <c r="I228" t="inlineStr">
        <is>
          <t>1</t>
        </is>
      </c>
      <c r="J228">
        <f>(Inputs!$B$5*(1+Inputs!$B$6/100))*(F228/100)</f>
        <v/>
      </c>
      <c r="K228">
        <f>J228*(1+((Inputs!$B$11*(1+Inputs!$B$12/100))*0.01+Inputs!$B$13*0.0025)/100)*(1+Inputs!$B$14/100)*(1+IF(Inputs!$B$4="pvp",0,(1-Summary!$B$55)*((Inputs!$B$19+1)+0+Skills!P5)+Summary!$B$55*(Inputs!$B$20+Skills!Q5))/100)*(1+Inputs!$B$15/100)*(5000/(6000+Inputs!$B$7*(1-(Inputs!$B$18+0)/100)))*(1+(Inputs!$B$23+0+B256)/100)*(1+1.0*IF(C235=TRUE,F235,0)/100)*(1+(IF(Skills!A5="BLAST",Inputs!$B$16+((C244=TRUE)*(F244-Calc!F21)),Inputs!$B$17+((C246=TRUE)*(F246-Calc!F23))))/100)*((1+(((C236=TRUE)*F236*MIN(1,Skills!T13*(Skills!J13/100)*B254))+((C241=TRUE)*F241*IF(AND(Inputs!$B$4&lt;&gt;"pvp",Inputs!$B$35&gt;0),(((S241-1)*(Skills!T18*(1+Inputs!$B$33/100))+MIN((Skills!T18*(1+Inputs!$B$33/100)),MAX(0,Inputs!$B$35-((S241-1)*Skills!D18))))/Inputs!$B$35),IF(Inputs!$B$4="pvp",MIN((Skills!T18*(1+Inputs!$B$33/100)),15)/15,(Skills!T18*(1+Inputs!$B$33/100))/Skills!D18)))+0)/100)*I228)</f>
        <v/>
      </c>
      <c r="L228">
        <f>K228*(MIN(Inputs!$B$21+((C245=TRUE)*(F245-Calc!F22)),Inputs!$B$22+((C247=TRUE)*(F247-Calc!F24)))/100+(Inputs!$B$22+((C247=TRUE)*(F247-Calc!F24)))/100)/2</f>
        <v/>
      </c>
      <c r="M228">
        <f>L228*(1+(Inputs!$B$9+0+B255)/100)</f>
        <v/>
      </c>
      <c r="N228">
        <f>L228*(1-MIN((Inputs!$B$8+0+B250),100)/100)+M228*(MIN((Inputs!$B$8+0+B250),100)/100)</f>
        <v/>
      </c>
      <c r="O228">
        <f>IF(C228,H228*N228*IF(AND(Inputs!$B$4&lt;&gt;"pvp",Inputs!$B$35&gt;0),((Skills!G5*((R228-1)*IF(Skills!H5&gt;0,Skills!I5/Skills!H5,1)+IF(Skills!H5&gt;0,MIN(Skills!I5,MAX(0,Inputs!$B$35-((R228-1)*IF(Inputs!$B$4="pvp",15,MAX(0.1,Skills!D5-IF(Skills!E5=TRUE,Inputs!$B$31,0))))))/Skills!H5,1)))/Inputs!$B$35),G228*Q228)*IF(Inputs!$B$4="pvp",1,(1-Summary!$B$55)*(1)+Summary!$B$55*(MIN(Skills!R5,Inputs!$B$37))),0)</f>
        <v/>
      </c>
      <c r="P228">
        <f>IF(B258=0,0,O228/B258)</f>
        <v/>
      </c>
      <c r="Q228">
        <f>IFERROR(1/IF(Inputs!$B$4="pvp",15,MAX(0.1,Skills!D5-IF(Skills!E5=TRUE,Inputs!$B$31,0))),0)</f>
        <v/>
      </c>
      <c r="R228">
        <f>IF(AND(Inputs!$B$4&lt;&gt;"pvp",Inputs!$B$35&gt;0),(INT(Inputs!$B$35/IF(Inputs!$B$4="pvp",15,MAX(0.1,Skills!D5-IF(Skills!E5=TRUE,Inputs!$B$31,0))))+1),0)</f>
        <v/>
      </c>
      <c r="S228">
        <f>IFERROR(O228/N228,0)</f>
        <v/>
      </c>
    </row>
    <row r="229">
      <c r="A229">
        <f>Skills!A6</f>
        <v/>
      </c>
      <c r="B229">
        <f>Skills!B6</f>
        <v/>
      </c>
      <c r="C229">
        <f>Inputs!$B$3&gt;=103</f>
        <v/>
      </c>
      <c r="D229">
        <f>IF(Skills!C6=1,60+Inputs!$B$24+Inputs!$B$28,IF(Skills!C6=2,90+Inputs!$B$25+Inputs!$B$28,IF(Skills!C6=3,120+Inputs!$B$26+Inputs!$B$28,MAX(0,(Inputs!$B$3-100)*3)+Inputs!$B$27+Inputs!$B$28)))</f>
        <v/>
      </c>
      <c r="E229">
        <f>INDEX(FactorTable!$B$2:$Y$301, MATCH(ROUND(MIN(300,MAX(1,D229)),0), FactorTable!$A$2:$A$301,0), Skills!M6+1)</f>
        <v/>
      </c>
      <c r="F229">
        <f>IF(Skills!N6=TRUE,(Skills!L6/10)*(E229/1000),Skills!L6/10)+Skills!O6</f>
        <v/>
      </c>
      <c r="G229">
        <f>Skills!G6*IF(Skills!H6&gt;0,Skills!I6/Skills!H6,1)</f>
        <v/>
      </c>
      <c r="H229">
        <f>1-(1-Skills!J6/100)^Skills!K6</f>
        <v/>
      </c>
      <c r="I229" t="inlineStr">
        <is>
          <t>1</t>
        </is>
      </c>
      <c r="J229">
        <f>(Inputs!$B$5*(1+Inputs!$B$6/100))*(F229/100)</f>
        <v/>
      </c>
      <c r="K229">
        <f>J229*(1+((Inputs!$B$11*(1+Inputs!$B$12/100))*0.01+Inputs!$B$13*0.0025)/100)*(1+Inputs!$B$14/100)*(1+IF(Inputs!$B$4="pvp",0,(1-Summary!$B$55)*((Inputs!$B$19+1)+0+Skills!P6)+Summary!$B$55*(Inputs!$B$20+Skills!Q6))/100)*(1+Inputs!$B$15/100)*(5000/(6000+Inputs!$B$7*(1-(Inputs!$B$18+0)/100)))*(1+(Inputs!$B$23+0+B256)/100)*(1+(IF(Skills!A6="BLAST",Inputs!$B$16+((C244=TRUE)*(F244-Calc!F21)),Inputs!$B$17+((C246=TRUE)*(F246-Calc!F23))))/100)*((1+(((C236=TRUE)*F236*MIN(1,Skills!T13*(Skills!J13/100)*B254))+((C241=TRUE)*F241*IF(AND(Inputs!$B$4&lt;&gt;"pvp",Inputs!$B$35&gt;0),(((S241-1)*(Skills!T18*(1+Inputs!$B$33/100))+MIN((Skills!T18*(1+Inputs!$B$33/100)),MAX(0,Inputs!$B$35-((S241-1)*Skills!D18))))/Inputs!$B$35),IF(Inputs!$B$4="pvp",MIN((Skills!T18*(1+Inputs!$B$33/100)),15)/15,(Skills!T18*(1+Inputs!$B$33/100))/Skills!D18)))+0)/100)*I229)</f>
        <v/>
      </c>
      <c r="L229">
        <f>K229*(MIN(Inputs!$B$21+((C245=TRUE)*(F245-Calc!F22)),Inputs!$B$22+((C247=TRUE)*(F247-Calc!F24)))/100+(Inputs!$B$22+((C247=TRUE)*(F247-Calc!F24)))/100)/2</f>
        <v/>
      </c>
      <c r="M229">
        <f>L229*(1+(Inputs!$B$9+0+B255)/100)</f>
        <v/>
      </c>
      <c r="N229">
        <f>L229*(1-MIN((Inputs!$B$8+0+B250),100)/100)+M229*(MIN((Inputs!$B$8+0+B250),100)/100)</f>
        <v/>
      </c>
      <c r="O229">
        <f>IF(C229,H229*N229*IF(AND(Inputs!$B$4&lt;&gt;"pvp",Inputs!$B$35&gt;0),((Skills!G6*((R229-1)*IF(Skills!H6&gt;0,Skills!I6/Skills!H6,1)+IF(Skills!H6&gt;0,MIN(Skills!I6,MAX(0,Inputs!$B$35-((R229-1)*IF(Inputs!$B$4="pvp",15,MAX(0.1,Skills!D6-IF(Skills!E6=TRUE,Inputs!$B$31,0))))))/Skills!H6,1)))/Inputs!$B$35),G229*Q229)*IF(Inputs!$B$4="pvp",1,(1-Summary!$B$55)*(1)+Summary!$B$55*(MIN(Skills!R6,Inputs!$B$37))),0)</f>
        <v/>
      </c>
      <c r="P229">
        <f>IF(B258=0,0,O229/B258)</f>
        <v/>
      </c>
      <c r="Q229">
        <f>IFERROR(1/IF(Inputs!$B$4="pvp",15,MAX(0.1,Skills!D6-IF(Skills!E6=TRUE,Inputs!$B$31,0))),0)</f>
        <v/>
      </c>
      <c r="R229">
        <f>IF(AND(Inputs!$B$4&lt;&gt;"pvp",Inputs!$B$35&gt;0),(INT(Inputs!$B$35/IF(Inputs!$B$4="pvp",15,MAX(0.1,Skills!D6-IF(Skills!E6=TRUE,Inputs!$B$31,0))))+1),0)</f>
        <v/>
      </c>
      <c r="S229">
        <f>IFERROR(O229/N229,0)</f>
        <v/>
      </c>
    </row>
    <row r="230">
      <c r="A230">
        <f>Skills!A7</f>
        <v/>
      </c>
      <c r="B230">
        <f>Skills!B7</f>
        <v/>
      </c>
      <c r="C230">
        <f>Inputs!$B$3&gt;=107</f>
        <v/>
      </c>
      <c r="D230">
        <f>IF(Skills!C7=1,60+Inputs!$B$24+Inputs!$B$28,IF(Skills!C7=2,90+Inputs!$B$25+Inputs!$B$28,IF(Skills!C7=3,120+Inputs!$B$26+Inputs!$B$28,MAX(0,(Inputs!$B$3-100)*3)+Inputs!$B$27+Inputs!$B$28)))</f>
        <v/>
      </c>
      <c r="E230">
        <f>INDEX(FactorTable!$B$2:$Y$301, MATCH(ROUND(MIN(300,MAX(1,D230)),0), FactorTable!$A$2:$A$301,0), Skills!M7+1)</f>
        <v/>
      </c>
      <c r="F230">
        <f>IF(Skills!N7=TRUE,(Skills!L7/10)*(E230/1000),Skills!L7/10)+Skills!O7</f>
        <v/>
      </c>
      <c r="G230">
        <f>Skills!G7*IF(Skills!H7&gt;0,Skills!I7/Skills!H7,1)</f>
        <v/>
      </c>
      <c r="H230">
        <f>1-(1-Skills!J7/100)^Skills!K7</f>
        <v/>
      </c>
      <c r="I230" t="inlineStr">
        <is>
          <t>1</t>
        </is>
      </c>
      <c r="J230">
        <f>(Inputs!$B$5*(1+Inputs!$B$6/100))*(F230/100)</f>
        <v/>
      </c>
      <c r="K230">
        <f>J230*(1+((Inputs!$B$11*(1+Inputs!$B$12/100))*0.01+Inputs!$B$13*0.0025)/100)*(1+Inputs!$B$14/100)*(1+IF(Inputs!$B$4="pvp",0,(1-Summary!$B$55)*((Inputs!$B$19+1)+0+Skills!P7)+Summary!$B$55*(Inputs!$B$20+Skills!Q7))/100)*(1+Inputs!$B$15/100)*(5000/(6000+Inputs!$B$7*(1-(Inputs!$B$18+0)/100)))*(1+(Inputs!$B$23+0+B256)/100)*(1+(IF(Skills!A7="BLAST",Inputs!$B$16+((C244=TRUE)*(F244-Calc!F21)),Inputs!$B$17+((C246=TRUE)*(F246-Calc!F23))))/100)*((1+(((C236=TRUE)*F236*MIN(1,Skills!T13*(Skills!J13/100)*B254))+((C241=TRUE)*F241*IF(AND(Inputs!$B$4&lt;&gt;"pvp",Inputs!$B$35&gt;0),(((S241-1)*(Skills!T18*(1+Inputs!$B$33/100))+MIN((Skills!T18*(1+Inputs!$B$33/100)),MAX(0,Inputs!$B$35-((S241-1)*Skills!D18))))/Inputs!$B$35),IF(Inputs!$B$4="pvp",MIN((Skills!T18*(1+Inputs!$B$33/100)),15)/15,(Skills!T18*(1+Inputs!$B$33/100))/Skills!D18)))+0)/100)*I230)</f>
        <v/>
      </c>
      <c r="L230">
        <f>K230*(MIN(Inputs!$B$21+((C245=TRUE)*(F245-Calc!F22)),Inputs!$B$22+((C247=TRUE)*(F247-Calc!F24)))/100+(Inputs!$B$22+((C247=TRUE)*(F247-Calc!F24)))/100)/2</f>
        <v/>
      </c>
      <c r="M230">
        <f>L230*(1+(Inputs!$B$9+0+B255)/100)</f>
        <v/>
      </c>
      <c r="N230">
        <f>L230*(1-MIN((Inputs!$B$8+0+B250),100)/100)+M230*(MIN((Inputs!$B$8+0+B250),100)/100)</f>
        <v/>
      </c>
      <c r="O230">
        <f>IF(C230,H230*N230*IF(AND(Inputs!$B$4&lt;&gt;"pvp",Inputs!$B$35&gt;0),((Skills!G7*((R230-1)*IF(Skills!H7&gt;0,Skills!I7/Skills!H7,1)+IF(Skills!H7&gt;0,MIN(Skills!I7,MAX(0,Inputs!$B$35-((R230-1)*IF(Inputs!$B$4="pvp",15,MAX(0.1,Skills!D7-IF(Skills!E7=TRUE,Inputs!$B$31,0))))))/Skills!H7,1)))/Inputs!$B$35),G230*Q230)*IF(Inputs!$B$4="pvp",1,(1-Summary!$B$55)*(1)+Summary!$B$55*(MIN(Skills!R7,Inputs!$B$37))),0)</f>
        <v/>
      </c>
      <c r="P230">
        <f>IF(B258=0,0,O230/B258)</f>
        <v/>
      </c>
      <c r="Q230">
        <f>IFERROR(1/IF(Inputs!$B$4="pvp",15,MAX(0.1,Skills!D7-IF(Skills!E7=TRUE,Inputs!$B$31,0))),0)</f>
        <v/>
      </c>
      <c r="R230">
        <f>IF(AND(Inputs!$B$4&lt;&gt;"pvp",Inputs!$B$35&gt;0),(INT(Inputs!$B$35/IF(Inputs!$B$4="pvp",15,MAX(0.1,Skills!D7-IF(Skills!E7=TRUE,Inputs!$B$31,0))))+1),0)</f>
        <v/>
      </c>
      <c r="S230">
        <f>IFERROR(O230/N230,0)</f>
        <v/>
      </c>
    </row>
    <row r="231">
      <c r="A231">
        <f>Skills!A8</f>
        <v/>
      </c>
      <c r="B231">
        <f>Skills!B8</f>
        <v/>
      </c>
      <c r="C231">
        <f>Inputs!$B$3&gt;=107</f>
        <v/>
      </c>
      <c r="D231">
        <f>IF(Skills!C8=1,60+Inputs!$B$24+Inputs!$B$28,IF(Skills!C8=2,90+Inputs!$B$25+Inputs!$B$28,IF(Skills!C8=3,120+Inputs!$B$26+Inputs!$B$28,MAX(0,(Inputs!$B$3-100)*3)+Inputs!$B$27+Inputs!$B$28)))</f>
        <v/>
      </c>
      <c r="E231">
        <f>INDEX(FactorTable!$B$2:$Y$301, MATCH(ROUND(MIN(300,MAX(1,D231)),0), FactorTable!$A$2:$A$301,0), Skills!M8+1)</f>
        <v/>
      </c>
      <c r="F231">
        <f>IF(Skills!N8=TRUE,(Skills!L8/10)*(E231/1000),Skills!L8/10)+Skills!O8</f>
        <v/>
      </c>
      <c r="G231">
        <f>Skills!G8*IF(Skills!H8&gt;0,Skills!I8/Skills!H8,1)</f>
        <v/>
      </c>
      <c r="H231">
        <f>1-(1-Skills!J8/100)^Skills!K8</f>
        <v/>
      </c>
      <c r="I231" t="inlineStr">
        <is>
          <t>1</t>
        </is>
      </c>
      <c r="J231">
        <f>(Inputs!$B$5*(1+Inputs!$B$6/100))*(F231/100)</f>
        <v/>
      </c>
      <c r="K231">
        <f>J231*(1+((Inputs!$B$11*(1+Inputs!$B$12/100))*0.01+Inputs!$B$13*0.0025)/100)*(1+Inputs!$B$14/100)*(1+IF(Inputs!$B$4="pvp",0,(1-Summary!$B$55)*((Inputs!$B$19+1)+0+Skills!P8)+Summary!$B$55*(Inputs!$B$20+Skills!Q8))/100)*(1+Inputs!$B$15/100)*(5000/(6000+Inputs!$B$7*(1-(Inputs!$B$18+0)/100)))*(1+(Inputs!$B$23+0+B256)/100)*(1+(IF(Skills!A8="BLAST",Inputs!$B$16+((C244=TRUE)*(F244-Calc!F21)),Inputs!$B$17+((C246=TRUE)*(F246-Calc!F23))))/100)*((1+(((C236=TRUE)*F236*MIN(1,Skills!T13*(Skills!J13/100)*B254))+((C241=TRUE)*F241*IF(AND(Inputs!$B$4&lt;&gt;"pvp",Inputs!$B$35&gt;0),(((S241-1)*(Skills!T18*(1+Inputs!$B$33/100))+MIN((Skills!T18*(1+Inputs!$B$33/100)),MAX(0,Inputs!$B$35-((S241-1)*Skills!D18))))/Inputs!$B$35),IF(Inputs!$B$4="pvp",MIN((Skills!T18*(1+Inputs!$B$33/100)),15)/15,(Skills!T18*(1+Inputs!$B$33/100))/Skills!D18)))+0)/100)*I231)</f>
        <v/>
      </c>
      <c r="L231">
        <f>K231*(MIN(Inputs!$B$21+((C245=TRUE)*(F245-Calc!F22)),Inputs!$B$22+((C247=TRUE)*(F247-Calc!F24)))/100+(Inputs!$B$22+((C247=TRUE)*(F247-Calc!F24)))/100)/2</f>
        <v/>
      </c>
      <c r="M231">
        <f>L231*(1+(Inputs!$B$9+0+B255)/100)</f>
        <v/>
      </c>
      <c r="N231">
        <f>L231*(1-MIN((Inputs!$B$8+0+B250),100)/100)+M231*(MIN((Inputs!$B$8+0+B250),100)/100)</f>
        <v/>
      </c>
      <c r="O231">
        <f>IF(C231,H231*N231*IF(AND(Inputs!$B$4&lt;&gt;"pvp",Inputs!$B$35&gt;0),((Skills!G8*((R231-1)*IF(Skills!H8&gt;0,Skills!I8/Skills!H8,1)+IF(Skills!H8&gt;0,MIN(Skills!I8,MAX(0,Inputs!$B$35-((R231-1)*IF(Inputs!$B$4="pvp",15,MAX(0.1,Skills!D8-IF(Skills!E8=TRUE,Inputs!$B$31,0))))))/Skills!H8,1)))/Inputs!$B$35),G231*Q231)*IF(Inputs!$B$4="pvp",1,(1-Summary!$B$55)*(1)+Summary!$B$55*(MIN(Skills!R8,Inputs!$B$37))),0)</f>
        <v/>
      </c>
      <c r="P231">
        <f>IF(B258=0,0,O231/B258)</f>
        <v/>
      </c>
      <c r="Q231">
        <f>IFERROR(1/IF(Inputs!$B$4="pvp",15,MAX(0.1,Skills!D8-IF(Skills!E8=TRUE,Inputs!$B$31,0))),0)</f>
        <v/>
      </c>
      <c r="R231">
        <f>IF(AND(Inputs!$B$4&lt;&gt;"pvp",Inputs!$B$35&gt;0),(INT(Inputs!$B$35/IF(Inputs!$B$4="pvp",15,MAX(0.1,Skills!D8-IF(Skills!E8=TRUE,Inputs!$B$31,0))))+1),0)</f>
        <v/>
      </c>
      <c r="S231">
        <f>IFERROR(O231/N231,0)</f>
        <v/>
      </c>
    </row>
    <row r="232">
      <c r="A232">
        <f>Skills!A9</f>
        <v/>
      </c>
      <c r="B232">
        <f>Skills!B9</f>
        <v/>
      </c>
      <c r="C232">
        <f>Inputs!$B$3&gt;=125</f>
        <v/>
      </c>
      <c r="D232">
        <f>IF(Skills!C9=1,60+Inputs!$B$24+Inputs!$B$28,IF(Skills!C9=2,90+Inputs!$B$25+Inputs!$B$28,IF(Skills!C9=3,120+Inputs!$B$26+Inputs!$B$28,MAX(0,(Inputs!$B$3-100)*3)+Inputs!$B$27+Inputs!$B$28)))</f>
        <v/>
      </c>
      <c r="E232">
        <f>INDEX(FactorTable!$B$2:$Y$301, MATCH(ROUND(MIN(300,MAX(1,D232)),0), FactorTable!$A$2:$A$301,0), Skills!M9+1)</f>
        <v/>
      </c>
      <c r="F232">
        <f>IF(Skills!N9=TRUE,(Skills!L9/10)*(E232/1000),Skills!L9/10)+Skills!O9</f>
        <v/>
      </c>
      <c r="G232">
        <f>Skills!G9*IF(Skills!H9&gt;0,Skills!I9/Skills!H9,1)</f>
        <v/>
      </c>
      <c r="H232">
        <f>1-(1-Skills!J9/100)^Skills!K9</f>
        <v/>
      </c>
      <c r="I232" t="inlineStr">
        <is>
          <t>1</t>
        </is>
      </c>
      <c r="J232">
        <f>(Inputs!$B$5*(1+Inputs!$B$6/100))*(F232/100)</f>
        <v/>
      </c>
      <c r="K232">
        <f>J232*(1+((Inputs!$B$11*(1+Inputs!$B$12/100))*0.01+Inputs!$B$13*0.0025)/100)*(1+Inputs!$B$14/100)*(1+IF(Inputs!$B$4="pvp",0,(1-Summary!$B$55)*((Inputs!$B$19+1)+0+Skills!P9)+Summary!$B$55*(Inputs!$B$20+Skills!Q9))/100)*(1+Inputs!$B$15/100)*(5000/(6000+Inputs!$B$7*(1-(Inputs!$B$18+0)/100)))*(1+(Inputs!$B$23+0+B256)/100)*(1+(IF(Skills!A9="BLAST",Inputs!$B$16+((C244=TRUE)*(F244-Calc!F21)),Inputs!$B$17+((C246=TRUE)*(F246-Calc!F23))))/100)*((1+(((C236=TRUE)*F236*MIN(1,Skills!T13*(Skills!J13/100)*B254))+((C241=TRUE)*F241*IF(AND(Inputs!$B$4&lt;&gt;"pvp",Inputs!$B$35&gt;0),(((S241-1)*(Skills!T18*(1+Inputs!$B$33/100))+MIN((Skills!T18*(1+Inputs!$B$33/100)),MAX(0,Inputs!$B$35-((S241-1)*Skills!D18))))/Inputs!$B$35),IF(Inputs!$B$4="pvp",MIN((Skills!T18*(1+Inputs!$B$33/100)),15)/15,(Skills!T18*(1+Inputs!$B$33/100))/Skills!D18)))+0)/100)*I232)</f>
        <v/>
      </c>
      <c r="L232">
        <f>K232*(MIN(Inputs!$B$21+((C245=TRUE)*(F245-Calc!F22)),Inputs!$B$22+((C247=TRUE)*(F247-Calc!F24)))/100+(Inputs!$B$22+((C247=TRUE)*(F247-Calc!F24)))/100)/2</f>
        <v/>
      </c>
      <c r="M232">
        <f>L232*(1+(Inputs!$B$9+0+B255)/100)</f>
        <v/>
      </c>
      <c r="N232">
        <f>L232*(1-MIN((Inputs!$B$8+0+B250),100)/100)+M232*(MIN((Inputs!$B$8+0+B250),100)/100)</f>
        <v/>
      </c>
      <c r="O232">
        <f>IF(C232,H232*N232*IF(AND(Inputs!$B$4&lt;&gt;"pvp",Inputs!$B$35&gt;0),((Skills!G9*((R232-1)*IF(Skills!H9&gt;0,Skills!I9/Skills!H9,1)+IF(Skills!H9&gt;0,MIN(Skills!I9,MAX(0,Inputs!$B$35-((R232-1)*IF(Inputs!$B$4="pvp",15,MAX(0.1,Skills!D9-IF(Skills!E9=TRUE,Inputs!$B$31,0))))))/Skills!H9,1)))/Inputs!$B$35),G232*Q232)*IF(Inputs!$B$4="pvp",1,(1-Summary!$B$55)*(1)+Summary!$B$55*(MIN(Skills!R9,Inputs!$B$37))),0)</f>
        <v/>
      </c>
      <c r="P232">
        <f>IF(B258=0,0,O232/B258)</f>
        <v/>
      </c>
      <c r="Q232">
        <f>IFERROR(1/IF(Inputs!$B$4="pvp",15,MAX(0.1,Skills!D9-IF(Skills!E9=TRUE,Inputs!$B$31,0))),0)</f>
        <v/>
      </c>
      <c r="R232">
        <f>IF(AND(Inputs!$B$4&lt;&gt;"pvp",Inputs!$B$35&gt;0),(INT(Inputs!$B$35/IF(Inputs!$B$4="pvp",15,MAX(0.1,Skills!D9-IF(Skills!E9=TRUE,Inputs!$B$31,0))))+1),0)</f>
        <v/>
      </c>
      <c r="S232">
        <f>IFERROR(O232/N232,0)</f>
        <v/>
      </c>
    </row>
    <row r="233">
      <c r="A233">
        <f>Skills!A10</f>
        <v/>
      </c>
      <c r="B233">
        <f>Skills!B10</f>
        <v/>
      </c>
      <c r="C233">
        <f>Inputs!$B$3&gt;=117</f>
        <v/>
      </c>
      <c r="D233">
        <f>IF(Skills!C10=1,60+Inputs!$B$24+Inputs!$B$28,IF(Skills!C10=2,90+Inputs!$B$25+Inputs!$B$28,IF(Skills!C10=3,120+Inputs!$B$26+Inputs!$B$28,MAX(0,(Inputs!$B$3-100)*3)+Inputs!$B$27+Inputs!$B$28)))</f>
        <v/>
      </c>
      <c r="E233">
        <f>INDEX(FactorTable!$B$2:$Y$301, MATCH(ROUND(MIN(300,MAX(1,D233)),0), FactorTable!$A$2:$A$301,0), Skills!M10+1)</f>
        <v/>
      </c>
      <c r="F233">
        <f>IF(Skills!N10=TRUE,(Skills!L10/10)*(E233/1000),Skills!L10/10)+Skills!O10</f>
        <v/>
      </c>
      <c r="G233">
        <f>Skills!G10*IF(Skills!H10&gt;0,Skills!I10/Skills!H10,1)</f>
        <v/>
      </c>
      <c r="H233">
        <f>1-(1-Skills!J10/100)^Skills!K10</f>
        <v/>
      </c>
      <c r="I233" t="inlineStr">
        <is>
          <t>1</t>
        </is>
      </c>
      <c r="J233">
        <f>(Inputs!$B$5*(1+Inputs!$B$6/100))*(F233/100)</f>
        <v/>
      </c>
      <c r="K233">
        <f>J233*(1+((Inputs!$B$11*(1+Inputs!$B$12/100))*0.01+Inputs!$B$13*0.0025)/100)*(1+Inputs!$B$14/100)*(1+IF(Inputs!$B$4="pvp",0,(1-Summary!$B$55)*((Inputs!$B$19+1)+0+Skills!P10)+Summary!$B$55*(Inputs!$B$20+Skills!Q10))/100)*(1+Inputs!$B$15/100)*(5000/(6000+Inputs!$B$7*(1-(Inputs!$B$18+0)/100)))*(1+(Inputs!$B$23+0+B256)/100)*(1+(IF(Skills!A10="BLAST",Inputs!$B$16+((C244=TRUE)*(F244-Calc!F21)),Inputs!$B$17+((C246=TRUE)*(F246-Calc!F23))))/100)*((1+(((C236=TRUE)*F236*MIN(1,Skills!T13*(Skills!J13/100)*B254))+((C241=TRUE)*F241*IF(AND(Inputs!$B$4&lt;&gt;"pvp",Inputs!$B$35&gt;0),(((S241-1)*(Skills!T18*(1+Inputs!$B$33/100))+MIN((Skills!T18*(1+Inputs!$B$33/100)),MAX(0,Inputs!$B$35-((S241-1)*Skills!D18))))/Inputs!$B$35),IF(Inputs!$B$4="pvp",MIN((Skills!T18*(1+Inputs!$B$33/100)),15)/15,(Skills!T18*(1+Inputs!$B$33/100))/Skills!D18)))+0)/100)*I233)</f>
        <v/>
      </c>
      <c r="L233">
        <f>K233*(MIN(Inputs!$B$21+((C245=TRUE)*(F245-Calc!F22)),Inputs!$B$22+((C247=TRUE)*(F247-Calc!F24)))/100+(Inputs!$B$22+((C247=TRUE)*(F247-Calc!F24)))/100)/2</f>
        <v/>
      </c>
      <c r="M233">
        <f>L233*(1+(Inputs!$B$9+0+B255)/100)</f>
        <v/>
      </c>
      <c r="N233">
        <f>L233*(1-MIN((Inputs!$B$8+0+B250),100)/100)+M233*(MIN((Inputs!$B$8+0+B250),100)/100)</f>
        <v/>
      </c>
      <c r="O233">
        <f>IF(C233,H233*N233*IF(AND(Inputs!$B$4&lt;&gt;"pvp",Inputs!$B$35&gt;0),((Skills!G10*((R233-1)*IF(Skills!H10&gt;0,Skills!I10/Skills!H10,1)+IF(Skills!H10&gt;0,MIN(Skills!I10,MAX(0,Inputs!$B$35-((R233-1)*IF(Inputs!$B$4="pvp",15,MAX(0.1,Skills!D10-IF(Skills!E10=TRUE,Inputs!$B$31,0))))))/Skills!H10,1)))/Inputs!$B$35),G233*Q233)*IF(Inputs!$B$4="pvp",1,(1-Summary!$B$55)*(1)+Summary!$B$55*(MIN(Skills!R10,Inputs!$B$37))),0)</f>
        <v/>
      </c>
      <c r="P233">
        <f>IF(B258=0,0,O233/B258)</f>
        <v/>
      </c>
      <c r="Q233">
        <f>IFERROR(1/IF(Inputs!$B$4="pvp",15,MAX(0.1,Skills!D10-IF(Skills!E10=TRUE,Inputs!$B$31,0))),0)</f>
        <v/>
      </c>
      <c r="R233">
        <f>IF(AND(Inputs!$B$4&lt;&gt;"pvp",Inputs!$B$35&gt;0),(INT(Inputs!$B$35/IF(Inputs!$B$4="pvp",15,MAX(0.1,Skills!D10-IF(Skills!E10=TRUE,Inputs!$B$31,0))))+1),0)</f>
        <v/>
      </c>
      <c r="S233">
        <f>IFERROR(O233/N233,0)</f>
        <v/>
      </c>
    </row>
    <row r="234">
      <c r="A234">
        <f>Skills!A11</f>
        <v/>
      </c>
      <c r="B234">
        <f>Skills!B11</f>
        <v/>
      </c>
      <c r="C234">
        <f>Inputs!$B$3&gt;=63</f>
        <v/>
      </c>
      <c r="D234">
        <f>IF(Skills!C11=1,60+Inputs!$B$24+Inputs!$B$28,IF(Skills!C11=2,90+Inputs!$B$25+Inputs!$B$28,IF(Skills!C11=3,120+Inputs!$B$26+Inputs!$B$28,MAX(0,(Inputs!$B$3-100)*3)+Inputs!$B$27+Inputs!$B$28)))</f>
        <v/>
      </c>
      <c r="E234">
        <f>INDEX(FactorTable!$B$2:$Y$301, MATCH(ROUND(MIN(300,MAX(1,D234)),0), FactorTable!$A$2:$A$301,0), Skills!M11+1)</f>
        <v/>
      </c>
      <c r="F234">
        <f>IF(Skills!N11=TRUE,(Skills!L11/10)*(E234/1000),Skills!L11/10)+Skills!O11</f>
        <v/>
      </c>
      <c r="G234">
        <f>Skills!G11*IF(Skills!H11&gt;0,Skills!I11/Skills!H11,1)</f>
        <v/>
      </c>
      <c r="H234">
        <f>1-(1-Skills!J11/100)^Skills!K11</f>
        <v/>
      </c>
      <c r="I234" t="inlineStr">
        <is>
          <t>1</t>
        </is>
      </c>
      <c r="J234">
        <f>(Inputs!$B$5*(1+Inputs!$B$6/100))*(F234/100)</f>
        <v/>
      </c>
      <c r="K234">
        <f>J234*(1+((Inputs!$B$11*(1+Inputs!$B$12/100))*0.01+Inputs!$B$13*0.0025)/100)*(1+Inputs!$B$14/100)*(1+IF(Inputs!$B$4="pvp",0,(1-Summary!$B$55)*((Inputs!$B$19+1)+0+Skills!P11)+Summary!$B$55*(Inputs!$B$20+Skills!Q11))/100)*(1+Inputs!$B$15/100)*(5000/(6000+Inputs!$B$7*(1-(Inputs!$B$18+0)/100)))*(1+(Inputs!$B$23+0+B256)/100)*(1+1.5*IF(C235=TRUE,F235,0)/100)*(1+(IF(Skills!A11="BLAST",Inputs!$B$16+((C244=TRUE)*(F244-Calc!F21)),Inputs!$B$17+((C246=TRUE)*(F246-Calc!F23))))/100)*((1+(((C236=TRUE)*F236*MIN(1,Skills!T13*(Skills!J13/100)*B254))+((C241=TRUE)*F241*IF(AND(Inputs!$B$4&lt;&gt;"pvp",Inputs!$B$35&gt;0),(((S241-1)*(Skills!T18*(1+Inputs!$B$33/100))+MIN((Skills!T18*(1+Inputs!$B$33/100)),MAX(0,Inputs!$B$35-((S241-1)*Skills!D18))))/Inputs!$B$35),IF(Inputs!$B$4="pvp",MIN((Skills!T18*(1+Inputs!$B$33/100)),15)/15,(Skills!T18*(1+Inputs!$B$33/100))/Skills!D18)))+0)/100)*I234)</f>
        <v/>
      </c>
      <c r="L234">
        <f>K234*(MIN(Inputs!$B$21+((C245=TRUE)*(F245-Calc!F22)),Inputs!$B$22+((C247=TRUE)*(F247-Calc!F24)))/100+(Inputs!$B$22+((C247=TRUE)*(F247-Calc!F24)))/100)/2</f>
        <v/>
      </c>
      <c r="M234">
        <f>L234*(1+(Inputs!$B$9+0+B255)/100)</f>
        <v/>
      </c>
      <c r="N234">
        <f>L234*(1-MIN((Inputs!$B$8+0+B250),100)/100)+M234*(MIN((Inputs!$B$8+0+B250),100)/100)</f>
        <v/>
      </c>
      <c r="O234">
        <f>IF(C234,H234*N234*IF(AND(Inputs!$B$4&lt;&gt;"pvp",Inputs!$B$35&gt;0),((Skills!G11*((R234-1)*IF(Skills!H11&gt;0,Skills!I11/Skills!H11,1)+IF(Skills!H11&gt;0,MIN(Skills!I11,MAX(0,Inputs!$B$35-((R234-1)*IF(Inputs!$B$4="pvp",15,MAX(0.1,Skills!D11-IF(Skills!E11=TRUE,Inputs!$B$31,0))))))/Skills!H11,1)))/Inputs!$B$35),G234*Q234)*IF(Inputs!$B$4="pvp",1,(1-Summary!$B$55)*(1)+Summary!$B$55*(MIN(Skills!R11,Inputs!$B$37))),0)</f>
        <v/>
      </c>
      <c r="P234">
        <f>IF(B258=0,0,O234/B258)</f>
        <v/>
      </c>
      <c r="Q234">
        <f>IFERROR(1/IF(Inputs!$B$4="pvp",15,MAX(0.1,Skills!D11-IF(Skills!E11=TRUE,Inputs!$B$31,0))),0)</f>
        <v/>
      </c>
      <c r="R234">
        <f>IF(AND(Inputs!$B$4&lt;&gt;"pvp",Inputs!$B$35&gt;0),(INT(Inputs!$B$35/IF(Inputs!$B$4="pvp",15,MAX(0.1,Skills!D11-IF(Skills!E11=TRUE,Inputs!$B$31,0))))+1),0)</f>
        <v/>
      </c>
      <c r="S234">
        <f>IFERROR(O234/N234,0)</f>
        <v/>
      </c>
    </row>
    <row r="235">
      <c r="A235">
        <f>Skills!A12</f>
        <v/>
      </c>
      <c r="B235">
        <f>Skills!B12</f>
        <v/>
      </c>
      <c r="C235">
        <f>Inputs!$B$3&gt;=100</f>
        <v/>
      </c>
      <c r="D235">
        <f>IF(Skills!C12=1,60+Inputs!$B$24+Inputs!$B$28,IF(Skills!C12=2,90+Inputs!$B$25+Inputs!$B$28,IF(Skills!C12=3,120+Inputs!$B$26+Inputs!$B$28,MAX(0,(Inputs!$B$3-100)*3)+Inputs!$B$27+Inputs!$B$28)))</f>
        <v/>
      </c>
      <c r="E235">
        <f>INDEX(FactorTable!$B$2:$Y$301, MATCH(ROUND(MIN(300,MAX(1,D235)),0), FactorTable!$A$2:$A$301,0), Skills!M12+1)</f>
        <v/>
      </c>
      <c r="F235">
        <f>IF(Skills!N12=TRUE,(Skills!L12/10)*(E235/1000),Skills!L12/10)+Skills!O12</f>
        <v/>
      </c>
      <c r="G235" t="inlineStr"/>
      <c r="H235" t="inlineStr"/>
      <c r="I235" t="inlineStr">
        <is>
          <t>1</t>
        </is>
      </c>
      <c r="J235" t="inlineStr"/>
      <c r="K235" t="inlineStr"/>
      <c r="L235" t="inlineStr"/>
      <c r="M235" t="inlineStr"/>
      <c r="N235" t="inlineStr"/>
      <c r="O235" t="inlineStr"/>
      <c r="P235" t="inlineStr"/>
      <c r="Q235" t="inlineStr"/>
      <c r="R235" t="inlineStr"/>
      <c r="S235" t="inlineStr"/>
    </row>
    <row r="236">
      <c r="A236">
        <f>Skills!A13</f>
        <v/>
      </c>
      <c r="B236">
        <f>Skills!B13</f>
        <v/>
      </c>
      <c r="C236">
        <f>Inputs!$B$3&gt;=45</f>
        <v/>
      </c>
      <c r="D236">
        <f>IF(Skills!C13=1,60+Inputs!$B$24+Inputs!$B$28,IF(Skills!C13=2,90+Inputs!$B$25+Inputs!$B$28,IF(Skills!C13=3,120+Inputs!$B$26+Inputs!$B$28,MAX(0,(Inputs!$B$3-100)*3)+Inputs!$B$27+Inputs!$B$28)))</f>
        <v/>
      </c>
      <c r="E236">
        <f>INDEX(FactorTable!$B$2:$Y$301, MATCH(ROUND(MIN(300,MAX(1,D236)),0), FactorTable!$A$2:$A$301,0), Skills!M13+1)</f>
        <v/>
      </c>
      <c r="F236">
        <f>IF(Skills!N13=TRUE,(Skills!L13/10)*(E236/1000),Skills!L13/10)+Skills!O13</f>
        <v/>
      </c>
      <c r="G236">
        <f>Skills!G13*IF(Skills!H13&gt;0,Skills!I13/Skills!H13,1)</f>
        <v/>
      </c>
      <c r="H236">
        <f>1-(1-Skills!J13/100)^Skills!K13</f>
        <v/>
      </c>
      <c r="I236" t="inlineStr">
        <is>
          <t>1</t>
        </is>
      </c>
      <c r="J236" t="inlineStr"/>
      <c r="K236" t="inlineStr"/>
      <c r="L236" t="inlineStr"/>
      <c r="M236" t="inlineStr"/>
      <c r="N236" t="inlineStr"/>
      <c r="O236" t="n">
        <v>0</v>
      </c>
      <c r="P236">
        <f>IF(B258=0,0,O236/B258)</f>
        <v/>
      </c>
      <c r="Q236" t="n">
        <v>0</v>
      </c>
      <c r="R236" t="n">
        <v>0</v>
      </c>
      <c r="S236">
        <f>IFERROR(O236/N236,0)</f>
        <v/>
      </c>
    </row>
    <row r="237">
      <c r="A237">
        <f>Skills!A14</f>
        <v/>
      </c>
      <c r="B237">
        <f>Skills!B14</f>
        <v/>
      </c>
      <c r="C237">
        <f>Inputs!$B$3&gt;=110</f>
        <v/>
      </c>
      <c r="D237">
        <f>IF(Skills!C14=1,60+Inputs!$B$24+Inputs!$B$28,IF(Skills!C14=2,90+Inputs!$B$25+Inputs!$B$28,IF(Skills!C14=3,120+Inputs!$B$26+Inputs!$B$28,MAX(0,(Inputs!$B$3-100)*3)+Inputs!$B$27+Inputs!$B$28)))</f>
        <v/>
      </c>
      <c r="E237">
        <f>INDEX(FactorTable!$B$2:$Y$301, MATCH(ROUND(MIN(300,MAX(1,D237)),0), FactorTable!$A$2:$A$301,0), Skills!M14+1)</f>
        <v/>
      </c>
      <c r="F237">
        <f>IF(Skills!N14=TRUE,(Skills!L14/10)*(E237/1000),Skills!L14/10)+Skills!O14</f>
        <v/>
      </c>
      <c r="G237">
        <f>Skills!G14*IF(Skills!H14&gt;0,Skills!I14/Skills!H14,1)</f>
        <v/>
      </c>
      <c r="H237">
        <f>1-(1-Skills!J14/100)^Skills!K14</f>
        <v/>
      </c>
      <c r="I237" t="inlineStr">
        <is>
          <t>1</t>
        </is>
      </c>
      <c r="J237" t="inlineStr"/>
      <c r="K237" t="inlineStr"/>
      <c r="L237" t="inlineStr"/>
      <c r="M237" t="inlineStr"/>
      <c r="N237" t="inlineStr"/>
      <c r="O237" t="n">
        <v>0</v>
      </c>
      <c r="P237">
        <f>IF(B258=0,0,O237/B258)</f>
        <v/>
      </c>
      <c r="Q237" t="n">
        <v>0</v>
      </c>
      <c r="R237" t="n">
        <v>0</v>
      </c>
      <c r="S237">
        <f>IFERROR(O237/N237,0)</f>
        <v/>
      </c>
    </row>
    <row r="238">
      <c r="A238">
        <f>Skills!A15</f>
        <v/>
      </c>
      <c r="B238">
        <f>Skills!B15</f>
        <v/>
      </c>
      <c r="C238">
        <f>Inputs!$B$3&gt;=75</f>
        <v/>
      </c>
      <c r="D238">
        <f>IF(Skills!C15=1,60+Inputs!$B$24+Inputs!$B$28,IF(Skills!C15=2,90+Inputs!$B$25+Inputs!$B$28,IF(Skills!C15=3,120+Inputs!$B$26+Inputs!$B$28,MAX(0,(Inputs!$B$3-100)*3)+Inputs!$B$27+Inputs!$B$28)))</f>
        <v/>
      </c>
      <c r="E238">
        <f>INDEX(FactorTable!$B$2:$Y$301, MATCH(ROUND(MIN(300,MAX(1,D238)),0), FactorTable!$A$2:$A$301,0), Skills!M15+1)</f>
        <v/>
      </c>
      <c r="F238">
        <f>IF(Skills!N15=TRUE,(Skills!L15/10)*(E238/1000),Skills!L15/10)+Skills!O15</f>
        <v/>
      </c>
      <c r="G238">
        <f>Skills!G15*IF(Skills!H15&gt;0,Skills!I15/Skills!H15,1)</f>
        <v/>
      </c>
      <c r="H238">
        <f>1-(1-Skills!J15/100)^Skills!K15</f>
        <v/>
      </c>
      <c r="I238" t="inlineStr">
        <is>
          <t>1</t>
        </is>
      </c>
      <c r="J238" t="inlineStr"/>
      <c r="K238" t="inlineStr"/>
      <c r="L238" t="inlineStr"/>
      <c r="M238" t="inlineStr"/>
      <c r="N238" t="inlineStr"/>
      <c r="O238" t="n">
        <v>0</v>
      </c>
      <c r="P238">
        <f>IF(B258=0,0,O238/B258)</f>
        <v/>
      </c>
      <c r="Q238">
        <f>IFERROR(1/IF(Inputs!$B$4="pvp",15,MAX(0.1,Skills!D15-IF(Skills!E15=TRUE,Inputs!$B$31,0))),0)</f>
        <v/>
      </c>
      <c r="R238">
        <f>IF(AND(Inputs!$B$4&lt;&gt;"pvp",Inputs!$B$35&gt;0),(INT(Inputs!$B$35/IF(Inputs!$B$4="pvp",15,MAX(0.1,Skills!D15-IF(Skills!E15=TRUE,Inputs!$B$31,0))))+1),0)</f>
        <v/>
      </c>
      <c r="S238">
        <f>IFERROR(O238/N238,0)</f>
        <v/>
      </c>
    </row>
    <row r="239">
      <c r="A239">
        <f>Skills!A16</f>
        <v/>
      </c>
      <c r="B239">
        <f>Skills!B16</f>
        <v/>
      </c>
      <c r="C239">
        <f>Inputs!$B$3&gt;=105</f>
        <v/>
      </c>
      <c r="D239">
        <f>IF(Skills!C16=1,60+Inputs!$B$24+Inputs!$B$28,IF(Skills!C16=2,90+Inputs!$B$25+Inputs!$B$28,IF(Skills!C16=3,120+Inputs!$B$26+Inputs!$B$28,MAX(0,(Inputs!$B$3-100)*3)+Inputs!$B$27+Inputs!$B$28)))</f>
        <v/>
      </c>
      <c r="E239">
        <f>INDEX(FactorTable!$B$2:$Y$301, MATCH(ROUND(MIN(300,MAX(1,D239)),0), FactorTable!$A$2:$A$301,0), Skills!M16+1)</f>
        <v/>
      </c>
      <c r="F239">
        <f>IF(Skills!N16=TRUE,(Skills!L16/10)*(E239/1000),Skills!L16/10)+Skills!O16</f>
        <v/>
      </c>
      <c r="G239">
        <f>Skills!G16*IF(Skills!H16&gt;0,Skills!I16/Skills!H16,1)</f>
        <v/>
      </c>
      <c r="H239">
        <f>1-(1-Skills!J16/100)^Skills!K16</f>
        <v/>
      </c>
      <c r="I239" t="inlineStr">
        <is>
          <t>1</t>
        </is>
      </c>
      <c r="J239" t="inlineStr"/>
      <c r="K239" t="inlineStr"/>
      <c r="L239" t="inlineStr"/>
      <c r="M239" t="inlineStr"/>
      <c r="N239" t="inlineStr"/>
      <c r="O239" t="n">
        <v>0</v>
      </c>
      <c r="P239">
        <f>IF(B258=0,0,O239/B258)</f>
        <v/>
      </c>
      <c r="Q239">
        <f>IFERROR(1/IF(Inputs!$B$4="pvp",15,MAX(0.1,Skills!D16-IF(Skills!E16=TRUE,Inputs!$B$31,0))),0)</f>
        <v/>
      </c>
      <c r="R239">
        <f>IF(AND(Inputs!$B$4&lt;&gt;"pvp",Inputs!$B$35&gt;0),(INT(Inputs!$B$35/IF(Inputs!$B$4="pvp",15,MAX(0.1,Skills!D16-IF(Skills!E16=TRUE,Inputs!$B$31,0))))+1),0)</f>
        <v/>
      </c>
      <c r="S239">
        <f>IFERROR(O239/N239,0)</f>
        <v/>
      </c>
    </row>
    <row r="240">
      <c r="A240">
        <f>Skills!A17</f>
        <v/>
      </c>
      <c r="B240">
        <f>Skills!B17</f>
        <v/>
      </c>
      <c r="C240">
        <f>Inputs!$B$3&gt;=115</f>
        <v/>
      </c>
      <c r="D240">
        <f>IF(Skills!C17=1,60+Inputs!$B$24+Inputs!$B$28,IF(Skills!C17=2,90+Inputs!$B$25+Inputs!$B$28,IF(Skills!C17=3,120+Inputs!$B$26+Inputs!$B$28,MAX(0,(Inputs!$B$3-100)*3)+Inputs!$B$27+Inputs!$B$28)))</f>
        <v/>
      </c>
      <c r="E240">
        <f>INDEX(FactorTable!$B$2:$Y$301, MATCH(ROUND(MIN(300,MAX(1,D240)),0), FactorTable!$A$2:$A$301,0), Skills!M17+1)</f>
        <v/>
      </c>
      <c r="F240">
        <f>IF(Skills!N17=TRUE,(Skills!L17/10)*(E240/1000),Skills!L17/10)+Skills!O17</f>
        <v/>
      </c>
      <c r="G240">
        <f>Skills!G17*IF(Skills!H17&gt;0,Skills!I17/Skills!H17,1)</f>
        <v/>
      </c>
      <c r="H240">
        <f>1-(1-Skills!J17/100)^Skills!K17</f>
        <v/>
      </c>
      <c r="I240" t="inlineStr">
        <is>
          <t>1</t>
        </is>
      </c>
      <c r="J240" t="inlineStr"/>
      <c r="K240" t="inlineStr"/>
      <c r="L240" t="inlineStr"/>
      <c r="M240" t="inlineStr"/>
      <c r="N240" t="inlineStr"/>
      <c r="O240" t="n">
        <v>0</v>
      </c>
      <c r="P240">
        <f>IF(B258=0,0,O240/B258)</f>
        <v/>
      </c>
      <c r="Q240">
        <f>IFERROR(1/IF(Inputs!$B$4="pvp",15,MAX(0.1,Skills!D17-IF(Skills!E17=TRUE,Inputs!$B$31,0))),0)</f>
        <v/>
      </c>
      <c r="R240">
        <f>IF(AND(Inputs!$B$4&lt;&gt;"pvp",Inputs!$B$35&gt;0),(INT(Inputs!$B$35/IF(Inputs!$B$4="pvp",15,MAX(0.1,Skills!D17-IF(Skills!E17=TRUE,Inputs!$B$31,0))))+1),0)</f>
        <v/>
      </c>
      <c r="S240">
        <f>IFERROR(O240/N240,0)</f>
        <v/>
      </c>
    </row>
    <row r="241">
      <c r="A241">
        <f>Skills!A18</f>
        <v/>
      </c>
      <c r="B241">
        <f>Skills!B18</f>
        <v/>
      </c>
      <c r="C241">
        <f>Inputs!$B$3&gt;=74</f>
        <v/>
      </c>
      <c r="D241">
        <f>IF(Skills!C18=1,60+Inputs!$B$24+Inputs!$B$28,IF(Skills!C18=2,90+Inputs!$B$25+Inputs!$B$28,IF(Skills!C18=3,120+Inputs!$B$26+Inputs!$B$28,MAX(0,(Inputs!$B$3-100)*3)+Inputs!$B$27+Inputs!$B$28)))</f>
        <v/>
      </c>
      <c r="E241">
        <f>INDEX(FactorTable!$B$2:$Y$301, MATCH(ROUND(MIN(300,MAX(1,D241)),0), FactorTable!$A$2:$A$301,0), Skills!M18+1)</f>
        <v/>
      </c>
      <c r="F241">
        <f>IF(Skills!N18=TRUE,(Skills!L18/10)*(E241/1000),Skills!L18/10)+Skills!O18</f>
        <v/>
      </c>
      <c r="G241">
        <f>Skills!G18*IF(Skills!H18&gt;0,Skills!I18/Skills!H18,1)</f>
        <v/>
      </c>
      <c r="H241">
        <f>1-(1-Skills!J18/100)^Skills!K18</f>
        <v/>
      </c>
      <c r="I241" t="inlineStr">
        <is>
          <t>1</t>
        </is>
      </c>
      <c r="J241" t="inlineStr"/>
      <c r="K241" t="inlineStr"/>
      <c r="L241" t="inlineStr"/>
      <c r="M241" t="inlineStr"/>
      <c r="N241" t="inlineStr"/>
      <c r="O241" t="n">
        <v>0</v>
      </c>
      <c r="P241">
        <f>IF(B258=0,0,O241/B258)</f>
        <v/>
      </c>
      <c r="Q241">
        <f>IFERROR(1/IF(Inputs!$B$4="pvp",15,MAX(0.1,Skills!D18-IF(Skills!E18=TRUE,Inputs!$B$31,0))),0)</f>
        <v/>
      </c>
      <c r="R241">
        <f>IF(AND(Inputs!$B$4&lt;&gt;"pvp",Inputs!$B$35&gt;0),(INT(Inputs!$B$35/IF(Inputs!$B$4="pvp",15,MAX(0.1,Skills!D18-IF(Skills!E18=TRUE,Inputs!$B$31,0))))+1),0)</f>
        <v/>
      </c>
      <c r="S241">
        <f>IFERROR(O241/N241,0)</f>
        <v/>
      </c>
    </row>
    <row r="242">
      <c r="A242">
        <f>Skills!A19</f>
        <v/>
      </c>
      <c r="B242">
        <f>Skills!B19</f>
        <v/>
      </c>
      <c r="C242">
        <f>TRUE</f>
        <v/>
      </c>
      <c r="D242">
        <f>IF(Skills!C19=1,60+Inputs!$B$24+Inputs!$B$28,IF(Skills!C19=2,90+Inputs!$B$25+Inputs!$B$28,IF(Skills!C19=3,120+Inputs!$B$26+Inputs!$B$28,MAX(0,(Inputs!$B$3-100)*3)+Inputs!$B$27+Inputs!$B$28)))</f>
        <v/>
      </c>
      <c r="E242">
        <f>INDEX(FactorTable!$B$2:$Y$301, MATCH(ROUND(MIN(300,MAX(1,D242)),0), FactorTable!$A$2:$A$301,0), Skills!M19+1)</f>
        <v/>
      </c>
      <c r="F242">
        <f>IF(Skills!N19=TRUE,(Skills!L19/10)*(E242/1000),Skills!L19/10)+Skills!O19</f>
        <v/>
      </c>
      <c r="G242">
        <f>Skills!G19*IF(Skills!H19&gt;0,Skills!I19/Skills!H19,1)</f>
        <v/>
      </c>
      <c r="H242">
        <f>1-(1-Skills!J19/100)^Skills!K19</f>
        <v/>
      </c>
      <c r="I242" t="inlineStr">
        <is>
          <t>1</t>
        </is>
      </c>
      <c r="J242" t="inlineStr"/>
      <c r="K242" t="inlineStr"/>
      <c r="L242" t="inlineStr"/>
      <c r="M242" t="inlineStr"/>
      <c r="N242" t="inlineStr"/>
      <c r="O242" t="n">
        <v>0</v>
      </c>
      <c r="P242">
        <f>IF(B258=0,0,O242/B258)</f>
        <v/>
      </c>
      <c r="Q242">
        <f>IFERROR(1/IF(Inputs!$B$4="pvp",15,MAX(0.1,Skills!D19-IF(Skills!E19=TRUE,Inputs!$B$31,0))),0)</f>
        <v/>
      </c>
      <c r="R242">
        <f>IF(AND(Inputs!$B$4&lt;&gt;"pvp",Inputs!$B$35&gt;0),(INT(Inputs!$B$35/IF(Inputs!$B$4="pvp",15,MAX(0.1,Skills!D19-IF(Skills!E19=TRUE,Inputs!$B$31,0))))+1),0)</f>
        <v/>
      </c>
      <c r="S242">
        <f>IFERROR(O242/N242,0)</f>
        <v/>
      </c>
    </row>
    <row r="243">
      <c r="A243">
        <f>Skills!A20</f>
        <v/>
      </c>
      <c r="B243">
        <f>Skills!B20</f>
        <v/>
      </c>
      <c r="C243">
        <f>Inputs!$B$3&gt;=33</f>
        <v/>
      </c>
      <c r="D243">
        <f>IF(Skills!C20=1,60+Inputs!$B$24+Inputs!$B$28,IF(Skills!C20=2,90+Inputs!$B$25+Inputs!$B$28,IF(Skills!C20=3,120+Inputs!$B$26+Inputs!$B$28,MAX(0,(Inputs!$B$3-100)*3)+Inputs!$B$27+Inputs!$B$28)))</f>
        <v/>
      </c>
      <c r="E243">
        <f>INDEX(FactorTable!$B$2:$Y$301, MATCH(ROUND(MIN(300,MAX(1,D243)),0), FactorTable!$A$2:$A$301,0), Skills!M20+1)</f>
        <v/>
      </c>
      <c r="F243">
        <f>IF(Skills!N20=TRUE,(Skills!L20/10)*(E243/1000),Skills!L20/10)+Skills!O20</f>
        <v/>
      </c>
      <c r="G243">
        <f>Skills!G20*IF(Skills!H20&gt;0,Skills!I20/Skills!H20,1)</f>
        <v/>
      </c>
      <c r="H243">
        <f>1-(1-Skills!J20/100)^Skills!K20</f>
        <v/>
      </c>
      <c r="I243" t="inlineStr">
        <is>
          <t>1</t>
        </is>
      </c>
      <c r="J243" t="inlineStr"/>
      <c r="K243" t="inlineStr"/>
      <c r="L243" t="inlineStr"/>
      <c r="M243" t="inlineStr"/>
      <c r="N243" t="inlineStr"/>
      <c r="O243" t="n">
        <v>0</v>
      </c>
      <c r="P243">
        <f>IF(B258=0,0,O243/B258)</f>
        <v/>
      </c>
      <c r="Q243" t="n">
        <v>0</v>
      </c>
      <c r="R243" t="n">
        <v>0</v>
      </c>
      <c r="S243">
        <f>IFERROR(O243/N243,0)</f>
        <v/>
      </c>
    </row>
    <row r="244">
      <c r="A244">
        <f>Skills!A21</f>
        <v/>
      </c>
      <c r="B244">
        <f>Skills!B21</f>
        <v/>
      </c>
      <c r="C244">
        <f>Inputs!$B$3&gt;=38</f>
        <v/>
      </c>
      <c r="D244">
        <f>IF(Skills!C21=1,60+Inputs!$B$24+Inputs!$B$28,IF(Skills!C21=2,90+Inputs!$B$25+Inputs!$B$28,IF(Skills!C21=3,120+Inputs!$B$26+Inputs!$B$28,MAX(0,(Inputs!$B$3-100)*3)+Inputs!$B$27+Inputs!$B$28)))</f>
        <v/>
      </c>
      <c r="E244">
        <f>INDEX(FactorTable!$B$2:$Y$301, MATCH(ROUND(MIN(300,MAX(1,D244)),0), FactorTable!$A$2:$A$301,0), Skills!M21+1)</f>
        <v/>
      </c>
      <c r="F244">
        <f>IF(Skills!N21=TRUE,(Skills!L21/10)*(E244/1000),Skills!L21/10)+Skills!O21</f>
        <v/>
      </c>
      <c r="G244">
        <f>Skills!G21*IF(Skills!H21&gt;0,Skills!I21/Skills!H21,1)</f>
        <v/>
      </c>
      <c r="H244">
        <f>1-(1-Skills!J21/100)^Skills!K21</f>
        <v/>
      </c>
      <c r="I244" t="inlineStr">
        <is>
          <t>1</t>
        </is>
      </c>
      <c r="J244" t="inlineStr"/>
      <c r="K244" t="inlineStr"/>
      <c r="L244" t="inlineStr"/>
      <c r="M244" t="inlineStr"/>
      <c r="N244" t="inlineStr"/>
      <c r="O244" t="n">
        <v>0</v>
      </c>
      <c r="P244">
        <f>IF(B258=0,0,O244/B258)</f>
        <v/>
      </c>
      <c r="Q244" t="n">
        <v>0</v>
      </c>
      <c r="R244" t="n">
        <v>0</v>
      </c>
      <c r="S244">
        <f>IFERROR(O244/N244,0)</f>
        <v/>
      </c>
    </row>
    <row r="245">
      <c r="A245">
        <f>Skills!A22</f>
        <v/>
      </c>
      <c r="B245">
        <f>Skills!B22</f>
        <v/>
      </c>
      <c r="C245">
        <f>Inputs!$B$3&gt;=43</f>
        <v/>
      </c>
      <c r="D245">
        <f>IF(Skills!C22=1,60+Inputs!$B$24+Inputs!$B$28,IF(Skills!C22=2,90+Inputs!$B$25+Inputs!$B$28,IF(Skills!C22=3,120+Inputs!$B$26+Inputs!$B$28,MAX(0,(Inputs!$B$3-100)*3)+Inputs!$B$27+Inputs!$B$28)))</f>
        <v/>
      </c>
      <c r="E245">
        <f>INDEX(FactorTable!$B$2:$Y$301, MATCH(ROUND(MIN(300,MAX(1,D245)),0), FactorTable!$A$2:$A$301,0), Skills!M22+1)</f>
        <v/>
      </c>
      <c r="F245">
        <f>IF(Skills!N22=TRUE,(Skills!L22/10)*(E245/1000),Skills!L22/10)+Skills!O22</f>
        <v/>
      </c>
      <c r="G245">
        <f>Skills!G22*IF(Skills!H22&gt;0,Skills!I22/Skills!H22,1)</f>
        <v/>
      </c>
      <c r="H245">
        <f>1-(1-Skills!J22/100)^Skills!K22</f>
        <v/>
      </c>
      <c r="I245" t="inlineStr">
        <is>
          <t>1</t>
        </is>
      </c>
      <c r="J245" t="inlineStr"/>
      <c r="K245" t="inlineStr"/>
      <c r="L245" t="inlineStr"/>
      <c r="M245" t="inlineStr"/>
      <c r="N245" t="inlineStr"/>
      <c r="O245" t="n">
        <v>0</v>
      </c>
      <c r="P245">
        <f>IF(B258=0,0,O245/B258)</f>
        <v/>
      </c>
      <c r="Q245" t="n">
        <v>0</v>
      </c>
      <c r="R245" t="n">
        <v>0</v>
      </c>
      <c r="S245">
        <f>IFERROR(O245/N245,0)</f>
        <v/>
      </c>
    </row>
    <row r="246">
      <c r="A246">
        <f>Skills!A23</f>
        <v/>
      </c>
      <c r="B246">
        <f>Skills!B23</f>
        <v/>
      </c>
      <c r="C246">
        <f>Inputs!$B$3&gt;=120</f>
        <v/>
      </c>
      <c r="D246">
        <f>IF(Skills!C23=1,60+Inputs!$B$24+Inputs!$B$28,IF(Skills!C23=2,90+Inputs!$B$25+Inputs!$B$28,IF(Skills!C23=3,120+Inputs!$B$26+Inputs!$B$28,MAX(0,(Inputs!$B$3-100)*3)+Inputs!$B$27+Inputs!$B$28)))</f>
        <v/>
      </c>
      <c r="E246">
        <f>INDEX(FactorTable!$B$2:$Y$301, MATCH(ROUND(MIN(300,MAX(1,D246)),0), FactorTable!$A$2:$A$301,0), Skills!M23+1)</f>
        <v/>
      </c>
      <c r="F246">
        <f>IF(Skills!N23=TRUE,(Skills!L23/10)*(E246/1000),Skills!L23/10)+Skills!O23</f>
        <v/>
      </c>
      <c r="G246">
        <f>Skills!G23*IF(Skills!H23&gt;0,Skills!I23/Skills!H23,1)</f>
        <v/>
      </c>
      <c r="H246">
        <f>1-(1-Skills!J23/100)^Skills!K23</f>
        <v/>
      </c>
      <c r="I246" t="inlineStr">
        <is>
          <t>1</t>
        </is>
      </c>
      <c r="J246" t="inlineStr"/>
      <c r="K246" t="inlineStr"/>
      <c r="L246" t="inlineStr"/>
      <c r="M246" t="inlineStr"/>
      <c r="N246" t="inlineStr"/>
      <c r="O246" t="n">
        <v>0</v>
      </c>
      <c r="P246">
        <f>IF(B258=0,0,O246/B258)</f>
        <v/>
      </c>
      <c r="Q246" t="n">
        <v>0</v>
      </c>
      <c r="R246" t="n">
        <v>0</v>
      </c>
      <c r="S246">
        <f>IFERROR(O246/N246,0)</f>
        <v/>
      </c>
    </row>
    <row r="247">
      <c r="A247">
        <f>Skills!A24</f>
        <v/>
      </c>
      <c r="B247">
        <f>Skills!B24</f>
        <v/>
      </c>
      <c r="C247">
        <f>Inputs!$B$3&gt;=120</f>
        <v/>
      </c>
      <c r="D247">
        <f>IF(Skills!C24=1,60+Inputs!$B$24+Inputs!$B$28,IF(Skills!C24=2,90+Inputs!$B$25+Inputs!$B$28,IF(Skills!C24=3,120+Inputs!$B$26+Inputs!$B$28,MAX(0,(Inputs!$B$3-100)*3)+Inputs!$B$27+Inputs!$B$28)))</f>
        <v/>
      </c>
      <c r="E247">
        <f>INDEX(FactorTable!$B$2:$Y$301, MATCH(ROUND(MIN(300,MAX(1,D247)),0), FactorTable!$A$2:$A$301,0), Skills!M24+1)</f>
        <v/>
      </c>
      <c r="F247">
        <f>IF(Skills!N24=TRUE,(Skills!L24/10)*(E247/1000),Skills!L24/10)+Skills!O24</f>
        <v/>
      </c>
      <c r="G247">
        <f>Skills!G24*IF(Skills!H24&gt;0,Skills!I24/Skills!H24,1)</f>
        <v/>
      </c>
      <c r="H247">
        <f>1-(1-Skills!J24/100)^Skills!K24</f>
        <v/>
      </c>
      <c r="I247" t="inlineStr">
        <is>
          <t>1</t>
        </is>
      </c>
      <c r="J247" t="inlineStr"/>
      <c r="K247" t="inlineStr"/>
      <c r="L247" t="inlineStr"/>
      <c r="M247" t="inlineStr"/>
      <c r="N247" t="inlineStr"/>
      <c r="O247" t="n">
        <v>0</v>
      </c>
      <c r="P247">
        <f>IF(B258=0,0,O247/B258)</f>
        <v/>
      </c>
      <c r="Q247" t="n">
        <v>0</v>
      </c>
      <c r="R247" t="n">
        <v>0</v>
      </c>
      <c r="S247">
        <f>IFERROR(O247/N247,0)</f>
        <v/>
      </c>
    </row>
    <row r="249">
      <c r="A249" t="inlineStr">
        <is>
          <t>Attack% Bucket Multiplier</t>
        </is>
      </c>
      <c r="B249">
        <f>(1+(((C236=TRUE)*F236*MIN(1,Skills!T13*(Skills!J13/100)*B254))+((C241=TRUE)*F241*IF(AND(Inputs!$B$4&lt;&gt;"pvp",Inputs!$B$35&gt;0),(((S241-1)*(Skills!T18*(1+Inputs!$B$33/100))+MIN((Skills!T18*(1+Inputs!$B$33/100)),MAX(0,Inputs!$B$35-((S241-1)*Skills!D18))))/Inputs!$B$35),IF(Inputs!$B$4="pvp",MIN((Skills!T18*(1+Inputs!$B$33/100)),15)/15,(Skills!T18*(1+Inputs!$B$33/100))/Skills!D18)))+0)/100)</f>
        <v/>
      </c>
    </row>
    <row r="250">
      <c r="A250" t="inlineStr">
        <is>
          <t>Global Crit Rate Bonus %</t>
        </is>
      </c>
      <c r="B250" t="n">
        <v>0</v>
      </c>
    </row>
    <row r="251">
      <c r="A251" t="inlineStr">
        <is>
          <t>Attack Speed Buff Bonus %</t>
        </is>
      </c>
      <c r="B251">
        <f>((C242=TRUE)*F242*IF(AND(Inputs!$B$4&lt;&gt;"pvp",Inputs!$B$35&gt;0),(((S242-1)*(Skills!T19*(1+Inputs!$B$33/100))+MIN((Skills!T19*(1+Inputs!$B$33/100)),MAX(0,Inputs!$B$35-((S242-1)*Skills!D19))))/Inputs!$B$35),IF(Inputs!$B$4="pvp",MIN((Skills!T19*(1+Inputs!$B$33/100)),15)/15,(Skills!T19*(1+Inputs!$B$33/100))/Skills!D19)))</f>
        <v/>
      </c>
    </row>
    <row r="252">
      <c r="A252" t="inlineStr">
        <is>
          <t>Actions Per Second</t>
        </is>
      </c>
      <c r="B252">
        <f>1+MIN(150,150*(1-(1-(Inputs!$B$10+((C243=TRUE)*(F243-Calc!F20)))/150)*(1-B251/150)))/100</f>
        <v/>
      </c>
    </row>
    <row r="253">
      <c r="A253" t="inlineStr">
        <is>
          <t>Skill + Buff Cast Rate</t>
        </is>
      </c>
      <c r="B253">
        <f>IF(AND(Inputs!$B$4&lt;&gt;"pvp",Inputs!$B$35&gt;0),SUMPRODUCT((Skills!E2:E24=TRUE)*(C225:C247=TRUE)*R225:R247*Skills!F2:F24)/Inputs!$B$35,SUMPRODUCT((Skills!E2:E24=TRUE)*(C225:C247=TRUE)*Q225:Q247*Skills!F2:F24))</f>
        <v/>
      </c>
    </row>
    <row r="254">
      <c r="A254" t="inlineStr">
        <is>
          <t>Blast Casts Per Second</t>
        </is>
      </c>
      <c r="B254">
        <f>MAX(0,B252-B253)</f>
        <v/>
      </c>
    </row>
    <row r="255">
      <c r="A255" t="inlineStr">
        <is>
          <t>Global Critical Damage Bonus % (unused)</t>
        </is>
      </c>
      <c r="B255" t="n">
        <v>0</v>
      </c>
    </row>
    <row r="256">
      <c r="A256" t="inlineStr">
        <is>
          <t>Global Final Damage Bonus % (Divine Shield + Guardian + Divine Blessing + Greater Vessel of Light)</t>
        </is>
      </c>
      <c r="B256">
        <f>((C238=TRUE)*F238*IF(AND(Inputs!$B$4&lt;&gt;"pvp",Inputs!$B$35&gt;0),(((S238-1)*(Skills!T15*(1+Inputs!$B$33/100))+MIN((Skills!T15*(1+Inputs!$B$33/100)),MAX(0,Inputs!$B$35-((S238-1)*Skills!D15))))/Inputs!$B$35),IF(Inputs!$B$4="pvp",MIN((Skills!T15*(1+Inputs!$B$33/100)),15)/15,(Skills!T15*(1+Inputs!$B$33/100))/Skills!D15)))+((C239=TRUE)*F239*IF(AND(Inputs!$B$4&lt;&gt;"pvp",Inputs!$B$35&gt;0),(((S239-1)*(Skills!T16*(1+Inputs!$B$33/100))+MIN((Skills!T16*(1+Inputs!$B$33/100)),MAX(0,Inputs!$B$35-((S239-1)*Skills!D16))))/Inputs!$B$35),IF(Inputs!$B$4="pvp",MIN((Skills!T16*(1+Inputs!$B$33/100)),15)/15,(Skills!T16*(1+Inputs!$B$33/100))/Skills!D16)))+((C240=TRUE)*F240*IF(AND(Inputs!$B$4&lt;&gt;"pvp",Inputs!$B$35&gt;0),(((S240-1)*(Skills!T17*(1+Inputs!$B$33/100))+MIN((Skills!T17*(1+Inputs!$B$33/100)),MAX(0,Inputs!$B$35-((S240-1)*Skills!D17))))/Inputs!$B$35),IF(Inputs!$B$4="pvp",MIN((Skills!T17*(1+Inputs!$B$33/100)),15)/15,(Skills!T17*(1+Inputs!$B$33/100))/Skills!D17)))+((C237=TRUE)*F237*MIN(1,Skills!T13*(Skills!J13/100)*B254))</f>
        <v/>
      </c>
    </row>
    <row r="258">
      <c r="A258" s="5" t="inlineStr">
        <is>
          <t>TOTAL DPS</t>
        </is>
      </c>
      <c r="B258" s="5">
        <f>SUM(O225:O247)</f>
        <v/>
      </c>
    </row>
    <row r="261">
      <c r="A261" s="5" t="inlineStr">
        <is>
          <t>Stat: NORMAL_DAMAGE %</t>
        </is>
      </c>
    </row>
    <row r="262">
      <c r="A262" s="8" t="inlineStr">
        <is>
          <t>Key</t>
        </is>
      </c>
      <c r="B262" s="8" t="inlineStr">
        <is>
          <t>Name</t>
        </is>
      </c>
      <c r="C262" s="8" t="inlineStr">
        <is>
          <t>Unlocked</t>
        </is>
      </c>
      <c r="D262" s="8" t="inlineStr">
        <is>
          <t>InputLevel</t>
        </is>
      </c>
      <c r="E262" s="8" t="inlineStr">
        <is>
          <t>Factor</t>
        </is>
      </c>
      <c r="F262" s="8" t="inlineStr">
        <is>
          <t>CoefficientPercent</t>
        </is>
      </c>
      <c r="G262" s="8" t="inlineStr">
        <is>
          <t>EffectiveHits</t>
        </is>
      </c>
      <c r="H262" s="8" t="inlineStr">
        <is>
          <t>ProcProbability</t>
        </is>
      </c>
      <c r="I262" s="8" t="inlineStr">
        <is>
          <t>MapleHeroMultiplier</t>
        </is>
      </c>
      <c r="J262" s="8" t="inlineStr">
        <is>
          <t>BaseDamage</t>
        </is>
      </c>
      <c r="K262" s="8" t="inlineStr">
        <is>
          <t>BaseHitDamage</t>
        </is>
      </c>
      <c r="L262" s="8" t="inlineStr">
        <is>
          <t>NonCritAvg</t>
        </is>
      </c>
      <c r="M262" s="8" t="inlineStr">
        <is>
          <t>CritAvg</t>
        </is>
      </c>
      <c r="N262" s="8" t="inlineStr">
        <is>
          <t>ExpectedDamage(perHit)</t>
        </is>
      </c>
      <c r="O262" s="8" t="inlineStr">
        <is>
          <t>DPS</t>
        </is>
      </c>
      <c r="P262" s="8" t="inlineStr">
        <is>
          <t>% of Total</t>
        </is>
      </c>
      <c r="Q262" s="8" t="inlineStr">
        <is>
          <t>InvCooldown</t>
        </is>
      </c>
      <c r="R262" s="8" t="inlineStr">
        <is>
          <t>CastsInFight</t>
        </is>
      </c>
      <c r="S262" s="8" t="inlineStr">
        <is>
          <t>HitRate(perSec)</t>
        </is>
      </c>
      <c r="U262" t="inlineStr">
        <is>
          <t>helpers</t>
        </is>
      </c>
    </row>
    <row r="263">
      <c r="A263">
        <f>Skills!A2</f>
        <v/>
      </c>
      <c r="B263">
        <f>Skills!B2</f>
        <v/>
      </c>
      <c r="C263">
        <f>Inputs!$B$3&gt;=100</f>
        <v/>
      </c>
      <c r="D263" t="inlineStr"/>
      <c r="E263" t="inlineStr"/>
      <c r="F263">
        <f>U265+Skills!O2</f>
        <v/>
      </c>
      <c r="G263">
        <f>Skills!G2*IF(Skills!H2&gt;0,Skills!I2/Skills!H2,1)</f>
        <v/>
      </c>
      <c r="H263">
        <f>1-(1-Skills!J2/100)^Skills!K2</f>
        <v/>
      </c>
      <c r="I263" t="inlineStr">
        <is>
          <t>1</t>
        </is>
      </c>
      <c r="J263">
        <f>(Inputs!$B$5*(1+Inputs!$B$6/100))*(F263/100)</f>
        <v/>
      </c>
      <c r="K263">
        <f>J263*(1+((Inputs!$B$11*(1+Inputs!$B$12/100))*0.01+Inputs!$B$13*0.0025)/100)*(1+Inputs!$B$14/100)*(1+IF(Inputs!$B$4="pvp",0,(1-Summary!$B$55)*(Inputs!$B$19+0+Skills!P2)+Summary!$B$55*((Inputs!$B$20+1)+Skills!Q2))/100)*(1+Inputs!$B$15/100)*(5000/(6000+Inputs!$B$7*(1-(Inputs!$B$18+0)/100)))*(1+(Inputs!$B$23+0+B294)/100)*(1+(IF(Skills!A2="BLAST",Inputs!$B$16+((C282=TRUE)*(F282-Calc!F21)),Inputs!$B$17+((C284=TRUE)*(F284-Calc!F23))))/100)*((1+(((C274=TRUE)*F274*MIN(1,Skills!T13*(Skills!J13/100)*B292))+((C279=TRUE)*F279*IF(AND(Inputs!$B$4&lt;&gt;"pvp",Inputs!$B$35&gt;0),(((S279-1)*(Skills!T18*(1+Inputs!$B$33/100))+MIN((Skills!T18*(1+Inputs!$B$33/100)),MAX(0,Inputs!$B$35-((S279-1)*Skills!D18))))/Inputs!$B$35),IF(Inputs!$B$4="pvp",MIN((Skills!T18*(1+Inputs!$B$33/100)),15)/15,(Skills!T18*(1+Inputs!$B$33/100))/Skills!D18)))+0)/100)*I263)</f>
        <v/>
      </c>
      <c r="L263">
        <f>K263*(MIN(Inputs!$B$21+((C283=TRUE)*(F283-Calc!F22)),Inputs!$B$22+((C285=TRUE)*(F285-Calc!F24)))/100+(Inputs!$B$22+((C285=TRUE)*(F285-Calc!F24)))/100)/2</f>
        <v/>
      </c>
      <c r="M263">
        <f>L263*(1+(Inputs!$B$9+0+B293)/100)</f>
        <v/>
      </c>
      <c r="N263">
        <f>L263*(1-MIN((Inputs!$B$8+0+B288),100)/100)+M263*(MIN((Inputs!$B$8+0+B288),100)/100)</f>
        <v/>
      </c>
      <c r="O263">
        <f>IF(C263,Skills!G2*N263*B292*IF(Inputs!$B$4="pvp",1,(1-Summary!$B$55)*(1)+Summary!$B$55*(MIN((6+Inputs!$B$32),Inputs!$B$37))),0)</f>
        <v/>
      </c>
      <c r="P263">
        <f>IF(B296=0,0,O263/B296)</f>
        <v/>
      </c>
      <c r="Q263" t="n">
        <v>0</v>
      </c>
      <c r="R263" t="n">
        <v>0</v>
      </c>
      <c r="S263">
        <f>IFERROR(O263/N263,0)</f>
        <v/>
      </c>
      <c r="U263">
        <f>MAX(0,(Inputs!$B$3-100)*3)+Inputs!$B$27+Inputs!$B$28</f>
        <v/>
      </c>
    </row>
    <row r="264">
      <c r="A264">
        <f>Skills!A3</f>
        <v/>
      </c>
      <c r="B264">
        <f>Skills!B3</f>
        <v/>
      </c>
      <c r="C264">
        <f>Inputs!$B$3&gt;=50</f>
        <v/>
      </c>
      <c r="D264">
        <f>IF(Skills!C3=1,60+Inputs!$B$24+Inputs!$B$28,IF(Skills!C3=2,90+Inputs!$B$25+Inputs!$B$28,IF(Skills!C3=3,120+Inputs!$B$26+Inputs!$B$28,MAX(0,(Inputs!$B$3-100)*3)+Inputs!$B$27+Inputs!$B$28)))</f>
        <v/>
      </c>
      <c r="E264">
        <f>INDEX(FactorTable!$B$2:$Y$301, MATCH(ROUND(MIN(300,MAX(1,D264)),0), FactorTable!$A$2:$A$301,0), Skills!M3+1)</f>
        <v/>
      </c>
      <c r="F264">
        <f>IF(Skills!N3=TRUE,(Skills!L3/10)*(E264/1000),Skills!L3/10)+Skills!O3</f>
        <v/>
      </c>
      <c r="G264" t="inlineStr"/>
      <c r="H264" t="inlineStr"/>
      <c r="I264" t="inlineStr">
        <is>
          <t>1</t>
        </is>
      </c>
      <c r="J264" t="inlineStr"/>
      <c r="K264" t="inlineStr"/>
      <c r="L264" t="inlineStr"/>
      <c r="M264" t="inlineStr"/>
      <c r="N264" t="inlineStr"/>
      <c r="O264" t="inlineStr"/>
      <c r="P264" t="inlineStr"/>
      <c r="Q264" t="inlineStr"/>
      <c r="R264" t="inlineStr"/>
      <c r="S264" t="inlineStr"/>
      <c r="U264">
        <f>INDEX(FactorTable!$B$2:$Y$301, MATCH(ROUND(MIN(300,MAX(1,U263)),0), FactorTable!$A$2:$A$301,0), 22)</f>
        <v/>
      </c>
    </row>
    <row r="265">
      <c r="A265">
        <f>Skills!A4</f>
        <v/>
      </c>
      <c r="B265">
        <f>Skills!B4</f>
        <v/>
      </c>
      <c r="C265">
        <f>Inputs!$B$3&gt;=35</f>
        <v/>
      </c>
      <c r="D265">
        <f>IF(Skills!C4=1,60+Inputs!$B$24+Inputs!$B$28,IF(Skills!C4=2,90+Inputs!$B$25+Inputs!$B$28,IF(Skills!C4=3,120+Inputs!$B$26+Inputs!$B$28,MAX(0,(Inputs!$B$3-100)*3)+Inputs!$B$27+Inputs!$B$28)))</f>
        <v/>
      </c>
      <c r="E265">
        <f>INDEX(FactorTable!$B$2:$Y$301, MATCH(ROUND(MIN(300,MAX(1,D265)),0), FactorTable!$A$2:$A$301,0), Skills!M4+1)</f>
        <v/>
      </c>
      <c r="F265">
        <f>IF(Skills!N4=TRUE,(Skills!L4/10)*(E265/1000),Skills!L4/10)+Skills!O4</f>
        <v/>
      </c>
      <c r="G265">
        <f>Skills!G4*IF(Skills!H4&gt;0,Skills!I4/Skills!H4,1)</f>
        <v/>
      </c>
      <c r="H265">
        <f>1-(1-Skills!J4/100)^Skills!K4</f>
        <v/>
      </c>
      <c r="I265" t="inlineStr">
        <is>
          <t>1</t>
        </is>
      </c>
      <c r="J265">
        <f>(Inputs!$B$5*(1+Inputs!$B$6/100))*(F265/100)</f>
        <v/>
      </c>
      <c r="K265">
        <f>J265*(1+((Inputs!$B$11*(1+Inputs!$B$12/100))*0.01+Inputs!$B$13*0.0025)/100)*(1+Inputs!$B$14/100)*(1+IF(Inputs!$B$4="pvp",0,(1-Summary!$B$55)*(Inputs!$B$19+0+Skills!P4)+Summary!$B$55*((Inputs!$B$20+1)+Skills!Q4))/100)*(1+Inputs!$B$15/100)*(5000/(6000+Inputs!$B$7*(1-(Inputs!$B$18+0)/100)))*(1+(Inputs!$B$23+0+B294)/100)*(1+4.0*IF(C273=TRUE,F273,0)/100)*(1+(IF(Skills!A4="BLAST",Inputs!$B$16+((C282=TRUE)*(F282-Calc!F21)),Inputs!$B$17+((C284=TRUE)*(F284-Calc!F23))))/100)*((1+(((C274=TRUE)*F274*MIN(1,Skills!T13*(Skills!J13/100)*B292))+((C279=TRUE)*F279*IF(AND(Inputs!$B$4&lt;&gt;"pvp",Inputs!$B$35&gt;0),(((S279-1)*(Skills!T18*(1+Inputs!$B$33/100))+MIN((Skills!T18*(1+Inputs!$B$33/100)),MAX(0,Inputs!$B$35-((S279-1)*Skills!D18))))/Inputs!$B$35),IF(Inputs!$B$4="pvp",MIN((Skills!T18*(1+Inputs!$B$33/100)),15)/15,(Skills!T18*(1+Inputs!$B$33/100))/Skills!D18)))+0)/100)*I265)</f>
        <v/>
      </c>
      <c r="L265">
        <f>K265*(MIN(Inputs!$B$21+((C283=TRUE)*(F283-Calc!F22)),Inputs!$B$22+((C285=TRUE)*(F285-Calc!F24)))/100+(Inputs!$B$22+((C285=TRUE)*(F285-Calc!F24)))/100)/2</f>
        <v/>
      </c>
      <c r="M265">
        <f>L265*(1+(Inputs!$B$9+0+B293)/100)</f>
        <v/>
      </c>
      <c r="N265">
        <f>L265*(1-MIN((Inputs!$B$8+0+B288),100)/100)+M265*(MIN((Inputs!$B$8+0+B288),100)/100)</f>
        <v/>
      </c>
      <c r="O265">
        <f>IF(C265,H265*N265*IF(AND(Inputs!$B$4&lt;&gt;"pvp",Inputs!$B$35&gt;0),((Skills!G4*((R265-1)*IF(Skills!H4&gt;0,Skills!I4/Skills!H4,1)+IF(Skills!H4&gt;0,MIN(Skills!I4,MAX(0,Inputs!$B$35-((R265-1)*IF(Inputs!$B$4="pvp",15,MAX(0.1,Skills!D4-IF(Skills!E4=TRUE,Inputs!$B$31,0))))))/Skills!H4,1)))/Inputs!$B$35),G265*Q265)*IF(Inputs!$B$4="pvp",1,(1-Summary!$B$55)*(1)+Summary!$B$55*(MIN(Skills!R4,Inputs!$B$37))),0)</f>
        <v/>
      </c>
      <c r="P265">
        <f>IF(B296=0,0,O265/B296)</f>
        <v/>
      </c>
      <c r="Q265">
        <f>IFERROR(1/IF(Inputs!$B$4="pvp",15,MAX(0.1,Skills!D4-IF(Skills!E4=TRUE,Inputs!$B$31,0))),0)</f>
        <v/>
      </c>
      <c r="R265">
        <f>IF(AND(Inputs!$B$4&lt;&gt;"pvp",Inputs!$B$35&gt;0),(INT(Inputs!$B$35/IF(Inputs!$B$4="pvp",15,MAX(0.1,Skills!D4-IF(Skills!E4=TRUE,Inputs!$B$31,0))))+1),0)</f>
        <v/>
      </c>
      <c r="S265">
        <f>IFERROR(O265/N265,0)</f>
        <v/>
      </c>
      <c r="U265">
        <f>290*U264/1000</f>
        <v/>
      </c>
    </row>
    <row r="266">
      <c r="A266">
        <f>Skills!A5</f>
        <v/>
      </c>
      <c r="B266">
        <f>Skills!B5</f>
        <v/>
      </c>
      <c r="C266">
        <f>Inputs!$B$3&gt;=66</f>
        <v/>
      </c>
      <c r="D266">
        <f>IF(Skills!C5=1,60+Inputs!$B$24+Inputs!$B$28,IF(Skills!C5=2,90+Inputs!$B$25+Inputs!$B$28,IF(Skills!C5=3,120+Inputs!$B$26+Inputs!$B$28,MAX(0,(Inputs!$B$3-100)*3)+Inputs!$B$27+Inputs!$B$28)))</f>
        <v/>
      </c>
      <c r="E266">
        <f>INDEX(FactorTable!$B$2:$Y$301, MATCH(ROUND(MIN(300,MAX(1,D266)),0), FactorTable!$A$2:$A$301,0), Skills!M5+1)</f>
        <v/>
      </c>
      <c r="F266">
        <f>IF(Skills!N5=TRUE,(Skills!L5/10)*(E266/1000),Skills!L5/10)+Skills!O5</f>
        <v/>
      </c>
      <c r="G266">
        <f>Skills!G5*IF(Skills!H5&gt;0,Skills!I5/Skills!H5,1)</f>
        <v/>
      </c>
      <c r="H266">
        <f>1-(1-Skills!J5/100)^Skills!K5</f>
        <v/>
      </c>
      <c r="I266" t="inlineStr">
        <is>
          <t>1</t>
        </is>
      </c>
      <c r="J266">
        <f>(Inputs!$B$5*(1+Inputs!$B$6/100))*(F266/100)</f>
        <v/>
      </c>
      <c r="K266">
        <f>J266*(1+((Inputs!$B$11*(1+Inputs!$B$12/100))*0.01+Inputs!$B$13*0.0025)/100)*(1+Inputs!$B$14/100)*(1+IF(Inputs!$B$4="pvp",0,(1-Summary!$B$55)*(Inputs!$B$19+0+Skills!P5)+Summary!$B$55*((Inputs!$B$20+1)+Skills!Q5))/100)*(1+Inputs!$B$15/100)*(5000/(6000+Inputs!$B$7*(1-(Inputs!$B$18+0)/100)))*(1+(Inputs!$B$23+0+B294)/100)*(1+1.0*IF(C273=TRUE,F273,0)/100)*(1+(IF(Skills!A5="BLAST",Inputs!$B$16+((C282=TRUE)*(F282-Calc!F21)),Inputs!$B$17+((C284=TRUE)*(F284-Calc!F23))))/100)*((1+(((C274=TRUE)*F274*MIN(1,Skills!T13*(Skills!J13/100)*B292))+((C279=TRUE)*F279*IF(AND(Inputs!$B$4&lt;&gt;"pvp",Inputs!$B$35&gt;0),(((S279-1)*(Skills!T18*(1+Inputs!$B$33/100))+MIN((Skills!T18*(1+Inputs!$B$33/100)),MAX(0,Inputs!$B$35-((S279-1)*Skills!D18))))/Inputs!$B$35),IF(Inputs!$B$4="pvp",MIN((Skills!T18*(1+Inputs!$B$33/100)),15)/15,(Skills!T18*(1+Inputs!$B$33/100))/Skills!D18)))+0)/100)*I266)</f>
        <v/>
      </c>
      <c r="L266">
        <f>K266*(MIN(Inputs!$B$21+((C283=TRUE)*(F283-Calc!F22)),Inputs!$B$22+((C285=TRUE)*(F285-Calc!F24)))/100+(Inputs!$B$22+((C285=TRUE)*(F285-Calc!F24)))/100)/2</f>
        <v/>
      </c>
      <c r="M266">
        <f>L266*(1+(Inputs!$B$9+0+B293)/100)</f>
        <v/>
      </c>
      <c r="N266">
        <f>L266*(1-MIN((Inputs!$B$8+0+B288),100)/100)+M266*(MIN((Inputs!$B$8+0+B288),100)/100)</f>
        <v/>
      </c>
      <c r="O266">
        <f>IF(C266,H266*N266*IF(AND(Inputs!$B$4&lt;&gt;"pvp",Inputs!$B$35&gt;0),((Skills!G5*((R266-1)*IF(Skills!H5&gt;0,Skills!I5/Skills!H5,1)+IF(Skills!H5&gt;0,MIN(Skills!I5,MAX(0,Inputs!$B$35-((R266-1)*IF(Inputs!$B$4="pvp",15,MAX(0.1,Skills!D5-IF(Skills!E5=TRUE,Inputs!$B$31,0))))))/Skills!H5,1)))/Inputs!$B$35),G266*Q266)*IF(Inputs!$B$4="pvp",1,(1-Summary!$B$55)*(1)+Summary!$B$55*(MIN(Skills!R5,Inputs!$B$37))),0)</f>
        <v/>
      </c>
      <c r="P266">
        <f>IF(B296=0,0,O266/B296)</f>
        <v/>
      </c>
      <c r="Q266">
        <f>IFERROR(1/IF(Inputs!$B$4="pvp",15,MAX(0.1,Skills!D5-IF(Skills!E5=TRUE,Inputs!$B$31,0))),0)</f>
        <v/>
      </c>
      <c r="R266">
        <f>IF(AND(Inputs!$B$4&lt;&gt;"pvp",Inputs!$B$35&gt;0),(INT(Inputs!$B$35/IF(Inputs!$B$4="pvp",15,MAX(0.1,Skills!D5-IF(Skills!E5=TRUE,Inputs!$B$31,0))))+1),0)</f>
        <v/>
      </c>
      <c r="S266">
        <f>IFERROR(O266/N266,0)</f>
        <v/>
      </c>
    </row>
    <row r="267">
      <c r="A267">
        <f>Skills!A6</f>
        <v/>
      </c>
      <c r="B267">
        <f>Skills!B6</f>
        <v/>
      </c>
      <c r="C267">
        <f>Inputs!$B$3&gt;=103</f>
        <v/>
      </c>
      <c r="D267">
        <f>IF(Skills!C6=1,60+Inputs!$B$24+Inputs!$B$28,IF(Skills!C6=2,90+Inputs!$B$25+Inputs!$B$28,IF(Skills!C6=3,120+Inputs!$B$26+Inputs!$B$28,MAX(0,(Inputs!$B$3-100)*3)+Inputs!$B$27+Inputs!$B$28)))</f>
        <v/>
      </c>
      <c r="E267">
        <f>INDEX(FactorTable!$B$2:$Y$301, MATCH(ROUND(MIN(300,MAX(1,D267)),0), FactorTable!$A$2:$A$301,0), Skills!M6+1)</f>
        <v/>
      </c>
      <c r="F267">
        <f>IF(Skills!N6=TRUE,(Skills!L6/10)*(E267/1000),Skills!L6/10)+Skills!O6</f>
        <v/>
      </c>
      <c r="G267">
        <f>Skills!G6*IF(Skills!H6&gt;0,Skills!I6/Skills!H6,1)</f>
        <v/>
      </c>
      <c r="H267">
        <f>1-(1-Skills!J6/100)^Skills!K6</f>
        <v/>
      </c>
      <c r="I267" t="inlineStr">
        <is>
          <t>1</t>
        </is>
      </c>
      <c r="J267">
        <f>(Inputs!$B$5*(1+Inputs!$B$6/100))*(F267/100)</f>
        <v/>
      </c>
      <c r="K267">
        <f>J267*(1+((Inputs!$B$11*(1+Inputs!$B$12/100))*0.01+Inputs!$B$13*0.0025)/100)*(1+Inputs!$B$14/100)*(1+IF(Inputs!$B$4="pvp",0,(1-Summary!$B$55)*(Inputs!$B$19+0+Skills!P6)+Summary!$B$55*((Inputs!$B$20+1)+Skills!Q6))/100)*(1+Inputs!$B$15/100)*(5000/(6000+Inputs!$B$7*(1-(Inputs!$B$18+0)/100)))*(1+(Inputs!$B$23+0+B294)/100)*(1+(IF(Skills!A6="BLAST",Inputs!$B$16+((C282=TRUE)*(F282-Calc!F21)),Inputs!$B$17+((C284=TRUE)*(F284-Calc!F23))))/100)*((1+(((C274=TRUE)*F274*MIN(1,Skills!T13*(Skills!J13/100)*B292))+((C279=TRUE)*F279*IF(AND(Inputs!$B$4&lt;&gt;"pvp",Inputs!$B$35&gt;0),(((S279-1)*(Skills!T18*(1+Inputs!$B$33/100))+MIN((Skills!T18*(1+Inputs!$B$33/100)),MAX(0,Inputs!$B$35-((S279-1)*Skills!D18))))/Inputs!$B$35),IF(Inputs!$B$4="pvp",MIN((Skills!T18*(1+Inputs!$B$33/100)),15)/15,(Skills!T18*(1+Inputs!$B$33/100))/Skills!D18)))+0)/100)*I267)</f>
        <v/>
      </c>
      <c r="L267">
        <f>K267*(MIN(Inputs!$B$21+((C283=TRUE)*(F283-Calc!F22)),Inputs!$B$22+((C285=TRUE)*(F285-Calc!F24)))/100+(Inputs!$B$22+((C285=TRUE)*(F285-Calc!F24)))/100)/2</f>
        <v/>
      </c>
      <c r="M267">
        <f>L267*(1+(Inputs!$B$9+0+B293)/100)</f>
        <v/>
      </c>
      <c r="N267">
        <f>L267*(1-MIN((Inputs!$B$8+0+B288),100)/100)+M267*(MIN((Inputs!$B$8+0+B288),100)/100)</f>
        <v/>
      </c>
      <c r="O267">
        <f>IF(C267,H267*N267*IF(AND(Inputs!$B$4&lt;&gt;"pvp",Inputs!$B$35&gt;0),((Skills!G6*((R267-1)*IF(Skills!H6&gt;0,Skills!I6/Skills!H6,1)+IF(Skills!H6&gt;0,MIN(Skills!I6,MAX(0,Inputs!$B$35-((R267-1)*IF(Inputs!$B$4="pvp",15,MAX(0.1,Skills!D6-IF(Skills!E6=TRUE,Inputs!$B$31,0))))))/Skills!H6,1)))/Inputs!$B$35),G267*Q267)*IF(Inputs!$B$4="pvp",1,(1-Summary!$B$55)*(1)+Summary!$B$55*(MIN(Skills!R6,Inputs!$B$37))),0)</f>
        <v/>
      </c>
      <c r="P267">
        <f>IF(B296=0,0,O267/B296)</f>
        <v/>
      </c>
      <c r="Q267">
        <f>IFERROR(1/IF(Inputs!$B$4="pvp",15,MAX(0.1,Skills!D6-IF(Skills!E6=TRUE,Inputs!$B$31,0))),0)</f>
        <v/>
      </c>
      <c r="R267">
        <f>IF(AND(Inputs!$B$4&lt;&gt;"pvp",Inputs!$B$35&gt;0),(INT(Inputs!$B$35/IF(Inputs!$B$4="pvp",15,MAX(0.1,Skills!D6-IF(Skills!E6=TRUE,Inputs!$B$31,0))))+1),0)</f>
        <v/>
      </c>
      <c r="S267">
        <f>IFERROR(O267/N267,0)</f>
        <v/>
      </c>
    </row>
    <row r="268">
      <c r="A268">
        <f>Skills!A7</f>
        <v/>
      </c>
      <c r="B268">
        <f>Skills!B7</f>
        <v/>
      </c>
      <c r="C268">
        <f>Inputs!$B$3&gt;=107</f>
        <v/>
      </c>
      <c r="D268">
        <f>IF(Skills!C7=1,60+Inputs!$B$24+Inputs!$B$28,IF(Skills!C7=2,90+Inputs!$B$25+Inputs!$B$28,IF(Skills!C7=3,120+Inputs!$B$26+Inputs!$B$28,MAX(0,(Inputs!$B$3-100)*3)+Inputs!$B$27+Inputs!$B$28)))</f>
        <v/>
      </c>
      <c r="E268">
        <f>INDEX(FactorTable!$B$2:$Y$301, MATCH(ROUND(MIN(300,MAX(1,D268)),0), FactorTable!$A$2:$A$301,0), Skills!M7+1)</f>
        <v/>
      </c>
      <c r="F268">
        <f>IF(Skills!N7=TRUE,(Skills!L7/10)*(E268/1000),Skills!L7/10)+Skills!O7</f>
        <v/>
      </c>
      <c r="G268">
        <f>Skills!G7*IF(Skills!H7&gt;0,Skills!I7/Skills!H7,1)</f>
        <v/>
      </c>
      <c r="H268">
        <f>1-(1-Skills!J7/100)^Skills!K7</f>
        <v/>
      </c>
      <c r="I268" t="inlineStr">
        <is>
          <t>1</t>
        </is>
      </c>
      <c r="J268">
        <f>(Inputs!$B$5*(1+Inputs!$B$6/100))*(F268/100)</f>
        <v/>
      </c>
      <c r="K268">
        <f>J268*(1+((Inputs!$B$11*(1+Inputs!$B$12/100))*0.01+Inputs!$B$13*0.0025)/100)*(1+Inputs!$B$14/100)*(1+IF(Inputs!$B$4="pvp",0,(1-Summary!$B$55)*(Inputs!$B$19+0+Skills!P7)+Summary!$B$55*((Inputs!$B$20+1)+Skills!Q7))/100)*(1+Inputs!$B$15/100)*(5000/(6000+Inputs!$B$7*(1-(Inputs!$B$18+0)/100)))*(1+(Inputs!$B$23+0+B294)/100)*(1+(IF(Skills!A7="BLAST",Inputs!$B$16+((C282=TRUE)*(F282-Calc!F21)),Inputs!$B$17+((C284=TRUE)*(F284-Calc!F23))))/100)*((1+(((C274=TRUE)*F274*MIN(1,Skills!T13*(Skills!J13/100)*B292))+((C279=TRUE)*F279*IF(AND(Inputs!$B$4&lt;&gt;"pvp",Inputs!$B$35&gt;0),(((S279-1)*(Skills!T18*(1+Inputs!$B$33/100))+MIN((Skills!T18*(1+Inputs!$B$33/100)),MAX(0,Inputs!$B$35-((S279-1)*Skills!D18))))/Inputs!$B$35),IF(Inputs!$B$4="pvp",MIN((Skills!T18*(1+Inputs!$B$33/100)),15)/15,(Skills!T18*(1+Inputs!$B$33/100))/Skills!D18)))+0)/100)*I268)</f>
        <v/>
      </c>
      <c r="L268">
        <f>K268*(MIN(Inputs!$B$21+((C283=TRUE)*(F283-Calc!F22)),Inputs!$B$22+((C285=TRUE)*(F285-Calc!F24)))/100+(Inputs!$B$22+((C285=TRUE)*(F285-Calc!F24)))/100)/2</f>
        <v/>
      </c>
      <c r="M268">
        <f>L268*(1+(Inputs!$B$9+0+B293)/100)</f>
        <v/>
      </c>
      <c r="N268">
        <f>L268*(1-MIN((Inputs!$B$8+0+B288),100)/100)+M268*(MIN((Inputs!$B$8+0+B288),100)/100)</f>
        <v/>
      </c>
      <c r="O268">
        <f>IF(C268,H268*N268*IF(AND(Inputs!$B$4&lt;&gt;"pvp",Inputs!$B$35&gt;0),((Skills!G7*((R268-1)*IF(Skills!H7&gt;0,Skills!I7/Skills!H7,1)+IF(Skills!H7&gt;0,MIN(Skills!I7,MAX(0,Inputs!$B$35-((R268-1)*IF(Inputs!$B$4="pvp",15,MAX(0.1,Skills!D7-IF(Skills!E7=TRUE,Inputs!$B$31,0))))))/Skills!H7,1)))/Inputs!$B$35),G268*Q268)*IF(Inputs!$B$4="pvp",1,(1-Summary!$B$55)*(1)+Summary!$B$55*(MIN(Skills!R7,Inputs!$B$37))),0)</f>
        <v/>
      </c>
      <c r="P268">
        <f>IF(B296=0,0,O268/B296)</f>
        <v/>
      </c>
      <c r="Q268">
        <f>IFERROR(1/IF(Inputs!$B$4="pvp",15,MAX(0.1,Skills!D7-IF(Skills!E7=TRUE,Inputs!$B$31,0))),0)</f>
        <v/>
      </c>
      <c r="R268">
        <f>IF(AND(Inputs!$B$4&lt;&gt;"pvp",Inputs!$B$35&gt;0),(INT(Inputs!$B$35/IF(Inputs!$B$4="pvp",15,MAX(0.1,Skills!D7-IF(Skills!E7=TRUE,Inputs!$B$31,0))))+1),0)</f>
        <v/>
      </c>
      <c r="S268">
        <f>IFERROR(O268/N268,0)</f>
        <v/>
      </c>
    </row>
    <row r="269">
      <c r="A269">
        <f>Skills!A8</f>
        <v/>
      </c>
      <c r="B269">
        <f>Skills!B8</f>
        <v/>
      </c>
      <c r="C269">
        <f>Inputs!$B$3&gt;=107</f>
        <v/>
      </c>
      <c r="D269">
        <f>IF(Skills!C8=1,60+Inputs!$B$24+Inputs!$B$28,IF(Skills!C8=2,90+Inputs!$B$25+Inputs!$B$28,IF(Skills!C8=3,120+Inputs!$B$26+Inputs!$B$28,MAX(0,(Inputs!$B$3-100)*3)+Inputs!$B$27+Inputs!$B$28)))</f>
        <v/>
      </c>
      <c r="E269">
        <f>INDEX(FactorTable!$B$2:$Y$301, MATCH(ROUND(MIN(300,MAX(1,D269)),0), FactorTable!$A$2:$A$301,0), Skills!M8+1)</f>
        <v/>
      </c>
      <c r="F269">
        <f>IF(Skills!N8=TRUE,(Skills!L8/10)*(E269/1000),Skills!L8/10)+Skills!O8</f>
        <v/>
      </c>
      <c r="G269">
        <f>Skills!G8*IF(Skills!H8&gt;0,Skills!I8/Skills!H8,1)</f>
        <v/>
      </c>
      <c r="H269">
        <f>1-(1-Skills!J8/100)^Skills!K8</f>
        <v/>
      </c>
      <c r="I269" t="inlineStr">
        <is>
          <t>1</t>
        </is>
      </c>
      <c r="J269">
        <f>(Inputs!$B$5*(1+Inputs!$B$6/100))*(F269/100)</f>
        <v/>
      </c>
      <c r="K269">
        <f>J269*(1+((Inputs!$B$11*(1+Inputs!$B$12/100))*0.01+Inputs!$B$13*0.0025)/100)*(1+Inputs!$B$14/100)*(1+IF(Inputs!$B$4="pvp",0,(1-Summary!$B$55)*(Inputs!$B$19+0+Skills!P8)+Summary!$B$55*((Inputs!$B$20+1)+Skills!Q8))/100)*(1+Inputs!$B$15/100)*(5000/(6000+Inputs!$B$7*(1-(Inputs!$B$18+0)/100)))*(1+(Inputs!$B$23+0+B294)/100)*(1+(IF(Skills!A8="BLAST",Inputs!$B$16+((C282=TRUE)*(F282-Calc!F21)),Inputs!$B$17+((C284=TRUE)*(F284-Calc!F23))))/100)*((1+(((C274=TRUE)*F274*MIN(1,Skills!T13*(Skills!J13/100)*B292))+((C279=TRUE)*F279*IF(AND(Inputs!$B$4&lt;&gt;"pvp",Inputs!$B$35&gt;0),(((S279-1)*(Skills!T18*(1+Inputs!$B$33/100))+MIN((Skills!T18*(1+Inputs!$B$33/100)),MAX(0,Inputs!$B$35-((S279-1)*Skills!D18))))/Inputs!$B$35),IF(Inputs!$B$4="pvp",MIN((Skills!T18*(1+Inputs!$B$33/100)),15)/15,(Skills!T18*(1+Inputs!$B$33/100))/Skills!D18)))+0)/100)*I269)</f>
        <v/>
      </c>
      <c r="L269">
        <f>K269*(MIN(Inputs!$B$21+((C283=TRUE)*(F283-Calc!F22)),Inputs!$B$22+((C285=TRUE)*(F285-Calc!F24)))/100+(Inputs!$B$22+((C285=TRUE)*(F285-Calc!F24)))/100)/2</f>
        <v/>
      </c>
      <c r="M269">
        <f>L269*(1+(Inputs!$B$9+0+B293)/100)</f>
        <v/>
      </c>
      <c r="N269">
        <f>L269*(1-MIN((Inputs!$B$8+0+B288),100)/100)+M269*(MIN((Inputs!$B$8+0+B288),100)/100)</f>
        <v/>
      </c>
      <c r="O269">
        <f>IF(C269,H269*N269*IF(AND(Inputs!$B$4&lt;&gt;"pvp",Inputs!$B$35&gt;0),((Skills!G8*((R269-1)*IF(Skills!H8&gt;0,Skills!I8/Skills!H8,1)+IF(Skills!H8&gt;0,MIN(Skills!I8,MAX(0,Inputs!$B$35-((R269-1)*IF(Inputs!$B$4="pvp",15,MAX(0.1,Skills!D8-IF(Skills!E8=TRUE,Inputs!$B$31,0))))))/Skills!H8,1)))/Inputs!$B$35),G269*Q269)*IF(Inputs!$B$4="pvp",1,(1-Summary!$B$55)*(1)+Summary!$B$55*(MIN(Skills!R8,Inputs!$B$37))),0)</f>
        <v/>
      </c>
      <c r="P269">
        <f>IF(B296=0,0,O269/B296)</f>
        <v/>
      </c>
      <c r="Q269">
        <f>IFERROR(1/IF(Inputs!$B$4="pvp",15,MAX(0.1,Skills!D8-IF(Skills!E8=TRUE,Inputs!$B$31,0))),0)</f>
        <v/>
      </c>
      <c r="R269">
        <f>IF(AND(Inputs!$B$4&lt;&gt;"pvp",Inputs!$B$35&gt;0),(INT(Inputs!$B$35/IF(Inputs!$B$4="pvp",15,MAX(0.1,Skills!D8-IF(Skills!E8=TRUE,Inputs!$B$31,0))))+1),0)</f>
        <v/>
      </c>
      <c r="S269">
        <f>IFERROR(O269/N269,0)</f>
        <v/>
      </c>
    </row>
    <row r="270">
      <c r="A270">
        <f>Skills!A9</f>
        <v/>
      </c>
      <c r="B270">
        <f>Skills!B9</f>
        <v/>
      </c>
      <c r="C270">
        <f>Inputs!$B$3&gt;=125</f>
        <v/>
      </c>
      <c r="D270">
        <f>IF(Skills!C9=1,60+Inputs!$B$24+Inputs!$B$28,IF(Skills!C9=2,90+Inputs!$B$25+Inputs!$B$28,IF(Skills!C9=3,120+Inputs!$B$26+Inputs!$B$28,MAX(0,(Inputs!$B$3-100)*3)+Inputs!$B$27+Inputs!$B$28)))</f>
        <v/>
      </c>
      <c r="E270">
        <f>INDEX(FactorTable!$B$2:$Y$301, MATCH(ROUND(MIN(300,MAX(1,D270)),0), FactorTable!$A$2:$A$301,0), Skills!M9+1)</f>
        <v/>
      </c>
      <c r="F270">
        <f>IF(Skills!N9=TRUE,(Skills!L9/10)*(E270/1000),Skills!L9/10)+Skills!O9</f>
        <v/>
      </c>
      <c r="G270">
        <f>Skills!G9*IF(Skills!H9&gt;0,Skills!I9/Skills!H9,1)</f>
        <v/>
      </c>
      <c r="H270">
        <f>1-(1-Skills!J9/100)^Skills!K9</f>
        <v/>
      </c>
      <c r="I270" t="inlineStr">
        <is>
          <t>1</t>
        </is>
      </c>
      <c r="J270">
        <f>(Inputs!$B$5*(1+Inputs!$B$6/100))*(F270/100)</f>
        <v/>
      </c>
      <c r="K270">
        <f>J270*(1+((Inputs!$B$11*(1+Inputs!$B$12/100))*0.01+Inputs!$B$13*0.0025)/100)*(1+Inputs!$B$14/100)*(1+IF(Inputs!$B$4="pvp",0,(1-Summary!$B$55)*(Inputs!$B$19+0+Skills!P9)+Summary!$B$55*((Inputs!$B$20+1)+Skills!Q9))/100)*(1+Inputs!$B$15/100)*(5000/(6000+Inputs!$B$7*(1-(Inputs!$B$18+0)/100)))*(1+(Inputs!$B$23+0+B294)/100)*(1+(IF(Skills!A9="BLAST",Inputs!$B$16+((C282=TRUE)*(F282-Calc!F21)),Inputs!$B$17+((C284=TRUE)*(F284-Calc!F23))))/100)*((1+(((C274=TRUE)*F274*MIN(1,Skills!T13*(Skills!J13/100)*B292))+((C279=TRUE)*F279*IF(AND(Inputs!$B$4&lt;&gt;"pvp",Inputs!$B$35&gt;0),(((S279-1)*(Skills!T18*(1+Inputs!$B$33/100))+MIN((Skills!T18*(1+Inputs!$B$33/100)),MAX(0,Inputs!$B$35-((S279-1)*Skills!D18))))/Inputs!$B$35),IF(Inputs!$B$4="pvp",MIN((Skills!T18*(1+Inputs!$B$33/100)),15)/15,(Skills!T18*(1+Inputs!$B$33/100))/Skills!D18)))+0)/100)*I270)</f>
        <v/>
      </c>
      <c r="L270">
        <f>K270*(MIN(Inputs!$B$21+((C283=TRUE)*(F283-Calc!F22)),Inputs!$B$22+((C285=TRUE)*(F285-Calc!F24)))/100+(Inputs!$B$22+((C285=TRUE)*(F285-Calc!F24)))/100)/2</f>
        <v/>
      </c>
      <c r="M270">
        <f>L270*(1+(Inputs!$B$9+0+B293)/100)</f>
        <v/>
      </c>
      <c r="N270">
        <f>L270*(1-MIN((Inputs!$B$8+0+B288),100)/100)+M270*(MIN((Inputs!$B$8+0+B288),100)/100)</f>
        <v/>
      </c>
      <c r="O270">
        <f>IF(C270,H270*N270*IF(AND(Inputs!$B$4&lt;&gt;"pvp",Inputs!$B$35&gt;0),((Skills!G9*((R270-1)*IF(Skills!H9&gt;0,Skills!I9/Skills!H9,1)+IF(Skills!H9&gt;0,MIN(Skills!I9,MAX(0,Inputs!$B$35-((R270-1)*IF(Inputs!$B$4="pvp",15,MAX(0.1,Skills!D9-IF(Skills!E9=TRUE,Inputs!$B$31,0))))))/Skills!H9,1)))/Inputs!$B$35),G270*Q270)*IF(Inputs!$B$4="pvp",1,(1-Summary!$B$55)*(1)+Summary!$B$55*(MIN(Skills!R9,Inputs!$B$37))),0)</f>
        <v/>
      </c>
      <c r="P270">
        <f>IF(B296=0,0,O270/B296)</f>
        <v/>
      </c>
      <c r="Q270">
        <f>IFERROR(1/IF(Inputs!$B$4="pvp",15,MAX(0.1,Skills!D9-IF(Skills!E9=TRUE,Inputs!$B$31,0))),0)</f>
        <v/>
      </c>
      <c r="R270">
        <f>IF(AND(Inputs!$B$4&lt;&gt;"pvp",Inputs!$B$35&gt;0),(INT(Inputs!$B$35/IF(Inputs!$B$4="pvp",15,MAX(0.1,Skills!D9-IF(Skills!E9=TRUE,Inputs!$B$31,0))))+1),0)</f>
        <v/>
      </c>
      <c r="S270">
        <f>IFERROR(O270/N270,0)</f>
        <v/>
      </c>
    </row>
    <row r="271">
      <c r="A271">
        <f>Skills!A10</f>
        <v/>
      </c>
      <c r="B271">
        <f>Skills!B10</f>
        <v/>
      </c>
      <c r="C271">
        <f>Inputs!$B$3&gt;=117</f>
        <v/>
      </c>
      <c r="D271">
        <f>IF(Skills!C10=1,60+Inputs!$B$24+Inputs!$B$28,IF(Skills!C10=2,90+Inputs!$B$25+Inputs!$B$28,IF(Skills!C10=3,120+Inputs!$B$26+Inputs!$B$28,MAX(0,(Inputs!$B$3-100)*3)+Inputs!$B$27+Inputs!$B$28)))</f>
        <v/>
      </c>
      <c r="E271">
        <f>INDEX(FactorTable!$B$2:$Y$301, MATCH(ROUND(MIN(300,MAX(1,D271)),0), FactorTable!$A$2:$A$301,0), Skills!M10+1)</f>
        <v/>
      </c>
      <c r="F271">
        <f>IF(Skills!N10=TRUE,(Skills!L10/10)*(E271/1000),Skills!L10/10)+Skills!O10</f>
        <v/>
      </c>
      <c r="G271">
        <f>Skills!G10*IF(Skills!H10&gt;0,Skills!I10/Skills!H10,1)</f>
        <v/>
      </c>
      <c r="H271">
        <f>1-(1-Skills!J10/100)^Skills!K10</f>
        <v/>
      </c>
      <c r="I271" t="inlineStr">
        <is>
          <t>1</t>
        </is>
      </c>
      <c r="J271">
        <f>(Inputs!$B$5*(1+Inputs!$B$6/100))*(F271/100)</f>
        <v/>
      </c>
      <c r="K271">
        <f>J271*(1+((Inputs!$B$11*(1+Inputs!$B$12/100))*0.01+Inputs!$B$13*0.0025)/100)*(1+Inputs!$B$14/100)*(1+IF(Inputs!$B$4="pvp",0,(1-Summary!$B$55)*(Inputs!$B$19+0+Skills!P10)+Summary!$B$55*((Inputs!$B$20+1)+Skills!Q10))/100)*(1+Inputs!$B$15/100)*(5000/(6000+Inputs!$B$7*(1-(Inputs!$B$18+0)/100)))*(1+(Inputs!$B$23+0+B294)/100)*(1+(IF(Skills!A10="BLAST",Inputs!$B$16+((C282=TRUE)*(F282-Calc!F21)),Inputs!$B$17+((C284=TRUE)*(F284-Calc!F23))))/100)*((1+(((C274=TRUE)*F274*MIN(1,Skills!T13*(Skills!J13/100)*B292))+((C279=TRUE)*F279*IF(AND(Inputs!$B$4&lt;&gt;"pvp",Inputs!$B$35&gt;0),(((S279-1)*(Skills!T18*(1+Inputs!$B$33/100))+MIN((Skills!T18*(1+Inputs!$B$33/100)),MAX(0,Inputs!$B$35-((S279-1)*Skills!D18))))/Inputs!$B$35),IF(Inputs!$B$4="pvp",MIN((Skills!T18*(1+Inputs!$B$33/100)),15)/15,(Skills!T18*(1+Inputs!$B$33/100))/Skills!D18)))+0)/100)*I271)</f>
        <v/>
      </c>
      <c r="L271">
        <f>K271*(MIN(Inputs!$B$21+((C283=TRUE)*(F283-Calc!F22)),Inputs!$B$22+((C285=TRUE)*(F285-Calc!F24)))/100+(Inputs!$B$22+((C285=TRUE)*(F285-Calc!F24)))/100)/2</f>
        <v/>
      </c>
      <c r="M271">
        <f>L271*(1+(Inputs!$B$9+0+B293)/100)</f>
        <v/>
      </c>
      <c r="N271">
        <f>L271*(1-MIN((Inputs!$B$8+0+B288),100)/100)+M271*(MIN((Inputs!$B$8+0+B288),100)/100)</f>
        <v/>
      </c>
      <c r="O271">
        <f>IF(C271,H271*N271*IF(AND(Inputs!$B$4&lt;&gt;"pvp",Inputs!$B$35&gt;0),((Skills!G10*((R271-1)*IF(Skills!H10&gt;0,Skills!I10/Skills!H10,1)+IF(Skills!H10&gt;0,MIN(Skills!I10,MAX(0,Inputs!$B$35-((R271-1)*IF(Inputs!$B$4="pvp",15,MAX(0.1,Skills!D10-IF(Skills!E10=TRUE,Inputs!$B$31,0))))))/Skills!H10,1)))/Inputs!$B$35),G271*Q271)*IF(Inputs!$B$4="pvp",1,(1-Summary!$B$55)*(1)+Summary!$B$55*(MIN(Skills!R10,Inputs!$B$37))),0)</f>
        <v/>
      </c>
      <c r="P271">
        <f>IF(B296=0,0,O271/B296)</f>
        <v/>
      </c>
      <c r="Q271">
        <f>IFERROR(1/IF(Inputs!$B$4="pvp",15,MAX(0.1,Skills!D10-IF(Skills!E10=TRUE,Inputs!$B$31,0))),0)</f>
        <v/>
      </c>
      <c r="R271">
        <f>IF(AND(Inputs!$B$4&lt;&gt;"pvp",Inputs!$B$35&gt;0),(INT(Inputs!$B$35/IF(Inputs!$B$4="pvp",15,MAX(0.1,Skills!D10-IF(Skills!E10=TRUE,Inputs!$B$31,0))))+1),0)</f>
        <v/>
      </c>
      <c r="S271">
        <f>IFERROR(O271/N271,0)</f>
        <v/>
      </c>
    </row>
    <row r="272">
      <c r="A272">
        <f>Skills!A11</f>
        <v/>
      </c>
      <c r="B272">
        <f>Skills!B11</f>
        <v/>
      </c>
      <c r="C272">
        <f>Inputs!$B$3&gt;=63</f>
        <v/>
      </c>
      <c r="D272">
        <f>IF(Skills!C11=1,60+Inputs!$B$24+Inputs!$B$28,IF(Skills!C11=2,90+Inputs!$B$25+Inputs!$B$28,IF(Skills!C11=3,120+Inputs!$B$26+Inputs!$B$28,MAX(0,(Inputs!$B$3-100)*3)+Inputs!$B$27+Inputs!$B$28)))</f>
        <v/>
      </c>
      <c r="E272">
        <f>INDEX(FactorTable!$B$2:$Y$301, MATCH(ROUND(MIN(300,MAX(1,D272)),0), FactorTable!$A$2:$A$301,0), Skills!M11+1)</f>
        <v/>
      </c>
      <c r="F272">
        <f>IF(Skills!N11=TRUE,(Skills!L11/10)*(E272/1000),Skills!L11/10)+Skills!O11</f>
        <v/>
      </c>
      <c r="G272">
        <f>Skills!G11*IF(Skills!H11&gt;0,Skills!I11/Skills!H11,1)</f>
        <v/>
      </c>
      <c r="H272">
        <f>1-(1-Skills!J11/100)^Skills!K11</f>
        <v/>
      </c>
      <c r="I272" t="inlineStr">
        <is>
          <t>1</t>
        </is>
      </c>
      <c r="J272">
        <f>(Inputs!$B$5*(1+Inputs!$B$6/100))*(F272/100)</f>
        <v/>
      </c>
      <c r="K272">
        <f>J272*(1+((Inputs!$B$11*(1+Inputs!$B$12/100))*0.01+Inputs!$B$13*0.0025)/100)*(1+Inputs!$B$14/100)*(1+IF(Inputs!$B$4="pvp",0,(1-Summary!$B$55)*(Inputs!$B$19+0+Skills!P11)+Summary!$B$55*((Inputs!$B$20+1)+Skills!Q11))/100)*(1+Inputs!$B$15/100)*(5000/(6000+Inputs!$B$7*(1-(Inputs!$B$18+0)/100)))*(1+(Inputs!$B$23+0+B294)/100)*(1+1.5*IF(C273=TRUE,F273,0)/100)*(1+(IF(Skills!A11="BLAST",Inputs!$B$16+((C282=TRUE)*(F282-Calc!F21)),Inputs!$B$17+((C284=TRUE)*(F284-Calc!F23))))/100)*((1+(((C274=TRUE)*F274*MIN(1,Skills!T13*(Skills!J13/100)*B292))+((C279=TRUE)*F279*IF(AND(Inputs!$B$4&lt;&gt;"pvp",Inputs!$B$35&gt;0),(((S279-1)*(Skills!T18*(1+Inputs!$B$33/100))+MIN((Skills!T18*(1+Inputs!$B$33/100)),MAX(0,Inputs!$B$35-((S279-1)*Skills!D18))))/Inputs!$B$35),IF(Inputs!$B$4="pvp",MIN((Skills!T18*(1+Inputs!$B$33/100)),15)/15,(Skills!T18*(1+Inputs!$B$33/100))/Skills!D18)))+0)/100)*I272)</f>
        <v/>
      </c>
      <c r="L272">
        <f>K272*(MIN(Inputs!$B$21+((C283=TRUE)*(F283-Calc!F22)),Inputs!$B$22+((C285=TRUE)*(F285-Calc!F24)))/100+(Inputs!$B$22+((C285=TRUE)*(F285-Calc!F24)))/100)/2</f>
        <v/>
      </c>
      <c r="M272">
        <f>L272*(1+(Inputs!$B$9+0+B293)/100)</f>
        <v/>
      </c>
      <c r="N272">
        <f>L272*(1-MIN((Inputs!$B$8+0+B288),100)/100)+M272*(MIN((Inputs!$B$8+0+B288),100)/100)</f>
        <v/>
      </c>
      <c r="O272">
        <f>IF(C272,H272*N272*IF(AND(Inputs!$B$4&lt;&gt;"pvp",Inputs!$B$35&gt;0),((Skills!G11*((R272-1)*IF(Skills!H11&gt;0,Skills!I11/Skills!H11,1)+IF(Skills!H11&gt;0,MIN(Skills!I11,MAX(0,Inputs!$B$35-((R272-1)*IF(Inputs!$B$4="pvp",15,MAX(0.1,Skills!D11-IF(Skills!E11=TRUE,Inputs!$B$31,0))))))/Skills!H11,1)))/Inputs!$B$35),G272*Q272)*IF(Inputs!$B$4="pvp",1,(1-Summary!$B$55)*(1)+Summary!$B$55*(MIN(Skills!R11,Inputs!$B$37))),0)</f>
        <v/>
      </c>
      <c r="P272">
        <f>IF(B296=0,0,O272/B296)</f>
        <v/>
      </c>
      <c r="Q272">
        <f>IFERROR(1/IF(Inputs!$B$4="pvp",15,MAX(0.1,Skills!D11-IF(Skills!E11=TRUE,Inputs!$B$31,0))),0)</f>
        <v/>
      </c>
      <c r="R272">
        <f>IF(AND(Inputs!$B$4&lt;&gt;"pvp",Inputs!$B$35&gt;0),(INT(Inputs!$B$35/IF(Inputs!$B$4="pvp",15,MAX(0.1,Skills!D11-IF(Skills!E11=TRUE,Inputs!$B$31,0))))+1),0)</f>
        <v/>
      </c>
      <c r="S272">
        <f>IFERROR(O272/N272,0)</f>
        <v/>
      </c>
    </row>
    <row r="273">
      <c r="A273">
        <f>Skills!A12</f>
        <v/>
      </c>
      <c r="B273">
        <f>Skills!B12</f>
        <v/>
      </c>
      <c r="C273">
        <f>Inputs!$B$3&gt;=100</f>
        <v/>
      </c>
      <c r="D273">
        <f>IF(Skills!C12=1,60+Inputs!$B$24+Inputs!$B$28,IF(Skills!C12=2,90+Inputs!$B$25+Inputs!$B$28,IF(Skills!C12=3,120+Inputs!$B$26+Inputs!$B$28,MAX(0,(Inputs!$B$3-100)*3)+Inputs!$B$27+Inputs!$B$28)))</f>
        <v/>
      </c>
      <c r="E273">
        <f>INDEX(FactorTable!$B$2:$Y$301, MATCH(ROUND(MIN(300,MAX(1,D273)),0), FactorTable!$A$2:$A$301,0), Skills!M12+1)</f>
        <v/>
      </c>
      <c r="F273">
        <f>IF(Skills!N12=TRUE,(Skills!L12/10)*(E273/1000),Skills!L12/10)+Skills!O12</f>
        <v/>
      </c>
      <c r="G273" t="inlineStr"/>
      <c r="H273" t="inlineStr"/>
      <c r="I273" t="inlineStr">
        <is>
          <t>1</t>
        </is>
      </c>
      <c r="J273" t="inlineStr"/>
      <c r="K273" t="inlineStr"/>
      <c r="L273" t="inlineStr"/>
      <c r="M273" t="inlineStr"/>
      <c r="N273" t="inlineStr"/>
      <c r="O273" t="inlineStr"/>
      <c r="P273" t="inlineStr"/>
      <c r="Q273" t="inlineStr"/>
      <c r="R273" t="inlineStr"/>
      <c r="S273" t="inlineStr"/>
    </row>
    <row r="274">
      <c r="A274">
        <f>Skills!A13</f>
        <v/>
      </c>
      <c r="B274">
        <f>Skills!B13</f>
        <v/>
      </c>
      <c r="C274">
        <f>Inputs!$B$3&gt;=45</f>
        <v/>
      </c>
      <c r="D274">
        <f>IF(Skills!C13=1,60+Inputs!$B$24+Inputs!$B$28,IF(Skills!C13=2,90+Inputs!$B$25+Inputs!$B$28,IF(Skills!C13=3,120+Inputs!$B$26+Inputs!$B$28,MAX(0,(Inputs!$B$3-100)*3)+Inputs!$B$27+Inputs!$B$28)))</f>
        <v/>
      </c>
      <c r="E274">
        <f>INDEX(FactorTable!$B$2:$Y$301, MATCH(ROUND(MIN(300,MAX(1,D274)),0), FactorTable!$A$2:$A$301,0), Skills!M13+1)</f>
        <v/>
      </c>
      <c r="F274">
        <f>IF(Skills!N13=TRUE,(Skills!L13/10)*(E274/1000),Skills!L13/10)+Skills!O13</f>
        <v/>
      </c>
      <c r="G274">
        <f>Skills!G13*IF(Skills!H13&gt;0,Skills!I13/Skills!H13,1)</f>
        <v/>
      </c>
      <c r="H274">
        <f>1-(1-Skills!J13/100)^Skills!K13</f>
        <v/>
      </c>
      <c r="I274" t="inlineStr">
        <is>
          <t>1</t>
        </is>
      </c>
      <c r="J274" t="inlineStr"/>
      <c r="K274" t="inlineStr"/>
      <c r="L274" t="inlineStr"/>
      <c r="M274" t="inlineStr"/>
      <c r="N274" t="inlineStr"/>
      <c r="O274" t="n">
        <v>0</v>
      </c>
      <c r="P274">
        <f>IF(B296=0,0,O274/B296)</f>
        <v/>
      </c>
      <c r="Q274" t="n">
        <v>0</v>
      </c>
      <c r="R274" t="n">
        <v>0</v>
      </c>
      <c r="S274">
        <f>IFERROR(O274/N274,0)</f>
        <v/>
      </c>
    </row>
    <row r="275">
      <c r="A275">
        <f>Skills!A14</f>
        <v/>
      </c>
      <c r="B275">
        <f>Skills!B14</f>
        <v/>
      </c>
      <c r="C275">
        <f>Inputs!$B$3&gt;=110</f>
        <v/>
      </c>
      <c r="D275">
        <f>IF(Skills!C14=1,60+Inputs!$B$24+Inputs!$B$28,IF(Skills!C14=2,90+Inputs!$B$25+Inputs!$B$28,IF(Skills!C14=3,120+Inputs!$B$26+Inputs!$B$28,MAX(0,(Inputs!$B$3-100)*3)+Inputs!$B$27+Inputs!$B$28)))</f>
        <v/>
      </c>
      <c r="E275">
        <f>INDEX(FactorTable!$B$2:$Y$301, MATCH(ROUND(MIN(300,MAX(1,D275)),0), FactorTable!$A$2:$A$301,0), Skills!M14+1)</f>
        <v/>
      </c>
      <c r="F275">
        <f>IF(Skills!N14=TRUE,(Skills!L14/10)*(E275/1000),Skills!L14/10)+Skills!O14</f>
        <v/>
      </c>
      <c r="G275">
        <f>Skills!G14*IF(Skills!H14&gt;0,Skills!I14/Skills!H14,1)</f>
        <v/>
      </c>
      <c r="H275">
        <f>1-(1-Skills!J14/100)^Skills!K14</f>
        <v/>
      </c>
      <c r="I275" t="inlineStr">
        <is>
          <t>1</t>
        </is>
      </c>
      <c r="J275" t="inlineStr"/>
      <c r="K275" t="inlineStr"/>
      <c r="L275" t="inlineStr"/>
      <c r="M275" t="inlineStr"/>
      <c r="N275" t="inlineStr"/>
      <c r="O275" t="n">
        <v>0</v>
      </c>
      <c r="P275">
        <f>IF(B296=0,0,O275/B296)</f>
        <v/>
      </c>
      <c r="Q275" t="n">
        <v>0</v>
      </c>
      <c r="R275" t="n">
        <v>0</v>
      </c>
      <c r="S275">
        <f>IFERROR(O275/N275,0)</f>
        <v/>
      </c>
    </row>
    <row r="276">
      <c r="A276">
        <f>Skills!A15</f>
        <v/>
      </c>
      <c r="B276">
        <f>Skills!B15</f>
        <v/>
      </c>
      <c r="C276">
        <f>Inputs!$B$3&gt;=75</f>
        <v/>
      </c>
      <c r="D276">
        <f>IF(Skills!C15=1,60+Inputs!$B$24+Inputs!$B$28,IF(Skills!C15=2,90+Inputs!$B$25+Inputs!$B$28,IF(Skills!C15=3,120+Inputs!$B$26+Inputs!$B$28,MAX(0,(Inputs!$B$3-100)*3)+Inputs!$B$27+Inputs!$B$28)))</f>
        <v/>
      </c>
      <c r="E276">
        <f>INDEX(FactorTable!$B$2:$Y$301, MATCH(ROUND(MIN(300,MAX(1,D276)),0), FactorTable!$A$2:$A$301,0), Skills!M15+1)</f>
        <v/>
      </c>
      <c r="F276">
        <f>IF(Skills!N15=TRUE,(Skills!L15/10)*(E276/1000),Skills!L15/10)+Skills!O15</f>
        <v/>
      </c>
      <c r="G276">
        <f>Skills!G15*IF(Skills!H15&gt;0,Skills!I15/Skills!H15,1)</f>
        <v/>
      </c>
      <c r="H276">
        <f>1-(1-Skills!J15/100)^Skills!K15</f>
        <v/>
      </c>
      <c r="I276" t="inlineStr">
        <is>
          <t>1</t>
        </is>
      </c>
      <c r="J276" t="inlineStr"/>
      <c r="K276" t="inlineStr"/>
      <c r="L276" t="inlineStr"/>
      <c r="M276" t="inlineStr"/>
      <c r="N276" t="inlineStr"/>
      <c r="O276" t="n">
        <v>0</v>
      </c>
      <c r="P276">
        <f>IF(B296=0,0,O276/B296)</f>
        <v/>
      </c>
      <c r="Q276">
        <f>IFERROR(1/IF(Inputs!$B$4="pvp",15,MAX(0.1,Skills!D15-IF(Skills!E15=TRUE,Inputs!$B$31,0))),0)</f>
        <v/>
      </c>
      <c r="R276">
        <f>IF(AND(Inputs!$B$4&lt;&gt;"pvp",Inputs!$B$35&gt;0),(INT(Inputs!$B$35/IF(Inputs!$B$4="pvp",15,MAX(0.1,Skills!D15-IF(Skills!E15=TRUE,Inputs!$B$31,0))))+1),0)</f>
        <v/>
      </c>
      <c r="S276">
        <f>IFERROR(O276/N276,0)</f>
        <v/>
      </c>
    </row>
    <row r="277">
      <c r="A277">
        <f>Skills!A16</f>
        <v/>
      </c>
      <c r="B277">
        <f>Skills!B16</f>
        <v/>
      </c>
      <c r="C277">
        <f>Inputs!$B$3&gt;=105</f>
        <v/>
      </c>
      <c r="D277">
        <f>IF(Skills!C16=1,60+Inputs!$B$24+Inputs!$B$28,IF(Skills!C16=2,90+Inputs!$B$25+Inputs!$B$28,IF(Skills!C16=3,120+Inputs!$B$26+Inputs!$B$28,MAX(0,(Inputs!$B$3-100)*3)+Inputs!$B$27+Inputs!$B$28)))</f>
        <v/>
      </c>
      <c r="E277">
        <f>INDEX(FactorTable!$B$2:$Y$301, MATCH(ROUND(MIN(300,MAX(1,D277)),0), FactorTable!$A$2:$A$301,0), Skills!M16+1)</f>
        <v/>
      </c>
      <c r="F277">
        <f>IF(Skills!N16=TRUE,(Skills!L16/10)*(E277/1000),Skills!L16/10)+Skills!O16</f>
        <v/>
      </c>
      <c r="G277">
        <f>Skills!G16*IF(Skills!H16&gt;0,Skills!I16/Skills!H16,1)</f>
        <v/>
      </c>
      <c r="H277">
        <f>1-(1-Skills!J16/100)^Skills!K16</f>
        <v/>
      </c>
      <c r="I277" t="inlineStr">
        <is>
          <t>1</t>
        </is>
      </c>
      <c r="J277" t="inlineStr"/>
      <c r="K277" t="inlineStr"/>
      <c r="L277" t="inlineStr"/>
      <c r="M277" t="inlineStr"/>
      <c r="N277" t="inlineStr"/>
      <c r="O277" t="n">
        <v>0</v>
      </c>
      <c r="P277">
        <f>IF(B296=0,0,O277/B296)</f>
        <v/>
      </c>
      <c r="Q277">
        <f>IFERROR(1/IF(Inputs!$B$4="pvp",15,MAX(0.1,Skills!D16-IF(Skills!E16=TRUE,Inputs!$B$31,0))),0)</f>
        <v/>
      </c>
      <c r="R277">
        <f>IF(AND(Inputs!$B$4&lt;&gt;"pvp",Inputs!$B$35&gt;0),(INT(Inputs!$B$35/IF(Inputs!$B$4="pvp",15,MAX(0.1,Skills!D16-IF(Skills!E16=TRUE,Inputs!$B$31,0))))+1),0)</f>
        <v/>
      </c>
      <c r="S277">
        <f>IFERROR(O277/N277,0)</f>
        <v/>
      </c>
    </row>
    <row r="278">
      <c r="A278">
        <f>Skills!A17</f>
        <v/>
      </c>
      <c r="B278">
        <f>Skills!B17</f>
        <v/>
      </c>
      <c r="C278">
        <f>Inputs!$B$3&gt;=115</f>
        <v/>
      </c>
      <c r="D278">
        <f>IF(Skills!C17=1,60+Inputs!$B$24+Inputs!$B$28,IF(Skills!C17=2,90+Inputs!$B$25+Inputs!$B$28,IF(Skills!C17=3,120+Inputs!$B$26+Inputs!$B$28,MAX(0,(Inputs!$B$3-100)*3)+Inputs!$B$27+Inputs!$B$28)))</f>
        <v/>
      </c>
      <c r="E278">
        <f>INDEX(FactorTable!$B$2:$Y$301, MATCH(ROUND(MIN(300,MAX(1,D278)),0), FactorTable!$A$2:$A$301,0), Skills!M17+1)</f>
        <v/>
      </c>
      <c r="F278">
        <f>IF(Skills!N17=TRUE,(Skills!L17/10)*(E278/1000),Skills!L17/10)+Skills!O17</f>
        <v/>
      </c>
      <c r="G278">
        <f>Skills!G17*IF(Skills!H17&gt;0,Skills!I17/Skills!H17,1)</f>
        <v/>
      </c>
      <c r="H278">
        <f>1-(1-Skills!J17/100)^Skills!K17</f>
        <v/>
      </c>
      <c r="I278" t="inlineStr">
        <is>
          <t>1</t>
        </is>
      </c>
      <c r="J278" t="inlineStr"/>
      <c r="K278" t="inlineStr"/>
      <c r="L278" t="inlineStr"/>
      <c r="M278" t="inlineStr"/>
      <c r="N278" t="inlineStr"/>
      <c r="O278" t="n">
        <v>0</v>
      </c>
      <c r="P278">
        <f>IF(B296=0,0,O278/B296)</f>
        <v/>
      </c>
      <c r="Q278">
        <f>IFERROR(1/IF(Inputs!$B$4="pvp",15,MAX(0.1,Skills!D17-IF(Skills!E17=TRUE,Inputs!$B$31,0))),0)</f>
        <v/>
      </c>
      <c r="R278">
        <f>IF(AND(Inputs!$B$4&lt;&gt;"pvp",Inputs!$B$35&gt;0),(INT(Inputs!$B$35/IF(Inputs!$B$4="pvp",15,MAX(0.1,Skills!D17-IF(Skills!E17=TRUE,Inputs!$B$31,0))))+1),0)</f>
        <v/>
      </c>
      <c r="S278">
        <f>IFERROR(O278/N278,0)</f>
        <v/>
      </c>
    </row>
    <row r="279">
      <c r="A279">
        <f>Skills!A18</f>
        <v/>
      </c>
      <c r="B279">
        <f>Skills!B18</f>
        <v/>
      </c>
      <c r="C279">
        <f>Inputs!$B$3&gt;=74</f>
        <v/>
      </c>
      <c r="D279">
        <f>IF(Skills!C18=1,60+Inputs!$B$24+Inputs!$B$28,IF(Skills!C18=2,90+Inputs!$B$25+Inputs!$B$28,IF(Skills!C18=3,120+Inputs!$B$26+Inputs!$B$28,MAX(0,(Inputs!$B$3-100)*3)+Inputs!$B$27+Inputs!$B$28)))</f>
        <v/>
      </c>
      <c r="E279">
        <f>INDEX(FactorTable!$B$2:$Y$301, MATCH(ROUND(MIN(300,MAX(1,D279)),0), FactorTable!$A$2:$A$301,0), Skills!M18+1)</f>
        <v/>
      </c>
      <c r="F279">
        <f>IF(Skills!N18=TRUE,(Skills!L18/10)*(E279/1000),Skills!L18/10)+Skills!O18</f>
        <v/>
      </c>
      <c r="G279">
        <f>Skills!G18*IF(Skills!H18&gt;0,Skills!I18/Skills!H18,1)</f>
        <v/>
      </c>
      <c r="H279">
        <f>1-(1-Skills!J18/100)^Skills!K18</f>
        <v/>
      </c>
      <c r="I279" t="inlineStr">
        <is>
          <t>1</t>
        </is>
      </c>
      <c r="J279" t="inlineStr"/>
      <c r="K279" t="inlineStr"/>
      <c r="L279" t="inlineStr"/>
      <c r="M279" t="inlineStr"/>
      <c r="N279" t="inlineStr"/>
      <c r="O279" t="n">
        <v>0</v>
      </c>
      <c r="P279">
        <f>IF(B296=0,0,O279/B296)</f>
        <v/>
      </c>
      <c r="Q279">
        <f>IFERROR(1/IF(Inputs!$B$4="pvp",15,MAX(0.1,Skills!D18-IF(Skills!E18=TRUE,Inputs!$B$31,0))),0)</f>
        <v/>
      </c>
      <c r="R279">
        <f>IF(AND(Inputs!$B$4&lt;&gt;"pvp",Inputs!$B$35&gt;0),(INT(Inputs!$B$35/IF(Inputs!$B$4="pvp",15,MAX(0.1,Skills!D18-IF(Skills!E18=TRUE,Inputs!$B$31,0))))+1),0)</f>
        <v/>
      </c>
      <c r="S279">
        <f>IFERROR(O279/N279,0)</f>
        <v/>
      </c>
    </row>
    <row r="280">
      <c r="A280">
        <f>Skills!A19</f>
        <v/>
      </c>
      <c r="B280">
        <f>Skills!B19</f>
        <v/>
      </c>
      <c r="C280">
        <f>TRUE</f>
        <v/>
      </c>
      <c r="D280">
        <f>IF(Skills!C19=1,60+Inputs!$B$24+Inputs!$B$28,IF(Skills!C19=2,90+Inputs!$B$25+Inputs!$B$28,IF(Skills!C19=3,120+Inputs!$B$26+Inputs!$B$28,MAX(0,(Inputs!$B$3-100)*3)+Inputs!$B$27+Inputs!$B$28)))</f>
        <v/>
      </c>
      <c r="E280">
        <f>INDEX(FactorTable!$B$2:$Y$301, MATCH(ROUND(MIN(300,MAX(1,D280)),0), FactorTable!$A$2:$A$301,0), Skills!M19+1)</f>
        <v/>
      </c>
      <c r="F280">
        <f>IF(Skills!N19=TRUE,(Skills!L19/10)*(E280/1000),Skills!L19/10)+Skills!O19</f>
        <v/>
      </c>
      <c r="G280">
        <f>Skills!G19*IF(Skills!H19&gt;0,Skills!I19/Skills!H19,1)</f>
        <v/>
      </c>
      <c r="H280">
        <f>1-(1-Skills!J19/100)^Skills!K19</f>
        <v/>
      </c>
      <c r="I280" t="inlineStr">
        <is>
          <t>1</t>
        </is>
      </c>
      <c r="J280" t="inlineStr"/>
      <c r="K280" t="inlineStr"/>
      <c r="L280" t="inlineStr"/>
      <c r="M280" t="inlineStr"/>
      <c r="N280" t="inlineStr"/>
      <c r="O280" t="n">
        <v>0</v>
      </c>
      <c r="P280">
        <f>IF(B296=0,0,O280/B296)</f>
        <v/>
      </c>
      <c r="Q280">
        <f>IFERROR(1/IF(Inputs!$B$4="pvp",15,MAX(0.1,Skills!D19-IF(Skills!E19=TRUE,Inputs!$B$31,0))),0)</f>
        <v/>
      </c>
      <c r="R280">
        <f>IF(AND(Inputs!$B$4&lt;&gt;"pvp",Inputs!$B$35&gt;0),(INT(Inputs!$B$35/IF(Inputs!$B$4="pvp",15,MAX(0.1,Skills!D19-IF(Skills!E19=TRUE,Inputs!$B$31,0))))+1),0)</f>
        <v/>
      </c>
      <c r="S280">
        <f>IFERROR(O280/N280,0)</f>
        <v/>
      </c>
    </row>
    <row r="281">
      <c r="A281">
        <f>Skills!A20</f>
        <v/>
      </c>
      <c r="B281">
        <f>Skills!B20</f>
        <v/>
      </c>
      <c r="C281">
        <f>Inputs!$B$3&gt;=33</f>
        <v/>
      </c>
      <c r="D281">
        <f>IF(Skills!C20=1,60+Inputs!$B$24+Inputs!$B$28,IF(Skills!C20=2,90+Inputs!$B$25+Inputs!$B$28,IF(Skills!C20=3,120+Inputs!$B$26+Inputs!$B$28,MAX(0,(Inputs!$B$3-100)*3)+Inputs!$B$27+Inputs!$B$28)))</f>
        <v/>
      </c>
      <c r="E281">
        <f>INDEX(FactorTable!$B$2:$Y$301, MATCH(ROUND(MIN(300,MAX(1,D281)),0), FactorTable!$A$2:$A$301,0), Skills!M20+1)</f>
        <v/>
      </c>
      <c r="F281">
        <f>IF(Skills!N20=TRUE,(Skills!L20/10)*(E281/1000),Skills!L20/10)+Skills!O20</f>
        <v/>
      </c>
      <c r="G281">
        <f>Skills!G20*IF(Skills!H20&gt;0,Skills!I20/Skills!H20,1)</f>
        <v/>
      </c>
      <c r="H281">
        <f>1-(1-Skills!J20/100)^Skills!K20</f>
        <v/>
      </c>
      <c r="I281" t="inlineStr">
        <is>
          <t>1</t>
        </is>
      </c>
      <c r="J281" t="inlineStr"/>
      <c r="K281" t="inlineStr"/>
      <c r="L281" t="inlineStr"/>
      <c r="M281" t="inlineStr"/>
      <c r="N281" t="inlineStr"/>
      <c r="O281" t="n">
        <v>0</v>
      </c>
      <c r="P281">
        <f>IF(B296=0,0,O281/B296)</f>
        <v/>
      </c>
      <c r="Q281" t="n">
        <v>0</v>
      </c>
      <c r="R281" t="n">
        <v>0</v>
      </c>
      <c r="S281">
        <f>IFERROR(O281/N281,0)</f>
        <v/>
      </c>
    </row>
    <row r="282">
      <c r="A282">
        <f>Skills!A21</f>
        <v/>
      </c>
      <c r="B282">
        <f>Skills!B21</f>
        <v/>
      </c>
      <c r="C282">
        <f>Inputs!$B$3&gt;=38</f>
        <v/>
      </c>
      <c r="D282">
        <f>IF(Skills!C21=1,60+Inputs!$B$24+Inputs!$B$28,IF(Skills!C21=2,90+Inputs!$B$25+Inputs!$B$28,IF(Skills!C21=3,120+Inputs!$B$26+Inputs!$B$28,MAX(0,(Inputs!$B$3-100)*3)+Inputs!$B$27+Inputs!$B$28)))</f>
        <v/>
      </c>
      <c r="E282">
        <f>INDEX(FactorTable!$B$2:$Y$301, MATCH(ROUND(MIN(300,MAX(1,D282)),0), FactorTable!$A$2:$A$301,0), Skills!M21+1)</f>
        <v/>
      </c>
      <c r="F282">
        <f>IF(Skills!N21=TRUE,(Skills!L21/10)*(E282/1000),Skills!L21/10)+Skills!O21</f>
        <v/>
      </c>
      <c r="G282">
        <f>Skills!G21*IF(Skills!H21&gt;0,Skills!I21/Skills!H21,1)</f>
        <v/>
      </c>
      <c r="H282">
        <f>1-(1-Skills!J21/100)^Skills!K21</f>
        <v/>
      </c>
      <c r="I282" t="inlineStr">
        <is>
          <t>1</t>
        </is>
      </c>
      <c r="J282" t="inlineStr"/>
      <c r="K282" t="inlineStr"/>
      <c r="L282" t="inlineStr"/>
      <c r="M282" t="inlineStr"/>
      <c r="N282" t="inlineStr"/>
      <c r="O282" t="n">
        <v>0</v>
      </c>
      <c r="P282">
        <f>IF(B296=0,0,O282/B296)</f>
        <v/>
      </c>
      <c r="Q282" t="n">
        <v>0</v>
      </c>
      <c r="R282" t="n">
        <v>0</v>
      </c>
      <c r="S282">
        <f>IFERROR(O282/N282,0)</f>
        <v/>
      </c>
    </row>
    <row r="283">
      <c r="A283">
        <f>Skills!A22</f>
        <v/>
      </c>
      <c r="B283">
        <f>Skills!B22</f>
        <v/>
      </c>
      <c r="C283">
        <f>Inputs!$B$3&gt;=43</f>
        <v/>
      </c>
      <c r="D283">
        <f>IF(Skills!C22=1,60+Inputs!$B$24+Inputs!$B$28,IF(Skills!C22=2,90+Inputs!$B$25+Inputs!$B$28,IF(Skills!C22=3,120+Inputs!$B$26+Inputs!$B$28,MAX(0,(Inputs!$B$3-100)*3)+Inputs!$B$27+Inputs!$B$28)))</f>
        <v/>
      </c>
      <c r="E283">
        <f>INDEX(FactorTable!$B$2:$Y$301, MATCH(ROUND(MIN(300,MAX(1,D283)),0), FactorTable!$A$2:$A$301,0), Skills!M22+1)</f>
        <v/>
      </c>
      <c r="F283">
        <f>IF(Skills!N22=TRUE,(Skills!L22/10)*(E283/1000),Skills!L22/10)+Skills!O22</f>
        <v/>
      </c>
      <c r="G283">
        <f>Skills!G22*IF(Skills!H22&gt;0,Skills!I22/Skills!H22,1)</f>
        <v/>
      </c>
      <c r="H283">
        <f>1-(1-Skills!J22/100)^Skills!K22</f>
        <v/>
      </c>
      <c r="I283" t="inlineStr">
        <is>
          <t>1</t>
        </is>
      </c>
      <c r="J283" t="inlineStr"/>
      <c r="K283" t="inlineStr"/>
      <c r="L283" t="inlineStr"/>
      <c r="M283" t="inlineStr"/>
      <c r="N283" t="inlineStr"/>
      <c r="O283" t="n">
        <v>0</v>
      </c>
      <c r="P283">
        <f>IF(B296=0,0,O283/B296)</f>
        <v/>
      </c>
      <c r="Q283" t="n">
        <v>0</v>
      </c>
      <c r="R283" t="n">
        <v>0</v>
      </c>
      <c r="S283">
        <f>IFERROR(O283/N283,0)</f>
        <v/>
      </c>
    </row>
    <row r="284">
      <c r="A284">
        <f>Skills!A23</f>
        <v/>
      </c>
      <c r="B284">
        <f>Skills!B23</f>
        <v/>
      </c>
      <c r="C284">
        <f>Inputs!$B$3&gt;=120</f>
        <v/>
      </c>
      <c r="D284">
        <f>IF(Skills!C23=1,60+Inputs!$B$24+Inputs!$B$28,IF(Skills!C23=2,90+Inputs!$B$25+Inputs!$B$28,IF(Skills!C23=3,120+Inputs!$B$26+Inputs!$B$28,MAX(0,(Inputs!$B$3-100)*3)+Inputs!$B$27+Inputs!$B$28)))</f>
        <v/>
      </c>
      <c r="E284">
        <f>INDEX(FactorTable!$B$2:$Y$301, MATCH(ROUND(MIN(300,MAX(1,D284)),0), FactorTable!$A$2:$A$301,0), Skills!M23+1)</f>
        <v/>
      </c>
      <c r="F284">
        <f>IF(Skills!N23=TRUE,(Skills!L23/10)*(E284/1000),Skills!L23/10)+Skills!O23</f>
        <v/>
      </c>
      <c r="G284">
        <f>Skills!G23*IF(Skills!H23&gt;0,Skills!I23/Skills!H23,1)</f>
        <v/>
      </c>
      <c r="H284">
        <f>1-(1-Skills!J23/100)^Skills!K23</f>
        <v/>
      </c>
      <c r="I284" t="inlineStr">
        <is>
          <t>1</t>
        </is>
      </c>
      <c r="J284" t="inlineStr"/>
      <c r="K284" t="inlineStr"/>
      <c r="L284" t="inlineStr"/>
      <c r="M284" t="inlineStr"/>
      <c r="N284" t="inlineStr"/>
      <c r="O284" t="n">
        <v>0</v>
      </c>
      <c r="P284">
        <f>IF(B296=0,0,O284/B296)</f>
        <v/>
      </c>
      <c r="Q284" t="n">
        <v>0</v>
      </c>
      <c r="R284" t="n">
        <v>0</v>
      </c>
      <c r="S284">
        <f>IFERROR(O284/N284,0)</f>
        <v/>
      </c>
    </row>
    <row r="285">
      <c r="A285">
        <f>Skills!A24</f>
        <v/>
      </c>
      <c r="B285">
        <f>Skills!B24</f>
        <v/>
      </c>
      <c r="C285">
        <f>Inputs!$B$3&gt;=120</f>
        <v/>
      </c>
      <c r="D285">
        <f>IF(Skills!C24=1,60+Inputs!$B$24+Inputs!$B$28,IF(Skills!C24=2,90+Inputs!$B$25+Inputs!$B$28,IF(Skills!C24=3,120+Inputs!$B$26+Inputs!$B$28,MAX(0,(Inputs!$B$3-100)*3)+Inputs!$B$27+Inputs!$B$28)))</f>
        <v/>
      </c>
      <c r="E285">
        <f>INDEX(FactorTable!$B$2:$Y$301, MATCH(ROUND(MIN(300,MAX(1,D285)),0), FactorTable!$A$2:$A$301,0), Skills!M24+1)</f>
        <v/>
      </c>
      <c r="F285">
        <f>IF(Skills!N24=TRUE,(Skills!L24/10)*(E285/1000),Skills!L24/10)+Skills!O24</f>
        <v/>
      </c>
      <c r="G285">
        <f>Skills!G24*IF(Skills!H24&gt;0,Skills!I24/Skills!H24,1)</f>
        <v/>
      </c>
      <c r="H285">
        <f>1-(1-Skills!J24/100)^Skills!K24</f>
        <v/>
      </c>
      <c r="I285" t="inlineStr">
        <is>
          <t>1</t>
        </is>
      </c>
      <c r="J285" t="inlineStr"/>
      <c r="K285" t="inlineStr"/>
      <c r="L285" t="inlineStr"/>
      <c r="M285" t="inlineStr"/>
      <c r="N285" t="inlineStr"/>
      <c r="O285" t="n">
        <v>0</v>
      </c>
      <c r="P285">
        <f>IF(B296=0,0,O285/B296)</f>
        <v/>
      </c>
      <c r="Q285" t="n">
        <v>0</v>
      </c>
      <c r="R285" t="n">
        <v>0</v>
      </c>
      <c r="S285">
        <f>IFERROR(O285/N285,0)</f>
        <v/>
      </c>
    </row>
    <row r="287">
      <c r="A287" t="inlineStr">
        <is>
          <t>Attack% Bucket Multiplier</t>
        </is>
      </c>
      <c r="B287">
        <f>(1+(((C274=TRUE)*F274*MIN(1,Skills!T13*(Skills!J13/100)*B292))+((C279=TRUE)*F279*IF(AND(Inputs!$B$4&lt;&gt;"pvp",Inputs!$B$35&gt;0),(((S279-1)*(Skills!T18*(1+Inputs!$B$33/100))+MIN((Skills!T18*(1+Inputs!$B$33/100)),MAX(0,Inputs!$B$35-((S279-1)*Skills!D18))))/Inputs!$B$35),IF(Inputs!$B$4="pvp",MIN((Skills!T18*(1+Inputs!$B$33/100)),15)/15,(Skills!T18*(1+Inputs!$B$33/100))/Skills!D18)))+0)/100)</f>
        <v/>
      </c>
    </row>
    <row r="288">
      <c r="A288" t="inlineStr">
        <is>
          <t>Global Crit Rate Bonus %</t>
        </is>
      </c>
      <c r="B288" t="n">
        <v>0</v>
      </c>
    </row>
    <row r="289">
      <c r="A289" t="inlineStr">
        <is>
          <t>Attack Speed Buff Bonus %</t>
        </is>
      </c>
      <c r="B289">
        <f>((C280=TRUE)*F280*IF(AND(Inputs!$B$4&lt;&gt;"pvp",Inputs!$B$35&gt;0),(((S280-1)*(Skills!T19*(1+Inputs!$B$33/100))+MIN((Skills!T19*(1+Inputs!$B$33/100)),MAX(0,Inputs!$B$35-((S280-1)*Skills!D19))))/Inputs!$B$35),IF(Inputs!$B$4="pvp",MIN((Skills!T19*(1+Inputs!$B$33/100)),15)/15,(Skills!T19*(1+Inputs!$B$33/100))/Skills!D19)))</f>
        <v/>
      </c>
    </row>
    <row r="290">
      <c r="A290" t="inlineStr">
        <is>
          <t>Actions Per Second</t>
        </is>
      </c>
      <c r="B290">
        <f>1+MIN(150,150*(1-(1-(Inputs!$B$10+((C281=TRUE)*(F281-Calc!F20)))/150)*(1-B289/150)))/100</f>
        <v/>
      </c>
    </row>
    <row r="291">
      <c r="A291" t="inlineStr">
        <is>
          <t>Skill + Buff Cast Rate</t>
        </is>
      </c>
      <c r="B291">
        <f>IF(AND(Inputs!$B$4&lt;&gt;"pvp",Inputs!$B$35&gt;0),SUMPRODUCT((Skills!E2:E24=TRUE)*(C263:C285=TRUE)*R263:R285*Skills!F2:F24)/Inputs!$B$35,SUMPRODUCT((Skills!E2:E24=TRUE)*(C263:C285=TRUE)*Q263:Q285*Skills!F2:F24))</f>
        <v/>
      </c>
    </row>
    <row r="292">
      <c r="A292" t="inlineStr">
        <is>
          <t>Blast Casts Per Second</t>
        </is>
      </c>
      <c r="B292">
        <f>MAX(0,B290-B291)</f>
        <v/>
      </c>
    </row>
    <row r="293">
      <c r="A293" t="inlineStr">
        <is>
          <t>Global Critical Damage Bonus % (unused)</t>
        </is>
      </c>
      <c r="B293" t="n">
        <v>0</v>
      </c>
    </row>
    <row r="294">
      <c r="A294" t="inlineStr">
        <is>
          <t>Global Final Damage Bonus % (Divine Shield + Guardian + Divine Blessing + Greater Vessel of Light)</t>
        </is>
      </c>
      <c r="B294">
        <f>((C276=TRUE)*F276*IF(AND(Inputs!$B$4&lt;&gt;"pvp",Inputs!$B$35&gt;0),(((S276-1)*(Skills!T15*(1+Inputs!$B$33/100))+MIN((Skills!T15*(1+Inputs!$B$33/100)),MAX(0,Inputs!$B$35-((S276-1)*Skills!D15))))/Inputs!$B$35),IF(Inputs!$B$4="pvp",MIN((Skills!T15*(1+Inputs!$B$33/100)),15)/15,(Skills!T15*(1+Inputs!$B$33/100))/Skills!D15)))+((C277=TRUE)*F277*IF(AND(Inputs!$B$4&lt;&gt;"pvp",Inputs!$B$35&gt;0),(((S277-1)*(Skills!T16*(1+Inputs!$B$33/100))+MIN((Skills!T16*(1+Inputs!$B$33/100)),MAX(0,Inputs!$B$35-((S277-1)*Skills!D16))))/Inputs!$B$35),IF(Inputs!$B$4="pvp",MIN((Skills!T16*(1+Inputs!$B$33/100)),15)/15,(Skills!T16*(1+Inputs!$B$33/100))/Skills!D16)))+((C278=TRUE)*F278*IF(AND(Inputs!$B$4&lt;&gt;"pvp",Inputs!$B$35&gt;0),(((S278-1)*(Skills!T17*(1+Inputs!$B$33/100))+MIN((Skills!T17*(1+Inputs!$B$33/100)),MAX(0,Inputs!$B$35-((S278-1)*Skills!D17))))/Inputs!$B$35),IF(Inputs!$B$4="pvp",MIN((Skills!T17*(1+Inputs!$B$33/100)),15)/15,(Skills!T17*(1+Inputs!$B$33/100))/Skills!D17)))+((C275=TRUE)*F275*MIN(1,Skills!T13*(Skills!J13/100)*B292))</f>
        <v/>
      </c>
    </row>
    <row r="296">
      <c r="A296" s="5" t="inlineStr">
        <is>
          <t>TOTAL DPS</t>
        </is>
      </c>
      <c r="B296" s="5">
        <f>SUM(O263:O285)</f>
        <v/>
      </c>
    </row>
    <row r="299">
      <c r="A299" s="5" t="inlineStr">
        <is>
          <t>Stat: FINAL_DAMAGE % (multiplicative source)</t>
        </is>
      </c>
    </row>
    <row r="300">
      <c r="A300" s="8" t="inlineStr">
        <is>
          <t>Key</t>
        </is>
      </c>
      <c r="B300" s="8" t="inlineStr">
        <is>
          <t>Name</t>
        </is>
      </c>
      <c r="C300" s="8" t="inlineStr">
        <is>
          <t>Unlocked</t>
        </is>
      </c>
      <c r="D300" s="8" t="inlineStr">
        <is>
          <t>InputLevel</t>
        </is>
      </c>
      <c r="E300" s="8" t="inlineStr">
        <is>
          <t>Factor</t>
        </is>
      </c>
      <c r="F300" s="8" t="inlineStr">
        <is>
          <t>CoefficientPercent</t>
        </is>
      </c>
      <c r="G300" s="8" t="inlineStr">
        <is>
          <t>EffectiveHits</t>
        </is>
      </c>
      <c r="H300" s="8" t="inlineStr">
        <is>
          <t>ProcProbability</t>
        </is>
      </c>
      <c r="I300" s="8" t="inlineStr">
        <is>
          <t>MapleHeroMultiplier</t>
        </is>
      </c>
      <c r="J300" s="8" t="inlineStr">
        <is>
          <t>BaseDamage</t>
        </is>
      </c>
      <c r="K300" s="8" t="inlineStr">
        <is>
          <t>BaseHitDamage</t>
        </is>
      </c>
      <c r="L300" s="8" t="inlineStr">
        <is>
          <t>NonCritAvg</t>
        </is>
      </c>
      <c r="M300" s="8" t="inlineStr">
        <is>
          <t>CritAvg</t>
        </is>
      </c>
      <c r="N300" s="8" t="inlineStr">
        <is>
          <t>ExpectedDamage(perHit)</t>
        </is>
      </c>
      <c r="O300" s="8" t="inlineStr">
        <is>
          <t>DPS</t>
        </is>
      </c>
      <c r="P300" s="8" t="inlineStr">
        <is>
          <t>% of Total</t>
        </is>
      </c>
      <c r="Q300" s="8" t="inlineStr">
        <is>
          <t>InvCooldown</t>
        </is>
      </c>
      <c r="R300" s="8" t="inlineStr">
        <is>
          <t>CastsInFight</t>
        </is>
      </c>
      <c r="S300" s="8" t="inlineStr">
        <is>
          <t>HitRate(perSec)</t>
        </is>
      </c>
      <c r="U300" t="inlineStr">
        <is>
          <t>helpers</t>
        </is>
      </c>
    </row>
    <row r="301">
      <c r="A301">
        <f>Skills!A2</f>
        <v/>
      </c>
      <c r="B301">
        <f>Skills!B2</f>
        <v/>
      </c>
      <c r="C301">
        <f>Inputs!$B$3&gt;=100</f>
        <v/>
      </c>
      <c r="D301" t="inlineStr"/>
      <c r="E301" t="inlineStr"/>
      <c r="F301">
        <f>U303+Skills!O2</f>
        <v/>
      </c>
      <c r="G301">
        <f>Skills!G2*IF(Skills!H2&gt;0,Skills!I2/Skills!H2,1)</f>
        <v/>
      </c>
      <c r="H301">
        <f>1-(1-Skills!J2/100)^Skills!K2</f>
        <v/>
      </c>
      <c r="I301" t="inlineStr">
        <is>
          <t>1</t>
        </is>
      </c>
      <c r="J301">
        <f>(Inputs!$B$5*(1+Inputs!$B$6/100))*(F301/100)</f>
        <v/>
      </c>
      <c r="K301">
        <f>J301*(1+((Inputs!$B$11*(1+Inputs!$B$12/100))*0.01+Inputs!$B$13*0.0025)/100)*(1+Inputs!$B$14/100)*(1+IF(Inputs!$B$4="pvp",0,(1-Summary!$B$55)*(Inputs!$B$19+0+Skills!P2)+Summary!$B$55*(Inputs!$B$20+Skills!Q2))/100)*(1+Inputs!$B$15/100)*(5000/(6000+Inputs!$B$7*(1-(Inputs!$B$18+0)/100)))*(1+(((((1+Inputs!$B$23/100)*(1.01))-1)*100)+0+B332)/100)*(1+(IF(Skills!A2="BLAST",Inputs!$B$16+((C320=TRUE)*(F320-Calc!F21)),Inputs!$B$17+((C322=TRUE)*(F322-Calc!F23))))/100)*((1+(((C312=TRUE)*F312*MIN(1,Skills!T13*(Skills!J13/100)*B330))+((C317=TRUE)*F317*IF(AND(Inputs!$B$4&lt;&gt;"pvp",Inputs!$B$35&gt;0),(((S317-1)*(Skills!T18*(1+Inputs!$B$33/100))+MIN((Skills!T18*(1+Inputs!$B$33/100)),MAX(0,Inputs!$B$35-((S317-1)*Skills!D18))))/Inputs!$B$35),IF(Inputs!$B$4="pvp",MIN((Skills!T18*(1+Inputs!$B$33/100)),15)/15,(Skills!T18*(1+Inputs!$B$33/100))/Skills!D18)))+0)/100)*I301)</f>
        <v/>
      </c>
      <c r="L301">
        <f>K301*(MIN(Inputs!$B$21+((C321=TRUE)*(F321-Calc!F22)),Inputs!$B$22+((C323=TRUE)*(F323-Calc!F24)))/100+(Inputs!$B$22+((C323=TRUE)*(F323-Calc!F24)))/100)/2</f>
        <v/>
      </c>
      <c r="M301">
        <f>L301*(1+(Inputs!$B$9+0+B331)/100)</f>
        <v/>
      </c>
      <c r="N301">
        <f>L301*(1-MIN((Inputs!$B$8+0+B326),100)/100)+M301*(MIN((Inputs!$B$8+0+B326),100)/100)</f>
        <v/>
      </c>
      <c r="O301">
        <f>IF(C301,Skills!G2*N301*B330*IF(Inputs!$B$4="pvp",1,(1-Summary!$B$55)*(1)+Summary!$B$55*(MIN((6+Inputs!$B$32),Inputs!$B$37))),0)</f>
        <v/>
      </c>
      <c r="P301">
        <f>IF(B334=0,0,O301/B334)</f>
        <v/>
      </c>
      <c r="Q301" t="n">
        <v>0</v>
      </c>
      <c r="R301" t="n">
        <v>0</v>
      </c>
      <c r="S301">
        <f>IFERROR(O301/N301,0)</f>
        <v/>
      </c>
      <c r="U301">
        <f>MAX(0,(Inputs!$B$3-100)*3)+Inputs!$B$27+Inputs!$B$28</f>
        <v/>
      </c>
    </row>
    <row r="302">
      <c r="A302">
        <f>Skills!A3</f>
        <v/>
      </c>
      <c r="B302">
        <f>Skills!B3</f>
        <v/>
      </c>
      <c r="C302">
        <f>Inputs!$B$3&gt;=50</f>
        <v/>
      </c>
      <c r="D302">
        <f>IF(Skills!C3=1,60+Inputs!$B$24+Inputs!$B$28,IF(Skills!C3=2,90+Inputs!$B$25+Inputs!$B$28,IF(Skills!C3=3,120+Inputs!$B$26+Inputs!$B$28,MAX(0,(Inputs!$B$3-100)*3)+Inputs!$B$27+Inputs!$B$28)))</f>
        <v/>
      </c>
      <c r="E302">
        <f>INDEX(FactorTable!$B$2:$Y$301, MATCH(ROUND(MIN(300,MAX(1,D302)),0), FactorTable!$A$2:$A$301,0), Skills!M3+1)</f>
        <v/>
      </c>
      <c r="F302">
        <f>IF(Skills!N3=TRUE,(Skills!L3/10)*(E302/1000),Skills!L3/10)+Skills!O3</f>
        <v/>
      </c>
      <c r="G302" t="inlineStr"/>
      <c r="H302" t="inlineStr"/>
      <c r="I302" t="inlineStr">
        <is>
          <t>1</t>
        </is>
      </c>
      <c r="J302" t="inlineStr"/>
      <c r="K302" t="inlineStr"/>
      <c r="L302" t="inlineStr"/>
      <c r="M302" t="inlineStr"/>
      <c r="N302" t="inlineStr"/>
      <c r="O302" t="inlineStr"/>
      <c r="P302" t="inlineStr"/>
      <c r="Q302" t="inlineStr"/>
      <c r="R302" t="inlineStr"/>
      <c r="S302" t="inlineStr"/>
      <c r="U302">
        <f>INDEX(FactorTable!$B$2:$Y$301, MATCH(ROUND(MIN(300,MAX(1,U301)),0), FactorTable!$A$2:$A$301,0), 22)</f>
        <v/>
      </c>
    </row>
    <row r="303">
      <c r="A303">
        <f>Skills!A4</f>
        <v/>
      </c>
      <c r="B303">
        <f>Skills!B4</f>
        <v/>
      </c>
      <c r="C303">
        <f>Inputs!$B$3&gt;=35</f>
        <v/>
      </c>
      <c r="D303">
        <f>IF(Skills!C4=1,60+Inputs!$B$24+Inputs!$B$28,IF(Skills!C4=2,90+Inputs!$B$25+Inputs!$B$28,IF(Skills!C4=3,120+Inputs!$B$26+Inputs!$B$28,MAX(0,(Inputs!$B$3-100)*3)+Inputs!$B$27+Inputs!$B$28)))</f>
        <v/>
      </c>
      <c r="E303">
        <f>INDEX(FactorTable!$B$2:$Y$301, MATCH(ROUND(MIN(300,MAX(1,D303)),0), FactorTable!$A$2:$A$301,0), Skills!M4+1)</f>
        <v/>
      </c>
      <c r="F303">
        <f>IF(Skills!N4=TRUE,(Skills!L4/10)*(E303/1000),Skills!L4/10)+Skills!O4</f>
        <v/>
      </c>
      <c r="G303">
        <f>Skills!G4*IF(Skills!H4&gt;0,Skills!I4/Skills!H4,1)</f>
        <v/>
      </c>
      <c r="H303">
        <f>1-(1-Skills!J4/100)^Skills!K4</f>
        <v/>
      </c>
      <c r="I303" t="inlineStr">
        <is>
          <t>1</t>
        </is>
      </c>
      <c r="J303">
        <f>(Inputs!$B$5*(1+Inputs!$B$6/100))*(F303/100)</f>
        <v/>
      </c>
      <c r="K303">
        <f>J303*(1+((Inputs!$B$11*(1+Inputs!$B$12/100))*0.01+Inputs!$B$13*0.0025)/100)*(1+Inputs!$B$14/100)*(1+IF(Inputs!$B$4="pvp",0,(1-Summary!$B$55)*(Inputs!$B$19+0+Skills!P4)+Summary!$B$55*(Inputs!$B$20+Skills!Q4))/100)*(1+Inputs!$B$15/100)*(5000/(6000+Inputs!$B$7*(1-(Inputs!$B$18+0)/100)))*(1+(((((1+Inputs!$B$23/100)*(1.01))-1)*100)+0+B332)/100)*(1+4.0*IF(C311=TRUE,F311,0)/100)*(1+(IF(Skills!A4="BLAST",Inputs!$B$16+((C320=TRUE)*(F320-Calc!F21)),Inputs!$B$17+((C322=TRUE)*(F322-Calc!F23))))/100)*((1+(((C312=TRUE)*F312*MIN(1,Skills!T13*(Skills!J13/100)*B330))+((C317=TRUE)*F317*IF(AND(Inputs!$B$4&lt;&gt;"pvp",Inputs!$B$35&gt;0),(((S317-1)*(Skills!T18*(1+Inputs!$B$33/100))+MIN((Skills!T18*(1+Inputs!$B$33/100)),MAX(0,Inputs!$B$35-((S317-1)*Skills!D18))))/Inputs!$B$35),IF(Inputs!$B$4="pvp",MIN((Skills!T18*(1+Inputs!$B$33/100)),15)/15,(Skills!T18*(1+Inputs!$B$33/100))/Skills!D18)))+0)/100)*I303)</f>
        <v/>
      </c>
      <c r="L303">
        <f>K303*(MIN(Inputs!$B$21+((C321=TRUE)*(F321-Calc!F22)),Inputs!$B$22+((C323=TRUE)*(F323-Calc!F24)))/100+(Inputs!$B$22+((C323=TRUE)*(F323-Calc!F24)))/100)/2</f>
        <v/>
      </c>
      <c r="M303">
        <f>L303*(1+(Inputs!$B$9+0+B331)/100)</f>
        <v/>
      </c>
      <c r="N303">
        <f>L303*(1-MIN((Inputs!$B$8+0+B326),100)/100)+M303*(MIN((Inputs!$B$8+0+B326),100)/100)</f>
        <v/>
      </c>
      <c r="O303">
        <f>IF(C303,H303*N303*IF(AND(Inputs!$B$4&lt;&gt;"pvp",Inputs!$B$35&gt;0),((Skills!G4*((R303-1)*IF(Skills!H4&gt;0,Skills!I4/Skills!H4,1)+IF(Skills!H4&gt;0,MIN(Skills!I4,MAX(0,Inputs!$B$35-((R303-1)*IF(Inputs!$B$4="pvp",15,MAX(0.1,Skills!D4-IF(Skills!E4=TRUE,Inputs!$B$31,0))))))/Skills!H4,1)))/Inputs!$B$35),G303*Q303)*IF(Inputs!$B$4="pvp",1,(1-Summary!$B$55)*(1)+Summary!$B$55*(MIN(Skills!R4,Inputs!$B$37))),0)</f>
        <v/>
      </c>
      <c r="P303">
        <f>IF(B334=0,0,O303/B334)</f>
        <v/>
      </c>
      <c r="Q303">
        <f>IFERROR(1/IF(Inputs!$B$4="pvp",15,MAX(0.1,Skills!D4-IF(Skills!E4=TRUE,Inputs!$B$31,0))),0)</f>
        <v/>
      </c>
      <c r="R303">
        <f>IF(AND(Inputs!$B$4&lt;&gt;"pvp",Inputs!$B$35&gt;0),(INT(Inputs!$B$35/IF(Inputs!$B$4="pvp",15,MAX(0.1,Skills!D4-IF(Skills!E4=TRUE,Inputs!$B$31,0))))+1),0)</f>
        <v/>
      </c>
      <c r="S303">
        <f>IFERROR(O303/N303,0)</f>
        <v/>
      </c>
      <c r="U303">
        <f>290*U302/1000</f>
        <v/>
      </c>
    </row>
    <row r="304">
      <c r="A304">
        <f>Skills!A5</f>
        <v/>
      </c>
      <c r="B304">
        <f>Skills!B5</f>
        <v/>
      </c>
      <c r="C304">
        <f>Inputs!$B$3&gt;=66</f>
        <v/>
      </c>
      <c r="D304">
        <f>IF(Skills!C5=1,60+Inputs!$B$24+Inputs!$B$28,IF(Skills!C5=2,90+Inputs!$B$25+Inputs!$B$28,IF(Skills!C5=3,120+Inputs!$B$26+Inputs!$B$28,MAX(0,(Inputs!$B$3-100)*3)+Inputs!$B$27+Inputs!$B$28)))</f>
        <v/>
      </c>
      <c r="E304">
        <f>INDEX(FactorTable!$B$2:$Y$301, MATCH(ROUND(MIN(300,MAX(1,D304)),0), FactorTable!$A$2:$A$301,0), Skills!M5+1)</f>
        <v/>
      </c>
      <c r="F304">
        <f>IF(Skills!N5=TRUE,(Skills!L5/10)*(E304/1000),Skills!L5/10)+Skills!O5</f>
        <v/>
      </c>
      <c r="G304">
        <f>Skills!G5*IF(Skills!H5&gt;0,Skills!I5/Skills!H5,1)</f>
        <v/>
      </c>
      <c r="H304">
        <f>1-(1-Skills!J5/100)^Skills!K5</f>
        <v/>
      </c>
      <c r="I304" t="inlineStr">
        <is>
          <t>1</t>
        </is>
      </c>
      <c r="J304">
        <f>(Inputs!$B$5*(1+Inputs!$B$6/100))*(F304/100)</f>
        <v/>
      </c>
      <c r="K304">
        <f>J304*(1+((Inputs!$B$11*(1+Inputs!$B$12/100))*0.01+Inputs!$B$13*0.0025)/100)*(1+Inputs!$B$14/100)*(1+IF(Inputs!$B$4="pvp",0,(1-Summary!$B$55)*(Inputs!$B$19+0+Skills!P5)+Summary!$B$55*(Inputs!$B$20+Skills!Q5))/100)*(1+Inputs!$B$15/100)*(5000/(6000+Inputs!$B$7*(1-(Inputs!$B$18+0)/100)))*(1+(((((1+Inputs!$B$23/100)*(1.01))-1)*100)+0+B332)/100)*(1+1.0*IF(C311=TRUE,F311,0)/100)*(1+(IF(Skills!A5="BLAST",Inputs!$B$16+((C320=TRUE)*(F320-Calc!F21)),Inputs!$B$17+((C322=TRUE)*(F322-Calc!F23))))/100)*((1+(((C312=TRUE)*F312*MIN(1,Skills!T13*(Skills!J13/100)*B330))+((C317=TRUE)*F317*IF(AND(Inputs!$B$4&lt;&gt;"pvp",Inputs!$B$35&gt;0),(((S317-1)*(Skills!T18*(1+Inputs!$B$33/100))+MIN((Skills!T18*(1+Inputs!$B$33/100)),MAX(0,Inputs!$B$35-((S317-1)*Skills!D18))))/Inputs!$B$35),IF(Inputs!$B$4="pvp",MIN((Skills!T18*(1+Inputs!$B$33/100)),15)/15,(Skills!T18*(1+Inputs!$B$33/100))/Skills!D18)))+0)/100)*I304)</f>
        <v/>
      </c>
      <c r="L304">
        <f>K304*(MIN(Inputs!$B$21+((C321=TRUE)*(F321-Calc!F22)),Inputs!$B$22+((C323=TRUE)*(F323-Calc!F24)))/100+(Inputs!$B$22+((C323=TRUE)*(F323-Calc!F24)))/100)/2</f>
        <v/>
      </c>
      <c r="M304">
        <f>L304*(1+(Inputs!$B$9+0+B331)/100)</f>
        <v/>
      </c>
      <c r="N304">
        <f>L304*(1-MIN((Inputs!$B$8+0+B326),100)/100)+M304*(MIN((Inputs!$B$8+0+B326),100)/100)</f>
        <v/>
      </c>
      <c r="O304">
        <f>IF(C304,H304*N304*IF(AND(Inputs!$B$4&lt;&gt;"pvp",Inputs!$B$35&gt;0),((Skills!G5*((R304-1)*IF(Skills!H5&gt;0,Skills!I5/Skills!H5,1)+IF(Skills!H5&gt;0,MIN(Skills!I5,MAX(0,Inputs!$B$35-((R304-1)*IF(Inputs!$B$4="pvp",15,MAX(0.1,Skills!D5-IF(Skills!E5=TRUE,Inputs!$B$31,0))))))/Skills!H5,1)))/Inputs!$B$35),G304*Q304)*IF(Inputs!$B$4="pvp",1,(1-Summary!$B$55)*(1)+Summary!$B$55*(MIN(Skills!R5,Inputs!$B$37))),0)</f>
        <v/>
      </c>
      <c r="P304">
        <f>IF(B334=0,0,O304/B334)</f>
        <v/>
      </c>
      <c r="Q304">
        <f>IFERROR(1/IF(Inputs!$B$4="pvp",15,MAX(0.1,Skills!D5-IF(Skills!E5=TRUE,Inputs!$B$31,0))),0)</f>
        <v/>
      </c>
      <c r="R304">
        <f>IF(AND(Inputs!$B$4&lt;&gt;"pvp",Inputs!$B$35&gt;0),(INT(Inputs!$B$35/IF(Inputs!$B$4="pvp",15,MAX(0.1,Skills!D5-IF(Skills!E5=TRUE,Inputs!$B$31,0))))+1),0)</f>
        <v/>
      </c>
      <c r="S304">
        <f>IFERROR(O304/N304,0)</f>
        <v/>
      </c>
    </row>
    <row r="305">
      <c r="A305">
        <f>Skills!A6</f>
        <v/>
      </c>
      <c r="B305">
        <f>Skills!B6</f>
        <v/>
      </c>
      <c r="C305">
        <f>Inputs!$B$3&gt;=103</f>
        <v/>
      </c>
      <c r="D305">
        <f>IF(Skills!C6=1,60+Inputs!$B$24+Inputs!$B$28,IF(Skills!C6=2,90+Inputs!$B$25+Inputs!$B$28,IF(Skills!C6=3,120+Inputs!$B$26+Inputs!$B$28,MAX(0,(Inputs!$B$3-100)*3)+Inputs!$B$27+Inputs!$B$28)))</f>
        <v/>
      </c>
      <c r="E305">
        <f>INDEX(FactorTable!$B$2:$Y$301, MATCH(ROUND(MIN(300,MAX(1,D305)),0), FactorTable!$A$2:$A$301,0), Skills!M6+1)</f>
        <v/>
      </c>
      <c r="F305">
        <f>IF(Skills!N6=TRUE,(Skills!L6/10)*(E305/1000),Skills!L6/10)+Skills!O6</f>
        <v/>
      </c>
      <c r="G305">
        <f>Skills!G6*IF(Skills!H6&gt;0,Skills!I6/Skills!H6,1)</f>
        <v/>
      </c>
      <c r="H305">
        <f>1-(1-Skills!J6/100)^Skills!K6</f>
        <v/>
      </c>
      <c r="I305" t="inlineStr">
        <is>
          <t>1</t>
        </is>
      </c>
      <c r="J305">
        <f>(Inputs!$B$5*(1+Inputs!$B$6/100))*(F305/100)</f>
        <v/>
      </c>
      <c r="K305">
        <f>J305*(1+((Inputs!$B$11*(1+Inputs!$B$12/100))*0.01+Inputs!$B$13*0.0025)/100)*(1+Inputs!$B$14/100)*(1+IF(Inputs!$B$4="pvp",0,(1-Summary!$B$55)*(Inputs!$B$19+0+Skills!P6)+Summary!$B$55*(Inputs!$B$20+Skills!Q6))/100)*(1+Inputs!$B$15/100)*(5000/(6000+Inputs!$B$7*(1-(Inputs!$B$18+0)/100)))*(1+(((((1+Inputs!$B$23/100)*(1.01))-1)*100)+0+B332)/100)*(1+(IF(Skills!A6="BLAST",Inputs!$B$16+((C320=TRUE)*(F320-Calc!F21)),Inputs!$B$17+((C322=TRUE)*(F322-Calc!F23))))/100)*((1+(((C312=TRUE)*F312*MIN(1,Skills!T13*(Skills!J13/100)*B330))+((C317=TRUE)*F317*IF(AND(Inputs!$B$4&lt;&gt;"pvp",Inputs!$B$35&gt;0),(((S317-1)*(Skills!T18*(1+Inputs!$B$33/100))+MIN((Skills!T18*(1+Inputs!$B$33/100)),MAX(0,Inputs!$B$35-((S317-1)*Skills!D18))))/Inputs!$B$35),IF(Inputs!$B$4="pvp",MIN((Skills!T18*(1+Inputs!$B$33/100)),15)/15,(Skills!T18*(1+Inputs!$B$33/100))/Skills!D18)))+0)/100)*I305)</f>
        <v/>
      </c>
      <c r="L305">
        <f>K305*(MIN(Inputs!$B$21+((C321=TRUE)*(F321-Calc!F22)),Inputs!$B$22+((C323=TRUE)*(F323-Calc!F24)))/100+(Inputs!$B$22+((C323=TRUE)*(F323-Calc!F24)))/100)/2</f>
        <v/>
      </c>
      <c r="M305">
        <f>L305*(1+(Inputs!$B$9+0+B331)/100)</f>
        <v/>
      </c>
      <c r="N305">
        <f>L305*(1-MIN((Inputs!$B$8+0+B326),100)/100)+M305*(MIN((Inputs!$B$8+0+B326),100)/100)</f>
        <v/>
      </c>
      <c r="O305">
        <f>IF(C305,H305*N305*IF(AND(Inputs!$B$4&lt;&gt;"pvp",Inputs!$B$35&gt;0),((Skills!G6*((R305-1)*IF(Skills!H6&gt;0,Skills!I6/Skills!H6,1)+IF(Skills!H6&gt;0,MIN(Skills!I6,MAX(0,Inputs!$B$35-((R305-1)*IF(Inputs!$B$4="pvp",15,MAX(0.1,Skills!D6-IF(Skills!E6=TRUE,Inputs!$B$31,0))))))/Skills!H6,1)))/Inputs!$B$35),G305*Q305)*IF(Inputs!$B$4="pvp",1,(1-Summary!$B$55)*(1)+Summary!$B$55*(MIN(Skills!R6,Inputs!$B$37))),0)</f>
        <v/>
      </c>
      <c r="P305">
        <f>IF(B334=0,0,O305/B334)</f>
        <v/>
      </c>
      <c r="Q305">
        <f>IFERROR(1/IF(Inputs!$B$4="pvp",15,MAX(0.1,Skills!D6-IF(Skills!E6=TRUE,Inputs!$B$31,0))),0)</f>
        <v/>
      </c>
      <c r="R305">
        <f>IF(AND(Inputs!$B$4&lt;&gt;"pvp",Inputs!$B$35&gt;0),(INT(Inputs!$B$35/IF(Inputs!$B$4="pvp",15,MAX(0.1,Skills!D6-IF(Skills!E6=TRUE,Inputs!$B$31,0))))+1),0)</f>
        <v/>
      </c>
      <c r="S305">
        <f>IFERROR(O305/N305,0)</f>
        <v/>
      </c>
    </row>
    <row r="306">
      <c r="A306">
        <f>Skills!A7</f>
        <v/>
      </c>
      <c r="B306">
        <f>Skills!B7</f>
        <v/>
      </c>
      <c r="C306">
        <f>Inputs!$B$3&gt;=107</f>
        <v/>
      </c>
      <c r="D306">
        <f>IF(Skills!C7=1,60+Inputs!$B$24+Inputs!$B$28,IF(Skills!C7=2,90+Inputs!$B$25+Inputs!$B$28,IF(Skills!C7=3,120+Inputs!$B$26+Inputs!$B$28,MAX(0,(Inputs!$B$3-100)*3)+Inputs!$B$27+Inputs!$B$28)))</f>
        <v/>
      </c>
      <c r="E306">
        <f>INDEX(FactorTable!$B$2:$Y$301, MATCH(ROUND(MIN(300,MAX(1,D306)),0), FactorTable!$A$2:$A$301,0), Skills!M7+1)</f>
        <v/>
      </c>
      <c r="F306">
        <f>IF(Skills!N7=TRUE,(Skills!L7/10)*(E306/1000),Skills!L7/10)+Skills!O7</f>
        <v/>
      </c>
      <c r="G306">
        <f>Skills!G7*IF(Skills!H7&gt;0,Skills!I7/Skills!H7,1)</f>
        <v/>
      </c>
      <c r="H306">
        <f>1-(1-Skills!J7/100)^Skills!K7</f>
        <v/>
      </c>
      <c r="I306" t="inlineStr">
        <is>
          <t>1</t>
        </is>
      </c>
      <c r="J306">
        <f>(Inputs!$B$5*(1+Inputs!$B$6/100))*(F306/100)</f>
        <v/>
      </c>
      <c r="K306">
        <f>J306*(1+((Inputs!$B$11*(1+Inputs!$B$12/100))*0.01+Inputs!$B$13*0.0025)/100)*(1+Inputs!$B$14/100)*(1+IF(Inputs!$B$4="pvp",0,(1-Summary!$B$55)*(Inputs!$B$19+0+Skills!P7)+Summary!$B$55*(Inputs!$B$20+Skills!Q7))/100)*(1+Inputs!$B$15/100)*(5000/(6000+Inputs!$B$7*(1-(Inputs!$B$18+0)/100)))*(1+(((((1+Inputs!$B$23/100)*(1.01))-1)*100)+0+B332)/100)*(1+(IF(Skills!A7="BLAST",Inputs!$B$16+((C320=TRUE)*(F320-Calc!F21)),Inputs!$B$17+((C322=TRUE)*(F322-Calc!F23))))/100)*((1+(((C312=TRUE)*F312*MIN(1,Skills!T13*(Skills!J13/100)*B330))+((C317=TRUE)*F317*IF(AND(Inputs!$B$4&lt;&gt;"pvp",Inputs!$B$35&gt;0),(((S317-1)*(Skills!T18*(1+Inputs!$B$33/100))+MIN((Skills!T18*(1+Inputs!$B$33/100)),MAX(0,Inputs!$B$35-((S317-1)*Skills!D18))))/Inputs!$B$35),IF(Inputs!$B$4="pvp",MIN((Skills!T18*(1+Inputs!$B$33/100)),15)/15,(Skills!T18*(1+Inputs!$B$33/100))/Skills!D18)))+0)/100)*I306)</f>
        <v/>
      </c>
      <c r="L306">
        <f>K306*(MIN(Inputs!$B$21+((C321=TRUE)*(F321-Calc!F22)),Inputs!$B$22+((C323=TRUE)*(F323-Calc!F24)))/100+(Inputs!$B$22+((C323=TRUE)*(F323-Calc!F24)))/100)/2</f>
        <v/>
      </c>
      <c r="M306">
        <f>L306*(1+(Inputs!$B$9+0+B331)/100)</f>
        <v/>
      </c>
      <c r="N306">
        <f>L306*(1-MIN((Inputs!$B$8+0+B326),100)/100)+M306*(MIN((Inputs!$B$8+0+B326),100)/100)</f>
        <v/>
      </c>
      <c r="O306">
        <f>IF(C306,H306*N306*IF(AND(Inputs!$B$4&lt;&gt;"pvp",Inputs!$B$35&gt;0),((Skills!G7*((R306-1)*IF(Skills!H7&gt;0,Skills!I7/Skills!H7,1)+IF(Skills!H7&gt;0,MIN(Skills!I7,MAX(0,Inputs!$B$35-((R306-1)*IF(Inputs!$B$4="pvp",15,MAX(0.1,Skills!D7-IF(Skills!E7=TRUE,Inputs!$B$31,0))))))/Skills!H7,1)))/Inputs!$B$35),G306*Q306)*IF(Inputs!$B$4="pvp",1,(1-Summary!$B$55)*(1)+Summary!$B$55*(MIN(Skills!R7,Inputs!$B$37))),0)</f>
        <v/>
      </c>
      <c r="P306">
        <f>IF(B334=0,0,O306/B334)</f>
        <v/>
      </c>
      <c r="Q306">
        <f>IFERROR(1/IF(Inputs!$B$4="pvp",15,MAX(0.1,Skills!D7-IF(Skills!E7=TRUE,Inputs!$B$31,0))),0)</f>
        <v/>
      </c>
      <c r="R306">
        <f>IF(AND(Inputs!$B$4&lt;&gt;"pvp",Inputs!$B$35&gt;0),(INT(Inputs!$B$35/IF(Inputs!$B$4="pvp",15,MAX(0.1,Skills!D7-IF(Skills!E7=TRUE,Inputs!$B$31,0))))+1),0)</f>
        <v/>
      </c>
      <c r="S306">
        <f>IFERROR(O306/N306,0)</f>
        <v/>
      </c>
    </row>
    <row r="307">
      <c r="A307">
        <f>Skills!A8</f>
        <v/>
      </c>
      <c r="B307">
        <f>Skills!B8</f>
        <v/>
      </c>
      <c r="C307">
        <f>Inputs!$B$3&gt;=107</f>
        <v/>
      </c>
      <c r="D307">
        <f>IF(Skills!C8=1,60+Inputs!$B$24+Inputs!$B$28,IF(Skills!C8=2,90+Inputs!$B$25+Inputs!$B$28,IF(Skills!C8=3,120+Inputs!$B$26+Inputs!$B$28,MAX(0,(Inputs!$B$3-100)*3)+Inputs!$B$27+Inputs!$B$28)))</f>
        <v/>
      </c>
      <c r="E307">
        <f>INDEX(FactorTable!$B$2:$Y$301, MATCH(ROUND(MIN(300,MAX(1,D307)),0), FactorTable!$A$2:$A$301,0), Skills!M8+1)</f>
        <v/>
      </c>
      <c r="F307">
        <f>IF(Skills!N8=TRUE,(Skills!L8/10)*(E307/1000),Skills!L8/10)+Skills!O8</f>
        <v/>
      </c>
      <c r="G307">
        <f>Skills!G8*IF(Skills!H8&gt;0,Skills!I8/Skills!H8,1)</f>
        <v/>
      </c>
      <c r="H307">
        <f>1-(1-Skills!J8/100)^Skills!K8</f>
        <v/>
      </c>
      <c r="I307" t="inlineStr">
        <is>
          <t>1</t>
        </is>
      </c>
      <c r="J307">
        <f>(Inputs!$B$5*(1+Inputs!$B$6/100))*(F307/100)</f>
        <v/>
      </c>
      <c r="K307">
        <f>J307*(1+((Inputs!$B$11*(1+Inputs!$B$12/100))*0.01+Inputs!$B$13*0.0025)/100)*(1+Inputs!$B$14/100)*(1+IF(Inputs!$B$4="pvp",0,(1-Summary!$B$55)*(Inputs!$B$19+0+Skills!P8)+Summary!$B$55*(Inputs!$B$20+Skills!Q8))/100)*(1+Inputs!$B$15/100)*(5000/(6000+Inputs!$B$7*(1-(Inputs!$B$18+0)/100)))*(1+(((((1+Inputs!$B$23/100)*(1.01))-1)*100)+0+B332)/100)*(1+(IF(Skills!A8="BLAST",Inputs!$B$16+((C320=TRUE)*(F320-Calc!F21)),Inputs!$B$17+((C322=TRUE)*(F322-Calc!F23))))/100)*((1+(((C312=TRUE)*F312*MIN(1,Skills!T13*(Skills!J13/100)*B330))+((C317=TRUE)*F317*IF(AND(Inputs!$B$4&lt;&gt;"pvp",Inputs!$B$35&gt;0),(((S317-1)*(Skills!T18*(1+Inputs!$B$33/100))+MIN((Skills!T18*(1+Inputs!$B$33/100)),MAX(0,Inputs!$B$35-((S317-1)*Skills!D18))))/Inputs!$B$35),IF(Inputs!$B$4="pvp",MIN((Skills!T18*(1+Inputs!$B$33/100)),15)/15,(Skills!T18*(1+Inputs!$B$33/100))/Skills!D18)))+0)/100)*I307)</f>
        <v/>
      </c>
      <c r="L307">
        <f>K307*(MIN(Inputs!$B$21+((C321=TRUE)*(F321-Calc!F22)),Inputs!$B$22+((C323=TRUE)*(F323-Calc!F24)))/100+(Inputs!$B$22+((C323=TRUE)*(F323-Calc!F24)))/100)/2</f>
        <v/>
      </c>
      <c r="M307">
        <f>L307*(1+(Inputs!$B$9+0+B331)/100)</f>
        <v/>
      </c>
      <c r="N307">
        <f>L307*(1-MIN((Inputs!$B$8+0+B326),100)/100)+M307*(MIN((Inputs!$B$8+0+B326),100)/100)</f>
        <v/>
      </c>
      <c r="O307">
        <f>IF(C307,H307*N307*IF(AND(Inputs!$B$4&lt;&gt;"pvp",Inputs!$B$35&gt;0),((Skills!G8*((R307-1)*IF(Skills!H8&gt;0,Skills!I8/Skills!H8,1)+IF(Skills!H8&gt;0,MIN(Skills!I8,MAX(0,Inputs!$B$35-((R307-1)*IF(Inputs!$B$4="pvp",15,MAX(0.1,Skills!D8-IF(Skills!E8=TRUE,Inputs!$B$31,0))))))/Skills!H8,1)))/Inputs!$B$35),G307*Q307)*IF(Inputs!$B$4="pvp",1,(1-Summary!$B$55)*(1)+Summary!$B$55*(MIN(Skills!R8,Inputs!$B$37))),0)</f>
        <v/>
      </c>
      <c r="P307">
        <f>IF(B334=0,0,O307/B334)</f>
        <v/>
      </c>
      <c r="Q307">
        <f>IFERROR(1/IF(Inputs!$B$4="pvp",15,MAX(0.1,Skills!D8-IF(Skills!E8=TRUE,Inputs!$B$31,0))),0)</f>
        <v/>
      </c>
      <c r="R307">
        <f>IF(AND(Inputs!$B$4&lt;&gt;"pvp",Inputs!$B$35&gt;0),(INT(Inputs!$B$35/IF(Inputs!$B$4="pvp",15,MAX(0.1,Skills!D8-IF(Skills!E8=TRUE,Inputs!$B$31,0))))+1),0)</f>
        <v/>
      </c>
      <c r="S307">
        <f>IFERROR(O307/N307,0)</f>
        <v/>
      </c>
    </row>
    <row r="308">
      <c r="A308">
        <f>Skills!A9</f>
        <v/>
      </c>
      <c r="B308">
        <f>Skills!B9</f>
        <v/>
      </c>
      <c r="C308">
        <f>Inputs!$B$3&gt;=125</f>
        <v/>
      </c>
      <c r="D308">
        <f>IF(Skills!C9=1,60+Inputs!$B$24+Inputs!$B$28,IF(Skills!C9=2,90+Inputs!$B$25+Inputs!$B$28,IF(Skills!C9=3,120+Inputs!$B$26+Inputs!$B$28,MAX(0,(Inputs!$B$3-100)*3)+Inputs!$B$27+Inputs!$B$28)))</f>
        <v/>
      </c>
      <c r="E308">
        <f>INDEX(FactorTable!$B$2:$Y$301, MATCH(ROUND(MIN(300,MAX(1,D308)),0), FactorTable!$A$2:$A$301,0), Skills!M9+1)</f>
        <v/>
      </c>
      <c r="F308">
        <f>IF(Skills!N9=TRUE,(Skills!L9/10)*(E308/1000),Skills!L9/10)+Skills!O9</f>
        <v/>
      </c>
      <c r="G308">
        <f>Skills!G9*IF(Skills!H9&gt;0,Skills!I9/Skills!H9,1)</f>
        <v/>
      </c>
      <c r="H308">
        <f>1-(1-Skills!J9/100)^Skills!K9</f>
        <v/>
      </c>
      <c r="I308" t="inlineStr">
        <is>
          <t>1</t>
        </is>
      </c>
      <c r="J308">
        <f>(Inputs!$B$5*(1+Inputs!$B$6/100))*(F308/100)</f>
        <v/>
      </c>
      <c r="K308">
        <f>J308*(1+((Inputs!$B$11*(1+Inputs!$B$12/100))*0.01+Inputs!$B$13*0.0025)/100)*(1+Inputs!$B$14/100)*(1+IF(Inputs!$B$4="pvp",0,(1-Summary!$B$55)*(Inputs!$B$19+0+Skills!P9)+Summary!$B$55*(Inputs!$B$20+Skills!Q9))/100)*(1+Inputs!$B$15/100)*(5000/(6000+Inputs!$B$7*(1-(Inputs!$B$18+0)/100)))*(1+(((((1+Inputs!$B$23/100)*(1.01))-1)*100)+0+B332)/100)*(1+(IF(Skills!A9="BLAST",Inputs!$B$16+((C320=TRUE)*(F320-Calc!F21)),Inputs!$B$17+((C322=TRUE)*(F322-Calc!F23))))/100)*((1+(((C312=TRUE)*F312*MIN(1,Skills!T13*(Skills!J13/100)*B330))+((C317=TRUE)*F317*IF(AND(Inputs!$B$4&lt;&gt;"pvp",Inputs!$B$35&gt;0),(((S317-1)*(Skills!T18*(1+Inputs!$B$33/100))+MIN((Skills!T18*(1+Inputs!$B$33/100)),MAX(0,Inputs!$B$35-((S317-1)*Skills!D18))))/Inputs!$B$35),IF(Inputs!$B$4="pvp",MIN((Skills!T18*(1+Inputs!$B$33/100)),15)/15,(Skills!T18*(1+Inputs!$B$33/100))/Skills!D18)))+0)/100)*I308)</f>
        <v/>
      </c>
      <c r="L308">
        <f>K308*(MIN(Inputs!$B$21+((C321=TRUE)*(F321-Calc!F22)),Inputs!$B$22+((C323=TRUE)*(F323-Calc!F24)))/100+(Inputs!$B$22+((C323=TRUE)*(F323-Calc!F24)))/100)/2</f>
        <v/>
      </c>
      <c r="M308">
        <f>L308*(1+(Inputs!$B$9+0+B331)/100)</f>
        <v/>
      </c>
      <c r="N308">
        <f>L308*(1-MIN((Inputs!$B$8+0+B326),100)/100)+M308*(MIN((Inputs!$B$8+0+B326),100)/100)</f>
        <v/>
      </c>
      <c r="O308">
        <f>IF(C308,H308*N308*IF(AND(Inputs!$B$4&lt;&gt;"pvp",Inputs!$B$35&gt;0),((Skills!G9*((R308-1)*IF(Skills!H9&gt;0,Skills!I9/Skills!H9,1)+IF(Skills!H9&gt;0,MIN(Skills!I9,MAX(0,Inputs!$B$35-((R308-1)*IF(Inputs!$B$4="pvp",15,MAX(0.1,Skills!D9-IF(Skills!E9=TRUE,Inputs!$B$31,0))))))/Skills!H9,1)))/Inputs!$B$35),G308*Q308)*IF(Inputs!$B$4="pvp",1,(1-Summary!$B$55)*(1)+Summary!$B$55*(MIN(Skills!R9,Inputs!$B$37))),0)</f>
        <v/>
      </c>
      <c r="P308">
        <f>IF(B334=0,0,O308/B334)</f>
        <v/>
      </c>
      <c r="Q308">
        <f>IFERROR(1/IF(Inputs!$B$4="pvp",15,MAX(0.1,Skills!D9-IF(Skills!E9=TRUE,Inputs!$B$31,0))),0)</f>
        <v/>
      </c>
      <c r="R308">
        <f>IF(AND(Inputs!$B$4&lt;&gt;"pvp",Inputs!$B$35&gt;0),(INT(Inputs!$B$35/IF(Inputs!$B$4="pvp",15,MAX(0.1,Skills!D9-IF(Skills!E9=TRUE,Inputs!$B$31,0))))+1),0)</f>
        <v/>
      </c>
      <c r="S308">
        <f>IFERROR(O308/N308,0)</f>
        <v/>
      </c>
    </row>
    <row r="309">
      <c r="A309">
        <f>Skills!A10</f>
        <v/>
      </c>
      <c r="B309">
        <f>Skills!B10</f>
        <v/>
      </c>
      <c r="C309">
        <f>Inputs!$B$3&gt;=117</f>
        <v/>
      </c>
      <c r="D309">
        <f>IF(Skills!C10=1,60+Inputs!$B$24+Inputs!$B$28,IF(Skills!C10=2,90+Inputs!$B$25+Inputs!$B$28,IF(Skills!C10=3,120+Inputs!$B$26+Inputs!$B$28,MAX(0,(Inputs!$B$3-100)*3)+Inputs!$B$27+Inputs!$B$28)))</f>
        <v/>
      </c>
      <c r="E309">
        <f>INDEX(FactorTable!$B$2:$Y$301, MATCH(ROUND(MIN(300,MAX(1,D309)),0), FactorTable!$A$2:$A$301,0), Skills!M10+1)</f>
        <v/>
      </c>
      <c r="F309">
        <f>IF(Skills!N10=TRUE,(Skills!L10/10)*(E309/1000),Skills!L10/10)+Skills!O10</f>
        <v/>
      </c>
      <c r="G309">
        <f>Skills!G10*IF(Skills!H10&gt;0,Skills!I10/Skills!H10,1)</f>
        <v/>
      </c>
      <c r="H309">
        <f>1-(1-Skills!J10/100)^Skills!K10</f>
        <v/>
      </c>
      <c r="I309" t="inlineStr">
        <is>
          <t>1</t>
        </is>
      </c>
      <c r="J309">
        <f>(Inputs!$B$5*(1+Inputs!$B$6/100))*(F309/100)</f>
        <v/>
      </c>
      <c r="K309">
        <f>J309*(1+((Inputs!$B$11*(1+Inputs!$B$12/100))*0.01+Inputs!$B$13*0.0025)/100)*(1+Inputs!$B$14/100)*(1+IF(Inputs!$B$4="pvp",0,(1-Summary!$B$55)*(Inputs!$B$19+0+Skills!P10)+Summary!$B$55*(Inputs!$B$20+Skills!Q10))/100)*(1+Inputs!$B$15/100)*(5000/(6000+Inputs!$B$7*(1-(Inputs!$B$18+0)/100)))*(1+(((((1+Inputs!$B$23/100)*(1.01))-1)*100)+0+B332)/100)*(1+(IF(Skills!A10="BLAST",Inputs!$B$16+((C320=TRUE)*(F320-Calc!F21)),Inputs!$B$17+((C322=TRUE)*(F322-Calc!F23))))/100)*((1+(((C312=TRUE)*F312*MIN(1,Skills!T13*(Skills!J13/100)*B330))+((C317=TRUE)*F317*IF(AND(Inputs!$B$4&lt;&gt;"pvp",Inputs!$B$35&gt;0),(((S317-1)*(Skills!T18*(1+Inputs!$B$33/100))+MIN((Skills!T18*(1+Inputs!$B$33/100)),MAX(0,Inputs!$B$35-((S317-1)*Skills!D18))))/Inputs!$B$35),IF(Inputs!$B$4="pvp",MIN((Skills!T18*(1+Inputs!$B$33/100)),15)/15,(Skills!T18*(1+Inputs!$B$33/100))/Skills!D18)))+0)/100)*I309)</f>
        <v/>
      </c>
      <c r="L309">
        <f>K309*(MIN(Inputs!$B$21+((C321=TRUE)*(F321-Calc!F22)),Inputs!$B$22+((C323=TRUE)*(F323-Calc!F24)))/100+(Inputs!$B$22+((C323=TRUE)*(F323-Calc!F24)))/100)/2</f>
        <v/>
      </c>
      <c r="M309">
        <f>L309*(1+(Inputs!$B$9+0+B331)/100)</f>
        <v/>
      </c>
      <c r="N309">
        <f>L309*(1-MIN((Inputs!$B$8+0+B326),100)/100)+M309*(MIN((Inputs!$B$8+0+B326),100)/100)</f>
        <v/>
      </c>
      <c r="O309">
        <f>IF(C309,H309*N309*IF(AND(Inputs!$B$4&lt;&gt;"pvp",Inputs!$B$35&gt;0),((Skills!G10*((R309-1)*IF(Skills!H10&gt;0,Skills!I10/Skills!H10,1)+IF(Skills!H10&gt;0,MIN(Skills!I10,MAX(0,Inputs!$B$35-((R309-1)*IF(Inputs!$B$4="pvp",15,MAX(0.1,Skills!D10-IF(Skills!E10=TRUE,Inputs!$B$31,0))))))/Skills!H10,1)))/Inputs!$B$35),G309*Q309)*IF(Inputs!$B$4="pvp",1,(1-Summary!$B$55)*(1)+Summary!$B$55*(MIN(Skills!R10,Inputs!$B$37))),0)</f>
        <v/>
      </c>
      <c r="P309">
        <f>IF(B334=0,0,O309/B334)</f>
        <v/>
      </c>
      <c r="Q309">
        <f>IFERROR(1/IF(Inputs!$B$4="pvp",15,MAX(0.1,Skills!D10-IF(Skills!E10=TRUE,Inputs!$B$31,0))),0)</f>
        <v/>
      </c>
      <c r="R309">
        <f>IF(AND(Inputs!$B$4&lt;&gt;"pvp",Inputs!$B$35&gt;0),(INT(Inputs!$B$35/IF(Inputs!$B$4="pvp",15,MAX(0.1,Skills!D10-IF(Skills!E10=TRUE,Inputs!$B$31,0))))+1),0)</f>
        <v/>
      </c>
      <c r="S309">
        <f>IFERROR(O309/N309,0)</f>
        <v/>
      </c>
    </row>
    <row r="310">
      <c r="A310">
        <f>Skills!A11</f>
        <v/>
      </c>
      <c r="B310">
        <f>Skills!B11</f>
        <v/>
      </c>
      <c r="C310">
        <f>Inputs!$B$3&gt;=63</f>
        <v/>
      </c>
      <c r="D310">
        <f>IF(Skills!C11=1,60+Inputs!$B$24+Inputs!$B$28,IF(Skills!C11=2,90+Inputs!$B$25+Inputs!$B$28,IF(Skills!C11=3,120+Inputs!$B$26+Inputs!$B$28,MAX(0,(Inputs!$B$3-100)*3)+Inputs!$B$27+Inputs!$B$28)))</f>
        <v/>
      </c>
      <c r="E310">
        <f>INDEX(FactorTable!$B$2:$Y$301, MATCH(ROUND(MIN(300,MAX(1,D310)),0), FactorTable!$A$2:$A$301,0), Skills!M11+1)</f>
        <v/>
      </c>
      <c r="F310">
        <f>IF(Skills!N11=TRUE,(Skills!L11/10)*(E310/1000),Skills!L11/10)+Skills!O11</f>
        <v/>
      </c>
      <c r="G310">
        <f>Skills!G11*IF(Skills!H11&gt;0,Skills!I11/Skills!H11,1)</f>
        <v/>
      </c>
      <c r="H310">
        <f>1-(1-Skills!J11/100)^Skills!K11</f>
        <v/>
      </c>
      <c r="I310" t="inlineStr">
        <is>
          <t>1</t>
        </is>
      </c>
      <c r="J310">
        <f>(Inputs!$B$5*(1+Inputs!$B$6/100))*(F310/100)</f>
        <v/>
      </c>
      <c r="K310">
        <f>J310*(1+((Inputs!$B$11*(1+Inputs!$B$12/100))*0.01+Inputs!$B$13*0.0025)/100)*(1+Inputs!$B$14/100)*(1+IF(Inputs!$B$4="pvp",0,(1-Summary!$B$55)*(Inputs!$B$19+0+Skills!P11)+Summary!$B$55*(Inputs!$B$20+Skills!Q11))/100)*(1+Inputs!$B$15/100)*(5000/(6000+Inputs!$B$7*(1-(Inputs!$B$18+0)/100)))*(1+(((((1+Inputs!$B$23/100)*(1.01))-1)*100)+0+B332)/100)*(1+1.5*IF(C311=TRUE,F311,0)/100)*(1+(IF(Skills!A11="BLAST",Inputs!$B$16+((C320=TRUE)*(F320-Calc!F21)),Inputs!$B$17+((C322=TRUE)*(F322-Calc!F23))))/100)*((1+(((C312=TRUE)*F312*MIN(1,Skills!T13*(Skills!J13/100)*B330))+((C317=TRUE)*F317*IF(AND(Inputs!$B$4&lt;&gt;"pvp",Inputs!$B$35&gt;0),(((S317-1)*(Skills!T18*(1+Inputs!$B$33/100))+MIN((Skills!T18*(1+Inputs!$B$33/100)),MAX(0,Inputs!$B$35-((S317-1)*Skills!D18))))/Inputs!$B$35),IF(Inputs!$B$4="pvp",MIN((Skills!T18*(1+Inputs!$B$33/100)),15)/15,(Skills!T18*(1+Inputs!$B$33/100))/Skills!D18)))+0)/100)*I310)</f>
        <v/>
      </c>
      <c r="L310">
        <f>K310*(MIN(Inputs!$B$21+((C321=TRUE)*(F321-Calc!F22)),Inputs!$B$22+((C323=TRUE)*(F323-Calc!F24)))/100+(Inputs!$B$22+((C323=TRUE)*(F323-Calc!F24)))/100)/2</f>
        <v/>
      </c>
      <c r="M310">
        <f>L310*(1+(Inputs!$B$9+0+B331)/100)</f>
        <v/>
      </c>
      <c r="N310">
        <f>L310*(1-MIN((Inputs!$B$8+0+B326),100)/100)+M310*(MIN((Inputs!$B$8+0+B326),100)/100)</f>
        <v/>
      </c>
      <c r="O310">
        <f>IF(C310,H310*N310*IF(AND(Inputs!$B$4&lt;&gt;"pvp",Inputs!$B$35&gt;0),((Skills!G11*((R310-1)*IF(Skills!H11&gt;0,Skills!I11/Skills!H11,1)+IF(Skills!H11&gt;0,MIN(Skills!I11,MAX(0,Inputs!$B$35-((R310-1)*IF(Inputs!$B$4="pvp",15,MAX(0.1,Skills!D11-IF(Skills!E11=TRUE,Inputs!$B$31,0))))))/Skills!H11,1)))/Inputs!$B$35),G310*Q310)*IF(Inputs!$B$4="pvp",1,(1-Summary!$B$55)*(1)+Summary!$B$55*(MIN(Skills!R11,Inputs!$B$37))),0)</f>
        <v/>
      </c>
      <c r="P310">
        <f>IF(B334=0,0,O310/B334)</f>
        <v/>
      </c>
      <c r="Q310">
        <f>IFERROR(1/IF(Inputs!$B$4="pvp",15,MAX(0.1,Skills!D11-IF(Skills!E11=TRUE,Inputs!$B$31,0))),0)</f>
        <v/>
      </c>
      <c r="R310">
        <f>IF(AND(Inputs!$B$4&lt;&gt;"pvp",Inputs!$B$35&gt;0),(INT(Inputs!$B$35/IF(Inputs!$B$4="pvp",15,MAX(0.1,Skills!D11-IF(Skills!E11=TRUE,Inputs!$B$31,0))))+1),0)</f>
        <v/>
      </c>
      <c r="S310">
        <f>IFERROR(O310/N310,0)</f>
        <v/>
      </c>
    </row>
    <row r="311">
      <c r="A311">
        <f>Skills!A12</f>
        <v/>
      </c>
      <c r="B311">
        <f>Skills!B12</f>
        <v/>
      </c>
      <c r="C311">
        <f>Inputs!$B$3&gt;=100</f>
        <v/>
      </c>
      <c r="D311">
        <f>IF(Skills!C12=1,60+Inputs!$B$24+Inputs!$B$28,IF(Skills!C12=2,90+Inputs!$B$25+Inputs!$B$28,IF(Skills!C12=3,120+Inputs!$B$26+Inputs!$B$28,MAX(0,(Inputs!$B$3-100)*3)+Inputs!$B$27+Inputs!$B$28)))</f>
        <v/>
      </c>
      <c r="E311">
        <f>INDEX(FactorTable!$B$2:$Y$301, MATCH(ROUND(MIN(300,MAX(1,D311)),0), FactorTable!$A$2:$A$301,0), Skills!M12+1)</f>
        <v/>
      </c>
      <c r="F311">
        <f>IF(Skills!N12=TRUE,(Skills!L12/10)*(E311/1000),Skills!L12/10)+Skills!O12</f>
        <v/>
      </c>
      <c r="G311" t="inlineStr"/>
      <c r="H311" t="inlineStr"/>
      <c r="I311" t="inlineStr">
        <is>
          <t>1</t>
        </is>
      </c>
      <c r="J311" t="inlineStr"/>
      <c r="K311" t="inlineStr"/>
      <c r="L311" t="inlineStr"/>
      <c r="M311" t="inlineStr"/>
      <c r="N311" t="inlineStr"/>
      <c r="O311" t="inlineStr"/>
      <c r="P311" t="inlineStr"/>
      <c r="Q311" t="inlineStr"/>
      <c r="R311" t="inlineStr"/>
      <c r="S311" t="inlineStr"/>
    </row>
    <row r="312">
      <c r="A312">
        <f>Skills!A13</f>
        <v/>
      </c>
      <c r="B312">
        <f>Skills!B13</f>
        <v/>
      </c>
      <c r="C312">
        <f>Inputs!$B$3&gt;=45</f>
        <v/>
      </c>
      <c r="D312">
        <f>IF(Skills!C13=1,60+Inputs!$B$24+Inputs!$B$28,IF(Skills!C13=2,90+Inputs!$B$25+Inputs!$B$28,IF(Skills!C13=3,120+Inputs!$B$26+Inputs!$B$28,MAX(0,(Inputs!$B$3-100)*3)+Inputs!$B$27+Inputs!$B$28)))</f>
        <v/>
      </c>
      <c r="E312">
        <f>INDEX(FactorTable!$B$2:$Y$301, MATCH(ROUND(MIN(300,MAX(1,D312)),0), FactorTable!$A$2:$A$301,0), Skills!M13+1)</f>
        <v/>
      </c>
      <c r="F312">
        <f>IF(Skills!N13=TRUE,(Skills!L13/10)*(E312/1000),Skills!L13/10)+Skills!O13</f>
        <v/>
      </c>
      <c r="G312">
        <f>Skills!G13*IF(Skills!H13&gt;0,Skills!I13/Skills!H13,1)</f>
        <v/>
      </c>
      <c r="H312">
        <f>1-(1-Skills!J13/100)^Skills!K13</f>
        <v/>
      </c>
      <c r="I312" t="inlineStr">
        <is>
          <t>1</t>
        </is>
      </c>
      <c r="J312" t="inlineStr"/>
      <c r="K312" t="inlineStr"/>
      <c r="L312" t="inlineStr"/>
      <c r="M312" t="inlineStr"/>
      <c r="N312" t="inlineStr"/>
      <c r="O312" t="n">
        <v>0</v>
      </c>
      <c r="P312">
        <f>IF(B334=0,0,O312/B334)</f>
        <v/>
      </c>
      <c r="Q312" t="n">
        <v>0</v>
      </c>
      <c r="R312" t="n">
        <v>0</v>
      </c>
      <c r="S312">
        <f>IFERROR(O312/N312,0)</f>
        <v/>
      </c>
    </row>
    <row r="313">
      <c r="A313">
        <f>Skills!A14</f>
        <v/>
      </c>
      <c r="B313">
        <f>Skills!B14</f>
        <v/>
      </c>
      <c r="C313">
        <f>Inputs!$B$3&gt;=110</f>
        <v/>
      </c>
      <c r="D313">
        <f>IF(Skills!C14=1,60+Inputs!$B$24+Inputs!$B$28,IF(Skills!C14=2,90+Inputs!$B$25+Inputs!$B$28,IF(Skills!C14=3,120+Inputs!$B$26+Inputs!$B$28,MAX(0,(Inputs!$B$3-100)*3)+Inputs!$B$27+Inputs!$B$28)))</f>
        <v/>
      </c>
      <c r="E313">
        <f>INDEX(FactorTable!$B$2:$Y$301, MATCH(ROUND(MIN(300,MAX(1,D313)),0), FactorTable!$A$2:$A$301,0), Skills!M14+1)</f>
        <v/>
      </c>
      <c r="F313">
        <f>IF(Skills!N14=TRUE,(Skills!L14/10)*(E313/1000),Skills!L14/10)+Skills!O14</f>
        <v/>
      </c>
      <c r="G313">
        <f>Skills!G14*IF(Skills!H14&gt;0,Skills!I14/Skills!H14,1)</f>
        <v/>
      </c>
      <c r="H313">
        <f>1-(1-Skills!J14/100)^Skills!K14</f>
        <v/>
      </c>
      <c r="I313" t="inlineStr">
        <is>
          <t>1</t>
        </is>
      </c>
      <c r="J313" t="inlineStr"/>
      <c r="K313" t="inlineStr"/>
      <c r="L313" t="inlineStr"/>
      <c r="M313" t="inlineStr"/>
      <c r="N313" t="inlineStr"/>
      <c r="O313" t="n">
        <v>0</v>
      </c>
      <c r="P313">
        <f>IF(B334=0,0,O313/B334)</f>
        <v/>
      </c>
      <c r="Q313" t="n">
        <v>0</v>
      </c>
      <c r="R313" t="n">
        <v>0</v>
      </c>
      <c r="S313">
        <f>IFERROR(O313/N313,0)</f>
        <v/>
      </c>
    </row>
    <row r="314">
      <c r="A314">
        <f>Skills!A15</f>
        <v/>
      </c>
      <c r="B314">
        <f>Skills!B15</f>
        <v/>
      </c>
      <c r="C314">
        <f>Inputs!$B$3&gt;=75</f>
        <v/>
      </c>
      <c r="D314">
        <f>IF(Skills!C15=1,60+Inputs!$B$24+Inputs!$B$28,IF(Skills!C15=2,90+Inputs!$B$25+Inputs!$B$28,IF(Skills!C15=3,120+Inputs!$B$26+Inputs!$B$28,MAX(0,(Inputs!$B$3-100)*3)+Inputs!$B$27+Inputs!$B$28)))</f>
        <v/>
      </c>
      <c r="E314">
        <f>INDEX(FactorTable!$B$2:$Y$301, MATCH(ROUND(MIN(300,MAX(1,D314)),0), FactorTable!$A$2:$A$301,0), Skills!M15+1)</f>
        <v/>
      </c>
      <c r="F314">
        <f>IF(Skills!N15=TRUE,(Skills!L15/10)*(E314/1000),Skills!L15/10)+Skills!O15</f>
        <v/>
      </c>
      <c r="G314">
        <f>Skills!G15*IF(Skills!H15&gt;0,Skills!I15/Skills!H15,1)</f>
        <v/>
      </c>
      <c r="H314">
        <f>1-(1-Skills!J15/100)^Skills!K15</f>
        <v/>
      </c>
      <c r="I314" t="inlineStr">
        <is>
          <t>1</t>
        </is>
      </c>
      <c r="J314" t="inlineStr"/>
      <c r="K314" t="inlineStr"/>
      <c r="L314" t="inlineStr"/>
      <c r="M314" t="inlineStr"/>
      <c r="N314" t="inlineStr"/>
      <c r="O314" t="n">
        <v>0</v>
      </c>
      <c r="P314">
        <f>IF(B334=0,0,O314/B334)</f>
        <v/>
      </c>
      <c r="Q314">
        <f>IFERROR(1/IF(Inputs!$B$4="pvp",15,MAX(0.1,Skills!D15-IF(Skills!E15=TRUE,Inputs!$B$31,0))),0)</f>
        <v/>
      </c>
      <c r="R314">
        <f>IF(AND(Inputs!$B$4&lt;&gt;"pvp",Inputs!$B$35&gt;0),(INT(Inputs!$B$35/IF(Inputs!$B$4="pvp",15,MAX(0.1,Skills!D15-IF(Skills!E15=TRUE,Inputs!$B$31,0))))+1),0)</f>
        <v/>
      </c>
      <c r="S314">
        <f>IFERROR(O314/N314,0)</f>
        <v/>
      </c>
    </row>
    <row r="315">
      <c r="A315">
        <f>Skills!A16</f>
        <v/>
      </c>
      <c r="B315">
        <f>Skills!B16</f>
        <v/>
      </c>
      <c r="C315">
        <f>Inputs!$B$3&gt;=105</f>
        <v/>
      </c>
      <c r="D315">
        <f>IF(Skills!C16=1,60+Inputs!$B$24+Inputs!$B$28,IF(Skills!C16=2,90+Inputs!$B$25+Inputs!$B$28,IF(Skills!C16=3,120+Inputs!$B$26+Inputs!$B$28,MAX(0,(Inputs!$B$3-100)*3)+Inputs!$B$27+Inputs!$B$28)))</f>
        <v/>
      </c>
      <c r="E315">
        <f>INDEX(FactorTable!$B$2:$Y$301, MATCH(ROUND(MIN(300,MAX(1,D315)),0), FactorTable!$A$2:$A$301,0), Skills!M16+1)</f>
        <v/>
      </c>
      <c r="F315">
        <f>IF(Skills!N16=TRUE,(Skills!L16/10)*(E315/1000),Skills!L16/10)+Skills!O16</f>
        <v/>
      </c>
      <c r="G315">
        <f>Skills!G16*IF(Skills!H16&gt;0,Skills!I16/Skills!H16,1)</f>
        <v/>
      </c>
      <c r="H315">
        <f>1-(1-Skills!J16/100)^Skills!K16</f>
        <v/>
      </c>
      <c r="I315" t="inlineStr">
        <is>
          <t>1</t>
        </is>
      </c>
      <c r="J315" t="inlineStr"/>
      <c r="K315" t="inlineStr"/>
      <c r="L315" t="inlineStr"/>
      <c r="M315" t="inlineStr"/>
      <c r="N315" t="inlineStr"/>
      <c r="O315" t="n">
        <v>0</v>
      </c>
      <c r="P315">
        <f>IF(B334=0,0,O315/B334)</f>
        <v/>
      </c>
      <c r="Q315">
        <f>IFERROR(1/IF(Inputs!$B$4="pvp",15,MAX(0.1,Skills!D16-IF(Skills!E16=TRUE,Inputs!$B$31,0))),0)</f>
        <v/>
      </c>
      <c r="R315">
        <f>IF(AND(Inputs!$B$4&lt;&gt;"pvp",Inputs!$B$35&gt;0),(INT(Inputs!$B$35/IF(Inputs!$B$4="pvp",15,MAX(0.1,Skills!D16-IF(Skills!E16=TRUE,Inputs!$B$31,0))))+1),0)</f>
        <v/>
      </c>
      <c r="S315">
        <f>IFERROR(O315/N315,0)</f>
        <v/>
      </c>
    </row>
    <row r="316">
      <c r="A316">
        <f>Skills!A17</f>
        <v/>
      </c>
      <c r="B316">
        <f>Skills!B17</f>
        <v/>
      </c>
      <c r="C316">
        <f>Inputs!$B$3&gt;=115</f>
        <v/>
      </c>
      <c r="D316">
        <f>IF(Skills!C17=1,60+Inputs!$B$24+Inputs!$B$28,IF(Skills!C17=2,90+Inputs!$B$25+Inputs!$B$28,IF(Skills!C17=3,120+Inputs!$B$26+Inputs!$B$28,MAX(0,(Inputs!$B$3-100)*3)+Inputs!$B$27+Inputs!$B$28)))</f>
        <v/>
      </c>
      <c r="E316">
        <f>INDEX(FactorTable!$B$2:$Y$301, MATCH(ROUND(MIN(300,MAX(1,D316)),0), FactorTable!$A$2:$A$301,0), Skills!M17+1)</f>
        <v/>
      </c>
      <c r="F316">
        <f>IF(Skills!N17=TRUE,(Skills!L17/10)*(E316/1000),Skills!L17/10)+Skills!O17</f>
        <v/>
      </c>
      <c r="G316">
        <f>Skills!G17*IF(Skills!H17&gt;0,Skills!I17/Skills!H17,1)</f>
        <v/>
      </c>
      <c r="H316">
        <f>1-(1-Skills!J17/100)^Skills!K17</f>
        <v/>
      </c>
      <c r="I316" t="inlineStr">
        <is>
          <t>1</t>
        </is>
      </c>
      <c r="J316" t="inlineStr"/>
      <c r="K316" t="inlineStr"/>
      <c r="L316" t="inlineStr"/>
      <c r="M316" t="inlineStr"/>
      <c r="N316" t="inlineStr"/>
      <c r="O316" t="n">
        <v>0</v>
      </c>
      <c r="P316">
        <f>IF(B334=0,0,O316/B334)</f>
        <v/>
      </c>
      <c r="Q316">
        <f>IFERROR(1/IF(Inputs!$B$4="pvp",15,MAX(0.1,Skills!D17-IF(Skills!E17=TRUE,Inputs!$B$31,0))),0)</f>
        <v/>
      </c>
      <c r="R316">
        <f>IF(AND(Inputs!$B$4&lt;&gt;"pvp",Inputs!$B$35&gt;0),(INT(Inputs!$B$35/IF(Inputs!$B$4="pvp",15,MAX(0.1,Skills!D17-IF(Skills!E17=TRUE,Inputs!$B$31,0))))+1),0)</f>
        <v/>
      </c>
      <c r="S316">
        <f>IFERROR(O316/N316,0)</f>
        <v/>
      </c>
    </row>
    <row r="317">
      <c r="A317">
        <f>Skills!A18</f>
        <v/>
      </c>
      <c r="B317">
        <f>Skills!B18</f>
        <v/>
      </c>
      <c r="C317">
        <f>Inputs!$B$3&gt;=74</f>
        <v/>
      </c>
      <c r="D317">
        <f>IF(Skills!C18=1,60+Inputs!$B$24+Inputs!$B$28,IF(Skills!C18=2,90+Inputs!$B$25+Inputs!$B$28,IF(Skills!C18=3,120+Inputs!$B$26+Inputs!$B$28,MAX(0,(Inputs!$B$3-100)*3)+Inputs!$B$27+Inputs!$B$28)))</f>
        <v/>
      </c>
      <c r="E317">
        <f>INDEX(FactorTable!$B$2:$Y$301, MATCH(ROUND(MIN(300,MAX(1,D317)),0), FactorTable!$A$2:$A$301,0), Skills!M18+1)</f>
        <v/>
      </c>
      <c r="F317">
        <f>IF(Skills!N18=TRUE,(Skills!L18/10)*(E317/1000),Skills!L18/10)+Skills!O18</f>
        <v/>
      </c>
      <c r="G317">
        <f>Skills!G18*IF(Skills!H18&gt;0,Skills!I18/Skills!H18,1)</f>
        <v/>
      </c>
      <c r="H317">
        <f>1-(1-Skills!J18/100)^Skills!K18</f>
        <v/>
      </c>
      <c r="I317" t="inlineStr">
        <is>
          <t>1</t>
        </is>
      </c>
      <c r="J317" t="inlineStr"/>
      <c r="K317" t="inlineStr"/>
      <c r="L317" t="inlineStr"/>
      <c r="M317" t="inlineStr"/>
      <c r="N317" t="inlineStr"/>
      <c r="O317" t="n">
        <v>0</v>
      </c>
      <c r="P317">
        <f>IF(B334=0,0,O317/B334)</f>
        <v/>
      </c>
      <c r="Q317">
        <f>IFERROR(1/IF(Inputs!$B$4="pvp",15,MAX(0.1,Skills!D18-IF(Skills!E18=TRUE,Inputs!$B$31,0))),0)</f>
        <v/>
      </c>
      <c r="R317">
        <f>IF(AND(Inputs!$B$4&lt;&gt;"pvp",Inputs!$B$35&gt;0),(INT(Inputs!$B$35/IF(Inputs!$B$4="pvp",15,MAX(0.1,Skills!D18-IF(Skills!E18=TRUE,Inputs!$B$31,0))))+1),0)</f>
        <v/>
      </c>
      <c r="S317">
        <f>IFERROR(O317/N317,0)</f>
        <v/>
      </c>
    </row>
    <row r="318">
      <c r="A318">
        <f>Skills!A19</f>
        <v/>
      </c>
      <c r="B318">
        <f>Skills!B19</f>
        <v/>
      </c>
      <c r="C318">
        <f>TRUE</f>
        <v/>
      </c>
      <c r="D318">
        <f>IF(Skills!C19=1,60+Inputs!$B$24+Inputs!$B$28,IF(Skills!C19=2,90+Inputs!$B$25+Inputs!$B$28,IF(Skills!C19=3,120+Inputs!$B$26+Inputs!$B$28,MAX(0,(Inputs!$B$3-100)*3)+Inputs!$B$27+Inputs!$B$28)))</f>
        <v/>
      </c>
      <c r="E318">
        <f>INDEX(FactorTable!$B$2:$Y$301, MATCH(ROUND(MIN(300,MAX(1,D318)),0), FactorTable!$A$2:$A$301,0), Skills!M19+1)</f>
        <v/>
      </c>
      <c r="F318">
        <f>IF(Skills!N19=TRUE,(Skills!L19/10)*(E318/1000),Skills!L19/10)+Skills!O19</f>
        <v/>
      </c>
      <c r="G318">
        <f>Skills!G19*IF(Skills!H19&gt;0,Skills!I19/Skills!H19,1)</f>
        <v/>
      </c>
      <c r="H318">
        <f>1-(1-Skills!J19/100)^Skills!K19</f>
        <v/>
      </c>
      <c r="I318" t="inlineStr">
        <is>
          <t>1</t>
        </is>
      </c>
      <c r="J318" t="inlineStr"/>
      <c r="K318" t="inlineStr"/>
      <c r="L318" t="inlineStr"/>
      <c r="M318" t="inlineStr"/>
      <c r="N318" t="inlineStr"/>
      <c r="O318" t="n">
        <v>0</v>
      </c>
      <c r="P318">
        <f>IF(B334=0,0,O318/B334)</f>
        <v/>
      </c>
      <c r="Q318">
        <f>IFERROR(1/IF(Inputs!$B$4="pvp",15,MAX(0.1,Skills!D19-IF(Skills!E19=TRUE,Inputs!$B$31,0))),0)</f>
        <v/>
      </c>
      <c r="R318">
        <f>IF(AND(Inputs!$B$4&lt;&gt;"pvp",Inputs!$B$35&gt;0),(INT(Inputs!$B$35/IF(Inputs!$B$4="pvp",15,MAX(0.1,Skills!D19-IF(Skills!E19=TRUE,Inputs!$B$31,0))))+1),0)</f>
        <v/>
      </c>
      <c r="S318">
        <f>IFERROR(O318/N318,0)</f>
        <v/>
      </c>
    </row>
    <row r="319">
      <c r="A319">
        <f>Skills!A20</f>
        <v/>
      </c>
      <c r="B319">
        <f>Skills!B20</f>
        <v/>
      </c>
      <c r="C319">
        <f>Inputs!$B$3&gt;=33</f>
        <v/>
      </c>
      <c r="D319">
        <f>IF(Skills!C20=1,60+Inputs!$B$24+Inputs!$B$28,IF(Skills!C20=2,90+Inputs!$B$25+Inputs!$B$28,IF(Skills!C20=3,120+Inputs!$B$26+Inputs!$B$28,MAX(0,(Inputs!$B$3-100)*3)+Inputs!$B$27+Inputs!$B$28)))</f>
        <v/>
      </c>
      <c r="E319">
        <f>INDEX(FactorTable!$B$2:$Y$301, MATCH(ROUND(MIN(300,MAX(1,D319)),0), FactorTable!$A$2:$A$301,0), Skills!M20+1)</f>
        <v/>
      </c>
      <c r="F319">
        <f>IF(Skills!N20=TRUE,(Skills!L20/10)*(E319/1000),Skills!L20/10)+Skills!O20</f>
        <v/>
      </c>
      <c r="G319">
        <f>Skills!G20*IF(Skills!H20&gt;0,Skills!I20/Skills!H20,1)</f>
        <v/>
      </c>
      <c r="H319">
        <f>1-(1-Skills!J20/100)^Skills!K20</f>
        <v/>
      </c>
      <c r="I319" t="inlineStr">
        <is>
          <t>1</t>
        </is>
      </c>
      <c r="J319" t="inlineStr"/>
      <c r="K319" t="inlineStr"/>
      <c r="L319" t="inlineStr"/>
      <c r="M319" t="inlineStr"/>
      <c r="N319" t="inlineStr"/>
      <c r="O319" t="n">
        <v>0</v>
      </c>
      <c r="P319">
        <f>IF(B334=0,0,O319/B334)</f>
        <v/>
      </c>
      <c r="Q319" t="n">
        <v>0</v>
      </c>
      <c r="R319" t="n">
        <v>0</v>
      </c>
      <c r="S319">
        <f>IFERROR(O319/N319,0)</f>
        <v/>
      </c>
    </row>
    <row r="320">
      <c r="A320">
        <f>Skills!A21</f>
        <v/>
      </c>
      <c r="B320">
        <f>Skills!B21</f>
        <v/>
      </c>
      <c r="C320">
        <f>Inputs!$B$3&gt;=38</f>
        <v/>
      </c>
      <c r="D320">
        <f>IF(Skills!C21=1,60+Inputs!$B$24+Inputs!$B$28,IF(Skills!C21=2,90+Inputs!$B$25+Inputs!$B$28,IF(Skills!C21=3,120+Inputs!$B$26+Inputs!$B$28,MAX(0,(Inputs!$B$3-100)*3)+Inputs!$B$27+Inputs!$B$28)))</f>
        <v/>
      </c>
      <c r="E320">
        <f>INDEX(FactorTable!$B$2:$Y$301, MATCH(ROUND(MIN(300,MAX(1,D320)),0), FactorTable!$A$2:$A$301,0), Skills!M21+1)</f>
        <v/>
      </c>
      <c r="F320">
        <f>IF(Skills!N21=TRUE,(Skills!L21/10)*(E320/1000),Skills!L21/10)+Skills!O21</f>
        <v/>
      </c>
      <c r="G320">
        <f>Skills!G21*IF(Skills!H21&gt;0,Skills!I21/Skills!H21,1)</f>
        <v/>
      </c>
      <c r="H320">
        <f>1-(1-Skills!J21/100)^Skills!K21</f>
        <v/>
      </c>
      <c r="I320" t="inlineStr">
        <is>
          <t>1</t>
        </is>
      </c>
      <c r="J320" t="inlineStr"/>
      <c r="K320" t="inlineStr"/>
      <c r="L320" t="inlineStr"/>
      <c r="M320" t="inlineStr"/>
      <c r="N320" t="inlineStr"/>
      <c r="O320" t="n">
        <v>0</v>
      </c>
      <c r="P320">
        <f>IF(B334=0,0,O320/B334)</f>
        <v/>
      </c>
      <c r="Q320" t="n">
        <v>0</v>
      </c>
      <c r="R320" t="n">
        <v>0</v>
      </c>
      <c r="S320">
        <f>IFERROR(O320/N320,0)</f>
        <v/>
      </c>
    </row>
    <row r="321">
      <c r="A321">
        <f>Skills!A22</f>
        <v/>
      </c>
      <c r="B321">
        <f>Skills!B22</f>
        <v/>
      </c>
      <c r="C321">
        <f>Inputs!$B$3&gt;=43</f>
        <v/>
      </c>
      <c r="D321">
        <f>IF(Skills!C22=1,60+Inputs!$B$24+Inputs!$B$28,IF(Skills!C22=2,90+Inputs!$B$25+Inputs!$B$28,IF(Skills!C22=3,120+Inputs!$B$26+Inputs!$B$28,MAX(0,(Inputs!$B$3-100)*3)+Inputs!$B$27+Inputs!$B$28)))</f>
        <v/>
      </c>
      <c r="E321">
        <f>INDEX(FactorTable!$B$2:$Y$301, MATCH(ROUND(MIN(300,MAX(1,D321)),0), FactorTable!$A$2:$A$301,0), Skills!M22+1)</f>
        <v/>
      </c>
      <c r="F321">
        <f>IF(Skills!N22=TRUE,(Skills!L22/10)*(E321/1000),Skills!L22/10)+Skills!O22</f>
        <v/>
      </c>
      <c r="G321">
        <f>Skills!G22*IF(Skills!H22&gt;0,Skills!I22/Skills!H22,1)</f>
        <v/>
      </c>
      <c r="H321">
        <f>1-(1-Skills!J22/100)^Skills!K22</f>
        <v/>
      </c>
      <c r="I321" t="inlineStr">
        <is>
          <t>1</t>
        </is>
      </c>
      <c r="J321" t="inlineStr"/>
      <c r="K321" t="inlineStr"/>
      <c r="L321" t="inlineStr"/>
      <c r="M321" t="inlineStr"/>
      <c r="N321" t="inlineStr"/>
      <c r="O321" t="n">
        <v>0</v>
      </c>
      <c r="P321">
        <f>IF(B334=0,0,O321/B334)</f>
        <v/>
      </c>
      <c r="Q321" t="n">
        <v>0</v>
      </c>
      <c r="R321" t="n">
        <v>0</v>
      </c>
      <c r="S321">
        <f>IFERROR(O321/N321,0)</f>
        <v/>
      </c>
    </row>
    <row r="322">
      <c r="A322">
        <f>Skills!A23</f>
        <v/>
      </c>
      <c r="B322">
        <f>Skills!B23</f>
        <v/>
      </c>
      <c r="C322">
        <f>Inputs!$B$3&gt;=120</f>
        <v/>
      </c>
      <c r="D322">
        <f>IF(Skills!C23=1,60+Inputs!$B$24+Inputs!$B$28,IF(Skills!C23=2,90+Inputs!$B$25+Inputs!$B$28,IF(Skills!C23=3,120+Inputs!$B$26+Inputs!$B$28,MAX(0,(Inputs!$B$3-100)*3)+Inputs!$B$27+Inputs!$B$28)))</f>
        <v/>
      </c>
      <c r="E322">
        <f>INDEX(FactorTable!$B$2:$Y$301, MATCH(ROUND(MIN(300,MAX(1,D322)),0), FactorTable!$A$2:$A$301,0), Skills!M23+1)</f>
        <v/>
      </c>
      <c r="F322">
        <f>IF(Skills!N23=TRUE,(Skills!L23/10)*(E322/1000),Skills!L23/10)+Skills!O23</f>
        <v/>
      </c>
      <c r="G322">
        <f>Skills!G23*IF(Skills!H23&gt;0,Skills!I23/Skills!H23,1)</f>
        <v/>
      </c>
      <c r="H322">
        <f>1-(1-Skills!J23/100)^Skills!K23</f>
        <v/>
      </c>
      <c r="I322" t="inlineStr">
        <is>
          <t>1</t>
        </is>
      </c>
      <c r="J322" t="inlineStr"/>
      <c r="K322" t="inlineStr"/>
      <c r="L322" t="inlineStr"/>
      <c r="M322" t="inlineStr"/>
      <c r="N322" t="inlineStr"/>
      <c r="O322" t="n">
        <v>0</v>
      </c>
      <c r="P322">
        <f>IF(B334=0,0,O322/B334)</f>
        <v/>
      </c>
      <c r="Q322" t="n">
        <v>0</v>
      </c>
      <c r="R322" t="n">
        <v>0</v>
      </c>
      <c r="S322">
        <f>IFERROR(O322/N322,0)</f>
        <v/>
      </c>
    </row>
    <row r="323">
      <c r="A323">
        <f>Skills!A24</f>
        <v/>
      </c>
      <c r="B323">
        <f>Skills!B24</f>
        <v/>
      </c>
      <c r="C323">
        <f>Inputs!$B$3&gt;=120</f>
        <v/>
      </c>
      <c r="D323">
        <f>IF(Skills!C24=1,60+Inputs!$B$24+Inputs!$B$28,IF(Skills!C24=2,90+Inputs!$B$25+Inputs!$B$28,IF(Skills!C24=3,120+Inputs!$B$26+Inputs!$B$28,MAX(0,(Inputs!$B$3-100)*3)+Inputs!$B$27+Inputs!$B$28)))</f>
        <v/>
      </c>
      <c r="E323">
        <f>INDEX(FactorTable!$B$2:$Y$301, MATCH(ROUND(MIN(300,MAX(1,D323)),0), FactorTable!$A$2:$A$301,0), Skills!M24+1)</f>
        <v/>
      </c>
      <c r="F323">
        <f>IF(Skills!N24=TRUE,(Skills!L24/10)*(E323/1000),Skills!L24/10)+Skills!O24</f>
        <v/>
      </c>
      <c r="G323">
        <f>Skills!G24*IF(Skills!H24&gt;0,Skills!I24/Skills!H24,1)</f>
        <v/>
      </c>
      <c r="H323">
        <f>1-(1-Skills!J24/100)^Skills!K24</f>
        <v/>
      </c>
      <c r="I323" t="inlineStr">
        <is>
          <t>1</t>
        </is>
      </c>
      <c r="J323" t="inlineStr"/>
      <c r="K323" t="inlineStr"/>
      <c r="L323" t="inlineStr"/>
      <c r="M323" t="inlineStr"/>
      <c r="N323" t="inlineStr"/>
      <c r="O323" t="n">
        <v>0</v>
      </c>
      <c r="P323">
        <f>IF(B334=0,0,O323/B334)</f>
        <v/>
      </c>
      <c r="Q323" t="n">
        <v>0</v>
      </c>
      <c r="R323" t="n">
        <v>0</v>
      </c>
      <c r="S323">
        <f>IFERROR(O323/N323,0)</f>
        <v/>
      </c>
    </row>
    <row r="325">
      <c r="A325" t="inlineStr">
        <is>
          <t>Attack% Bucket Multiplier</t>
        </is>
      </c>
      <c r="B325">
        <f>(1+(((C312=TRUE)*F312*MIN(1,Skills!T13*(Skills!J13/100)*B330))+((C317=TRUE)*F317*IF(AND(Inputs!$B$4&lt;&gt;"pvp",Inputs!$B$35&gt;0),(((S317-1)*(Skills!T18*(1+Inputs!$B$33/100))+MIN((Skills!T18*(1+Inputs!$B$33/100)),MAX(0,Inputs!$B$35-((S317-1)*Skills!D18))))/Inputs!$B$35),IF(Inputs!$B$4="pvp",MIN((Skills!T18*(1+Inputs!$B$33/100)),15)/15,(Skills!T18*(1+Inputs!$B$33/100))/Skills!D18)))+0)/100)</f>
        <v/>
      </c>
    </row>
    <row r="326">
      <c r="A326" t="inlineStr">
        <is>
          <t>Global Crit Rate Bonus %</t>
        </is>
      </c>
      <c r="B326" t="n">
        <v>0</v>
      </c>
    </row>
    <row r="327">
      <c r="A327" t="inlineStr">
        <is>
          <t>Attack Speed Buff Bonus %</t>
        </is>
      </c>
      <c r="B327">
        <f>((C318=TRUE)*F318*IF(AND(Inputs!$B$4&lt;&gt;"pvp",Inputs!$B$35&gt;0),(((S318-1)*(Skills!T19*(1+Inputs!$B$33/100))+MIN((Skills!T19*(1+Inputs!$B$33/100)),MAX(0,Inputs!$B$35-((S318-1)*Skills!D19))))/Inputs!$B$35),IF(Inputs!$B$4="pvp",MIN((Skills!T19*(1+Inputs!$B$33/100)),15)/15,(Skills!T19*(1+Inputs!$B$33/100))/Skills!D19)))</f>
        <v/>
      </c>
    </row>
    <row r="328">
      <c r="A328" t="inlineStr">
        <is>
          <t>Actions Per Second</t>
        </is>
      </c>
      <c r="B328">
        <f>1+MIN(150,150*(1-(1-(Inputs!$B$10+((C319=TRUE)*(F319-Calc!F20)))/150)*(1-B327/150)))/100</f>
        <v/>
      </c>
    </row>
    <row r="329">
      <c r="A329" t="inlineStr">
        <is>
          <t>Skill + Buff Cast Rate</t>
        </is>
      </c>
      <c r="B329">
        <f>IF(AND(Inputs!$B$4&lt;&gt;"pvp",Inputs!$B$35&gt;0),SUMPRODUCT((Skills!E2:E24=TRUE)*(C301:C323=TRUE)*R301:R323*Skills!F2:F24)/Inputs!$B$35,SUMPRODUCT((Skills!E2:E24=TRUE)*(C301:C323=TRUE)*Q301:Q323*Skills!F2:F24))</f>
        <v/>
      </c>
    </row>
    <row r="330">
      <c r="A330" t="inlineStr">
        <is>
          <t>Blast Casts Per Second</t>
        </is>
      </c>
      <c r="B330">
        <f>MAX(0,B328-B329)</f>
        <v/>
      </c>
    </row>
    <row r="331">
      <c r="A331" t="inlineStr">
        <is>
          <t>Global Critical Damage Bonus % (unused)</t>
        </is>
      </c>
      <c r="B331" t="n">
        <v>0</v>
      </c>
    </row>
    <row r="332">
      <c r="A332" t="inlineStr">
        <is>
          <t>Global Final Damage Bonus % (Divine Shield + Guardian + Divine Blessing + Greater Vessel of Light)</t>
        </is>
      </c>
      <c r="B332">
        <f>((C314=TRUE)*F314*IF(AND(Inputs!$B$4&lt;&gt;"pvp",Inputs!$B$35&gt;0),(((S314-1)*(Skills!T15*(1+Inputs!$B$33/100))+MIN((Skills!T15*(1+Inputs!$B$33/100)),MAX(0,Inputs!$B$35-((S314-1)*Skills!D15))))/Inputs!$B$35),IF(Inputs!$B$4="pvp",MIN((Skills!T15*(1+Inputs!$B$33/100)),15)/15,(Skills!T15*(1+Inputs!$B$33/100))/Skills!D15)))+((C315=TRUE)*F315*IF(AND(Inputs!$B$4&lt;&gt;"pvp",Inputs!$B$35&gt;0),(((S315-1)*(Skills!T16*(1+Inputs!$B$33/100))+MIN((Skills!T16*(1+Inputs!$B$33/100)),MAX(0,Inputs!$B$35-((S315-1)*Skills!D16))))/Inputs!$B$35),IF(Inputs!$B$4="pvp",MIN((Skills!T16*(1+Inputs!$B$33/100)),15)/15,(Skills!T16*(1+Inputs!$B$33/100))/Skills!D16)))+((C316=TRUE)*F316*IF(AND(Inputs!$B$4&lt;&gt;"pvp",Inputs!$B$35&gt;0),(((S316-1)*(Skills!T17*(1+Inputs!$B$33/100))+MIN((Skills!T17*(1+Inputs!$B$33/100)),MAX(0,Inputs!$B$35-((S316-1)*Skills!D17))))/Inputs!$B$35),IF(Inputs!$B$4="pvp",MIN((Skills!T17*(1+Inputs!$B$33/100)),15)/15,(Skills!T17*(1+Inputs!$B$33/100))/Skills!D17)))+((C313=TRUE)*F313*MIN(1,Skills!T13*(Skills!J13/100)*B330))</f>
        <v/>
      </c>
    </row>
    <row r="334">
      <c r="A334" s="5" t="inlineStr">
        <is>
          <t>TOTAL DPS</t>
        </is>
      </c>
      <c r="B334" s="5">
        <f>SUM(O301:O323)</f>
        <v/>
      </c>
    </row>
    <row r="337">
      <c r="A337" s="5" t="inlineStr">
        <is>
          <t>Stat: MIN_DAMAGE %</t>
        </is>
      </c>
    </row>
    <row r="338">
      <c r="A338" s="8" t="inlineStr">
        <is>
          <t>Key</t>
        </is>
      </c>
      <c r="B338" s="8" t="inlineStr">
        <is>
          <t>Name</t>
        </is>
      </c>
      <c r="C338" s="8" t="inlineStr">
        <is>
          <t>Unlocked</t>
        </is>
      </c>
      <c r="D338" s="8" t="inlineStr">
        <is>
          <t>InputLevel</t>
        </is>
      </c>
      <c r="E338" s="8" t="inlineStr">
        <is>
          <t>Factor</t>
        </is>
      </c>
      <c r="F338" s="8" t="inlineStr">
        <is>
          <t>CoefficientPercent</t>
        </is>
      </c>
      <c r="G338" s="8" t="inlineStr">
        <is>
          <t>EffectiveHits</t>
        </is>
      </c>
      <c r="H338" s="8" t="inlineStr">
        <is>
          <t>ProcProbability</t>
        </is>
      </c>
      <c r="I338" s="8" t="inlineStr">
        <is>
          <t>MapleHeroMultiplier</t>
        </is>
      </c>
      <c r="J338" s="8" t="inlineStr">
        <is>
          <t>BaseDamage</t>
        </is>
      </c>
      <c r="K338" s="8" t="inlineStr">
        <is>
          <t>BaseHitDamage</t>
        </is>
      </c>
      <c r="L338" s="8" t="inlineStr">
        <is>
          <t>NonCritAvg</t>
        </is>
      </c>
      <c r="M338" s="8" t="inlineStr">
        <is>
          <t>CritAvg</t>
        </is>
      </c>
      <c r="N338" s="8" t="inlineStr">
        <is>
          <t>ExpectedDamage(perHit)</t>
        </is>
      </c>
      <c r="O338" s="8" t="inlineStr">
        <is>
          <t>DPS</t>
        </is>
      </c>
      <c r="P338" s="8" t="inlineStr">
        <is>
          <t>% of Total</t>
        </is>
      </c>
      <c r="Q338" s="8" t="inlineStr">
        <is>
          <t>InvCooldown</t>
        </is>
      </c>
      <c r="R338" s="8" t="inlineStr">
        <is>
          <t>CastsInFight</t>
        </is>
      </c>
      <c r="S338" s="8" t="inlineStr">
        <is>
          <t>HitRate(perSec)</t>
        </is>
      </c>
      <c r="U338" t="inlineStr">
        <is>
          <t>helpers</t>
        </is>
      </c>
    </row>
    <row r="339">
      <c r="A339">
        <f>Skills!A2</f>
        <v/>
      </c>
      <c r="B339">
        <f>Skills!B2</f>
        <v/>
      </c>
      <c r="C339">
        <f>Inputs!$B$3&gt;=100</f>
        <v/>
      </c>
      <c r="D339" t="inlineStr"/>
      <c r="E339" t="inlineStr"/>
      <c r="F339">
        <f>U341+Skills!O2</f>
        <v/>
      </c>
      <c r="G339">
        <f>Skills!G2*IF(Skills!H2&gt;0,Skills!I2/Skills!H2,1)</f>
        <v/>
      </c>
      <c r="H339">
        <f>1-(1-Skills!J2/100)^Skills!K2</f>
        <v/>
      </c>
      <c r="I339" t="inlineStr">
        <is>
          <t>1</t>
        </is>
      </c>
      <c r="J339">
        <f>(Inputs!$B$5*(1+Inputs!$B$6/100))*(F339/100)</f>
        <v/>
      </c>
      <c r="K339">
        <f>J339*(1+((Inputs!$B$11*(1+Inputs!$B$12/100))*0.01+Inputs!$B$13*0.0025)/100)*(1+Inputs!$B$14/100)*(1+IF(Inputs!$B$4="pvp",0,(1-Summary!$B$55)*(Inputs!$B$19+0+Skills!P2)+Summary!$B$55*(Inputs!$B$20+Skills!Q2))/100)*(1+Inputs!$B$15/100)*(5000/(6000+Inputs!$B$7*(1-(Inputs!$B$18+0)/100)))*(1+(Inputs!$B$23+0+B370)/100)*(1+(IF(Skills!A2="BLAST",Inputs!$B$16+((C358=TRUE)*(F358-Calc!F21)),Inputs!$B$17+((C360=TRUE)*(F360-Calc!F23))))/100)*((1+(((C350=TRUE)*F350*MIN(1,Skills!T13*(Skills!J13/100)*B368))+((C355=TRUE)*F355*IF(AND(Inputs!$B$4&lt;&gt;"pvp",Inputs!$B$35&gt;0),(((S355-1)*(Skills!T18*(1+Inputs!$B$33/100))+MIN((Skills!T18*(1+Inputs!$B$33/100)),MAX(0,Inputs!$B$35-((S355-1)*Skills!D18))))/Inputs!$B$35),IF(Inputs!$B$4="pvp",MIN((Skills!T18*(1+Inputs!$B$33/100)),15)/15,(Skills!T18*(1+Inputs!$B$33/100))/Skills!D18)))+0)/100)*I339)</f>
        <v/>
      </c>
      <c r="L339">
        <f>K339*(MIN((Inputs!$B$21+1)+((C359=TRUE)*(F359-Calc!F22)),Inputs!$B$22+((C361=TRUE)*(F361-Calc!F24)))/100+(Inputs!$B$22+((C361=TRUE)*(F361-Calc!F24)))/100)/2</f>
        <v/>
      </c>
      <c r="M339">
        <f>L339*(1+(Inputs!$B$9+0+B369)/100)</f>
        <v/>
      </c>
      <c r="N339">
        <f>L339*(1-MIN((Inputs!$B$8+0+B364),100)/100)+M339*(MIN((Inputs!$B$8+0+B364),100)/100)</f>
        <v/>
      </c>
      <c r="O339">
        <f>IF(C339,Skills!G2*N339*B368*IF(Inputs!$B$4="pvp",1,(1-Summary!$B$55)*(1)+Summary!$B$55*(MIN((6+Inputs!$B$32),Inputs!$B$37))),0)</f>
        <v/>
      </c>
      <c r="P339">
        <f>IF(B372=0,0,O339/B372)</f>
        <v/>
      </c>
      <c r="Q339" t="n">
        <v>0</v>
      </c>
      <c r="R339" t="n">
        <v>0</v>
      </c>
      <c r="S339">
        <f>IFERROR(O339/N339,0)</f>
        <v/>
      </c>
      <c r="U339">
        <f>MAX(0,(Inputs!$B$3-100)*3)+Inputs!$B$27+Inputs!$B$28</f>
        <v/>
      </c>
    </row>
    <row r="340">
      <c r="A340">
        <f>Skills!A3</f>
        <v/>
      </c>
      <c r="B340">
        <f>Skills!B3</f>
        <v/>
      </c>
      <c r="C340">
        <f>Inputs!$B$3&gt;=50</f>
        <v/>
      </c>
      <c r="D340">
        <f>IF(Skills!C3=1,60+Inputs!$B$24+Inputs!$B$28,IF(Skills!C3=2,90+Inputs!$B$25+Inputs!$B$28,IF(Skills!C3=3,120+Inputs!$B$26+Inputs!$B$28,MAX(0,(Inputs!$B$3-100)*3)+Inputs!$B$27+Inputs!$B$28)))</f>
        <v/>
      </c>
      <c r="E340">
        <f>INDEX(FactorTable!$B$2:$Y$301, MATCH(ROUND(MIN(300,MAX(1,D340)),0), FactorTable!$A$2:$A$301,0), Skills!M3+1)</f>
        <v/>
      </c>
      <c r="F340">
        <f>IF(Skills!N3=TRUE,(Skills!L3/10)*(E340/1000),Skills!L3/10)+Skills!O3</f>
        <v/>
      </c>
      <c r="G340" t="inlineStr"/>
      <c r="H340" t="inlineStr"/>
      <c r="I340" t="inlineStr">
        <is>
          <t>1</t>
        </is>
      </c>
      <c r="J340" t="inlineStr"/>
      <c r="K340" t="inlineStr"/>
      <c r="L340" t="inlineStr"/>
      <c r="M340" t="inlineStr"/>
      <c r="N340" t="inlineStr"/>
      <c r="O340" t="inlineStr"/>
      <c r="P340" t="inlineStr"/>
      <c r="Q340" t="inlineStr"/>
      <c r="R340" t="inlineStr"/>
      <c r="S340" t="inlineStr"/>
      <c r="U340">
        <f>INDEX(FactorTable!$B$2:$Y$301, MATCH(ROUND(MIN(300,MAX(1,U339)),0), FactorTable!$A$2:$A$301,0), 22)</f>
        <v/>
      </c>
    </row>
    <row r="341">
      <c r="A341">
        <f>Skills!A4</f>
        <v/>
      </c>
      <c r="B341">
        <f>Skills!B4</f>
        <v/>
      </c>
      <c r="C341">
        <f>Inputs!$B$3&gt;=35</f>
        <v/>
      </c>
      <c r="D341">
        <f>IF(Skills!C4=1,60+Inputs!$B$24+Inputs!$B$28,IF(Skills!C4=2,90+Inputs!$B$25+Inputs!$B$28,IF(Skills!C4=3,120+Inputs!$B$26+Inputs!$B$28,MAX(0,(Inputs!$B$3-100)*3)+Inputs!$B$27+Inputs!$B$28)))</f>
        <v/>
      </c>
      <c r="E341">
        <f>INDEX(FactorTable!$B$2:$Y$301, MATCH(ROUND(MIN(300,MAX(1,D341)),0), FactorTable!$A$2:$A$301,0), Skills!M4+1)</f>
        <v/>
      </c>
      <c r="F341">
        <f>IF(Skills!N4=TRUE,(Skills!L4/10)*(E341/1000),Skills!L4/10)+Skills!O4</f>
        <v/>
      </c>
      <c r="G341">
        <f>Skills!G4*IF(Skills!H4&gt;0,Skills!I4/Skills!H4,1)</f>
        <v/>
      </c>
      <c r="H341">
        <f>1-(1-Skills!J4/100)^Skills!K4</f>
        <v/>
      </c>
      <c r="I341" t="inlineStr">
        <is>
          <t>1</t>
        </is>
      </c>
      <c r="J341">
        <f>(Inputs!$B$5*(1+Inputs!$B$6/100))*(F341/100)</f>
        <v/>
      </c>
      <c r="K341">
        <f>J341*(1+((Inputs!$B$11*(1+Inputs!$B$12/100))*0.01+Inputs!$B$13*0.0025)/100)*(1+Inputs!$B$14/100)*(1+IF(Inputs!$B$4="pvp",0,(1-Summary!$B$55)*(Inputs!$B$19+0+Skills!P4)+Summary!$B$55*(Inputs!$B$20+Skills!Q4))/100)*(1+Inputs!$B$15/100)*(5000/(6000+Inputs!$B$7*(1-(Inputs!$B$18+0)/100)))*(1+(Inputs!$B$23+0+B370)/100)*(1+4.0*IF(C349=TRUE,F349,0)/100)*(1+(IF(Skills!A4="BLAST",Inputs!$B$16+((C358=TRUE)*(F358-Calc!F21)),Inputs!$B$17+((C360=TRUE)*(F360-Calc!F23))))/100)*((1+(((C350=TRUE)*F350*MIN(1,Skills!T13*(Skills!J13/100)*B368))+((C355=TRUE)*F355*IF(AND(Inputs!$B$4&lt;&gt;"pvp",Inputs!$B$35&gt;0),(((S355-1)*(Skills!T18*(1+Inputs!$B$33/100))+MIN((Skills!T18*(1+Inputs!$B$33/100)),MAX(0,Inputs!$B$35-((S355-1)*Skills!D18))))/Inputs!$B$35),IF(Inputs!$B$4="pvp",MIN((Skills!T18*(1+Inputs!$B$33/100)),15)/15,(Skills!T18*(1+Inputs!$B$33/100))/Skills!D18)))+0)/100)*I341)</f>
        <v/>
      </c>
      <c r="L341">
        <f>K341*(MIN((Inputs!$B$21+1)+((C359=TRUE)*(F359-Calc!F22)),Inputs!$B$22+((C361=TRUE)*(F361-Calc!F24)))/100+(Inputs!$B$22+((C361=TRUE)*(F361-Calc!F24)))/100)/2</f>
        <v/>
      </c>
      <c r="M341">
        <f>L341*(1+(Inputs!$B$9+0+B369)/100)</f>
        <v/>
      </c>
      <c r="N341">
        <f>L341*(1-MIN((Inputs!$B$8+0+B364),100)/100)+M341*(MIN((Inputs!$B$8+0+B364),100)/100)</f>
        <v/>
      </c>
      <c r="O341">
        <f>IF(C341,H341*N341*IF(AND(Inputs!$B$4&lt;&gt;"pvp",Inputs!$B$35&gt;0),((Skills!G4*((R341-1)*IF(Skills!H4&gt;0,Skills!I4/Skills!H4,1)+IF(Skills!H4&gt;0,MIN(Skills!I4,MAX(0,Inputs!$B$35-((R341-1)*IF(Inputs!$B$4="pvp",15,MAX(0.1,Skills!D4-IF(Skills!E4=TRUE,Inputs!$B$31,0))))))/Skills!H4,1)))/Inputs!$B$35),G341*Q341)*IF(Inputs!$B$4="pvp",1,(1-Summary!$B$55)*(1)+Summary!$B$55*(MIN(Skills!R4,Inputs!$B$37))),0)</f>
        <v/>
      </c>
      <c r="P341">
        <f>IF(B372=0,0,O341/B372)</f>
        <v/>
      </c>
      <c r="Q341">
        <f>IFERROR(1/IF(Inputs!$B$4="pvp",15,MAX(0.1,Skills!D4-IF(Skills!E4=TRUE,Inputs!$B$31,0))),0)</f>
        <v/>
      </c>
      <c r="R341">
        <f>IF(AND(Inputs!$B$4&lt;&gt;"pvp",Inputs!$B$35&gt;0),(INT(Inputs!$B$35/IF(Inputs!$B$4="pvp",15,MAX(0.1,Skills!D4-IF(Skills!E4=TRUE,Inputs!$B$31,0))))+1),0)</f>
        <v/>
      </c>
      <c r="S341">
        <f>IFERROR(O341/N341,0)</f>
        <v/>
      </c>
      <c r="U341">
        <f>290*U340/1000</f>
        <v/>
      </c>
    </row>
    <row r="342">
      <c r="A342">
        <f>Skills!A5</f>
        <v/>
      </c>
      <c r="B342">
        <f>Skills!B5</f>
        <v/>
      </c>
      <c r="C342">
        <f>Inputs!$B$3&gt;=66</f>
        <v/>
      </c>
      <c r="D342">
        <f>IF(Skills!C5=1,60+Inputs!$B$24+Inputs!$B$28,IF(Skills!C5=2,90+Inputs!$B$25+Inputs!$B$28,IF(Skills!C5=3,120+Inputs!$B$26+Inputs!$B$28,MAX(0,(Inputs!$B$3-100)*3)+Inputs!$B$27+Inputs!$B$28)))</f>
        <v/>
      </c>
      <c r="E342">
        <f>INDEX(FactorTable!$B$2:$Y$301, MATCH(ROUND(MIN(300,MAX(1,D342)),0), FactorTable!$A$2:$A$301,0), Skills!M5+1)</f>
        <v/>
      </c>
      <c r="F342">
        <f>IF(Skills!N5=TRUE,(Skills!L5/10)*(E342/1000),Skills!L5/10)+Skills!O5</f>
        <v/>
      </c>
      <c r="G342">
        <f>Skills!G5*IF(Skills!H5&gt;0,Skills!I5/Skills!H5,1)</f>
        <v/>
      </c>
      <c r="H342">
        <f>1-(1-Skills!J5/100)^Skills!K5</f>
        <v/>
      </c>
      <c r="I342" t="inlineStr">
        <is>
          <t>1</t>
        </is>
      </c>
      <c r="J342">
        <f>(Inputs!$B$5*(1+Inputs!$B$6/100))*(F342/100)</f>
        <v/>
      </c>
      <c r="K342">
        <f>J342*(1+((Inputs!$B$11*(1+Inputs!$B$12/100))*0.01+Inputs!$B$13*0.0025)/100)*(1+Inputs!$B$14/100)*(1+IF(Inputs!$B$4="pvp",0,(1-Summary!$B$55)*(Inputs!$B$19+0+Skills!P5)+Summary!$B$55*(Inputs!$B$20+Skills!Q5))/100)*(1+Inputs!$B$15/100)*(5000/(6000+Inputs!$B$7*(1-(Inputs!$B$18+0)/100)))*(1+(Inputs!$B$23+0+B370)/100)*(1+1.0*IF(C349=TRUE,F349,0)/100)*(1+(IF(Skills!A5="BLAST",Inputs!$B$16+((C358=TRUE)*(F358-Calc!F21)),Inputs!$B$17+((C360=TRUE)*(F360-Calc!F23))))/100)*((1+(((C350=TRUE)*F350*MIN(1,Skills!T13*(Skills!J13/100)*B368))+((C355=TRUE)*F355*IF(AND(Inputs!$B$4&lt;&gt;"pvp",Inputs!$B$35&gt;0),(((S355-1)*(Skills!T18*(1+Inputs!$B$33/100))+MIN((Skills!T18*(1+Inputs!$B$33/100)),MAX(0,Inputs!$B$35-((S355-1)*Skills!D18))))/Inputs!$B$35),IF(Inputs!$B$4="pvp",MIN((Skills!T18*(1+Inputs!$B$33/100)),15)/15,(Skills!T18*(1+Inputs!$B$33/100))/Skills!D18)))+0)/100)*I342)</f>
        <v/>
      </c>
      <c r="L342">
        <f>K342*(MIN((Inputs!$B$21+1)+((C359=TRUE)*(F359-Calc!F22)),Inputs!$B$22+((C361=TRUE)*(F361-Calc!F24)))/100+(Inputs!$B$22+((C361=TRUE)*(F361-Calc!F24)))/100)/2</f>
        <v/>
      </c>
      <c r="M342">
        <f>L342*(1+(Inputs!$B$9+0+B369)/100)</f>
        <v/>
      </c>
      <c r="N342">
        <f>L342*(1-MIN((Inputs!$B$8+0+B364),100)/100)+M342*(MIN((Inputs!$B$8+0+B364),100)/100)</f>
        <v/>
      </c>
      <c r="O342">
        <f>IF(C342,H342*N342*IF(AND(Inputs!$B$4&lt;&gt;"pvp",Inputs!$B$35&gt;0),((Skills!G5*((R342-1)*IF(Skills!H5&gt;0,Skills!I5/Skills!H5,1)+IF(Skills!H5&gt;0,MIN(Skills!I5,MAX(0,Inputs!$B$35-((R342-1)*IF(Inputs!$B$4="pvp",15,MAX(0.1,Skills!D5-IF(Skills!E5=TRUE,Inputs!$B$31,0))))))/Skills!H5,1)))/Inputs!$B$35),G342*Q342)*IF(Inputs!$B$4="pvp",1,(1-Summary!$B$55)*(1)+Summary!$B$55*(MIN(Skills!R5,Inputs!$B$37))),0)</f>
        <v/>
      </c>
      <c r="P342">
        <f>IF(B372=0,0,O342/B372)</f>
        <v/>
      </c>
      <c r="Q342">
        <f>IFERROR(1/IF(Inputs!$B$4="pvp",15,MAX(0.1,Skills!D5-IF(Skills!E5=TRUE,Inputs!$B$31,0))),0)</f>
        <v/>
      </c>
      <c r="R342">
        <f>IF(AND(Inputs!$B$4&lt;&gt;"pvp",Inputs!$B$35&gt;0),(INT(Inputs!$B$35/IF(Inputs!$B$4="pvp",15,MAX(0.1,Skills!D5-IF(Skills!E5=TRUE,Inputs!$B$31,0))))+1),0)</f>
        <v/>
      </c>
      <c r="S342">
        <f>IFERROR(O342/N342,0)</f>
        <v/>
      </c>
    </row>
    <row r="343">
      <c r="A343">
        <f>Skills!A6</f>
        <v/>
      </c>
      <c r="B343">
        <f>Skills!B6</f>
        <v/>
      </c>
      <c r="C343">
        <f>Inputs!$B$3&gt;=103</f>
        <v/>
      </c>
      <c r="D343">
        <f>IF(Skills!C6=1,60+Inputs!$B$24+Inputs!$B$28,IF(Skills!C6=2,90+Inputs!$B$25+Inputs!$B$28,IF(Skills!C6=3,120+Inputs!$B$26+Inputs!$B$28,MAX(0,(Inputs!$B$3-100)*3)+Inputs!$B$27+Inputs!$B$28)))</f>
        <v/>
      </c>
      <c r="E343">
        <f>INDEX(FactorTable!$B$2:$Y$301, MATCH(ROUND(MIN(300,MAX(1,D343)),0), FactorTable!$A$2:$A$301,0), Skills!M6+1)</f>
        <v/>
      </c>
      <c r="F343">
        <f>IF(Skills!N6=TRUE,(Skills!L6/10)*(E343/1000),Skills!L6/10)+Skills!O6</f>
        <v/>
      </c>
      <c r="G343">
        <f>Skills!G6*IF(Skills!H6&gt;0,Skills!I6/Skills!H6,1)</f>
        <v/>
      </c>
      <c r="H343">
        <f>1-(1-Skills!J6/100)^Skills!K6</f>
        <v/>
      </c>
      <c r="I343" t="inlineStr">
        <is>
          <t>1</t>
        </is>
      </c>
      <c r="J343">
        <f>(Inputs!$B$5*(1+Inputs!$B$6/100))*(F343/100)</f>
        <v/>
      </c>
      <c r="K343">
        <f>J343*(1+((Inputs!$B$11*(1+Inputs!$B$12/100))*0.01+Inputs!$B$13*0.0025)/100)*(1+Inputs!$B$14/100)*(1+IF(Inputs!$B$4="pvp",0,(1-Summary!$B$55)*(Inputs!$B$19+0+Skills!P6)+Summary!$B$55*(Inputs!$B$20+Skills!Q6))/100)*(1+Inputs!$B$15/100)*(5000/(6000+Inputs!$B$7*(1-(Inputs!$B$18+0)/100)))*(1+(Inputs!$B$23+0+B370)/100)*(1+(IF(Skills!A6="BLAST",Inputs!$B$16+((C358=TRUE)*(F358-Calc!F21)),Inputs!$B$17+((C360=TRUE)*(F360-Calc!F23))))/100)*((1+(((C350=TRUE)*F350*MIN(1,Skills!T13*(Skills!J13/100)*B368))+((C355=TRUE)*F355*IF(AND(Inputs!$B$4&lt;&gt;"pvp",Inputs!$B$35&gt;0),(((S355-1)*(Skills!T18*(1+Inputs!$B$33/100))+MIN((Skills!T18*(1+Inputs!$B$33/100)),MAX(0,Inputs!$B$35-((S355-1)*Skills!D18))))/Inputs!$B$35),IF(Inputs!$B$4="pvp",MIN((Skills!T18*(1+Inputs!$B$33/100)),15)/15,(Skills!T18*(1+Inputs!$B$33/100))/Skills!D18)))+0)/100)*I343)</f>
        <v/>
      </c>
      <c r="L343">
        <f>K343*(MIN((Inputs!$B$21+1)+((C359=TRUE)*(F359-Calc!F22)),Inputs!$B$22+((C361=TRUE)*(F361-Calc!F24)))/100+(Inputs!$B$22+((C361=TRUE)*(F361-Calc!F24)))/100)/2</f>
        <v/>
      </c>
      <c r="M343">
        <f>L343*(1+(Inputs!$B$9+0+B369)/100)</f>
        <v/>
      </c>
      <c r="N343">
        <f>L343*(1-MIN((Inputs!$B$8+0+B364),100)/100)+M343*(MIN((Inputs!$B$8+0+B364),100)/100)</f>
        <v/>
      </c>
      <c r="O343">
        <f>IF(C343,H343*N343*IF(AND(Inputs!$B$4&lt;&gt;"pvp",Inputs!$B$35&gt;0),((Skills!G6*((R343-1)*IF(Skills!H6&gt;0,Skills!I6/Skills!H6,1)+IF(Skills!H6&gt;0,MIN(Skills!I6,MAX(0,Inputs!$B$35-((R343-1)*IF(Inputs!$B$4="pvp",15,MAX(0.1,Skills!D6-IF(Skills!E6=TRUE,Inputs!$B$31,0))))))/Skills!H6,1)))/Inputs!$B$35),G343*Q343)*IF(Inputs!$B$4="pvp",1,(1-Summary!$B$55)*(1)+Summary!$B$55*(MIN(Skills!R6,Inputs!$B$37))),0)</f>
        <v/>
      </c>
      <c r="P343">
        <f>IF(B372=0,0,O343/B372)</f>
        <v/>
      </c>
      <c r="Q343">
        <f>IFERROR(1/IF(Inputs!$B$4="pvp",15,MAX(0.1,Skills!D6-IF(Skills!E6=TRUE,Inputs!$B$31,0))),0)</f>
        <v/>
      </c>
      <c r="R343">
        <f>IF(AND(Inputs!$B$4&lt;&gt;"pvp",Inputs!$B$35&gt;0),(INT(Inputs!$B$35/IF(Inputs!$B$4="pvp",15,MAX(0.1,Skills!D6-IF(Skills!E6=TRUE,Inputs!$B$31,0))))+1),0)</f>
        <v/>
      </c>
      <c r="S343">
        <f>IFERROR(O343/N343,0)</f>
        <v/>
      </c>
    </row>
    <row r="344">
      <c r="A344">
        <f>Skills!A7</f>
        <v/>
      </c>
      <c r="B344">
        <f>Skills!B7</f>
        <v/>
      </c>
      <c r="C344">
        <f>Inputs!$B$3&gt;=107</f>
        <v/>
      </c>
      <c r="D344">
        <f>IF(Skills!C7=1,60+Inputs!$B$24+Inputs!$B$28,IF(Skills!C7=2,90+Inputs!$B$25+Inputs!$B$28,IF(Skills!C7=3,120+Inputs!$B$26+Inputs!$B$28,MAX(0,(Inputs!$B$3-100)*3)+Inputs!$B$27+Inputs!$B$28)))</f>
        <v/>
      </c>
      <c r="E344">
        <f>INDEX(FactorTable!$B$2:$Y$301, MATCH(ROUND(MIN(300,MAX(1,D344)),0), FactorTable!$A$2:$A$301,0), Skills!M7+1)</f>
        <v/>
      </c>
      <c r="F344">
        <f>IF(Skills!N7=TRUE,(Skills!L7/10)*(E344/1000),Skills!L7/10)+Skills!O7</f>
        <v/>
      </c>
      <c r="G344">
        <f>Skills!G7*IF(Skills!H7&gt;0,Skills!I7/Skills!H7,1)</f>
        <v/>
      </c>
      <c r="H344">
        <f>1-(1-Skills!J7/100)^Skills!K7</f>
        <v/>
      </c>
      <c r="I344" t="inlineStr">
        <is>
          <t>1</t>
        </is>
      </c>
      <c r="J344">
        <f>(Inputs!$B$5*(1+Inputs!$B$6/100))*(F344/100)</f>
        <v/>
      </c>
      <c r="K344">
        <f>J344*(1+((Inputs!$B$11*(1+Inputs!$B$12/100))*0.01+Inputs!$B$13*0.0025)/100)*(1+Inputs!$B$14/100)*(1+IF(Inputs!$B$4="pvp",0,(1-Summary!$B$55)*(Inputs!$B$19+0+Skills!P7)+Summary!$B$55*(Inputs!$B$20+Skills!Q7))/100)*(1+Inputs!$B$15/100)*(5000/(6000+Inputs!$B$7*(1-(Inputs!$B$18+0)/100)))*(1+(Inputs!$B$23+0+B370)/100)*(1+(IF(Skills!A7="BLAST",Inputs!$B$16+((C358=TRUE)*(F358-Calc!F21)),Inputs!$B$17+((C360=TRUE)*(F360-Calc!F23))))/100)*((1+(((C350=TRUE)*F350*MIN(1,Skills!T13*(Skills!J13/100)*B368))+((C355=TRUE)*F355*IF(AND(Inputs!$B$4&lt;&gt;"pvp",Inputs!$B$35&gt;0),(((S355-1)*(Skills!T18*(1+Inputs!$B$33/100))+MIN((Skills!T18*(1+Inputs!$B$33/100)),MAX(0,Inputs!$B$35-((S355-1)*Skills!D18))))/Inputs!$B$35),IF(Inputs!$B$4="pvp",MIN((Skills!T18*(1+Inputs!$B$33/100)),15)/15,(Skills!T18*(1+Inputs!$B$33/100))/Skills!D18)))+0)/100)*I344)</f>
        <v/>
      </c>
      <c r="L344">
        <f>K344*(MIN((Inputs!$B$21+1)+((C359=TRUE)*(F359-Calc!F22)),Inputs!$B$22+((C361=TRUE)*(F361-Calc!F24)))/100+(Inputs!$B$22+((C361=TRUE)*(F361-Calc!F24)))/100)/2</f>
        <v/>
      </c>
      <c r="M344">
        <f>L344*(1+(Inputs!$B$9+0+B369)/100)</f>
        <v/>
      </c>
      <c r="N344">
        <f>L344*(1-MIN((Inputs!$B$8+0+B364),100)/100)+M344*(MIN((Inputs!$B$8+0+B364),100)/100)</f>
        <v/>
      </c>
      <c r="O344">
        <f>IF(C344,H344*N344*IF(AND(Inputs!$B$4&lt;&gt;"pvp",Inputs!$B$35&gt;0),((Skills!G7*((R344-1)*IF(Skills!H7&gt;0,Skills!I7/Skills!H7,1)+IF(Skills!H7&gt;0,MIN(Skills!I7,MAX(0,Inputs!$B$35-((R344-1)*IF(Inputs!$B$4="pvp",15,MAX(0.1,Skills!D7-IF(Skills!E7=TRUE,Inputs!$B$31,0))))))/Skills!H7,1)))/Inputs!$B$35),G344*Q344)*IF(Inputs!$B$4="pvp",1,(1-Summary!$B$55)*(1)+Summary!$B$55*(MIN(Skills!R7,Inputs!$B$37))),0)</f>
        <v/>
      </c>
      <c r="P344">
        <f>IF(B372=0,0,O344/B372)</f>
        <v/>
      </c>
      <c r="Q344">
        <f>IFERROR(1/IF(Inputs!$B$4="pvp",15,MAX(0.1,Skills!D7-IF(Skills!E7=TRUE,Inputs!$B$31,0))),0)</f>
        <v/>
      </c>
      <c r="R344">
        <f>IF(AND(Inputs!$B$4&lt;&gt;"pvp",Inputs!$B$35&gt;0),(INT(Inputs!$B$35/IF(Inputs!$B$4="pvp",15,MAX(0.1,Skills!D7-IF(Skills!E7=TRUE,Inputs!$B$31,0))))+1),0)</f>
        <v/>
      </c>
      <c r="S344">
        <f>IFERROR(O344/N344,0)</f>
        <v/>
      </c>
    </row>
    <row r="345">
      <c r="A345">
        <f>Skills!A8</f>
        <v/>
      </c>
      <c r="B345">
        <f>Skills!B8</f>
        <v/>
      </c>
      <c r="C345">
        <f>Inputs!$B$3&gt;=107</f>
        <v/>
      </c>
      <c r="D345">
        <f>IF(Skills!C8=1,60+Inputs!$B$24+Inputs!$B$28,IF(Skills!C8=2,90+Inputs!$B$25+Inputs!$B$28,IF(Skills!C8=3,120+Inputs!$B$26+Inputs!$B$28,MAX(0,(Inputs!$B$3-100)*3)+Inputs!$B$27+Inputs!$B$28)))</f>
        <v/>
      </c>
      <c r="E345">
        <f>INDEX(FactorTable!$B$2:$Y$301, MATCH(ROUND(MIN(300,MAX(1,D345)),0), FactorTable!$A$2:$A$301,0), Skills!M8+1)</f>
        <v/>
      </c>
      <c r="F345">
        <f>IF(Skills!N8=TRUE,(Skills!L8/10)*(E345/1000),Skills!L8/10)+Skills!O8</f>
        <v/>
      </c>
      <c r="G345">
        <f>Skills!G8*IF(Skills!H8&gt;0,Skills!I8/Skills!H8,1)</f>
        <v/>
      </c>
      <c r="H345">
        <f>1-(1-Skills!J8/100)^Skills!K8</f>
        <v/>
      </c>
      <c r="I345" t="inlineStr">
        <is>
          <t>1</t>
        </is>
      </c>
      <c r="J345">
        <f>(Inputs!$B$5*(1+Inputs!$B$6/100))*(F345/100)</f>
        <v/>
      </c>
      <c r="K345">
        <f>J345*(1+((Inputs!$B$11*(1+Inputs!$B$12/100))*0.01+Inputs!$B$13*0.0025)/100)*(1+Inputs!$B$14/100)*(1+IF(Inputs!$B$4="pvp",0,(1-Summary!$B$55)*(Inputs!$B$19+0+Skills!P8)+Summary!$B$55*(Inputs!$B$20+Skills!Q8))/100)*(1+Inputs!$B$15/100)*(5000/(6000+Inputs!$B$7*(1-(Inputs!$B$18+0)/100)))*(1+(Inputs!$B$23+0+B370)/100)*(1+(IF(Skills!A8="BLAST",Inputs!$B$16+((C358=TRUE)*(F358-Calc!F21)),Inputs!$B$17+((C360=TRUE)*(F360-Calc!F23))))/100)*((1+(((C350=TRUE)*F350*MIN(1,Skills!T13*(Skills!J13/100)*B368))+((C355=TRUE)*F355*IF(AND(Inputs!$B$4&lt;&gt;"pvp",Inputs!$B$35&gt;0),(((S355-1)*(Skills!T18*(1+Inputs!$B$33/100))+MIN((Skills!T18*(1+Inputs!$B$33/100)),MAX(0,Inputs!$B$35-((S355-1)*Skills!D18))))/Inputs!$B$35),IF(Inputs!$B$4="pvp",MIN((Skills!T18*(1+Inputs!$B$33/100)),15)/15,(Skills!T18*(1+Inputs!$B$33/100))/Skills!D18)))+0)/100)*I345)</f>
        <v/>
      </c>
      <c r="L345">
        <f>K345*(MIN((Inputs!$B$21+1)+((C359=TRUE)*(F359-Calc!F22)),Inputs!$B$22+((C361=TRUE)*(F361-Calc!F24)))/100+(Inputs!$B$22+((C361=TRUE)*(F361-Calc!F24)))/100)/2</f>
        <v/>
      </c>
      <c r="M345">
        <f>L345*(1+(Inputs!$B$9+0+B369)/100)</f>
        <v/>
      </c>
      <c r="N345">
        <f>L345*(1-MIN((Inputs!$B$8+0+B364),100)/100)+M345*(MIN((Inputs!$B$8+0+B364),100)/100)</f>
        <v/>
      </c>
      <c r="O345">
        <f>IF(C345,H345*N345*IF(AND(Inputs!$B$4&lt;&gt;"pvp",Inputs!$B$35&gt;0),((Skills!G8*((R345-1)*IF(Skills!H8&gt;0,Skills!I8/Skills!H8,1)+IF(Skills!H8&gt;0,MIN(Skills!I8,MAX(0,Inputs!$B$35-((R345-1)*IF(Inputs!$B$4="pvp",15,MAX(0.1,Skills!D8-IF(Skills!E8=TRUE,Inputs!$B$31,0))))))/Skills!H8,1)))/Inputs!$B$35),G345*Q345)*IF(Inputs!$B$4="pvp",1,(1-Summary!$B$55)*(1)+Summary!$B$55*(MIN(Skills!R8,Inputs!$B$37))),0)</f>
        <v/>
      </c>
      <c r="P345">
        <f>IF(B372=0,0,O345/B372)</f>
        <v/>
      </c>
      <c r="Q345">
        <f>IFERROR(1/IF(Inputs!$B$4="pvp",15,MAX(0.1,Skills!D8-IF(Skills!E8=TRUE,Inputs!$B$31,0))),0)</f>
        <v/>
      </c>
      <c r="R345">
        <f>IF(AND(Inputs!$B$4&lt;&gt;"pvp",Inputs!$B$35&gt;0),(INT(Inputs!$B$35/IF(Inputs!$B$4="pvp",15,MAX(0.1,Skills!D8-IF(Skills!E8=TRUE,Inputs!$B$31,0))))+1),0)</f>
        <v/>
      </c>
      <c r="S345">
        <f>IFERROR(O345/N345,0)</f>
        <v/>
      </c>
    </row>
    <row r="346">
      <c r="A346">
        <f>Skills!A9</f>
        <v/>
      </c>
      <c r="B346">
        <f>Skills!B9</f>
        <v/>
      </c>
      <c r="C346">
        <f>Inputs!$B$3&gt;=125</f>
        <v/>
      </c>
      <c r="D346">
        <f>IF(Skills!C9=1,60+Inputs!$B$24+Inputs!$B$28,IF(Skills!C9=2,90+Inputs!$B$25+Inputs!$B$28,IF(Skills!C9=3,120+Inputs!$B$26+Inputs!$B$28,MAX(0,(Inputs!$B$3-100)*3)+Inputs!$B$27+Inputs!$B$28)))</f>
        <v/>
      </c>
      <c r="E346">
        <f>INDEX(FactorTable!$B$2:$Y$301, MATCH(ROUND(MIN(300,MAX(1,D346)),0), FactorTable!$A$2:$A$301,0), Skills!M9+1)</f>
        <v/>
      </c>
      <c r="F346">
        <f>IF(Skills!N9=TRUE,(Skills!L9/10)*(E346/1000),Skills!L9/10)+Skills!O9</f>
        <v/>
      </c>
      <c r="G346">
        <f>Skills!G9*IF(Skills!H9&gt;0,Skills!I9/Skills!H9,1)</f>
        <v/>
      </c>
      <c r="H346">
        <f>1-(1-Skills!J9/100)^Skills!K9</f>
        <v/>
      </c>
      <c r="I346" t="inlineStr">
        <is>
          <t>1</t>
        </is>
      </c>
      <c r="J346">
        <f>(Inputs!$B$5*(1+Inputs!$B$6/100))*(F346/100)</f>
        <v/>
      </c>
      <c r="K346">
        <f>J346*(1+((Inputs!$B$11*(1+Inputs!$B$12/100))*0.01+Inputs!$B$13*0.0025)/100)*(1+Inputs!$B$14/100)*(1+IF(Inputs!$B$4="pvp",0,(1-Summary!$B$55)*(Inputs!$B$19+0+Skills!P9)+Summary!$B$55*(Inputs!$B$20+Skills!Q9))/100)*(1+Inputs!$B$15/100)*(5000/(6000+Inputs!$B$7*(1-(Inputs!$B$18+0)/100)))*(1+(Inputs!$B$23+0+B370)/100)*(1+(IF(Skills!A9="BLAST",Inputs!$B$16+((C358=TRUE)*(F358-Calc!F21)),Inputs!$B$17+((C360=TRUE)*(F360-Calc!F23))))/100)*((1+(((C350=TRUE)*F350*MIN(1,Skills!T13*(Skills!J13/100)*B368))+((C355=TRUE)*F355*IF(AND(Inputs!$B$4&lt;&gt;"pvp",Inputs!$B$35&gt;0),(((S355-1)*(Skills!T18*(1+Inputs!$B$33/100))+MIN((Skills!T18*(1+Inputs!$B$33/100)),MAX(0,Inputs!$B$35-((S355-1)*Skills!D18))))/Inputs!$B$35),IF(Inputs!$B$4="pvp",MIN((Skills!T18*(1+Inputs!$B$33/100)),15)/15,(Skills!T18*(1+Inputs!$B$33/100))/Skills!D18)))+0)/100)*I346)</f>
        <v/>
      </c>
      <c r="L346">
        <f>K346*(MIN((Inputs!$B$21+1)+((C359=TRUE)*(F359-Calc!F22)),Inputs!$B$22+((C361=TRUE)*(F361-Calc!F24)))/100+(Inputs!$B$22+((C361=TRUE)*(F361-Calc!F24)))/100)/2</f>
        <v/>
      </c>
      <c r="M346">
        <f>L346*(1+(Inputs!$B$9+0+B369)/100)</f>
        <v/>
      </c>
      <c r="N346">
        <f>L346*(1-MIN((Inputs!$B$8+0+B364),100)/100)+M346*(MIN((Inputs!$B$8+0+B364),100)/100)</f>
        <v/>
      </c>
      <c r="O346">
        <f>IF(C346,H346*N346*IF(AND(Inputs!$B$4&lt;&gt;"pvp",Inputs!$B$35&gt;0),((Skills!G9*((R346-1)*IF(Skills!H9&gt;0,Skills!I9/Skills!H9,1)+IF(Skills!H9&gt;0,MIN(Skills!I9,MAX(0,Inputs!$B$35-((R346-1)*IF(Inputs!$B$4="pvp",15,MAX(0.1,Skills!D9-IF(Skills!E9=TRUE,Inputs!$B$31,0))))))/Skills!H9,1)))/Inputs!$B$35),G346*Q346)*IF(Inputs!$B$4="pvp",1,(1-Summary!$B$55)*(1)+Summary!$B$55*(MIN(Skills!R9,Inputs!$B$37))),0)</f>
        <v/>
      </c>
      <c r="P346">
        <f>IF(B372=0,0,O346/B372)</f>
        <v/>
      </c>
      <c r="Q346">
        <f>IFERROR(1/IF(Inputs!$B$4="pvp",15,MAX(0.1,Skills!D9-IF(Skills!E9=TRUE,Inputs!$B$31,0))),0)</f>
        <v/>
      </c>
      <c r="R346">
        <f>IF(AND(Inputs!$B$4&lt;&gt;"pvp",Inputs!$B$35&gt;0),(INT(Inputs!$B$35/IF(Inputs!$B$4="pvp",15,MAX(0.1,Skills!D9-IF(Skills!E9=TRUE,Inputs!$B$31,0))))+1),0)</f>
        <v/>
      </c>
      <c r="S346">
        <f>IFERROR(O346/N346,0)</f>
        <v/>
      </c>
    </row>
    <row r="347">
      <c r="A347">
        <f>Skills!A10</f>
        <v/>
      </c>
      <c r="B347">
        <f>Skills!B10</f>
        <v/>
      </c>
      <c r="C347">
        <f>Inputs!$B$3&gt;=117</f>
        <v/>
      </c>
      <c r="D347">
        <f>IF(Skills!C10=1,60+Inputs!$B$24+Inputs!$B$28,IF(Skills!C10=2,90+Inputs!$B$25+Inputs!$B$28,IF(Skills!C10=3,120+Inputs!$B$26+Inputs!$B$28,MAX(0,(Inputs!$B$3-100)*3)+Inputs!$B$27+Inputs!$B$28)))</f>
        <v/>
      </c>
      <c r="E347">
        <f>INDEX(FactorTable!$B$2:$Y$301, MATCH(ROUND(MIN(300,MAX(1,D347)),0), FactorTable!$A$2:$A$301,0), Skills!M10+1)</f>
        <v/>
      </c>
      <c r="F347">
        <f>IF(Skills!N10=TRUE,(Skills!L10/10)*(E347/1000),Skills!L10/10)+Skills!O10</f>
        <v/>
      </c>
      <c r="G347">
        <f>Skills!G10*IF(Skills!H10&gt;0,Skills!I10/Skills!H10,1)</f>
        <v/>
      </c>
      <c r="H347">
        <f>1-(1-Skills!J10/100)^Skills!K10</f>
        <v/>
      </c>
      <c r="I347" t="inlineStr">
        <is>
          <t>1</t>
        </is>
      </c>
      <c r="J347">
        <f>(Inputs!$B$5*(1+Inputs!$B$6/100))*(F347/100)</f>
        <v/>
      </c>
      <c r="K347">
        <f>J347*(1+((Inputs!$B$11*(1+Inputs!$B$12/100))*0.01+Inputs!$B$13*0.0025)/100)*(1+Inputs!$B$14/100)*(1+IF(Inputs!$B$4="pvp",0,(1-Summary!$B$55)*(Inputs!$B$19+0+Skills!P10)+Summary!$B$55*(Inputs!$B$20+Skills!Q10))/100)*(1+Inputs!$B$15/100)*(5000/(6000+Inputs!$B$7*(1-(Inputs!$B$18+0)/100)))*(1+(Inputs!$B$23+0+B370)/100)*(1+(IF(Skills!A10="BLAST",Inputs!$B$16+((C358=TRUE)*(F358-Calc!F21)),Inputs!$B$17+((C360=TRUE)*(F360-Calc!F23))))/100)*((1+(((C350=TRUE)*F350*MIN(1,Skills!T13*(Skills!J13/100)*B368))+((C355=TRUE)*F355*IF(AND(Inputs!$B$4&lt;&gt;"pvp",Inputs!$B$35&gt;0),(((S355-1)*(Skills!T18*(1+Inputs!$B$33/100))+MIN((Skills!T18*(1+Inputs!$B$33/100)),MAX(0,Inputs!$B$35-((S355-1)*Skills!D18))))/Inputs!$B$35),IF(Inputs!$B$4="pvp",MIN((Skills!T18*(1+Inputs!$B$33/100)),15)/15,(Skills!T18*(1+Inputs!$B$33/100))/Skills!D18)))+0)/100)*I347)</f>
        <v/>
      </c>
      <c r="L347">
        <f>K347*(MIN((Inputs!$B$21+1)+((C359=TRUE)*(F359-Calc!F22)),Inputs!$B$22+((C361=TRUE)*(F361-Calc!F24)))/100+(Inputs!$B$22+((C361=TRUE)*(F361-Calc!F24)))/100)/2</f>
        <v/>
      </c>
      <c r="M347">
        <f>L347*(1+(Inputs!$B$9+0+B369)/100)</f>
        <v/>
      </c>
      <c r="N347">
        <f>L347*(1-MIN((Inputs!$B$8+0+B364),100)/100)+M347*(MIN((Inputs!$B$8+0+B364),100)/100)</f>
        <v/>
      </c>
      <c r="O347">
        <f>IF(C347,H347*N347*IF(AND(Inputs!$B$4&lt;&gt;"pvp",Inputs!$B$35&gt;0),((Skills!G10*((R347-1)*IF(Skills!H10&gt;0,Skills!I10/Skills!H10,1)+IF(Skills!H10&gt;0,MIN(Skills!I10,MAX(0,Inputs!$B$35-((R347-1)*IF(Inputs!$B$4="pvp",15,MAX(0.1,Skills!D10-IF(Skills!E10=TRUE,Inputs!$B$31,0))))))/Skills!H10,1)))/Inputs!$B$35),G347*Q347)*IF(Inputs!$B$4="pvp",1,(1-Summary!$B$55)*(1)+Summary!$B$55*(MIN(Skills!R10,Inputs!$B$37))),0)</f>
        <v/>
      </c>
      <c r="P347">
        <f>IF(B372=0,0,O347/B372)</f>
        <v/>
      </c>
      <c r="Q347">
        <f>IFERROR(1/IF(Inputs!$B$4="pvp",15,MAX(0.1,Skills!D10-IF(Skills!E10=TRUE,Inputs!$B$31,0))),0)</f>
        <v/>
      </c>
      <c r="R347">
        <f>IF(AND(Inputs!$B$4&lt;&gt;"pvp",Inputs!$B$35&gt;0),(INT(Inputs!$B$35/IF(Inputs!$B$4="pvp",15,MAX(0.1,Skills!D10-IF(Skills!E10=TRUE,Inputs!$B$31,0))))+1),0)</f>
        <v/>
      </c>
      <c r="S347">
        <f>IFERROR(O347/N347,0)</f>
        <v/>
      </c>
    </row>
    <row r="348">
      <c r="A348">
        <f>Skills!A11</f>
        <v/>
      </c>
      <c r="B348">
        <f>Skills!B11</f>
        <v/>
      </c>
      <c r="C348">
        <f>Inputs!$B$3&gt;=63</f>
        <v/>
      </c>
      <c r="D348">
        <f>IF(Skills!C11=1,60+Inputs!$B$24+Inputs!$B$28,IF(Skills!C11=2,90+Inputs!$B$25+Inputs!$B$28,IF(Skills!C11=3,120+Inputs!$B$26+Inputs!$B$28,MAX(0,(Inputs!$B$3-100)*3)+Inputs!$B$27+Inputs!$B$28)))</f>
        <v/>
      </c>
      <c r="E348">
        <f>INDEX(FactorTable!$B$2:$Y$301, MATCH(ROUND(MIN(300,MAX(1,D348)),0), FactorTable!$A$2:$A$301,0), Skills!M11+1)</f>
        <v/>
      </c>
      <c r="F348">
        <f>IF(Skills!N11=TRUE,(Skills!L11/10)*(E348/1000),Skills!L11/10)+Skills!O11</f>
        <v/>
      </c>
      <c r="G348">
        <f>Skills!G11*IF(Skills!H11&gt;0,Skills!I11/Skills!H11,1)</f>
        <v/>
      </c>
      <c r="H348">
        <f>1-(1-Skills!J11/100)^Skills!K11</f>
        <v/>
      </c>
      <c r="I348" t="inlineStr">
        <is>
          <t>1</t>
        </is>
      </c>
      <c r="J348">
        <f>(Inputs!$B$5*(1+Inputs!$B$6/100))*(F348/100)</f>
        <v/>
      </c>
      <c r="K348">
        <f>J348*(1+((Inputs!$B$11*(1+Inputs!$B$12/100))*0.01+Inputs!$B$13*0.0025)/100)*(1+Inputs!$B$14/100)*(1+IF(Inputs!$B$4="pvp",0,(1-Summary!$B$55)*(Inputs!$B$19+0+Skills!P11)+Summary!$B$55*(Inputs!$B$20+Skills!Q11))/100)*(1+Inputs!$B$15/100)*(5000/(6000+Inputs!$B$7*(1-(Inputs!$B$18+0)/100)))*(1+(Inputs!$B$23+0+B370)/100)*(1+1.5*IF(C349=TRUE,F349,0)/100)*(1+(IF(Skills!A11="BLAST",Inputs!$B$16+((C358=TRUE)*(F358-Calc!F21)),Inputs!$B$17+((C360=TRUE)*(F360-Calc!F23))))/100)*((1+(((C350=TRUE)*F350*MIN(1,Skills!T13*(Skills!J13/100)*B368))+((C355=TRUE)*F355*IF(AND(Inputs!$B$4&lt;&gt;"pvp",Inputs!$B$35&gt;0),(((S355-1)*(Skills!T18*(1+Inputs!$B$33/100))+MIN((Skills!T18*(1+Inputs!$B$33/100)),MAX(0,Inputs!$B$35-((S355-1)*Skills!D18))))/Inputs!$B$35),IF(Inputs!$B$4="pvp",MIN((Skills!T18*(1+Inputs!$B$33/100)),15)/15,(Skills!T18*(1+Inputs!$B$33/100))/Skills!D18)))+0)/100)*I348)</f>
        <v/>
      </c>
      <c r="L348">
        <f>K348*(MIN((Inputs!$B$21+1)+((C359=TRUE)*(F359-Calc!F22)),Inputs!$B$22+((C361=TRUE)*(F361-Calc!F24)))/100+(Inputs!$B$22+((C361=TRUE)*(F361-Calc!F24)))/100)/2</f>
        <v/>
      </c>
      <c r="M348">
        <f>L348*(1+(Inputs!$B$9+0+B369)/100)</f>
        <v/>
      </c>
      <c r="N348">
        <f>L348*(1-MIN((Inputs!$B$8+0+B364),100)/100)+M348*(MIN((Inputs!$B$8+0+B364),100)/100)</f>
        <v/>
      </c>
      <c r="O348">
        <f>IF(C348,H348*N348*IF(AND(Inputs!$B$4&lt;&gt;"pvp",Inputs!$B$35&gt;0),((Skills!G11*((R348-1)*IF(Skills!H11&gt;0,Skills!I11/Skills!H11,1)+IF(Skills!H11&gt;0,MIN(Skills!I11,MAX(0,Inputs!$B$35-((R348-1)*IF(Inputs!$B$4="pvp",15,MAX(0.1,Skills!D11-IF(Skills!E11=TRUE,Inputs!$B$31,0))))))/Skills!H11,1)))/Inputs!$B$35),G348*Q348)*IF(Inputs!$B$4="pvp",1,(1-Summary!$B$55)*(1)+Summary!$B$55*(MIN(Skills!R11,Inputs!$B$37))),0)</f>
        <v/>
      </c>
      <c r="P348">
        <f>IF(B372=0,0,O348/B372)</f>
        <v/>
      </c>
      <c r="Q348">
        <f>IFERROR(1/IF(Inputs!$B$4="pvp",15,MAX(0.1,Skills!D11-IF(Skills!E11=TRUE,Inputs!$B$31,0))),0)</f>
        <v/>
      </c>
      <c r="R348">
        <f>IF(AND(Inputs!$B$4&lt;&gt;"pvp",Inputs!$B$35&gt;0),(INT(Inputs!$B$35/IF(Inputs!$B$4="pvp",15,MAX(0.1,Skills!D11-IF(Skills!E11=TRUE,Inputs!$B$31,0))))+1),0)</f>
        <v/>
      </c>
      <c r="S348">
        <f>IFERROR(O348/N348,0)</f>
        <v/>
      </c>
    </row>
    <row r="349">
      <c r="A349">
        <f>Skills!A12</f>
        <v/>
      </c>
      <c r="B349">
        <f>Skills!B12</f>
        <v/>
      </c>
      <c r="C349">
        <f>Inputs!$B$3&gt;=100</f>
        <v/>
      </c>
      <c r="D349">
        <f>IF(Skills!C12=1,60+Inputs!$B$24+Inputs!$B$28,IF(Skills!C12=2,90+Inputs!$B$25+Inputs!$B$28,IF(Skills!C12=3,120+Inputs!$B$26+Inputs!$B$28,MAX(0,(Inputs!$B$3-100)*3)+Inputs!$B$27+Inputs!$B$28)))</f>
        <v/>
      </c>
      <c r="E349">
        <f>INDEX(FactorTable!$B$2:$Y$301, MATCH(ROUND(MIN(300,MAX(1,D349)),0), FactorTable!$A$2:$A$301,0), Skills!M12+1)</f>
        <v/>
      </c>
      <c r="F349">
        <f>IF(Skills!N12=TRUE,(Skills!L12/10)*(E349/1000),Skills!L12/10)+Skills!O12</f>
        <v/>
      </c>
      <c r="G349" t="inlineStr"/>
      <c r="H349" t="inlineStr"/>
      <c r="I349" t="inlineStr">
        <is>
          <t>1</t>
        </is>
      </c>
      <c r="J349" t="inlineStr"/>
      <c r="K349" t="inlineStr"/>
      <c r="L349" t="inlineStr"/>
      <c r="M349" t="inlineStr"/>
      <c r="N349" t="inlineStr"/>
      <c r="O349" t="inlineStr"/>
      <c r="P349" t="inlineStr"/>
      <c r="Q349" t="inlineStr"/>
      <c r="R349" t="inlineStr"/>
      <c r="S349" t="inlineStr"/>
    </row>
    <row r="350">
      <c r="A350">
        <f>Skills!A13</f>
        <v/>
      </c>
      <c r="B350">
        <f>Skills!B13</f>
        <v/>
      </c>
      <c r="C350">
        <f>Inputs!$B$3&gt;=45</f>
        <v/>
      </c>
      <c r="D350">
        <f>IF(Skills!C13=1,60+Inputs!$B$24+Inputs!$B$28,IF(Skills!C13=2,90+Inputs!$B$25+Inputs!$B$28,IF(Skills!C13=3,120+Inputs!$B$26+Inputs!$B$28,MAX(0,(Inputs!$B$3-100)*3)+Inputs!$B$27+Inputs!$B$28)))</f>
        <v/>
      </c>
      <c r="E350">
        <f>INDEX(FactorTable!$B$2:$Y$301, MATCH(ROUND(MIN(300,MAX(1,D350)),0), FactorTable!$A$2:$A$301,0), Skills!M13+1)</f>
        <v/>
      </c>
      <c r="F350">
        <f>IF(Skills!N13=TRUE,(Skills!L13/10)*(E350/1000),Skills!L13/10)+Skills!O13</f>
        <v/>
      </c>
      <c r="G350">
        <f>Skills!G13*IF(Skills!H13&gt;0,Skills!I13/Skills!H13,1)</f>
        <v/>
      </c>
      <c r="H350">
        <f>1-(1-Skills!J13/100)^Skills!K13</f>
        <v/>
      </c>
      <c r="I350" t="inlineStr">
        <is>
          <t>1</t>
        </is>
      </c>
      <c r="J350" t="inlineStr"/>
      <c r="K350" t="inlineStr"/>
      <c r="L350" t="inlineStr"/>
      <c r="M350" t="inlineStr"/>
      <c r="N350" t="inlineStr"/>
      <c r="O350" t="n">
        <v>0</v>
      </c>
      <c r="P350">
        <f>IF(B372=0,0,O350/B372)</f>
        <v/>
      </c>
      <c r="Q350" t="n">
        <v>0</v>
      </c>
      <c r="R350" t="n">
        <v>0</v>
      </c>
      <c r="S350">
        <f>IFERROR(O350/N350,0)</f>
        <v/>
      </c>
    </row>
    <row r="351">
      <c r="A351">
        <f>Skills!A14</f>
        <v/>
      </c>
      <c r="B351">
        <f>Skills!B14</f>
        <v/>
      </c>
      <c r="C351">
        <f>Inputs!$B$3&gt;=110</f>
        <v/>
      </c>
      <c r="D351">
        <f>IF(Skills!C14=1,60+Inputs!$B$24+Inputs!$B$28,IF(Skills!C14=2,90+Inputs!$B$25+Inputs!$B$28,IF(Skills!C14=3,120+Inputs!$B$26+Inputs!$B$28,MAX(0,(Inputs!$B$3-100)*3)+Inputs!$B$27+Inputs!$B$28)))</f>
        <v/>
      </c>
      <c r="E351">
        <f>INDEX(FactorTable!$B$2:$Y$301, MATCH(ROUND(MIN(300,MAX(1,D351)),0), FactorTable!$A$2:$A$301,0), Skills!M14+1)</f>
        <v/>
      </c>
      <c r="F351">
        <f>IF(Skills!N14=TRUE,(Skills!L14/10)*(E351/1000),Skills!L14/10)+Skills!O14</f>
        <v/>
      </c>
      <c r="G351">
        <f>Skills!G14*IF(Skills!H14&gt;0,Skills!I14/Skills!H14,1)</f>
        <v/>
      </c>
      <c r="H351">
        <f>1-(1-Skills!J14/100)^Skills!K14</f>
        <v/>
      </c>
      <c r="I351" t="inlineStr">
        <is>
          <t>1</t>
        </is>
      </c>
      <c r="J351" t="inlineStr"/>
      <c r="K351" t="inlineStr"/>
      <c r="L351" t="inlineStr"/>
      <c r="M351" t="inlineStr"/>
      <c r="N351" t="inlineStr"/>
      <c r="O351" t="n">
        <v>0</v>
      </c>
      <c r="P351">
        <f>IF(B372=0,0,O351/B372)</f>
        <v/>
      </c>
      <c r="Q351" t="n">
        <v>0</v>
      </c>
      <c r="R351" t="n">
        <v>0</v>
      </c>
      <c r="S351">
        <f>IFERROR(O351/N351,0)</f>
        <v/>
      </c>
    </row>
    <row r="352">
      <c r="A352">
        <f>Skills!A15</f>
        <v/>
      </c>
      <c r="B352">
        <f>Skills!B15</f>
        <v/>
      </c>
      <c r="C352">
        <f>Inputs!$B$3&gt;=75</f>
        <v/>
      </c>
      <c r="D352">
        <f>IF(Skills!C15=1,60+Inputs!$B$24+Inputs!$B$28,IF(Skills!C15=2,90+Inputs!$B$25+Inputs!$B$28,IF(Skills!C15=3,120+Inputs!$B$26+Inputs!$B$28,MAX(0,(Inputs!$B$3-100)*3)+Inputs!$B$27+Inputs!$B$28)))</f>
        <v/>
      </c>
      <c r="E352">
        <f>INDEX(FactorTable!$B$2:$Y$301, MATCH(ROUND(MIN(300,MAX(1,D352)),0), FactorTable!$A$2:$A$301,0), Skills!M15+1)</f>
        <v/>
      </c>
      <c r="F352">
        <f>IF(Skills!N15=TRUE,(Skills!L15/10)*(E352/1000),Skills!L15/10)+Skills!O15</f>
        <v/>
      </c>
      <c r="G352">
        <f>Skills!G15*IF(Skills!H15&gt;0,Skills!I15/Skills!H15,1)</f>
        <v/>
      </c>
      <c r="H352">
        <f>1-(1-Skills!J15/100)^Skills!K15</f>
        <v/>
      </c>
      <c r="I352" t="inlineStr">
        <is>
          <t>1</t>
        </is>
      </c>
      <c r="J352" t="inlineStr"/>
      <c r="K352" t="inlineStr"/>
      <c r="L352" t="inlineStr"/>
      <c r="M352" t="inlineStr"/>
      <c r="N352" t="inlineStr"/>
      <c r="O352" t="n">
        <v>0</v>
      </c>
      <c r="P352">
        <f>IF(B372=0,0,O352/B372)</f>
        <v/>
      </c>
      <c r="Q352">
        <f>IFERROR(1/IF(Inputs!$B$4="pvp",15,MAX(0.1,Skills!D15-IF(Skills!E15=TRUE,Inputs!$B$31,0))),0)</f>
        <v/>
      </c>
      <c r="R352">
        <f>IF(AND(Inputs!$B$4&lt;&gt;"pvp",Inputs!$B$35&gt;0),(INT(Inputs!$B$35/IF(Inputs!$B$4="pvp",15,MAX(0.1,Skills!D15-IF(Skills!E15=TRUE,Inputs!$B$31,0))))+1),0)</f>
        <v/>
      </c>
      <c r="S352">
        <f>IFERROR(O352/N352,0)</f>
        <v/>
      </c>
    </row>
    <row r="353">
      <c r="A353">
        <f>Skills!A16</f>
        <v/>
      </c>
      <c r="B353">
        <f>Skills!B16</f>
        <v/>
      </c>
      <c r="C353">
        <f>Inputs!$B$3&gt;=105</f>
        <v/>
      </c>
      <c r="D353">
        <f>IF(Skills!C16=1,60+Inputs!$B$24+Inputs!$B$28,IF(Skills!C16=2,90+Inputs!$B$25+Inputs!$B$28,IF(Skills!C16=3,120+Inputs!$B$26+Inputs!$B$28,MAX(0,(Inputs!$B$3-100)*3)+Inputs!$B$27+Inputs!$B$28)))</f>
        <v/>
      </c>
      <c r="E353">
        <f>INDEX(FactorTable!$B$2:$Y$301, MATCH(ROUND(MIN(300,MAX(1,D353)),0), FactorTable!$A$2:$A$301,0), Skills!M16+1)</f>
        <v/>
      </c>
      <c r="F353">
        <f>IF(Skills!N16=TRUE,(Skills!L16/10)*(E353/1000),Skills!L16/10)+Skills!O16</f>
        <v/>
      </c>
      <c r="G353">
        <f>Skills!G16*IF(Skills!H16&gt;0,Skills!I16/Skills!H16,1)</f>
        <v/>
      </c>
      <c r="H353">
        <f>1-(1-Skills!J16/100)^Skills!K16</f>
        <v/>
      </c>
      <c r="I353" t="inlineStr">
        <is>
          <t>1</t>
        </is>
      </c>
      <c r="J353" t="inlineStr"/>
      <c r="K353" t="inlineStr"/>
      <c r="L353" t="inlineStr"/>
      <c r="M353" t="inlineStr"/>
      <c r="N353" t="inlineStr"/>
      <c r="O353" t="n">
        <v>0</v>
      </c>
      <c r="P353">
        <f>IF(B372=0,0,O353/B372)</f>
        <v/>
      </c>
      <c r="Q353">
        <f>IFERROR(1/IF(Inputs!$B$4="pvp",15,MAX(0.1,Skills!D16-IF(Skills!E16=TRUE,Inputs!$B$31,0))),0)</f>
        <v/>
      </c>
      <c r="R353">
        <f>IF(AND(Inputs!$B$4&lt;&gt;"pvp",Inputs!$B$35&gt;0),(INT(Inputs!$B$35/IF(Inputs!$B$4="pvp",15,MAX(0.1,Skills!D16-IF(Skills!E16=TRUE,Inputs!$B$31,0))))+1),0)</f>
        <v/>
      </c>
      <c r="S353">
        <f>IFERROR(O353/N353,0)</f>
        <v/>
      </c>
    </row>
    <row r="354">
      <c r="A354">
        <f>Skills!A17</f>
        <v/>
      </c>
      <c r="B354">
        <f>Skills!B17</f>
        <v/>
      </c>
      <c r="C354">
        <f>Inputs!$B$3&gt;=115</f>
        <v/>
      </c>
      <c r="D354">
        <f>IF(Skills!C17=1,60+Inputs!$B$24+Inputs!$B$28,IF(Skills!C17=2,90+Inputs!$B$25+Inputs!$B$28,IF(Skills!C17=3,120+Inputs!$B$26+Inputs!$B$28,MAX(0,(Inputs!$B$3-100)*3)+Inputs!$B$27+Inputs!$B$28)))</f>
        <v/>
      </c>
      <c r="E354">
        <f>INDEX(FactorTable!$B$2:$Y$301, MATCH(ROUND(MIN(300,MAX(1,D354)),0), FactorTable!$A$2:$A$301,0), Skills!M17+1)</f>
        <v/>
      </c>
      <c r="F354">
        <f>IF(Skills!N17=TRUE,(Skills!L17/10)*(E354/1000),Skills!L17/10)+Skills!O17</f>
        <v/>
      </c>
      <c r="G354">
        <f>Skills!G17*IF(Skills!H17&gt;0,Skills!I17/Skills!H17,1)</f>
        <v/>
      </c>
      <c r="H354">
        <f>1-(1-Skills!J17/100)^Skills!K17</f>
        <v/>
      </c>
      <c r="I354" t="inlineStr">
        <is>
          <t>1</t>
        </is>
      </c>
      <c r="J354" t="inlineStr"/>
      <c r="K354" t="inlineStr"/>
      <c r="L354" t="inlineStr"/>
      <c r="M354" t="inlineStr"/>
      <c r="N354" t="inlineStr"/>
      <c r="O354" t="n">
        <v>0</v>
      </c>
      <c r="P354">
        <f>IF(B372=0,0,O354/B372)</f>
        <v/>
      </c>
      <c r="Q354">
        <f>IFERROR(1/IF(Inputs!$B$4="pvp",15,MAX(0.1,Skills!D17-IF(Skills!E17=TRUE,Inputs!$B$31,0))),0)</f>
        <v/>
      </c>
      <c r="R354">
        <f>IF(AND(Inputs!$B$4&lt;&gt;"pvp",Inputs!$B$35&gt;0),(INT(Inputs!$B$35/IF(Inputs!$B$4="pvp",15,MAX(0.1,Skills!D17-IF(Skills!E17=TRUE,Inputs!$B$31,0))))+1),0)</f>
        <v/>
      </c>
      <c r="S354">
        <f>IFERROR(O354/N354,0)</f>
        <v/>
      </c>
    </row>
    <row r="355">
      <c r="A355">
        <f>Skills!A18</f>
        <v/>
      </c>
      <c r="B355">
        <f>Skills!B18</f>
        <v/>
      </c>
      <c r="C355">
        <f>Inputs!$B$3&gt;=74</f>
        <v/>
      </c>
      <c r="D355">
        <f>IF(Skills!C18=1,60+Inputs!$B$24+Inputs!$B$28,IF(Skills!C18=2,90+Inputs!$B$25+Inputs!$B$28,IF(Skills!C18=3,120+Inputs!$B$26+Inputs!$B$28,MAX(0,(Inputs!$B$3-100)*3)+Inputs!$B$27+Inputs!$B$28)))</f>
        <v/>
      </c>
      <c r="E355">
        <f>INDEX(FactorTable!$B$2:$Y$301, MATCH(ROUND(MIN(300,MAX(1,D355)),0), FactorTable!$A$2:$A$301,0), Skills!M18+1)</f>
        <v/>
      </c>
      <c r="F355">
        <f>IF(Skills!N18=TRUE,(Skills!L18/10)*(E355/1000),Skills!L18/10)+Skills!O18</f>
        <v/>
      </c>
      <c r="G355">
        <f>Skills!G18*IF(Skills!H18&gt;0,Skills!I18/Skills!H18,1)</f>
        <v/>
      </c>
      <c r="H355">
        <f>1-(1-Skills!J18/100)^Skills!K18</f>
        <v/>
      </c>
      <c r="I355" t="inlineStr">
        <is>
          <t>1</t>
        </is>
      </c>
      <c r="J355" t="inlineStr"/>
      <c r="K355" t="inlineStr"/>
      <c r="L355" t="inlineStr"/>
      <c r="M355" t="inlineStr"/>
      <c r="N355" t="inlineStr"/>
      <c r="O355" t="n">
        <v>0</v>
      </c>
      <c r="P355">
        <f>IF(B372=0,0,O355/B372)</f>
        <v/>
      </c>
      <c r="Q355">
        <f>IFERROR(1/IF(Inputs!$B$4="pvp",15,MAX(0.1,Skills!D18-IF(Skills!E18=TRUE,Inputs!$B$31,0))),0)</f>
        <v/>
      </c>
      <c r="R355">
        <f>IF(AND(Inputs!$B$4&lt;&gt;"pvp",Inputs!$B$35&gt;0),(INT(Inputs!$B$35/IF(Inputs!$B$4="pvp",15,MAX(0.1,Skills!D18-IF(Skills!E18=TRUE,Inputs!$B$31,0))))+1),0)</f>
        <v/>
      </c>
      <c r="S355">
        <f>IFERROR(O355/N355,0)</f>
        <v/>
      </c>
    </row>
    <row r="356">
      <c r="A356">
        <f>Skills!A19</f>
        <v/>
      </c>
      <c r="B356">
        <f>Skills!B19</f>
        <v/>
      </c>
      <c r="C356">
        <f>TRUE</f>
        <v/>
      </c>
      <c r="D356">
        <f>IF(Skills!C19=1,60+Inputs!$B$24+Inputs!$B$28,IF(Skills!C19=2,90+Inputs!$B$25+Inputs!$B$28,IF(Skills!C19=3,120+Inputs!$B$26+Inputs!$B$28,MAX(0,(Inputs!$B$3-100)*3)+Inputs!$B$27+Inputs!$B$28)))</f>
        <v/>
      </c>
      <c r="E356">
        <f>INDEX(FactorTable!$B$2:$Y$301, MATCH(ROUND(MIN(300,MAX(1,D356)),0), FactorTable!$A$2:$A$301,0), Skills!M19+1)</f>
        <v/>
      </c>
      <c r="F356">
        <f>IF(Skills!N19=TRUE,(Skills!L19/10)*(E356/1000),Skills!L19/10)+Skills!O19</f>
        <v/>
      </c>
      <c r="G356">
        <f>Skills!G19*IF(Skills!H19&gt;0,Skills!I19/Skills!H19,1)</f>
        <v/>
      </c>
      <c r="H356">
        <f>1-(1-Skills!J19/100)^Skills!K19</f>
        <v/>
      </c>
      <c r="I356" t="inlineStr">
        <is>
          <t>1</t>
        </is>
      </c>
      <c r="J356" t="inlineStr"/>
      <c r="K356" t="inlineStr"/>
      <c r="L356" t="inlineStr"/>
      <c r="M356" t="inlineStr"/>
      <c r="N356" t="inlineStr"/>
      <c r="O356" t="n">
        <v>0</v>
      </c>
      <c r="P356">
        <f>IF(B372=0,0,O356/B372)</f>
        <v/>
      </c>
      <c r="Q356">
        <f>IFERROR(1/IF(Inputs!$B$4="pvp",15,MAX(0.1,Skills!D19-IF(Skills!E19=TRUE,Inputs!$B$31,0))),0)</f>
        <v/>
      </c>
      <c r="R356">
        <f>IF(AND(Inputs!$B$4&lt;&gt;"pvp",Inputs!$B$35&gt;0),(INT(Inputs!$B$35/IF(Inputs!$B$4="pvp",15,MAX(0.1,Skills!D19-IF(Skills!E19=TRUE,Inputs!$B$31,0))))+1),0)</f>
        <v/>
      </c>
      <c r="S356">
        <f>IFERROR(O356/N356,0)</f>
        <v/>
      </c>
    </row>
    <row r="357">
      <c r="A357">
        <f>Skills!A20</f>
        <v/>
      </c>
      <c r="B357">
        <f>Skills!B20</f>
        <v/>
      </c>
      <c r="C357">
        <f>Inputs!$B$3&gt;=33</f>
        <v/>
      </c>
      <c r="D357">
        <f>IF(Skills!C20=1,60+Inputs!$B$24+Inputs!$B$28,IF(Skills!C20=2,90+Inputs!$B$25+Inputs!$B$28,IF(Skills!C20=3,120+Inputs!$B$26+Inputs!$B$28,MAX(0,(Inputs!$B$3-100)*3)+Inputs!$B$27+Inputs!$B$28)))</f>
        <v/>
      </c>
      <c r="E357">
        <f>INDEX(FactorTable!$B$2:$Y$301, MATCH(ROUND(MIN(300,MAX(1,D357)),0), FactorTable!$A$2:$A$301,0), Skills!M20+1)</f>
        <v/>
      </c>
      <c r="F357">
        <f>IF(Skills!N20=TRUE,(Skills!L20/10)*(E357/1000),Skills!L20/10)+Skills!O20</f>
        <v/>
      </c>
      <c r="G357">
        <f>Skills!G20*IF(Skills!H20&gt;0,Skills!I20/Skills!H20,1)</f>
        <v/>
      </c>
      <c r="H357">
        <f>1-(1-Skills!J20/100)^Skills!K20</f>
        <v/>
      </c>
      <c r="I357" t="inlineStr">
        <is>
          <t>1</t>
        </is>
      </c>
      <c r="J357" t="inlineStr"/>
      <c r="K357" t="inlineStr"/>
      <c r="L357" t="inlineStr"/>
      <c r="M357" t="inlineStr"/>
      <c r="N357" t="inlineStr"/>
      <c r="O357" t="n">
        <v>0</v>
      </c>
      <c r="P357">
        <f>IF(B372=0,0,O357/B372)</f>
        <v/>
      </c>
      <c r="Q357" t="n">
        <v>0</v>
      </c>
      <c r="R357" t="n">
        <v>0</v>
      </c>
      <c r="S357">
        <f>IFERROR(O357/N357,0)</f>
        <v/>
      </c>
    </row>
    <row r="358">
      <c r="A358">
        <f>Skills!A21</f>
        <v/>
      </c>
      <c r="B358">
        <f>Skills!B21</f>
        <v/>
      </c>
      <c r="C358">
        <f>Inputs!$B$3&gt;=38</f>
        <v/>
      </c>
      <c r="D358">
        <f>IF(Skills!C21=1,60+Inputs!$B$24+Inputs!$B$28,IF(Skills!C21=2,90+Inputs!$B$25+Inputs!$B$28,IF(Skills!C21=3,120+Inputs!$B$26+Inputs!$B$28,MAX(0,(Inputs!$B$3-100)*3)+Inputs!$B$27+Inputs!$B$28)))</f>
        <v/>
      </c>
      <c r="E358">
        <f>INDEX(FactorTable!$B$2:$Y$301, MATCH(ROUND(MIN(300,MAX(1,D358)),0), FactorTable!$A$2:$A$301,0), Skills!M21+1)</f>
        <v/>
      </c>
      <c r="F358">
        <f>IF(Skills!N21=TRUE,(Skills!L21/10)*(E358/1000),Skills!L21/10)+Skills!O21</f>
        <v/>
      </c>
      <c r="G358">
        <f>Skills!G21*IF(Skills!H21&gt;0,Skills!I21/Skills!H21,1)</f>
        <v/>
      </c>
      <c r="H358">
        <f>1-(1-Skills!J21/100)^Skills!K21</f>
        <v/>
      </c>
      <c r="I358" t="inlineStr">
        <is>
          <t>1</t>
        </is>
      </c>
      <c r="J358" t="inlineStr"/>
      <c r="K358" t="inlineStr"/>
      <c r="L358" t="inlineStr"/>
      <c r="M358" t="inlineStr"/>
      <c r="N358" t="inlineStr"/>
      <c r="O358" t="n">
        <v>0</v>
      </c>
      <c r="P358">
        <f>IF(B372=0,0,O358/B372)</f>
        <v/>
      </c>
      <c r="Q358" t="n">
        <v>0</v>
      </c>
      <c r="R358" t="n">
        <v>0</v>
      </c>
      <c r="S358">
        <f>IFERROR(O358/N358,0)</f>
        <v/>
      </c>
    </row>
    <row r="359">
      <c r="A359">
        <f>Skills!A22</f>
        <v/>
      </c>
      <c r="B359">
        <f>Skills!B22</f>
        <v/>
      </c>
      <c r="C359">
        <f>Inputs!$B$3&gt;=43</f>
        <v/>
      </c>
      <c r="D359">
        <f>IF(Skills!C22=1,60+Inputs!$B$24+Inputs!$B$28,IF(Skills!C22=2,90+Inputs!$B$25+Inputs!$B$28,IF(Skills!C22=3,120+Inputs!$B$26+Inputs!$B$28,MAX(0,(Inputs!$B$3-100)*3)+Inputs!$B$27+Inputs!$B$28)))</f>
        <v/>
      </c>
      <c r="E359">
        <f>INDEX(FactorTable!$B$2:$Y$301, MATCH(ROUND(MIN(300,MAX(1,D359)),0), FactorTable!$A$2:$A$301,0), Skills!M22+1)</f>
        <v/>
      </c>
      <c r="F359">
        <f>IF(Skills!N22=TRUE,(Skills!L22/10)*(E359/1000),Skills!L22/10)+Skills!O22</f>
        <v/>
      </c>
      <c r="G359">
        <f>Skills!G22*IF(Skills!H22&gt;0,Skills!I22/Skills!H22,1)</f>
        <v/>
      </c>
      <c r="H359">
        <f>1-(1-Skills!J22/100)^Skills!K22</f>
        <v/>
      </c>
      <c r="I359" t="inlineStr">
        <is>
          <t>1</t>
        </is>
      </c>
      <c r="J359" t="inlineStr"/>
      <c r="K359" t="inlineStr"/>
      <c r="L359" t="inlineStr"/>
      <c r="M359" t="inlineStr"/>
      <c r="N359" t="inlineStr"/>
      <c r="O359" t="n">
        <v>0</v>
      </c>
      <c r="P359">
        <f>IF(B372=0,0,O359/B372)</f>
        <v/>
      </c>
      <c r="Q359" t="n">
        <v>0</v>
      </c>
      <c r="R359" t="n">
        <v>0</v>
      </c>
      <c r="S359">
        <f>IFERROR(O359/N359,0)</f>
        <v/>
      </c>
    </row>
    <row r="360">
      <c r="A360">
        <f>Skills!A23</f>
        <v/>
      </c>
      <c r="B360">
        <f>Skills!B23</f>
        <v/>
      </c>
      <c r="C360">
        <f>Inputs!$B$3&gt;=120</f>
        <v/>
      </c>
      <c r="D360">
        <f>IF(Skills!C23=1,60+Inputs!$B$24+Inputs!$B$28,IF(Skills!C23=2,90+Inputs!$B$25+Inputs!$B$28,IF(Skills!C23=3,120+Inputs!$B$26+Inputs!$B$28,MAX(0,(Inputs!$B$3-100)*3)+Inputs!$B$27+Inputs!$B$28)))</f>
        <v/>
      </c>
      <c r="E360">
        <f>INDEX(FactorTable!$B$2:$Y$301, MATCH(ROUND(MIN(300,MAX(1,D360)),0), FactorTable!$A$2:$A$301,0), Skills!M23+1)</f>
        <v/>
      </c>
      <c r="F360">
        <f>IF(Skills!N23=TRUE,(Skills!L23/10)*(E360/1000),Skills!L23/10)+Skills!O23</f>
        <v/>
      </c>
      <c r="G360">
        <f>Skills!G23*IF(Skills!H23&gt;0,Skills!I23/Skills!H23,1)</f>
        <v/>
      </c>
      <c r="H360">
        <f>1-(1-Skills!J23/100)^Skills!K23</f>
        <v/>
      </c>
      <c r="I360" t="inlineStr">
        <is>
          <t>1</t>
        </is>
      </c>
      <c r="J360" t="inlineStr"/>
      <c r="K360" t="inlineStr"/>
      <c r="L360" t="inlineStr"/>
      <c r="M360" t="inlineStr"/>
      <c r="N360" t="inlineStr"/>
      <c r="O360" t="n">
        <v>0</v>
      </c>
      <c r="P360">
        <f>IF(B372=0,0,O360/B372)</f>
        <v/>
      </c>
      <c r="Q360" t="n">
        <v>0</v>
      </c>
      <c r="R360" t="n">
        <v>0</v>
      </c>
      <c r="S360">
        <f>IFERROR(O360/N360,0)</f>
        <v/>
      </c>
    </row>
    <row r="361">
      <c r="A361">
        <f>Skills!A24</f>
        <v/>
      </c>
      <c r="B361">
        <f>Skills!B24</f>
        <v/>
      </c>
      <c r="C361">
        <f>Inputs!$B$3&gt;=120</f>
        <v/>
      </c>
      <c r="D361">
        <f>IF(Skills!C24=1,60+Inputs!$B$24+Inputs!$B$28,IF(Skills!C24=2,90+Inputs!$B$25+Inputs!$B$28,IF(Skills!C24=3,120+Inputs!$B$26+Inputs!$B$28,MAX(0,(Inputs!$B$3-100)*3)+Inputs!$B$27+Inputs!$B$28)))</f>
        <v/>
      </c>
      <c r="E361">
        <f>INDEX(FactorTable!$B$2:$Y$301, MATCH(ROUND(MIN(300,MAX(1,D361)),0), FactorTable!$A$2:$A$301,0), Skills!M24+1)</f>
        <v/>
      </c>
      <c r="F361">
        <f>IF(Skills!N24=TRUE,(Skills!L24/10)*(E361/1000),Skills!L24/10)+Skills!O24</f>
        <v/>
      </c>
      <c r="G361">
        <f>Skills!G24*IF(Skills!H24&gt;0,Skills!I24/Skills!H24,1)</f>
        <v/>
      </c>
      <c r="H361">
        <f>1-(1-Skills!J24/100)^Skills!K24</f>
        <v/>
      </c>
      <c r="I361" t="inlineStr">
        <is>
          <t>1</t>
        </is>
      </c>
      <c r="J361" t="inlineStr"/>
      <c r="K361" t="inlineStr"/>
      <c r="L361" t="inlineStr"/>
      <c r="M361" t="inlineStr"/>
      <c r="N361" t="inlineStr"/>
      <c r="O361" t="n">
        <v>0</v>
      </c>
      <c r="P361">
        <f>IF(B372=0,0,O361/B372)</f>
        <v/>
      </c>
      <c r="Q361" t="n">
        <v>0</v>
      </c>
      <c r="R361" t="n">
        <v>0</v>
      </c>
      <c r="S361">
        <f>IFERROR(O361/N361,0)</f>
        <v/>
      </c>
    </row>
    <row r="363">
      <c r="A363" t="inlineStr">
        <is>
          <t>Attack% Bucket Multiplier</t>
        </is>
      </c>
      <c r="B363">
        <f>(1+(((C350=TRUE)*F350*MIN(1,Skills!T13*(Skills!J13/100)*B368))+((C355=TRUE)*F355*IF(AND(Inputs!$B$4&lt;&gt;"pvp",Inputs!$B$35&gt;0),(((S355-1)*(Skills!T18*(1+Inputs!$B$33/100))+MIN((Skills!T18*(1+Inputs!$B$33/100)),MAX(0,Inputs!$B$35-((S355-1)*Skills!D18))))/Inputs!$B$35),IF(Inputs!$B$4="pvp",MIN((Skills!T18*(1+Inputs!$B$33/100)),15)/15,(Skills!T18*(1+Inputs!$B$33/100))/Skills!D18)))+0)/100)</f>
        <v/>
      </c>
    </row>
    <row r="364">
      <c r="A364" t="inlineStr">
        <is>
          <t>Global Crit Rate Bonus %</t>
        </is>
      </c>
      <c r="B364" t="n">
        <v>0</v>
      </c>
    </row>
    <row r="365">
      <c r="A365" t="inlineStr">
        <is>
          <t>Attack Speed Buff Bonus %</t>
        </is>
      </c>
      <c r="B365">
        <f>((C356=TRUE)*F356*IF(AND(Inputs!$B$4&lt;&gt;"pvp",Inputs!$B$35&gt;0),(((S356-1)*(Skills!T19*(1+Inputs!$B$33/100))+MIN((Skills!T19*(1+Inputs!$B$33/100)),MAX(0,Inputs!$B$35-((S356-1)*Skills!D19))))/Inputs!$B$35),IF(Inputs!$B$4="pvp",MIN((Skills!T19*(1+Inputs!$B$33/100)),15)/15,(Skills!T19*(1+Inputs!$B$33/100))/Skills!D19)))</f>
        <v/>
      </c>
    </row>
    <row r="366">
      <c r="A366" t="inlineStr">
        <is>
          <t>Actions Per Second</t>
        </is>
      </c>
      <c r="B366">
        <f>1+MIN(150,150*(1-(1-(Inputs!$B$10+((C357=TRUE)*(F357-Calc!F20)))/150)*(1-B365/150)))/100</f>
        <v/>
      </c>
    </row>
    <row r="367">
      <c r="A367" t="inlineStr">
        <is>
          <t>Skill + Buff Cast Rate</t>
        </is>
      </c>
      <c r="B367">
        <f>IF(AND(Inputs!$B$4&lt;&gt;"pvp",Inputs!$B$35&gt;0),SUMPRODUCT((Skills!E2:E24=TRUE)*(C339:C361=TRUE)*R339:R361*Skills!F2:F24)/Inputs!$B$35,SUMPRODUCT((Skills!E2:E24=TRUE)*(C339:C361=TRUE)*Q339:Q361*Skills!F2:F24))</f>
        <v/>
      </c>
    </row>
    <row r="368">
      <c r="A368" t="inlineStr">
        <is>
          <t>Blast Casts Per Second</t>
        </is>
      </c>
      <c r="B368">
        <f>MAX(0,B366-B367)</f>
        <v/>
      </c>
    </row>
    <row r="369">
      <c r="A369" t="inlineStr">
        <is>
          <t>Global Critical Damage Bonus % (unused)</t>
        </is>
      </c>
      <c r="B369" t="n">
        <v>0</v>
      </c>
    </row>
    <row r="370">
      <c r="A370" t="inlineStr">
        <is>
          <t>Global Final Damage Bonus % (Divine Shield + Guardian + Divine Blessing + Greater Vessel of Light)</t>
        </is>
      </c>
      <c r="B370">
        <f>((C352=TRUE)*F352*IF(AND(Inputs!$B$4&lt;&gt;"pvp",Inputs!$B$35&gt;0),(((S352-1)*(Skills!T15*(1+Inputs!$B$33/100))+MIN((Skills!T15*(1+Inputs!$B$33/100)),MAX(0,Inputs!$B$35-((S352-1)*Skills!D15))))/Inputs!$B$35),IF(Inputs!$B$4="pvp",MIN((Skills!T15*(1+Inputs!$B$33/100)),15)/15,(Skills!T15*(1+Inputs!$B$33/100))/Skills!D15)))+((C353=TRUE)*F353*IF(AND(Inputs!$B$4&lt;&gt;"pvp",Inputs!$B$35&gt;0),(((S353-1)*(Skills!T16*(1+Inputs!$B$33/100))+MIN((Skills!T16*(1+Inputs!$B$33/100)),MAX(0,Inputs!$B$35-((S353-1)*Skills!D16))))/Inputs!$B$35),IF(Inputs!$B$4="pvp",MIN((Skills!T16*(1+Inputs!$B$33/100)),15)/15,(Skills!T16*(1+Inputs!$B$33/100))/Skills!D16)))+((C354=TRUE)*F354*IF(AND(Inputs!$B$4&lt;&gt;"pvp",Inputs!$B$35&gt;0),(((S354-1)*(Skills!T17*(1+Inputs!$B$33/100))+MIN((Skills!T17*(1+Inputs!$B$33/100)),MAX(0,Inputs!$B$35-((S354-1)*Skills!D17))))/Inputs!$B$35),IF(Inputs!$B$4="pvp",MIN((Skills!T17*(1+Inputs!$B$33/100)),15)/15,(Skills!T17*(1+Inputs!$B$33/100))/Skills!D17)))+((C351=TRUE)*F351*MIN(1,Skills!T13*(Skills!J13/100)*B368))</f>
        <v/>
      </c>
    </row>
    <row r="372">
      <c r="A372" s="5" t="inlineStr">
        <is>
          <t>TOTAL DPS</t>
        </is>
      </c>
      <c r="B372" s="5">
        <f>SUM(O339:O361)</f>
        <v/>
      </c>
    </row>
    <row r="375">
      <c r="A375" s="5" t="inlineStr">
        <is>
          <t>Stat: MAX_DAMAGE %</t>
        </is>
      </c>
    </row>
    <row r="376">
      <c r="A376" s="8" t="inlineStr">
        <is>
          <t>Key</t>
        </is>
      </c>
      <c r="B376" s="8" t="inlineStr">
        <is>
          <t>Name</t>
        </is>
      </c>
      <c r="C376" s="8" t="inlineStr">
        <is>
          <t>Unlocked</t>
        </is>
      </c>
      <c r="D376" s="8" t="inlineStr">
        <is>
          <t>InputLevel</t>
        </is>
      </c>
      <c r="E376" s="8" t="inlineStr">
        <is>
          <t>Factor</t>
        </is>
      </c>
      <c r="F376" s="8" t="inlineStr">
        <is>
          <t>CoefficientPercent</t>
        </is>
      </c>
      <c r="G376" s="8" t="inlineStr">
        <is>
          <t>EffectiveHits</t>
        </is>
      </c>
      <c r="H376" s="8" t="inlineStr">
        <is>
          <t>ProcProbability</t>
        </is>
      </c>
      <c r="I376" s="8" t="inlineStr">
        <is>
          <t>MapleHeroMultiplier</t>
        </is>
      </c>
      <c r="J376" s="8" t="inlineStr">
        <is>
          <t>BaseDamage</t>
        </is>
      </c>
      <c r="K376" s="8" t="inlineStr">
        <is>
          <t>BaseHitDamage</t>
        </is>
      </c>
      <c r="L376" s="8" t="inlineStr">
        <is>
          <t>NonCritAvg</t>
        </is>
      </c>
      <c r="M376" s="8" t="inlineStr">
        <is>
          <t>CritAvg</t>
        </is>
      </c>
      <c r="N376" s="8" t="inlineStr">
        <is>
          <t>ExpectedDamage(perHit)</t>
        </is>
      </c>
      <c r="O376" s="8" t="inlineStr">
        <is>
          <t>DPS</t>
        </is>
      </c>
      <c r="P376" s="8" t="inlineStr">
        <is>
          <t>% of Total</t>
        </is>
      </c>
      <c r="Q376" s="8" t="inlineStr">
        <is>
          <t>InvCooldown</t>
        </is>
      </c>
      <c r="R376" s="8" t="inlineStr">
        <is>
          <t>CastsInFight</t>
        </is>
      </c>
      <c r="S376" s="8" t="inlineStr">
        <is>
          <t>HitRate(perSec)</t>
        </is>
      </c>
      <c r="U376" t="inlineStr">
        <is>
          <t>helpers</t>
        </is>
      </c>
    </row>
    <row r="377">
      <c r="A377">
        <f>Skills!A2</f>
        <v/>
      </c>
      <c r="B377">
        <f>Skills!B2</f>
        <v/>
      </c>
      <c r="C377">
        <f>Inputs!$B$3&gt;=100</f>
        <v/>
      </c>
      <c r="D377" t="inlineStr"/>
      <c r="E377" t="inlineStr"/>
      <c r="F377">
        <f>U379+Skills!O2</f>
        <v/>
      </c>
      <c r="G377">
        <f>Skills!G2*IF(Skills!H2&gt;0,Skills!I2/Skills!H2,1)</f>
        <v/>
      </c>
      <c r="H377">
        <f>1-(1-Skills!J2/100)^Skills!K2</f>
        <v/>
      </c>
      <c r="I377" t="inlineStr">
        <is>
          <t>1</t>
        </is>
      </c>
      <c r="J377">
        <f>(Inputs!$B$5*(1+Inputs!$B$6/100))*(F377/100)</f>
        <v/>
      </c>
      <c r="K377">
        <f>J377*(1+((Inputs!$B$11*(1+Inputs!$B$12/100))*0.01+Inputs!$B$13*0.0025)/100)*(1+Inputs!$B$14/100)*(1+IF(Inputs!$B$4="pvp",0,(1-Summary!$B$55)*(Inputs!$B$19+0+Skills!P2)+Summary!$B$55*(Inputs!$B$20+Skills!Q2))/100)*(1+Inputs!$B$15/100)*(5000/(6000+Inputs!$B$7*(1-(Inputs!$B$18+0)/100)))*(1+(Inputs!$B$23+0+B408)/100)*(1+(IF(Skills!A2="BLAST",Inputs!$B$16+((C396=TRUE)*(F396-Calc!F21)),Inputs!$B$17+((C398=TRUE)*(F398-Calc!F23))))/100)*((1+(((C388=TRUE)*F388*MIN(1,Skills!T13*(Skills!J13/100)*B406))+((C393=TRUE)*F393*IF(AND(Inputs!$B$4&lt;&gt;"pvp",Inputs!$B$35&gt;0),(((S393-1)*(Skills!T18*(1+Inputs!$B$33/100))+MIN((Skills!T18*(1+Inputs!$B$33/100)),MAX(0,Inputs!$B$35-((S393-1)*Skills!D18))))/Inputs!$B$35),IF(Inputs!$B$4="pvp",MIN((Skills!T18*(1+Inputs!$B$33/100)),15)/15,(Skills!T18*(1+Inputs!$B$33/100))/Skills!D18)))+0)/100)*I377)</f>
        <v/>
      </c>
      <c r="L377">
        <f>K377*(MIN(Inputs!$B$21+((C397=TRUE)*(F397-Calc!F22)),(Inputs!$B$22+1)+((C399=TRUE)*(F399-Calc!F24)))/100+((Inputs!$B$22+1)+((C399=TRUE)*(F399-Calc!F24)))/100)/2</f>
        <v/>
      </c>
      <c r="M377">
        <f>L377*(1+(Inputs!$B$9+0+B407)/100)</f>
        <v/>
      </c>
      <c r="N377">
        <f>L377*(1-MIN((Inputs!$B$8+0+B402),100)/100)+M377*(MIN((Inputs!$B$8+0+B402),100)/100)</f>
        <v/>
      </c>
      <c r="O377">
        <f>IF(C377,Skills!G2*N377*B406*IF(Inputs!$B$4="pvp",1,(1-Summary!$B$55)*(1)+Summary!$B$55*(MIN((6+Inputs!$B$32),Inputs!$B$37))),0)</f>
        <v/>
      </c>
      <c r="P377">
        <f>IF(B410=0,0,O377/B410)</f>
        <v/>
      </c>
      <c r="Q377" t="n">
        <v>0</v>
      </c>
      <c r="R377" t="n">
        <v>0</v>
      </c>
      <c r="S377">
        <f>IFERROR(O377/N377,0)</f>
        <v/>
      </c>
      <c r="U377">
        <f>MAX(0,(Inputs!$B$3-100)*3)+Inputs!$B$27+Inputs!$B$28</f>
        <v/>
      </c>
    </row>
    <row r="378">
      <c r="A378">
        <f>Skills!A3</f>
        <v/>
      </c>
      <c r="B378">
        <f>Skills!B3</f>
        <v/>
      </c>
      <c r="C378">
        <f>Inputs!$B$3&gt;=50</f>
        <v/>
      </c>
      <c r="D378">
        <f>IF(Skills!C3=1,60+Inputs!$B$24+Inputs!$B$28,IF(Skills!C3=2,90+Inputs!$B$25+Inputs!$B$28,IF(Skills!C3=3,120+Inputs!$B$26+Inputs!$B$28,MAX(0,(Inputs!$B$3-100)*3)+Inputs!$B$27+Inputs!$B$28)))</f>
        <v/>
      </c>
      <c r="E378">
        <f>INDEX(FactorTable!$B$2:$Y$301, MATCH(ROUND(MIN(300,MAX(1,D378)),0), FactorTable!$A$2:$A$301,0), Skills!M3+1)</f>
        <v/>
      </c>
      <c r="F378">
        <f>IF(Skills!N3=TRUE,(Skills!L3/10)*(E378/1000),Skills!L3/10)+Skills!O3</f>
        <v/>
      </c>
      <c r="G378" t="inlineStr"/>
      <c r="H378" t="inlineStr"/>
      <c r="I378" t="inlineStr">
        <is>
          <t>1</t>
        </is>
      </c>
      <c r="J378" t="inlineStr"/>
      <c r="K378" t="inlineStr"/>
      <c r="L378" t="inlineStr"/>
      <c r="M378" t="inlineStr"/>
      <c r="N378" t="inlineStr"/>
      <c r="O378" t="inlineStr"/>
      <c r="P378" t="inlineStr"/>
      <c r="Q378" t="inlineStr"/>
      <c r="R378" t="inlineStr"/>
      <c r="S378" t="inlineStr"/>
      <c r="U378">
        <f>INDEX(FactorTable!$B$2:$Y$301, MATCH(ROUND(MIN(300,MAX(1,U377)),0), FactorTable!$A$2:$A$301,0), 22)</f>
        <v/>
      </c>
    </row>
    <row r="379">
      <c r="A379">
        <f>Skills!A4</f>
        <v/>
      </c>
      <c r="B379">
        <f>Skills!B4</f>
        <v/>
      </c>
      <c r="C379">
        <f>Inputs!$B$3&gt;=35</f>
        <v/>
      </c>
      <c r="D379">
        <f>IF(Skills!C4=1,60+Inputs!$B$24+Inputs!$B$28,IF(Skills!C4=2,90+Inputs!$B$25+Inputs!$B$28,IF(Skills!C4=3,120+Inputs!$B$26+Inputs!$B$28,MAX(0,(Inputs!$B$3-100)*3)+Inputs!$B$27+Inputs!$B$28)))</f>
        <v/>
      </c>
      <c r="E379">
        <f>INDEX(FactorTable!$B$2:$Y$301, MATCH(ROUND(MIN(300,MAX(1,D379)),0), FactorTable!$A$2:$A$301,0), Skills!M4+1)</f>
        <v/>
      </c>
      <c r="F379">
        <f>IF(Skills!N4=TRUE,(Skills!L4/10)*(E379/1000),Skills!L4/10)+Skills!O4</f>
        <v/>
      </c>
      <c r="G379">
        <f>Skills!G4*IF(Skills!H4&gt;0,Skills!I4/Skills!H4,1)</f>
        <v/>
      </c>
      <c r="H379">
        <f>1-(1-Skills!J4/100)^Skills!K4</f>
        <v/>
      </c>
      <c r="I379" t="inlineStr">
        <is>
          <t>1</t>
        </is>
      </c>
      <c r="J379">
        <f>(Inputs!$B$5*(1+Inputs!$B$6/100))*(F379/100)</f>
        <v/>
      </c>
      <c r="K379">
        <f>J379*(1+((Inputs!$B$11*(1+Inputs!$B$12/100))*0.01+Inputs!$B$13*0.0025)/100)*(1+Inputs!$B$14/100)*(1+IF(Inputs!$B$4="pvp",0,(1-Summary!$B$55)*(Inputs!$B$19+0+Skills!P4)+Summary!$B$55*(Inputs!$B$20+Skills!Q4))/100)*(1+Inputs!$B$15/100)*(5000/(6000+Inputs!$B$7*(1-(Inputs!$B$18+0)/100)))*(1+(Inputs!$B$23+0+B408)/100)*(1+4.0*IF(C387=TRUE,F387,0)/100)*(1+(IF(Skills!A4="BLAST",Inputs!$B$16+((C396=TRUE)*(F396-Calc!F21)),Inputs!$B$17+((C398=TRUE)*(F398-Calc!F23))))/100)*((1+(((C388=TRUE)*F388*MIN(1,Skills!T13*(Skills!J13/100)*B406))+((C393=TRUE)*F393*IF(AND(Inputs!$B$4&lt;&gt;"pvp",Inputs!$B$35&gt;0),(((S393-1)*(Skills!T18*(1+Inputs!$B$33/100))+MIN((Skills!T18*(1+Inputs!$B$33/100)),MAX(0,Inputs!$B$35-((S393-1)*Skills!D18))))/Inputs!$B$35),IF(Inputs!$B$4="pvp",MIN((Skills!T18*(1+Inputs!$B$33/100)),15)/15,(Skills!T18*(1+Inputs!$B$33/100))/Skills!D18)))+0)/100)*I379)</f>
        <v/>
      </c>
      <c r="L379">
        <f>K379*(MIN(Inputs!$B$21+((C397=TRUE)*(F397-Calc!F22)),(Inputs!$B$22+1)+((C399=TRUE)*(F399-Calc!F24)))/100+((Inputs!$B$22+1)+((C399=TRUE)*(F399-Calc!F24)))/100)/2</f>
        <v/>
      </c>
      <c r="M379">
        <f>L379*(1+(Inputs!$B$9+0+B407)/100)</f>
        <v/>
      </c>
      <c r="N379">
        <f>L379*(1-MIN((Inputs!$B$8+0+B402),100)/100)+M379*(MIN((Inputs!$B$8+0+B402),100)/100)</f>
        <v/>
      </c>
      <c r="O379">
        <f>IF(C379,H379*N379*IF(AND(Inputs!$B$4&lt;&gt;"pvp",Inputs!$B$35&gt;0),((Skills!G4*((R379-1)*IF(Skills!H4&gt;0,Skills!I4/Skills!H4,1)+IF(Skills!H4&gt;0,MIN(Skills!I4,MAX(0,Inputs!$B$35-((R379-1)*IF(Inputs!$B$4="pvp",15,MAX(0.1,Skills!D4-IF(Skills!E4=TRUE,Inputs!$B$31,0))))))/Skills!H4,1)))/Inputs!$B$35),G379*Q379)*IF(Inputs!$B$4="pvp",1,(1-Summary!$B$55)*(1)+Summary!$B$55*(MIN(Skills!R4,Inputs!$B$37))),0)</f>
        <v/>
      </c>
      <c r="P379">
        <f>IF(B410=0,0,O379/B410)</f>
        <v/>
      </c>
      <c r="Q379">
        <f>IFERROR(1/IF(Inputs!$B$4="pvp",15,MAX(0.1,Skills!D4-IF(Skills!E4=TRUE,Inputs!$B$31,0))),0)</f>
        <v/>
      </c>
      <c r="R379">
        <f>IF(AND(Inputs!$B$4&lt;&gt;"pvp",Inputs!$B$35&gt;0),(INT(Inputs!$B$35/IF(Inputs!$B$4="pvp",15,MAX(0.1,Skills!D4-IF(Skills!E4=TRUE,Inputs!$B$31,0))))+1),0)</f>
        <v/>
      </c>
      <c r="S379">
        <f>IFERROR(O379/N379,0)</f>
        <v/>
      </c>
      <c r="U379">
        <f>290*U378/1000</f>
        <v/>
      </c>
    </row>
    <row r="380">
      <c r="A380">
        <f>Skills!A5</f>
        <v/>
      </c>
      <c r="B380">
        <f>Skills!B5</f>
        <v/>
      </c>
      <c r="C380">
        <f>Inputs!$B$3&gt;=66</f>
        <v/>
      </c>
      <c r="D380">
        <f>IF(Skills!C5=1,60+Inputs!$B$24+Inputs!$B$28,IF(Skills!C5=2,90+Inputs!$B$25+Inputs!$B$28,IF(Skills!C5=3,120+Inputs!$B$26+Inputs!$B$28,MAX(0,(Inputs!$B$3-100)*3)+Inputs!$B$27+Inputs!$B$28)))</f>
        <v/>
      </c>
      <c r="E380">
        <f>INDEX(FactorTable!$B$2:$Y$301, MATCH(ROUND(MIN(300,MAX(1,D380)),0), FactorTable!$A$2:$A$301,0), Skills!M5+1)</f>
        <v/>
      </c>
      <c r="F380">
        <f>IF(Skills!N5=TRUE,(Skills!L5/10)*(E380/1000),Skills!L5/10)+Skills!O5</f>
        <v/>
      </c>
      <c r="G380">
        <f>Skills!G5*IF(Skills!H5&gt;0,Skills!I5/Skills!H5,1)</f>
        <v/>
      </c>
      <c r="H380">
        <f>1-(1-Skills!J5/100)^Skills!K5</f>
        <v/>
      </c>
      <c r="I380" t="inlineStr">
        <is>
          <t>1</t>
        </is>
      </c>
      <c r="J380">
        <f>(Inputs!$B$5*(1+Inputs!$B$6/100))*(F380/100)</f>
        <v/>
      </c>
      <c r="K380">
        <f>J380*(1+((Inputs!$B$11*(1+Inputs!$B$12/100))*0.01+Inputs!$B$13*0.0025)/100)*(1+Inputs!$B$14/100)*(1+IF(Inputs!$B$4="pvp",0,(1-Summary!$B$55)*(Inputs!$B$19+0+Skills!P5)+Summary!$B$55*(Inputs!$B$20+Skills!Q5))/100)*(1+Inputs!$B$15/100)*(5000/(6000+Inputs!$B$7*(1-(Inputs!$B$18+0)/100)))*(1+(Inputs!$B$23+0+B408)/100)*(1+1.0*IF(C387=TRUE,F387,0)/100)*(1+(IF(Skills!A5="BLAST",Inputs!$B$16+((C396=TRUE)*(F396-Calc!F21)),Inputs!$B$17+((C398=TRUE)*(F398-Calc!F23))))/100)*((1+(((C388=TRUE)*F388*MIN(1,Skills!T13*(Skills!J13/100)*B406))+((C393=TRUE)*F393*IF(AND(Inputs!$B$4&lt;&gt;"pvp",Inputs!$B$35&gt;0),(((S393-1)*(Skills!T18*(1+Inputs!$B$33/100))+MIN((Skills!T18*(1+Inputs!$B$33/100)),MAX(0,Inputs!$B$35-((S393-1)*Skills!D18))))/Inputs!$B$35),IF(Inputs!$B$4="pvp",MIN((Skills!T18*(1+Inputs!$B$33/100)),15)/15,(Skills!T18*(1+Inputs!$B$33/100))/Skills!D18)))+0)/100)*I380)</f>
        <v/>
      </c>
      <c r="L380">
        <f>K380*(MIN(Inputs!$B$21+((C397=TRUE)*(F397-Calc!F22)),(Inputs!$B$22+1)+((C399=TRUE)*(F399-Calc!F24)))/100+((Inputs!$B$22+1)+((C399=TRUE)*(F399-Calc!F24)))/100)/2</f>
        <v/>
      </c>
      <c r="M380">
        <f>L380*(1+(Inputs!$B$9+0+B407)/100)</f>
        <v/>
      </c>
      <c r="N380">
        <f>L380*(1-MIN((Inputs!$B$8+0+B402),100)/100)+M380*(MIN((Inputs!$B$8+0+B402),100)/100)</f>
        <v/>
      </c>
      <c r="O380">
        <f>IF(C380,H380*N380*IF(AND(Inputs!$B$4&lt;&gt;"pvp",Inputs!$B$35&gt;0),((Skills!G5*((R380-1)*IF(Skills!H5&gt;0,Skills!I5/Skills!H5,1)+IF(Skills!H5&gt;0,MIN(Skills!I5,MAX(0,Inputs!$B$35-((R380-1)*IF(Inputs!$B$4="pvp",15,MAX(0.1,Skills!D5-IF(Skills!E5=TRUE,Inputs!$B$31,0))))))/Skills!H5,1)))/Inputs!$B$35),G380*Q380)*IF(Inputs!$B$4="pvp",1,(1-Summary!$B$55)*(1)+Summary!$B$55*(MIN(Skills!R5,Inputs!$B$37))),0)</f>
        <v/>
      </c>
      <c r="P380">
        <f>IF(B410=0,0,O380/B410)</f>
        <v/>
      </c>
      <c r="Q380">
        <f>IFERROR(1/IF(Inputs!$B$4="pvp",15,MAX(0.1,Skills!D5-IF(Skills!E5=TRUE,Inputs!$B$31,0))),0)</f>
        <v/>
      </c>
      <c r="R380">
        <f>IF(AND(Inputs!$B$4&lt;&gt;"pvp",Inputs!$B$35&gt;0),(INT(Inputs!$B$35/IF(Inputs!$B$4="pvp",15,MAX(0.1,Skills!D5-IF(Skills!E5=TRUE,Inputs!$B$31,0))))+1),0)</f>
        <v/>
      </c>
      <c r="S380">
        <f>IFERROR(O380/N380,0)</f>
        <v/>
      </c>
    </row>
    <row r="381">
      <c r="A381">
        <f>Skills!A6</f>
        <v/>
      </c>
      <c r="B381">
        <f>Skills!B6</f>
        <v/>
      </c>
      <c r="C381">
        <f>Inputs!$B$3&gt;=103</f>
        <v/>
      </c>
      <c r="D381">
        <f>IF(Skills!C6=1,60+Inputs!$B$24+Inputs!$B$28,IF(Skills!C6=2,90+Inputs!$B$25+Inputs!$B$28,IF(Skills!C6=3,120+Inputs!$B$26+Inputs!$B$28,MAX(0,(Inputs!$B$3-100)*3)+Inputs!$B$27+Inputs!$B$28)))</f>
        <v/>
      </c>
      <c r="E381">
        <f>INDEX(FactorTable!$B$2:$Y$301, MATCH(ROUND(MIN(300,MAX(1,D381)),0), FactorTable!$A$2:$A$301,0), Skills!M6+1)</f>
        <v/>
      </c>
      <c r="F381">
        <f>IF(Skills!N6=TRUE,(Skills!L6/10)*(E381/1000),Skills!L6/10)+Skills!O6</f>
        <v/>
      </c>
      <c r="G381">
        <f>Skills!G6*IF(Skills!H6&gt;0,Skills!I6/Skills!H6,1)</f>
        <v/>
      </c>
      <c r="H381">
        <f>1-(1-Skills!J6/100)^Skills!K6</f>
        <v/>
      </c>
      <c r="I381" t="inlineStr">
        <is>
          <t>1</t>
        </is>
      </c>
      <c r="J381">
        <f>(Inputs!$B$5*(1+Inputs!$B$6/100))*(F381/100)</f>
        <v/>
      </c>
      <c r="K381">
        <f>J381*(1+((Inputs!$B$11*(1+Inputs!$B$12/100))*0.01+Inputs!$B$13*0.0025)/100)*(1+Inputs!$B$14/100)*(1+IF(Inputs!$B$4="pvp",0,(1-Summary!$B$55)*(Inputs!$B$19+0+Skills!P6)+Summary!$B$55*(Inputs!$B$20+Skills!Q6))/100)*(1+Inputs!$B$15/100)*(5000/(6000+Inputs!$B$7*(1-(Inputs!$B$18+0)/100)))*(1+(Inputs!$B$23+0+B408)/100)*(1+(IF(Skills!A6="BLAST",Inputs!$B$16+((C396=TRUE)*(F396-Calc!F21)),Inputs!$B$17+((C398=TRUE)*(F398-Calc!F23))))/100)*((1+(((C388=TRUE)*F388*MIN(1,Skills!T13*(Skills!J13/100)*B406))+((C393=TRUE)*F393*IF(AND(Inputs!$B$4&lt;&gt;"pvp",Inputs!$B$35&gt;0),(((S393-1)*(Skills!T18*(1+Inputs!$B$33/100))+MIN((Skills!T18*(1+Inputs!$B$33/100)),MAX(0,Inputs!$B$35-((S393-1)*Skills!D18))))/Inputs!$B$35),IF(Inputs!$B$4="pvp",MIN((Skills!T18*(1+Inputs!$B$33/100)),15)/15,(Skills!T18*(1+Inputs!$B$33/100))/Skills!D18)))+0)/100)*I381)</f>
        <v/>
      </c>
      <c r="L381">
        <f>K381*(MIN(Inputs!$B$21+((C397=TRUE)*(F397-Calc!F22)),(Inputs!$B$22+1)+((C399=TRUE)*(F399-Calc!F24)))/100+((Inputs!$B$22+1)+((C399=TRUE)*(F399-Calc!F24)))/100)/2</f>
        <v/>
      </c>
      <c r="M381">
        <f>L381*(1+(Inputs!$B$9+0+B407)/100)</f>
        <v/>
      </c>
      <c r="N381">
        <f>L381*(1-MIN((Inputs!$B$8+0+B402),100)/100)+M381*(MIN((Inputs!$B$8+0+B402),100)/100)</f>
        <v/>
      </c>
      <c r="O381">
        <f>IF(C381,H381*N381*IF(AND(Inputs!$B$4&lt;&gt;"pvp",Inputs!$B$35&gt;0),((Skills!G6*((R381-1)*IF(Skills!H6&gt;0,Skills!I6/Skills!H6,1)+IF(Skills!H6&gt;0,MIN(Skills!I6,MAX(0,Inputs!$B$35-((R381-1)*IF(Inputs!$B$4="pvp",15,MAX(0.1,Skills!D6-IF(Skills!E6=TRUE,Inputs!$B$31,0))))))/Skills!H6,1)))/Inputs!$B$35),G381*Q381)*IF(Inputs!$B$4="pvp",1,(1-Summary!$B$55)*(1)+Summary!$B$55*(MIN(Skills!R6,Inputs!$B$37))),0)</f>
        <v/>
      </c>
      <c r="P381">
        <f>IF(B410=0,0,O381/B410)</f>
        <v/>
      </c>
      <c r="Q381">
        <f>IFERROR(1/IF(Inputs!$B$4="pvp",15,MAX(0.1,Skills!D6-IF(Skills!E6=TRUE,Inputs!$B$31,0))),0)</f>
        <v/>
      </c>
      <c r="R381">
        <f>IF(AND(Inputs!$B$4&lt;&gt;"pvp",Inputs!$B$35&gt;0),(INT(Inputs!$B$35/IF(Inputs!$B$4="pvp",15,MAX(0.1,Skills!D6-IF(Skills!E6=TRUE,Inputs!$B$31,0))))+1),0)</f>
        <v/>
      </c>
      <c r="S381">
        <f>IFERROR(O381/N381,0)</f>
        <v/>
      </c>
    </row>
    <row r="382">
      <c r="A382">
        <f>Skills!A7</f>
        <v/>
      </c>
      <c r="B382">
        <f>Skills!B7</f>
        <v/>
      </c>
      <c r="C382">
        <f>Inputs!$B$3&gt;=107</f>
        <v/>
      </c>
      <c r="D382">
        <f>IF(Skills!C7=1,60+Inputs!$B$24+Inputs!$B$28,IF(Skills!C7=2,90+Inputs!$B$25+Inputs!$B$28,IF(Skills!C7=3,120+Inputs!$B$26+Inputs!$B$28,MAX(0,(Inputs!$B$3-100)*3)+Inputs!$B$27+Inputs!$B$28)))</f>
        <v/>
      </c>
      <c r="E382">
        <f>INDEX(FactorTable!$B$2:$Y$301, MATCH(ROUND(MIN(300,MAX(1,D382)),0), FactorTable!$A$2:$A$301,0), Skills!M7+1)</f>
        <v/>
      </c>
      <c r="F382">
        <f>IF(Skills!N7=TRUE,(Skills!L7/10)*(E382/1000),Skills!L7/10)+Skills!O7</f>
        <v/>
      </c>
      <c r="G382">
        <f>Skills!G7*IF(Skills!H7&gt;0,Skills!I7/Skills!H7,1)</f>
        <v/>
      </c>
      <c r="H382">
        <f>1-(1-Skills!J7/100)^Skills!K7</f>
        <v/>
      </c>
      <c r="I382" t="inlineStr">
        <is>
          <t>1</t>
        </is>
      </c>
      <c r="J382">
        <f>(Inputs!$B$5*(1+Inputs!$B$6/100))*(F382/100)</f>
        <v/>
      </c>
      <c r="K382">
        <f>J382*(1+((Inputs!$B$11*(1+Inputs!$B$12/100))*0.01+Inputs!$B$13*0.0025)/100)*(1+Inputs!$B$14/100)*(1+IF(Inputs!$B$4="pvp",0,(1-Summary!$B$55)*(Inputs!$B$19+0+Skills!P7)+Summary!$B$55*(Inputs!$B$20+Skills!Q7))/100)*(1+Inputs!$B$15/100)*(5000/(6000+Inputs!$B$7*(1-(Inputs!$B$18+0)/100)))*(1+(Inputs!$B$23+0+B408)/100)*(1+(IF(Skills!A7="BLAST",Inputs!$B$16+((C396=TRUE)*(F396-Calc!F21)),Inputs!$B$17+((C398=TRUE)*(F398-Calc!F23))))/100)*((1+(((C388=TRUE)*F388*MIN(1,Skills!T13*(Skills!J13/100)*B406))+((C393=TRUE)*F393*IF(AND(Inputs!$B$4&lt;&gt;"pvp",Inputs!$B$35&gt;0),(((S393-1)*(Skills!T18*(1+Inputs!$B$33/100))+MIN((Skills!T18*(1+Inputs!$B$33/100)),MAX(0,Inputs!$B$35-((S393-1)*Skills!D18))))/Inputs!$B$35),IF(Inputs!$B$4="pvp",MIN((Skills!T18*(1+Inputs!$B$33/100)),15)/15,(Skills!T18*(1+Inputs!$B$33/100))/Skills!D18)))+0)/100)*I382)</f>
        <v/>
      </c>
      <c r="L382">
        <f>K382*(MIN(Inputs!$B$21+((C397=TRUE)*(F397-Calc!F22)),(Inputs!$B$22+1)+((C399=TRUE)*(F399-Calc!F24)))/100+((Inputs!$B$22+1)+((C399=TRUE)*(F399-Calc!F24)))/100)/2</f>
        <v/>
      </c>
      <c r="M382">
        <f>L382*(1+(Inputs!$B$9+0+B407)/100)</f>
        <v/>
      </c>
      <c r="N382">
        <f>L382*(1-MIN((Inputs!$B$8+0+B402),100)/100)+M382*(MIN((Inputs!$B$8+0+B402),100)/100)</f>
        <v/>
      </c>
      <c r="O382">
        <f>IF(C382,H382*N382*IF(AND(Inputs!$B$4&lt;&gt;"pvp",Inputs!$B$35&gt;0),((Skills!G7*((R382-1)*IF(Skills!H7&gt;0,Skills!I7/Skills!H7,1)+IF(Skills!H7&gt;0,MIN(Skills!I7,MAX(0,Inputs!$B$35-((R382-1)*IF(Inputs!$B$4="pvp",15,MAX(0.1,Skills!D7-IF(Skills!E7=TRUE,Inputs!$B$31,0))))))/Skills!H7,1)))/Inputs!$B$35),G382*Q382)*IF(Inputs!$B$4="pvp",1,(1-Summary!$B$55)*(1)+Summary!$B$55*(MIN(Skills!R7,Inputs!$B$37))),0)</f>
        <v/>
      </c>
      <c r="P382">
        <f>IF(B410=0,0,O382/B410)</f>
        <v/>
      </c>
      <c r="Q382">
        <f>IFERROR(1/IF(Inputs!$B$4="pvp",15,MAX(0.1,Skills!D7-IF(Skills!E7=TRUE,Inputs!$B$31,0))),0)</f>
        <v/>
      </c>
      <c r="R382">
        <f>IF(AND(Inputs!$B$4&lt;&gt;"pvp",Inputs!$B$35&gt;0),(INT(Inputs!$B$35/IF(Inputs!$B$4="pvp",15,MAX(0.1,Skills!D7-IF(Skills!E7=TRUE,Inputs!$B$31,0))))+1),0)</f>
        <v/>
      </c>
      <c r="S382">
        <f>IFERROR(O382/N382,0)</f>
        <v/>
      </c>
    </row>
    <row r="383">
      <c r="A383">
        <f>Skills!A8</f>
        <v/>
      </c>
      <c r="B383">
        <f>Skills!B8</f>
        <v/>
      </c>
      <c r="C383">
        <f>Inputs!$B$3&gt;=107</f>
        <v/>
      </c>
      <c r="D383">
        <f>IF(Skills!C8=1,60+Inputs!$B$24+Inputs!$B$28,IF(Skills!C8=2,90+Inputs!$B$25+Inputs!$B$28,IF(Skills!C8=3,120+Inputs!$B$26+Inputs!$B$28,MAX(0,(Inputs!$B$3-100)*3)+Inputs!$B$27+Inputs!$B$28)))</f>
        <v/>
      </c>
      <c r="E383">
        <f>INDEX(FactorTable!$B$2:$Y$301, MATCH(ROUND(MIN(300,MAX(1,D383)),0), FactorTable!$A$2:$A$301,0), Skills!M8+1)</f>
        <v/>
      </c>
      <c r="F383">
        <f>IF(Skills!N8=TRUE,(Skills!L8/10)*(E383/1000),Skills!L8/10)+Skills!O8</f>
        <v/>
      </c>
      <c r="G383">
        <f>Skills!G8*IF(Skills!H8&gt;0,Skills!I8/Skills!H8,1)</f>
        <v/>
      </c>
      <c r="H383">
        <f>1-(1-Skills!J8/100)^Skills!K8</f>
        <v/>
      </c>
      <c r="I383" t="inlineStr">
        <is>
          <t>1</t>
        </is>
      </c>
      <c r="J383">
        <f>(Inputs!$B$5*(1+Inputs!$B$6/100))*(F383/100)</f>
        <v/>
      </c>
      <c r="K383">
        <f>J383*(1+((Inputs!$B$11*(1+Inputs!$B$12/100))*0.01+Inputs!$B$13*0.0025)/100)*(1+Inputs!$B$14/100)*(1+IF(Inputs!$B$4="pvp",0,(1-Summary!$B$55)*(Inputs!$B$19+0+Skills!P8)+Summary!$B$55*(Inputs!$B$20+Skills!Q8))/100)*(1+Inputs!$B$15/100)*(5000/(6000+Inputs!$B$7*(1-(Inputs!$B$18+0)/100)))*(1+(Inputs!$B$23+0+B408)/100)*(1+(IF(Skills!A8="BLAST",Inputs!$B$16+((C396=TRUE)*(F396-Calc!F21)),Inputs!$B$17+((C398=TRUE)*(F398-Calc!F23))))/100)*((1+(((C388=TRUE)*F388*MIN(1,Skills!T13*(Skills!J13/100)*B406))+((C393=TRUE)*F393*IF(AND(Inputs!$B$4&lt;&gt;"pvp",Inputs!$B$35&gt;0),(((S393-1)*(Skills!T18*(1+Inputs!$B$33/100))+MIN((Skills!T18*(1+Inputs!$B$33/100)),MAX(0,Inputs!$B$35-((S393-1)*Skills!D18))))/Inputs!$B$35),IF(Inputs!$B$4="pvp",MIN((Skills!T18*(1+Inputs!$B$33/100)),15)/15,(Skills!T18*(1+Inputs!$B$33/100))/Skills!D18)))+0)/100)*I383)</f>
        <v/>
      </c>
      <c r="L383">
        <f>K383*(MIN(Inputs!$B$21+((C397=TRUE)*(F397-Calc!F22)),(Inputs!$B$22+1)+((C399=TRUE)*(F399-Calc!F24)))/100+((Inputs!$B$22+1)+((C399=TRUE)*(F399-Calc!F24)))/100)/2</f>
        <v/>
      </c>
      <c r="M383">
        <f>L383*(1+(Inputs!$B$9+0+B407)/100)</f>
        <v/>
      </c>
      <c r="N383">
        <f>L383*(1-MIN((Inputs!$B$8+0+B402),100)/100)+M383*(MIN((Inputs!$B$8+0+B402),100)/100)</f>
        <v/>
      </c>
      <c r="O383">
        <f>IF(C383,H383*N383*IF(AND(Inputs!$B$4&lt;&gt;"pvp",Inputs!$B$35&gt;0),((Skills!G8*((R383-1)*IF(Skills!H8&gt;0,Skills!I8/Skills!H8,1)+IF(Skills!H8&gt;0,MIN(Skills!I8,MAX(0,Inputs!$B$35-((R383-1)*IF(Inputs!$B$4="pvp",15,MAX(0.1,Skills!D8-IF(Skills!E8=TRUE,Inputs!$B$31,0))))))/Skills!H8,1)))/Inputs!$B$35),G383*Q383)*IF(Inputs!$B$4="pvp",1,(1-Summary!$B$55)*(1)+Summary!$B$55*(MIN(Skills!R8,Inputs!$B$37))),0)</f>
        <v/>
      </c>
      <c r="P383">
        <f>IF(B410=0,0,O383/B410)</f>
        <v/>
      </c>
      <c r="Q383">
        <f>IFERROR(1/IF(Inputs!$B$4="pvp",15,MAX(0.1,Skills!D8-IF(Skills!E8=TRUE,Inputs!$B$31,0))),0)</f>
        <v/>
      </c>
      <c r="R383">
        <f>IF(AND(Inputs!$B$4&lt;&gt;"pvp",Inputs!$B$35&gt;0),(INT(Inputs!$B$35/IF(Inputs!$B$4="pvp",15,MAX(0.1,Skills!D8-IF(Skills!E8=TRUE,Inputs!$B$31,0))))+1),0)</f>
        <v/>
      </c>
      <c r="S383">
        <f>IFERROR(O383/N383,0)</f>
        <v/>
      </c>
    </row>
    <row r="384">
      <c r="A384">
        <f>Skills!A9</f>
        <v/>
      </c>
      <c r="B384">
        <f>Skills!B9</f>
        <v/>
      </c>
      <c r="C384">
        <f>Inputs!$B$3&gt;=125</f>
        <v/>
      </c>
      <c r="D384">
        <f>IF(Skills!C9=1,60+Inputs!$B$24+Inputs!$B$28,IF(Skills!C9=2,90+Inputs!$B$25+Inputs!$B$28,IF(Skills!C9=3,120+Inputs!$B$26+Inputs!$B$28,MAX(0,(Inputs!$B$3-100)*3)+Inputs!$B$27+Inputs!$B$28)))</f>
        <v/>
      </c>
      <c r="E384">
        <f>INDEX(FactorTable!$B$2:$Y$301, MATCH(ROUND(MIN(300,MAX(1,D384)),0), FactorTable!$A$2:$A$301,0), Skills!M9+1)</f>
        <v/>
      </c>
      <c r="F384">
        <f>IF(Skills!N9=TRUE,(Skills!L9/10)*(E384/1000),Skills!L9/10)+Skills!O9</f>
        <v/>
      </c>
      <c r="G384">
        <f>Skills!G9*IF(Skills!H9&gt;0,Skills!I9/Skills!H9,1)</f>
        <v/>
      </c>
      <c r="H384">
        <f>1-(1-Skills!J9/100)^Skills!K9</f>
        <v/>
      </c>
      <c r="I384" t="inlineStr">
        <is>
          <t>1</t>
        </is>
      </c>
      <c r="J384">
        <f>(Inputs!$B$5*(1+Inputs!$B$6/100))*(F384/100)</f>
        <v/>
      </c>
      <c r="K384">
        <f>J384*(1+((Inputs!$B$11*(1+Inputs!$B$12/100))*0.01+Inputs!$B$13*0.0025)/100)*(1+Inputs!$B$14/100)*(1+IF(Inputs!$B$4="pvp",0,(1-Summary!$B$55)*(Inputs!$B$19+0+Skills!P9)+Summary!$B$55*(Inputs!$B$20+Skills!Q9))/100)*(1+Inputs!$B$15/100)*(5000/(6000+Inputs!$B$7*(1-(Inputs!$B$18+0)/100)))*(1+(Inputs!$B$23+0+B408)/100)*(1+(IF(Skills!A9="BLAST",Inputs!$B$16+((C396=TRUE)*(F396-Calc!F21)),Inputs!$B$17+((C398=TRUE)*(F398-Calc!F23))))/100)*((1+(((C388=TRUE)*F388*MIN(1,Skills!T13*(Skills!J13/100)*B406))+((C393=TRUE)*F393*IF(AND(Inputs!$B$4&lt;&gt;"pvp",Inputs!$B$35&gt;0),(((S393-1)*(Skills!T18*(1+Inputs!$B$33/100))+MIN((Skills!T18*(1+Inputs!$B$33/100)),MAX(0,Inputs!$B$35-((S393-1)*Skills!D18))))/Inputs!$B$35),IF(Inputs!$B$4="pvp",MIN((Skills!T18*(1+Inputs!$B$33/100)),15)/15,(Skills!T18*(1+Inputs!$B$33/100))/Skills!D18)))+0)/100)*I384)</f>
        <v/>
      </c>
      <c r="L384">
        <f>K384*(MIN(Inputs!$B$21+((C397=TRUE)*(F397-Calc!F22)),(Inputs!$B$22+1)+((C399=TRUE)*(F399-Calc!F24)))/100+((Inputs!$B$22+1)+((C399=TRUE)*(F399-Calc!F24)))/100)/2</f>
        <v/>
      </c>
      <c r="M384">
        <f>L384*(1+(Inputs!$B$9+0+B407)/100)</f>
        <v/>
      </c>
      <c r="N384">
        <f>L384*(1-MIN((Inputs!$B$8+0+B402),100)/100)+M384*(MIN((Inputs!$B$8+0+B402),100)/100)</f>
        <v/>
      </c>
      <c r="O384">
        <f>IF(C384,H384*N384*IF(AND(Inputs!$B$4&lt;&gt;"pvp",Inputs!$B$35&gt;0),((Skills!G9*((R384-1)*IF(Skills!H9&gt;0,Skills!I9/Skills!H9,1)+IF(Skills!H9&gt;0,MIN(Skills!I9,MAX(0,Inputs!$B$35-((R384-1)*IF(Inputs!$B$4="pvp",15,MAX(0.1,Skills!D9-IF(Skills!E9=TRUE,Inputs!$B$31,0))))))/Skills!H9,1)))/Inputs!$B$35),G384*Q384)*IF(Inputs!$B$4="pvp",1,(1-Summary!$B$55)*(1)+Summary!$B$55*(MIN(Skills!R9,Inputs!$B$37))),0)</f>
        <v/>
      </c>
      <c r="P384">
        <f>IF(B410=0,0,O384/B410)</f>
        <v/>
      </c>
      <c r="Q384">
        <f>IFERROR(1/IF(Inputs!$B$4="pvp",15,MAX(0.1,Skills!D9-IF(Skills!E9=TRUE,Inputs!$B$31,0))),0)</f>
        <v/>
      </c>
      <c r="R384">
        <f>IF(AND(Inputs!$B$4&lt;&gt;"pvp",Inputs!$B$35&gt;0),(INT(Inputs!$B$35/IF(Inputs!$B$4="pvp",15,MAX(0.1,Skills!D9-IF(Skills!E9=TRUE,Inputs!$B$31,0))))+1),0)</f>
        <v/>
      </c>
      <c r="S384">
        <f>IFERROR(O384/N384,0)</f>
        <v/>
      </c>
    </row>
    <row r="385">
      <c r="A385">
        <f>Skills!A10</f>
        <v/>
      </c>
      <c r="B385">
        <f>Skills!B10</f>
        <v/>
      </c>
      <c r="C385">
        <f>Inputs!$B$3&gt;=117</f>
        <v/>
      </c>
      <c r="D385">
        <f>IF(Skills!C10=1,60+Inputs!$B$24+Inputs!$B$28,IF(Skills!C10=2,90+Inputs!$B$25+Inputs!$B$28,IF(Skills!C10=3,120+Inputs!$B$26+Inputs!$B$28,MAX(0,(Inputs!$B$3-100)*3)+Inputs!$B$27+Inputs!$B$28)))</f>
        <v/>
      </c>
      <c r="E385">
        <f>INDEX(FactorTable!$B$2:$Y$301, MATCH(ROUND(MIN(300,MAX(1,D385)),0), FactorTable!$A$2:$A$301,0), Skills!M10+1)</f>
        <v/>
      </c>
      <c r="F385">
        <f>IF(Skills!N10=TRUE,(Skills!L10/10)*(E385/1000),Skills!L10/10)+Skills!O10</f>
        <v/>
      </c>
      <c r="G385">
        <f>Skills!G10*IF(Skills!H10&gt;0,Skills!I10/Skills!H10,1)</f>
        <v/>
      </c>
      <c r="H385">
        <f>1-(1-Skills!J10/100)^Skills!K10</f>
        <v/>
      </c>
      <c r="I385" t="inlineStr">
        <is>
          <t>1</t>
        </is>
      </c>
      <c r="J385">
        <f>(Inputs!$B$5*(1+Inputs!$B$6/100))*(F385/100)</f>
        <v/>
      </c>
      <c r="K385">
        <f>J385*(1+((Inputs!$B$11*(1+Inputs!$B$12/100))*0.01+Inputs!$B$13*0.0025)/100)*(1+Inputs!$B$14/100)*(1+IF(Inputs!$B$4="pvp",0,(1-Summary!$B$55)*(Inputs!$B$19+0+Skills!P10)+Summary!$B$55*(Inputs!$B$20+Skills!Q10))/100)*(1+Inputs!$B$15/100)*(5000/(6000+Inputs!$B$7*(1-(Inputs!$B$18+0)/100)))*(1+(Inputs!$B$23+0+B408)/100)*(1+(IF(Skills!A10="BLAST",Inputs!$B$16+((C396=TRUE)*(F396-Calc!F21)),Inputs!$B$17+((C398=TRUE)*(F398-Calc!F23))))/100)*((1+(((C388=TRUE)*F388*MIN(1,Skills!T13*(Skills!J13/100)*B406))+((C393=TRUE)*F393*IF(AND(Inputs!$B$4&lt;&gt;"pvp",Inputs!$B$35&gt;0),(((S393-1)*(Skills!T18*(1+Inputs!$B$33/100))+MIN((Skills!T18*(1+Inputs!$B$33/100)),MAX(0,Inputs!$B$35-((S393-1)*Skills!D18))))/Inputs!$B$35),IF(Inputs!$B$4="pvp",MIN((Skills!T18*(1+Inputs!$B$33/100)),15)/15,(Skills!T18*(1+Inputs!$B$33/100))/Skills!D18)))+0)/100)*I385)</f>
        <v/>
      </c>
      <c r="L385">
        <f>K385*(MIN(Inputs!$B$21+((C397=TRUE)*(F397-Calc!F22)),(Inputs!$B$22+1)+((C399=TRUE)*(F399-Calc!F24)))/100+((Inputs!$B$22+1)+((C399=TRUE)*(F399-Calc!F24)))/100)/2</f>
        <v/>
      </c>
      <c r="M385">
        <f>L385*(1+(Inputs!$B$9+0+B407)/100)</f>
        <v/>
      </c>
      <c r="N385">
        <f>L385*(1-MIN((Inputs!$B$8+0+B402),100)/100)+M385*(MIN((Inputs!$B$8+0+B402),100)/100)</f>
        <v/>
      </c>
      <c r="O385">
        <f>IF(C385,H385*N385*IF(AND(Inputs!$B$4&lt;&gt;"pvp",Inputs!$B$35&gt;0),((Skills!G10*((R385-1)*IF(Skills!H10&gt;0,Skills!I10/Skills!H10,1)+IF(Skills!H10&gt;0,MIN(Skills!I10,MAX(0,Inputs!$B$35-((R385-1)*IF(Inputs!$B$4="pvp",15,MAX(0.1,Skills!D10-IF(Skills!E10=TRUE,Inputs!$B$31,0))))))/Skills!H10,1)))/Inputs!$B$35),G385*Q385)*IF(Inputs!$B$4="pvp",1,(1-Summary!$B$55)*(1)+Summary!$B$55*(MIN(Skills!R10,Inputs!$B$37))),0)</f>
        <v/>
      </c>
      <c r="P385">
        <f>IF(B410=0,0,O385/B410)</f>
        <v/>
      </c>
      <c r="Q385">
        <f>IFERROR(1/IF(Inputs!$B$4="pvp",15,MAX(0.1,Skills!D10-IF(Skills!E10=TRUE,Inputs!$B$31,0))),0)</f>
        <v/>
      </c>
      <c r="R385">
        <f>IF(AND(Inputs!$B$4&lt;&gt;"pvp",Inputs!$B$35&gt;0),(INT(Inputs!$B$35/IF(Inputs!$B$4="pvp",15,MAX(0.1,Skills!D10-IF(Skills!E10=TRUE,Inputs!$B$31,0))))+1),0)</f>
        <v/>
      </c>
      <c r="S385">
        <f>IFERROR(O385/N385,0)</f>
        <v/>
      </c>
    </row>
    <row r="386">
      <c r="A386">
        <f>Skills!A11</f>
        <v/>
      </c>
      <c r="B386">
        <f>Skills!B11</f>
        <v/>
      </c>
      <c r="C386">
        <f>Inputs!$B$3&gt;=63</f>
        <v/>
      </c>
      <c r="D386">
        <f>IF(Skills!C11=1,60+Inputs!$B$24+Inputs!$B$28,IF(Skills!C11=2,90+Inputs!$B$25+Inputs!$B$28,IF(Skills!C11=3,120+Inputs!$B$26+Inputs!$B$28,MAX(0,(Inputs!$B$3-100)*3)+Inputs!$B$27+Inputs!$B$28)))</f>
        <v/>
      </c>
      <c r="E386">
        <f>INDEX(FactorTable!$B$2:$Y$301, MATCH(ROUND(MIN(300,MAX(1,D386)),0), FactorTable!$A$2:$A$301,0), Skills!M11+1)</f>
        <v/>
      </c>
      <c r="F386">
        <f>IF(Skills!N11=TRUE,(Skills!L11/10)*(E386/1000),Skills!L11/10)+Skills!O11</f>
        <v/>
      </c>
      <c r="G386">
        <f>Skills!G11*IF(Skills!H11&gt;0,Skills!I11/Skills!H11,1)</f>
        <v/>
      </c>
      <c r="H386">
        <f>1-(1-Skills!J11/100)^Skills!K11</f>
        <v/>
      </c>
      <c r="I386" t="inlineStr">
        <is>
          <t>1</t>
        </is>
      </c>
      <c r="J386">
        <f>(Inputs!$B$5*(1+Inputs!$B$6/100))*(F386/100)</f>
        <v/>
      </c>
      <c r="K386">
        <f>J386*(1+((Inputs!$B$11*(1+Inputs!$B$12/100))*0.01+Inputs!$B$13*0.0025)/100)*(1+Inputs!$B$14/100)*(1+IF(Inputs!$B$4="pvp",0,(1-Summary!$B$55)*(Inputs!$B$19+0+Skills!P11)+Summary!$B$55*(Inputs!$B$20+Skills!Q11))/100)*(1+Inputs!$B$15/100)*(5000/(6000+Inputs!$B$7*(1-(Inputs!$B$18+0)/100)))*(1+(Inputs!$B$23+0+B408)/100)*(1+1.5*IF(C387=TRUE,F387,0)/100)*(1+(IF(Skills!A11="BLAST",Inputs!$B$16+((C396=TRUE)*(F396-Calc!F21)),Inputs!$B$17+((C398=TRUE)*(F398-Calc!F23))))/100)*((1+(((C388=TRUE)*F388*MIN(1,Skills!T13*(Skills!J13/100)*B406))+((C393=TRUE)*F393*IF(AND(Inputs!$B$4&lt;&gt;"pvp",Inputs!$B$35&gt;0),(((S393-1)*(Skills!T18*(1+Inputs!$B$33/100))+MIN((Skills!T18*(1+Inputs!$B$33/100)),MAX(0,Inputs!$B$35-((S393-1)*Skills!D18))))/Inputs!$B$35),IF(Inputs!$B$4="pvp",MIN((Skills!T18*(1+Inputs!$B$33/100)),15)/15,(Skills!T18*(1+Inputs!$B$33/100))/Skills!D18)))+0)/100)*I386)</f>
        <v/>
      </c>
      <c r="L386">
        <f>K386*(MIN(Inputs!$B$21+((C397=TRUE)*(F397-Calc!F22)),(Inputs!$B$22+1)+((C399=TRUE)*(F399-Calc!F24)))/100+((Inputs!$B$22+1)+((C399=TRUE)*(F399-Calc!F24)))/100)/2</f>
        <v/>
      </c>
      <c r="M386">
        <f>L386*(1+(Inputs!$B$9+0+B407)/100)</f>
        <v/>
      </c>
      <c r="N386">
        <f>L386*(1-MIN((Inputs!$B$8+0+B402),100)/100)+M386*(MIN((Inputs!$B$8+0+B402),100)/100)</f>
        <v/>
      </c>
      <c r="O386">
        <f>IF(C386,H386*N386*IF(AND(Inputs!$B$4&lt;&gt;"pvp",Inputs!$B$35&gt;0),((Skills!G11*((R386-1)*IF(Skills!H11&gt;0,Skills!I11/Skills!H11,1)+IF(Skills!H11&gt;0,MIN(Skills!I11,MAX(0,Inputs!$B$35-((R386-1)*IF(Inputs!$B$4="pvp",15,MAX(0.1,Skills!D11-IF(Skills!E11=TRUE,Inputs!$B$31,0))))))/Skills!H11,1)))/Inputs!$B$35),G386*Q386)*IF(Inputs!$B$4="pvp",1,(1-Summary!$B$55)*(1)+Summary!$B$55*(MIN(Skills!R11,Inputs!$B$37))),0)</f>
        <v/>
      </c>
      <c r="P386">
        <f>IF(B410=0,0,O386/B410)</f>
        <v/>
      </c>
      <c r="Q386">
        <f>IFERROR(1/IF(Inputs!$B$4="pvp",15,MAX(0.1,Skills!D11-IF(Skills!E11=TRUE,Inputs!$B$31,0))),0)</f>
        <v/>
      </c>
      <c r="R386">
        <f>IF(AND(Inputs!$B$4&lt;&gt;"pvp",Inputs!$B$35&gt;0),(INT(Inputs!$B$35/IF(Inputs!$B$4="pvp",15,MAX(0.1,Skills!D11-IF(Skills!E11=TRUE,Inputs!$B$31,0))))+1),0)</f>
        <v/>
      </c>
      <c r="S386">
        <f>IFERROR(O386/N386,0)</f>
        <v/>
      </c>
    </row>
    <row r="387">
      <c r="A387">
        <f>Skills!A12</f>
        <v/>
      </c>
      <c r="B387">
        <f>Skills!B12</f>
        <v/>
      </c>
      <c r="C387">
        <f>Inputs!$B$3&gt;=100</f>
        <v/>
      </c>
      <c r="D387">
        <f>IF(Skills!C12=1,60+Inputs!$B$24+Inputs!$B$28,IF(Skills!C12=2,90+Inputs!$B$25+Inputs!$B$28,IF(Skills!C12=3,120+Inputs!$B$26+Inputs!$B$28,MAX(0,(Inputs!$B$3-100)*3)+Inputs!$B$27+Inputs!$B$28)))</f>
        <v/>
      </c>
      <c r="E387">
        <f>INDEX(FactorTable!$B$2:$Y$301, MATCH(ROUND(MIN(300,MAX(1,D387)),0), FactorTable!$A$2:$A$301,0), Skills!M12+1)</f>
        <v/>
      </c>
      <c r="F387">
        <f>IF(Skills!N12=TRUE,(Skills!L12/10)*(E387/1000),Skills!L12/10)+Skills!O12</f>
        <v/>
      </c>
      <c r="G387" t="inlineStr"/>
      <c r="H387" t="inlineStr"/>
      <c r="I387" t="inlineStr">
        <is>
          <t>1</t>
        </is>
      </c>
      <c r="J387" t="inlineStr"/>
      <c r="K387" t="inlineStr"/>
      <c r="L387" t="inlineStr"/>
      <c r="M387" t="inlineStr"/>
      <c r="N387" t="inlineStr"/>
      <c r="O387" t="inlineStr"/>
      <c r="P387" t="inlineStr"/>
      <c r="Q387" t="inlineStr"/>
      <c r="R387" t="inlineStr"/>
      <c r="S387" t="inlineStr"/>
    </row>
    <row r="388">
      <c r="A388">
        <f>Skills!A13</f>
        <v/>
      </c>
      <c r="B388">
        <f>Skills!B13</f>
        <v/>
      </c>
      <c r="C388">
        <f>Inputs!$B$3&gt;=45</f>
        <v/>
      </c>
      <c r="D388">
        <f>IF(Skills!C13=1,60+Inputs!$B$24+Inputs!$B$28,IF(Skills!C13=2,90+Inputs!$B$25+Inputs!$B$28,IF(Skills!C13=3,120+Inputs!$B$26+Inputs!$B$28,MAX(0,(Inputs!$B$3-100)*3)+Inputs!$B$27+Inputs!$B$28)))</f>
        <v/>
      </c>
      <c r="E388">
        <f>INDEX(FactorTable!$B$2:$Y$301, MATCH(ROUND(MIN(300,MAX(1,D388)),0), FactorTable!$A$2:$A$301,0), Skills!M13+1)</f>
        <v/>
      </c>
      <c r="F388">
        <f>IF(Skills!N13=TRUE,(Skills!L13/10)*(E388/1000),Skills!L13/10)+Skills!O13</f>
        <v/>
      </c>
      <c r="G388">
        <f>Skills!G13*IF(Skills!H13&gt;0,Skills!I13/Skills!H13,1)</f>
        <v/>
      </c>
      <c r="H388">
        <f>1-(1-Skills!J13/100)^Skills!K13</f>
        <v/>
      </c>
      <c r="I388" t="inlineStr">
        <is>
          <t>1</t>
        </is>
      </c>
      <c r="J388" t="inlineStr"/>
      <c r="K388" t="inlineStr"/>
      <c r="L388" t="inlineStr"/>
      <c r="M388" t="inlineStr"/>
      <c r="N388" t="inlineStr"/>
      <c r="O388" t="n">
        <v>0</v>
      </c>
      <c r="P388">
        <f>IF(B410=0,0,O388/B410)</f>
        <v/>
      </c>
      <c r="Q388" t="n">
        <v>0</v>
      </c>
      <c r="R388" t="n">
        <v>0</v>
      </c>
      <c r="S388">
        <f>IFERROR(O388/N388,0)</f>
        <v/>
      </c>
    </row>
    <row r="389">
      <c r="A389">
        <f>Skills!A14</f>
        <v/>
      </c>
      <c r="B389">
        <f>Skills!B14</f>
        <v/>
      </c>
      <c r="C389">
        <f>Inputs!$B$3&gt;=110</f>
        <v/>
      </c>
      <c r="D389">
        <f>IF(Skills!C14=1,60+Inputs!$B$24+Inputs!$B$28,IF(Skills!C14=2,90+Inputs!$B$25+Inputs!$B$28,IF(Skills!C14=3,120+Inputs!$B$26+Inputs!$B$28,MAX(0,(Inputs!$B$3-100)*3)+Inputs!$B$27+Inputs!$B$28)))</f>
        <v/>
      </c>
      <c r="E389">
        <f>INDEX(FactorTable!$B$2:$Y$301, MATCH(ROUND(MIN(300,MAX(1,D389)),0), FactorTable!$A$2:$A$301,0), Skills!M14+1)</f>
        <v/>
      </c>
      <c r="F389">
        <f>IF(Skills!N14=TRUE,(Skills!L14/10)*(E389/1000),Skills!L14/10)+Skills!O14</f>
        <v/>
      </c>
      <c r="G389">
        <f>Skills!G14*IF(Skills!H14&gt;0,Skills!I14/Skills!H14,1)</f>
        <v/>
      </c>
      <c r="H389">
        <f>1-(1-Skills!J14/100)^Skills!K14</f>
        <v/>
      </c>
      <c r="I389" t="inlineStr">
        <is>
          <t>1</t>
        </is>
      </c>
      <c r="J389" t="inlineStr"/>
      <c r="K389" t="inlineStr"/>
      <c r="L389" t="inlineStr"/>
      <c r="M389" t="inlineStr"/>
      <c r="N389" t="inlineStr"/>
      <c r="O389" t="n">
        <v>0</v>
      </c>
      <c r="P389">
        <f>IF(B410=0,0,O389/B410)</f>
        <v/>
      </c>
      <c r="Q389" t="n">
        <v>0</v>
      </c>
      <c r="R389" t="n">
        <v>0</v>
      </c>
      <c r="S389">
        <f>IFERROR(O389/N389,0)</f>
        <v/>
      </c>
    </row>
    <row r="390">
      <c r="A390">
        <f>Skills!A15</f>
        <v/>
      </c>
      <c r="B390">
        <f>Skills!B15</f>
        <v/>
      </c>
      <c r="C390">
        <f>Inputs!$B$3&gt;=75</f>
        <v/>
      </c>
      <c r="D390">
        <f>IF(Skills!C15=1,60+Inputs!$B$24+Inputs!$B$28,IF(Skills!C15=2,90+Inputs!$B$25+Inputs!$B$28,IF(Skills!C15=3,120+Inputs!$B$26+Inputs!$B$28,MAX(0,(Inputs!$B$3-100)*3)+Inputs!$B$27+Inputs!$B$28)))</f>
        <v/>
      </c>
      <c r="E390">
        <f>INDEX(FactorTable!$B$2:$Y$301, MATCH(ROUND(MIN(300,MAX(1,D390)),0), FactorTable!$A$2:$A$301,0), Skills!M15+1)</f>
        <v/>
      </c>
      <c r="F390">
        <f>IF(Skills!N15=TRUE,(Skills!L15/10)*(E390/1000),Skills!L15/10)+Skills!O15</f>
        <v/>
      </c>
      <c r="G390">
        <f>Skills!G15*IF(Skills!H15&gt;0,Skills!I15/Skills!H15,1)</f>
        <v/>
      </c>
      <c r="H390">
        <f>1-(1-Skills!J15/100)^Skills!K15</f>
        <v/>
      </c>
      <c r="I390" t="inlineStr">
        <is>
          <t>1</t>
        </is>
      </c>
      <c r="J390" t="inlineStr"/>
      <c r="K390" t="inlineStr"/>
      <c r="L390" t="inlineStr"/>
      <c r="M390" t="inlineStr"/>
      <c r="N390" t="inlineStr"/>
      <c r="O390" t="n">
        <v>0</v>
      </c>
      <c r="P390">
        <f>IF(B410=0,0,O390/B410)</f>
        <v/>
      </c>
      <c r="Q390">
        <f>IFERROR(1/IF(Inputs!$B$4="pvp",15,MAX(0.1,Skills!D15-IF(Skills!E15=TRUE,Inputs!$B$31,0))),0)</f>
        <v/>
      </c>
      <c r="R390">
        <f>IF(AND(Inputs!$B$4&lt;&gt;"pvp",Inputs!$B$35&gt;0),(INT(Inputs!$B$35/IF(Inputs!$B$4="pvp",15,MAX(0.1,Skills!D15-IF(Skills!E15=TRUE,Inputs!$B$31,0))))+1),0)</f>
        <v/>
      </c>
      <c r="S390">
        <f>IFERROR(O390/N390,0)</f>
        <v/>
      </c>
    </row>
    <row r="391">
      <c r="A391">
        <f>Skills!A16</f>
        <v/>
      </c>
      <c r="B391">
        <f>Skills!B16</f>
        <v/>
      </c>
      <c r="C391">
        <f>Inputs!$B$3&gt;=105</f>
        <v/>
      </c>
      <c r="D391">
        <f>IF(Skills!C16=1,60+Inputs!$B$24+Inputs!$B$28,IF(Skills!C16=2,90+Inputs!$B$25+Inputs!$B$28,IF(Skills!C16=3,120+Inputs!$B$26+Inputs!$B$28,MAX(0,(Inputs!$B$3-100)*3)+Inputs!$B$27+Inputs!$B$28)))</f>
        <v/>
      </c>
      <c r="E391">
        <f>INDEX(FactorTable!$B$2:$Y$301, MATCH(ROUND(MIN(300,MAX(1,D391)),0), FactorTable!$A$2:$A$301,0), Skills!M16+1)</f>
        <v/>
      </c>
      <c r="F391">
        <f>IF(Skills!N16=TRUE,(Skills!L16/10)*(E391/1000),Skills!L16/10)+Skills!O16</f>
        <v/>
      </c>
      <c r="G391">
        <f>Skills!G16*IF(Skills!H16&gt;0,Skills!I16/Skills!H16,1)</f>
        <v/>
      </c>
      <c r="H391">
        <f>1-(1-Skills!J16/100)^Skills!K16</f>
        <v/>
      </c>
      <c r="I391" t="inlineStr">
        <is>
          <t>1</t>
        </is>
      </c>
      <c r="J391" t="inlineStr"/>
      <c r="K391" t="inlineStr"/>
      <c r="L391" t="inlineStr"/>
      <c r="M391" t="inlineStr"/>
      <c r="N391" t="inlineStr"/>
      <c r="O391" t="n">
        <v>0</v>
      </c>
      <c r="P391">
        <f>IF(B410=0,0,O391/B410)</f>
        <v/>
      </c>
      <c r="Q391">
        <f>IFERROR(1/IF(Inputs!$B$4="pvp",15,MAX(0.1,Skills!D16-IF(Skills!E16=TRUE,Inputs!$B$31,0))),0)</f>
        <v/>
      </c>
      <c r="R391">
        <f>IF(AND(Inputs!$B$4&lt;&gt;"pvp",Inputs!$B$35&gt;0),(INT(Inputs!$B$35/IF(Inputs!$B$4="pvp",15,MAX(0.1,Skills!D16-IF(Skills!E16=TRUE,Inputs!$B$31,0))))+1),0)</f>
        <v/>
      </c>
      <c r="S391">
        <f>IFERROR(O391/N391,0)</f>
        <v/>
      </c>
    </row>
    <row r="392">
      <c r="A392">
        <f>Skills!A17</f>
        <v/>
      </c>
      <c r="B392">
        <f>Skills!B17</f>
        <v/>
      </c>
      <c r="C392">
        <f>Inputs!$B$3&gt;=115</f>
        <v/>
      </c>
      <c r="D392">
        <f>IF(Skills!C17=1,60+Inputs!$B$24+Inputs!$B$28,IF(Skills!C17=2,90+Inputs!$B$25+Inputs!$B$28,IF(Skills!C17=3,120+Inputs!$B$26+Inputs!$B$28,MAX(0,(Inputs!$B$3-100)*3)+Inputs!$B$27+Inputs!$B$28)))</f>
        <v/>
      </c>
      <c r="E392">
        <f>INDEX(FactorTable!$B$2:$Y$301, MATCH(ROUND(MIN(300,MAX(1,D392)),0), FactorTable!$A$2:$A$301,0), Skills!M17+1)</f>
        <v/>
      </c>
      <c r="F392">
        <f>IF(Skills!N17=TRUE,(Skills!L17/10)*(E392/1000),Skills!L17/10)+Skills!O17</f>
        <v/>
      </c>
      <c r="G392">
        <f>Skills!G17*IF(Skills!H17&gt;0,Skills!I17/Skills!H17,1)</f>
        <v/>
      </c>
      <c r="H392">
        <f>1-(1-Skills!J17/100)^Skills!K17</f>
        <v/>
      </c>
      <c r="I392" t="inlineStr">
        <is>
          <t>1</t>
        </is>
      </c>
      <c r="J392" t="inlineStr"/>
      <c r="K392" t="inlineStr"/>
      <c r="L392" t="inlineStr"/>
      <c r="M392" t="inlineStr"/>
      <c r="N392" t="inlineStr"/>
      <c r="O392" t="n">
        <v>0</v>
      </c>
      <c r="P392">
        <f>IF(B410=0,0,O392/B410)</f>
        <v/>
      </c>
      <c r="Q392">
        <f>IFERROR(1/IF(Inputs!$B$4="pvp",15,MAX(0.1,Skills!D17-IF(Skills!E17=TRUE,Inputs!$B$31,0))),0)</f>
        <v/>
      </c>
      <c r="R392">
        <f>IF(AND(Inputs!$B$4&lt;&gt;"pvp",Inputs!$B$35&gt;0),(INT(Inputs!$B$35/IF(Inputs!$B$4="pvp",15,MAX(0.1,Skills!D17-IF(Skills!E17=TRUE,Inputs!$B$31,0))))+1),0)</f>
        <v/>
      </c>
      <c r="S392">
        <f>IFERROR(O392/N392,0)</f>
        <v/>
      </c>
    </row>
    <row r="393">
      <c r="A393">
        <f>Skills!A18</f>
        <v/>
      </c>
      <c r="B393">
        <f>Skills!B18</f>
        <v/>
      </c>
      <c r="C393">
        <f>Inputs!$B$3&gt;=74</f>
        <v/>
      </c>
      <c r="D393">
        <f>IF(Skills!C18=1,60+Inputs!$B$24+Inputs!$B$28,IF(Skills!C18=2,90+Inputs!$B$25+Inputs!$B$28,IF(Skills!C18=3,120+Inputs!$B$26+Inputs!$B$28,MAX(0,(Inputs!$B$3-100)*3)+Inputs!$B$27+Inputs!$B$28)))</f>
        <v/>
      </c>
      <c r="E393">
        <f>INDEX(FactorTable!$B$2:$Y$301, MATCH(ROUND(MIN(300,MAX(1,D393)),0), FactorTable!$A$2:$A$301,0), Skills!M18+1)</f>
        <v/>
      </c>
      <c r="F393">
        <f>IF(Skills!N18=TRUE,(Skills!L18/10)*(E393/1000),Skills!L18/10)+Skills!O18</f>
        <v/>
      </c>
      <c r="G393">
        <f>Skills!G18*IF(Skills!H18&gt;0,Skills!I18/Skills!H18,1)</f>
        <v/>
      </c>
      <c r="H393">
        <f>1-(1-Skills!J18/100)^Skills!K18</f>
        <v/>
      </c>
      <c r="I393" t="inlineStr">
        <is>
          <t>1</t>
        </is>
      </c>
      <c r="J393" t="inlineStr"/>
      <c r="K393" t="inlineStr"/>
      <c r="L393" t="inlineStr"/>
      <c r="M393" t="inlineStr"/>
      <c r="N393" t="inlineStr"/>
      <c r="O393" t="n">
        <v>0</v>
      </c>
      <c r="P393">
        <f>IF(B410=0,0,O393/B410)</f>
        <v/>
      </c>
      <c r="Q393">
        <f>IFERROR(1/IF(Inputs!$B$4="pvp",15,MAX(0.1,Skills!D18-IF(Skills!E18=TRUE,Inputs!$B$31,0))),0)</f>
        <v/>
      </c>
      <c r="R393">
        <f>IF(AND(Inputs!$B$4&lt;&gt;"pvp",Inputs!$B$35&gt;0),(INT(Inputs!$B$35/IF(Inputs!$B$4="pvp",15,MAX(0.1,Skills!D18-IF(Skills!E18=TRUE,Inputs!$B$31,0))))+1),0)</f>
        <v/>
      </c>
      <c r="S393">
        <f>IFERROR(O393/N393,0)</f>
        <v/>
      </c>
    </row>
    <row r="394">
      <c r="A394">
        <f>Skills!A19</f>
        <v/>
      </c>
      <c r="B394">
        <f>Skills!B19</f>
        <v/>
      </c>
      <c r="C394">
        <f>TRUE</f>
        <v/>
      </c>
      <c r="D394">
        <f>IF(Skills!C19=1,60+Inputs!$B$24+Inputs!$B$28,IF(Skills!C19=2,90+Inputs!$B$25+Inputs!$B$28,IF(Skills!C19=3,120+Inputs!$B$26+Inputs!$B$28,MAX(0,(Inputs!$B$3-100)*3)+Inputs!$B$27+Inputs!$B$28)))</f>
        <v/>
      </c>
      <c r="E394">
        <f>INDEX(FactorTable!$B$2:$Y$301, MATCH(ROUND(MIN(300,MAX(1,D394)),0), FactorTable!$A$2:$A$301,0), Skills!M19+1)</f>
        <v/>
      </c>
      <c r="F394">
        <f>IF(Skills!N19=TRUE,(Skills!L19/10)*(E394/1000),Skills!L19/10)+Skills!O19</f>
        <v/>
      </c>
      <c r="G394">
        <f>Skills!G19*IF(Skills!H19&gt;0,Skills!I19/Skills!H19,1)</f>
        <v/>
      </c>
      <c r="H394">
        <f>1-(1-Skills!J19/100)^Skills!K19</f>
        <v/>
      </c>
      <c r="I394" t="inlineStr">
        <is>
          <t>1</t>
        </is>
      </c>
      <c r="J394" t="inlineStr"/>
      <c r="K394" t="inlineStr"/>
      <c r="L394" t="inlineStr"/>
      <c r="M394" t="inlineStr"/>
      <c r="N394" t="inlineStr"/>
      <c r="O394" t="n">
        <v>0</v>
      </c>
      <c r="P394">
        <f>IF(B410=0,0,O394/B410)</f>
        <v/>
      </c>
      <c r="Q394">
        <f>IFERROR(1/IF(Inputs!$B$4="pvp",15,MAX(0.1,Skills!D19-IF(Skills!E19=TRUE,Inputs!$B$31,0))),0)</f>
        <v/>
      </c>
      <c r="R394">
        <f>IF(AND(Inputs!$B$4&lt;&gt;"pvp",Inputs!$B$35&gt;0),(INT(Inputs!$B$35/IF(Inputs!$B$4="pvp",15,MAX(0.1,Skills!D19-IF(Skills!E19=TRUE,Inputs!$B$31,0))))+1),0)</f>
        <v/>
      </c>
      <c r="S394">
        <f>IFERROR(O394/N394,0)</f>
        <v/>
      </c>
    </row>
    <row r="395">
      <c r="A395">
        <f>Skills!A20</f>
        <v/>
      </c>
      <c r="B395">
        <f>Skills!B20</f>
        <v/>
      </c>
      <c r="C395">
        <f>Inputs!$B$3&gt;=33</f>
        <v/>
      </c>
      <c r="D395">
        <f>IF(Skills!C20=1,60+Inputs!$B$24+Inputs!$B$28,IF(Skills!C20=2,90+Inputs!$B$25+Inputs!$B$28,IF(Skills!C20=3,120+Inputs!$B$26+Inputs!$B$28,MAX(0,(Inputs!$B$3-100)*3)+Inputs!$B$27+Inputs!$B$28)))</f>
        <v/>
      </c>
      <c r="E395">
        <f>INDEX(FactorTable!$B$2:$Y$301, MATCH(ROUND(MIN(300,MAX(1,D395)),0), FactorTable!$A$2:$A$301,0), Skills!M20+1)</f>
        <v/>
      </c>
      <c r="F395">
        <f>IF(Skills!N20=TRUE,(Skills!L20/10)*(E395/1000),Skills!L20/10)+Skills!O20</f>
        <v/>
      </c>
      <c r="G395">
        <f>Skills!G20*IF(Skills!H20&gt;0,Skills!I20/Skills!H20,1)</f>
        <v/>
      </c>
      <c r="H395">
        <f>1-(1-Skills!J20/100)^Skills!K20</f>
        <v/>
      </c>
      <c r="I395" t="inlineStr">
        <is>
          <t>1</t>
        </is>
      </c>
      <c r="J395" t="inlineStr"/>
      <c r="K395" t="inlineStr"/>
      <c r="L395" t="inlineStr"/>
      <c r="M395" t="inlineStr"/>
      <c r="N395" t="inlineStr"/>
      <c r="O395" t="n">
        <v>0</v>
      </c>
      <c r="P395">
        <f>IF(B410=0,0,O395/B410)</f>
        <v/>
      </c>
      <c r="Q395" t="n">
        <v>0</v>
      </c>
      <c r="R395" t="n">
        <v>0</v>
      </c>
      <c r="S395">
        <f>IFERROR(O395/N395,0)</f>
        <v/>
      </c>
    </row>
    <row r="396">
      <c r="A396">
        <f>Skills!A21</f>
        <v/>
      </c>
      <c r="B396">
        <f>Skills!B21</f>
        <v/>
      </c>
      <c r="C396">
        <f>Inputs!$B$3&gt;=38</f>
        <v/>
      </c>
      <c r="D396">
        <f>IF(Skills!C21=1,60+Inputs!$B$24+Inputs!$B$28,IF(Skills!C21=2,90+Inputs!$B$25+Inputs!$B$28,IF(Skills!C21=3,120+Inputs!$B$26+Inputs!$B$28,MAX(0,(Inputs!$B$3-100)*3)+Inputs!$B$27+Inputs!$B$28)))</f>
        <v/>
      </c>
      <c r="E396">
        <f>INDEX(FactorTable!$B$2:$Y$301, MATCH(ROUND(MIN(300,MAX(1,D396)),0), FactorTable!$A$2:$A$301,0), Skills!M21+1)</f>
        <v/>
      </c>
      <c r="F396">
        <f>IF(Skills!N21=TRUE,(Skills!L21/10)*(E396/1000),Skills!L21/10)+Skills!O21</f>
        <v/>
      </c>
      <c r="G396">
        <f>Skills!G21*IF(Skills!H21&gt;0,Skills!I21/Skills!H21,1)</f>
        <v/>
      </c>
      <c r="H396">
        <f>1-(1-Skills!J21/100)^Skills!K21</f>
        <v/>
      </c>
      <c r="I396" t="inlineStr">
        <is>
          <t>1</t>
        </is>
      </c>
      <c r="J396" t="inlineStr"/>
      <c r="K396" t="inlineStr"/>
      <c r="L396" t="inlineStr"/>
      <c r="M396" t="inlineStr"/>
      <c r="N396" t="inlineStr"/>
      <c r="O396" t="n">
        <v>0</v>
      </c>
      <c r="P396">
        <f>IF(B410=0,0,O396/B410)</f>
        <v/>
      </c>
      <c r="Q396" t="n">
        <v>0</v>
      </c>
      <c r="R396" t="n">
        <v>0</v>
      </c>
      <c r="S396">
        <f>IFERROR(O396/N396,0)</f>
        <v/>
      </c>
    </row>
    <row r="397">
      <c r="A397">
        <f>Skills!A22</f>
        <v/>
      </c>
      <c r="B397">
        <f>Skills!B22</f>
        <v/>
      </c>
      <c r="C397">
        <f>Inputs!$B$3&gt;=43</f>
        <v/>
      </c>
      <c r="D397">
        <f>IF(Skills!C22=1,60+Inputs!$B$24+Inputs!$B$28,IF(Skills!C22=2,90+Inputs!$B$25+Inputs!$B$28,IF(Skills!C22=3,120+Inputs!$B$26+Inputs!$B$28,MAX(0,(Inputs!$B$3-100)*3)+Inputs!$B$27+Inputs!$B$28)))</f>
        <v/>
      </c>
      <c r="E397">
        <f>INDEX(FactorTable!$B$2:$Y$301, MATCH(ROUND(MIN(300,MAX(1,D397)),0), FactorTable!$A$2:$A$301,0), Skills!M22+1)</f>
        <v/>
      </c>
      <c r="F397">
        <f>IF(Skills!N22=TRUE,(Skills!L22/10)*(E397/1000),Skills!L22/10)+Skills!O22</f>
        <v/>
      </c>
      <c r="G397">
        <f>Skills!G22*IF(Skills!H22&gt;0,Skills!I22/Skills!H22,1)</f>
        <v/>
      </c>
      <c r="H397">
        <f>1-(1-Skills!J22/100)^Skills!K22</f>
        <v/>
      </c>
      <c r="I397" t="inlineStr">
        <is>
          <t>1</t>
        </is>
      </c>
      <c r="J397" t="inlineStr"/>
      <c r="K397" t="inlineStr"/>
      <c r="L397" t="inlineStr"/>
      <c r="M397" t="inlineStr"/>
      <c r="N397" t="inlineStr"/>
      <c r="O397" t="n">
        <v>0</v>
      </c>
      <c r="P397">
        <f>IF(B410=0,0,O397/B410)</f>
        <v/>
      </c>
      <c r="Q397" t="n">
        <v>0</v>
      </c>
      <c r="R397" t="n">
        <v>0</v>
      </c>
      <c r="S397">
        <f>IFERROR(O397/N397,0)</f>
        <v/>
      </c>
    </row>
    <row r="398">
      <c r="A398">
        <f>Skills!A23</f>
        <v/>
      </c>
      <c r="B398">
        <f>Skills!B23</f>
        <v/>
      </c>
      <c r="C398">
        <f>Inputs!$B$3&gt;=120</f>
        <v/>
      </c>
      <c r="D398">
        <f>IF(Skills!C23=1,60+Inputs!$B$24+Inputs!$B$28,IF(Skills!C23=2,90+Inputs!$B$25+Inputs!$B$28,IF(Skills!C23=3,120+Inputs!$B$26+Inputs!$B$28,MAX(0,(Inputs!$B$3-100)*3)+Inputs!$B$27+Inputs!$B$28)))</f>
        <v/>
      </c>
      <c r="E398">
        <f>INDEX(FactorTable!$B$2:$Y$301, MATCH(ROUND(MIN(300,MAX(1,D398)),0), FactorTable!$A$2:$A$301,0), Skills!M23+1)</f>
        <v/>
      </c>
      <c r="F398">
        <f>IF(Skills!N23=TRUE,(Skills!L23/10)*(E398/1000),Skills!L23/10)+Skills!O23</f>
        <v/>
      </c>
      <c r="G398">
        <f>Skills!G23*IF(Skills!H23&gt;0,Skills!I23/Skills!H23,1)</f>
        <v/>
      </c>
      <c r="H398">
        <f>1-(1-Skills!J23/100)^Skills!K23</f>
        <v/>
      </c>
      <c r="I398" t="inlineStr">
        <is>
          <t>1</t>
        </is>
      </c>
      <c r="J398" t="inlineStr"/>
      <c r="K398" t="inlineStr"/>
      <c r="L398" t="inlineStr"/>
      <c r="M398" t="inlineStr"/>
      <c r="N398" t="inlineStr"/>
      <c r="O398" t="n">
        <v>0</v>
      </c>
      <c r="P398">
        <f>IF(B410=0,0,O398/B410)</f>
        <v/>
      </c>
      <c r="Q398" t="n">
        <v>0</v>
      </c>
      <c r="R398" t="n">
        <v>0</v>
      </c>
      <c r="S398">
        <f>IFERROR(O398/N398,0)</f>
        <v/>
      </c>
    </row>
    <row r="399">
      <c r="A399">
        <f>Skills!A24</f>
        <v/>
      </c>
      <c r="B399">
        <f>Skills!B24</f>
        <v/>
      </c>
      <c r="C399">
        <f>Inputs!$B$3&gt;=120</f>
        <v/>
      </c>
      <c r="D399">
        <f>IF(Skills!C24=1,60+Inputs!$B$24+Inputs!$B$28,IF(Skills!C24=2,90+Inputs!$B$25+Inputs!$B$28,IF(Skills!C24=3,120+Inputs!$B$26+Inputs!$B$28,MAX(0,(Inputs!$B$3-100)*3)+Inputs!$B$27+Inputs!$B$28)))</f>
        <v/>
      </c>
      <c r="E399">
        <f>INDEX(FactorTable!$B$2:$Y$301, MATCH(ROUND(MIN(300,MAX(1,D399)),0), FactorTable!$A$2:$A$301,0), Skills!M24+1)</f>
        <v/>
      </c>
      <c r="F399">
        <f>IF(Skills!N24=TRUE,(Skills!L24/10)*(E399/1000),Skills!L24/10)+Skills!O24</f>
        <v/>
      </c>
      <c r="G399">
        <f>Skills!G24*IF(Skills!H24&gt;0,Skills!I24/Skills!H24,1)</f>
        <v/>
      </c>
      <c r="H399">
        <f>1-(1-Skills!J24/100)^Skills!K24</f>
        <v/>
      </c>
      <c r="I399" t="inlineStr">
        <is>
          <t>1</t>
        </is>
      </c>
      <c r="J399" t="inlineStr"/>
      <c r="K399" t="inlineStr"/>
      <c r="L399" t="inlineStr"/>
      <c r="M399" t="inlineStr"/>
      <c r="N399" t="inlineStr"/>
      <c r="O399" t="n">
        <v>0</v>
      </c>
      <c r="P399">
        <f>IF(B410=0,0,O399/B410)</f>
        <v/>
      </c>
      <c r="Q399" t="n">
        <v>0</v>
      </c>
      <c r="R399" t="n">
        <v>0</v>
      </c>
      <c r="S399">
        <f>IFERROR(O399/N399,0)</f>
        <v/>
      </c>
    </row>
    <row r="401">
      <c r="A401" t="inlineStr">
        <is>
          <t>Attack% Bucket Multiplier</t>
        </is>
      </c>
      <c r="B401">
        <f>(1+(((C388=TRUE)*F388*MIN(1,Skills!T13*(Skills!J13/100)*B406))+((C393=TRUE)*F393*IF(AND(Inputs!$B$4&lt;&gt;"pvp",Inputs!$B$35&gt;0),(((S393-1)*(Skills!T18*(1+Inputs!$B$33/100))+MIN((Skills!T18*(1+Inputs!$B$33/100)),MAX(0,Inputs!$B$35-((S393-1)*Skills!D18))))/Inputs!$B$35),IF(Inputs!$B$4="pvp",MIN((Skills!T18*(1+Inputs!$B$33/100)),15)/15,(Skills!T18*(1+Inputs!$B$33/100))/Skills!D18)))+0)/100)</f>
        <v/>
      </c>
    </row>
    <row r="402">
      <c r="A402" t="inlineStr">
        <is>
          <t>Global Crit Rate Bonus %</t>
        </is>
      </c>
      <c r="B402" t="n">
        <v>0</v>
      </c>
    </row>
    <row r="403">
      <c r="A403" t="inlineStr">
        <is>
          <t>Attack Speed Buff Bonus %</t>
        </is>
      </c>
      <c r="B403">
        <f>((C394=TRUE)*F394*IF(AND(Inputs!$B$4&lt;&gt;"pvp",Inputs!$B$35&gt;0),(((S394-1)*(Skills!T19*(1+Inputs!$B$33/100))+MIN((Skills!T19*(1+Inputs!$B$33/100)),MAX(0,Inputs!$B$35-((S394-1)*Skills!D19))))/Inputs!$B$35),IF(Inputs!$B$4="pvp",MIN((Skills!T19*(1+Inputs!$B$33/100)),15)/15,(Skills!T19*(1+Inputs!$B$33/100))/Skills!D19)))</f>
        <v/>
      </c>
    </row>
    <row r="404">
      <c r="A404" t="inlineStr">
        <is>
          <t>Actions Per Second</t>
        </is>
      </c>
      <c r="B404">
        <f>1+MIN(150,150*(1-(1-(Inputs!$B$10+((C395=TRUE)*(F395-Calc!F20)))/150)*(1-B403/150)))/100</f>
        <v/>
      </c>
    </row>
    <row r="405">
      <c r="A405" t="inlineStr">
        <is>
          <t>Skill + Buff Cast Rate</t>
        </is>
      </c>
      <c r="B405">
        <f>IF(AND(Inputs!$B$4&lt;&gt;"pvp",Inputs!$B$35&gt;0),SUMPRODUCT((Skills!E2:E24=TRUE)*(C377:C399=TRUE)*R377:R399*Skills!F2:F24)/Inputs!$B$35,SUMPRODUCT((Skills!E2:E24=TRUE)*(C377:C399=TRUE)*Q377:Q399*Skills!F2:F24))</f>
        <v/>
      </c>
    </row>
    <row r="406">
      <c r="A406" t="inlineStr">
        <is>
          <t>Blast Casts Per Second</t>
        </is>
      </c>
      <c r="B406">
        <f>MAX(0,B404-B405)</f>
        <v/>
      </c>
    </row>
    <row r="407">
      <c r="A407" t="inlineStr">
        <is>
          <t>Global Critical Damage Bonus % (unused)</t>
        </is>
      </c>
      <c r="B407" t="n">
        <v>0</v>
      </c>
    </row>
    <row r="408">
      <c r="A408" t="inlineStr">
        <is>
          <t>Global Final Damage Bonus % (Divine Shield + Guardian + Divine Blessing + Greater Vessel of Light)</t>
        </is>
      </c>
      <c r="B408">
        <f>((C390=TRUE)*F390*IF(AND(Inputs!$B$4&lt;&gt;"pvp",Inputs!$B$35&gt;0),(((S390-1)*(Skills!T15*(1+Inputs!$B$33/100))+MIN((Skills!T15*(1+Inputs!$B$33/100)),MAX(0,Inputs!$B$35-((S390-1)*Skills!D15))))/Inputs!$B$35),IF(Inputs!$B$4="pvp",MIN((Skills!T15*(1+Inputs!$B$33/100)),15)/15,(Skills!T15*(1+Inputs!$B$33/100))/Skills!D15)))+((C391=TRUE)*F391*IF(AND(Inputs!$B$4&lt;&gt;"pvp",Inputs!$B$35&gt;0),(((S391-1)*(Skills!T16*(1+Inputs!$B$33/100))+MIN((Skills!T16*(1+Inputs!$B$33/100)),MAX(0,Inputs!$B$35-((S391-1)*Skills!D16))))/Inputs!$B$35),IF(Inputs!$B$4="pvp",MIN((Skills!T16*(1+Inputs!$B$33/100)),15)/15,(Skills!T16*(1+Inputs!$B$33/100))/Skills!D16)))+((C392=TRUE)*F392*IF(AND(Inputs!$B$4&lt;&gt;"pvp",Inputs!$B$35&gt;0),(((S392-1)*(Skills!T17*(1+Inputs!$B$33/100))+MIN((Skills!T17*(1+Inputs!$B$33/100)),MAX(0,Inputs!$B$35-((S392-1)*Skills!D17))))/Inputs!$B$35),IF(Inputs!$B$4="pvp",MIN((Skills!T17*(1+Inputs!$B$33/100)),15)/15,(Skills!T17*(1+Inputs!$B$33/100))/Skills!D17)))+((C389=TRUE)*F389*MIN(1,Skills!T13*(Skills!J13/100)*B406))</f>
        <v/>
      </c>
    </row>
    <row r="410">
      <c r="A410" s="5" t="inlineStr">
        <is>
          <t>TOTAL DPS</t>
        </is>
      </c>
      <c r="B410" s="5">
        <f>SUM(O377:O399)</f>
        <v/>
      </c>
    </row>
    <row r="413">
      <c r="A413" s="5" t="inlineStr">
        <is>
          <t>Stat: CRIT_RATE %</t>
        </is>
      </c>
    </row>
    <row r="414">
      <c r="A414" s="8" t="inlineStr">
        <is>
          <t>Key</t>
        </is>
      </c>
      <c r="B414" s="8" t="inlineStr">
        <is>
          <t>Name</t>
        </is>
      </c>
      <c r="C414" s="8" t="inlineStr">
        <is>
          <t>Unlocked</t>
        </is>
      </c>
      <c r="D414" s="8" t="inlineStr">
        <is>
          <t>InputLevel</t>
        </is>
      </c>
      <c r="E414" s="8" t="inlineStr">
        <is>
          <t>Factor</t>
        </is>
      </c>
      <c r="F414" s="8" t="inlineStr">
        <is>
          <t>CoefficientPercent</t>
        </is>
      </c>
      <c r="G414" s="8" t="inlineStr">
        <is>
          <t>EffectiveHits</t>
        </is>
      </c>
      <c r="H414" s="8" t="inlineStr">
        <is>
          <t>ProcProbability</t>
        </is>
      </c>
      <c r="I414" s="8" t="inlineStr">
        <is>
          <t>MapleHeroMultiplier</t>
        </is>
      </c>
      <c r="J414" s="8" t="inlineStr">
        <is>
          <t>BaseDamage</t>
        </is>
      </c>
      <c r="K414" s="8" t="inlineStr">
        <is>
          <t>BaseHitDamage</t>
        </is>
      </c>
      <c r="L414" s="8" t="inlineStr">
        <is>
          <t>NonCritAvg</t>
        </is>
      </c>
      <c r="M414" s="8" t="inlineStr">
        <is>
          <t>CritAvg</t>
        </is>
      </c>
      <c r="N414" s="8" t="inlineStr">
        <is>
          <t>ExpectedDamage(perHit)</t>
        </is>
      </c>
      <c r="O414" s="8" t="inlineStr">
        <is>
          <t>DPS</t>
        </is>
      </c>
      <c r="P414" s="8" t="inlineStr">
        <is>
          <t>% of Total</t>
        </is>
      </c>
      <c r="Q414" s="8" t="inlineStr">
        <is>
          <t>InvCooldown</t>
        </is>
      </c>
      <c r="R414" s="8" t="inlineStr">
        <is>
          <t>CastsInFight</t>
        </is>
      </c>
      <c r="S414" s="8" t="inlineStr">
        <is>
          <t>HitRate(perSec)</t>
        </is>
      </c>
      <c r="U414" t="inlineStr">
        <is>
          <t>helpers</t>
        </is>
      </c>
    </row>
    <row r="415">
      <c r="A415">
        <f>Skills!A2</f>
        <v/>
      </c>
      <c r="B415">
        <f>Skills!B2</f>
        <v/>
      </c>
      <c r="C415">
        <f>Inputs!$B$3&gt;=100</f>
        <v/>
      </c>
      <c r="D415" t="inlineStr"/>
      <c r="E415" t="inlineStr"/>
      <c r="F415">
        <f>U417+Skills!O2</f>
        <v/>
      </c>
      <c r="G415">
        <f>Skills!G2*IF(Skills!H2&gt;0,Skills!I2/Skills!H2,1)</f>
        <v/>
      </c>
      <c r="H415">
        <f>1-(1-Skills!J2/100)^Skills!K2</f>
        <v/>
      </c>
      <c r="I415" t="inlineStr">
        <is>
          <t>1</t>
        </is>
      </c>
      <c r="J415">
        <f>(Inputs!$B$5*(1+Inputs!$B$6/100))*(F415/100)</f>
        <v/>
      </c>
      <c r="K415">
        <f>J415*(1+((Inputs!$B$11*(1+Inputs!$B$12/100))*0.01+Inputs!$B$13*0.0025)/100)*(1+Inputs!$B$14/100)*(1+IF(Inputs!$B$4="pvp",0,(1-Summary!$B$55)*(Inputs!$B$19+0+Skills!P2)+Summary!$B$55*(Inputs!$B$20+Skills!Q2))/100)*(1+Inputs!$B$15/100)*(5000/(6000+Inputs!$B$7*(1-(Inputs!$B$18+0)/100)))*(1+(Inputs!$B$23+0+B446)/100)*(1+(IF(Skills!A2="BLAST",Inputs!$B$16+((C434=TRUE)*(F434-Calc!F21)),Inputs!$B$17+((C436=TRUE)*(F436-Calc!F23))))/100)*((1+(((C426=TRUE)*F426*MIN(1,Skills!T13*(Skills!J13/100)*B444))+((C431=TRUE)*F431*IF(AND(Inputs!$B$4&lt;&gt;"pvp",Inputs!$B$35&gt;0),(((S431-1)*(Skills!T18*(1+Inputs!$B$33/100))+MIN((Skills!T18*(1+Inputs!$B$33/100)),MAX(0,Inputs!$B$35-((S431-1)*Skills!D18))))/Inputs!$B$35),IF(Inputs!$B$4="pvp",MIN((Skills!T18*(1+Inputs!$B$33/100)),15)/15,(Skills!T18*(1+Inputs!$B$33/100))/Skills!D18)))+0)/100)*I415)</f>
        <v/>
      </c>
      <c r="L415">
        <f>K415*(MIN(Inputs!$B$21+((C435=TRUE)*(F435-Calc!F22)),Inputs!$B$22+((C437=TRUE)*(F437-Calc!F24)))/100+(Inputs!$B$22+((C437=TRUE)*(F437-Calc!F24)))/100)/2</f>
        <v/>
      </c>
      <c r="M415">
        <f>L415*(1+(Inputs!$B$9+0+B445)/100)</f>
        <v/>
      </c>
      <c r="N415">
        <f>L415*(1-MIN(((Inputs!$B$8+1)+0+B440),100)/100)+M415*(MIN(((Inputs!$B$8+1)+0+B440),100)/100)</f>
        <v/>
      </c>
      <c r="O415">
        <f>IF(C415,Skills!G2*N415*B444*IF(Inputs!$B$4="pvp",1,(1-Summary!$B$55)*(1)+Summary!$B$55*(MIN((6+Inputs!$B$32),Inputs!$B$37))),0)</f>
        <v/>
      </c>
      <c r="P415">
        <f>IF(B448=0,0,O415/B448)</f>
        <v/>
      </c>
      <c r="Q415" t="n">
        <v>0</v>
      </c>
      <c r="R415" t="n">
        <v>0</v>
      </c>
      <c r="S415">
        <f>IFERROR(O415/N415,0)</f>
        <v/>
      </c>
      <c r="U415">
        <f>MAX(0,(Inputs!$B$3-100)*3)+Inputs!$B$27+Inputs!$B$28</f>
        <v/>
      </c>
    </row>
    <row r="416">
      <c r="A416">
        <f>Skills!A3</f>
        <v/>
      </c>
      <c r="B416">
        <f>Skills!B3</f>
        <v/>
      </c>
      <c r="C416">
        <f>Inputs!$B$3&gt;=50</f>
        <v/>
      </c>
      <c r="D416">
        <f>IF(Skills!C3=1,60+Inputs!$B$24+Inputs!$B$28,IF(Skills!C3=2,90+Inputs!$B$25+Inputs!$B$28,IF(Skills!C3=3,120+Inputs!$B$26+Inputs!$B$28,MAX(0,(Inputs!$B$3-100)*3)+Inputs!$B$27+Inputs!$B$28)))</f>
        <v/>
      </c>
      <c r="E416">
        <f>INDEX(FactorTable!$B$2:$Y$301, MATCH(ROUND(MIN(300,MAX(1,D416)),0), FactorTable!$A$2:$A$301,0), Skills!M3+1)</f>
        <v/>
      </c>
      <c r="F416">
        <f>IF(Skills!N3=TRUE,(Skills!L3/10)*(E416/1000),Skills!L3/10)+Skills!O3</f>
        <v/>
      </c>
      <c r="G416" t="inlineStr"/>
      <c r="H416" t="inlineStr"/>
      <c r="I416" t="inlineStr">
        <is>
          <t>1</t>
        </is>
      </c>
      <c r="J416" t="inlineStr"/>
      <c r="K416" t="inlineStr"/>
      <c r="L416" t="inlineStr"/>
      <c r="M416" t="inlineStr"/>
      <c r="N416" t="inlineStr"/>
      <c r="O416" t="inlineStr"/>
      <c r="P416" t="inlineStr"/>
      <c r="Q416" t="inlineStr"/>
      <c r="R416" t="inlineStr"/>
      <c r="S416" t="inlineStr"/>
      <c r="U416">
        <f>INDEX(FactorTable!$B$2:$Y$301, MATCH(ROUND(MIN(300,MAX(1,U415)),0), FactorTable!$A$2:$A$301,0), 22)</f>
        <v/>
      </c>
    </row>
    <row r="417">
      <c r="A417">
        <f>Skills!A4</f>
        <v/>
      </c>
      <c r="B417">
        <f>Skills!B4</f>
        <v/>
      </c>
      <c r="C417">
        <f>Inputs!$B$3&gt;=35</f>
        <v/>
      </c>
      <c r="D417">
        <f>IF(Skills!C4=1,60+Inputs!$B$24+Inputs!$B$28,IF(Skills!C4=2,90+Inputs!$B$25+Inputs!$B$28,IF(Skills!C4=3,120+Inputs!$B$26+Inputs!$B$28,MAX(0,(Inputs!$B$3-100)*3)+Inputs!$B$27+Inputs!$B$28)))</f>
        <v/>
      </c>
      <c r="E417">
        <f>INDEX(FactorTable!$B$2:$Y$301, MATCH(ROUND(MIN(300,MAX(1,D417)),0), FactorTable!$A$2:$A$301,0), Skills!M4+1)</f>
        <v/>
      </c>
      <c r="F417">
        <f>IF(Skills!N4=TRUE,(Skills!L4/10)*(E417/1000),Skills!L4/10)+Skills!O4</f>
        <v/>
      </c>
      <c r="G417">
        <f>Skills!G4*IF(Skills!H4&gt;0,Skills!I4/Skills!H4,1)</f>
        <v/>
      </c>
      <c r="H417">
        <f>1-(1-Skills!J4/100)^Skills!K4</f>
        <v/>
      </c>
      <c r="I417" t="inlineStr">
        <is>
          <t>1</t>
        </is>
      </c>
      <c r="J417">
        <f>(Inputs!$B$5*(1+Inputs!$B$6/100))*(F417/100)</f>
        <v/>
      </c>
      <c r="K417">
        <f>J417*(1+((Inputs!$B$11*(1+Inputs!$B$12/100))*0.01+Inputs!$B$13*0.0025)/100)*(1+Inputs!$B$14/100)*(1+IF(Inputs!$B$4="pvp",0,(1-Summary!$B$55)*(Inputs!$B$19+0+Skills!P4)+Summary!$B$55*(Inputs!$B$20+Skills!Q4))/100)*(1+Inputs!$B$15/100)*(5000/(6000+Inputs!$B$7*(1-(Inputs!$B$18+0)/100)))*(1+(Inputs!$B$23+0+B446)/100)*(1+4.0*IF(C425=TRUE,F425,0)/100)*(1+(IF(Skills!A4="BLAST",Inputs!$B$16+((C434=TRUE)*(F434-Calc!F21)),Inputs!$B$17+((C436=TRUE)*(F436-Calc!F23))))/100)*((1+(((C426=TRUE)*F426*MIN(1,Skills!T13*(Skills!J13/100)*B444))+((C431=TRUE)*F431*IF(AND(Inputs!$B$4&lt;&gt;"pvp",Inputs!$B$35&gt;0),(((S431-1)*(Skills!T18*(1+Inputs!$B$33/100))+MIN((Skills!T18*(1+Inputs!$B$33/100)),MAX(0,Inputs!$B$35-((S431-1)*Skills!D18))))/Inputs!$B$35),IF(Inputs!$B$4="pvp",MIN((Skills!T18*(1+Inputs!$B$33/100)),15)/15,(Skills!T18*(1+Inputs!$B$33/100))/Skills!D18)))+0)/100)*I417)</f>
        <v/>
      </c>
      <c r="L417">
        <f>K417*(MIN(Inputs!$B$21+((C435=TRUE)*(F435-Calc!F22)),Inputs!$B$22+((C437=TRUE)*(F437-Calc!F24)))/100+(Inputs!$B$22+((C437=TRUE)*(F437-Calc!F24)))/100)/2</f>
        <v/>
      </c>
      <c r="M417">
        <f>L417*(1+(Inputs!$B$9+0+B445)/100)</f>
        <v/>
      </c>
      <c r="N417">
        <f>L417*(1-MIN(((Inputs!$B$8+1)+0+B440),100)/100)+M417*(MIN(((Inputs!$B$8+1)+0+B440),100)/100)</f>
        <v/>
      </c>
      <c r="O417">
        <f>IF(C417,H417*N417*IF(AND(Inputs!$B$4&lt;&gt;"pvp",Inputs!$B$35&gt;0),((Skills!G4*((R417-1)*IF(Skills!H4&gt;0,Skills!I4/Skills!H4,1)+IF(Skills!H4&gt;0,MIN(Skills!I4,MAX(0,Inputs!$B$35-((R417-1)*IF(Inputs!$B$4="pvp",15,MAX(0.1,Skills!D4-IF(Skills!E4=TRUE,Inputs!$B$31,0))))))/Skills!H4,1)))/Inputs!$B$35),G417*Q417)*IF(Inputs!$B$4="pvp",1,(1-Summary!$B$55)*(1)+Summary!$B$55*(MIN(Skills!R4,Inputs!$B$37))),0)</f>
        <v/>
      </c>
      <c r="P417">
        <f>IF(B448=0,0,O417/B448)</f>
        <v/>
      </c>
      <c r="Q417">
        <f>IFERROR(1/IF(Inputs!$B$4="pvp",15,MAX(0.1,Skills!D4-IF(Skills!E4=TRUE,Inputs!$B$31,0))),0)</f>
        <v/>
      </c>
      <c r="R417">
        <f>IF(AND(Inputs!$B$4&lt;&gt;"pvp",Inputs!$B$35&gt;0),(INT(Inputs!$B$35/IF(Inputs!$B$4="pvp",15,MAX(0.1,Skills!D4-IF(Skills!E4=TRUE,Inputs!$B$31,0))))+1),0)</f>
        <v/>
      </c>
      <c r="S417">
        <f>IFERROR(O417/N417,0)</f>
        <v/>
      </c>
      <c r="U417">
        <f>290*U416/1000</f>
        <v/>
      </c>
    </row>
    <row r="418">
      <c r="A418">
        <f>Skills!A5</f>
        <v/>
      </c>
      <c r="B418">
        <f>Skills!B5</f>
        <v/>
      </c>
      <c r="C418">
        <f>Inputs!$B$3&gt;=66</f>
        <v/>
      </c>
      <c r="D418">
        <f>IF(Skills!C5=1,60+Inputs!$B$24+Inputs!$B$28,IF(Skills!C5=2,90+Inputs!$B$25+Inputs!$B$28,IF(Skills!C5=3,120+Inputs!$B$26+Inputs!$B$28,MAX(0,(Inputs!$B$3-100)*3)+Inputs!$B$27+Inputs!$B$28)))</f>
        <v/>
      </c>
      <c r="E418">
        <f>INDEX(FactorTable!$B$2:$Y$301, MATCH(ROUND(MIN(300,MAX(1,D418)),0), FactorTable!$A$2:$A$301,0), Skills!M5+1)</f>
        <v/>
      </c>
      <c r="F418">
        <f>IF(Skills!N5=TRUE,(Skills!L5/10)*(E418/1000),Skills!L5/10)+Skills!O5</f>
        <v/>
      </c>
      <c r="G418">
        <f>Skills!G5*IF(Skills!H5&gt;0,Skills!I5/Skills!H5,1)</f>
        <v/>
      </c>
      <c r="H418">
        <f>1-(1-Skills!J5/100)^Skills!K5</f>
        <v/>
      </c>
      <c r="I418" t="inlineStr">
        <is>
          <t>1</t>
        </is>
      </c>
      <c r="J418">
        <f>(Inputs!$B$5*(1+Inputs!$B$6/100))*(F418/100)</f>
        <v/>
      </c>
      <c r="K418">
        <f>J418*(1+((Inputs!$B$11*(1+Inputs!$B$12/100))*0.01+Inputs!$B$13*0.0025)/100)*(1+Inputs!$B$14/100)*(1+IF(Inputs!$B$4="pvp",0,(1-Summary!$B$55)*(Inputs!$B$19+0+Skills!P5)+Summary!$B$55*(Inputs!$B$20+Skills!Q5))/100)*(1+Inputs!$B$15/100)*(5000/(6000+Inputs!$B$7*(1-(Inputs!$B$18+0)/100)))*(1+(Inputs!$B$23+0+B446)/100)*(1+1.0*IF(C425=TRUE,F425,0)/100)*(1+(IF(Skills!A5="BLAST",Inputs!$B$16+((C434=TRUE)*(F434-Calc!F21)),Inputs!$B$17+((C436=TRUE)*(F436-Calc!F23))))/100)*((1+(((C426=TRUE)*F426*MIN(1,Skills!T13*(Skills!J13/100)*B444))+((C431=TRUE)*F431*IF(AND(Inputs!$B$4&lt;&gt;"pvp",Inputs!$B$35&gt;0),(((S431-1)*(Skills!T18*(1+Inputs!$B$33/100))+MIN((Skills!T18*(1+Inputs!$B$33/100)),MAX(0,Inputs!$B$35-((S431-1)*Skills!D18))))/Inputs!$B$35),IF(Inputs!$B$4="pvp",MIN((Skills!T18*(1+Inputs!$B$33/100)),15)/15,(Skills!T18*(1+Inputs!$B$33/100))/Skills!D18)))+0)/100)*I418)</f>
        <v/>
      </c>
      <c r="L418">
        <f>K418*(MIN(Inputs!$B$21+((C435=TRUE)*(F435-Calc!F22)),Inputs!$B$22+((C437=TRUE)*(F437-Calc!F24)))/100+(Inputs!$B$22+((C437=TRUE)*(F437-Calc!F24)))/100)/2</f>
        <v/>
      </c>
      <c r="M418">
        <f>L418*(1+(Inputs!$B$9+0+B445)/100)</f>
        <v/>
      </c>
      <c r="N418">
        <f>L418*(1-MIN(((Inputs!$B$8+1)+0+B440),100)/100)+M418*(MIN(((Inputs!$B$8+1)+0+B440),100)/100)</f>
        <v/>
      </c>
      <c r="O418">
        <f>IF(C418,H418*N418*IF(AND(Inputs!$B$4&lt;&gt;"pvp",Inputs!$B$35&gt;0),((Skills!G5*((R418-1)*IF(Skills!H5&gt;0,Skills!I5/Skills!H5,1)+IF(Skills!H5&gt;0,MIN(Skills!I5,MAX(0,Inputs!$B$35-((R418-1)*IF(Inputs!$B$4="pvp",15,MAX(0.1,Skills!D5-IF(Skills!E5=TRUE,Inputs!$B$31,0))))))/Skills!H5,1)))/Inputs!$B$35),G418*Q418)*IF(Inputs!$B$4="pvp",1,(1-Summary!$B$55)*(1)+Summary!$B$55*(MIN(Skills!R5,Inputs!$B$37))),0)</f>
        <v/>
      </c>
      <c r="P418">
        <f>IF(B448=0,0,O418/B448)</f>
        <v/>
      </c>
      <c r="Q418">
        <f>IFERROR(1/IF(Inputs!$B$4="pvp",15,MAX(0.1,Skills!D5-IF(Skills!E5=TRUE,Inputs!$B$31,0))),0)</f>
        <v/>
      </c>
      <c r="R418">
        <f>IF(AND(Inputs!$B$4&lt;&gt;"pvp",Inputs!$B$35&gt;0),(INT(Inputs!$B$35/IF(Inputs!$B$4="pvp",15,MAX(0.1,Skills!D5-IF(Skills!E5=TRUE,Inputs!$B$31,0))))+1),0)</f>
        <v/>
      </c>
      <c r="S418">
        <f>IFERROR(O418/N418,0)</f>
        <v/>
      </c>
    </row>
    <row r="419">
      <c r="A419">
        <f>Skills!A6</f>
        <v/>
      </c>
      <c r="B419">
        <f>Skills!B6</f>
        <v/>
      </c>
      <c r="C419">
        <f>Inputs!$B$3&gt;=103</f>
        <v/>
      </c>
      <c r="D419">
        <f>IF(Skills!C6=1,60+Inputs!$B$24+Inputs!$B$28,IF(Skills!C6=2,90+Inputs!$B$25+Inputs!$B$28,IF(Skills!C6=3,120+Inputs!$B$26+Inputs!$B$28,MAX(0,(Inputs!$B$3-100)*3)+Inputs!$B$27+Inputs!$B$28)))</f>
        <v/>
      </c>
      <c r="E419">
        <f>INDEX(FactorTable!$B$2:$Y$301, MATCH(ROUND(MIN(300,MAX(1,D419)),0), FactorTable!$A$2:$A$301,0), Skills!M6+1)</f>
        <v/>
      </c>
      <c r="F419">
        <f>IF(Skills!N6=TRUE,(Skills!L6/10)*(E419/1000),Skills!L6/10)+Skills!O6</f>
        <v/>
      </c>
      <c r="G419">
        <f>Skills!G6*IF(Skills!H6&gt;0,Skills!I6/Skills!H6,1)</f>
        <v/>
      </c>
      <c r="H419">
        <f>1-(1-Skills!J6/100)^Skills!K6</f>
        <v/>
      </c>
      <c r="I419" t="inlineStr">
        <is>
          <t>1</t>
        </is>
      </c>
      <c r="J419">
        <f>(Inputs!$B$5*(1+Inputs!$B$6/100))*(F419/100)</f>
        <v/>
      </c>
      <c r="K419">
        <f>J419*(1+((Inputs!$B$11*(1+Inputs!$B$12/100))*0.01+Inputs!$B$13*0.0025)/100)*(1+Inputs!$B$14/100)*(1+IF(Inputs!$B$4="pvp",0,(1-Summary!$B$55)*(Inputs!$B$19+0+Skills!P6)+Summary!$B$55*(Inputs!$B$20+Skills!Q6))/100)*(1+Inputs!$B$15/100)*(5000/(6000+Inputs!$B$7*(1-(Inputs!$B$18+0)/100)))*(1+(Inputs!$B$23+0+B446)/100)*(1+(IF(Skills!A6="BLAST",Inputs!$B$16+((C434=TRUE)*(F434-Calc!F21)),Inputs!$B$17+((C436=TRUE)*(F436-Calc!F23))))/100)*((1+(((C426=TRUE)*F426*MIN(1,Skills!T13*(Skills!J13/100)*B444))+((C431=TRUE)*F431*IF(AND(Inputs!$B$4&lt;&gt;"pvp",Inputs!$B$35&gt;0),(((S431-1)*(Skills!T18*(1+Inputs!$B$33/100))+MIN((Skills!T18*(1+Inputs!$B$33/100)),MAX(0,Inputs!$B$35-((S431-1)*Skills!D18))))/Inputs!$B$35),IF(Inputs!$B$4="pvp",MIN((Skills!T18*(1+Inputs!$B$33/100)),15)/15,(Skills!T18*(1+Inputs!$B$33/100))/Skills!D18)))+0)/100)*I419)</f>
        <v/>
      </c>
      <c r="L419">
        <f>K419*(MIN(Inputs!$B$21+((C435=TRUE)*(F435-Calc!F22)),Inputs!$B$22+((C437=TRUE)*(F437-Calc!F24)))/100+(Inputs!$B$22+((C437=TRUE)*(F437-Calc!F24)))/100)/2</f>
        <v/>
      </c>
      <c r="M419">
        <f>L419*(1+(Inputs!$B$9+0+B445)/100)</f>
        <v/>
      </c>
      <c r="N419">
        <f>L419*(1-MIN(((Inputs!$B$8+1)+0+B440),100)/100)+M419*(MIN(((Inputs!$B$8+1)+0+B440),100)/100)</f>
        <v/>
      </c>
      <c r="O419">
        <f>IF(C419,H419*N419*IF(AND(Inputs!$B$4&lt;&gt;"pvp",Inputs!$B$35&gt;0),((Skills!G6*((R419-1)*IF(Skills!H6&gt;0,Skills!I6/Skills!H6,1)+IF(Skills!H6&gt;0,MIN(Skills!I6,MAX(0,Inputs!$B$35-((R419-1)*IF(Inputs!$B$4="pvp",15,MAX(0.1,Skills!D6-IF(Skills!E6=TRUE,Inputs!$B$31,0))))))/Skills!H6,1)))/Inputs!$B$35),G419*Q419)*IF(Inputs!$B$4="pvp",1,(1-Summary!$B$55)*(1)+Summary!$B$55*(MIN(Skills!R6,Inputs!$B$37))),0)</f>
        <v/>
      </c>
      <c r="P419">
        <f>IF(B448=0,0,O419/B448)</f>
        <v/>
      </c>
      <c r="Q419">
        <f>IFERROR(1/IF(Inputs!$B$4="pvp",15,MAX(0.1,Skills!D6-IF(Skills!E6=TRUE,Inputs!$B$31,0))),0)</f>
        <v/>
      </c>
      <c r="R419">
        <f>IF(AND(Inputs!$B$4&lt;&gt;"pvp",Inputs!$B$35&gt;0),(INT(Inputs!$B$35/IF(Inputs!$B$4="pvp",15,MAX(0.1,Skills!D6-IF(Skills!E6=TRUE,Inputs!$B$31,0))))+1),0)</f>
        <v/>
      </c>
      <c r="S419">
        <f>IFERROR(O419/N419,0)</f>
        <v/>
      </c>
    </row>
    <row r="420">
      <c r="A420">
        <f>Skills!A7</f>
        <v/>
      </c>
      <c r="B420">
        <f>Skills!B7</f>
        <v/>
      </c>
      <c r="C420">
        <f>Inputs!$B$3&gt;=107</f>
        <v/>
      </c>
      <c r="D420">
        <f>IF(Skills!C7=1,60+Inputs!$B$24+Inputs!$B$28,IF(Skills!C7=2,90+Inputs!$B$25+Inputs!$B$28,IF(Skills!C7=3,120+Inputs!$B$26+Inputs!$B$28,MAX(0,(Inputs!$B$3-100)*3)+Inputs!$B$27+Inputs!$B$28)))</f>
        <v/>
      </c>
      <c r="E420">
        <f>INDEX(FactorTable!$B$2:$Y$301, MATCH(ROUND(MIN(300,MAX(1,D420)),0), FactorTable!$A$2:$A$301,0), Skills!M7+1)</f>
        <v/>
      </c>
      <c r="F420">
        <f>IF(Skills!N7=TRUE,(Skills!L7/10)*(E420/1000),Skills!L7/10)+Skills!O7</f>
        <v/>
      </c>
      <c r="G420">
        <f>Skills!G7*IF(Skills!H7&gt;0,Skills!I7/Skills!H7,1)</f>
        <v/>
      </c>
      <c r="H420">
        <f>1-(1-Skills!J7/100)^Skills!K7</f>
        <v/>
      </c>
      <c r="I420" t="inlineStr">
        <is>
          <t>1</t>
        </is>
      </c>
      <c r="J420">
        <f>(Inputs!$B$5*(1+Inputs!$B$6/100))*(F420/100)</f>
        <v/>
      </c>
      <c r="K420">
        <f>J420*(1+((Inputs!$B$11*(1+Inputs!$B$12/100))*0.01+Inputs!$B$13*0.0025)/100)*(1+Inputs!$B$14/100)*(1+IF(Inputs!$B$4="pvp",0,(1-Summary!$B$55)*(Inputs!$B$19+0+Skills!P7)+Summary!$B$55*(Inputs!$B$20+Skills!Q7))/100)*(1+Inputs!$B$15/100)*(5000/(6000+Inputs!$B$7*(1-(Inputs!$B$18+0)/100)))*(1+(Inputs!$B$23+0+B446)/100)*(1+(IF(Skills!A7="BLAST",Inputs!$B$16+((C434=TRUE)*(F434-Calc!F21)),Inputs!$B$17+((C436=TRUE)*(F436-Calc!F23))))/100)*((1+(((C426=TRUE)*F426*MIN(1,Skills!T13*(Skills!J13/100)*B444))+((C431=TRUE)*F431*IF(AND(Inputs!$B$4&lt;&gt;"pvp",Inputs!$B$35&gt;0),(((S431-1)*(Skills!T18*(1+Inputs!$B$33/100))+MIN((Skills!T18*(1+Inputs!$B$33/100)),MAX(0,Inputs!$B$35-((S431-1)*Skills!D18))))/Inputs!$B$35),IF(Inputs!$B$4="pvp",MIN((Skills!T18*(1+Inputs!$B$33/100)),15)/15,(Skills!T18*(1+Inputs!$B$33/100))/Skills!D18)))+0)/100)*I420)</f>
        <v/>
      </c>
      <c r="L420">
        <f>K420*(MIN(Inputs!$B$21+((C435=TRUE)*(F435-Calc!F22)),Inputs!$B$22+((C437=TRUE)*(F437-Calc!F24)))/100+(Inputs!$B$22+((C437=TRUE)*(F437-Calc!F24)))/100)/2</f>
        <v/>
      </c>
      <c r="M420">
        <f>L420*(1+(Inputs!$B$9+0+B445)/100)</f>
        <v/>
      </c>
      <c r="N420">
        <f>L420*(1-MIN(((Inputs!$B$8+1)+0+B440),100)/100)+M420*(MIN(((Inputs!$B$8+1)+0+B440),100)/100)</f>
        <v/>
      </c>
      <c r="O420">
        <f>IF(C420,H420*N420*IF(AND(Inputs!$B$4&lt;&gt;"pvp",Inputs!$B$35&gt;0),((Skills!G7*((R420-1)*IF(Skills!H7&gt;0,Skills!I7/Skills!H7,1)+IF(Skills!H7&gt;0,MIN(Skills!I7,MAX(0,Inputs!$B$35-((R420-1)*IF(Inputs!$B$4="pvp",15,MAX(0.1,Skills!D7-IF(Skills!E7=TRUE,Inputs!$B$31,0))))))/Skills!H7,1)))/Inputs!$B$35),G420*Q420)*IF(Inputs!$B$4="pvp",1,(1-Summary!$B$55)*(1)+Summary!$B$55*(MIN(Skills!R7,Inputs!$B$37))),0)</f>
        <v/>
      </c>
      <c r="P420">
        <f>IF(B448=0,0,O420/B448)</f>
        <v/>
      </c>
      <c r="Q420">
        <f>IFERROR(1/IF(Inputs!$B$4="pvp",15,MAX(0.1,Skills!D7-IF(Skills!E7=TRUE,Inputs!$B$31,0))),0)</f>
        <v/>
      </c>
      <c r="R420">
        <f>IF(AND(Inputs!$B$4&lt;&gt;"pvp",Inputs!$B$35&gt;0),(INT(Inputs!$B$35/IF(Inputs!$B$4="pvp",15,MAX(0.1,Skills!D7-IF(Skills!E7=TRUE,Inputs!$B$31,0))))+1),0)</f>
        <v/>
      </c>
      <c r="S420">
        <f>IFERROR(O420/N420,0)</f>
        <v/>
      </c>
    </row>
    <row r="421">
      <c r="A421">
        <f>Skills!A8</f>
        <v/>
      </c>
      <c r="B421">
        <f>Skills!B8</f>
        <v/>
      </c>
      <c r="C421">
        <f>Inputs!$B$3&gt;=107</f>
        <v/>
      </c>
      <c r="D421">
        <f>IF(Skills!C8=1,60+Inputs!$B$24+Inputs!$B$28,IF(Skills!C8=2,90+Inputs!$B$25+Inputs!$B$28,IF(Skills!C8=3,120+Inputs!$B$26+Inputs!$B$28,MAX(0,(Inputs!$B$3-100)*3)+Inputs!$B$27+Inputs!$B$28)))</f>
        <v/>
      </c>
      <c r="E421">
        <f>INDEX(FactorTable!$B$2:$Y$301, MATCH(ROUND(MIN(300,MAX(1,D421)),0), FactorTable!$A$2:$A$301,0), Skills!M8+1)</f>
        <v/>
      </c>
      <c r="F421">
        <f>IF(Skills!N8=TRUE,(Skills!L8/10)*(E421/1000),Skills!L8/10)+Skills!O8</f>
        <v/>
      </c>
      <c r="G421">
        <f>Skills!G8*IF(Skills!H8&gt;0,Skills!I8/Skills!H8,1)</f>
        <v/>
      </c>
      <c r="H421">
        <f>1-(1-Skills!J8/100)^Skills!K8</f>
        <v/>
      </c>
      <c r="I421" t="inlineStr">
        <is>
          <t>1</t>
        </is>
      </c>
      <c r="J421">
        <f>(Inputs!$B$5*(1+Inputs!$B$6/100))*(F421/100)</f>
        <v/>
      </c>
      <c r="K421">
        <f>J421*(1+((Inputs!$B$11*(1+Inputs!$B$12/100))*0.01+Inputs!$B$13*0.0025)/100)*(1+Inputs!$B$14/100)*(1+IF(Inputs!$B$4="pvp",0,(1-Summary!$B$55)*(Inputs!$B$19+0+Skills!P8)+Summary!$B$55*(Inputs!$B$20+Skills!Q8))/100)*(1+Inputs!$B$15/100)*(5000/(6000+Inputs!$B$7*(1-(Inputs!$B$18+0)/100)))*(1+(Inputs!$B$23+0+B446)/100)*(1+(IF(Skills!A8="BLAST",Inputs!$B$16+((C434=TRUE)*(F434-Calc!F21)),Inputs!$B$17+((C436=TRUE)*(F436-Calc!F23))))/100)*((1+(((C426=TRUE)*F426*MIN(1,Skills!T13*(Skills!J13/100)*B444))+((C431=TRUE)*F431*IF(AND(Inputs!$B$4&lt;&gt;"pvp",Inputs!$B$35&gt;0),(((S431-1)*(Skills!T18*(1+Inputs!$B$33/100))+MIN((Skills!T18*(1+Inputs!$B$33/100)),MAX(0,Inputs!$B$35-((S431-1)*Skills!D18))))/Inputs!$B$35),IF(Inputs!$B$4="pvp",MIN((Skills!T18*(1+Inputs!$B$33/100)),15)/15,(Skills!T18*(1+Inputs!$B$33/100))/Skills!D18)))+0)/100)*I421)</f>
        <v/>
      </c>
      <c r="L421">
        <f>K421*(MIN(Inputs!$B$21+((C435=TRUE)*(F435-Calc!F22)),Inputs!$B$22+((C437=TRUE)*(F437-Calc!F24)))/100+(Inputs!$B$22+((C437=TRUE)*(F437-Calc!F24)))/100)/2</f>
        <v/>
      </c>
      <c r="M421">
        <f>L421*(1+(Inputs!$B$9+0+B445)/100)</f>
        <v/>
      </c>
      <c r="N421">
        <f>L421*(1-MIN(((Inputs!$B$8+1)+0+B440),100)/100)+M421*(MIN(((Inputs!$B$8+1)+0+B440),100)/100)</f>
        <v/>
      </c>
      <c r="O421">
        <f>IF(C421,H421*N421*IF(AND(Inputs!$B$4&lt;&gt;"pvp",Inputs!$B$35&gt;0),((Skills!G8*((R421-1)*IF(Skills!H8&gt;0,Skills!I8/Skills!H8,1)+IF(Skills!H8&gt;0,MIN(Skills!I8,MAX(0,Inputs!$B$35-((R421-1)*IF(Inputs!$B$4="pvp",15,MAX(0.1,Skills!D8-IF(Skills!E8=TRUE,Inputs!$B$31,0))))))/Skills!H8,1)))/Inputs!$B$35),G421*Q421)*IF(Inputs!$B$4="pvp",1,(1-Summary!$B$55)*(1)+Summary!$B$55*(MIN(Skills!R8,Inputs!$B$37))),0)</f>
        <v/>
      </c>
      <c r="P421">
        <f>IF(B448=0,0,O421/B448)</f>
        <v/>
      </c>
      <c r="Q421">
        <f>IFERROR(1/IF(Inputs!$B$4="pvp",15,MAX(0.1,Skills!D8-IF(Skills!E8=TRUE,Inputs!$B$31,0))),0)</f>
        <v/>
      </c>
      <c r="R421">
        <f>IF(AND(Inputs!$B$4&lt;&gt;"pvp",Inputs!$B$35&gt;0),(INT(Inputs!$B$35/IF(Inputs!$B$4="pvp",15,MAX(0.1,Skills!D8-IF(Skills!E8=TRUE,Inputs!$B$31,0))))+1),0)</f>
        <v/>
      </c>
      <c r="S421">
        <f>IFERROR(O421/N421,0)</f>
        <v/>
      </c>
    </row>
    <row r="422">
      <c r="A422">
        <f>Skills!A9</f>
        <v/>
      </c>
      <c r="B422">
        <f>Skills!B9</f>
        <v/>
      </c>
      <c r="C422">
        <f>Inputs!$B$3&gt;=125</f>
        <v/>
      </c>
      <c r="D422">
        <f>IF(Skills!C9=1,60+Inputs!$B$24+Inputs!$B$28,IF(Skills!C9=2,90+Inputs!$B$25+Inputs!$B$28,IF(Skills!C9=3,120+Inputs!$B$26+Inputs!$B$28,MAX(0,(Inputs!$B$3-100)*3)+Inputs!$B$27+Inputs!$B$28)))</f>
        <v/>
      </c>
      <c r="E422">
        <f>INDEX(FactorTable!$B$2:$Y$301, MATCH(ROUND(MIN(300,MAX(1,D422)),0), FactorTable!$A$2:$A$301,0), Skills!M9+1)</f>
        <v/>
      </c>
      <c r="F422">
        <f>IF(Skills!N9=TRUE,(Skills!L9/10)*(E422/1000),Skills!L9/10)+Skills!O9</f>
        <v/>
      </c>
      <c r="G422">
        <f>Skills!G9*IF(Skills!H9&gt;0,Skills!I9/Skills!H9,1)</f>
        <v/>
      </c>
      <c r="H422">
        <f>1-(1-Skills!J9/100)^Skills!K9</f>
        <v/>
      </c>
      <c r="I422" t="inlineStr">
        <is>
          <t>1</t>
        </is>
      </c>
      <c r="J422">
        <f>(Inputs!$B$5*(1+Inputs!$B$6/100))*(F422/100)</f>
        <v/>
      </c>
      <c r="K422">
        <f>J422*(1+((Inputs!$B$11*(1+Inputs!$B$12/100))*0.01+Inputs!$B$13*0.0025)/100)*(1+Inputs!$B$14/100)*(1+IF(Inputs!$B$4="pvp",0,(1-Summary!$B$55)*(Inputs!$B$19+0+Skills!P9)+Summary!$B$55*(Inputs!$B$20+Skills!Q9))/100)*(1+Inputs!$B$15/100)*(5000/(6000+Inputs!$B$7*(1-(Inputs!$B$18+0)/100)))*(1+(Inputs!$B$23+0+B446)/100)*(1+(IF(Skills!A9="BLAST",Inputs!$B$16+((C434=TRUE)*(F434-Calc!F21)),Inputs!$B$17+((C436=TRUE)*(F436-Calc!F23))))/100)*((1+(((C426=TRUE)*F426*MIN(1,Skills!T13*(Skills!J13/100)*B444))+((C431=TRUE)*F431*IF(AND(Inputs!$B$4&lt;&gt;"pvp",Inputs!$B$35&gt;0),(((S431-1)*(Skills!T18*(1+Inputs!$B$33/100))+MIN((Skills!T18*(1+Inputs!$B$33/100)),MAX(0,Inputs!$B$35-((S431-1)*Skills!D18))))/Inputs!$B$35),IF(Inputs!$B$4="pvp",MIN((Skills!T18*(1+Inputs!$B$33/100)),15)/15,(Skills!T18*(1+Inputs!$B$33/100))/Skills!D18)))+0)/100)*I422)</f>
        <v/>
      </c>
      <c r="L422">
        <f>K422*(MIN(Inputs!$B$21+((C435=TRUE)*(F435-Calc!F22)),Inputs!$B$22+((C437=TRUE)*(F437-Calc!F24)))/100+(Inputs!$B$22+((C437=TRUE)*(F437-Calc!F24)))/100)/2</f>
        <v/>
      </c>
      <c r="M422">
        <f>L422*(1+(Inputs!$B$9+0+B445)/100)</f>
        <v/>
      </c>
      <c r="N422">
        <f>L422*(1-MIN(((Inputs!$B$8+1)+0+B440),100)/100)+M422*(MIN(((Inputs!$B$8+1)+0+B440),100)/100)</f>
        <v/>
      </c>
      <c r="O422">
        <f>IF(C422,H422*N422*IF(AND(Inputs!$B$4&lt;&gt;"pvp",Inputs!$B$35&gt;0),((Skills!G9*((R422-1)*IF(Skills!H9&gt;0,Skills!I9/Skills!H9,1)+IF(Skills!H9&gt;0,MIN(Skills!I9,MAX(0,Inputs!$B$35-((R422-1)*IF(Inputs!$B$4="pvp",15,MAX(0.1,Skills!D9-IF(Skills!E9=TRUE,Inputs!$B$31,0))))))/Skills!H9,1)))/Inputs!$B$35),G422*Q422)*IF(Inputs!$B$4="pvp",1,(1-Summary!$B$55)*(1)+Summary!$B$55*(MIN(Skills!R9,Inputs!$B$37))),0)</f>
        <v/>
      </c>
      <c r="P422">
        <f>IF(B448=0,0,O422/B448)</f>
        <v/>
      </c>
      <c r="Q422">
        <f>IFERROR(1/IF(Inputs!$B$4="pvp",15,MAX(0.1,Skills!D9-IF(Skills!E9=TRUE,Inputs!$B$31,0))),0)</f>
        <v/>
      </c>
      <c r="R422">
        <f>IF(AND(Inputs!$B$4&lt;&gt;"pvp",Inputs!$B$35&gt;0),(INT(Inputs!$B$35/IF(Inputs!$B$4="pvp",15,MAX(0.1,Skills!D9-IF(Skills!E9=TRUE,Inputs!$B$31,0))))+1),0)</f>
        <v/>
      </c>
      <c r="S422">
        <f>IFERROR(O422/N422,0)</f>
        <v/>
      </c>
    </row>
    <row r="423">
      <c r="A423">
        <f>Skills!A10</f>
        <v/>
      </c>
      <c r="B423">
        <f>Skills!B10</f>
        <v/>
      </c>
      <c r="C423">
        <f>Inputs!$B$3&gt;=117</f>
        <v/>
      </c>
      <c r="D423">
        <f>IF(Skills!C10=1,60+Inputs!$B$24+Inputs!$B$28,IF(Skills!C10=2,90+Inputs!$B$25+Inputs!$B$28,IF(Skills!C10=3,120+Inputs!$B$26+Inputs!$B$28,MAX(0,(Inputs!$B$3-100)*3)+Inputs!$B$27+Inputs!$B$28)))</f>
        <v/>
      </c>
      <c r="E423">
        <f>INDEX(FactorTable!$B$2:$Y$301, MATCH(ROUND(MIN(300,MAX(1,D423)),0), FactorTable!$A$2:$A$301,0), Skills!M10+1)</f>
        <v/>
      </c>
      <c r="F423">
        <f>IF(Skills!N10=TRUE,(Skills!L10/10)*(E423/1000),Skills!L10/10)+Skills!O10</f>
        <v/>
      </c>
      <c r="G423">
        <f>Skills!G10*IF(Skills!H10&gt;0,Skills!I10/Skills!H10,1)</f>
        <v/>
      </c>
      <c r="H423">
        <f>1-(1-Skills!J10/100)^Skills!K10</f>
        <v/>
      </c>
      <c r="I423" t="inlineStr">
        <is>
          <t>1</t>
        </is>
      </c>
      <c r="J423">
        <f>(Inputs!$B$5*(1+Inputs!$B$6/100))*(F423/100)</f>
        <v/>
      </c>
      <c r="K423">
        <f>J423*(1+((Inputs!$B$11*(1+Inputs!$B$12/100))*0.01+Inputs!$B$13*0.0025)/100)*(1+Inputs!$B$14/100)*(1+IF(Inputs!$B$4="pvp",0,(1-Summary!$B$55)*(Inputs!$B$19+0+Skills!P10)+Summary!$B$55*(Inputs!$B$20+Skills!Q10))/100)*(1+Inputs!$B$15/100)*(5000/(6000+Inputs!$B$7*(1-(Inputs!$B$18+0)/100)))*(1+(Inputs!$B$23+0+B446)/100)*(1+(IF(Skills!A10="BLAST",Inputs!$B$16+((C434=TRUE)*(F434-Calc!F21)),Inputs!$B$17+((C436=TRUE)*(F436-Calc!F23))))/100)*((1+(((C426=TRUE)*F426*MIN(1,Skills!T13*(Skills!J13/100)*B444))+((C431=TRUE)*F431*IF(AND(Inputs!$B$4&lt;&gt;"pvp",Inputs!$B$35&gt;0),(((S431-1)*(Skills!T18*(1+Inputs!$B$33/100))+MIN((Skills!T18*(1+Inputs!$B$33/100)),MAX(0,Inputs!$B$35-((S431-1)*Skills!D18))))/Inputs!$B$35),IF(Inputs!$B$4="pvp",MIN((Skills!T18*(1+Inputs!$B$33/100)),15)/15,(Skills!T18*(1+Inputs!$B$33/100))/Skills!D18)))+0)/100)*I423)</f>
        <v/>
      </c>
      <c r="L423">
        <f>K423*(MIN(Inputs!$B$21+((C435=TRUE)*(F435-Calc!F22)),Inputs!$B$22+((C437=TRUE)*(F437-Calc!F24)))/100+(Inputs!$B$22+((C437=TRUE)*(F437-Calc!F24)))/100)/2</f>
        <v/>
      </c>
      <c r="M423">
        <f>L423*(1+(Inputs!$B$9+0+B445)/100)</f>
        <v/>
      </c>
      <c r="N423">
        <f>L423*(1-MIN(((Inputs!$B$8+1)+0+B440),100)/100)+M423*(MIN(((Inputs!$B$8+1)+0+B440),100)/100)</f>
        <v/>
      </c>
      <c r="O423">
        <f>IF(C423,H423*N423*IF(AND(Inputs!$B$4&lt;&gt;"pvp",Inputs!$B$35&gt;0),((Skills!G10*((R423-1)*IF(Skills!H10&gt;0,Skills!I10/Skills!H10,1)+IF(Skills!H10&gt;0,MIN(Skills!I10,MAX(0,Inputs!$B$35-((R423-1)*IF(Inputs!$B$4="pvp",15,MAX(0.1,Skills!D10-IF(Skills!E10=TRUE,Inputs!$B$31,0))))))/Skills!H10,1)))/Inputs!$B$35),G423*Q423)*IF(Inputs!$B$4="pvp",1,(1-Summary!$B$55)*(1)+Summary!$B$55*(MIN(Skills!R10,Inputs!$B$37))),0)</f>
        <v/>
      </c>
      <c r="P423">
        <f>IF(B448=0,0,O423/B448)</f>
        <v/>
      </c>
      <c r="Q423">
        <f>IFERROR(1/IF(Inputs!$B$4="pvp",15,MAX(0.1,Skills!D10-IF(Skills!E10=TRUE,Inputs!$B$31,0))),0)</f>
        <v/>
      </c>
      <c r="R423">
        <f>IF(AND(Inputs!$B$4&lt;&gt;"pvp",Inputs!$B$35&gt;0),(INT(Inputs!$B$35/IF(Inputs!$B$4="pvp",15,MAX(0.1,Skills!D10-IF(Skills!E10=TRUE,Inputs!$B$31,0))))+1),0)</f>
        <v/>
      </c>
      <c r="S423">
        <f>IFERROR(O423/N423,0)</f>
        <v/>
      </c>
    </row>
    <row r="424">
      <c r="A424">
        <f>Skills!A11</f>
        <v/>
      </c>
      <c r="B424">
        <f>Skills!B11</f>
        <v/>
      </c>
      <c r="C424">
        <f>Inputs!$B$3&gt;=63</f>
        <v/>
      </c>
      <c r="D424">
        <f>IF(Skills!C11=1,60+Inputs!$B$24+Inputs!$B$28,IF(Skills!C11=2,90+Inputs!$B$25+Inputs!$B$28,IF(Skills!C11=3,120+Inputs!$B$26+Inputs!$B$28,MAX(0,(Inputs!$B$3-100)*3)+Inputs!$B$27+Inputs!$B$28)))</f>
        <v/>
      </c>
      <c r="E424">
        <f>INDEX(FactorTable!$B$2:$Y$301, MATCH(ROUND(MIN(300,MAX(1,D424)),0), FactorTable!$A$2:$A$301,0), Skills!M11+1)</f>
        <v/>
      </c>
      <c r="F424">
        <f>IF(Skills!N11=TRUE,(Skills!L11/10)*(E424/1000),Skills!L11/10)+Skills!O11</f>
        <v/>
      </c>
      <c r="G424">
        <f>Skills!G11*IF(Skills!H11&gt;0,Skills!I11/Skills!H11,1)</f>
        <v/>
      </c>
      <c r="H424">
        <f>1-(1-Skills!J11/100)^Skills!K11</f>
        <v/>
      </c>
      <c r="I424" t="inlineStr">
        <is>
          <t>1</t>
        </is>
      </c>
      <c r="J424">
        <f>(Inputs!$B$5*(1+Inputs!$B$6/100))*(F424/100)</f>
        <v/>
      </c>
      <c r="K424">
        <f>J424*(1+((Inputs!$B$11*(1+Inputs!$B$12/100))*0.01+Inputs!$B$13*0.0025)/100)*(1+Inputs!$B$14/100)*(1+IF(Inputs!$B$4="pvp",0,(1-Summary!$B$55)*(Inputs!$B$19+0+Skills!P11)+Summary!$B$55*(Inputs!$B$20+Skills!Q11))/100)*(1+Inputs!$B$15/100)*(5000/(6000+Inputs!$B$7*(1-(Inputs!$B$18+0)/100)))*(1+(Inputs!$B$23+0+B446)/100)*(1+1.5*IF(C425=TRUE,F425,0)/100)*(1+(IF(Skills!A11="BLAST",Inputs!$B$16+((C434=TRUE)*(F434-Calc!F21)),Inputs!$B$17+((C436=TRUE)*(F436-Calc!F23))))/100)*((1+(((C426=TRUE)*F426*MIN(1,Skills!T13*(Skills!J13/100)*B444))+((C431=TRUE)*F431*IF(AND(Inputs!$B$4&lt;&gt;"pvp",Inputs!$B$35&gt;0),(((S431-1)*(Skills!T18*(1+Inputs!$B$33/100))+MIN((Skills!T18*(1+Inputs!$B$33/100)),MAX(0,Inputs!$B$35-((S431-1)*Skills!D18))))/Inputs!$B$35),IF(Inputs!$B$4="pvp",MIN((Skills!T18*(1+Inputs!$B$33/100)),15)/15,(Skills!T18*(1+Inputs!$B$33/100))/Skills!D18)))+0)/100)*I424)</f>
        <v/>
      </c>
      <c r="L424">
        <f>K424*(MIN(Inputs!$B$21+((C435=TRUE)*(F435-Calc!F22)),Inputs!$B$22+((C437=TRUE)*(F437-Calc!F24)))/100+(Inputs!$B$22+((C437=TRUE)*(F437-Calc!F24)))/100)/2</f>
        <v/>
      </c>
      <c r="M424">
        <f>L424*(1+(Inputs!$B$9+0+B445)/100)</f>
        <v/>
      </c>
      <c r="N424">
        <f>L424*(1-MIN(((Inputs!$B$8+1)+0+B440),100)/100)+M424*(MIN(((Inputs!$B$8+1)+0+B440),100)/100)</f>
        <v/>
      </c>
      <c r="O424">
        <f>IF(C424,H424*N424*IF(AND(Inputs!$B$4&lt;&gt;"pvp",Inputs!$B$35&gt;0),((Skills!G11*((R424-1)*IF(Skills!H11&gt;0,Skills!I11/Skills!H11,1)+IF(Skills!H11&gt;0,MIN(Skills!I11,MAX(0,Inputs!$B$35-((R424-1)*IF(Inputs!$B$4="pvp",15,MAX(0.1,Skills!D11-IF(Skills!E11=TRUE,Inputs!$B$31,0))))))/Skills!H11,1)))/Inputs!$B$35),G424*Q424)*IF(Inputs!$B$4="pvp",1,(1-Summary!$B$55)*(1)+Summary!$B$55*(MIN(Skills!R11,Inputs!$B$37))),0)</f>
        <v/>
      </c>
      <c r="P424">
        <f>IF(B448=0,0,O424/B448)</f>
        <v/>
      </c>
      <c r="Q424">
        <f>IFERROR(1/IF(Inputs!$B$4="pvp",15,MAX(0.1,Skills!D11-IF(Skills!E11=TRUE,Inputs!$B$31,0))),0)</f>
        <v/>
      </c>
      <c r="R424">
        <f>IF(AND(Inputs!$B$4&lt;&gt;"pvp",Inputs!$B$35&gt;0),(INT(Inputs!$B$35/IF(Inputs!$B$4="pvp",15,MAX(0.1,Skills!D11-IF(Skills!E11=TRUE,Inputs!$B$31,0))))+1),0)</f>
        <v/>
      </c>
      <c r="S424">
        <f>IFERROR(O424/N424,0)</f>
        <v/>
      </c>
    </row>
    <row r="425">
      <c r="A425">
        <f>Skills!A12</f>
        <v/>
      </c>
      <c r="B425">
        <f>Skills!B12</f>
        <v/>
      </c>
      <c r="C425">
        <f>Inputs!$B$3&gt;=100</f>
        <v/>
      </c>
      <c r="D425">
        <f>IF(Skills!C12=1,60+Inputs!$B$24+Inputs!$B$28,IF(Skills!C12=2,90+Inputs!$B$25+Inputs!$B$28,IF(Skills!C12=3,120+Inputs!$B$26+Inputs!$B$28,MAX(0,(Inputs!$B$3-100)*3)+Inputs!$B$27+Inputs!$B$28)))</f>
        <v/>
      </c>
      <c r="E425">
        <f>INDEX(FactorTable!$B$2:$Y$301, MATCH(ROUND(MIN(300,MAX(1,D425)),0), FactorTable!$A$2:$A$301,0), Skills!M12+1)</f>
        <v/>
      </c>
      <c r="F425">
        <f>IF(Skills!N12=TRUE,(Skills!L12/10)*(E425/1000),Skills!L12/10)+Skills!O12</f>
        <v/>
      </c>
      <c r="G425" t="inlineStr"/>
      <c r="H425" t="inlineStr"/>
      <c r="I425" t="inlineStr">
        <is>
          <t>1</t>
        </is>
      </c>
      <c r="J425" t="inlineStr"/>
      <c r="K425" t="inlineStr"/>
      <c r="L425" t="inlineStr"/>
      <c r="M425" t="inlineStr"/>
      <c r="N425" t="inlineStr"/>
      <c r="O425" t="inlineStr"/>
      <c r="P425" t="inlineStr"/>
      <c r="Q425" t="inlineStr"/>
      <c r="R425" t="inlineStr"/>
      <c r="S425" t="inlineStr"/>
    </row>
    <row r="426">
      <c r="A426">
        <f>Skills!A13</f>
        <v/>
      </c>
      <c r="B426">
        <f>Skills!B13</f>
        <v/>
      </c>
      <c r="C426">
        <f>Inputs!$B$3&gt;=45</f>
        <v/>
      </c>
      <c r="D426">
        <f>IF(Skills!C13=1,60+Inputs!$B$24+Inputs!$B$28,IF(Skills!C13=2,90+Inputs!$B$25+Inputs!$B$28,IF(Skills!C13=3,120+Inputs!$B$26+Inputs!$B$28,MAX(0,(Inputs!$B$3-100)*3)+Inputs!$B$27+Inputs!$B$28)))</f>
        <v/>
      </c>
      <c r="E426">
        <f>INDEX(FactorTable!$B$2:$Y$301, MATCH(ROUND(MIN(300,MAX(1,D426)),0), FactorTable!$A$2:$A$301,0), Skills!M13+1)</f>
        <v/>
      </c>
      <c r="F426">
        <f>IF(Skills!N13=TRUE,(Skills!L13/10)*(E426/1000),Skills!L13/10)+Skills!O13</f>
        <v/>
      </c>
      <c r="G426">
        <f>Skills!G13*IF(Skills!H13&gt;0,Skills!I13/Skills!H13,1)</f>
        <v/>
      </c>
      <c r="H426">
        <f>1-(1-Skills!J13/100)^Skills!K13</f>
        <v/>
      </c>
      <c r="I426" t="inlineStr">
        <is>
          <t>1</t>
        </is>
      </c>
      <c r="J426" t="inlineStr"/>
      <c r="K426" t="inlineStr"/>
      <c r="L426" t="inlineStr"/>
      <c r="M426" t="inlineStr"/>
      <c r="N426" t="inlineStr"/>
      <c r="O426" t="n">
        <v>0</v>
      </c>
      <c r="P426">
        <f>IF(B448=0,0,O426/B448)</f>
        <v/>
      </c>
      <c r="Q426" t="n">
        <v>0</v>
      </c>
      <c r="R426" t="n">
        <v>0</v>
      </c>
      <c r="S426">
        <f>IFERROR(O426/N426,0)</f>
        <v/>
      </c>
    </row>
    <row r="427">
      <c r="A427">
        <f>Skills!A14</f>
        <v/>
      </c>
      <c r="B427">
        <f>Skills!B14</f>
        <v/>
      </c>
      <c r="C427">
        <f>Inputs!$B$3&gt;=110</f>
        <v/>
      </c>
      <c r="D427">
        <f>IF(Skills!C14=1,60+Inputs!$B$24+Inputs!$B$28,IF(Skills!C14=2,90+Inputs!$B$25+Inputs!$B$28,IF(Skills!C14=3,120+Inputs!$B$26+Inputs!$B$28,MAX(0,(Inputs!$B$3-100)*3)+Inputs!$B$27+Inputs!$B$28)))</f>
        <v/>
      </c>
      <c r="E427">
        <f>INDEX(FactorTable!$B$2:$Y$301, MATCH(ROUND(MIN(300,MAX(1,D427)),0), FactorTable!$A$2:$A$301,0), Skills!M14+1)</f>
        <v/>
      </c>
      <c r="F427">
        <f>IF(Skills!N14=TRUE,(Skills!L14/10)*(E427/1000),Skills!L14/10)+Skills!O14</f>
        <v/>
      </c>
      <c r="G427">
        <f>Skills!G14*IF(Skills!H14&gt;0,Skills!I14/Skills!H14,1)</f>
        <v/>
      </c>
      <c r="H427">
        <f>1-(1-Skills!J14/100)^Skills!K14</f>
        <v/>
      </c>
      <c r="I427" t="inlineStr">
        <is>
          <t>1</t>
        </is>
      </c>
      <c r="J427" t="inlineStr"/>
      <c r="K427" t="inlineStr"/>
      <c r="L427" t="inlineStr"/>
      <c r="M427" t="inlineStr"/>
      <c r="N427" t="inlineStr"/>
      <c r="O427" t="n">
        <v>0</v>
      </c>
      <c r="P427">
        <f>IF(B448=0,0,O427/B448)</f>
        <v/>
      </c>
      <c r="Q427" t="n">
        <v>0</v>
      </c>
      <c r="R427" t="n">
        <v>0</v>
      </c>
      <c r="S427">
        <f>IFERROR(O427/N427,0)</f>
        <v/>
      </c>
    </row>
    <row r="428">
      <c r="A428">
        <f>Skills!A15</f>
        <v/>
      </c>
      <c r="B428">
        <f>Skills!B15</f>
        <v/>
      </c>
      <c r="C428">
        <f>Inputs!$B$3&gt;=75</f>
        <v/>
      </c>
      <c r="D428">
        <f>IF(Skills!C15=1,60+Inputs!$B$24+Inputs!$B$28,IF(Skills!C15=2,90+Inputs!$B$25+Inputs!$B$28,IF(Skills!C15=3,120+Inputs!$B$26+Inputs!$B$28,MAX(0,(Inputs!$B$3-100)*3)+Inputs!$B$27+Inputs!$B$28)))</f>
        <v/>
      </c>
      <c r="E428">
        <f>INDEX(FactorTable!$B$2:$Y$301, MATCH(ROUND(MIN(300,MAX(1,D428)),0), FactorTable!$A$2:$A$301,0), Skills!M15+1)</f>
        <v/>
      </c>
      <c r="F428">
        <f>IF(Skills!N15=TRUE,(Skills!L15/10)*(E428/1000),Skills!L15/10)+Skills!O15</f>
        <v/>
      </c>
      <c r="G428">
        <f>Skills!G15*IF(Skills!H15&gt;0,Skills!I15/Skills!H15,1)</f>
        <v/>
      </c>
      <c r="H428">
        <f>1-(1-Skills!J15/100)^Skills!K15</f>
        <v/>
      </c>
      <c r="I428" t="inlineStr">
        <is>
          <t>1</t>
        </is>
      </c>
      <c r="J428" t="inlineStr"/>
      <c r="K428" t="inlineStr"/>
      <c r="L428" t="inlineStr"/>
      <c r="M428" t="inlineStr"/>
      <c r="N428" t="inlineStr"/>
      <c r="O428" t="n">
        <v>0</v>
      </c>
      <c r="P428">
        <f>IF(B448=0,0,O428/B448)</f>
        <v/>
      </c>
      <c r="Q428">
        <f>IFERROR(1/IF(Inputs!$B$4="pvp",15,MAX(0.1,Skills!D15-IF(Skills!E15=TRUE,Inputs!$B$31,0))),0)</f>
        <v/>
      </c>
      <c r="R428">
        <f>IF(AND(Inputs!$B$4&lt;&gt;"pvp",Inputs!$B$35&gt;0),(INT(Inputs!$B$35/IF(Inputs!$B$4="pvp",15,MAX(0.1,Skills!D15-IF(Skills!E15=TRUE,Inputs!$B$31,0))))+1),0)</f>
        <v/>
      </c>
      <c r="S428">
        <f>IFERROR(O428/N428,0)</f>
        <v/>
      </c>
    </row>
    <row r="429">
      <c r="A429">
        <f>Skills!A16</f>
        <v/>
      </c>
      <c r="B429">
        <f>Skills!B16</f>
        <v/>
      </c>
      <c r="C429">
        <f>Inputs!$B$3&gt;=105</f>
        <v/>
      </c>
      <c r="D429">
        <f>IF(Skills!C16=1,60+Inputs!$B$24+Inputs!$B$28,IF(Skills!C16=2,90+Inputs!$B$25+Inputs!$B$28,IF(Skills!C16=3,120+Inputs!$B$26+Inputs!$B$28,MAX(0,(Inputs!$B$3-100)*3)+Inputs!$B$27+Inputs!$B$28)))</f>
        <v/>
      </c>
      <c r="E429">
        <f>INDEX(FactorTable!$B$2:$Y$301, MATCH(ROUND(MIN(300,MAX(1,D429)),0), FactorTable!$A$2:$A$301,0), Skills!M16+1)</f>
        <v/>
      </c>
      <c r="F429">
        <f>IF(Skills!N16=TRUE,(Skills!L16/10)*(E429/1000),Skills!L16/10)+Skills!O16</f>
        <v/>
      </c>
      <c r="G429">
        <f>Skills!G16*IF(Skills!H16&gt;0,Skills!I16/Skills!H16,1)</f>
        <v/>
      </c>
      <c r="H429">
        <f>1-(1-Skills!J16/100)^Skills!K16</f>
        <v/>
      </c>
      <c r="I429" t="inlineStr">
        <is>
          <t>1</t>
        </is>
      </c>
      <c r="J429" t="inlineStr"/>
      <c r="K429" t="inlineStr"/>
      <c r="L429" t="inlineStr"/>
      <c r="M429" t="inlineStr"/>
      <c r="N429" t="inlineStr"/>
      <c r="O429" t="n">
        <v>0</v>
      </c>
      <c r="P429">
        <f>IF(B448=0,0,O429/B448)</f>
        <v/>
      </c>
      <c r="Q429">
        <f>IFERROR(1/IF(Inputs!$B$4="pvp",15,MAX(0.1,Skills!D16-IF(Skills!E16=TRUE,Inputs!$B$31,0))),0)</f>
        <v/>
      </c>
      <c r="R429">
        <f>IF(AND(Inputs!$B$4&lt;&gt;"pvp",Inputs!$B$35&gt;0),(INT(Inputs!$B$35/IF(Inputs!$B$4="pvp",15,MAX(0.1,Skills!D16-IF(Skills!E16=TRUE,Inputs!$B$31,0))))+1),0)</f>
        <v/>
      </c>
      <c r="S429">
        <f>IFERROR(O429/N429,0)</f>
        <v/>
      </c>
    </row>
    <row r="430">
      <c r="A430">
        <f>Skills!A17</f>
        <v/>
      </c>
      <c r="B430">
        <f>Skills!B17</f>
        <v/>
      </c>
      <c r="C430">
        <f>Inputs!$B$3&gt;=115</f>
        <v/>
      </c>
      <c r="D430">
        <f>IF(Skills!C17=1,60+Inputs!$B$24+Inputs!$B$28,IF(Skills!C17=2,90+Inputs!$B$25+Inputs!$B$28,IF(Skills!C17=3,120+Inputs!$B$26+Inputs!$B$28,MAX(0,(Inputs!$B$3-100)*3)+Inputs!$B$27+Inputs!$B$28)))</f>
        <v/>
      </c>
      <c r="E430">
        <f>INDEX(FactorTable!$B$2:$Y$301, MATCH(ROUND(MIN(300,MAX(1,D430)),0), FactorTable!$A$2:$A$301,0), Skills!M17+1)</f>
        <v/>
      </c>
      <c r="F430">
        <f>IF(Skills!N17=TRUE,(Skills!L17/10)*(E430/1000),Skills!L17/10)+Skills!O17</f>
        <v/>
      </c>
      <c r="G430">
        <f>Skills!G17*IF(Skills!H17&gt;0,Skills!I17/Skills!H17,1)</f>
        <v/>
      </c>
      <c r="H430">
        <f>1-(1-Skills!J17/100)^Skills!K17</f>
        <v/>
      </c>
      <c r="I430" t="inlineStr">
        <is>
          <t>1</t>
        </is>
      </c>
      <c r="J430" t="inlineStr"/>
      <c r="K430" t="inlineStr"/>
      <c r="L430" t="inlineStr"/>
      <c r="M430" t="inlineStr"/>
      <c r="N430" t="inlineStr"/>
      <c r="O430" t="n">
        <v>0</v>
      </c>
      <c r="P430">
        <f>IF(B448=0,0,O430/B448)</f>
        <v/>
      </c>
      <c r="Q430">
        <f>IFERROR(1/IF(Inputs!$B$4="pvp",15,MAX(0.1,Skills!D17-IF(Skills!E17=TRUE,Inputs!$B$31,0))),0)</f>
        <v/>
      </c>
      <c r="R430">
        <f>IF(AND(Inputs!$B$4&lt;&gt;"pvp",Inputs!$B$35&gt;0),(INT(Inputs!$B$35/IF(Inputs!$B$4="pvp",15,MAX(0.1,Skills!D17-IF(Skills!E17=TRUE,Inputs!$B$31,0))))+1),0)</f>
        <v/>
      </c>
      <c r="S430">
        <f>IFERROR(O430/N430,0)</f>
        <v/>
      </c>
    </row>
    <row r="431">
      <c r="A431">
        <f>Skills!A18</f>
        <v/>
      </c>
      <c r="B431">
        <f>Skills!B18</f>
        <v/>
      </c>
      <c r="C431">
        <f>Inputs!$B$3&gt;=74</f>
        <v/>
      </c>
      <c r="D431">
        <f>IF(Skills!C18=1,60+Inputs!$B$24+Inputs!$B$28,IF(Skills!C18=2,90+Inputs!$B$25+Inputs!$B$28,IF(Skills!C18=3,120+Inputs!$B$26+Inputs!$B$28,MAX(0,(Inputs!$B$3-100)*3)+Inputs!$B$27+Inputs!$B$28)))</f>
        <v/>
      </c>
      <c r="E431">
        <f>INDEX(FactorTable!$B$2:$Y$301, MATCH(ROUND(MIN(300,MAX(1,D431)),0), FactorTable!$A$2:$A$301,0), Skills!M18+1)</f>
        <v/>
      </c>
      <c r="F431">
        <f>IF(Skills!N18=TRUE,(Skills!L18/10)*(E431/1000),Skills!L18/10)+Skills!O18</f>
        <v/>
      </c>
      <c r="G431">
        <f>Skills!G18*IF(Skills!H18&gt;0,Skills!I18/Skills!H18,1)</f>
        <v/>
      </c>
      <c r="H431">
        <f>1-(1-Skills!J18/100)^Skills!K18</f>
        <v/>
      </c>
      <c r="I431" t="inlineStr">
        <is>
          <t>1</t>
        </is>
      </c>
      <c r="J431" t="inlineStr"/>
      <c r="K431" t="inlineStr"/>
      <c r="L431" t="inlineStr"/>
      <c r="M431" t="inlineStr"/>
      <c r="N431" t="inlineStr"/>
      <c r="O431" t="n">
        <v>0</v>
      </c>
      <c r="P431">
        <f>IF(B448=0,0,O431/B448)</f>
        <v/>
      </c>
      <c r="Q431">
        <f>IFERROR(1/IF(Inputs!$B$4="pvp",15,MAX(0.1,Skills!D18-IF(Skills!E18=TRUE,Inputs!$B$31,0))),0)</f>
        <v/>
      </c>
      <c r="R431">
        <f>IF(AND(Inputs!$B$4&lt;&gt;"pvp",Inputs!$B$35&gt;0),(INT(Inputs!$B$35/IF(Inputs!$B$4="pvp",15,MAX(0.1,Skills!D18-IF(Skills!E18=TRUE,Inputs!$B$31,0))))+1),0)</f>
        <v/>
      </c>
      <c r="S431">
        <f>IFERROR(O431/N431,0)</f>
        <v/>
      </c>
    </row>
    <row r="432">
      <c r="A432">
        <f>Skills!A19</f>
        <v/>
      </c>
      <c r="B432">
        <f>Skills!B19</f>
        <v/>
      </c>
      <c r="C432">
        <f>TRUE</f>
        <v/>
      </c>
      <c r="D432">
        <f>IF(Skills!C19=1,60+Inputs!$B$24+Inputs!$B$28,IF(Skills!C19=2,90+Inputs!$B$25+Inputs!$B$28,IF(Skills!C19=3,120+Inputs!$B$26+Inputs!$B$28,MAX(0,(Inputs!$B$3-100)*3)+Inputs!$B$27+Inputs!$B$28)))</f>
        <v/>
      </c>
      <c r="E432">
        <f>INDEX(FactorTable!$B$2:$Y$301, MATCH(ROUND(MIN(300,MAX(1,D432)),0), FactorTable!$A$2:$A$301,0), Skills!M19+1)</f>
        <v/>
      </c>
      <c r="F432">
        <f>IF(Skills!N19=TRUE,(Skills!L19/10)*(E432/1000),Skills!L19/10)+Skills!O19</f>
        <v/>
      </c>
      <c r="G432">
        <f>Skills!G19*IF(Skills!H19&gt;0,Skills!I19/Skills!H19,1)</f>
        <v/>
      </c>
      <c r="H432">
        <f>1-(1-Skills!J19/100)^Skills!K19</f>
        <v/>
      </c>
      <c r="I432" t="inlineStr">
        <is>
          <t>1</t>
        </is>
      </c>
      <c r="J432" t="inlineStr"/>
      <c r="K432" t="inlineStr"/>
      <c r="L432" t="inlineStr"/>
      <c r="M432" t="inlineStr"/>
      <c r="N432" t="inlineStr"/>
      <c r="O432" t="n">
        <v>0</v>
      </c>
      <c r="P432">
        <f>IF(B448=0,0,O432/B448)</f>
        <v/>
      </c>
      <c r="Q432">
        <f>IFERROR(1/IF(Inputs!$B$4="pvp",15,MAX(0.1,Skills!D19-IF(Skills!E19=TRUE,Inputs!$B$31,0))),0)</f>
        <v/>
      </c>
      <c r="R432">
        <f>IF(AND(Inputs!$B$4&lt;&gt;"pvp",Inputs!$B$35&gt;0),(INT(Inputs!$B$35/IF(Inputs!$B$4="pvp",15,MAX(0.1,Skills!D19-IF(Skills!E19=TRUE,Inputs!$B$31,0))))+1),0)</f>
        <v/>
      </c>
      <c r="S432">
        <f>IFERROR(O432/N432,0)</f>
        <v/>
      </c>
    </row>
    <row r="433">
      <c r="A433">
        <f>Skills!A20</f>
        <v/>
      </c>
      <c r="B433">
        <f>Skills!B20</f>
        <v/>
      </c>
      <c r="C433">
        <f>Inputs!$B$3&gt;=33</f>
        <v/>
      </c>
      <c r="D433">
        <f>IF(Skills!C20=1,60+Inputs!$B$24+Inputs!$B$28,IF(Skills!C20=2,90+Inputs!$B$25+Inputs!$B$28,IF(Skills!C20=3,120+Inputs!$B$26+Inputs!$B$28,MAX(0,(Inputs!$B$3-100)*3)+Inputs!$B$27+Inputs!$B$28)))</f>
        <v/>
      </c>
      <c r="E433">
        <f>INDEX(FactorTable!$B$2:$Y$301, MATCH(ROUND(MIN(300,MAX(1,D433)),0), FactorTable!$A$2:$A$301,0), Skills!M20+1)</f>
        <v/>
      </c>
      <c r="F433">
        <f>IF(Skills!N20=TRUE,(Skills!L20/10)*(E433/1000),Skills!L20/10)+Skills!O20</f>
        <v/>
      </c>
      <c r="G433">
        <f>Skills!G20*IF(Skills!H20&gt;0,Skills!I20/Skills!H20,1)</f>
        <v/>
      </c>
      <c r="H433">
        <f>1-(1-Skills!J20/100)^Skills!K20</f>
        <v/>
      </c>
      <c r="I433" t="inlineStr">
        <is>
          <t>1</t>
        </is>
      </c>
      <c r="J433" t="inlineStr"/>
      <c r="K433" t="inlineStr"/>
      <c r="L433" t="inlineStr"/>
      <c r="M433" t="inlineStr"/>
      <c r="N433" t="inlineStr"/>
      <c r="O433" t="n">
        <v>0</v>
      </c>
      <c r="P433">
        <f>IF(B448=0,0,O433/B448)</f>
        <v/>
      </c>
      <c r="Q433" t="n">
        <v>0</v>
      </c>
      <c r="R433" t="n">
        <v>0</v>
      </c>
      <c r="S433">
        <f>IFERROR(O433/N433,0)</f>
        <v/>
      </c>
    </row>
    <row r="434">
      <c r="A434">
        <f>Skills!A21</f>
        <v/>
      </c>
      <c r="B434">
        <f>Skills!B21</f>
        <v/>
      </c>
      <c r="C434">
        <f>Inputs!$B$3&gt;=38</f>
        <v/>
      </c>
      <c r="D434">
        <f>IF(Skills!C21=1,60+Inputs!$B$24+Inputs!$B$28,IF(Skills!C21=2,90+Inputs!$B$25+Inputs!$B$28,IF(Skills!C21=3,120+Inputs!$B$26+Inputs!$B$28,MAX(0,(Inputs!$B$3-100)*3)+Inputs!$B$27+Inputs!$B$28)))</f>
        <v/>
      </c>
      <c r="E434">
        <f>INDEX(FactorTable!$B$2:$Y$301, MATCH(ROUND(MIN(300,MAX(1,D434)),0), FactorTable!$A$2:$A$301,0), Skills!M21+1)</f>
        <v/>
      </c>
      <c r="F434">
        <f>IF(Skills!N21=TRUE,(Skills!L21/10)*(E434/1000),Skills!L21/10)+Skills!O21</f>
        <v/>
      </c>
      <c r="G434">
        <f>Skills!G21*IF(Skills!H21&gt;0,Skills!I21/Skills!H21,1)</f>
        <v/>
      </c>
      <c r="H434">
        <f>1-(1-Skills!J21/100)^Skills!K21</f>
        <v/>
      </c>
      <c r="I434" t="inlineStr">
        <is>
          <t>1</t>
        </is>
      </c>
      <c r="J434" t="inlineStr"/>
      <c r="K434" t="inlineStr"/>
      <c r="L434" t="inlineStr"/>
      <c r="M434" t="inlineStr"/>
      <c r="N434" t="inlineStr"/>
      <c r="O434" t="n">
        <v>0</v>
      </c>
      <c r="P434">
        <f>IF(B448=0,0,O434/B448)</f>
        <v/>
      </c>
      <c r="Q434" t="n">
        <v>0</v>
      </c>
      <c r="R434" t="n">
        <v>0</v>
      </c>
      <c r="S434">
        <f>IFERROR(O434/N434,0)</f>
        <v/>
      </c>
    </row>
    <row r="435">
      <c r="A435">
        <f>Skills!A22</f>
        <v/>
      </c>
      <c r="B435">
        <f>Skills!B22</f>
        <v/>
      </c>
      <c r="C435">
        <f>Inputs!$B$3&gt;=43</f>
        <v/>
      </c>
      <c r="D435">
        <f>IF(Skills!C22=1,60+Inputs!$B$24+Inputs!$B$28,IF(Skills!C22=2,90+Inputs!$B$25+Inputs!$B$28,IF(Skills!C22=3,120+Inputs!$B$26+Inputs!$B$28,MAX(0,(Inputs!$B$3-100)*3)+Inputs!$B$27+Inputs!$B$28)))</f>
        <v/>
      </c>
      <c r="E435">
        <f>INDEX(FactorTable!$B$2:$Y$301, MATCH(ROUND(MIN(300,MAX(1,D435)),0), FactorTable!$A$2:$A$301,0), Skills!M22+1)</f>
        <v/>
      </c>
      <c r="F435">
        <f>IF(Skills!N22=TRUE,(Skills!L22/10)*(E435/1000),Skills!L22/10)+Skills!O22</f>
        <v/>
      </c>
      <c r="G435">
        <f>Skills!G22*IF(Skills!H22&gt;0,Skills!I22/Skills!H22,1)</f>
        <v/>
      </c>
      <c r="H435">
        <f>1-(1-Skills!J22/100)^Skills!K22</f>
        <v/>
      </c>
      <c r="I435" t="inlineStr">
        <is>
          <t>1</t>
        </is>
      </c>
      <c r="J435" t="inlineStr"/>
      <c r="K435" t="inlineStr"/>
      <c r="L435" t="inlineStr"/>
      <c r="M435" t="inlineStr"/>
      <c r="N435" t="inlineStr"/>
      <c r="O435" t="n">
        <v>0</v>
      </c>
      <c r="P435">
        <f>IF(B448=0,0,O435/B448)</f>
        <v/>
      </c>
      <c r="Q435" t="n">
        <v>0</v>
      </c>
      <c r="R435" t="n">
        <v>0</v>
      </c>
      <c r="S435">
        <f>IFERROR(O435/N435,0)</f>
        <v/>
      </c>
    </row>
    <row r="436">
      <c r="A436">
        <f>Skills!A23</f>
        <v/>
      </c>
      <c r="B436">
        <f>Skills!B23</f>
        <v/>
      </c>
      <c r="C436">
        <f>Inputs!$B$3&gt;=120</f>
        <v/>
      </c>
      <c r="D436">
        <f>IF(Skills!C23=1,60+Inputs!$B$24+Inputs!$B$28,IF(Skills!C23=2,90+Inputs!$B$25+Inputs!$B$28,IF(Skills!C23=3,120+Inputs!$B$26+Inputs!$B$28,MAX(0,(Inputs!$B$3-100)*3)+Inputs!$B$27+Inputs!$B$28)))</f>
        <v/>
      </c>
      <c r="E436">
        <f>INDEX(FactorTable!$B$2:$Y$301, MATCH(ROUND(MIN(300,MAX(1,D436)),0), FactorTable!$A$2:$A$301,0), Skills!M23+1)</f>
        <v/>
      </c>
      <c r="F436">
        <f>IF(Skills!N23=TRUE,(Skills!L23/10)*(E436/1000),Skills!L23/10)+Skills!O23</f>
        <v/>
      </c>
      <c r="G436">
        <f>Skills!G23*IF(Skills!H23&gt;0,Skills!I23/Skills!H23,1)</f>
        <v/>
      </c>
      <c r="H436">
        <f>1-(1-Skills!J23/100)^Skills!K23</f>
        <v/>
      </c>
      <c r="I436" t="inlineStr">
        <is>
          <t>1</t>
        </is>
      </c>
      <c r="J436" t="inlineStr"/>
      <c r="K436" t="inlineStr"/>
      <c r="L436" t="inlineStr"/>
      <c r="M436" t="inlineStr"/>
      <c r="N436" t="inlineStr"/>
      <c r="O436" t="n">
        <v>0</v>
      </c>
      <c r="P436">
        <f>IF(B448=0,0,O436/B448)</f>
        <v/>
      </c>
      <c r="Q436" t="n">
        <v>0</v>
      </c>
      <c r="R436" t="n">
        <v>0</v>
      </c>
      <c r="S436">
        <f>IFERROR(O436/N436,0)</f>
        <v/>
      </c>
    </row>
    <row r="437">
      <c r="A437">
        <f>Skills!A24</f>
        <v/>
      </c>
      <c r="B437">
        <f>Skills!B24</f>
        <v/>
      </c>
      <c r="C437">
        <f>Inputs!$B$3&gt;=120</f>
        <v/>
      </c>
      <c r="D437">
        <f>IF(Skills!C24=1,60+Inputs!$B$24+Inputs!$B$28,IF(Skills!C24=2,90+Inputs!$B$25+Inputs!$B$28,IF(Skills!C24=3,120+Inputs!$B$26+Inputs!$B$28,MAX(0,(Inputs!$B$3-100)*3)+Inputs!$B$27+Inputs!$B$28)))</f>
        <v/>
      </c>
      <c r="E437">
        <f>INDEX(FactorTable!$B$2:$Y$301, MATCH(ROUND(MIN(300,MAX(1,D437)),0), FactorTable!$A$2:$A$301,0), Skills!M24+1)</f>
        <v/>
      </c>
      <c r="F437">
        <f>IF(Skills!N24=TRUE,(Skills!L24/10)*(E437/1000),Skills!L24/10)+Skills!O24</f>
        <v/>
      </c>
      <c r="G437">
        <f>Skills!G24*IF(Skills!H24&gt;0,Skills!I24/Skills!H24,1)</f>
        <v/>
      </c>
      <c r="H437">
        <f>1-(1-Skills!J24/100)^Skills!K24</f>
        <v/>
      </c>
      <c r="I437" t="inlineStr">
        <is>
          <t>1</t>
        </is>
      </c>
      <c r="J437" t="inlineStr"/>
      <c r="K437" t="inlineStr"/>
      <c r="L437" t="inlineStr"/>
      <c r="M437" t="inlineStr"/>
      <c r="N437" t="inlineStr"/>
      <c r="O437" t="n">
        <v>0</v>
      </c>
      <c r="P437">
        <f>IF(B448=0,0,O437/B448)</f>
        <v/>
      </c>
      <c r="Q437" t="n">
        <v>0</v>
      </c>
      <c r="R437" t="n">
        <v>0</v>
      </c>
      <c r="S437">
        <f>IFERROR(O437/N437,0)</f>
        <v/>
      </c>
    </row>
    <row r="439">
      <c r="A439" t="inlineStr">
        <is>
          <t>Attack% Bucket Multiplier</t>
        </is>
      </c>
      <c r="B439">
        <f>(1+(((C426=TRUE)*F426*MIN(1,Skills!T13*(Skills!J13/100)*B444))+((C431=TRUE)*F431*IF(AND(Inputs!$B$4&lt;&gt;"pvp",Inputs!$B$35&gt;0),(((S431-1)*(Skills!T18*(1+Inputs!$B$33/100))+MIN((Skills!T18*(1+Inputs!$B$33/100)),MAX(0,Inputs!$B$35-((S431-1)*Skills!D18))))/Inputs!$B$35),IF(Inputs!$B$4="pvp",MIN((Skills!T18*(1+Inputs!$B$33/100)),15)/15,(Skills!T18*(1+Inputs!$B$33/100))/Skills!D18)))+0)/100)</f>
        <v/>
      </c>
    </row>
    <row r="440">
      <c r="A440" t="inlineStr">
        <is>
          <t>Global Crit Rate Bonus %</t>
        </is>
      </c>
      <c r="B440" t="n">
        <v>0</v>
      </c>
    </row>
    <row r="441">
      <c r="A441" t="inlineStr">
        <is>
          <t>Attack Speed Buff Bonus %</t>
        </is>
      </c>
      <c r="B441">
        <f>((C432=TRUE)*F432*IF(AND(Inputs!$B$4&lt;&gt;"pvp",Inputs!$B$35&gt;0),(((S432-1)*(Skills!T19*(1+Inputs!$B$33/100))+MIN((Skills!T19*(1+Inputs!$B$33/100)),MAX(0,Inputs!$B$35-((S432-1)*Skills!D19))))/Inputs!$B$35),IF(Inputs!$B$4="pvp",MIN((Skills!T19*(1+Inputs!$B$33/100)),15)/15,(Skills!T19*(1+Inputs!$B$33/100))/Skills!D19)))</f>
        <v/>
      </c>
    </row>
    <row r="442">
      <c r="A442" t="inlineStr">
        <is>
          <t>Actions Per Second</t>
        </is>
      </c>
      <c r="B442">
        <f>1+MIN(150,150*(1-(1-(Inputs!$B$10+((C433=TRUE)*(F433-Calc!F20)))/150)*(1-B441/150)))/100</f>
        <v/>
      </c>
    </row>
    <row r="443">
      <c r="A443" t="inlineStr">
        <is>
          <t>Skill + Buff Cast Rate</t>
        </is>
      </c>
      <c r="B443">
        <f>IF(AND(Inputs!$B$4&lt;&gt;"pvp",Inputs!$B$35&gt;0),SUMPRODUCT((Skills!E2:E24=TRUE)*(C415:C437=TRUE)*R415:R437*Skills!F2:F24)/Inputs!$B$35,SUMPRODUCT((Skills!E2:E24=TRUE)*(C415:C437=TRUE)*Q415:Q437*Skills!F2:F24))</f>
        <v/>
      </c>
    </row>
    <row r="444">
      <c r="A444" t="inlineStr">
        <is>
          <t>Blast Casts Per Second</t>
        </is>
      </c>
      <c r="B444">
        <f>MAX(0,B442-B443)</f>
        <v/>
      </c>
    </row>
    <row r="445">
      <c r="A445" t="inlineStr">
        <is>
          <t>Global Critical Damage Bonus % (unused)</t>
        </is>
      </c>
      <c r="B445" t="n">
        <v>0</v>
      </c>
    </row>
    <row r="446">
      <c r="A446" t="inlineStr">
        <is>
          <t>Global Final Damage Bonus % (Divine Shield + Guardian + Divine Blessing + Greater Vessel of Light)</t>
        </is>
      </c>
      <c r="B446">
        <f>((C428=TRUE)*F428*IF(AND(Inputs!$B$4&lt;&gt;"pvp",Inputs!$B$35&gt;0),(((S428-1)*(Skills!T15*(1+Inputs!$B$33/100))+MIN((Skills!T15*(1+Inputs!$B$33/100)),MAX(0,Inputs!$B$35-((S428-1)*Skills!D15))))/Inputs!$B$35),IF(Inputs!$B$4="pvp",MIN((Skills!T15*(1+Inputs!$B$33/100)),15)/15,(Skills!T15*(1+Inputs!$B$33/100))/Skills!D15)))+((C429=TRUE)*F429*IF(AND(Inputs!$B$4&lt;&gt;"pvp",Inputs!$B$35&gt;0),(((S429-1)*(Skills!T16*(1+Inputs!$B$33/100))+MIN((Skills!T16*(1+Inputs!$B$33/100)),MAX(0,Inputs!$B$35-((S429-1)*Skills!D16))))/Inputs!$B$35),IF(Inputs!$B$4="pvp",MIN((Skills!T16*(1+Inputs!$B$33/100)),15)/15,(Skills!T16*(1+Inputs!$B$33/100))/Skills!D16)))+((C430=TRUE)*F430*IF(AND(Inputs!$B$4&lt;&gt;"pvp",Inputs!$B$35&gt;0),(((S430-1)*(Skills!T17*(1+Inputs!$B$33/100))+MIN((Skills!T17*(1+Inputs!$B$33/100)),MAX(0,Inputs!$B$35-((S430-1)*Skills!D17))))/Inputs!$B$35),IF(Inputs!$B$4="pvp",MIN((Skills!T17*(1+Inputs!$B$33/100)),15)/15,(Skills!T17*(1+Inputs!$B$33/100))/Skills!D17)))+((C427=TRUE)*F427*MIN(1,Skills!T13*(Skills!J13/100)*B444))</f>
        <v/>
      </c>
    </row>
    <row r="448">
      <c r="A448" s="5" t="inlineStr">
        <is>
          <t>TOTAL DPS</t>
        </is>
      </c>
      <c r="B448" s="5">
        <f>SUM(O415:O437)</f>
        <v/>
      </c>
    </row>
    <row r="451">
      <c r="A451" s="5" t="inlineStr">
        <is>
          <t>Stat: CRIT_DAMAGE %</t>
        </is>
      </c>
    </row>
    <row r="452">
      <c r="A452" s="8" t="inlineStr">
        <is>
          <t>Key</t>
        </is>
      </c>
      <c r="B452" s="8" t="inlineStr">
        <is>
          <t>Name</t>
        </is>
      </c>
      <c r="C452" s="8" t="inlineStr">
        <is>
          <t>Unlocked</t>
        </is>
      </c>
      <c r="D452" s="8" t="inlineStr">
        <is>
          <t>InputLevel</t>
        </is>
      </c>
      <c r="E452" s="8" t="inlineStr">
        <is>
          <t>Factor</t>
        </is>
      </c>
      <c r="F452" s="8" t="inlineStr">
        <is>
          <t>CoefficientPercent</t>
        </is>
      </c>
      <c r="G452" s="8" t="inlineStr">
        <is>
          <t>EffectiveHits</t>
        </is>
      </c>
      <c r="H452" s="8" t="inlineStr">
        <is>
          <t>ProcProbability</t>
        </is>
      </c>
      <c r="I452" s="8" t="inlineStr">
        <is>
          <t>MapleHeroMultiplier</t>
        </is>
      </c>
      <c r="J452" s="8" t="inlineStr">
        <is>
          <t>BaseDamage</t>
        </is>
      </c>
      <c r="K452" s="8" t="inlineStr">
        <is>
          <t>BaseHitDamage</t>
        </is>
      </c>
      <c r="L452" s="8" t="inlineStr">
        <is>
          <t>NonCritAvg</t>
        </is>
      </c>
      <c r="M452" s="8" t="inlineStr">
        <is>
          <t>CritAvg</t>
        </is>
      </c>
      <c r="N452" s="8" t="inlineStr">
        <is>
          <t>ExpectedDamage(perHit)</t>
        </is>
      </c>
      <c r="O452" s="8" t="inlineStr">
        <is>
          <t>DPS</t>
        </is>
      </c>
      <c r="P452" s="8" t="inlineStr">
        <is>
          <t>% of Total</t>
        </is>
      </c>
      <c r="Q452" s="8" t="inlineStr">
        <is>
          <t>InvCooldown</t>
        </is>
      </c>
      <c r="R452" s="8" t="inlineStr">
        <is>
          <t>CastsInFight</t>
        </is>
      </c>
      <c r="S452" s="8" t="inlineStr">
        <is>
          <t>HitRate(perSec)</t>
        </is>
      </c>
      <c r="U452" t="inlineStr">
        <is>
          <t>helpers</t>
        </is>
      </c>
    </row>
    <row r="453">
      <c r="A453">
        <f>Skills!A2</f>
        <v/>
      </c>
      <c r="B453">
        <f>Skills!B2</f>
        <v/>
      </c>
      <c r="C453">
        <f>Inputs!$B$3&gt;=100</f>
        <v/>
      </c>
      <c r="D453" t="inlineStr"/>
      <c r="E453" t="inlineStr"/>
      <c r="F453">
        <f>U455+Skills!O2</f>
        <v/>
      </c>
      <c r="G453">
        <f>Skills!G2*IF(Skills!H2&gt;0,Skills!I2/Skills!H2,1)</f>
        <v/>
      </c>
      <c r="H453">
        <f>1-(1-Skills!J2/100)^Skills!K2</f>
        <v/>
      </c>
      <c r="I453" t="inlineStr">
        <is>
          <t>1</t>
        </is>
      </c>
      <c r="J453">
        <f>(Inputs!$B$5*(1+Inputs!$B$6/100))*(F453/100)</f>
        <v/>
      </c>
      <c r="K453">
        <f>J453*(1+((Inputs!$B$11*(1+Inputs!$B$12/100))*0.01+Inputs!$B$13*0.0025)/100)*(1+Inputs!$B$14/100)*(1+IF(Inputs!$B$4="pvp",0,(1-Summary!$B$55)*(Inputs!$B$19+0+Skills!P2)+Summary!$B$55*(Inputs!$B$20+Skills!Q2))/100)*(1+Inputs!$B$15/100)*(5000/(6000+Inputs!$B$7*(1-(Inputs!$B$18+0)/100)))*(1+(Inputs!$B$23+0+B484)/100)*(1+(IF(Skills!A2="BLAST",Inputs!$B$16+((C472=TRUE)*(F472-Calc!F21)),Inputs!$B$17+((C474=TRUE)*(F474-Calc!F23))))/100)*((1+(((C464=TRUE)*F464*MIN(1,Skills!T13*(Skills!J13/100)*B482))+((C469=TRUE)*F469*IF(AND(Inputs!$B$4&lt;&gt;"pvp",Inputs!$B$35&gt;0),(((S469-1)*(Skills!T18*(1+Inputs!$B$33/100))+MIN((Skills!T18*(1+Inputs!$B$33/100)),MAX(0,Inputs!$B$35-((S469-1)*Skills!D18))))/Inputs!$B$35),IF(Inputs!$B$4="pvp",MIN((Skills!T18*(1+Inputs!$B$33/100)),15)/15,(Skills!T18*(1+Inputs!$B$33/100))/Skills!D18)))+0)/100)*I453)</f>
        <v/>
      </c>
      <c r="L453">
        <f>K453*(MIN(Inputs!$B$21+((C473=TRUE)*(F473-Calc!F22)),Inputs!$B$22+((C475=TRUE)*(F475-Calc!F24)))/100+(Inputs!$B$22+((C475=TRUE)*(F475-Calc!F24)))/100)/2</f>
        <v/>
      </c>
      <c r="M453">
        <f>L453*(1+((Inputs!$B$9+1)+0+B483)/100)</f>
        <v/>
      </c>
      <c r="N453">
        <f>L453*(1-MIN((Inputs!$B$8+0+B478),100)/100)+M453*(MIN((Inputs!$B$8+0+B478),100)/100)</f>
        <v/>
      </c>
      <c r="O453">
        <f>IF(C453,Skills!G2*N453*B482*IF(Inputs!$B$4="pvp",1,(1-Summary!$B$55)*(1)+Summary!$B$55*(MIN((6+Inputs!$B$32),Inputs!$B$37))),0)</f>
        <v/>
      </c>
      <c r="P453">
        <f>IF(B486=0,0,O453/B486)</f>
        <v/>
      </c>
      <c r="Q453" t="n">
        <v>0</v>
      </c>
      <c r="R453" t="n">
        <v>0</v>
      </c>
      <c r="S453">
        <f>IFERROR(O453/N453,0)</f>
        <v/>
      </c>
      <c r="U453">
        <f>MAX(0,(Inputs!$B$3-100)*3)+Inputs!$B$27+Inputs!$B$28</f>
        <v/>
      </c>
    </row>
    <row r="454">
      <c r="A454">
        <f>Skills!A3</f>
        <v/>
      </c>
      <c r="B454">
        <f>Skills!B3</f>
        <v/>
      </c>
      <c r="C454">
        <f>Inputs!$B$3&gt;=50</f>
        <v/>
      </c>
      <c r="D454">
        <f>IF(Skills!C3=1,60+Inputs!$B$24+Inputs!$B$28,IF(Skills!C3=2,90+Inputs!$B$25+Inputs!$B$28,IF(Skills!C3=3,120+Inputs!$B$26+Inputs!$B$28,MAX(0,(Inputs!$B$3-100)*3)+Inputs!$B$27+Inputs!$B$28)))</f>
        <v/>
      </c>
      <c r="E454">
        <f>INDEX(FactorTable!$B$2:$Y$301, MATCH(ROUND(MIN(300,MAX(1,D454)),0), FactorTable!$A$2:$A$301,0), Skills!M3+1)</f>
        <v/>
      </c>
      <c r="F454">
        <f>IF(Skills!N3=TRUE,(Skills!L3/10)*(E454/1000),Skills!L3/10)+Skills!O3</f>
        <v/>
      </c>
      <c r="G454" t="inlineStr"/>
      <c r="H454" t="inlineStr"/>
      <c r="I454" t="inlineStr">
        <is>
          <t>1</t>
        </is>
      </c>
      <c r="J454" t="inlineStr"/>
      <c r="K454" t="inlineStr"/>
      <c r="L454" t="inlineStr"/>
      <c r="M454" t="inlineStr"/>
      <c r="N454" t="inlineStr"/>
      <c r="O454" t="inlineStr"/>
      <c r="P454" t="inlineStr"/>
      <c r="Q454" t="inlineStr"/>
      <c r="R454" t="inlineStr"/>
      <c r="S454" t="inlineStr"/>
      <c r="U454">
        <f>INDEX(FactorTable!$B$2:$Y$301, MATCH(ROUND(MIN(300,MAX(1,U453)),0), FactorTable!$A$2:$A$301,0), 22)</f>
        <v/>
      </c>
    </row>
    <row r="455">
      <c r="A455">
        <f>Skills!A4</f>
        <v/>
      </c>
      <c r="B455">
        <f>Skills!B4</f>
        <v/>
      </c>
      <c r="C455">
        <f>Inputs!$B$3&gt;=35</f>
        <v/>
      </c>
      <c r="D455">
        <f>IF(Skills!C4=1,60+Inputs!$B$24+Inputs!$B$28,IF(Skills!C4=2,90+Inputs!$B$25+Inputs!$B$28,IF(Skills!C4=3,120+Inputs!$B$26+Inputs!$B$28,MAX(0,(Inputs!$B$3-100)*3)+Inputs!$B$27+Inputs!$B$28)))</f>
        <v/>
      </c>
      <c r="E455">
        <f>INDEX(FactorTable!$B$2:$Y$301, MATCH(ROUND(MIN(300,MAX(1,D455)),0), FactorTable!$A$2:$A$301,0), Skills!M4+1)</f>
        <v/>
      </c>
      <c r="F455">
        <f>IF(Skills!N4=TRUE,(Skills!L4/10)*(E455/1000),Skills!L4/10)+Skills!O4</f>
        <v/>
      </c>
      <c r="G455">
        <f>Skills!G4*IF(Skills!H4&gt;0,Skills!I4/Skills!H4,1)</f>
        <v/>
      </c>
      <c r="H455">
        <f>1-(1-Skills!J4/100)^Skills!K4</f>
        <v/>
      </c>
      <c r="I455" t="inlineStr">
        <is>
          <t>1</t>
        </is>
      </c>
      <c r="J455">
        <f>(Inputs!$B$5*(1+Inputs!$B$6/100))*(F455/100)</f>
        <v/>
      </c>
      <c r="K455">
        <f>J455*(1+((Inputs!$B$11*(1+Inputs!$B$12/100))*0.01+Inputs!$B$13*0.0025)/100)*(1+Inputs!$B$14/100)*(1+IF(Inputs!$B$4="pvp",0,(1-Summary!$B$55)*(Inputs!$B$19+0+Skills!P4)+Summary!$B$55*(Inputs!$B$20+Skills!Q4))/100)*(1+Inputs!$B$15/100)*(5000/(6000+Inputs!$B$7*(1-(Inputs!$B$18+0)/100)))*(1+(Inputs!$B$23+0+B484)/100)*(1+4.0*IF(C463=TRUE,F463,0)/100)*(1+(IF(Skills!A4="BLAST",Inputs!$B$16+((C472=TRUE)*(F472-Calc!F21)),Inputs!$B$17+((C474=TRUE)*(F474-Calc!F23))))/100)*((1+(((C464=TRUE)*F464*MIN(1,Skills!T13*(Skills!J13/100)*B482))+((C469=TRUE)*F469*IF(AND(Inputs!$B$4&lt;&gt;"pvp",Inputs!$B$35&gt;0),(((S469-1)*(Skills!T18*(1+Inputs!$B$33/100))+MIN((Skills!T18*(1+Inputs!$B$33/100)),MAX(0,Inputs!$B$35-((S469-1)*Skills!D18))))/Inputs!$B$35),IF(Inputs!$B$4="pvp",MIN((Skills!T18*(1+Inputs!$B$33/100)),15)/15,(Skills!T18*(1+Inputs!$B$33/100))/Skills!D18)))+0)/100)*I455)</f>
        <v/>
      </c>
      <c r="L455">
        <f>K455*(MIN(Inputs!$B$21+((C473=TRUE)*(F473-Calc!F22)),Inputs!$B$22+((C475=TRUE)*(F475-Calc!F24)))/100+(Inputs!$B$22+((C475=TRUE)*(F475-Calc!F24)))/100)/2</f>
        <v/>
      </c>
      <c r="M455">
        <f>L455*(1+((Inputs!$B$9+1)+0+B483)/100)</f>
        <v/>
      </c>
      <c r="N455">
        <f>L455*(1-MIN((Inputs!$B$8+0+B478),100)/100)+M455*(MIN((Inputs!$B$8+0+B478),100)/100)</f>
        <v/>
      </c>
      <c r="O455">
        <f>IF(C455,H455*N455*IF(AND(Inputs!$B$4&lt;&gt;"pvp",Inputs!$B$35&gt;0),((Skills!G4*((R455-1)*IF(Skills!H4&gt;0,Skills!I4/Skills!H4,1)+IF(Skills!H4&gt;0,MIN(Skills!I4,MAX(0,Inputs!$B$35-((R455-1)*IF(Inputs!$B$4="pvp",15,MAX(0.1,Skills!D4-IF(Skills!E4=TRUE,Inputs!$B$31,0))))))/Skills!H4,1)))/Inputs!$B$35),G455*Q455)*IF(Inputs!$B$4="pvp",1,(1-Summary!$B$55)*(1)+Summary!$B$55*(MIN(Skills!R4,Inputs!$B$37))),0)</f>
        <v/>
      </c>
      <c r="P455">
        <f>IF(B486=0,0,O455/B486)</f>
        <v/>
      </c>
      <c r="Q455">
        <f>IFERROR(1/IF(Inputs!$B$4="pvp",15,MAX(0.1,Skills!D4-IF(Skills!E4=TRUE,Inputs!$B$31,0))),0)</f>
        <v/>
      </c>
      <c r="R455">
        <f>IF(AND(Inputs!$B$4&lt;&gt;"pvp",Inputs!$B$35&gt;0),(INT(Inputs!$B$35/IF(Inputs!$B$4="pvp",15,MAX(0.1,Skills!D4-IF(Skills!E4=TRUE,Inputs!$B$31,0))))+1),0)</f>
        <v/>
      </c>
      <c r="S455">
        <f>IFERROR(O455/N455,0)</f>
        <v/>
      </c>
      <c r="U455">
        <f>290*U454/1000</f>
        <v/>
      </c>
    </row>
    <row r="456">
      <c r="A456">
        <f>Skills!A5</f>
        <v/>
      </c>
      <c r="B456">
        <f>Skills!B5</f>
        <v/>
      </c>
      <c r="C456">
        <f>Inputs!$B$3&gt;=66</f>
        <v/>
      </c>
      <c r="D456">
        <f>IF(Skills!C5=1,60+Inputs!$B$24+Inputs!$B$28,IF(Skills!C5=2,90+Inputs!$B$25+Inputs!$B$28,IF(Skills!C5=3,120+Inputs!$B$26+Inputs!$B$28,MAX(0,(Inputs!$B$3-100)*3)+Inputs!$B$27+Inputs!$B$28)))</f>
        <v/>
      </c>
      <c r="E456">
        <f>INDEX(FactorTable!$B$2:$Y$301, MATCH(ROUND(MIN(300,MAX(1,D456)),0), FactorTable!$A$2:$A$301,0), Skills!M5+1)</f>
        <v/>
      </c>
      <c r="F456">
        <f>IF(Skills!N5=TRUE,(Skills!L5/10)*(E456/1000),Skills!L5/10)+Skills!O5</f>
        <v/>
      </c>
      <c r="G456">
        <f>Skills!G5*IF(Skills!H5&gt;0,Skills!I5/Skills!H5,1)</f>
        <v/>
      </c>
      <c r="H456">
        <f>1-(1-Skills!J5/100)^Skills!K5</f>
        <v/>
      </c>
      <c r="I456" t="inlineStr">
        <is>
          <t>1</t>
        </is>
      </c>
      <c r="J456">
        <f>(Inputs!$B$5*(1+Inputs!$B$6/100))*(F456/100)</f>
        <v/>
      </c>
      <c r="K456">
        <f>J456*(1+((Inputs!$B$11*(1+Inputs!$B$12/100))*0.01+Inputs!$B$13*0.0025)/100)*(1+Inputs!$B$14/100)*(1+IF(Inputs!$B$4="pvp",0,(1-Summary!$B$55)*(Inputs!$B$19+0+Skills!P5)+Summary!$B$55*(Inputs!$B$20+Skills!Q5))/100)*(1+Inputs!$B$15/100)*(5000/(6000+Inputs!$B$7*(1-(Inputs!$B$18+0)/100)))*(1+(Inputs!$B$23+0+B484)/100)*(1+1.0*IF(C463=TRUE,F463,0)/100)*(1+(IF(Skills!A5="BLAST",Inputs!$B$16+((C472=TRUE)*(F472-Calc!F21)),Inputs!$B$17+((C474=TRUE)*(F474-Calc!F23))))/100)*((1+(((C464=TRUE)*F464*MIN(1,Skills!T13*(Skills!J13/100)*B482))+((C469=TRUE)*F469*IF(AND(Inputs!$B$4&lt;&gt;"pvp",Inputs!$B$35&gt;0),(((S469-1)*(Skills!T18*(1+Inputs!$B$33/100))+MIN((Skills!T18*(1+Inputs!$B$33/100)),MAX(0,Inputs!$B$35-((S469-1)*Skills!D18))))/Inputs!$B$35),IF(Inputs!$B$4="pvp",MIN((Skills!T18*(1+Inputs!$B$33/100)),15)/15,(Skills!T18*(1+Inputs!$B$33/100))/Skills!D18)))+0)/100)*I456)</f>
        <v/>
      </c>
      <c r="L456">
        <f>K456*(MIN(Inputs!$B$21+((C473=TRUE)*(F473-Calc!F22)),Inputs!$B$22+((C475=TRUE)*(F475-Calc!F24)))/100+(Inputs!$B$22+((C475=TRUE)*(F475-Calc!F24)))/100)/2</f>
        <v/>
      </c>
      <c r="M456">
        <f>L456*(1+((Inputs!$B$9+1)+0+B483)/100)</f>
        <v/>
      </c>
      <c r="N456">
        <f>L456*(1-MIN((Inputs!$B$8+0+B478),100)/100)+M456*(MIN((Inputs!$B$8+0+B478),100)/100)</f>
        <v/>
      </c>
      <c r="O456">
        <f>IF(C456,H456*N456*IF(AND(Inputs!$B$4&lt;&gt;"pvp",Inputs!$B$35&gt;0),((Skills!G5*((R456-1)*IF(Skills!H5&gt;0,Skills!I5/Skills!H5,1)+IF(Skills!H5&gt;0,MIN(Skills!I5,MAX(0,Inputs!$B$35-((R456-1)*IF(Inputs!$B$4="pvp",15,MAX(0.1,Skills!D5-IF(Skills!E5=TRUE,Inputs!$B$31,0))))))/Skills!H5,1)))/Inputs!$B$35),G456*Q456)*IF(Inputs!$B$4="pvp",1,(1-Summary!$B$55)*(1)+Summary!$B$55*(MIN(Skills!R5,Inputs!$B$37))),0)</f>
        <v/>
      </c>
      <c r="P456">
        <f>IF(B486=0,0,O456/B486)</f>
        <v/>
      </c>
      <c r="Q456">
        <f>IFERROR(1/IF(Inputs!$B$4="pvp",15,MAX(0.1,Skills!D5-IF(Skills!E5=TRUE,Inputs!$B$31,0))),0)</f>
        <v/>
      </c>
      <c r="R456">
        <f>IF(AND(Inputs!$B$4&lt;&gt;"pvp",Inputs!$B$35&gt;0),(INT(Inputs!$B$35/IF(Inputs!$B$4="pvp",15,MAX(0.1,Skills!D5-IF(Skills!E5=TRUE,Inputs!$B$31,0))))+1),0)</f>
        <v/>
      </c>
      <c r="S456">
        <f>IFERROR(O456/N456,0)</f>
        <v/>
      </c>
    </row>
    <row r="457">
      <c r="A457">
        <f>Skills!A6</f>
        <v/>
      </c>
      <c r="B457">
        <f>Skills!B6</f>
        <v/>
      </c>
      <c r="C457">
        <f>Inputs!$B$3&gt;=103</f>
        <v/>
      </c>
      <c r="D457">
        <f>IF(Skills!C6=1,60+Inputs!$B$24+Inputs!$B$28,IF(Skills!C6=2,90+Inputs!$B$25+Inputs!$B$28,IF(Skills!C6=3,120+Inputs!$B$26+Inputs!$B$28,MAX(0,(Inputs!$B$3-100)*3)+Inputs!$B$27+Inputs!$B$28)))</f>
        <v/>
      </c>
      <c r="E457">
        <f>INDEX(FactorTable!$B$2:$Y$301, MATCH(ROUND(MIN(300,MAX(1,D457)),0), FactorTable!$A$2:$A$301,0), Skills!M6+1)</f>
        <v/>
      </c>
      <c r="F457">
        <f>IF(Skills!N6=TRUE,(Skills!L6/10)*(E457/1000),Skills!L6/10)+Skills!O6</f>
        <v/>
      </c>
      <c r="G457">
        <f>Skills!G6*IF(Skills!H6&gt;0,Skills!I6/Skills!H6,1)</f>
        <v/>
      </c>
      <c r="H457">
        <f>1-(1-Skills!J6/100)^Skills!K6</f>
        <v/>
      </c>
      <c r="I457" t="inlineStr">
        <is>
          <t>1</t>
        </is>
      </c>
      <c r="J457">
        <f>(Inputs!$B$5*(1+Inputs!$B$6/100))*(F457/100)</f>
        <v/>
      </c>
      <c r="K457">
        <f>J457*(1+((Inputs!$B$11*(1+Inputs!$B$12/100))*0.01+Inputs!$B$13*0.0025)/100)*(1+Inputs!$B$14/100)*(1+IF(Inputs!$B$4="pvp",0,(1-Summary!$B$55)*(Inputs!$B$19+0+Skills!P6)+Summary!$B$55*(Inputs!$B$20+Skills!Q6))/100)*(1+Inputs!$B$15/100)*(5000/(6000+Inputs!$B$7*(1-(Inputs!$B$18+0)/100)))*(1+(Inputs!$B$23+0+B484)/100)*(1+(IF(Skills!A6="BLAST",Inputs!$B$16+((C472=TRUE)*(F472-Calc!F21)),Inputs!$B$17+((C474=TRUE)*(F474-Calc!F23))))/100)*((1+(((C464=TRUE)*F464*MIN(1,Skills!T13*(Skills!J13/100)*B482))+((C469=TRUE)*F469*IF(AND(Inputs!$B$4&lt;&gt;"pvp",Inputs!$B$35&gt;0),(((S469-1)*(Skills!T18*(1+Inputs!$B$33/100))+MIN((Skills!T18*(1+Inputs!$B$33/100)),MAX(0,Inputs!$B$35-((S469-1)*Skills!D18))))/Inputs!$B$35),IF(Inputs!$B$4="pvp",MIN((Skills!T18*(1+Inputs!$B$33/100)),15)/15,(Skills!T18*(1+Inputs!$B$33/100))/Skills!D18)))+0)/100)*I457)</f>
        <v/>
      </c>
      <c r="L457">
        <f>K457*(MIN(Inputs!$B$21+((C473=TRUE)*(F473-Calc!F22)),Inputs!$B$22+((C475=TRUE)*(F475-Calc!F24)))/100+(Inputs!$B$22+((C475=TRUE)*(F475-Calc!F24)))/100)/2</f>
        <v/>
      </c>
      <c r="M457">
        <f>L457*(1+((Inputs!$B$9+1)+0+B483)/100)</f>
        <v/>
      </c>
      <c r="N457">
        <f>L457*(1-MIN((Inputs!$B$8+0+B478),100)/100)+M457*(MIN((Inputs!$B$8+0+B478),100)/100)</f>
        <v/>
      </c>
      <c r="O457">
        <f>IF(C457,H457*N457*IF(AND(Inputs!$B$4&lt;&gt;"pvp",Inputs!$B$35&gt;0),((Skills!G6*((R457-1)*IF(Skills!H6&gt;0,Skills!I6/Skills!H6,1)+IF(Skills!H6&gt;0,MIN(Skills!I6,MAX(0,Inputs!$B$35-((R457-1)*IF(Inputs!$B$4="pvp",15,MAX(0.1,Skills!D6-IF(Skills!E6=TRUE,Inputs!$B$31,0))))))/Skills!H6,1)))/Inputs!$B$35),G457*Q457)*IF(Inputs!$B$4="pvp",1,(1-Summary!$B$55)*(1)+Summary!$B$55*(MIN(Skills!R6,Inputs!$B$37))),0)</f>
        <v/>
      </c>
      <c r="P457">
        <f>IF(B486=0,0,O457/B486)</f>
        <v/>
      </c>
      <c r="Q457">
        <f>IFERROR(1/IF(Inputs!$B$4="pvp",15,MAX(0.1,Skills!D6-IF(Skills!E6=TRUE,Inputs!$B$31,0))),0)</f>
        <v/>
      </c>
      <c r="R457">
        <f>IF(AND(Inputs!$B$4&lt;&gt;"pvp",Inputs!$B$35&gt;0),(INT(Inputs!$B$35/IF(Inputs!$B$4="pvp",15,MAX(0.1,Skills!D6-IF(Skills!E6=TRUE,Inputs!$B$31,0))))+1),0)</f>
        <v/>
      </c>
      <c r="S457">
        <f>IFERROR(O457/N457,0)</f>
        <v/>
      </c>
    </row>
    <row r="458">
      <c r="A458">
        <f>Skills!A7</f>
        <v/>
      </c>
      <c r="B458">
        <f>Skills!B7</f>
        <v/>
      </c>
      <c r="C458">
        <f>Inputs!$B$3&gt;=107</f>
        <v/>
      </c>
      <c r="D458">
        <f>IF(Skills!C7=1,60+Inputs!$B$24+Inputs!$B$28,IF(Skills!C7=2,90+Inputs!$B$25+Inputs!$B$28,IF(Skills!C7=3,120+Inputs!$B$26+Inputs!$B$28,MAX(0,(Inputs!$B$3-100)*3)+Inputs!$B$27+Inputs!$B$28)))</f>
        <v/>
      </c>
      <c r="E458">
        <f>INDEX(FactorTable!$B$2:$Y$301, MATCH(ROUND(MIN(300,MAX(1,D458)),0), FactorTable!$A$2:$A$301,0), Skills!M7+1)</f>
        <v/>
      </c>
      <c r="F458">
        <f>IF(Skills!N7=TRUE,(Skills!L7/10)*(E458/1000),Skills!L7/10)+Skills!O7</f>
        <v/>
      </c>
      <c r="G458">
        <f>Skills!G7*IF(Skills!H7&gt;0,Skills!I7/Skills!H7,1)</f>
        <v/>
      </c>
      <c r="H458">
        <f>1-(1-Skills!J7/100)^Skills!K7</f>
        <v/>
      </c>
      <c r="I458" t="inlineStr">
        <is>
          <t>1</t>
        </is>
      </c>
      <c r="J458">
        <f>(Inputs!$B$5*(1+Inputs!$B$6/100))*(F458/100)</f>
        <v/>
      </c>
      <c r="K458">
        <f>J458*(1+((Inputs!$B$11*(1+Inputs!$B$12/100))*0.01+Inputs!$B$13*0.0025)/100)*(1+Inputs!$B$14/100)*(1+IF(Inputs!$B$4="pvp",0,(1-Summary!$B$55)*(Inputs!$B$19+0+Skills!P7)+Summary!$B$55*(Inputs!$B$20+Skills!Q7))/100)*(1+Inputs!$B$15/100)*(5000/(6000+Inputs!$B$7*(1-(Inputs!$B$18+0)/100)))*(1+(Inputs!$B$23+0+B484)/100)*(1+(IF(Skills!A7="BLAST",Inputs!$B$16+((C472=TRUE)*(F472-Calc!F21)),Inputs!$B$17+((C474=TRUE)*(F474-Calc!F23))))/100)*((1+(((C464=TRUE)*F464*MIN(1,Skills!T13*(Skills!J13/100)*B482))+((C469=TRUE)*F469*IF(AND(Inputs!$B$4&lt;&gt;"pvp",Inputs!$B$35&gt;0),(((S469-1)*(Skills!T18*(1+Inputs!$B$33/100))+MIN((Skills!T18*(1+Inputs!$B$33/100)),MAX(0,Inputs!$B$35-((S469-1)*Skills!D18))))/Inputs!$B$35),IF(Inputs!$B$4="pvp",MIN((Skills!T18*(1+Inputs!$B$33/100)),15)/15,(Skills!T18*(1+Inputs!$B$33/100))/Skills!D18)))+0)/100)*I458)</f>
        <v/>
      </c>
      <c r="L458">
        <f>K458*(MIN(Inputs!$B$21+((C473=TRUE)*(F473-Calc!F22)),Inputs!$B$22+((C475=TRUE)*(F475-Calc!F24)))/100+(Inputs!$B$22+((C475=TRUE)*(F475-Calc!F24)))/100)/2</f>
        <v/>
      </c>
      <c r="M458">
        <f>L458*(1+((Inputs!$B$9+1)+0+B483)/100)</f>
        <v/>
      </c>
      <c r="N458">
        <f>L458*(1-MIN((Inputs!$B$8+0+B478),100)/100)+M458*(MIN((Inputs!$B$8+0+B478),100)/100)</f>
        <v/>
      </c>
      <c r="O458">
        <f>IF(C458,H458*N458*IF(AND(Inputs!$B$4&lt;&gt;"pvp",Inputs!$B$35&gt;0),((Skills!G7*((R458-1)*IF(Skills!H7&gt;0,Skills!I7/Skills!H7,1)+IF(Skills!H7&gt;0,MIN(Skills!I7,MAX(0,Inputs!$B$35-((R458-1)*IF(Inputs!$B$4="pvp",15,MAX(0.1,Skills!D7-IF(Skills!E7=TRUE,Inputs!$B$31,0))))))/Skills!H7,1)))/Inputs!$B$35),G458*Q458)*IF(Inputs!$B$4="pvp",1,(1-Summary!$B$55)*(1)+Summary!$B$55*(MIN(Skills!R7,Inputs!$B$37))),0)</f>
        <v/>
      </c>
      <c r="P458">
        <f>IF(B486=0,0,O458/B486)</f>
        <v/>
      </c>
      <c r="Q458">
        <f>IFERROR(1/IF(Inputs!$B$4="pvp",15,MAX(0.1,Skills!D7-IF(Skills!E7=TRUE,Inputs!$B$31,0))),0)</f>
        <v/>
      </c>
      <c r="R458">
        <f>IF(AND(Inputs!$B$4&lt;&gt;"pvp",Inputs!$B$35&gt;0),(INT(Inputs!$B$35/IF(Inputs!$B$4="pvp",15,MAX(0.1,Skills!D7-IF(Skills!E7=TRUE,Inputs!$B$31,0))))+1),0)</f>
        <v/>
      </c>
      <c r="S458">
        <f>IFERROR(O458/N458,0)</f>
        <v/>
      </c>
    </row>
    <row r="459">
      <c r="A459">
        <f>Skills!A8</f>
        <v/>
      </c>
      <c r="B459">
        <f>Skills!B8</f>
        <v/>
      </c>
      <c r="C459">
        <f>Inputs!$B$3&gt;=107</f>
        <v/>
      </c>
      <c r="D459">
        <f>IF(Skills!C8=1,60+Inputs!$B$24+Inputs!$B$28,IF(Skills!C8=2,90+Inputs!$B$25+Inputs!$B$28,IF(Skills!C8=3,120+Inputs!$B$26+Inputs!$B$28,MAX(0,(Inputs!$B$3-100)*3)+Inputs!$B$27+Inputs!$B$28)))</f>
        <v/>
      </c>
      <c r="E459">
        <f>INDEX(FactorTable!$B$2:$Y$301, MATCH(ROUND(MIN(300,MAX(1,D459)),0), FactorTable!$A$2:$A$301,0), Skills!M8+1)</f>
        <v/>
      </c>
      <c r="F459">
        <f>IF(Skills!N8=TRUE,(Skills!L8/10)*(E459/1000),Skills!L8/10)+Skills!O8</f>
        <v/>
      </c>
      <c r="G459">
        <f>Skills!G8*IF(Skills!H8&gt;0,Skills!I8/Skills!H8,1)</f>
        <v/>
      </c>
      <c r="H459">
        <f>1-(1-Skills!J8/100)^Skills!K8</f>
        <v/>
      </c>
      <c r="I459" t="inlineStr">
        <is>
          <t>1</t>
        </is>
      </c>
      <c r="J459">
        <f>(Inputs!$B$5*(1+Inputs!$B$6/100))*(F459/100)</f>
        <v/>
      </c>
      <c r="K459">
        <f>J459*(1+((Inputs!$B$11*(1+Inputs!$B$12/100))*0.01+Inputs!$B$13*0.0025)/100)*(1+Inputs!$B$14/100)*(1+IF(Inputs!$B$4="pvp",0,(1-Summary!$B$55)*(Inputs!$B$19+0+Skills!P8)+Summary!$B$55*(Inputs!$B$20+Skills!Q8))/100)*(1+Inputs!$B$15/100)*(5000/(6000+Inputs!$B$7*(1-(Inputs!$B$18+0)/100)))*(1+(Inputs!$B$23+0+B484)/100)*(1+(IF(Skills!A8="BLAST",Inputs!$B$16+((C472=TRUE)*(F472-Calc!F21)),Inputs!$B$17+((C474=TRUE)*(F474-Calc!F23))))/100)*((1+(((C464=TRUE)*F464*MIN(1,Skills!T13*(Skills!J13/100)*B482))+((C469=TRUE)*F469*IF(AND(Inputs!$B$4&lt;&gt;"pvp",Inputs!$B$35&gt;0),(((S469-1)*(Skills!T18*(1+Inputs!$B$33/100))+MIN((Skills!T18*(1+Inputs!$B$33/100)),MAX(0,Inputs!$B$35-((S469-1)*Skills!D18))))/Inputs!$B$35),IF(Inputs!$B$4="pvp",MIN((Skills!T18*(1+Inputs!$B$33/100)),15)/15,(Skills!T18*(1+Inputs!$B$33/100))/Skills!D18)))+0)/100)*I459)</f>
        <v/>
      </c>
      <c r="L459">
        <f>K459*(MIN(Inputs!$B$21+((C473=TRUE)*(F473-Calc!F22)),Inputs!$B$22+((C475=TRUE)*(F475-Calc!F24)))/100+(Inputs!$B$22+((C475=TRUE)*(F475-Calc!F24)))/100)/2</f>
        <v/>
      </c>
      <c r="M459">
        <f>L459*(1+((Inputs!$B$9+1)+0+B483)/100)</f>
        <v/>
      </c>
      <c r="N459">
        <f>L459*(1-MIN((Inputs!$B$8+0+B478),100)/100)+M459*(MIN((Inputs!$B$8+0+B478),100)/100)</f>
        <v/>
      </c>
      <c r="O459">
        <f>IF(C459,H459*N459*IF(AND(Inputs!$B$4&lt;&gt;"pvp",Inputs!$B$35&gt;0),((Skills!G8*((R459-1)*IF(Skills!H8&gt;0,Skills!I8/Skills!H8,1)+IF(Skills!H8&gt;0,MIN(Skills!I8,MAX(0,Inputs!$B$35-((R459-1)*IF(Inputs!$B$4="pvp",15,MAX(0.1,Skills!D8-IF(Skills!E8=TRUE,Inputs!$B$31,0))))))/Skills!H8,1)))/Inputs!$B$35),G459*Q459)*IF(Inputs!$B$4="pvp",1,(1-Summary!$B$55)*(1)+Summary!$B$55*(MIN(Skills!R8,Inputs!$B$37))),0)</f>
        <v/>
      </c>
      <c r="P459">
        <f>IF(B486=0,0,O459/B486)</f>
        <v/>
      </c>
      <c r="Q459">
        <f>IFERROR(1/IF(Inputs!$B$4="pvp",15,MAX(0.1,Skills!D8-IF(Skills!E8=TRUE,Inputs!$B$31,0))),0)</f>
        <v/>
      </c>
      <c r="R459">
        <f>IF(AND(Inputs!$B$4&lt;&gt;"pvp",Inputs!$B$35&gt;0),(INT(Inputs!$B$35/IF(Inputs!$B$4="pvp",15,MAX(0.1,Skills!D8-IF(Skills!E8=TRUE,Inputs!$B$31,0))))+1),0)</f>
        <v/>
      </c>
      <c r="S459">
        <f>IFERROR(O459/N459,0)</f>
        <v/>
      </c>
    </row>
    <row r="460">
      <c r="A460">
        <f>Skills!A9</f>
        <v/>
      </c>
      <c r="B460">
        <f>Skills!B9</f>
        <v/>
      </c>
      <c r="C460">
        <f>Inputs!$B$3&gt;=125</f>
        <v/>
      </c>
      <c r="D460">
        <f>IF(Skills!C9=1,60+Inputs!$B$24+Inputs!$B$28,IF(Skills!C9=2,90+Inputs!$B$25+Inputs!$B$28,IF(Skills!C9=3,120+Inputs!$B$26+Inputs!$B$28,MAX(0,(Inputs!$B$3-100)*3)+Inputs!$B$27+Inputs!$B$28)))</f>
        <v/>
      </c>
      <c r="E460">
        <f>INDEX(FactorTable!$B$2:$Y$301, MATCH(ROUND(MIN(300,MAX(1,D460)),0), FactorTable!$A$2:$A$301,0), Skills!M9+1)</f>
        <v/>
      </c>
      <c r="F460">
        <f>IF(Skills!N9=TRUE,(Skills!L9/10)*(E460/1000),Skills!L9/10)+Skills!O9</f>
        <v/>
      </c>
      <c r="G460">
        <f>Skills!G9*IF(Skills!H9&gt;0,Skills!I9/Skills!H9,1)</f>
        <v/>
      </c>
      <c r="H460">
        <f>1-(1-Skills!J9/100)^Skills!K9</f>
        <v/>
      </c>
      <c r="I460" t="inlineStr">
        <is>
          <t>1</t>
        </is>
      </c>
      <c r="J460">
        <f>(Inputs!$B$5*(1+Inputs!$B$6/100))*(F460/100)</f>
        <v/>
      </c>
      <c r="K460">
        <f>J460*(1+((Inputs!$B$11*(1+Inputs!$B$12/100))*0.01+Inputs!$B$13*0.0025)/100)*(1+Inputs!$B$14/100)*(1+IF(Inputs!$B$4="pvp",0,(1-Summary!$B$55)*(Inputs!$B$19+0+Skills!P9)+Summary!$B$55*(Inputs!$B$20+Skills!Q9))/100)*(1+Inputs!$B$15/100)*(5000/(6000+Inputs!$B$7*(1-(Inputs!$B$18+0)/100)))*(1+(Inputs!$B$23+0+B484)/100)*(1+(IF(Skills!A9="BLAST",Inputs!$B$16+((C472=TRUE)*(F472-Calc!F21)),Inputs!$B$17+((C474=TRUE)*(F474-Calc!F23))))/100)*((1+(((C464=TRUE)*F464*MIN(1,Skills!T13*(Skills!J13/100)*B482))+((C469=TRUE)*F469*IF(AND(Inputs!$B$4&lt;&gt;"pvp",Inputs!$B$35&gt;0),(((S469-1)*(Skills!T18*(1+Inputs!$B$33/100))+MIN((Skills!T18*(1+Inputs!$B$33/100)),MAX(0,Inputs!$B$35-((S469-1)*Skills!D18))))/Inputs!$B$35),IF(Inputs!$B$4="pvp",MIN((Skills!T18*(1+Inputs!$B$33/100)),15)/15,(Skills!T18*(1+Inputs!$B$33/100))/Skills!D18)))+0)/100)*I460)</f>
        <v/>
      </c>
      <c r="L460">
        <f>K460*(MIN(Inputs!$B$21+((C473=TRUE)*(F473-Calc!F22)),Inputs!$B$22+((C475=TRUE)*(F475-Calc!F24)))/100+(Inputs!$B$22+((C475=TRUE)*(F475-Calc!F24)))/100)/2</f>
        <v/>
      </c>
      <c r="M460">
        <f>L460*(1+((Inputs!$B$9+1)+0+B483)/100)</f>
        <v/>
      </c>
      <c r="N460">
        <f>L460*(1-MIN((Inputs!$B$8+0+B478),100)/100)+M460*(MIN((Inputs!$B$8+0+B478),100)/100)</f>
        <v/>
      </c>
      <c r="O460">
        <f>IF(C460,H460*N460*IF(AND(Inputs!$B$4&lt;&gt;"pvp",Inputs!$B$35&gt;0),((Skills!G9*((R460-1)*IF(Skills!H9&gt;0,Skills!I9/Skills!H9,1)+IF(Skills!H9&gt;0,MIN(Skills!I9,MAX(0,Inputs!$B$35-((R460-1)*IF(Inputs!$B$4="pvp",15,MAX(0.1,Skills!D9-IF(Skills!E9=TRUE,Inputs!$B$31,0))))))/Skills!H9,1)))/Inputs!$B$35),G460*Q460)*IF(Inputs!$B$4="pvp",1,(1-Summary!$B$55)*(1)+Summary!$B$55*(MIN(Skills!R9,Inputs!$B$37))),0)</f>
        <v/>
      </c>
      <c r="P460">
        <f>IF(B486=0,0,O460/B486)</f>
        <v/>
      </c>
      <c r="Q460">
        <f>IFERROR(1/IF(Inputs!$B$4="pvp",15,MAX(0.1,Skills!D9-IF(Skills!E9=TRUE,Inputs!$B$31,0))),0)</f>
        <v/>
      </c>
      <c r="R460">
        <f>IF(AND(Inputs!$B$4&lt;&gt;"pvp",Inputs!$B$35&gt;0),(INT(Inputs!$B$35/IF(Inputs!$B$4="pvp",15,MAX(0.1,Skills!D9-IF(Skills!E9=TRUE,Inputs!$B$31,0))))+1),0)</f>
        <v/>
      </c>
      <c r="S460">
        <f>IFERROR(O460/N460,0)</f>
        <v/>
      </c>
    </row>
    <row r="461">
      <c r="A461">
        <f>Skills!A10</f>
        <v/>
      </c>
      <c r="B461">
        <f>Skills!B10</f>
        <v/>
      </c>
      <c r="C461">
        <f>Inputs!$B$3&gt;=117</f>
        <v/>
      </c>
      <c r="D461">
        <f>IF(Skills!C10=1,60+Inputs!$B$24+Inputs!$B$28,IF(Skills!C10=2,90+Inputs!$B$25+Inputs!$B$28,IF(Skills!C10=3,120+Inputs!$B$26+Inputs!$B$28,MAX(0,(Inputs!$B$3-100)*3)+Inputs!$B$27+Inputs!$B$28)))</f>
        <v/>
      </c>
      <c r="E461">
        <f>INDEX(FactorTable!$B$2:$Y$301, MATCH(ROUND(MIN(300,MAX(1,D461)),0), FactorTable!$A$2:$A$301,0), Skills!M10+1)</f>
        <v/>
      </c>
      <c r="F461">
        <f>IF(Skills!N10=TRUE,(Skills!L10/10)*(E461/1000),Skills!L10/10)+Skills!O10</f>
        <v/>
      </c>
      <c r="G461">
        <f>Skills!G10*IF(Skills!H10&gt;0,Skills!I10/Skills!H10,1)</f>
        <v/>
      </c>
      <c r="H461">
        <f>1-(1-Skills!J10/100)^Skills!K10</f>
        <v/>
      </c>
      <c r="I461" t="inlineStr">
        <is>
          <t>1</t>
        </is>
      </c>
      <c r="J461">
        <f>(Inputs!$B$5*(1+Inputs!$B$6/100))*(F461/100)</f>
        <v/>
      </c>
      <c r="K461">
        <f>J461*(1+((Inputs!$B$11*(1+Inputs!$B$12/100))*0.01+Inputs!$B$13*0.0025)/100)*(1+Inputs!$B$14/100)*(1+IF(Inputs!$B$4="pvp",0,(1-Summary!$B$55)*(Inputs!$B$19+0+Skills!P10)+Summary!$B$55*(Inputs!$B$20+Skills!Q10))/100)*(1+Inputs!$B$15/100)*(5000/(6000+Inputs!$B$7*(1-(Inputs!$B$18+0)/100)))*(1+(Inputs!$B$23+0+B484)/100)*(1+(IF(Skills!A10="BLAST",Inputs!$B$16+((C472=TRUE)*(F472-Calc!F21)),Inputs!$B$17+((C474=TRUE)*(F474-Calc!F23))))/100)*((1+(((C464=TRUE)*F464*MIN(1,Skills!T13*(Skills!J13/100)*B482))+((C469=TRUE)*F469*IF(AND(Inputs!$B$4&lt;&gt;"pvp",Inputs!$B$35&gt;0),(((S469-1)*(Skills!T18*(1+Inputs!$B$33/100))+MIN((Skills!T18*(1+Inputs!$B$33/100)),MAX(0,Inputs!$B$35-((S469-1)*Skills!D18))))/Inputs!$B$35),IF(Inputs!$B$4="pvp",MIN((Skills!T18*(1+Inputs!$B$33/100)),15)/15,(Skills!T18*(1+Inputs!$B$33/100))/Skills!D18)))+0)/100)*I461)</f>
        <v/>
      </c>
      <c r="L461">
        <f>K461*(MIN(Inputs!$B$21+((C473=TRUE)*(F473-Calc!F22)),Inputs!$B$22+((C475=TRUE)*(F475-Calc!F24)))/100+(Inputs!$B$22+((C475=TRUE)*(F475-Calc!F24)))/100)/2</f>
        <v/>
      </c>
      <c r="M461">
        <f>L461*(1+((Inputs!$B$9+1)+0+B483)/100)</f>
        <v/>
      </c>
      <c r="N461">
        <f>L461*(1-MIN((Inputs!$B$8+0+B478),100)/100)+M461*(MIN((Inputs!$B$8+0+B478),100)/100)</f>
        <v/>
      </c>
      <c r="O461">
        <f>IF(C461,H461*N461*IF(AND(Inputs!$B$4&lt;&gt;"pvp",Inputs!$B$35&gt;0),((Skills!G10*((R461-1)*IF(Skills!H10&gt;0,Skills!I10/Skills!H10,1)+IF(Skills!H10&gt;0,MIN(Skills!I10,MAX(0,Inputs!$B$35-((R461-1)*IF(Inputs!$B$4="pvp",15,MAX(0.1,Skills!D10-IF(Skills!E10=TRUE,Inputs!$B$31,0))))))/Skills!H10,1)))/Inputs!$B$35),G461*Q461)*IF(Inputs!$B$4="pvp",1,(1-Summary!$B$55)*(1)+Summary!$B$55*(MIN(Skills!R10,Inputs!$B$37))),0)</f>
        <v/>
      </c>
      <c r="P461">
        <f>IF(B486=0,0,O461/B486)</f>
        <v/>
      </c>
      <c r="Q461">
        <f>IFERROR(1/IF(Inputs!$B$4="pvp",15,MAX(0.1,Skills!D10-IF(Skills!E10=TRUE,Inputs!$B$31,0))),0)</f>
        <v/>
      </c>
      <c r="R461">
        <f>IF(AND(Inputs!$B$4&lt;&gt;"pvp",Inputs!$B$35&gt;0),(INT(Inputs!$B$35/IF(Inputs!$B$4="pvp",15,MAX(0.1,Skills!D10-IF(Skills!E10=TRUE,Inputs!$B$31,0))))+1),0)</f>
        <v/>
      </c>
      <c r="S461">
        <f>IFERROR(O461/N461,0)</f>
        <v/>
      </c>
    </row>
    <row r="462">
      <c r="A462">
        <f>Skills!A11</f>
        <v/>
      </c>
      <c r="B462">
        <f>Skills!B11</f>
        <v/>
      </c>
      <c r="C462">
        <f>Inputs!$B$3&gt;=63</f>
        <v/>
      </c>
      <c r="D462">
        <f>IF(Skills!C11=1,60+Inputs!$B$24+Inputs!$B$28,IF(Skills!C11=2,90+Inputs!$B$25+Inputs!$B$28,IF(Skills!C11=3,120+Inputs!$B$26+Inputs!$B$28,MAX(0,(Inputs!$B$3-100)*3)+Inputs!$B$27+Inputs!$B$28)))</f>
        <v/>
      </c>
      <c r="E462">
        <f>INDEX(FactorTable!$B$2:$Y$301, MATCH(ROUND(MIN(300,MAX(1,D462)),0), FactorTable!$A$2:$A$301,0), Skills!M11+1)</f>
        <v/>
      </c>
      <c r="F462">
        <f>IF(Skills!N11=TRUE,(Skills!L11/10)*(E462/1000),Skills!L11/10)+Skills!O11</f>
        <v/>
      </c>
      <c r="G462">
        <f>Skills!G11*IF(Skills!H11&gt;0,Skills!I11/Skills!H11,1)</f>
        <v/>
      </c>
      <c r="H462">
        <f>1-(1-Skills!J11/100)^Skills!K11</f>
        <v/>
      </c>
      <c r="I462" t="inlineStr">
        <is>
          <t>1</t>
        </is>
      </c>
      <c r="J462">
        <f>(Inputs!$B$5*(1+Inputs!$B$6/100))*(F462/100)</f>
        <v/>
      </c>
      <c r="K462">
        <f>J462*(1+((Inputs!$B$11*(1+Inputs!$B$12/100))*0.01+Inputs!$B$13*0.0025)/100)*(1+Inputs!$B$14/100)*(1+IF(Inputs!$B$4="pvp",0,(1-Summary!$B$55)*(Inputs!$B$19+0+Skills!P11)+Summary!$B$55*(Inputs!$B$20+Skills!Q11))/100)*(1+Inputs!$B$15/100)*(5000/(6000+Inputs!$B$7*(1-(Inputs!$B$18+0)/100)))*(1+(Inputs!$B$23+0+B484)/100)*(1+1.5*IF(C463=TRUE,F463,0)/100)*(1+(IF(Skills!A11="BLAST",Inputs!$B$16+((C472=TRUE)*(F472-Calc!F21)),Inputs!$B$17+((C474=TRUE)*(F474-Calc!F23))))/100)*((1+(((C464=TRUE)*F464*MIN(1,Skills!T13*(Skills!J13/100)*B482))+((C469=TRUE)*F469*IF(AND(Inputs!$B$4&lt;&gt;"pvp",Inputs!$B$35&gt;0),(((S469-1)*(Skills!T18*(1+Inputs!$B$33/100))+MIN((Skills!T18*(1+Inputs!$B$33/100)),MAX(0,Inputs!$B$35-((S469-1)*Skills!D18))))/Inputs!$B$35),IF(Inputs!$B$4="pvp",MIN((Skills!T18*(1+Inputs!$B$33/100)),15)/15,(Skills!T18*(1+Inputs!$B$33/100))/Skills!D18)))+0)/100)*I462)</f>
        <v/>
      </c>
      <c r="L462">
        <f>K462*(MIN(Inputs!$B$21+((C473=TRUE)*(F473-Calc!F22)),Inputs!$B$22+((C475=TRUE)*(F475-Calc!F24)))/100+(Inputs!$B$22+((C475=TRUE)*(F475-Calc!F24)))/100)/2</f>
        <v/>
      </c>
      <c r="M462">
        <f>L462*(1+((Inputs!$B$9+1)+0+B483)/100)</f>
        <v/>
      </c>
      <c r="N462">
        <f>L462*(1-MIN((Inputs!$B$8+0+B478),100)/100)+M462*(MIN((Inputs!$B$8+0+B478),100)/100)</f>
        <v/>
      </c>
      <c r="O462">
        <f>IF(C462,H462*N462*IF(AND(Inputs!$B$4&lt;&gt;"pvp",Inputs!$B$35&gt;0),((Skills!G11*((R462-1)*IF(Skills!H11&gt;0,Skills!I11/Skills!H11,1)+IF(Skills!H11&gt;0,MIN(Skills!I11,MAX(0,Inputs!$B$35-((R462-1)*IF(Inputs!$B$4="pvp",15,MAX(0.1,Skills!D11-IF(Skills!E11=TRUE,Inputs!$B$31,0))))))/Skills!H11,1)))/Inputs!$B$35),G462*Q462)*IF(Inputs!$B$4="pvp",1,(1-Summary!$B$55)*(1)+Summary!$B$55*(MIN(Skills!R11,Inputs!$B$37))),0)</f>
        <v/>
      </c>
      <c r="P462">
        <f>IF(B486=0,0,O462/B486)</f>
        <v/>
      </c>
      <c r="Q462">
        <f>IFERROR(1/IF(Inputs!$B$4="pvp",15,MAX(0.1,Skills!D11-IF(Skills!E11=TRUE,Inputs!$B$31,0))),0)</f>
        <v/>
      </c>
      <c r="R462">
        <f>IF(AND(Inputs!$B$4&lt;&gt;"pvp",Inputs!$B$35&gt;0),(INT(Inputs!$B$35/IF(Inputs!$B$4="pvp",15,MAX(0.1,Skills!D11-IF(Skills!E11=TRUE,Inputs!$B$31,0))))+1),0)</f>
        <v/>
      </c>
      <c r="S462">
        <f>IFERROR(O462/N462,0)</f>
        <v/>
      </c>
    </row>
    <row r="463">
      <c r="A463">
        <f>Skills!A12</f>
        <v/>
      </c>
      <c r="B463">
        <f>Skills!B12</f>
        <v/>
      </c>
      <c r="C463">
        <f>Inputs!$B$3&gt;=100</f>
        <v/>
      </c>
      <c r="D463">
        <f>IF(Skills!C12=1,60+Inputs!$B$24+Inputs!$B$28,IF(Skills!C12=2,90+Inputs!$B$25+Inputs!$B$28,IF(Skills!C12=3,120+Inputs!$B$26+Inputs!$B$28,MAX(0,(Inputs!$B$3-100)*3)+Inputs!$B$27+Inputs!$B$28)))</f>
        <v/>
      </c>
      <c r="E463">
        <f>INDEX(FactorTable!$B$2:$Y$301, MATCH(ROUND(MIN(300,MAX(1,D463)),0), FactorTable!$A$2:$A$301,0), Skills!M12+1)</f>
        <v/>
      </c>
      <c r="F463">
        <f>IF(Skills!N12=TRUE,(Skills!L12/10)*(E463/1000),Skills!L12/10)+Skills!O12</f>
        <v/>
      </c>
      <c r="G463" t="inlineStr"/>
      <c r="H463" t="inlineStr"/>
      <c r="I463" t="inlineStr">
        <is>
          <t>1</t>
        </is>
      </c>
      <c r="J463" t="inlineStr"/>
      <c r="K463" t="inlineStr"/>
      <c r="L463" t="inlineStr"/>
      <c r="M463" t="inlineStr"/>
      <c r="N463" t="inlineStr"/>
      <c r="O463" t="inlineStr"/>
      <c r="P463" t="inlineStr"/>
      <c r="Q463" t="inlineStr"/>
      <c r="R463" t="inlineStr"/>
      <c r="S463" t="inlineStr"/>
    </row>
    <row r="464">
      <c r="A464">
        <f>Skills!A13</f>
        <v/>
      </c>
      <c r="B464">
        <f>Skills!B13</f>
        <v/>
      </c>
      <c r="C464">
        <f>Inputs!$B$3&gt;=45</f>
        <v/>
      </c>
      <c r="D464">
        <f>IF(Skills!C13=1,60+Inputs!$B$24+Inputs!$B$28,IF(Skills!C13=2,90+Inputs!$B$25+Inputs!$B$28,IF(Skills!C13=3,120+Inputs!$B$26+Inputs!$B$28,MAX(0,(Inputs!$B$3-100)*3)+Inputs!$B$27+Inputs!$B$28)))</f>
        <v/>
      </c>
      <c r="E464">
        <f>INDEX(FactorTable!$B$2:$Y$301, MATCH(ROUND(MIN(300,MAX(1,D464)),0), FactorTable!$A$2:$A$301,0), Skills!M13+1)</f>
        <v/>
      </c>
      <c r="F464">
        <f>IF(Skills!N13=TRUE,(Skills!L13/10)*(E464/1000),Skills!L13/10)+Skills!O13</f>
        <v/>
      </c>
      <c r="G464">
        <f>Skills!G13*IF(Skills!H13&gt;0,Skills!I13/Skills!H13,1)</f>
        <v/>
      </c>
      <c r="H464">
        <f>1-(1-Skills!J13/100)^Skills!K13</f>
        <v/>
      </c>
      <c r="I464" t="inlineStr">
        <is>
          <t>1</t>
        </is>
      </c>
      <c r="J464" t="inlineStr"/>
      <c r="K464" t="inlineStr"/>
      <c r="L464" t="inlineStr"/>
      <c r="M464" t="inlineStr"/>
      <c r="N464" t="inlineStr"/>
      <c r="O464" t="n">
        <v>0</v>
      </c>
      <c r="P464">
        <f>IF(B486=0,0,O464/B486)</f>
        <v/>
      </c>
      <c r="Q464" t="n">
        <v>0</v>
      </c>
      <c r="R464" t="n">
        <v>0</v>
      </c>
      <c r="S464">
        <f>IFERROR(O464/N464,0)</f>
        <v/>
      </c>
    </row>
    <row r="465">
      <c r="A465">
        <f>Skills!A14</f>
        <v/>
      </c>
      <c r="B465">
        <f>Skills!B14</f>
        <v/>
      </c>
      <c r="C465">
        <f>Inputs!$B$3&gt;=110</f>
        <v/>
      </c>
      <c r="D465">
        <f>IF(Skills!C14=1,60+Inputs!$B$24+Inputs!$B$28,IF(Skills!C14=2,90+Inputs!$B$25+Inputs!$B$28,IF(Skills!C14=3,120+Inputs!$B$26+Inputs!$B$28,MAX(0,(Inputs!$B$3-100)*3)+Inputs!$B$27+Inputs!$B$28)))</f>
        <v/>
      </c>
      <c r="E465">
        <f>INDEX(FactorTable!$B$2:$Y$301, MATCH(ROUND(MIN(300,MAX(1,D465)),0), FactorTable!$A$2:$A$301,0), Skills!M14+1)</f>
        <v/>
      </c>
      <c r="F465">
        <f>IF(Skills!N14=TRUE,(Skills!L14/10)*(E465/1000),Skills!L14/10)+Skills!O14</f>
        <v/>
      </c>
      <c r="G465">
        <f>Skills!G14*IF(Skills!H14&gt;0,Skills!I14/Skills!H14,1)</f>
        <v/>
      </c>
      <c r="H465">
        <f>1-(1-Skills!J14/100)^Skills!K14</f>
        <v/>
      </c>
      <c r="I465" t="inlineStr">
        <is>
          <t>1</t>
        </is>
      </c>
      <c r="J465" t="inlineStr"/>
      <c r="K465" t="inlineStr"/>
      <c r="L465" t="inlineStr"/>
      <c r="M465" t="inlineStr"/>
      <c r="N465" t="inlineStr"/>
      <c r="O465" t="n">
        <v>0</v>
      </c>
      <c r="P465">
        <f>IF(B486=0,0,O465/B486)</f>
        <v/>
      </c>
      <c r="Q465" t="n">
        <v>0</v>
      </c>
      <c r="R465" t="n">
        <v>0</v>
      </c>
      <c r="S465">
        <f>IFERROR(O465/N465,0)</f>
        <v/>
      </c>
    </row>
    <row r="466">
      <c r="A466">
        <f>Skills!A15</f>
        <v/>
      </c>
      <c r="B466">
        <f>Skills!B15</f>
        <v/>
      </c>
      <c r="C466">
        <f>Inputs!$B$3&gt;=75</f>
        <v/>
      </c>
      <c r="D466">
        <f>IF(Skills!C15=1,60+Inputs!$B$24+Inputs!$B$28,IF(Skills!C15=2,90+Inputs!$B$25+Inputs!$B$28,IF(Skills!C15=3,120+Inputs!$B$26+Inputs!$B$28,MAX(0,(Inputs!$B$3-100)*3)+Inputs!$B$27+Inputs!$B$28)))</f>
        <v/>
      </c>
      <c r="E466">
        <f>INDEX(FactorTable!$B$2:$Y$301, MATCH(ROUND(MIN(300,MAX(1,D466)),0), FactorTable!$A$2:$A$301,0), Skills!M15+1)</f>
        <v/>
      </c>
      <c r="F466">
        <f>IF(Skills!N15=TRUE,(Skills!L15/10)*(E466/1000),Skills!L15/10)+Skills!O15</f>
        <v/>
      </c>
      <c r="G466">
        <f>Skills!G15*IF(Skills!H15&gt;0,Skills!I15/Skills!H15,1)</f>
        <v/>
      </c>
      <c r="H466">
        <f>1-(1-Skills!J15/100)^Skills!K15</f>
        <v/>
      </c>
      <c r="I466" t="inlineStr">
        <is>
          <t>1</t>
        </is>
      </c>
      <c r="J466" t="inlineStr"/>
      <c r="K466" t="inlineStr"/>
      <c r="L466" t="inlineStr"/>
      <c r="M466" t="inlineStr"/>
      <c r="N466" t="inlineStr"/>
      <c r="O466" t="n">
        <v>0</v>
      </c>
      <c r="P466">
        <f>IF(B486=0,0,O466/B486)</f>
        <v/>
      </c>
      <c r="Q466">
        <f>IFERROR(1/IF(Inputs!$B$4="pvp",15,MAX(0.1,Skills!D15-IF(Skills!E15=TRUE,Inputs!$B$31,0))),0)</f>
        <v/>
      </c>
      <c r="R466">
        <f>IF(AND(Inputs!$B$4&lt;&gt;"pvp",Inputs!$B$35&gt;0),(INT(Inputs!$B$35/IF(Inputs!$B$4="pvp",15,MAX(0.1,Skills!D15-IF(Skills!E15=TRUE,Inputs!$B$31,0))))+1),0)</f>
        <v/>
      </c>
      <c r="S466">
        <f>IFERROR(O466/N466,0)</f>
        <v/>
      </c>
    </row>
    <row r="467">
      <c r="A467">
        <f>Skills!A16</f>
        <v/>
      </c>
      <c r="B467">
        <f>Skills!B16</f>
        <v/>
      </c>
      <c r="C467">
        <f>Inputs!$B$3&gt;=105</f>
        <v/>
      </c>
      <c r="D467">
        <f>IF(Skills!C16=1,60+Inputs!$B$24+Inputs!$B$28,IF(Skills!C16=2,90+Inputs!$B$25+Inputs!$B$28,IF(Skills!C16=3,120+Inputs!$B$26+Inputs!$B$28,MAX(0,(Inputs!$B$3-100)*3)+Inputs!$B$27+Inputs!$B$28)))</f>
        <v/>
      </c>
      <c r="E467">
        <f>INDEX(FactorTable!$B$2:$Y$301, MATCH(ROUND(MIN(300,MAX(1,D467)),0), FactorTable!$A$2:$A$301,0), Skills!M16+1)</f>
        <v/>
      </c>
      <c r="F467">
        <f>IF(Skills!N16=TRUE,(Skills!L16/10)*(E467/1000),Skills!L16/10)+Skills!O16</f>
        <v/>
      </c>
      <c r="G467">
        <f>Skills!G16*IF(Skills!H16&gt;0,Skills!I16/Skills!H16,1)</f>
        <v/>
      </c>
      <c r="H467">
        <f>1-(1-Skills!J16/100)^Skills!K16</f>
        <v/>
      </c>
      <c r="I467" t="inlineStr">
        <is>
          <t>1</t>
        </is>
      </c>
      <c r="J467" t="inlineStr"/>
      <c r="K467" t="inlineStr"/>
      <c r="L467" t="inlineStr"/>
      <c r="M467" t="inlineStr"/>
      <c r="N467" t="inlineStr"/>
      <c r="O467" t="n">
        <v>0</v>
      </c>
      <c r="P467">
        <f>IF(B486=0,0,O467/B486)</f>
        <v/>
      </c>
      <c r="Q467">
        <f>IFERROR(1/IF(Inputs!$B$4="pvp",15,MAX(0.1,Skills!D16-IF(Skills!E16=TRUE,Inputs!$B$31,0))),0)</f>
        <v/>
      </c>
      <c r="R467">
        <f>IF(AND(Inputs!$B$4&lt;&gt;"pvp",Inputs!$B$35&gt;0),(INT(Inputs!$B$35/IF(Inputs!$B$4="pvp",15,MAX(0.1,Skills!D16-IF(Skills!E16=TRUE,Inputs!$B$31,0))))+1),0)</f>
        <v/>
      </c>
      <c r="S467">
        <f>IFERROR(O467/N467,0)</f>
        <v/>
      </c>
    </row>
    <row r="468">
      <c r="A468">
        <f>Skills!A17</f>
        <v/>
      </c>
      <c r="B468">
        <f>Skills!B17</f>
        <v/>
      </c>
      <c r="C468">
        <f>Inputs!$B$3&gt;=115</f>
        <v/>
      </c>
      <c r="D468">
        <f>IF(Skills!C17=1,60+Inputs!$B$24+Inputs!$B$28,IF(Skills!C17=2,90+Inputs!$B$25+Inputs!$B$28,IF(Skills!C17=3,120+Inputs!$B$26+Inputs!$B$28,MAX(0,(Inputs!$B$3-100)*3)+Inputs!$B$27+Inputs!$B$28)))</f>
        <v/>
      </c>
      <c r="E468">
        <f>INDEX(FactorTable!$B$2:$Y$301, MATCH(ROUND(MIN(300,MAX(1,D468)),0), FactorTable!$A$2:$A$301,0), Skills!M17+1)</f>
        <v/>
      </c>
      <c r="F468">
        <f>IF(Skills!N17=TRUE,(Skills!L17/10)*(E468/1000),Skills!L17/10)+Skills!O17</f>
        <v/>
      </c>
      <c r="G468">
        <f>Skills!G17*IF(Skills!H17&gt;0,Skills!I17/Skills!H17,1)</f>
        <v/>
      </c>
      <c r="H468">
        <f>1-(1-Skills!J17/100)^Skills!K17</f>
        <v/>
      </c>
      <c r="I468" t="inlineStr">
        <is>
          <t>1</t>
        </is>
      </c>
      <c r="J468" t="inlineStr"/>
      <c r="K468" t="inlineStr"/>
      <c r="L468" t="inlineStr"/>
      <c r="M468" t="inlineStr"/>
      <c r="N468" t="inlineStr"/>
      <c r="O468" t="n">
        <v>0</v>
      </c>
      <c r="P468">
        <f>IF(B486=0,0,O468/B486)</f>
        <v/>
      </c>
      <c r="Q468">
        <f>IFERROR(1/IF(Inputs!$B$4="pvp",15,MAX(0.1,Skills!D17-IF(Skills!E17=TRUE,Inputs!$B$31,0))),0)</f>
        <v/>
      </c>
      <c r="R468">
        <f>IF(AND(Inputs!$B$4&lt;&gt;"pvp",Inputs!$B$35&gt;0),(INT(Inputs!$B$35/IF(Inputs!$B$4="pvp",15,MAX(0.1,Skills!D17-IF(Skills!E17=TRUE,Inputs!$B$31,0))))+1),0)</f>
        <v/>
      </c>
      <c r="S468">
        <f>IFERROR(O468/N468,0)</f>
        <v/>
      </c>
    </row>
    <row r="469">
      <c r="A469">
        <f>Skills!A18</f>
        <v/>
      </c>
      <c r="B469">
        <f>Skills!B18</f>
        <v/>
      </c>
      <c r="C469">
        <f>Inputs!$B$3&gt;=74</f>
        <v/>
      </c>
      <c r="D469">
        <f>IF(Skills!C18=1,60+Inputs!$B$24+Inputs!$B$28,IF(Skills!C18=2,90+Inputs!$B$25+Inputs!$B$28,IF(Skills!C18=3,120+Inputs!$B$26+Inputs!$B$28,MAX(0,(Inputs!$B$3-100)*3)+Inputs!$B$27+Inputs!$B$28)))</f>
        <v/>
      </c>
      <c r="E469">
        <f>INDEX(FactorTable!$B$2:$Y$301, MATCH(ROUND(MIN(300,MAX(1,D469)),0), FactorTable!$A$2:$A$301,0), Skills!M18+1)</f>
        <v/>
      </c>
      <c r="F469">
        <f>IF(Skills!N18=TRUE,(Skills!L18/10)*(E469/1000),Skills!L18/10)+Skills!O18</f>
        <v/>
      </c>
      <c r="G469">
        <f>Skills!G18*IF(Skills!H18&gt;0,Skills!I18/Skills!H18,1)</f>
        <v/>
      </c>
      <c r="H469">
        <f>1-(1-Skills!J18/100)^Skills!K18</f>
        <v/>
      </c>
      <c r="I469" t="inlineStr">
        <is>
          <t>1</t>
        </is>
      </c>
      <c r="J469" t="inlineStr"/>
      <c r="K469" t="inlineStr"/>
      <c r="L469" t="inlineStr"/>
      <c r="M469" t="inlineStr"/>
      <c r="N469" t="inlineStr"/>
      <c r="O469" t="n">
        <v>0</v>
      </c>
      <c r="P469">
        <f>IF(B486=0,0,O469/B486)</f>
        <v/>
      </c>
      <c r="Q469">
        <f>IFERROR(1/IF(Inputs!$B$4="pvp",15,MAX(0.1,Skills!D18-IF(Skills!E18=TRUE,Inputs!$B$31,0))),0)</f>
        <v/>
      </c>
      <c r="R469">
        <f>IF(AND(Inputs!$B$4&lt;&gt;"pvp",Inputs!$B$35&gt;0),(INT(Inputs!$B$35/IF(Inputs!$B$4="pvp",15,MAX(0.1,Skills!D18-IF(Skills!E18=TRUE,Inputs!$B$31,0))))+1),0)</f>
        <v/>
      </c>
      <c r="S469">
        <f>IFERROR(O469/N469,0)</f>
        <v/>
      </c>
    </row>
    <row r="470">
      <c r="A470">
        <f>Skills!A19</f>
        <v/>
      </c>
      <c r="B470">
        <f>Skills!B19</f>
        <v/>
      </c>
      <c r="C470">
        <f>TRUE</f>
        <v/>
      </c>
      <c r="D470">
        <f>IF(Skills!C19=1,60+Inputs!$B$24+Inputs!$B$28,IF(Skills!C19=2,90+Inputs!$B$25+Inputs!$B$28,IF(Skills!C19=3,120+Inputs!$B$26+Inputs!$B$28,MAX(0,(Inputs!$B$3-100)*3)+Inputs!$B$27+Inputs!$B$28)))</f>
        <v/>
      </c>
      <c r="E470">
        <f>INDEX(FactorTable!$B$2:$Y$301, MATCH(ROUND(MIN(300,MAX(1,D470)),0), FactorTable!$A$2:$A$301,0), Skills!M19+1)</f>
        <v/>
      </c>
      <c r="F470">
        <f>IF(Skills!N19=TRUE,(Skills!L19/10)*(E470/1000),Skills!L19/10)+Skills!O19</f>
        <v/>
      </c>
      <c r="G470">
        <f>Skills!G19*IF(Skills!H19&gt;0,Skills!I19/Skills!H19,1)</f>
        <v/>
      </c>
      <c r="H470">
        <f>1-(1-Skills!J19/100)^Skills!K19</f>
        <v/>
      </c>
      <c r="I470" t="inlineStr">
        <is>
          <t>1</t>
        </is>
      </c>
      <c r="J470" t="inlineStr"/>
      <c r="K470" t="inlineStr"/>
      <c r="L470" t="inlineStr"/>
      <c r="M470" t="inlineStr"/>
      <c r="N470" t="inlineStr"/>
      <c r="O470" t="n">
        <v>0</v>
      </c>
      <c r="P470">
        <f>IF(B486=0,0,O470/B486)</f>
        <v/>
      </c>
      <c r="Q470">
        <f>IFERROR(1/IF(Inputs!$B$4="pvp",15,MAX(0.1,Skills!D19-IF(Skills!E19=TRUE,Inputs!$B$31,0))),0)</f>
        <v/>
      </c>
      <c r="R470">
        <f>IF(AND(Inputs!$B$4&lt;&gt;"pvp",Inputs!$B$35&gt;0),(INT(Inputs!$B$35/IF(Inputs!$B$4="pvp",15,MAX(0.1,Skills!D19-IF(Skills!E19=TRUE,Inputs!$B$31,0))))+1),0)</f>
        <v/>
      </c>
      <c r="S470">
        <f>IFERROR(O470/N470,0)</f>
        <v/>
      </c>
    </row>
    <row r="471">
      <c r="A471">
        <f>Skills!A20</f>
        <v/>
      </c>
      <c r="B471">
        <f>Skills!B20</f>
        <v/>
      </c>
      <c r="C471">
        <f>Inputs!$B$3&gt;=33</f>
        <v/>
      </c>
      <c r="D471">
        <f>IF(Skills!C20=1,60+Inputs!$B$24+Inputs!$B$28,IF(Skills!C20=2,90+Inputs!$B$25+Inputs!$B$28,IF(Skills!C20=3,120+Inputs!$B$26+Inputs!$B$28,MAX(0,(Inputs!$B$3-100)*3)+Inputs!$B$27+Inputs!$B$28)))</f>
        <v/>
      </c>
      <c r="E471">
        <f>INDEX(FactorTable!$B$2:$Y$301, MATCH(ROUND(MIN(300,MAX(1,D471)),0), FactorTable!$A$2:$A$301,0), Skills!M20+1)</f>
        <v/>
      </c>
      <c r="F471">
        <f>IF(Skills!N20=TRUE,(Skills!L20/10)*(E471/1000),Skills!L20/10)+Skills!O20</f>
        <v/>
      </c>
      <c r="G471">
        <f>Skills!G20*IF(Skills!H20&gt;0,Skills!I20/Skills!H20,1)</f>
        <v/>
      </c>
      <c r="H471">
        <f>1-(1-Skills!J20/100)^Skills!K20</f>
        <v/>
      </c>
      <c r="I471" t="inlineStr">
        <is>
          <t>1</t>
        </is>
      </c>
      <c r="J471" t="inlineStr"/>
      <c r="K471" t="inlineStr"/>
      <c r="L471" t="inlineStr"/>
      <c r="M471" t="inlineStr"/>
      <c r="N471" t="inlineStr"/>
      <c r="O471" t="n">
        <v>0</v>
      </c>
      <c r="P471">
        <f>IF(B486=0,0,O471/B486)</f>
        <v/>
      </c>
      <c r="Q471" t="n">
        <v>0</v>
      </c>
      <c r="R471" t="n">
        <v>0</v>
      </c>
      <c r="S471">
        <f>IFERROR(O471/N471,0)</f>
        <v/>
      </c>
    </row>
    <row r="472">
      <c r="A472">
        <f>Skills!A21</f>
        <v/>
      </c>
      <c r="B472">
        <f>Skills!B21</f>
        <v/>
      </c>
      <c r="C472">
        <f>Inputs!$B$3&gt;=38</f>
        <v/>
      </c>
      <c r="D472">
        <f>IF(Skills!C21=1,60+Inputs!$B$24+Inputs!$B$28,IF(Skills!C21=2,90+Inputs!$B$25+Inputs!$B$28,IF(Skills!C21=3,120+Inputs!$B$26+Inputs!$B$28,MAX(0,(Inputs!$B$3-100)*3)+Inputs!$B$27+Inputs!$B$28)))</f>
        <v/>
      </c>
      <c r="E472">
        <f>INDEX(FactorTable!$B$2:$Y$301, MATCH(ROUND(MIN(300,MAX(1,D472)),0), FactorTable!$A$2:$A$301,0), Skills!M21+1)</f>
        <v/>
      </c>
      <c r="F472">
        <f>IF(Skills!N21=TRUE,(Skills!L21/10)*(E472/1000),Skills!L21/10)+Skills!O21</f>
        <v/>
      </c>
      <c r="G472">
        <f>Skills!G21*IF(Skills!H21&gt;0,Skills!I21/Skills!H21,1)</f>
        <v/>
      </c>
      <c r="H472">
        <f>1-(1-Skills!J21/100)^Skills!K21</f>
        <v/>
      </c>
      <c r="I472" t="inlineStr">
        <is>
          <t>1</t>
        </is>
      </c>
      <c r="J472" t="inlineStr"/>
      <c r="K472" t="inlineStr"/>
      <c r="L472" t="inlineStr"/>
      <c r="M472" t="inlineStr"/>
      <c r="N472" t="inlineStr"/>
      <c r="O472" t="n">
        <v>0</v>
      </c>
      <c r="P472">
        <f>IF(B486=0,0,O472/B486)</f>
        <v/>
      </c>
      <c r="Q472" t="n">
        <v>0</v>
      </c>
      <c r="R472" t="n">
        <v>0</v>
      </c>
      <c r="S472">
        <f>IFERROR(O472/N472,0)</f>
        <v/>
      </c>
    </row>
    <row r="473">
      <c r="A473">
        <f>Skills!A22</f>
        <v/>
      </c>
      <c r="B473">
        <f>Skills!B22</f>
        <v/>
      </c>
      <c r="C473">
        <f>Inputs!$B$3&gt;=43</f>
        <v/>
      </c>
      <c r="D473">
        <f>IF(Skills!C22=1,60+Inputs!$B$24+Inputs!$B$28,IF(Skills!C22=2,90+Inputs!$B$25+Inputs!$B$28,IF(Skills!C22=3,120+Inputs!$B$26+Inputs!$B$28,MAX(0,(Inputs!$B$3-100)*3)+Inputs!$B$27+Inputs!$B$28)))</f>
        <v/>
      </c>
      <c r="E473">
        <f>INDEX(FactorTable!$B$2:$Y$301, MATCH(ROUND(MIN(300,MAX(1,D473)),0), FactorTable!$A$2:$A$301,0), Skills!M22+1)</f>
        <v/>
      </c>
      <c r="F473">
        <f>IF(Skills!N22=TRUE,(Skills!L22/10)*(E473/1000),Skills!L22/10)+Skills!O22</f>
        <v/>
      </c>
      <c r="G473">
        <f>Skills!G22*IF(Skills!H22&gt;0,Skills!I22/Skills!H22,1)</f>
        <v/>
      </c>
      <c r="H473">
        <f>1-(1-Skills!J22/100)^Skills!K22</f>
        <v/>
      </c>
      <c r="I473" t="inlineStr">
        <is>
          <t>1</t>
        </is>
      </c>
      <c r="J473" t="inlineStr"/>
      <c r="K473" t="inlineStr"/>
      <c r="L473" t="inlineStr"/>
      <c r="M473" t="inlineStr"/>
      <c r="N473" t="inlineStr"/>
      <c r="O473" t="n">
        <v>0</v>
      </c>
      <c r="P473">
        <f>IF(B486=0,0,O473/B486)</f>
        <v/>
      </c>
      <c r="Q473" t="n">
        <v>0</v>
      </c>
      <c r="R473" t="n">
        <v>0</v>
      </c>
      <c r="S473">
        <f>IFERROR(O473/N473,0)</f>
        <v/>
      </c>
    </row>
    <row r="474">
      <c r="A474">
        <f>Skills!A23</f>
        <v/>
      </c>
      <c r="B474">
        <f>Skills!B23</f>
        <v/>
      </c>
      <c r="C474">
        <f>Inputs!$B$3&gt;=120</f>
        <v/>
      </c>
      <c r="D474">
        <f>IF(Skills!C23=1,60+Inputs!$B$24+Inputs!$B$28,IF(Skills!C23=2,90+Inputs!$B$25+Inputs!$B$28,IF(Skills!C23=3,120+Inputs!$B$26+Inputs!$B$28,MAX(0,(Inputs!$B$3-100)*3)+Inputs!$B$27+Inputs!$B$28)))</f>
        <v/>
      </c>
      <c r="E474">
        <f>INDEX(FactorTable!$B$2:$Y$301, MATCH(ROUND(MIN(300,MAX(1,D474)),0), FactorTable!$A$2:$A$301,0), Skills!M23+1)</f>
        <v/>
      </c>
      <c r="F474">
        <f>IF(Skills!N23=TRUE,(Skills!L23/10)*(E474/1000),Skills!L23/10)+Skills!O23</f>
        <v/>
      </c>
      <c r="G474">
        <f>Skills!G23*IF(Skills!H23&gt;0,Skills!I23/Skills!H23,1)</f>
        <v/>
      </c>
      <c r="H474">
        <f>1-(1-Skills!J23/100)^Skills!K23</f>
        <v/>
      </c>
      <c r="I474" t="inlineStr">
        <is>
          <t>1</t>
        </is>
      </c>
      <c r="J474" t="inlineStr"/>
      <c r="K474" t="inlineStr"/>
      <c r="L474" t="inlineStr"/>
      <c r="M474" t="inlineStr"/>
      <c r="N474" t="inlineStr"/>
      <c r="O474" t="n">
        <v>0</v>
      </c>
      <c r="P474">
        <f>IF(B486=0,0,O474/B486)</f>
        <v/>
      </c>
      <c r="Q474" t="n">
        <v>0</v>
      </c>
      <c r="R474" t="n">
        <v>0</v>
      </c>
      <c r="S474">
        <f>IFERROR(O474/N474,0)</f>
        <v/>
      </c>
    </row>
    <row r="475">
      <c r="A475">
        <f>Skills!A24</f>
        <v/>
      </c>
      <c r="B475">
        <f>Skills!B24</f>
        <v/>
      </c>
      <c r="C475">
        <f>Inputs!$B$3&gt;=120</f>
        <v/>
      </c>
      <c r="D475">
        <f>IF(Skills!C24=1,60+Inputs!$B$24+Inputs!$B$28,IF(Skills!C24=2,90+Inputs!$B$25+Inputs!$B$28,IF(Skills!C24=3,120+Inputs!$B$26+Inputs!$B$28,MAX(0,(Inputs!$B$3-100)*3)+Inputs!$B$27+Inputs!$B$28)))</f>
        <v/>
      </c>
      <c r="E475">
        <f>INDEX(FactorTable!$B$2:$Y$301, MATCH(ROUND(MIN(300,MAX(1,D475)),0), FactorTable!$A$2:$A$301,0), Skills!M24+1)</f>
        <v/>
      </c>
      <c r="F475">
        <f>IF(Skills!N24=TRUE,(Skills!L24/10)*(E475/1000),Skills!L24/10)+Skills!O24</f>
        <v/>
      </c>
      <c r="G475">
        <f>Skills!G24*IF(Skills!H24&gt;0,Skills!I24/Skills!H24,1)</f>
        <v/>
      </c>
      <c r="H475">
        <f>1-(1-Skills!J24/100)^Skills!K24</f>
        <v/>
      </c>
      <c r="I475" t="inlineStr">
        <is>
          <t>1</t>
        </is>
      </c>
      <c r="J475" t="inlineStr"/>
      <c r="K475" t="inlineStr"/>
      <c r="L475" t="inlineStr"/>
      <c r="M475" t="inlineStr"/>
      <c r="N475" t="inlineStr"/>
      <c r="O475" t="n">
        <v>0</v>
      </c>
      <c r="P475">
        <f>IF(B486=0,0,O475/B486)</f>
        <v/>
      </c>
      <c r="Q475" t="n">
        <v>0</v>
      </c>
      <c r="R475" t="n">
        <v>0</v>
      </c>
      <c r="S475">
        <f>IFERROR(O475/N475,0)</f>
        <v/>
      </c>
    </row>
    <row r="477">
      <c r="A477" t="inlineStr">
        <is>
          <t>Attack% Bucket Multiplier</t>
        </is>
      </c>
      <c r="B477">
        <f>(1+(((C464=TRUE)*F464*MIN(1,Skills!T13*(Skills!J13/100)*B482))+((C469=TRUE)*F469*IF(AND(Inputs!$B$4&lt;&gt;"pvp",Inputs!$B$35&gt;0),(((S469-1)*(Skills!T18*(1+Inputs!$B$33/100))+MIN((Skills!T18*(1+Inputs!$B$33/100)),MAX(0,Inputs!$B$35-((S469-1)*Skills!D18))))/Inputs!$B$35),IF(Inputs!$B$4="pvp",MIN((Skills!T18*(1+Inputs!$B$33/100)),15)/15,(Skills!T18*(1+Inputs!$B$33/100))/Skills!D18)))+0)/100)</f>
        <v/>
      </c>
    </row>
    <row r="478">
      <c r="A478" t="inlineStr">
        <is>
          <t>Global Crit Rate Bonus %</t>
        </is>
      </c>
      <c r="B478" t="n">
        <v>0</v>
      </c>
    </row>
    <row r="479">
      <c r="A479" t="inlineStr">
        <is>
          <t>Attack Speed Buff Bonus %</t>
        </is>
      </c>
      <c r="B479">
        <f>((C470=TRUE)*F470*IF(AND(Inputs!$B$4&lt;&gt;"pvp",Inputs!$B$35&gt;0),(((S470-1)*(Skills!T19*(1+Inputs!$B$33/100))+MIN((Skills!T19*(1+Inputs!$B$33/100)),MAX(0,Inputs!$B$35-((S470-1)*Skills!D19))))/Inputs!$B$35),IF(Inputs!$B$4="pvp",MIN((Skills!T19*(1+Inputs!$B$33/100)),15)/15,(Skills!T19*(1+Inputs!$B$33/100))/Skills!D19)))</f>
        <v/>
      </c>
    </row>
    <row r="480">
      <c r="A480" t="inlineStr">
        <is>
          <t>Actions Per Second</t>
        </is>
      </c>
      <c r="B480">
        <f>1+MIN(150,150*(1-(1-(Inputs!$B$10+((C471=TRUE)*(F471-Calc!F20)))/150)*(1-B479/150)))/100</f>
        <v/>
      </c>
    </row>
    <row r="481">
      <c r="A481" t="inlineStr">
        <is>
          <t>Skill + Buff Cast Rate</t>
        </is>
      </c>
      <c r="B481">
        <f>IF(AND(Inputs!$B$4&lt;&gt;"pvp",Inputs!$B$35&gt;0),SUMPRODUCT((Skills!E2:E24=TRUE)*(C453:C475=TRUE)*R453:R475*Skills!F2:F24)/Inputs!$B$35,SUMPRODUCT((Skills!E2:E24=TRUE)*(C453:C475=TRUE)*Q453:Q475*Skills!F2:F24))</f>
        <v/>
      </c>
    </row>
    <row r="482">
      <c r="A482" t="inlineStr">
        <is>
          <t>Blast Casts Per Second</t>
        </is>
      </c>
      <c r="B482">
        <f>MAX(0,B480-B481)</f>
        <v/>
      </c>
    </row>
    <row r="483">
      <c r="A483" t="inlineStr">
        <is>
          <t>Global Critical Damage Bonus % (unused)</t>
        </is>
      </c>
      <c r="B483" t="n">
        <v>0</v>
      </c>
    </row>
    <row r="484">
      <c r="A484" t="inlineStr">
        <is>
          <t>Global Final Damage Bonus % (Divine Shield + Guardian + Divine Blessing + Greater Vessel of Light)</t>
        </is>
      </c>
      <c r="B484">
        <f>((C466=TRUE)*F466*IF(AND(Inputs!$B$4&lt;&gt;"pvp",Inputs!$B$35&gt;0),(((S466-1)*(Skills!T15*(1+Inputs!$B$33/100))+MIN((Skills!T15*(1+Inputs!$B$33/100)),MAX(0,Inputs!$B$35-((S466-1)*Skills!D15))))/Inputs!$B$35),IF(Inputs!$B$4="pvp",MIN((Skills!T15*(1+Inputs!$B$33/100)),15)/15,(Skills!T15*(1+Inputs!$B$33/100))/Skills!D15)))+((C467=TRUE)*F467*IF(AND(Inputs!$B$4&lt;&gt;"pvp",Inputs!$B$35&gt;0),(((S467-1)*(Skills!T16*(1+Inputs!$B$33/100))+MIN((Skills!T16*(1+Inputs!$B$33/100)),MAX(0,Inputs!$B$35-((S467-1)*Skills!D16))))/Inputs!$B$35),IF(Inputs!$B$4="pvp",MIN((Skills!T16*(1+Inputs!$B$33/100)),15)/15,(Skills!T16*(1+Inputs!$B$33/100))/Skills!D16)))+((C468=TRUE)*F468*IF(AND(Inputs!$B$4&lt;&gt;"pvp",Inputs!$B$35&gt;0),(((S468-1)*(Skills!T17*(1+Inputs!$B$33/100))+MIN((Skills!T17*(1+Inputs!$B$33/100)),MAX(0,Inputs!$B$35-((S468-1)*Skills!D17))))/Inputs!$B$35),IF(Inputs!$B$4="pvp",MIN((Skills!T17*(1+Inputs!$B$33/100)),15)/15,(Skills!T17*(1+Inputs!$B$33/100))/Skills!D17)))+((C465=TRUE)*F465*MIN(1,Skills!T13*(Skills!J13/100)*B482))</f>
        <v/>
      </c>
    </row>
    <row r="486">
      <c r="A486" s="5" t="inlineStr">
        <is>
          <t>TOTAL DPS</t>
        </is>
      </c>
      <c r="B486" s="5">
        <f>SUM(O453:O475)</f>
        <v/>
      </c>
    </row>
    <row r="489">
      <c r="A489" s="5" t="inlineStr">
        <is>
          <t>Stat: ATTACK_SPEED % (diminishing returns, factor 150)</t>
        </is>
      </c>
    </row>
    <row r="490">
      <c r="A490" s="8" t="inlineStr">
        <is>
          <t>Key</t>
        </is>
      </c>
      <c r="B490" s="8" t="inlineStr">
        <is>
          <t>Name</t>
        </is>
      </c>
      <c r="C490" s="8" t="inlineStr">
        <is>
          <t>Unlocked</t>
        </is>
      </c>
      <c r="D490" s="8" t="inlineStr">
        <is>
          <t>InputLevel</t>
        </is>
      </c>
      <c r="E490" s="8" t="inlineStr">
        <is>
          <t>Factor</t>
        </is>
      </c>
      <c r="F490" s="8" t="inlineStr">
        <is>
          <t>CoefficientPercent</t>
        </is>
      </c>
      <c r="G490" s="8" t="inlineStr">
        <is>
          <t>EffectiveHits</t>
        </is>
      </c>
      <c r="H490" s="8" t="inlineStr">
        <is>
          <t>ProcProbability</t>
        </is>
      </c>
      <c r="I490" s="8" t="inlineStr">
        <is>
          <t>MapleHeroMultiplier</t>
        </is>
      </c>
      <c r="J490" s="8" t="inlineStr">
        <is>
          <t>BaseDamage</t>
        </is>
      </c>
      <c r="K490" s="8" t="inlineStr">
        <is>
          <t>BaseHitDamage</t>
        </is>
      </c>
      <c r="L490" s="8" t="inlineStr">
        <is>
          <t>NonCritAvg</t>
        </is>
      </c>
      <c r="M490" s="8" t="inlineStr">
        <is>
          <t>CritAvg</t>
        </is>
      </c>
      <c r="N490" s="8" t="inlineStr">
        <is>
          <t>ExpectedDamage(perHit)</t>
        </is>
      </c>
      <c r="O490" s="8" t="inlineStr">
        <is>
          <t>DPS</t>
        </is>
      </c>
      <c r="P490" s="8" t="inlineStr">
        <is>
          <t>% of Total</t>
        </is>
      </c>
      <c r="Q490" s="8" t="inlineStr">
        <is>
          <t>InvCooldown</t>
        </is>
      </c>
      <c r="R490" s="8" t="inlineStr">
        <is>
          <t>CastsInFight</t>
        </is>
      </c>
      <c r="S490" s="8" t="inlineStr">
        <is>
          <t>HitRate(perSec)</t>
        </is>
      </c>
      <c r="U490" t="inlineStr">
        <is>
          <t>helpers</t>
        </is>
      </c>
    </row>
    <row r="491">
      <c r="A491">
        <f>Skills!A2</f>
        <v/>
      </c>
      <c r="B491">
        <f>Skills!B2</f>
        <v/>
      </c>
      <c r="C491">
        <f>Inputs!$B$3&gt;=100</f>
        <v/>
      </c>
      <c r="D491" t="inlineStr"/>
      <c r="E491" t="inlineStr"/>
      <c r="F491">
        <f>U493+Skills!O2</f>
        <v/>
      </c>
      <c r="G491">
        <f>Skills!G2*IF(Skills!H2&gt;0,Skills!I2/Skills!H2,1)</f>
        <v/>
      </c>
      <c r="H491">
        <f>1-(1-Skills!J2/100)^Skills!K2</f>
        <v/>
      </c>
      <c r="I491" t="inlineStr">
        <is>
          <t>1</t>
        </is>
      </c>
      <c r="J491">
        <f>(Inputs!$B$5*(1+Inputs!$B$6/100))*(F491/100)</f>
        <v/>
      </c>
      <c r="K491">
        <f>J491*(1+((Inputs!$B$11*(1+Inputs!$B$12/100))*0.01+Inputs!$B$13*0.0025)/100)*(1+Inputs!$B$14/100)*(1+IF(Inputs!$B$4="pvp",0,(1-Summary!$B$55)*(Inputs!$B$19+0+Skills!P2)+Summary!$B$55*(Inputs!$B$20+Skills!Q2))/100)*(1+Inputs!$B$15/100)*(5000/(6000+Inputs!$B$7*(1-(Inputs!$B$18+0)/100)))*(1+(Inputs!$B$23+0+B522)/100)*(1+(IF(Skills!A2="BLAST",Inputs!$B$16+((C510=TRUE)*(F510-Calc!F21)),Inputs!$B$17+((C512=TRUE)*(F512-Calc!F23))))/100)*((1+(((C502=TRUE)*F502*MIN(1,Skills!T13*(Skills!J13/100)*B520))+((C507=TRUE)*F507*IF(AND(Inputs!$B$4&lt;&gt;"pvp",Inputs!$B$35&gt;0),(((S507-1)*(Skills!T18*(1+Inputs!$B$33/100))+MIN((Skills!T18*(1+Inputs!$B$33/100)),MAX(0,Inputs!$B$35-((S507-1)*Skills!D18))))/Inputs!$B$35),IF(Inputs!$B$4="pvp",MIN((Skills!T18*(1+Inputs!$B$33/100)),15)/15,(Skills!T18*(1+Inputs!$B$33/100))/Skills!D18)))+0)/100)*I491)</f>
        <v/>
      </c>
      <c r="L491">
        <f>K491*(MIN(Inputs!$B$21+((C511=TRUE)*(F511-Calc!F22)),Inputs!$B$22+((C513=TRUE)*(F513-Calc!F24)))/100+(Inputs!$B$22+((C513=TRUE)*(F513-Calc!F24)))/100)/2</f>
        <v/>
      </c>
      <c r="M491">
        <f>L491*(1+(Inputs!$B$9+0+B521)/100)</f>
        <v/>
      </c>
      <c r="N491">
        <f>L491*(1-MIN((Inputs!$B$8+0+B516),100)/100)+M491*(MIN((Inputs!$B$8+0+B516),100)/100)</f>
        <v/>
      </c>
      <c r="O491">
        <f>IF(C491,Skills!G2*N491*B520*IF(Inputs!$B$4="pvp",1,(1-Summary!$B$55)*(1)+Summary!$B$55*(MIN((6+Inputs!$B$32),Inputs!$B$37))),0)</f>
        <v/>
      </c>
      <c r="P491">
        <f>IF(B524=0,0,O491/B524)</f>
        <v/>
      </c>
      <c r="Q491" t="n">
        <v>0</v>
      </c>
      <c r="R491" t="n">
        <v>0</v>
      </c>
      <c r="S491">
        <f>IFERROR(O491/N491,0)</f>
        <v/>
      </c>
      <c r="U491">
        <f>MAX(0,(Inputs!$B$3-100)*3)+Inputs!$B$27+Inputs!$B$28</f>
        <v/>
      </c>
    </row>
    <row r="492">
      <c r="A492">
        <f>Skills!A3</f>
        <v/>
      </c>
      <c r="B492">
        <f>Skills!B3</f>
        <v/>
      </c>
      <c r="C492">
        <f>Inputs!$B$3&gt;=50</f>
        <v/>
      </c>
      <c r="D492">
        <f>IF(Skills!C3=1,60+Inputs!$B$24+Inputs!$B$28,IF(Skills!C3=2,90+Inputs!$B$25+Inputs!$B$28,IF(Skills!C3=3,120+Inputs!$B$26+Inputs!$B$28,MAX(0,(Inputs!$B$3-100)*3)+Inputs!$B$27+Inputs!$B$28)))</f>
        <v/>
      </c>
      <c r="E492">
        <f>INDEX(FactorTable!$B$2:$Y$301, MATCH(ROUND(MIN(300,MAX(1,D492)),0), FactorTable!$A$2:$A$301,0), Skills!M3+1)</f>
        <v/>
      </c>
      <c r="F492">
        <f>IF(Skills!N3=TRUE,(Skills!L3/10)*(E492/1000),Skills!L3/10)+Skills!O3</f>
        <v/>
      </c>
      <c r="G492" t="inlineStr"/>
      <c r="H492" t="inlineStr"/>
      <c r="I492" t="inlineStr">
        <is>
          <t>1</t>
        </is>
      </c>
      <c r="J492" t="inlineStr"/>
      <c r="K492" t="inlineStr"/>
      <c r="L492" t="inlineStr"/>
      <c r="M492" t="inlineStr"/>
      <c r="N492" t="inlineStr"/>
      <c r="O492" t="inlineStr"/>
      <c r="P492" t="inlineStr"/>
      <c r="Q492" t="inlineStr"/>
      <c r="R492" t="inlineStr"/>
      <c r="S492" t="inlineStr"/>
      <c r="U492">
        <f>INDEX(FactorTable!$B$2:$Y$301, MATCH(ROUND(MIN(300,MAX(1,U491)),0), FactorTable!$A$2:$A$301,0), 22)</f>
        <v/>
      </c>
    </row>
    <row r="493">
      <c r="A493">
        <f>Skills!A4</f>
        <v/>
      </c>
      <c r="B493">
        <f>Skills!B4</f>
        <v/>
      </c>
      <c r="C493">
        <f>Inputs!$B$3&gt;=35</f>
        <v/>
      </c>
      <c r="D493">
        <f>IF(Skills!C4=1,60+Inputs!$B$24+Inputs!$B$28,IF(Skills!C4=2,90+Inputs!$B$25+Inputs!$B$28,IF(Skills!C4=3,120+Inputs!$B$26+Inputs!$B$28,MAX(0,(Inputs!$B$3-100)*3)+Inputs!$B$27+Inputs!$B$28)))</f>
        <v/>
      </c>
      <c r="E493">
        <f>INDEX(FactorTable!$B$2:$Y$301, MATCH(ROUND(MIN(300,MAX(1,D493)),0), FactorTable!$A$2:$A$301,0), Skills!M4+1)</f>
        <v/>
      </c>
      <c r="F493">
        <f>IF(Skills!N4=TRUE,(Skills!L4/10)*(E493/1000),Skills!L4/10)+Skills!O4</f>
        <v/>
      </c>
      <c r="G493">
        <f>Skills!G4*IF(Skills!H4&gt;0,Skills!I4/Skills!H4,1)</f>
        <v/>
      </c>
      <c r="H493">
        <f>1-(1-Skills!J4/100)^Skills!K4</f>
        <v/>
      </c>
      <c r="I493" t="inlineStr">
        <is>
          <t>1</t>
        </is>
      </c>
      <c r="J493">
        <f>(Inputs!$B$5*(1+Inputs!$B$6/100))*(F493/100)</f>
        <v/>
      </c>
      <c r="K493">
        <f>J493*(1+((Inputs!$B$11*(1+Inputs!$B$12/100))*0.01+Inputs!$B$13*0.0025)/100)*(1+Inputs!$B$14/100)*(1+IF(Inputs!$B$4="pvp",0,(1-Summary!$B$55)*(Inputs!$B$19+0+Skills!P4)+Summary!$B$55*(Inputs!$B$20+Skills!Q4))/100)*(1+Inputs!$B$15/100)*(5000/(6000+Inputs!$B$7*(1-(Inputs!$B$18+0)/100)))*(1+(Inputs!$B$23+0+B522)/100)*(1+4.0*IF(C501=TRUE,F501,0)/100)*(1+(IF(Skills!A4="BLAST",Inputs!$B$16+((C510=TRUE)*(F510-Calc!F21)),Inputs!$B$17+((C512=TRUE)*(F512-Calc!F23))))/100)*((1+(((C502=TRUE)*F502*MIN(1,Skills!T13*(Skills!J13/100)*B520))+((C507=TRUE)*F507*IF(AND(Inputs!$B$4&lt;&gt;"pvp",Inputs!$B$35&gt;0),(((S507-1)*(Skills!T18*(1+Inputs!$B$33/100))+MIN((Skills!T18*(1+Inputs!$B$33/100)),MAX(0,Inputs!$B$35-((S507-1)*Skills!D18))))/Inputs!$B$35),IF(Inputs!$B$4="pvp",MIN((Skills!T18*(1+Inputs!$B$33/100)),15)/15,(Skills!T18*(1+Inputs!$B$33/100))/Skills!D18)))+0)/100)*I493)</f>
        <v/>
      </c>
      <c r="L493">
        <f>K493*(MIN(Inputs!$B$21+((C511=TRUE)*(F511-Calc!F22)),Inputs!$B$22+((C513=TRUE)*(F513-Calc!F24)))/100+(Inputs!$B$22+((C513=TRUE)*(F513-Calc!F24)))/100)/2</f>
        <v/>
      </c>
      <c r="M493">
        <f>L493*(1+(Inputs!$B$9+0+B521)/100)</f>
        <v/>
      </c>
      <c r="N493">
        <f>L493*(1-MIN((Inputs!$B$8+0+B516),100)/100)+M493*(MIN((Inputs!$B$8+0+B516),100)/100)</f>
        <v/>
      </c>
      <c r="O493">
        <f>IF(C493,H493*N493*IF(AND(Inputs!$B$4&lt;&gt;"pvp",Inputs!$B$35&gt;0),((Skills!G4*((R493-1)*IF(Skills!H4&gt;0,Skills!I4/Skills!H4,1)+IF(Skills!H4&gt;0,MIN(Skills!I4,MAX(0,Inputs!$B$35-((R493-1)*IF(Inputs!$B$4="pvp",15,MAX(0.1,Skills!D4-IF(Skills!E4=TRUE,Inputs!$B$31,0))))))/Skills!H4,1)))/Inputs!$B$35),G493*Q493)*IF(Inputs!$B$4="pvp",1,(1-Summary!$B$55)*(1)+Summary!$B$55*(MIN(Skills!R4,Inputs!$B$37))),0)</f>
        <v/>
      </c>
      <c r="P493">
        <f>IF(B524=0,0,O493/B524)</f>
        <v/>
      </c>
      <c r="Q493">
        <f>IFERROR(1/IF(Inputs!$B$4="pvp",15,MAX(0.1,Skills!D4-IF(Skills!E4=TRUE,Inputs!$B$31,0))),0)</f>
        <v/>
      </c>
      <c r="R493">
        <f>IF(AND(Inputs!$B$4&lt;&gt;"pvp",Inputs!$B$35&gt;0),(INT(Inputs!$B$35/IF(Inputs!$B$4="pvp",15,MAX(0.1,Skills!D4-IF(Skills!E4=TRUE,Inputs!$B$31,0))))+1),0)</f>
        <v/>
      </c>
      <c r="S493">
        <f>IFERROR(O493/N493,0)</f>
        <v/>
      </c>
      <c r="U493">
        <f>290*U492/1000</f>
        <v/>
      </c>
    </row>
    <row r="494">
      <c r="A494">
        <f>Skills!A5</f>
        <v/>
      </c>
      <c r="B494">
        <f>Skills!B5</f>
        <v/>
      </c>
      <c r="C494">
        <f>Inputs!$B$3&gt;=66</f>
        <v/>
      </c>
      <c r="D494">
        <f>IF(Skills!C5=1,60+Inputs!$B$24+Inputs!$B$28,IF(Skills!C5=2,90+Inputs!$B$25+Inputs!$B$28,IF(Skills!C5=3,120+Inputs!$B$26+Inputs!$B$28,MAX(0,(Inputs!$B$3-100)*3)+Inputs!$B$27+Inputs!$B$28)))</f>
        <v/>
      </c>
      <c r="E494">
        <f>INDEX(FactorTable!$B$2:$Y$301, MATCH(ROUND(MIN(300,MAX(1,D494)),0), FactorTable!$A$2:$A$301,0), Skills!M5+1)</f>
        <v/>
      </c>
      <c r="F494">
        <f>IF(Skills!N5=TRUE,(Skills!L5/10)*(E494/1000),Skills!L5/10)+Skills!O5</f>
        <v/>
      </c>
      <c r="G494">
        <f>Skills!G5*IF(Skills!H5&gt;0,Skills!I5/Skills!H5,1)</f>
        <v/>
      </c>
      <c r="H494">
        <f>1-(1-Skills!J5/100)^Skills!K5</f>
        <v/>
      </c>
      <c r="I494" t="inlineStr">
        <is>
          <t>1</t>
        </is>
      </c>
      <c r="J494">
        <f>(Inputs!$B$5*(1+Inputs!$B$6/100))*(F494/100)</f>
        <v/>
      </c>
      <c r="K494">
        <f>J494*(1+((Inputs!$B$11*(1+Inputs!$B$12/100))*0.01+Inputs!$B$13*0.0025)/100)*(1+Inputs!$B$14/100)*(1+IF(Inputs!$B$4="pvp",0,(1-Summary!$B$55)*(Inputs!$B$19+0+Skills!P5)+Summary!$B$55*(Inputs!$B$20+Skills!Q5))/100)*(1+Inputs!$B$15/100)*(5000/(6000+Inputs!$B$7*(1-(Inputs!$B$18+0)/100)))*(1+(Inputs!$B$23+0+B522)/100)*(1+1.0*IF(C501=TRUE,F501,0)/100)*(1+(IF(Skills!A5="BLAST",Inputs!$B$16+((C510=TRUE)*(F510-Calc!F21)),Inputs!$B$17+((C512=TRUE)*(F512-Calc!F23))))/100)*((1+(((C502=TRUE)*F502*MIN(1,Skills!T13*(Skills!J13/100)*B520))+((C507=TRUE)*F507*IF(AND(Inputs!$B$4&lt;&gt;"pvp",Inputs!$B$35&gt;0),(((S507-1)*(Skills!T18*(1+Inputs!$B$33/100))+MIN((Skills!T18*(1+Inputs!$B$33/100)),MAX(0,Inputs!$B$35-((S507-1)*Skills!D18))))/Inputs!$B$35),IF(Inputs!$B$4="pvp",MIN((Skills!T18*(1+Inputs!$B$33/100)),15)/15,(Skills!T18*(1+Inputs!$B$33/100))/Skills!D18)))+0)/100)*I494)</f>
        <v/>
      </c>
      <c r="L494">
        <f>K494*(MIN(Inputs!$B$21+((C511=TRUE)*(F511-Calc!F22)),Inputs!$B$22+((C513=TRUE)*(F513-Calc!F24)))/100+(Inputs!$B$22+((C513=TRUE)*(F513-Calc!F24)))/100)/2</f>
        <v/>
      </c>
      <c r="M494">
        <f>L494*(1+(Inputs!$B$9+0+B521)/100)</f>
        <v/>
      </c>
      <c r="N494">
        <f>L494*(1-MIN((Inputs!$B$8+0+B516),100)/100)+M494*(MIN((Inputs!$B$8+0+B516),100)/100)</f>
        <v/>
      </c>
      <c r="O494">
        <f>IF(C494,H494*N494*IF(AND(Inputs!$B$4&lt;&gt;"pvp",Inputs!$B$35&gt;0),((Skills!G5*((R494-1)*IF(Skills!H5&gt;0,Skills!I5/Skills!H5,1)+IF(Skills!H5&gt;0,MIN(Skills!I5,MAX(0,Inputs!$B$35-((R494-1)*IF(Inputs!$B$4="pvp",15,MAX(0.1,Skills!D5-IF(Skills!E5=TRUE,Inputs!$B$31,0))))))/Skills!H5,1)))/Inputs!$B$35),G494*Q494)*IF(Inputs!$B$4="pvp",1,(1-Summary!$B$55)*(1)+Summary!$B$55*(MIN(Skills!R5,Inputs!$B$37))),0)</f>
        <v/>
      </c>
      <c r="P494">
        <f>IF(B524=0,0,O494/B524)</f>
        <v/>
      </c>
      <c r="Q494">
        <f>IFERROR(1/IF(Inputs!$B$4="pvp",15,MAX(0.1,Skills!D5-IF(Skills!E5=TRUE,Inputs!$B$31,0))),0)</f>
        <v/>
      </c>
      <c r="R494">
        <f>IF(AND(Inputs!$B$4&lt;&gt;"pvp",Inputs!$B$35&gt;0),(INT(Inputs!$B$35/IF(Inputs!$B$4="pvp",15,MAX(0.1,Skills!D5-IF(Skills!E5=TRUE,Inputs!$B$31,0))))+1),0)</f>
        <v/>
      </c>
      <c r="S494">
        <f>IFERROR(O494/N494,0)</f>
        <v/>
      </c>
    </row>
    <row r="495">
      <c r="A495">
        <f>Skills!A6</f>
        <v/>
      </c>
      <c r="B495">
        <f>Skills!B6</f>
        <v/>
      </c>
      <c r="C495">
        <f>Inputs!$B$3&gt;=103</f>
        <v/>
      </c>
      <c r="D495">
        <f>IF(Skills!C6=1,60+Inputs!$B$24+Inputs!$B$28,IF(Skills!C6=2,90+Inputs!$B$25+Inputs!$B$28,IF(Skills!C6=3,120+Inputs!$B$26+Inputs!$B$28,MAX(0,(Inputs!$B$3-100)*3)+Inputs!$B$27+Inputs!$B$28)))</f>
        <v/>
      </c>
      <c r="E495">
        <f>INDEX(FactorTable!$B$2:$Y$301, MATCH(ROUND(MIN(300,MAX(1,D495)),0), FactorTable!$A$2:$A$301,0), Skills!M6+1)</f>
        <v/>
      </c>
      <c r="F495">
        <f>IF(Skills!N6=TRUE,(Skills!L6/10)*(E495/1000),Skills!L6/10)+Skills!O6</f>
        <v/>
      </c>
      <c r="G495">
        <f>Skills!G6*IF(Skills!H6&gt;0,Skills!I6/Skills!H6,1)</f>
        <v/>
      </c>
      <c r="H495">
        <f>1-(1-Skills!J6/100)^Skills!K6</f>
        <v/>
      </c>
      <c r="I495" t="inlineStr">
        <is>
          <t>1</t>
        </is>
      </c>
      <c r="J495">
        <f>(Inputs!$B$5*(1+Inputs!$B$6/100))*(F495/100)</f>
        <v/>
      </c>
      <c r="K495">
        <f>J495*(1+((Inputs!$B$11*(1+Inputs!$B$12/100))*0.01+Inputs!$B$13*0.0025)/100)*(1+Inputs!$B$14/100)*(1+IF(Inputs!$B$4="pvp",0,(1-Summary!$B$55)*(Inputs!$B$19+0+Skills!P6)+Summary!$B$55*(Inputs!$B$20+Skills!Q6))/100)*(1+Inputs!$B$15/100)*(5000/(6000+Inputs!$B$7*(1-(Inputs!$B$18+0)/100)))*(1+(Inputs!$B$23+0+B522)/100)*(1+(IF(Skills!A6="BLAST",Inputs!$B$16+((C510=TRUE)*(F510-Calc!F21)),Inputs!$B$17+((C512=TRUE)*(F512-Calc!F23))))/100)*((1+(((C502=TRUE)*F502*MIN(1,Skills!T13*(Skills!J13/100)*B520))+((C507=TRUE)*F507*IF(AND(Inputs!$B$4&lt;&gt;"pvp",Inputs!$B$35&gt;0),(((S507-1)*(Skills!T18*(1+Inputs!$B$33/100))+MIN((Skills!T18*(1+Inputs!$B$33/100)),MAX(0,Inputs!$B$35-((S507-1)*Skills!D18))))/Inputs!$B$35),IF(Inputs!$B$4="pvp",MIN((Skills!T18*(1+Inputs!$B$33/100)),15)/15,(Skills!T18*(1+Inputs!$B$33/100))/Skills!D18)))+0)/100)*I495)</f>
        <v/>
      </c>
      <c r="L495">
        <f>K495*(MIN(Inputs!$B$21+((C511=TRUE)*(F511-Calc!F22)),Inputs!$B$22+((C513=TRUE)*(F513-Calc!F24)))/100+(Inputs!$B$22+((C513=TRUE)*(F513-Calc!F24)))/100)/2</f>
        <v/>
      </c>
      <c r="M495">
        <f>L495*(1+(Inputs!$B$9+0+B521)/100)</f>
        <v/>
      </c>
      <c r="N495">
        <f>L495*(1-MIN((Inputs!$B$8+0+B516),100)/100)+M495*(MIN((Inputs!$B$8+0+B516),100)/100)</f>
        <v/>
      </c>
      <c r="O495">
        <f>IF(C495,H495*N495*IF(AND(Inputs!$B$4&lt;&gt;"pvp",Inputs!$B$35&gt;0),((Skills!G6*((R495-1)*IF(Skills!H6&gt;0,Skills!I6/Skills!H6,1)+IF(Skills!H6&gt;0,MIN(Skills!I6,MAX(0,Inputs!$B$35-((R495-1)*IF(Inputs!$B$4="pvp",15,MAX(0.1,Skills!D6-IF(Skills!E6=TRUE,Inputs!$B$31,0))))))/Skills!H6,1)))/Inputs!$B$35),G495*Q495)*IF(Inputs!$B$4="pvp",1,(1-Summary!$B$55)*(1)+Summary!$B$55*(MIN(Skills!R6,Inputs!$B$37))),0)</f>
        <v/>
      </c>
      <c r="P495">
        <f>IF(B524=0,0,O495/B524)</f>
        <v/>
      </c>
      <c r="Q495">
        <f>IFERROR(1/IF(Inputs!$B$4="pvp",15,MAX(0.1,Skills!D6-IF(Skills!E6=TRUE,Inputs!$B$31,0))),0)</f>
        <v/>
      </c>
      <c r="R495">
        <f>IF(AND(Inputs!$B$4&lt;&gt;"pvp",Inputs!$B$35&gt;0),(INT(Inputs!$B$35/IF(Inputs!$B$4="pvp",15,MAX(0.1,Skills!D6-IF(Skills!E6=TRUE,Inputs!$B$31,0))))+1),0)</f>
        <v/>
      </c>
      <c r="S495">
        <f>IFERROR(O495/N495,0)</f>
        <v/>
      </c>
    </row>
    <row r="496">
      <c r="A496">
        <f>Skills!A7</f>
        <v/>
      </c>
      <c r="B496">
        <f>Skills!B7</f>
        <v/>
      </c>
      <c r="C496">
        <f>Inputs!$B$3&gt;=107</f>
        <v/>
      </c>
      <c r="D496">
        <f>IF(Skills!C7=1,60+Inputs!$B$24+Inputs!$B$28,IF(Skills!C7=2,90+Inputs!$B$25+Inputs!$B$28,IF(Skills!C7=3,120+Inputs!$B$26+Inputs!$B$28,MAX(0,(Inputs!$B$3-100)*3)+Inputs!$B$27+Inputs!$B$28)))</f>
        <v/>
      </c>
      <c r="E496">
        <f>INDEX(FactorTable!$B$2:$Y$301, MATCH(ROUND(MIN(300,MAX(1,D496)),0), FactorTable!$A$2:$A$301,0), Skills!M7+1)</f>
        <v/>
      </c>
      <c r="F496">
        <f>IF(Skills!N7=TRUE,(Skills!L7/10)*(E496/1000),Skills!L7/10)+Skills!O7</f>
        <v/>
      </c>
      <c r="G496">
        <f>Skills!G7*IF(Skills!H7&gt;0,Skills!I7/Skills!H7,1)</f>
        <v/>
      </c>
      <c r="H496">
        <f>1-(1-Skills!J7/100)^Skills!K7</f>
        <v/>
      </c>
      <c r="I496" t="inlineStr">
        <is>
          <t>1</t>
        </is>
      </c>
      <c r="J496">
        <f>(Inputs!$B$5*(1+Inputs!$B$6/100))*(F496/100)</f>
        <v/>
      </c>
      <c r="K496">
        <f>J496*(1+((Inputs!$B$11*(1+Inputs!$B$12/100))*0.01+Inputs!$B$13*0.0025)/100)*(1+Inputs!$B$14/100)*(1+IF(Inputs!$B$4="pvp",0,(1-Summary!$B$55)*(Inputs!$B$19+0+Skills!P7)+Summary!$B$55*(Inputs!$B$20+Skills!Q7))/100)*(1+Inputs!$B$15/100)*(5000/(6000+Inputs!$B$7*(1-(Inputs!$B$18+0)/100)))*(1+(Inputs!$B$23+0+B522)/100)*(1+(IF(Skills!A7="BLAST",Inputs!$B$16+((C510=TRUE)*(F510-Calc!F21)),Inputs!$B$17+((C512=TRUE)*(F512-Calc!F23))))/100)*((1+(((C502=TRUE)*F502*MIN(1,Skills!T13*(Skills!J13/100)*B520))+((C507=TRUE)*F507*IF(AND(Inputs!$B$4&lt;&gt;"pvp",Inputs!$B$35&gt;0),(((S507-1)*(Skills!T18*(1+Inputs!$B$33/100))+MIN((Skills!T18*(1+Inputs!$B$33/100)),MAX(0,Inputs!$B$35-((S507-1)*Skills!D18))))/Inputs!$B$35),IF(Inputs!$B$4="pvp",MIN((Skills!T18*(1+Inputs!$B$33/100)),15)/15,(Skills!T18*(1+Inputs!$B$33/100))/Skills!D18)))+0)/100)*I496)</f>
        <v/>
      </c>
      <c r="L496">
        <f>K496*(MIN(Inputs!$B$21+((C511=TRUE)*(F511-Calc!F22)),Inputs!$B$22+((C513=TRUE)*(F513-Calc!F24)))/100+(Inputs!$B$22+((C513=TRUE)*(F513-Calc!F24)))/100)/2</f>
        <v/>
      </c>
      <c r="M496">
        <f>L496*(1+(Inputs!$B$9+0+B521)/100)</f>
        <v/>
      </c>
      <c r="N496">
        <f>L496*(1-MIN((Inputs!$B$8+0+B516),100)/100)+M496*(MIN((Inputs!$B$8+0+B516),100)/100)</f>
        <v/>
      </c>
      <c r="O496">
        <f>IF(C496,H496*N496*IF(AND(Inputs!$B$4&lt;&gt;"pvp",Inputs!$B$35&gt;0),((Skills!G7*((R496-1)*IF(Skills!H7&gt;0,Skills!I7/Skills!H7,1)+IF(Skills!H7&gt;0,MIN(Skills!I7,MAX(0,Inputs!$B$35-((R496-1)*IF(Inputs!$B$4="pvp",15,MAX(0.1,Skills!D7-IF(Skills!E7=TRUE,Inputs!$B$31,0))))))/Skills!H7,1)))/Inputs!$B$35),G496*Q496)*IF(Inputs!$B$4="pvp",1,(1-Summary!$B$55)*(1)+Summary!$B$55*(MIN(Skills!R7,Inputs!$B$37))),0)</f>
        <v/>
      </c>
      <c r="P496">
        <f>IF(B524=0,0,O496/B524)</f>
        <v/>
      </c>
      <c r="Q496">
        <f>IFERROR(1/IF(Inputs!$B$4="pvp",15,MAX(0.1,Skills!D7-IF(Skills!E7=TRUE,Inputs!$B$31,0))),0)</f>
        <v/>
      </c>
      <c r="R496">
        <f>IF(AND(Inputs!$B$4&lt;&gt;"pvp",Inputs!$B$35&gt;0),(INT(Inputs!$B$35/IF(Inputs!$B$4="pvp",15,MAX(0.1,Skills!D7-IF(Skills!E7=TRUE,Inputs!$B$31,0))))+1),0)</f>
        <v/>
      </c>
      <c r="S496">
        <f>IFERROR(O496/N496,0)</f>
        <v/>
      </c>
    </row>
    <row r="497">
      <c r="A497">
        <f>Skills!A8</f>
        <v/>
      </c>
      <c r="B497">
        <f>Skills!B8</f>
        <v/>
      </c>
      <c r="C497">
        <f>Inputs!$B$3&gt;=107</f>
        <v/>
      </c>
      <c r="D497">
        <f>IF(Skills!C8=1,60+Inputs!$B$24+Inputs!$B$28,IF(Skills!C8=2,90+Inputs!$B$25+Inputs!$B$28,IF(Skills!C8=3,120+Inputs!$B$26+Inputs!$B$28,MAX(0,(Inputs!$B$3-100)*3)+Inputs!$B$27+Inputs!$B$28)))</f>
        <v/>
      </c>
      <c r="E497">
        <f>INDEX(FactorTable!$B$2:$Y$301, MATCH(ROUND(MIN(300,MAX(1,D497)),0), FactorTable!$A$2:$A$301,0), Skills!M8+1)</f>
        <v/>
      </c>
      <c r="F497">
        <f>IF(Skills!N8=TRUE,(Skills!L8/10)*(E497/1000),Skills!L8/10)+Skills!O8</f>
        <v/>
      </c>
      <c r="G497">
        <f>Skills!G8*IF(Skills!H8&gt;0,Skills!I8/Skills!H8,1)</f>
        <v/>
      </c>
      <c r="H497">
        <f>1-(1-Skills!J8/100)^Skills!K8</f>
        <v/>
      </c>
      <c r="I497" t="inlineStr">
        <is>
          <t>1</t>
        </is>
      </c>
      <c r="J497">
        <f>(Inputs!$B$5*(1+Inputs!$B$6/100))*(F497/100)</f>
        <v/>
      </c>
      <c r="K497">
        <f>J497*(1+((Inputs!$B$11*(1+Inputs!$B$12/100))*0.01+Inputs!$B$13*0.0025)/100)*(1+Inputs!$B$14/100)*(1+IF(Inputs!$B$4="pvp",0,(1-Summary!$B$55)*(Inputs!$B$19+0+Skills!P8)+Summary!$B$55*(Inputs!$B$20+Skills!Q8))/100)*(1+Inputs!$B$15/100)*(5000/(6000+Inputs!$B$7*(1-(Inputs!$B$18+0)/100)))*(1+(Inputs!$B$23+0+B522)/100)*(1+(IF(Skills!A8="BLAST",Inputs!$B$16+((C510=TRUE)*(F510-Calc!F21)),Inputs!$B$17+((C512=TRUE)*(F512-Calc!F23))))/100)*((1+(((C502=TRUE)*F502*MIN(1,Skills!T13*(Skills!J13/100)*B520))+((C507=TRUE)*F507*IF(AND(Inputs!$B$4&lt;&gt;"pvp",Inputs!$B$35&gt;0),(((S507-1)*(Skills!T18*(1+Inputs!$B$33/100))+MIN((Skills!T18*(1+Inputs!$B$33/100)),MAX(0,Inputs!$B$35-((S507-1)*Skills!D18))))/Inputs!$B$35),IF(Inputs!$B$4="pvp",MIN((Skills!T18*(1+Inputs!$B$33/100)),15)/15,(Skills!T18*(1+Inputs!$B$33/100))/Skills!D18)))+0)/100)*I497)</f>
        <v/>
      </c>
      <c r="L497">
        <f>K497*(MIN(Inputs!$B$21+((C511=TRUE)*(F511-Calc!F22)),Inputs!$B$22+((C513=TRUE)*(F513-Calc!F24)))/100+(Inputs!$B$22+((C513=TRUE)*(F513-Calc!F24)))/100)/2</f>
        <v/>
      </c>
      <c r="M497">
        <f>L497*(1+(Inputs!$B$9+0+B521)/100)</f>
        <v/>
      </c>
      <c r="N497">
        <f>L497*(1-MIN((Inputs!$B$8+0+B516),100)/100)+M497*(MIN((Inputs!$B$8+0+B516),100)/100)</f>
        <v/>
      </c>
      <c r="O497">
        <f>IF(C497,H497*N497*IF(AND(Inputs!$B$4&lt;&gt;"pvp",Inputs!$B$35&gt;0),((Skills!G8*((R497-1)*IF(Skills!H8&gt;0,Skills!I8/Skills!H8,1)+IF(Skills!H8&gt;0,MIN(Skills!I8,MAX(0,Inputs!$B$35-((R497-1)*IF(Inputs!$B$4="pvp",15,MAX(0.1,Skills!D8-IF(Skills!E8=TRUE,Inputs!$B$31,0))))))/Skills!H8,1)))/Inputs!$B$35),G497*Q497)*IF(Inputs!$B$4="pvp",1,(1-Summary!$B$55)*(1)+Summary!$B$55*(MIN(Skills!R8,Inputs!$B$37))),0)</f>
        <v/>
      </c>
      <c r="P497">
        <f>IF(B524=0,0,O497/B524)</f>
        <v/>
      </c>
      <c r="Q497">
        <f>IFERROR(1/IF(Inputs!$B$4="pvp",15,MAX(0.1,Skills!D8-IF(Skills!E8=TRUE,Inputs!$B$31,0))),0)</f>
        <v/>
      </c>
      <c r="R497">
        <f>IF(AND(Inputs!$B$4&lt;&gt;"pvp",Inputs!$B$35&gt;0),(INT(Inputs!$B$35/IF(Inputs!$B$4="pvp",15,MAX(0.1,Skills!D8-IF(Skills!E8=TRUE,Inputs!$B$31,0))))+1),0)</f>
        <v/>
      </c>
      <c r="S497">
        <f>IFERROR(O497/N497,0)</f>
        <v/>
      </c>
    </row>
    <row r="498">
      <c r="A498">
        <f>Skills!A9</f>
        <v/>
      </c>
      <c r="B498">
        <f>Skills!B9</f>
        <v/>
      </c>
      <c r="C498">
        <f>Inputs!$B$3&gt;=125</f>
        <v/>
      </c>
      <c r="D498">
        <f>IF(Skills!C9=1,60+Inputs!$B$24+Inputs!$B$28,IF(Skills!C9=2,90+Inputs!$B$25+Inputs!$B$28,IF(Skills!C9=3,120+Inputs!$B$26+Inputs!$B$28,MAX(0,(Inputs!$B$3-100)*3)+Inputs!$B$27+Inputs!$B$28)))</f>
        <v/>
      </c>
      <c r="E498">
        <f>INDEX(FactorTable!$B$2:$Y$301, MATCH(ROUND(MIN(300,MAX(1,D498)),0), FactorTable!$A$2:$A$301,0), Skills!M9+1)</f>
        <v/>
      </c>
      <c r="F498">
        <f>IF(Skills!N9=TRUE,(Skills!L9/10)*(E498/1000),Skills!L9/10)+Skills!O9</f>
        <v/>
      </c>
      <c r="G498">
        <f>Skills!G9*IF(Skills!H9&gt;0,Skills!I9/Skills!H9,1)</f>
        <v/>
      </c>
      <c r="H498">
        <f>1-(1-Skills!J9/100)^Skills!K9</f>
        <v/>
      </c>
      <c r="I498" t="inlineStr">
        <is>
          <t>1</t>
        </is>
      </c>
      <c r="J498">
        <f>(Inputs!$B$5*(1+Inputs!$B$6/100))*(F498/100)</f>
        <v/>
      </c>
      <c r="K498">
        <f>J498*(1+((Inputs!$B$11*(1+Inputs!$B$12/100))*0.01+Inputs!$B$13*0.0025)/100)*(1+Inputs!$B$14/100)*(1+IF(Inputs!$B$4="pvp",0,(1-Summary!$B$55)*(Inputs!$B$19+0+Skills!P9)+Summary!$B$55*(Inputs!$B$20+Skills!Q9))/100)*(1+Inputs!$B$15/100)*(5000/(6000+Inputs!$B$7*(1-(Inputs!$B$18+0)/100)))*(1+(Inputs!$B$23+0+B522)/100)*(1+(IF(Skills!A9="BLAST",Inputs!$B$16+((C510=TRUE)*(F510-Calc!F21)),Inputs!$B$17+((C512=TRUE)*(F512-Calc!F23))))/100)*((1+(((C502=TRUE)*F502*MIN(1,Skills!T13*(Skills!J13/100)*B520))+((C507=TRUE)*F507*IF(AND(Inputs!$B$4&lt;&gt;"pvp",Inputs!$B$35&gt;0),(((S507-1)*(Skills!T18*(1+Inputs!$B$33/100))+MIN((Skills!T18*(1+Inputs!$B$33/100)),MAX(0,Inputs!$B$35-((S507-1)*Skills!D18))))/Inputs!$B$35),IF(Inputs!$B$4="pvp",MIN((Skills!T18*(1+Inputs!$B$33/100)),15)/15,(Skills!T18*(1+Inputs!$B$33/100))/Skills!D18)))+0)/100)*I498)</f>
        <v/>
      </c>
      <c r="L498">
        <f>K498*(MIN(Inputs!$B$21+((C511=TRUE)*(F511-Calc!F22)),Inputs!$B$22+((C513=TRUE)*(F513-Calc!F24)))/100+(Inputs!$B$22+((C513=TRUE)*(F513-Calc!F24)))/100)/2</f>
        <v/>
      </c>
      <c r="M498">
        <f>L498*(1+(Inputs!$B$9+0+B521)/100)</f>
        <v/>
      </c>
      <c r="N498">
        <f>L498*(1-MIN((Inputs!$B$8+0+B516),100)/100)+M498*(MIN((Inputs!$B$8+0+B516),100)/100)</f>
        <v/>
      </c>
      <c r="O498">
        <f>IF(C498,H498*N498*IF(AND(Inputs!$B$4&lt;&gt;"pvp",Inputs!$B$35&gt;0),((Skills!G9*((R498-1)*IF(Skills!H9&gt;0,Skills!I9/Skills!H9,1)+IF(Skills!H9&gt;0,MIN(Skills!I9,MAX(0,Inputs!$B$35-((R498-1)*IF(Inputs!$B$4="pvp",15,MAX(0.1,Skills!D9-IF(Skills!E9=TRUE,Inputs!$B$31,0))))))/Skills!H9,1)))/Inputs!$B$35),G498*Q498)*IF(Inputs!$B$4="pvp",1,(1-Summary!$B$55)*(1)+Summary!$B$55*(MIN(Skills!R9,Inputs!$B$37))),0)</f>
        <v/>
      </c>
      <c r="P498">
        <f>IF(B524=0,0,O498/B524)</f>
        <v/>
      </c>
      <c r="Q498">
        <f>IFERROR(1/IF(Inputs!$B$4="pvp",15,MAX(0.1,Skills!D9-IF(Skills!E9=TRUE,Inputs!$B$31,0))),0)</f>
        <v/>
      </c>
      <c r="R498">
        <f>IF(AND(Inputs!$B$4&lt;&gt;"pvp",Inputs!$B$35&gt;0),(INT(Inputs!$B$35/IF(Inputs!$B$4="pvp",15,MAX(0.1,Skills!D9-IF(Skills!E9=TRUE,Inputs!$B$31,0))))+1),0)</f>
        <v/>
      </c>
      <c r="S498">
        <f>IFERROR(O498/N498,0)</f>
        <v/>
      </c>
    </row>
    <row r="499">
      <c r="A499">
        <f>Skills!A10</f>
        <v/>
      </c>
      <c r="B499">
        <f>Skills!B10</f>
        <v/>
      </c>
      <c r="C499">
        <f>Inputs!$B$3&gt;=117</f>
        <v/>
      </c>
      <c r="D499">
        <f>IF(Skills!C10=1,60+Inputs!$B$24+Inputs!$B$28,IF(Skills!C10=2,90+Inputs!$B$25+Inputs!$B$28,IF(Skills!C10=3,120+Inputs!$B$26+Inputs!$B$28,MAX(0,(Inputs!$B$3-100)*3)+Inputs!$B$27+Inputs!$B$28)))</f>
        <v/>
      </c>
      <c r="E499">
        <f>INDEX(FactorTable!$B$2:$Y$301, MATCH(ROUND(MIN(300,MAX(1,D499)),0), FactorTable!$A$2:$A$301,0), Skills!M10+1)</f>
        <v/>
      </c>
      <c r="F499">
        <f>IF(Skills!N10=TRUE,(Skills!L10/10)*(E499/1000),Skills!L10/10)+Skills!O10</f>
        <v/>
      </c>
      <c r="G499">
        <f>Skills!G10*IF(Skills!H10&gt;0,Skills!I10/Skills!H10,1)</f>
        <v/>
      </c>
      <c r="H499">
        <f>1-(1-Skills!J10/100)^Skills!K10</f>
        <v/>
      </c>
      <c r="I499" t="inlineStr">
        <is>
          <t>1</t>
        </is>
      </c>
      <c r="J499">
        <f>(Inputs!$B$5*(1+Inputs!$B$6/100))*(F499/100)</f>
        <v/>
      </c>
      <c r="K499">
        <f>J499*(1+((Inputs!$B$11*(1+Inputs!$B$12/100))*0.01+Inputs!$B$13*0.0025)/100)*(1+Inputs!$B$14/100)*(1+IF(Inputs!$B$4="pvp",0,(1-Summary!$B$55)*(Inputs!$B$19+0+Skills!P10)+Summary!$B$55*(Inputs!$B$20+Skills!Q10))/100)*(1+Inputs!$B$15/100)*(5000/(6000+Inputs!$B$7*(1-(Inputs!$B$18+0)/100)))*(1+(Inputs!$B$23+0+B522)/100)*(1+(IF(Skills!A10="BLAST",Inputs!$B$16+((C510=TRUE)*(F510-Calc!F21)),Inputs!$B$17+((C512=TRUE)*(F512-Calc!F23))))/100)*((1+(((C502=TRUE)*F502*MIN(1,Skills!T13*(Skills!J13/100)*B520))+((C507=TRUE)*F507*IF(AND(Inputs!$B$4&lt;&gt;"pvp",Inputs!$B$35&gt;0),(((S507-1)*(Skills!T18*(1+Inputs!$B$33/100))+MIN((Skills!T18*(1+Inputs!$B$33/100)),MAX(0,Inputs!$B$35-((S507-1)*Skills!D18))))/Inputs!$B$35),IF(Inputs!$B$4="pvp",MIN((Skills!T18*(1+Inputs!$B$33/100)),15)/15,(Skills!T18*(1+Inputs!$B$33/100))/Skills!D18)))+0)/100)*I499)</f>
        <v/>
      </c>
      <c r="L499">
        <f>K499*(MIN(Inputs!$B$21+((C511=TRUE)*(F511-Calc!F22)),Inputs!$B$22+((C513=TRUE)*(F513-Calc!F24)))/100+(Inputs!$B$22+((C513=TRUE)*(F513-Calc!F24)))/100)/2</f>
        <v/>
      </c>
      <c r="M499">
        <f>L499*(1+(Inputs!$B$9+0+B521)/100)</f>
        <v/>
      </c>
      <c r="N499">
        <f>L499*(1-MIN((Inputs!$B$8+0+B516),100)/100)+M499*(MIN((Inputs!$B$8+0+B516),100)/100)</f>
        <v/>
      </c>
      <c r="O499">
        <f>IF(C499,H499*N499*IF(AND(Inputs!$B$4&lt;&gt;"pvp",Inputs!$B$35&gt;0),((Skills!G10*((R499-1)*IF(Skills!H10&gt;0,Skills!I10/Skills!H10,1)+IF(Skills!H10&gt;0,MIN(Skills!I10,MAX(0,Inputs!$B$35-((R499-1)*IF(Inputs!$B$4="pvp",15,MAX(0.1,Skills!D10-IF(Skills!E10=TRUE,Inputs!$B$31,0))))))/Skills!H10,1)))/Inputs!$B$35),G499*Q499)*IF(Inputs!$B$4="pvp",1,(1-Summary!$B$55)*(1)+Summary!$B$55*(MIN(Skills!R10,Inputs!$B$37))),0)</f>
        <v/>
      </c>
      <c r="P499">
        <f>IF(B524=0,0,O499/B524)</f>
        <v/>
      </c>
      <c r="Q499">
        <f>IFERROR(1/IF(Inputs!$B$4="pvp",15,MAX(0.1,Skills!D10-IF(Skills!E10=TRUE,Inputs!$B$31,0))),0)</f>
        <v/>
      </c>
      <c r="R499">
        <f>IF(AND(Inputs!$B$4&lt;&gt;"pvp",Inputs!$B$35&gt;0),(INT(Inputs!$B$35/IF(Inputs!$B$4="pvp",15,MAX(0.1,Skills!D10-IF(Skills!E10=TRUE,Inputs!$B$31,0))))+1),0)</f>
        <v/>
      </c>
      <c r="S499">
        <f>IFERROR(O499/N499,0)</f>
        <v/>
      </c>
    </row>
    <row r="500">
      <c r="A500">
        <f>Skills!A11</f>
        <v/>
      </c>
      <c r="B500">
        <f>Skills!B11</f>
        <v/>
      </c>
      <c r="C500">
        <f>Inputs!$B$3&gt;=63</f>
        <v/>
      </c>
      <c r="D500">
        <f>IF(Skills!C11=1,60+Inputs!$B$24+Inputs!$B$28,IF(Skills!C11=2,90+Inputs!$B$25+Inputs!$B$28,IF(Skills!C11=3,120+Inputs!$B$26+Inputs!$B$28,MAX(0,(Inputs!$B$3-100)*3)+Inputs!$B$27+Inputs!$B$28)))</f>
        <v/>
      </c>
      <c r="E500">
        <f>INDEX(FactorTable!$B$2:$Y$301, MATCH(ROUND(MIN(300,MAX(1,D500)),0), FactorTable!$A$2:$A$301,0), Skills!M11+1)</f>
        <v/>
      </c>
      <c r="F500">
        <f>IF(Skills!N11=TRUE,(Skills!L11/10)*(E500/1000),Skills!L11/10)+Skills!O11</f>
        <v/>
      </c>
      <c r="G500">
        <f>Skills!G11*IF(Skills!H11&gt;0,Skills!I11/Skills!H11,1)</f>
        <v/>
      </c>
      <c r="H500">
        <f>1-(1-Skills!J11/100)^Skills!K11</f>
        <v/>
      </c>
      <c r="I500" t="inlineStr">
        <is>
          <t>1</t>
        </is>
      </c>
      <c r="J500">
        <f>(Inputs!$B$5*(1+Inputs!$B$6/100))*(F500/100)</f>
        <v/>
      </c>
      <c r="K500">
        <f>J500*(1+((Inputs!$B$11*(1+Inputs!$B$12/100))*0.01+Inputs!$B$13*0.0025)/100)*(1+Inputs!$B$14/100)*(1+IF(Inputs!$B$4="pvp",0,(1-Summary!$B$55)*(Inputs!$B$19+0+Skills!P11)+Summary!$B$55*(Inputs!$B$20+Skills!Q11))/100)*(1+Inputs!$B$15/100)*(5000/(6000+Inputs!$B$7*(1-(Inputs!$B$18+0)/100)))*(1+(Inputs!$B$23+0+B522)/100)*(1+1.5*IF(C501=TRUE,F501,0)/100)*(1+(IF(Skills!A11="BLAST",Inputs!$B$16+((C510=TRUE)*(F510-Calc!F21)),Inputs!$B$17+((C512=TRUE)*(F512-Calc!F23))))/100)*((1+(((C502=TRUE)*F502*MIN(1,Skills!T13*(Skills!J13/100)*B520))+((C507=TRUE)*F507*IF(AND(Inputs!$B$4&lt;&gt;"pvp",Inputs!$B$35&gt;0),(((S507-1)*(Skills!T18*(1+Inputs!$B$33/100))+MIN((Skills!T18*(1+Inputs!$B$33/100)),MAX(0,Inputs!$B$35-((S507-1)*Skills!D18))))/Inputs!$B$35),IF(Inputs!$B$4="pvp",MIN((Skills!T18*(1+Inputs!$B$33/100)),15)/15,(Skills!T18*(1+Inputs!$B$33/100))/Skills!D18)))+0)/100)*I500)</f>
        <v/>
      </c>
      <c r="L500">
        <f>K500*(MIN(Inputs!$B$21+((C511=TRUE)*(F511-Calc!F22)),Inputs!$B$22+((C513=TRUE)*(F513-Calc!F24)))/100+(Inputs!$B$22+((C513=TRUE)*(F513-Calc!F24)))/100)/2</f>
        <v/>
      </c>
      <c r="M500">
        <f>L500*(1+(Inputs!$B$9+0+B521)/100)</f>
        <v/>
      </c>
      <c r="N500">
        <f>L500*(1-MIN((Inputs!$B$8+0+B516),100)/100)+M500*(MIN((Inputs!$B$8+0+B516),100)/100)</f>
        <v/>
      </c>
      <c r="O500">
        <f>IF(C500,H500*N500*IF(AND(Inputs!$B$4&lt;&gt;"pvp",Inputs!$B$35&gt;0),((Skills!G11*((R500-1)*IF(Skills!H11&gt;0,Skills!I11/Skills!H11,1)+IF(Skills!H11&gt;0,MIN(Skills!I11,MAX(0,Inputs!$B$35-((R500-1)*IF(Inputs!$B$4="pvp",15,MAX(0.1,Skills!D11-IF(Skills!E11=TRUE,Inputs!$B$31,0))))))/Skills!H11,1)))/Inputs!$B$35),G500*Q500)*IF(Inputs!$B$4="pvp",1,(1-Summary!$B$55)*(1)+Summary!$B$55*(MIN(Skills!R11,Inputs!$B$37))),0)</f>
        <v/>
      </c>
      <c r="P500">
        <f>IF(B524=0,0,O500/B524)</f>
        <v/>
      </c>
      <c r="Q500">
        <f>IFERROR(1/IF(Inputs!$B$4="pvp",15,MAX(0.1,Skills!D11-IF(Skills!E11=TRUE,Inputs!$B$31,0))),0)</f>
        <v/>
      </c>
      <c r="R500">
        <f>IF(AND(Inputs!$B$4&lt;&gt;"pvp",Inputs!$B$35&gt;0),(INT(Inputs!$B$35/IF(Inputs!$B$4="pvp",15,MAX(0.1,Skills!D11-IF(Skills!E11=TRUE,Inputs!$B$31,0))))+1),0)</f>
        <v/>
      </c>
      <c r="S500">
        <f>IFERROR(O500/N500,0)</f>
        <v/>
      </c>
    </row>
    <row r="501">
      <c r="A501">
        <f>Skills!A12</f>
        <v/>
      </c>
      <c r="B501">
        <f>Skills!B12</f>
        <v/>
      </c>
      <c r="C501">
        <f>Inputs!$B$3&gt;=100</f>
        <v/>
      </c>
      <c r="D501">
        <f>IF(Skills!C12=1,60+Inputs!$B$24+Inputs!$B$28,IF(Skills!C12=2,90+Inputs!$B$25+Inputs!$B$28,IF(Skills!C12=3,120+Inputs!$B$26+Inputs!$B$28,MAX(0,(Inputs!$B$3-100)*3)+Inputs!$B$27+Inputs!$B$28)))</f>
        <v/>
      </c>
      <c r="E501">
        <f>INDEX(FactorTable!$B$2:$Y$301, MATCH(ROUND(MIN(300,MAX(1,D501)),0), FactorTable!$A$2:$A$301,0), Skills!M12+1)</f>
        <v/>
      </c>
      <c r="F501">
        <f>IF(Skills!N12=TRUE,(Skills!L12/10)*(E501/1000),Skills!L12/10)+Skills!O12</f>
        <v/>
      </c>
      <c r="G501" t="inlineStr"/>
      <c r="H501" t="inlineStr"/>
      <c r="I501" t="inlineStr">
        <is>
          <t>1</t>
        </is>
      </c>
      <c r="J501" t="inlineStr"/>
      <c r="K501" t="inlineStr"/>
      <c r="L501" t="inlineStr"/>
      <c r="M501" t="inlineStr"/>
      <c r="N501" t="inlineStr"/>
      <c r="O501" t="inlineStr"/>
      <c r="P501" t="inlineStr"/>
      <c r="Q501" t="inlineStr"/>
      <c r="R501" t="inlineStr"/>
      <c r="S501" t="inlineStr"/>
    </row>
    <row r="502">
      <c r="A502">
        <f>Skills!A13</f>
        <v/>
      </c>
      <c r="B502">
        <f>Skills!B13</f>
        <v/>
      </c>
      <c r="C502">
        <f>Inputs!$B$3&gt;=45</f>
        <v/>
      </c>
      <c r="D502">
        <f>IF(Skills!C13=1,60+Inputs!$B$24+Inputs!$B$28,IF(Skills!C13=2,90+Inputs!$B$25+Inputs!$B$28,IF(Skills!C13=3,120+Inputs!$B$26+Inputs!$B$28,MAX(0,(Inputs!$B$3-100)*3)+Inputs!$B$27+Inputs!$B$28)))</f>
        <v/>
      </c>
      <c r="E502">
        <f>INDEX(FactorTable!$B$2:$Y$301, MATCH(ROUND(MIN(300,MAX(1,D502)),0), FactorTable!$A$2:$A$301,0), Skills!M13+1)</f>
        <v/>
      </c>
      <c r="F502">
        <f>IF(Skills!N13=TRUE,(Skills!L13/10)*(E502/1000),Skills!L13/10)+Skills!O13</f>
        <v/>
      </c>
      <c r="G502">
        <f>Skills!G13*IF(Skills!H13&gt;0,Skills!I13/Skills!H13,1)</f>
        <v/>
      </c>
      <c r="H502">
        <f>1-(1-Skills!J13/100)^Skills!K13</f>
        <v/>
      </c>
      <c r="I502" t="inlineStr">
        <is>
          <t>1</t>
        </is>
      </c>
      <c r="J502" t="inlineStr"/>
      <c r="K502" t="inlineStr"/>
      <c r="L502" t="inlineStr"/>
      <c r="M502" t="inlineStr"/>
      <c r="N502" t="inlineStr"/>
      <c r="O502" t="n">
        <v>0</v>
      </c>
      <c r="P502">
        <f>IF(B524=0,0,O502/B524)</f>
        <v/>
      </c>
      <c r="Q502" t="n">
        <v>0</v>
      </c>
      <c r="R502" t="n">
        <v>0</v>
      </c>
      <c r="S502">
        <f>IFERROR(O502/N502,0)</f>
        <v/>
      </c>
    </row>
    <row r="503">
      <c r="A503">
        <f>Skills!A14</f>
        <v/>
      </c>
      <c r="B503">
        <f>Skills!B14</f>
        <v/>
      </c>
      <c r="C503">
        <f>Inputs!$B$3&gt;=110</f>
        <v/>
      </c>
      <c r="D503">
        <f>IF(Skills!C14=1,60+Inputs!$B$24+Inputs!$B$28,IF(Skills!C14=2,90+Inputs!$B$25+Inputs!$B$28,IF(Skills!C14=3,120+Inputs!$B$26+Inputs!$B$28,MAX(0,(Inputs!$B$3-100)*3)+Inputs!$B$27+Inputs!$B$28)))</f>
        <v/>
      </c>
      <c r="E503">
        <f>INDEX(FactorTable!$B$2:$Y$301, MATCH(ROUND(MIN(300,MAX(1,D503)),0), FactorTable!$A$2:$A$301,0), Skills!M14+1)</f>
        <v/>
      </c>
      <c r="F503">
        <f>IF(Skills!N14=TRUE,(Skills!L14/10)*(E503/1000),Skills!L14/10)+Skills!O14</f>
        <v/>
      </c>
      <c r="G503">
        <f>Skills!G14*IF(Skills!H14&gt;0,Skills!I14/Skills!H14,1)</f>
        <v/>
      </c>
      <c r="H503">
        <f>1-(1-Skills!J14/100)^Skills!K14</f>
        <v/>
      </c>
      <c r="I503" t="inlineStr">
        <is>
          <t>1</t>
        </is>
      </c>
      <c r="J503" t="inlineStr"/>
      <c r="K503" t="inlineStr"/>
      <c r="L503" t="inlineStr"/>
      <c r="M503" t="inlineStr"/>
      <c r="N503" t="inlineStr"/>
      <c r="O503" t="n">
        <v>0</v>
      </c>
      <c r="P503">
        <f>IF(B524=0,0,O503/B524)</f>
        <v/>
      </c>
      <c r="Q503" t="n">
        <v>0</v>
      </c>
      <c r="R503" t="n">
        <v>0</v>
      </c>
      <c r="S503">
        <f>IFERROR(O503/N503,0)</f>
        <v/>
      </c>
    </row>
    <row r="504">
      <c r="A504">
        <f>Skills!A15</f>
        <v/>
      </c>
      <c r="B504">
        <f>Skills!B15</f>
        <v/>
      </c>
      <c r="C504">
        <f>Inputs!$B$3&gt;=75</f>
        <v/>
      </c>
      <c r="D504">
        <f>IF(Skills!C15=1,60+Inputs!$B$24+Inputs!$B$28,IF(Skills!C15=2,90+Inputs!$B$25+Inputs!$B$28,IF(Skills!C15=3,120+Inputs!$B$26+Inputs!$B$28,MAX(0,(Inputs!$B$3-100)*3)+Inputs!$B$27+Inputs!$B$28)))</f>
        <v/>
      </c>
      <c r="E504">
        <f>INDEX(FactorTable!$B$2:$Y$301, MATCH(ROUND(MIN(300,MAX(1,D504)),0), FactorTable!$A$2:$A$301,0), Skills!M15+1)</f>
        <v/>
      </c>
      <c r="F504">
        <f>IF(Skills!N15=TRUE,(Skills!L15/10)*(E504/1000),Skills!L15/10)+Skills!O15</f>
        <v/>
      </c>
      <c r="G504">
        <f>Skills!G15*IF(Skills!H15&gt;0,Skills!I15/Skills!H15,1)</f>
        <v/>
      </c>
      <c r="H504">
        <f>1-(1-Skills!J15/100)^Skills!K15</f>
        <v/>
      </c>
      <c r="I504" t="inlineStr">
        <is>
          <t>1</t>
        </is>
      </c>
      <c r="J504" t="inlineStr"/>
      <c r="K504" t="inlineStr"/>
      <c r="L504" t="inlineStr"/>
      <c r="M504" t="inlineStr"/>
      <c r="N504" t="inlineStr"/>
      <c r="O504" t="n">
        <v>0</v>
      </c>
      <c r="P504">
        <f>IF(B524=0,0,O504/B524)</f>
        <v/>
      </c>
      <c r="Q504">
        <f>IFERROR(1/IF(Inputs!$B$4="pvp",15,MAX(0.1,Skills!D15-IF(Skills!E15=TRUE,Inputs!$B$31,0))),0)</f>
        <v/>
      </c>
      <c r="R504">
        <f>IF(AND(Inputs!$B$4&lt;&gt;"pvp",Inputs!$B$35&gt;0),(INT(Inputs!$B$35/IF(Inputs!$B$4="pvp",15,MAX(0.1,Skills!D15-IF(Skills!E15=TRUE,Inputs!$B$31,0))))+1),0)</f>
        <v/>
      </c>
      <c r="S504">
        <f>IFERROR(O504/N504,0)</f>
        <v/>
      </c>
    </row>
    <row r="505">
      <c r="A505">
        <f>Skills!A16</f>
        <v/>
      </c>
      <c r="B505">
        <f>Skills!B16</f>
        <v/>
      </c>
      <c r="C505">
        <f>Inputs!$B$3&gt;=105</f>
        <v/>
      </c>
      <c r="D505">
        <f>IF(Skills!C16=1,60+Inputs!$B$24+Inputs!$B$28,IF(Skills!C16=2,90+Inputs!$B$25+Inputs!$B$28,IF(Skills!C16=3,120+Inputs!$B$26+Inputs!$B$28,MAX(0,(Inputs!$B$3-100)*3)+Inputs!$B$27+Inputs!$B$28)))</f>
        <v/>
      </c>
      <c r="E505">
        <f>INDEX(FactorTable!$B$2:$Y$301, MATCH(ROUND(MIN(300,MAX(1,D505)),0), FactorTable!$A$2:$A$301,0), Skills!M16+1)</f>
        <v/>
      </c>
      <c r="F505">
        <f>IF(Skills!N16=TRUE,(Skills!L16/10)*(E505/1000),Skills!L16/10)+Skills!O16</f>
        <v/>
      </c>
      <c r="G505">
        <f>Skills!G16*IF(Skills!H16&gt;0,Skills!I16/Skills!H16,1)</f>
        <v/>
      </c>
      <c r="H505">
        <f>1-(1-Skills!J16/100)^Skills!K16</f>
        <v/>
      </c>
      <c r="I505" t="inlineStr">
        <is>
          <t>1</t>
        </is>
      </c>
      <c r="J505" t="inlineStr"/>
      <c r="K505" t="inlineStr"/>
      <c r="L505" t="inlineStr"/>
      <c r="M505" t="inlineStr"/>
      <c r="N505" t="inlineStr"/>
      <c r="O505" t="n">
        <v>0</v>
      </c>
      <c r="P505">
        <f>IF(B524=0,0,O505/B524)</f>
        <v/>
      </c>
      <c r="Q505">
        <f>IFERROR(1/IF(Inputs!$B$4="pvp",15,MAX(0.1,Skills!D16-IF(Skills!E16=TRUE,Inputs!$B$31,0))),0)</f>
        <v/>
      </c>
      <c r="R505">
        <f>IF(AND(Inputs!$B$4&lt;&gt;"pvp",Inputs!$B$35&gt;0),(INT(Inputs!$B$35/IF(Inputs!$B$4="pvp",15,MAX(0.1,Skills!D16-IF(Skills!E16=TRUE,Inputs!$B$31,0))))+1),0)</f>
        <v/>
      </c>
      <c r="S505">
        <f>IFERROR(O505/N505,0)</f>
        <v/>
      </c>
    </row>
    <row r="506">
      <c r="A506">
        <f>Skills!A17</f>
        <v/>
      </c>
      <c r="B506">
        <f>Skills!B17</f>
        <v/>
      </c>
      <c r="C506">
        <f>Inputs!$B$3&gt;=115</f>
        <v/>
      </c>
      <c r="D506">
        <f>IF(Skills!C17=1,60+Inputs!$B$24+Inputs!$B$28,IF(Skills!C17=2,90+Inputs!$B$25+Inputs!$B$28,IF(Skills!C17=3,120+Inputs!$B$26+Inputs!$B$28,MAX(0,(Inputs!$B$3-100)*3)+Inputs!$B$27+Inputs!$B$28)))</f>
        <v/>
      </c>
      <c r="E506">
        <f>INDEX(FactorTable!$B$2:$Y$301, MATCH(ROUND(MIN(300,MAX(1,D506)),0), FactorTable!$A$2:$A$301,0), Skills!M17+1)</f>
        <v/>
      </c>
      <c r="F506">
        <f>IF(Skills!N17=TRUE,(Skills!L17/10)*(E506/1000),Skills!L17/10)+Skills!O17</f>
        <v/>
      </c>
      <c r="G506">
        <f>Skills!G17*IF(Skills!H17&gt;0,Skills!I17/Skills!H17,1)</f>
        <v/>
      </c>
      <c r="H506">
        <f>1-(1-Skills!J17/100)^Skills!K17</f>
        <v/>
      </c>
      <c r="I506" t="inlineStr">
        <is>
          <t>1</t>
        </is>
      </c>
      <c r="J506" t="inlineStr"/>
      <c r="K506" t="inlineStr"/>
      <c r="L506" t="inlineStr"/>
      <c r="M506" t="inlineStr"/>
      <c r="N506" t="inlineStr"/>
      <c r="O506" t="n">
        <v>0</v>
      </c>
      <c r="P506">
        <f>IF(B524=0,0,O506/B524)</f>
        <v/>
      </c>
      <c r="Q506">
        <f>IFERROR(1/IF(Inputs!$B$4="pvp",15,MAX(0.1,Skills!D17-IF(Skills!E17=TRUE,Inputs!$B$31,0))),0)</f>
        <v/>
      </c>
      <c r="R506">
        <f>IF(AND(Inputs!$B$4&lt;&gt;"pvp",Inputs!$B$35&gt;0),(INT(Inputs!$B$35/IF(Inputs!$B$4="pvp",15,MAX(0.1,Skills!D17-IF(Skills!E17=TRUE,Inputs!$B$31,0))))+1),0)</f>
        <v/>
      </c>
      <c r="S506">
        <f>IFERROR(O506/N506,0)</f>
        <v/>
      </c>
    </row>
    <row r="507">
      <c r="A507">
        <f>Skills!A18</f>
        <v/>
      </c>
      <c r="B507">
        <f>Skills!B18</f>
        <v/>
      </c>
      <c r="C507">
        <f>Inputs!$B$3&gt;=74</f>
        <v/>
      </c>
      <c r="D507">
        <f>IF(Skills!C18=1,60+Inputs!$B$24+Inputs!$B$28,IF(Skills!C18=2,90+Inputs!$B$25+Inputs!$B$28,IF(Skills!C18=3,120+Inputs!$B$26+Inputs!$B$28,MAX(0,(Inputs!$B$3-100)*3)+Inputs!$B$27+Inputs!$B$28)))</f>
        <v/>
      </c>
      <c r="E507">
        <f>INDEX(FactorTable!$B$2:$Y$301, MATCH(ROUND(MIN(300,MAX(1,D507)),0), FactorTable!$A$2:$A$301,0), Skills!M18+1)</f>
        <v/>
      </c>
      <c r="F507">
        <f>IF(Skills!N18=TRUE,(Skills!L18/10)*(E507/1000),Skills!L18/10)+Skills!O18</f>
        <v/>
      </c>
      <c r="G507">
        <f>Skills!G18*IF(Skills!H18&gt;0,Skills!I18/Skills!H18,1)</f>
        <v/>
      </c>
      <c r="H507">
        <f>1-(1-Skills!J18/100)^Skills!K18</f>
        <v/>
      </c>
      <c r="I507" t="inlineStr">
        <is>
          <t>1</t>
        </is>
      </c>
      <c r="J507" t="inlineStr"/>
      <c r="K507" t="inlineStr"/>
      <c r="L507" t="inlineStr"/>
      <c r="M507" t="inlineStr"/>
      <c r="N507" t="inlineStr"/>
      <c r="O507" t="n">
        <v>0</v>
      </c>
      <c r="P507">
        <f>IF(B524=0,0,O507/B524)</f>
        <v/>
      </c>
      <c r="Q507">
        <f>IFERROR(1/IF(Inputs!$B$4="pvp",15,MAX(0.1,Skills!D18-IF(Skills!E18=TRUE,Inputs!$B$31,0))),0)</f>
        <v/>
      </c>
      <c r="R507">
        <f>IF(AND(Inputs!$B$4&lt;&gt;"pvp",Inputs!$B$35&gt;0),(INT(Inputs!$B$35/IF(Inputs!$B$4="pvp",15,MAX(0.1,Skills!D18-IF(Skills!E18=TRUE,Inputs!$B$31,0))))+1),0)</f>
        <v/>
      </c>
      <c r="S507">
        <f>IFERROR(O507/N507,0)</f>
        <v/>
      </c>
    </row>
    <row r="508">
      <c r="A508">
        <f>Skills!A19</f>
        <v/>
      </c>
      <c r="B508">
        <f>Skills!B19</f>
        <v/>
      </c>
      <c r="C508">
        <f>TRUE</f>
        <v/>
      </c>
      <c r="D508">
        <f>IF(Skills!C19=1,60+Inputs!$B$24+Inputs!$B$28,IF(Skills!C19=2,90+Inputs!$B$25+Inputs!$B$28,IF(Skills!C19=3,120+Inputs!$B$26+Inputs!$B$28,MAX(0,(Inputs!$B$3-100)*3)+Inputs!$B$27+Inputs!$B$28)))</f>
        <v/>
      </c>
      <c r="E508">
        <f>INDEX(FactorTable!$B$2:$Y$301, MATCH(ROUND(MIN(300,MAX(1,D508)),0), FactorTable!$A$2:$A$301,0), Skills!M19+1)</f>
        <v/>
      </c>
      <c r="F508">
        <f>IF(Skills!N19=TRUE,(Skills!L19/10)*(E508/1000),Skills!L19/10)+Skills!O19</f>
        <v/>
      </c>
      <c r="G508">
        <f>Skills!G19*IF(Skills!H19&gt;0,Skills!I19/Skills!H19,1)</f>
        <v/>
      </c>
      <c r="H508">
        <f>1-(1-Skills!J19/100)^Skills!K19</f>
        <v/>
      </c>
      <c r="I508" t="inlineStr">
        <is>
          <t>1</t>
        </is>
      </c>
      <c r="J508" t="inlineStr"/>
      <c r="K508" t="inlineStr"/>
      <c r="L508" t="inlineStr"/>
      <c r="M508" t="inlineStr"/>
      <c r="N508" t="inlineStr"/>
      <c r="O508" t="n">
        <v>0</v>
      </c>
      <c r="P508">
        <f>IF(B524=0,0,O508/B524)</f>
        <v/>
      </c>
      <c r="Q508">
        <f>IFERROR(1/IF(Inputs!$B$4="pvp",15,MAX(0.1,Skills!D19-IF(Skills!E19=TRUE,Inputs!$B$31,0))),0)</f>
        <v/>
      </c>
      <c r="R508">
        <f>IF(AND(Inputs!$B$4&lt;&gt;"pvp",Inputs!$B$35&gt;0),(INT(Inputs!$B$35/IF(Inputs!$B$4="pvp",15,MAX(0.1,Skills!D19-IF(Skills!E19=TRUE,Inputs!$B$31,0))))+1),0)</f>
        <v/>
      </c>
      <c r="S508">
        <f>IFERROR(O508/N508,0)</f>
        <v/>
      </c>
    </row>
    <row r="509">
      <c r="A509">
        <f>Skills!A20</f>
        <v/>
      </c>
      <c r="B509">
        <f>Skills!B20</f>
        <v/>
      </c>
      <c r="C509">
        <f>Inputs!$B$3&gt;=33</f>
        <v/>
      </c>
      <c r="D509">
        <f>IF(Skills!C20=1,60+Inputs!$B$24+Inputs!$B$28,IF(Skills!C20=2,90+Inputs!$B$25+Inputs!$B$28,IF(Skills!C20=3,120+Inputs!$B$26+Inputs!$B$28,MAX(0,(Inputs!$B$3-100)*3)+Inputs!$B$27+Inputs!$B$28)))</f>
        <v/>
      </c>
      <c r="E509">
        <f>INDEX(FactorTable!$B$2:$Y$301, MATCH(ROUND(MIN(300,MAX(1,D509)),0), FactorTable!$A$2:$A$301,0), Skills!M20+1)</f>
        <v/>
      </c>
      <c r="F509">
        <f>IF(Skills!N20=TRUE,(Skills!L20/10)*(E509/1000),Skills!L20/10)+Skills!O20</f>
        <v/>
      </c>
      <c r="G509">
        <f>Skills!G20*IF(Skills!H20&gt;0,Skills!I20/Skills!H20,1)</f>
        <v/>
      </c>
      <c r="H509">
        <f>1-(1-Skills!J20/100)^Skills!K20</f>
        <v/>
      </c>
      <c r="I509" t="inlineStr">
        <is>
          <t>1</t>
        </is>
      </c>
      <c r="J509" t="inlineStr"/>
      <c r="K509" t="inlineStr"/>
      <c r="L509" t="inlineStr"/>
      <c r="M509" t="inlineStr"/>
      <c r="N509" t="inlineStr"/>
      <c r="O509" t="n">
        <v>0</v>
      </c>
      <c r="P509">
        <f>IF(B524=0,0,O509/B524)</f>
        <v/>
      </c>
      <c r="Q509" t="n">
        <v>0</v>
      </c>
      <c r="R509" t="n">
        <v>0</v>
      </c>
      <c r="S509">
        <f>IFERROR(O509/N509,0)</f>
        <v/>
      </c>
    </row>
    <row r="510">
      <c r="A510">
        <f>Skills!A21</f>
        <v/>
      </c>
      <c r="B510">
        <f>Skills!B21</f>
        <v/>
      </c>
      <c r="C510">
        <f>Inputs!$B$3&gt;=38</f>
        <v/>
      </c>
      <c r="D510">
        <f>IF(Skills!C21=1,60+Inputs!$B$24+Inputs!$B$28,IF(Skills!C21=2,90+Inputs!$B$25+Inputs!$B$28,IF(Skills!C21=3,120+Inputs!$B$26+Inputs!$B$28,MAX(0,(Inputs!$B$3-100)*3)+Inputs!$B$27+Inputs!$B$28)))</f>
        <v/>
      </c>
      <c r="E510">
        <f>INDEX(FactorTable!$B$2:$Y$301, MATCH(ROUND(MIN(300,MAX(1,D510)),0), FactorTable!$A$2:$A$301,0), Skills!M21+1)</f>
        <v/>
      </c>
      <c r="F510">
        <f>IF(Skills!N21=TRUE,(Skills!L21/10)*(E510/1000),Skills!L21/10)+Skills!O21</f>
        <v/>
      </c>
      <c r="G510">
        <f>Skills!G21*IF(Skills!H21&gt;0,Skills!I21/Skills!H21,1)</f>
        <v/>
      </c>
      <c r="H510">
        <f>1-(1-Skills!J21/100)^Skills!K21</f>
        <v/>
      </c>
      <c r="I510" t="inlineStr">
        <is>
          <t>1</t>
        </is>
      </c>
      <c r="J510" t="inlineStr"/>
      <c r="K510" t="inlineStr"/>
      <c r="L510" t="inlineStr"/>
      <c r="M510" t="inlineStr"/>
      <c r="N510" t="inlineStr"/>
      <c r="O510" t="n">
        <v>0</v>
      </c>
      <c r="P510">
        <f>IF(B524=0,0,O510/B524)</f>
        <v/>
      </c>
      <c r="Q510" t="n">
        <v>0</v>
      </c>
      <c r="R510" t="n">
        <v>0</v>
      </c>
      <c r="S510">
        <f>IFERROR(O510/N510,0)</f>
        <v/>
      </c>
    </row>
    <row r="511">
      <c r="A511">
        <f>Skills!A22</f>
        <v/>
      </c>
      <c r="B511">
        <f>Skills!B22</f>
        <v/>
      </c>
      <c r="C511">
        <f>Inputs!$B$3&gt;=43</f>
        <v/>
      </c>
      <c r="D511">
        <f>IF(Skills!C22=1,60+Inputs!$B$24+Inputs!$B$28,IF(Skills!C22=2,90+Inputs!$B$25+Inputs!$B$28,IF(Skills!C22=3,120+Inputs!$B$26+Inputs!$B$28,MAX(0,(Inputs!$B$3-100)*3)+Inputs!$B$27+Inputs!$B$28)))</f>
        <v/>
      </c>
      <c r="E511">
        <f>INDEX(FactorTable!$B$2:$Y$301, MATCH(ROUND(MIN(300,MAX(1,D511)),0), FactorTable!$A$2:$A$301,0), Skills!M22+1)</f>
        <v/>
      </c>
      <c r="F511">
        <f>IF(Skills!N22=TRUE,(Skills!L22/10)*(E511/1000),Skills!L22/10)+Skills!O22</f>
        <v/>
      </c>
      <c r="G511">
        <f>Skills!G22*IF(Skills!H22&gt;0,Skills!I22/Skills!H22,1)</f>
        <v/>
      </c>
      <c r="H511">
        <f>1-(1-Skills!J22/100)^Skills!K22</f>
        <v/>
      </c>
      <c r="I511" t="inlineStr">
        <is>
          <t>1</t>
        </is>
      </c>
      <c r="J511" t="inlineStr"/>
      <c r="K511" t="inlineStr"/>
      <c r="L511" t="inlineStr"/>
      <c r="M511" t="inlineStr"/>
      <c r="N511" t="inlineStr"/>
      <c r="O511" t="n">
        <v>0</v>
      </c>
      <c r="P511">
        <f>IF(B524=0,0,O511/B524)</f>
        <v/>
      </c>
      <c r="Q511" t="n">
        <v>0</v>
      </c>
      <c r="R511" t="n">
        <v>0</v>
      </c>
      <c r="S511">
        <f>IFERROR(O511/N511,0)</f>
        <v/>
      </c>
    </row>
    <row r="512">
      <c r="A512">
        <f>Skills!A23</f>
        <v/>
      </c>
      <c r="B512">
        <f>Skills!B23</f>
        <v/>
      </c>
      <c r="C512">
        <f>Inputs!$B$3&gt;=120</f>
        <v/>
      </c>
      <c r="D512">
        <f>IF(Skills!C23=1,60+Inputs!$B$24+Inputs!$B$28,IF(Skills!C23=2,90+Inputs!$B$25+Inputs!$B$28,IF(Skills!C23=3,120+Inputs!$B$26+Inputs!$B$28,MAX(0,(Inputs!$B$3-100)*3)+Inputs!$B$27+Inputs!$B$28)))</f>
        <v/>
      </c>
      <c r="E512">
        <f>INDEX(FactorTable!$B$2:$Y$301, MATCH(ROUND(MIN(300,MAX(1,D512)),0), FactorTable!$A$2:$A$301,0), Skills!M23+1)</f>
        <v/>
      </c>
      <c r="F512">
        <f>IF(Skills!N23=TRUE,(Skills!L23/10)*(E512/1000),Skills!L23/10)+Skills!O23</f>
        <v/>
      </c>
      <c r="G512">
        <f>Skills!G23*IF(Skills!H23&gt;0,Skills!I23/Skills!H23,1)</f>
        <v/>
      </c>
      <c r="H512">
        <f>1-(1-Skills!J23/100)^Skills!K23</f>
        <v/>
      </c>
      <c r="I512" t="inlineStr">
        <is>
          <t>1</t>
        </is>
      </c>
      <c r="J512" t="inlineStr"/>
      <c r="K512" t="inlineStr"/>
      <c r="L512" t="inlineStr"/>
      <c r="M512" t="inlineStr"/>
      <c r="N512" t="inlineStr"/>
      <c r="O512" t="n">
        <v>0</v>
      </c>
      <c r="P512">
        <f>IF(B524=0,0,O512/B524)</f>
        <v/>
      </c>
      <c r="Q512" t="n">
        <v>0</v>
      </c>
      <c r="R512" t="n">
        <v>0</v>
      </c>
      <c r="S512">
        <f>IFERROR(O512/N512,0)</f>
        <v/>
      </c>
    </row>
    <row r="513">
      <c r="A513">
        <f>Skills!A24</f>
        <v/>
      </c>
      <c r="B513">
        <f>Skills!B24</f>
        <v/>
      </c>
      <c r="C513">
        <f>Inputs!$B$3&gt;=120</f>
        <v/>
      </c>
      <c r="D513">
        <f>IF(Skills!C24=1,60+Inputs!$B$24+Inputs!$B$28,IF(Skills!C24=2,90+Inputs!$B$25+Inputs!$B$28,IF(Skills!C24=3,120+Inputs!$B$26+Inputs!$B$28,MAX(0,(Inputs!$B$3-100)*3)+Inputs!$B$27+Inputs!$B$28)))</f>
        <v/>
      </c>
      <c r="E513">
        <f>INDEX(FactorTable!$B$2:$Y$301, MATCH(ROUND(MIN(300,MAX(1,D513)),0), FactorTable!$A$2:$A$301,0), Skills!M24+1)</f>
        <v/>
      </c>
      <c r="F513">
        <f>IF(Skills!N24=TRUE,(Skills!L24/10)*(E513/1000),Skills!L24/10)+Skills!O24</f>
        <v/>
      </c>
      <c r="G513">
        <f>Skills!G24*IF(Skills!H24&gt;0,Skills!I24/Skills!H24,1)</f>
        <v/>
      </c>
      <c r="H513">
        <f>1-(1-Skills!J24/100)^Skills!K24</f>
        <v/>
      </c>
      <c r="I513" t="inlineStr">
        <is>
          <t>1</t>
        </is>
      </c>
      <c r="J513" t="inlineStr"/>
      <c r="K513" t="inlineStr"/>
      <c r="L513" t="inlineStr"/>
      <c r="M513" t="inlineStr"/>
      <c r="N513" t="inlineStr"/>
      <c r="O513" t="n">
        <v>0</v>
      </c>
      <c r="P513">
        <f>IF(B524=0,0,O513/B524)</f>
        <v/>
      </c>
      <c r="Q513" t="n">
        <v>0</v>
      </c>
      <c r="R513" t="n">
        <v>0</v>
      </c>
      <c r="S513">
        <f>IFERROR(O513/N513,0)</f>
        <v/>
      </c>
    </row>
    <row r="515">
      <c r="A515" t="inlineStr">
        <is>
          <t>Attack% Bucket Multiplier</t>
        </is>
      </c>
      <c r="B515">
        <f>(1+(((C502=TRUE)*F502*MIN(1,Skills!T13*(Skills!J13/100)*B520))+((C507=TRUE)*F507*IF(AND(Inputs!$B$4&lt;&gt;"pvp",Inputs!$B$35&gt;0),(((S507-1)*(Skills!T18*(1+Inputs!$B$33/100))+MIN((Skills!T18*(1+Inputs!$B$33/100)),MAX(0,Inputs!$B$35-((S507-1)*Skills!D18))))/Inputs!$B$35),IF(Inputs!$B$4="pvp",MIN((Skills!T18*(1+Inputs!$B$33/100)),15)/15,(Skills!T18*(1+Inputs!$B$33/100))/Skills!D18)))+0)/100)</f>
        <v/>
      </c>
    </row>
    <row r="516">
      <c r="A516" t="inlineStr">
        <is>
          <t>Global Crit Rate Bonus %</t>
        </is>
      </c>
      <c r="B516" t="n">
        <v>0</v>
      </c>
    </row>
    <row r="517">
      <c r="A517" t="inlineStr">
        <is>
          <t>Attack Speed Buff Bonus %</t>
        </is>
      </c>
      <c r="B517">
        <f>((C508=TRUE)*F508*IF(AND(Inputs!$B$4&lt;&gt;"pvp",Inputs!$B$35&gt;0),(((S508-1)*(Skills!T19*(1+Inputs!$B$33/100))+MIN((Skills!T19*(1+Inputs!$B$33/100)),MAX(0,Inputs!$B$35-((S508-1)*Skills!D19))))/Inputs!$B$35),IF(Inputs!$B$4="pvp",MIN((Skills!T19*(1+Inputs!$B$33/100)),15)/15,(Skills!T19*(1+Inputs!$B$33/100))/Skills!D19)))</f>
        <v/>
      </c>
    </row>
    <row r="518">
      <c r="A518" t="inlineStr">
        <is>
          <t>Actions Per Second</t>
        </is>
      </c>
      <c r="B518">
        <f>1+MIN(150,150*(1-(1-(((1-(1-Inputs!$B$10/150)*(1-1/150))*150)+((C509=TRUE)*(F509-Calc!F20)))/150)*(1-B517/150)))/100</f>
        <v/>
      </c>
    </row>
    <row r="519">
      <c r="A519" t="inlineStr">
        <is>
          <t>Skill + Buff Cast Rate</t>
        </is>
      </c>
      <c r="B519">
        <f>IF(AND(Inputs!$B$4&lt;&gt;"pvp",Inputs!$B$35&gt;0),SUMPRODUCT((Skills!E2:E24=TRUE)*(C491:C513=TRUE)*R491:R513*Skills!F2:F24)/Inputs!$B$35,SUMPRODUCT((Skills!E2:E24=TRUE)*(C491:C513=TRUE)*Q491:Q513*Skills!F2:F24))</f>
        <v/>
      </c>
    </row>
    <row r="520">
      <c r="A520" t="inlineStr">
        <is>
          <t>Blast Casts Per Second</t>
        </is>
      </c>
      <c r="B520">
        <f>MAX(0,B518-B519)</f>
        <v/>
      </c>
    </row>
    <row r="521">
      <c r="A521" t="inlineStr">
        <is>
          <t>Global Critical Damage Bonus % (unused)</t>
        </is>
      </c>
      <c r="B521" t="n">
        <v>0</v>
      </c>
    </row>
    <row r="522">
      <c r="A522" t="inlineStr">
        <is>
          <t>Global Final Damage Bonus % (Divine Shield + Guardian + Divine Blessing + Greater Vessel of Light)</t>
        </is>
      </c>
      <c r="B522">
        <f>((C504=TRUE)*F504*IF(AND(Inputs!$B$4&lt;&gt;"pvp",Inputs!$B$35&gt;0),(((S504-1)*(Skills!T15*(1+Inputs!$B$33/100))+MIN((Skills!T15*(1+Inputs!$B$33/100)),MAX(0,Inputs!$B$35-((S504-1)*Skills!D15))))/Inputs!$B$35),IF(Inputs!$B$4="pvp",MIN((Skills!T15*(1+Inputs!$B$33/100)),15)/15,(Skills!T15*(1+Inputs!$B$33/100))/Skills!D15)))+((C505=TRUE)*F505*IF(AND(Inputs!$B$4&lt;&gt;"pvp",Inputs!$B$35&gt;0),(((S505-1)*(Skills!T16*(1+Inputs!$B$33/100))+MIN((Skills!T16*(1+Inputs!$B$33/100)),MAX(0,Inputs!$B$35-((S505-1)*Skills!D16))))/Inputs!$B$35),IF(Inputs!$B$4="pvp",MIN((Skills!T16*(1+Inputs!$B$33/100)),15)/15,(Skills!T16*(1+Inputs!$B$33/100))/Skills!D16)))+((C506=TRUE)*F506*IF(AND(Inputs!$B$4&lt;&gt;"pvp",Inputs!$B$35&gt;0),(((S506-1)*(Skills!T17*(1+Inputs!$B$33/100))+MIN((Skills!T17*(1+Inputs!$B$33/100)),MAX(0,Inputs!$B$35-((S506-1)*Skills!D17))))/Inputs!$B$35),IF(Inputs!$B$4="pvp",MIN((Skills!T17*(1+Inputs!$B$33/100)),15)/15,(Skills!T17*(1+Inputs!$B$33/100))/Skills!D17)))+((C503=TRUE)*F503*MIN(1,Skills!T13*(Skills!J13/100)*B520))</f>
        <v/>
      </c>
    </row>
    <row r="524">
      <c r="A524" s="5" t="inlineStr">
        <is>
          <t>TOTAL DPS</t>
        </is>
      </c>
      <c r="B524" s="5">
        <f>SUM(O491:O513)</f>
        <v/>
      </c>
    </row>
    <row r="527">
      <c r="A527" s="5" t="inlineStr">
        <is>
          <t>Stat: DEF_PEN % (diminishing returns, factor 100)</t>
        </is>
      </c>
    </row>
    <row r="528">
      <c r="A528" s="8" t="inlineStr">
        <is>
          <t>Key</t>
        </is>
      </c>
      <c r="B528" s="8" t="inlineStr">
        <is>
          <t>Name</t>
        </is>
      </c>
      <c r="C528" s="8" t="inlineStr">
        <is>
          <t>Unlocked</t>
        </is>
      </c>
      <c r="D528" s="8" t="inlineStr">
        <is>
          <t>InputLevel</t>
        </is>
      </c>
      <c r="E528" s="8" t="inlineStr">
        <is>
          <t>Factor</t>
        </is>
      </c>
      <c r="F528" s="8" t="inlineStr">
        <is>
          <t>CoefficientPercent</t>
        </is>
      </c>
      <c r="G528" s="8" t="inlineStr">
        <is>
          <t>EffectiveHits</t>
        </is>
      </c>
      <c r="H528" s="8" t="inlineStr">
        <is>
          <t>ProcProbability</t>
        </is>
      </c>
      <c r="I528" s="8" t="inlineStr">
        <is>
          <t>MapleHeroMultiplier</t>
        </is>
      </c>
      <c r="J528" s="8" t="inlineStr">
        <is>
          <t>BaseDamage</t>
        </is>
      </c>
      <c r="K528" s="8" t="inlineStr">
        <is>
          <t>BaseHitDamage</t>
        </is>
      </c>
      <c r="L528" s="8" t="inlineStr">
        <is>
          <t>NonCritAvg</t>
        </is>
      </c>
      <c r="M528" s="8" t="inlineStr">
        <is>
          <t>CritAvg</t>
        </is>
      </c>
      <c r="N528" s="8" t="inlineStr">
        <is>
          <t>ExpectedDamage(perHit)</t>
        </is>
      </c>
      <c r="O528" s="8" t="inlineStr">
        <is>
          <t>DPS</t>
        </is>
      </c>
      <c r="P528" s="8" t="inlineStr">
        <is>
          <t>% of Total</t>
        </is>
      </c>
      <c r="Q528" s="8" t="inlineStr">
        <is>
          <t>InvCooldown</t>
        </is>
      </c>
      <c r="R528" s="8" t="inlineStr">
        <is>
          <t>CastsInFight</t>
        </is>
      </c>
      <c r="S528" s="8" t="inlineStr">
        <is>
          <t>HitRate(perSec)</t>
        </is>
      </c>
      <c r="U528" t="inlineStr">
        <is>
          <t>helpers</t>
        </is>
      </c>
    </row>
    <row r="529">
      <c r="A529">
        <f>Skills!A2</f>
        <v/>
      </c>
      <c r="B529">
        <f>Skills!B2</f>
        <v/>
      </c>
      <c r="C529">
        <f>Inputs!$B$3&gt;=100</f>
        <v/>
      </c>
      <c r="D529" t="inlineStr"/>
      <c r="E529" t="inlineStr"/>
      <c r="F529">
        <f>U531+Skills!O2</f>
        <v/>
      </c>
      <c r="G529">
        <f>Skills!G2*IF(Skills!H2&gt;0,Skills!I2/Skills!H2,1)</f>
        <v/>
      </c>
      <c r="H529">
        <f>1-(1-Skills!J2/100)^Skills!K2</f>
        <v/>
      </c>
      <c r="I529" t="inlineStr">
        <is>
          <t>1</t>
        </is>
      </c>
      <c r="J529">
        <f>(Inputs!$B$5*(1+Inputs!$B$6/100))*(F529/100)</f>
        <v/>
      </c>
      <c r="K529">
        <f>J529*(1+((Inputs!$B$11*(1+Inputs!$B$12/100))*0.01+Inputs!$B$13*0.0025)/100)*(1+Inputs!$B$14/100)*(1+IF(Inputs!$B$4="pvp",0,(1-Summary!$B$55)*(Inputs!$B$19+0+Skills!P2)+Summary!$B$55*(Inputs!$B$20+Skills!Q2))/100)*(1+Inputs!$B$15/100)*(5000/(6000+Inputs!$B$7*(1-(((1-(1-Inputs!$B$18/100)*(1-1/100))*100)+0)/100)))*(1+(Inputs!$B$23+0+B560)/100)*(1+(IF(Skills!A2="BLAST",Inputs!$B$16+((C548=TRUE)*(F548-Calc!F21)),Inputs!$B$17+((C550=TRUE)*(F550-Calc!F23))))/100)*((1+(((C540=TRUE)*F540*MIN(1,Skills!T13*(Skills!J13/100)*B558))+((C545=TRUE)*F545*IF(AND(Inputs!$B$4&lt;&gt;"pvp",Inputs!$B$35&gt;0),(((S545-1)*(Skills!T18*(1+Inputs!$B$33/100))+MIN((Skills!T18*(1+Inputs!$B$33/100)),MAX(0,Inputs!$B$35-((S545-1)*Skills!D18))))/Inputs!$B$35),IF(Inputs!$B$4="pvp",MIN((Skills!T18*(1+Inputs!$B$33/100)),15)/15,(Skills!T18*(1+Inputs!$B$33/100))/Skills!D18)))+0)/100)*I529)</f>
        <v/>
      </c>
      <c r="L529">
        <f>K529*(MIN(Inputs!$B$21+((C549=TRUE)*(F549-Calc!F22)),Inputs!$B$22+((C551=TRUE)*(F551-Calc!F24)))/100+(Inputs!$B$22+((C551=TRUE)*(F551-Calc!F24)))/100)/2</f>
        <v/>
      </c>
      <c r="M529">
        <f>L529*(1+(Inputs!$B$9+0+B559)/100)</f>
        <v/>
      </c>
      <c r="N529">
        <f>L529*(1-MIN((Inputs!$B$8+0+B554),100)/100)+M529*(MIN((Inputs!$B$8+0+B554),100)/100)</f>
        <v/>
      </c>
      <c r="O529">
        <f>IF(C529,Skills!G2*N529*B558*IF(Inputs!$B$4="pvp",1,(1-Summary!$B$55)*(1)+Summary!$B$55*(MIN((6+Inputs!$B$32),Inputs!$B$37))),0)</f>
        <v/>
      </c>
      <c r="P529">
        <f>IF(B562=0,0,O529/B562)</f>
        <v/>
      </c>
      <c r="Q529" t="n">
        <v>0</v>
      </c>
      <c r="R529" t="n">
        <v>0</v>
      </c>
      <c r="S529">
        <f>IFERROR(O529/N529,0)</f>
        <v/>
      </c>
      <c r="U529">
        <f>MAX(0,(Inputs!$B$3-100)*3)+Inputs!$B$27+Inputs!$B$28</f>
        <v/>
      </c>
    </row>
    <row r="530">
      <c r="A530">
        <f>Skills!A3</f>
        <v/>
      </c>
      <c r="B530">
        <f>Skills!B3</f>
        <v/>
      </c>
      <c r="C530">
        <f>Inputs!$B$3&gt;=50</f>
        <v/>
      </c>
      <c r="D530">
        <f>IF(Skills!C3=1,60+Inputs!$B$24+Inputs!$B$28,IF(Skills!C3=2,90+Inputs!$B$25+Inputs!$B$28,IF(Skills!C3=3,120+Inputs!$B$26+Inputs!$B$28,MAX(0,(Inputs!$B$3-100)*3)+Inputs!$B$27+Inputs!$B$28)))</f>
        <v/>
      </c>
      <c r="E530">
        <f>INDEX(FactorTable!$B$2:$Y$301, MATCH(ROUND(MIN(300,MAX(1,D530)),0), FactorTable!$A$2:$A$301,0), Skills!M3+1)</f>
        <v/>
      </c>
      <c r="F530">
        <f>IF(Skills!N3=TRUE,(Skills!L3/10)*(E530/1000),Skills!L3/10)+Skills!O3</f>
        <v/>
      </c>
      <c r="G530" t="inlineStr"/>
      <c r="H530" t="inlineStr"/>
      <c r="I530" t="inlineStr">
        <is>
          <t>1</t>
        </is>
      </c>
      <c r="J530" t="inlineStr"/>
      <c r="K530" t="inlineStr"/>
      <c r="L530" t="inlineStr"/>
      <c r="M530" t="inlineStr"/>
      <c r="N530" t="inlineStr"/>
      <c r="O530" t="inlineStr"/>
      <c r="P530" t="inlineStr"/>
      <c r="Q530" t="inlineStr"/>
      <c r="R530" t="inlineStr"/>
      <c r="S530" t="inlineStr"/>
      <c r="U530">
        <f>INDEX(FactorTable!$B$2:$Y$301, MATCH(ROUND(MIN(300,MAX(1,U529)),0), FactorTable!$A$2:$A$301,0), 22)</f>
        <v/>
      </c>
    </row>
    <row r="531">
      <c r="A531">
        <f>Skills!A4</f>
        <v/>
      </c>
      <c r="B531">
        <f>Skills!B4</f>
        <v/>
      </c>
      <c r="C531">
        <f>Inputs!$B$3&gt;=35</f>
        <v/>
      </c>
      <c r="D531">
        <f>IF(Skills!C4=1,60+Inputs!$B$24+Inputs!$B$28,IF(Skills!C4=2,90+Inputs!$B$25+Inputs!$B$28,IF(Skills!C4=3,120+Inputs!$B$26+Inputs!$B$28,MAX(0,(Inputs!$B$3-100)*3)+Inputs!$B$27+Inputs!$B$28)))</f>
        <v/>
      </c>
      <c r="E531">
        <f>INDEX(FactorTable!$B$2:$Y$301, MATCH(ROUND(MIN(300,MAX(1,D531)),0), FactorTable!$A$2:$A$301,0), Skills!M4+1)</f>
        <v/>
      </c>
      <c r="F531">
        <f>IF(Skills!N4=TRUE,(Skills!L4/10)*(E531/1000),Skills!L4/10)+Skills!O4</f>
        <v/>
      </c>
      <c r="G531">
        <f>Skills!G4*IF(Skills!H4&gt;0,Skills!I4/Skills!H4,1)</f>
        <v/>
      </c>
      <c r="H531">
        <f>1-(1-Skills!J4/100)^Skills!K4</f>
        <v/>
      </c>
      <c r="I531" t="inlineStr">
        <is>
          <t>1</t>
        </is>
      </c>
      <c r="J531">
        <f>(Inputs!$B$5*(1+Inputs!$B$6/100))*(F531/100)</f>
        <v/>
      </c>
      <c r="K531">
        <f>J531*(1+((Inputs!$B$11*(1+Inputs!$B$12/100))*0.01+Inputs!$B$13*0.0025)/100)*(1+Inputs!$B$14/100)*(1+IF(Inputs!$B$4="pvp",0,(1-Summary!$B$55)*(Inputs!$B$19+0+Skills!P4)+Summary!$B$55*(Inputs!$B$20+Skills!Q4))/100)*(1+Inputs!$B$15/100)*(5000/(6000+Inputs!$B$7*(1-(((1-(1-Inputs!$B$18/100)*(1-1/100))*100)+0)/100)))*(1+(Inputs!$B$23+0+B560)/100)*(1+4.0*IF(C539=TRUE,F539,0)/100)*(1+(IF(Skills!A4="BLAST",Inputs!$B$16+((C548=TRUE)*(F548-Calc!F21)),Inputs!$B$17+((C550=TRUE)*(F550-Calc!F23))))/100)*((1+(((C540=TRUE)*F540*MIN(1,Skills!T13*(Skills!J13/100)*B558))+((C545=TRUE)*F545*IF(AND(Inputs!$B$4&lt;&gt;"pvp",Inputs!$B$35&gt;0),(((S545-1)*(Skills!T18*(1+Inputs!$B$33/100))+MIN((Skills!T18*(1+Inputs!$B$33/100)),MAX(0,Inputs!$B$35-((S545-1)*Skills!D18))))/Inputs!$B$35),IF(Inputs!$B$4="pvp",MIN((Skills!T18*(1+Inputs!$B$33/100)),15)/15,(Skills!T18*(1+Inputs!$B$33/100))/Skills!D18)))+0)/100)*I531)</f>
        <v/>
      </c>
      <c r="L531">
        <f>K531*(MIN(Inputs!$B$21+((C549=TRUE)*(F549-Calc!F22)),Inputs!$B$22+((C551=TRUE)*(F551-Calc!F24)))/100+(Inputs!$B$22+((C551=TRUE)*(F551-Calc!F24)))/100)/2</f>
        <v/>
      </c>
      <c r="M531">
        <f>L531*(1+(Inputs!$B$9+0+B559)/100)</f>
        <v/>
      </c>
      <c r="N531">
        <f>L531*(1-MIN((Inputs!$B$8+0+B554),100)/100)+M531*(MIN((Inputs!$B$8+0+B554),100)/100)</f>
        <v/>
      </c>
      <c r="O531">
        <f>IF(C531,H531*N531*IF(AND(Inputs!$B$4&lt;&gt;"pvp",Inputs!$B$35&gt;0),((Skills!G4*((R531-1)*IF(Skills!H4&gt;0,Skills!I4/Skills!H4,1)+IF(Skills!H4&gt;0,MIN(Skills!I4,MAX(0,Inputs!$B$35-((R531-1)*IF(Inputs!$B$4="pvp",15,MAX(0.1,Skills!D4-IF(Skills!E4=TRUE,Inputs!$B$31,0))))))/Skills!H4,1)))/Inputs!$B$35),G531*Q531)*IF(Inputs!$B$4="pvp",1,(1-Summary!$B$55)*(1)+Summary!$B$55*(MIN(Skills!R4,Inputs!$B$37))),0)</f>
        <v/>
      </c>
      <c r="P531">
        <f>IF(B562=0,0,O531/B562)</f>
        <v/>
      </c>
      <c r="Q531">
        <f>IFERROR(1/IF(Inputs!$B$4="pvp",15,MAX(0.1,Skills!D4-IF(Skills!E4=TRUE,Inputs!$B$31,0))),0)</f>
        <v/>
      </c>
      <c r="R531">
        <f>IF(AND(Inputs!$B$4&lt;&gt;"pvp",Inputs!$B$35&gt;0),(INT(Inputs!$B$35/IF(Inputs!$B$4="pvp",15,MAX(0.1,Skills!D4-IF(Skills!E4=TRUE,Inputs!$B$31,0))))+1),0)</f>
        <v/>
      </c>
      <c r="S531">
        <f>IFERROR(O531/N531,0)</f>
        <v/>
      </c>
      <c r="U531">
        <f>290*U530/1000</f>
        <v/>
      </c>
    </row>
    <row r="532">
      <c r="A532">
        <f>Skills!A5</f>
        <v/>
      </c>
      <c r="B532">
        <f>Skills!B5</f>
        <v/>
      </c>
      <c r="C532">
        <f>Inputs!$B$3&gt;=66</f>
        <v/>
      </c>
      <c r="D532">
        <f>IF(Skills!C5=1,60+Inputs!$B$24+Inputs!$B$28,IF(Skills!C5=2,90+Inputs!$B$25+Inputs!$B$28,IF(Skills!C5=3,120+Inputs!$B$26+Inputs!$B$28,MAX(0,(Inputs!$B$3-100)*3)+Inputs!$B$27+Inputs!$B$28)))</f>
        <v/>
      </c>
      <c r="E532">
        <f>INDEX(FactorTable!$B$2:$Y$301, MATCH(ROUND(MIN(300,MAX(1,D532)),0), FactorTable!$A$2:$A$301,0), Skills!M5+1)</f>
        <v/>
      </c>
      <c r="F532">
        <f>IF(Skills!N5=TRUE,(Skills!L5/10)*(E532/1000),Skills!L5/10)+Skills!O5</f>
        <v/>
      </c>
      <c r="G532">
        <f>Skills!G5*IF(Skills!H5&gt;0,Skills!I5/Skills!H5,1)</f>
        <v/>
      </c>
      <c r="H532">
        <f>1-(1-Skills!J5/100)^Skills!K5</f>
        <v/>
      </c>
      <c r="I532" t="inlineStr">
        <is>
          <t>1</t>
        </is>
      </c>
      <c r="J532">
        <f>(Inputs!$B$5*(1+Inputs!$B$6/100))*(F532/100)</f>
        <v/>
      </c>
      <c r="K532">
        <f>J532*(1+((Inputs!$B$11*(1+Inputs!$B$12/100))*0.01+Inputs!$B$13*0.0025)/100)*(1+Inputs!$B$14/100)*(1+IF(Inputs!$B$4="pvp",0,(1-Summary!$B$55)*(Inputs!$B$19+0+Skills!P5)+Summary!$B$55*(Inputs!$B$20+Skills!Q5))/100)*(1+Inputs!$B$15/100)*(5000/(6000+Inputs!$B$7*(1-(((1-(1-Inputs!$B$18/100)*(1-1/100))*100)+0)/100)))*(1+(Inputs!$B$23+0+B560)/100)*(1+1.0*IF(C539=TRUE,F539,0)/100)*(1+(IF(Skills!A5="BLAST",Inputs!$B$16+((C548=TRUE)*(F548-Calc!F21)),Inputs!$B$17+((C550=TRUE)*(F550-Calc!F23))))/100)*((1+(((C540=TRUE)*F540*MIN(1,Skills!T13*(Skills!J13/100)*B558))+((C545=TRUE)*F545*IF(AND(Inputs!$B$4&lt;&gt;"pvp",Inputs!$B$35&gt;0),(((S545-1)*(Skills!T18*(1+Inputs!$B$33/100))+MIN((Skills!T18*(1+Inputs!$B$33/100)),MAX(0,Inputs!$B$35-((S545-1)*Skills!D18))))/Inputs!$B$35),IF(Inputs!$B$4="pvp",MIN((Skills!T18*(1+Inputs!$B$33/100)),15)/15,(Skills!T18*(1+Inputs!$B$33/100))/Skills!D18)))+0)/100)*I532)</f>
        <v/>
      </c>
      <c r="L532">
        <f>K532*(MIN(Inputs!$B$21+((C549=TRUE)*(F549-Calc!F22)),Inputs!$B$22+((C551=TRUE)*(F551-Calc!F24)))/100+(Inputs!$B$22+((C551=TRUE)*(F551-Calc!F24)))/100)/2</f>
        <v/>
      </c>
      <c r="M532">
        <f>L532*(1+(Inputs!$B$9+0+B559)/100)</f>
        <v/>
      </c>
      <c r="N532">
        <f>L532*(1-MIN((Inputs!$B$8+0+B554),100)/100)+M532*(MIN((Inputs!$B$8+0+B554),100)/100)</f>
        <v/>
      </c>
      <c r="O532">
        <f>IF(C532,H532*N532*IF(AND(Inputs!$B$4&lt;&gt;"pvp",Inputs!$B$35&gt;0),((Skills!G5*((R532-1)*IF(Skills!H5&gt;0,Skills!I5/Skills!H5,1)+IF(Skills!H5&gt;0,MIN(Skills!I5,MAX(0,Inputs!$B$35-((R532-1)*IF(Inputs!$B$4="pvp",15,MAX(0.1,Skills!D5-IF(Skills!E5=TRUE,Inputs!$B$31,0))))))/Skills!H5,1)))/Inputs!$B$35),G532*Q532)*IF(Inputs!$B$4="pvp",1,(1-Summary!$B$55)*(1)+Summary!$B$55*(MIN(Skills!R5,Inputs!$B$37))),0)</f>
        <v/>
      </c>
      <c r="P532">
        <f>IF(B562=0,0,O532/B562)</f>
        <v/>
      </c>
      <c r="Q532">
        <f>IFERROR(1/IF(Inputs!$B$4="pvp",15,MAX(0.1,Skills!D5-IF(Skills!E5=TRUE,Inputs!$B$31,0))),0)</f>
        <v/>
      </c>
      <c r="R532">
        <f>IF(AND(Inputs!$B$4&lt;&gt;"pvp",Inputs!$B$35&gt;0),(INT(Inputs!$B$35/IF(Inputs!$B$4="pvp",15,MAX(0.1,Skills!D5-IF(Skills!E5=TRUE,Inputs!$B$31,0))))+1),0)</f>
        <v/>
      </c>
      <c r="S532">
        <f>IFERROR(O532/N532,0)</f>
        <v/>
      </c>
    </row>
    <row r="533">
      <c r="A533">
        <f>Skills!A6</f>
        <v/>
      </c>
      <c r="B533">
        <f>Skills!B6</f>
        <v/>
      </c>
      <c r="C533">
        <f>Inputs!$B$3&gt;=103</f>
        <v/>
      </c>
      <c r="D533">
        <f>IF(Skills!C6=1,60+Inputs!$B$24+Inputs!$B$28,IF(Skills!C6=2,90+Inputs!$B$25+Inputs!$B$28,IF(Skills!C6=3,120+Inputs!$B$26+Inputs!$B$28,MAX(0,(Inputs!$B$3-100)*3)+Inputs!$B$27+Inputs!$B$28)))</f>
        <v/>
      </c>
      <c r="E533">
        <f>INDEX(FactorTable!$B$2:$Y$301, MATCH(ROUND(MIN(300,MAX(1,D533)),0), FactorTable!$A$2:$A$301,0), Skills!M6+1)</f>
        <v/>
      </c>
      <c r="F533">
        <f>IF(Skills!N6=TRUE,(Skills!L6/10)*(E533/1000),Skills!L6/10)+Skills!O6</f>
        <v/>
      </c>
      <c r="G533">
        <f>Skills!G6*IF(Skills!H6&gt;0,Skills!I6/Skills!H6,1)</f>
        <v/>
      </c>
      <c r="H533">
        <f>1-(1-Skills!J6/100)^Skills!K6</f>
        <v/>
      </c>
      <c r="I533" t="inlineStr">
        <is>
          <t>1</t>
        </is>
      </c>
      <c r="J533">
        <f>(Inputs!$B$5*(1+Inputs!$B$6/100))*(F533/100)</f>
        <v/>
      </c>
      <c r="K533">
        <f>J533*(1+((Inputs!$B$11*(1+Inputs!$B$12/100))*0.01+Inputs!$B$13*0.0025)/100)*(1+Inputs!$B$14/100)*(1+IF(Inputs!$B$4="pvp",0,(1-Summary!$B$55)*(Inputs!$B$19+0+Skills!P6)+Summary!$B$55*(Inputs!$B$20+Skills!Q6))/100)*(1+Inputs!$B$15/100)*(5000/(6000+Inputs!$B$7*(1-(((1-(1-Inputs!$B$18/100)*(1-1/100))*100)+0)/100)))*(1+(Inputs!$B$23+0+B560)/100)*(1+(IF(Skills!A6="BLAST",Inputs!$B$16+((C548=TRUE)*(F548-Calc!F21)),Inputs!$B$17+((C550=TRUE)*(F550-Calc!F23))))/100)*((1+(((C540=TRUE)*F540*MIN(1,Skills!T13*(Skills!J13/100)*B558))+((C545=TRUE)*F545*IF(AND(Inputs!$B$4&lt;&gt;"pvp",Inputs!$B$35&gt;0),(((S545-1)*(Skills!T18*(1+Inputs!$B$33/100))+MIN((Skills!T18*(1+Inputs!$B$33/100)),MAX(0,Inputs!$B$35-((S545-1)*Skills!D18))))/Inputs!$B$35),IF(Inputs!$B$4="pvp",MIN((Skills!T18*(1+Inputs!$B$33/100)),15)/15,(Skills!T18*(1+Inputs!$B$33/100))/Skills!D18)))+0)/100)*I533)</f>
        <v/>
      </c>
      <c r="L533">
        <f>K533*(MIN(Inputs!$B$21+((C549=TRUE)*(F549-Calc!F22)),Inputs!$B$22+((C551=TRUE)*(F551-Calc!F24)))/100+(Inputs!$B$22+((C551=TRUE)*(F551-Calc!F24)))/100)/2</f>
        <v/>
      </c>
      <c r="M533">
        <f>L533*(1+(Inputs!$B$9+0+B559)/100)</f>
        <v/>
      </c>
      <c r="N533">
        <f>L533*(1-MIN((Inputs!$B$8+0+B554),100)/100)+M533*(MIN((Inputs!$B$8+0+B554),100)/100)</f>
        <v/>
      </c>
      <c r="O533">
        <f>IF(C533,H533*N533*IF(AND(Inputs!$B$4&lt;&gt;"pvp",Inputs!$B$35&gt;0),((Skills!G6*((R533-1)*IF(Skills!H6&gt;0,Skills!I6/Skills!H6,1)+IF(Skills!H6&gt;0,MIN(Skills!I6,MAX(0,Inputs!$B$35-((R533-1)*IF(Inputs!$B$4="pvp",15,MAX(0.1,Skills!D6-IF(Skills!E6=TRUE,Inputs!$B$31,0))))))/Skills!H6,1)))/Inputs!$B$35),G533*Q533)*IF(Inputs!$B$4="pvp",1,(1-Summary!$B$55)*(1)+Summary!$B$55*(MIN(Skills!R6,Inputs!$B$37))),0)</f>
        <v/>
      </c>
      <c r="P533">
        <f>IF(B562=0,0,O533/B562)</f>
        <v/>
      </c>
      <c r="Q533">
        <f>IFERROR(1/IF(Inputs!$B$4="pvp",15,MAX(0.1,Skills!D6-IF(Skills!E6=TRUE,Inputs!$B$31,0))),0)</f>
        <v/>
      </c>
      <c r="R533">
        <f>IF(AND(Inputs!$B$4&lt;&gt;"pvp",Inputs!$B$35&gt;0),(INT(Inputs!$B$35/IF(Inputs!$B$4="pvp",15,MAX(0.1,Skills!D6-IF(Skills!E6=TRUE,Inputs!$B$31,0))))+1),0)</f>
        <v/>
      </c>
      <c r="S533">
        <f>IFERROR(O533/N533,0)</f>
        <v/>
      </c>
    </row>
    <row r="534">
      <c r="A534">
        <f>Skills!A7</f>
        <v/>
      </c>
      <c r="B534">
        <f>Skills!B7</f>
        <v/>
      </c>
      <c r="C534">
        <f>Inputs!$B$3&gt;=107</f>
        <v/>
      </c>
      <c r="D534">
        <f>IF(Skills!C7=1,60+Inputs!$B$24+Inputs!$B$28,IF(Skills!C7=2,90+Inputs!$B$25+Inputs!$B$28,IF(Skills!C7=3,120+Inputs!$B$26+Inputs!$B$28,MAX(0,(Inputs!$B$3-100)*3)+Inputs!$B$27+Inputs!$B$28)))</f>
        <v/>
      </c>
      <c r="E534">
        <f>INDEX(FactorTable!$B$2:$Y$301, MATCH(ROUND(MIN(300,MAX(1,D534)),0), FactorTable!$A$2:$A$301,0), Skills!M7+1)</f>
        <v/>
      </c>
      <c r="F534">
        <f>IF(Skills!N7=TRUE,(Skills!L7/10)*(E534/1000),Skills!L7/10)+Skills!O7</f>
        <v/>
      </c>
      <c r="G534">
        <f>Skills!G7*IF(Skills!H7&gt;0,Skills!I7/Skills!H7,1)</f>
        <v/>
      </c>
      <c r="H534">
        <f>1-(1-Skills!J7/100)^Skills!K7</f>
        <v/>
      </c>
      <c r="I534" t="inlineStr">
        <is>
          <t>1</t>
        </is>
      </c>
      <c r="J534">
        <f>(Inputs!$B$5*(1+Inputs!$B$6/100))*(F534/100)</f>
        <v/>
      </c>
      <c r="K534">
        <f>J534*(1+((Inputs!$B$11*(1+Inputs!$B$12/100))*0.01+Inputs!$B$13*0.0025)/100)*(1+Inputs!$B$14/100)*(1+IF(Inputs!$B$4="pvp",0,(1-Summary!$B$55)*(Inputs!$B$19+0+Skills!P7)+Summary!$B$55*(Inputs!$B$20+Skills!Q7))/100)*(1+Inputs!$B$15/100)*(5000/(6000+Inputs!$B$7*(1-(((1-(1-Inputs!$B$18/100)*(1-1/100))*100)+0)/100)))*(1+(Inputs!$B$23+0+B560)/100)*(1+(IF(Skills!A7="BLAST",Inputs!$B$16+((C548=TRUE)*(F548-Calc!F21)),Inputs!$B$17+((C550=TRUE)*(F550-Calc!F23))))/100)*((1+(((C540=TRUE)*F540*MIN(1,Skills!T13*(Skills!J13/100)*B558))+((C545=TRUE)*F545*IF(AND(Inputs!$B$4&lt;&gt;"pvp",Inputs!$B$35&gt;0),(((S545-1)*(Skills!T18*(1+Inputs!$B$33/100))+MIN((Skills!T18*(1+Inputs!$B$33/100)),MAX(0,Inputs!$B$35-((S545-1)*Skills!D18))))/Inputs!$B$35),IF(Inputs!$B$4="pvp",MIN((Skills!T18*(1+Inputs!$B$33/100)),15)/15,(Skills!T18*(1+Inputs!$B$33/100))/Skills!D18)))+0)/100)*I534)</f>
        <v/>
      </c>
      <c r="L534">
        <f>K534*(MIN(Inputs!$B$21+((C549=TRUE)*(F549-Calc!F22)),Inputs!$B$22+((C551=TRUE)*(F551-Calc!F24)))/100+(Inputs!$B$22+((C551=TRUE)*(F551-Calc!F24)))/100)/2</f>
        <v/>
      </c>
      <c r="M534">
        <f>L534*(1+(Inputs!$B$9+0+B559)/100)</f>
        <v/>
      </c>
      <c r="N534">
        <f>L534*(1-MIN((Inputs!$B$8+0+B554),100)/100)+M534*(MIN((Inputs!$B$8+0+B554),100)/100)</f>
        <v/>
      </c>
      <c r="O534">
        <f>IF(C534,H534*N534*IF(AND(Inputs!$B$4&lt;&gt;"pvp",Inputs!$B$35&gt;0),((Skills!G7*((R534-1)*IF(Skills!H7&gt;0,Skills!I7/Skills!H7,1)+IF(Skills!H7&gt;0,MIN(Skills!I7,MAX(0,Inputs!$B$35-((R534-1)*IF(Inputs!$B$4="pvp",15,MAX(0.1,Skills!D7-IF(Skills!E7=TRUE,Inputs!$B$31,0))))))/Skills!H7,1)))/Inputs!$B$35),G534*Q534)*IF(Inputs!$B$4="pvp",1,(1-Summary!$B$55)*(1)+Summary!$B$55*(MIN(Skills!R7,Inputs!$B$37))),0)</f>
        <v/>
      </c>
      <c r="P534">
        <f>IF(B562=0,0,O534/B562)</f>
        <v/>
      </c>
      <c r="Q534">
        <f>IFERROR(1/IF(Inputs!$B$4="pvp",15,MAX(0.1,Skills!D7-IF(Skills!E7=TRUE,Inputs!$B$31,0))),0)</f>
        <v/>
      </c>
      <c r="R534">
        <f>IF(AND(Inputs!$B$4&lt;&gt;"pvp",Inputs!$B$35&gt;0),(INT(Inputs!$B$35/IF(Inputs!$B$4="pvp",15,MAX(0.1,Skills!D7-IF(Skills!E7=TRUE,Inputs!$B$31,0))))+1),0)</f>
        <v/>
      </c>
      <c r="S534">
        <f>IFERROR(O534/N534,0)</f>
        <v/>
      </c>
    </row>
    <row r="535">
      <c r="A535">
        <f>Skills!A8</f>
        <v/>
      </c>
      <c r="B535">
        <f>Skills!B8</f>
        <v/>
      </c>
      <c r="C535">
        <f>Inputs!$B$3&gt;=107</f>
        <v/>
      </c>
      <c r="D535">
        <f>IF(Skills!C8=1,60+Inputs!$B$24+Inputs!$B$28,IF(Skills!C8=2,90+Inputs!$B$25+Inputs!$B$28,IF(Skills!C8=3,120+Inputs!$B$26+Inputs!$B$28,MAX(0,(Inputs!$B$3-100)*3)+Inputs!$B$27+Inputs!$B$28)))</f>
        <v/>
      </c>
      <c r="E535">
        <f>INDEX(FactorTable!$B$2:$Y$301, MATCH(ROUND(MIN(300,MAX(1,D535)),0), FactorTable!$A$2:$A$301,0), Skills!M8+1)</f>
        <v/>
      </c>
      <c r="F535">
        <f>IF(Skills!N8=TRUE,(Skills!L8/10)*(E535/1000),Skills!L8/10)+Skills!O8</f>
        <v/>
      </c>
      <c r="G535">
        <f>Skills!G8*IF(Skills!H8&gt;0,Skills!I8/Skills!H8,1)</f>
        <v/>
      </c>
      <c r="H535">
        <f>1-(1-Skills!J8/100)^Skills!K8</f>
        <v/>
      </c>
      <c r="I535" t="inlineStr">
        <is>
          <t>1</t>
        </is>
      </c>
      <c r="J535">
        <f>(Inputs!$B$5*(1+Inputs!$B$6/100))*(F535/100)</f>
        <v/>
      </c>
      <c r="K535">
        <f>J535*(1+((Inputs!$B$11*(1+Inputs!$B$12/100))*0.01+Inputs!$B$13*0.0025)/100)*(1+Inputs!$B$14/100)*(1+IF(Inputs!$B$4="pvp",0,(1-Summary!$B$55)*(Inputs!$B$19+0+Skills!P8)+Summary!$B$55*(Inputs!$B$20+Skills!Q8))/100)*(1+Inputs!$B$15/100)*(5000/(6000+Inputs!$B$7*(1-(((1-(1-Inputs!$B$18/100)*(1-1/100))*100)+0)/100)))*(1+(Inputs!$B$23+0+B560)/100)*(1+(IF(Skills!A8="BLAST",Inputs!$B$16+((C548=TRUE)*(F548-Calc!F21)),Inputs!$B$17+((C550=TRUE)*(F550-Calc!F23))))/100)*((1+(((C540=TRUE)*F540*MIN(1,Skills!T13*(Skills!J13/100)*B558))+((C545=TRUE)*F545*IF(AND(Inputs!$B$4&lt;&gt;"pvp",Inputs!$B$35&gt;0),(((S545-1)*(Skills!T18*(1+Inputs!$B$33/100))+MIN((Skills!T18*(1+Inputs!$B$33/100)),MAX(0,Inputs!$B$35-((S545-1)*Skills!D18))))/Inputs!$B$35),IF(Inputs!$B$4="pvp",MIN((Skills!T18*(1+Inputs!$B$33/100)),15)/15,(Skills!T18*(1+Inputs!$B$33/100))/Skills!D18)))+0)/100)*I535)</f>
        <v/>
      </c>
      <c r="L535">
        <f>K535*(MIN(Inputs!$B$21+((C549=TRUE)*(F549-Calc!F22)),Inputs!$B$22+((C551=TRUE)*(F551-Calc!F24)))/100+(Inputs!$B$22+((C551=TRUE)*(F551-Calc!F24)))/100)/2</f>
        <v/>
      </c>
      <c r="M535">
        <f>L535*(1+(Inputs!$B$9+0+B559)/100)</f>
        <v/>
      </c>
      <c r="N535">
        <f>L535*(1-MIN((Inputs!$B$8+0+B554),100)/100)+M535*(MIN((Inputs!$B$8+0+B554),100)/100)</f>
        <v/>
      </c>
      <c r="O535">
        <f>IF(C535,H535*N535*IF(AND(Inputs!$B$4&lt;&gt;"pvp",Inputs!$B$35&gt;0),((Skills!G8*((R535-1)*IF(Skills!H8&gt;0,Skills!I8/Skills!H8,1)+IF(Skills!H8&gt;0,MIN(Skills!I8,MAX(0,Inputs!$B$35-((R535-1)*IF(Inputs!$B$4="pvp",15,MAX(0.1,Skills!D8-IF(Skills!E8=TRUE,Inputs!$B$31,0))))))/Skills!H8,1)))/Inputs!$B$35),G535*Q535)*IF(Inputs!$B$4="pvp",1,(1-Summary!$B$55)*(1)+Summary!$B$55*(MIN(Skills!R8,Inputs!$B$37))),0)</f>
        <v/>
      </c>
      <c r="P535">
        <f>IF(B562=0,0,O535/B562)</f>
        <v/>
      </c>
      <c r="Q535">
        <f>IFERROR(1/IF(Inputs!$B$4="pvp",15,MAX(0.1,Skills!D8-IF(Skills!E8=TRUE,Inputs!$B$31,0))),0)</f>
        <v/>
      </c>
      <c r="R535">
        <f>IF(AND(Inputs!$B$4&lt;&gt;"pvp",Inputs!$B$35&gt;0),(INT(Inputs!$B$35/IF(Inputs!$B$4="pvp",15,MAX(0.1,Skills!D8-IF(Skills!E8=TRUE,Inputs!$B$31,0))))+1),0)</f>
        <v/>
      </c>
      <c r="S535">
        <f>IFERROR(O535/N535,0)</f>
        <v/>
      </c>
    </row>
    <row r="536">
      <c r="A536">
        <f>Skills!A9</f>
        <v/>
      </c>
      <c r="B536">
        <f>Skills!B9</f>
        <v/>
      </c>
      <c r="C536">
        <f>Inputs!$B$3&gt;=125</f>
        <v/>
      </c>
      <c r="D536">
        <f>IF(Skills!C9=1,60+Inputs!$B$24+Inputs!$B$28,IF(Skills!C9=2,90+Inputs!$B$25+Inputs!$B$28,IF(Skills!C9=3,120+Inputs!$B$26+Inputs!$B$28,MAX(0,(Inputs!$B$3-100)*3)+Inputs!$B$27+Inputs!$B$28)))</f>
        <v/>
      </c>
      <c r="E536">
        <f>INDEX(FactorTable!$B$2:$Y$301, MATCH(ROUND(MIN(300,MAX(1,D536)),0), FactorTable!$A$2:$A$301,0), Skills!M9+1)</f>
        <v/>
      </c>
      <c r="F536">
        <f>IF(Skills!N9=TRUE,(Skills!L9/10)*(E536/1000),Skills!L9/10)+Skills!O9</f>
        <v/>
      </c>
      <c r="G536">
        <f>Skills!G9*IF(Skills!H9&gt;0,Skills!I9/Skills!H9,1)</f>
        <v/>
      </c>
      <c r="H536">
        <f>1-(1-Skills!J9/100)^Skills!K9</f>
        <v/>
      </c>
      <c r="I536" t="inlineStr">
        <is>
          <t>1</t>
        </is>
      </c>
      <c r="J536">
        <f>(Inputs!$B$5*(1+Inputs!$B$6/100))*(F536/100)</f>
        <v/>
      </c>
      <c r="K536">
        <f>J536*(1+((Inputs!$B$11*(1+Inputs!$B$12/100))*0.01+Inputs!$B$13*0.0025)/100)*(1+Inputs!$B$14/100)*(1+IF(Inputs!$B$4="pvp",0,(1-Summary!$B$55)*(Inputs!$B$19+0+Skills!P9)+Summary!$B$55*(Inputs!$B$20+Skills!Q9))/100)*(1+Inputs!$B$15/100)*(5000/(6000+Inputs!$B$7*(1-(((1-(1-Inputs!$B$18/100)*(1-1/100))*100)+0)/100)))*(1+(Inputs!$B$23+0+B560)/100)*(1+(IF(Skills!A9="BLAST",Inputs!$B$16+((C548=TRUE)*(F548-Calc!F21)),Inputs!$B$17+((C550=TRUE)*(F550-Calc!F23))))/100)*((1+(((C540=TRUE)*F540*MIN(1,Skills!T13*(Skills!J13/100)*B558))+((C545=TRUE)*F545*IF(AND(Inputs!$B$4&lt;&gt;"pvp",Inputs!$B$35&gt;0),(((S545-1)*(Skills!T18*(1+Inputs!$B$33/100))+MIN((Skills!T18*(1+Inputs!$B$33/100)),MAX(0,Inputs!$B$35-((S545-1)*Skills!D18))))/Inputs!$B$35),IF(Inputs!$B$4="pvp",MIN((Skills!T18*(1+Inputs!$B$33/100)),15)/15,(Skills!T18*(1+Inputs!$B$33/100))/Skills!D18)))+0)/100)*I536)</f>
        <v/>
      </c>
      <c r="L536">
        <f>K536*(MIN(Inputs!$B$21+((C549=TRUE)*(F549-Calc!F22)),Inputs!$B$22+((C551=TRUE)*(F551-Calc!F24)))/100+(Inputs!$B$22+((C551=TRUE)*(F551-Calc!F24)))/100)/2</f>
        <v/>
      </c>
      <c r="M536">
        <f>L536*(1+(Inputs!$B$9+0+B559)/100)</f>
        <v/>
      </c>
      <c r="N536">
        <f>L536*(1-MIN((Inputs!$B$8+0+B554),100)/100)+M536*(MIN((Inputs!$B$8+0+B554),100)/100)</f>
        <v/>
      </c>
      <c r="O536">
        <f>IF(C536,H536*N536*IF(AND(Inputs!$B$4&lt;&gt;"pvp",Inputs!$B$35&gt;0),((Skills!G9*((R536-1)*IF(Skills!H9&gt;0,Skills!I9/Skills!H9,1)+IF(Skills!H9&gt;0,MIN(Skills!I9,MAX(0,Inputs!$B$35-((R536-1)*IF(Inputs!$B$4="pvp",15,MAX(0.1,Skills!D9-IF(Skills!E9=TRUE,Inputs!$B$31,0))))))/Skills!H9,1)))/Inputs!$B$35),G536*Q536)*IF(Inputs!$B$4="pvp",1,(1-Summary!$B$55)*(1)+Summary!$B$55*(MIN(Skills!R9,Inputs!$B$37))),0)</f>
        <v/>
      </c>
      <c r="P536">
        <f>IF(B562=0,0,O536/B562)</f>
        <v/>
      </c>
      <c r="Q536">
        <f>IFERROR(1/IF(Inputs!$B$4="pvp",15,MAX(0.1,Skills!D9-IF(Skills!E9=TRUE,Inputs!$B$31,0))),0)</f>
        <v/>
      </c>
      <c r="R536">
        <f>IF(AND(Inputs!$B$4&lt;&gt;"pvp",Inputs!$B$35&gt;0),(INT(Inputs!$B$35/IF(Inputs!$B$4="pvp",15,MAX(0.1,Skills!D9-IF(Skills!E9=TRUE,Inputs!$B$31,0))))+1),0)</f>
        <v/>
      </c>
      <c r="S536">
        <f>IFERROR(O536/N536,0)</f>
        <v/>
      </c>
    </row>
    <row r="537">
      <c r="A537">
        <f>Skills!A10</f>
        <v/>
      </c>
      <c r="B537">
        <f>Skills!B10</f>
        <v/>
      </c>
      <c r="C537">
        <f>Inputs!$B$3&gt;=117</f>
        <v/>
      </c>
      <c r="D537">
        <f>IF(Skills!C10=1,60+Inputs!$B$24+Inputs!$B$28,IF(Skills!C10=2,90+Inputs!$B$25+Inputs!$B$28,IF(Skills!C10=3,120+Inputs!$B$26+Inputs!$B$28,MAX(0,(Inputs!$B$3-100)*3)+Inputs!$B$27+Inputs!$B$28)))</f>
        <v/>
      </c>
      <c r="E537">
        <f>INDEX(FactorTable!$B$2:$Y$301, MATCH(ROUND(MIN(300,MAX(1,D537)),0), FactorTable!$A$2:$A$301,0), Skills!M10+1)</f>
        <v/>
      </c>
      <c r="F537">
        <f>IF(Skills!N10=TRUE,(Skills!L10/10)*(E537/1000),Skills!L10/10)+Skills!O10</f>
        <v/>
      </c>
      <c r="G537">
        <f>Skills!G10*IF(Skills!H10&gt;0,Skills!I10/Skills!H10,1)</f>
        <v/>
      </c>
      <c r="H537">
        <f>1-(1-Skills!J10/100)^Skills!K10</f>
        <v/>
      </c>
      <c r="I537" t="inlineStr">
        <is>
          <t>1</t>
        </is>
      </c>
      <c r="J537">
        <f>(Inputs!$B$5*(1+Inputs!$B$6/100))*(F537/100)</f>
        <v/>
      </c>
      <c r="K537">
        <f>J537*(1+((Inputs!$B$11*(1+Inputs!$B$12/100))*0.01+Inputs!$B$13*0.0025)/100)*(1+Inputs!$B$14/100)*(1+IF(Inputs!$B$4="pvp",0,(1-Summary!$B$55)*(Inputs!$B$19+0+Skills!P10)+Summary!$B$55*(Inputs!$B$20+Skills!Q10))/100)*(1+Inputs!$B$15/100)*(5000/(6000+Inputs!$B$7*(1-(((1-(1-Inputs!$B$18/100)*(1-1/100))*100)+0)/100)))*(1+(Inputs!$B$23+0+B560)/100)*(1+(IF(Skills!A10="BLAST",Inputs!$B$16+((C548=TRUE)*(F548-Calc!F21)),Inputs!$B$17+((C550=TRUE)*(F550-Calc!F23))))/100)*((1+(((C540=TRUE)*F540*MIN(1,Skills!T13*(Skills!J13/100)*B558))+((C545=TRUE)*F545*IF(AND(Inputs!$B$4&lt;&gt;"pvp",Inputs!$B$35&gt;0),(((S545-1)*(Skills!T18*(1+Inputs!$B$33/100))+MIN((Skills!T18*(1+Inputs!$B$33/100)),MAX(0,Inputs!$B$35-((S545-1)*Skills!D18))))/Inputs!$B$35),IF(Inputs!$B$4="pvp",MIN((Skills!T18*(1+Inputs!$B$33/100)),15)/15,(Skills!T18*(1+Inputs!$B$33/100))/Skills!D18)))+0)/100)*I537)</f>
        <v/>
      </c>
      <c r="L537">
        <f>K537*(MIN(Inputs!$B$21+((C549=TRUE)*(F549-Calc!F22)),Inputs!$B$22+((C551=TRUE)*(F551-Calc!F24)))/100+(Inputs!$B$22+((C551=TRUE)*(F551-Calc!F24)))/100)/2</f>
        <v/>
      </c>
      <c r="M537">
        <f>L537*(1+(Inputs!$B$9+0+B559)/100)</f>
        <v/>
      </c>
      <c r="N537">
        <f>L537*(1-MIN((Inputs!$B$8+0+B554),100)/100)+M537*(MIN((Inputs!$B$8+0+B554),100)/100)</f>
        <v/>
      </c>
      <c r="O537">
        <f>IF(C537,H537*N537*IF(AND(Inputs!$B$4&lt;&gt;"pvp",Inputs!$B$35&gt;0),((Skills!G10*((R537-1)*IF(Skills!H10&gt;0,Skills!I10/Skills!H10,1)+IF(Skills!H10&gt;0,MIN(Skills!I10,MAX(0,Inputs!$B$35-((R537-1)*IF(Inputs!$B$4="pvp",15,MAX(0.1,Skills!D10-IF(Skills!E10=TRUE,Inputs!$B$31,0))))))/Skills!H10,1)))/Inputs!$B$35),G537*Q537)*IF(Inputs!$B$4="pvp",1,(1-Summary!$B$55)*(1)+Summary!$B$55*(MIN(Skills!R10,Inputs!$B$37))),0)</f>
        <v/>
      </c>
      <c r="P537">
        <f>IF(B562=0,0,O537/B562)</f>
        <v/>
      </c>
      <c r="Q537">
        <f>IFERROR(1/IF(Inputs!$B$4="pvp",15,MAX(0.1,Skills!D10-IF(Skills!E10=TRUE,Inputs!$B$31,0))),0)</f>
        <v/>
      </c>
      <c r="R537">
        <f>IF(AND(Inputs!$B$4&lt;&gt;"pvp",Inputs!$B$35&gt;0),(INT(Inputs!$B$35/IF(Inputs!$B$4="pvp",15,MAX(0.1,Skills!D10-IF(Skills!E10=TRUE,Inputs!$B$31,0))))+1),0)</f>
        <v/>
      </c>
      <c r="S537">
        <f>IFERROR(O537/N537,0)</f>
        <v/>
      </c>
    </row>
    <row r="538">
      <c r="A538">
        <f>Skills!A11</f>
        <v/>
      </c>
      <c r="B538">
        <f>Skills!B11</f>
        <v/>
      </c>
      <c r="C538">
        <f>Inputs!$B$3&gt;=63</f>
        <v/>
      </c>
      <c r="D538">
        <f>IF(Skills!C11=1,60+Inputs!$B$24+Inputs!$B$28,IF(Skills!C11=2,90+Inputs!$B$25+Inputs!$B$28,IF(Skills!C11=3,120+Inputs!$B$26+Inputs!$B$28,MAX(0,(Inputs!$B$3-100)*3)+Inputs!$B$27+Inputs!$B$28)))</f>
        <v/>
      </c>
      <c r="E538">
        <f>INDEX(FactorTable!$B$2:$Y$301, MATCH(ROUND(MIN(300,MAX(1,D538)),0), FactorTable!$A$2:$A$301,0), Skills!M11+1)</f>
        <v/>
      </c>
      <c r="F538">
        <f>IF(Skills!N11=TRUE,(Skills!L11/10)*(E538/1000),Skills!L11/10)+Skills!O11</f>
        <v/>
      </c>
      <c r="G538">
        <f>Skills!G11*IF(Skills!H11&gt;0,Skills!I11/Skills!H11,1)</f>
        <v/>
      </c>
      <c r="H538">
        <f>1-(1-Skills!J11/100)^Skills!K11</f>
        <v/>
      </c>
      <c r="I538" t="inlineStr">
        <is>
          <t>1</t>
        </is>
      </c>
      <c r="J538">
        <f>(Inputs!$B$5*(1+Inputs!$B$6/100))*(F538/100)</f>
        <v/>
      </c>
      <c r="K538">
        <f>J538*(1+((Inputs!$B$11*(1+Inputs!$B$12/100))*0.01+Inputs!$B$13*0.0025)/100)*(1+Inputs!$B$14/100)*(1+IF(Inputs!$B$4="pvp",0,(1-Summary!$B$55)*(Inputs!$B$19+0+Skills!P11)+Summary!$B$55*(Inputs!$B$20+Skills!Q11))/100)*(1+Inputs!$B$15/100)*(5000/(6000+Inputs!$B$7*(1-(((1-(1-Inputs!$B$18/100)*(1-1/100))*100)+0)/100)))*(1+(Inputs!$B$23+0+B560)/100)*(1+1.5*IF(C539=TRUE,F539,0)/100)*(1+(IF(Skills!A11="BLAST",Inputs!$B$16+((C548=TRUE)*(F548-Calc!F21)),Inputs!$B$17+((C550=TRUE)*(F550-Calc!F23))))/100)*((1+(((C540=TRUE)*F540*MIN(1,Skills!T13*(Skills!J13/100)*B558))+((C545=TRUE)*F545*IF(AND(Inputs!$B$4&lt;&gt;"pvp",Inputs!$B$35&gt;0),(((S545-1)*(Skills!T18*(1+Inputs!$B$33/100))+MIN((Skills!T18*(1+Inputs!$B$33/100)),MAX(0,Inputs!$B$35-((S545-1)*Skills!D18))))/Inputs!$B$35),IF(Inputs!$B$4="pvp",MIN((Skills!T18*(1+Inputs!$B$33/100)),15)/15,(Skills!T18*(1+Inputs!$B$33/100))/Skills!D18)))+0)/100)*I538)</f>
        <v/>
      </c>
      <c r="L538">
        <f>K538*(MIN(Inputs!$B$21+((C549=TRUE)*(F549-Calc!F22)),Inputs!$B$22+((C551=TRUE)*(F551-Calc!F24)))/100+(Inputs!$B$22+((C551=TRUE)*(F551-Calc!F24)))/100)/2</f>
        <v/>
      </c>
      <c r="M538">
        <f>L538*(1+(Inputs!$B$9+0+B559)/100)</f>
        <v/>
      </c>
      <c r="N538">
        <f>L538*(1-MIN((Inputs!$B$8+0+B554),100)/100)+M538*(MIN((Inputs!$B$8+0+B554),100)/100)</f>
        <v/>
      </c>
      <c r="O538">
        <f>IF(C538,H538*N538*IF(AND(Inputs!$B$4&lt;&gt;"pvp",Inputs!$B$35&gt;0),((Skills!G11*((R538-1)*IF(Skills!H11&gt;0,Skills!I11/Skills!H11,1)+IF(Skills!H11&gt;0,MIN(Skills!I11,MAX(0,Inputs!$B$35-((R538-1)*IF(Inputs!$B$4="pvp",15,MAX(0.1,Skills!D11-IF(Skills!E11=TRUE,Inputs!$B$31,0))))))/Skills!H11,1)))/Inputs!$B$35),G538*Q538)*IF(Inputs!$B$4="pvp",1,(1-Summary!$B$55)*(1)+Summary!$B$55*(MIN(Skills!R11,Inputs!$B$37))),0)</f>
        <v/>
      </c>
      <c r="P538">
        <f>IF(B562=0,0,O538/B562)</f>
        <v/>
      </c>
      <c r="Q538">
        <f>IFERROR(1/IF(Inputs!$B$4="pvp",15,MAX(0.1,Skills!D11-IF(Skills!E11=TRUE,Inputs!$B$31,0))),0)</f>
        <v/>
      </c>
      <c r="R538">
        <f>IF(AND(Inputs!$B$4&lt;&gt;"pvp",Inputs!$B$35&gt;0),(INT(Inputs!$B$35/IF(Inputs!$B$4="pvp",15,MAX(0.1,Skills!D11-IF(Skills!E11=TRUE,Inputs!$B$31,0))))+1),0)</f>
        <v/>
      </c>
      <c r="S538">
        <f>IFERROR(O538/N538,0)</f>
        <v/>
      </c>
    </row>
    <row r="539">
      <c r="A539">
        <f>Skills!A12</f>
        <v/>
      </c>
      <c r="B539">
        <f>Skills!B12</f>
        <v/>
      </c>
      <c r="C539">
        <f>Inputs!$B$3&gt;=100</f>
        <v/>
      </c>
      <c r="D539">
        <f>IF(Skills!C12=1,60+Inputs!$B$24+Inputs!$B$28,IF(Skills!C12=2,90+Inputs!$B$25+Inputs!$B$28,IF(Skills!C12=3,120+Inputs!$B$26+Inputs!$B$28,MAX(0,(Inputs!$B$3-100)*3)+Inputs!$B$27+Inputs!$B$28)))</f>
        <v/>
      </c>
      <c r="E539">
        <f>INDEX(FactorTable!$B$2:$Y$301, MATCH(ROUND(MIN(300,MAX(1,D539)),0), FactorTable!$A$2:$A$301,0), Skills!M12+1)</f>
        <v/>
      </c>
      <c r="F539">
        <f>IF(Skills!N12=TRUE,(Skills!L12/10)*(E539/1000),Skills!L12/10)+Skills!O12</f>
        <v/>
      </c>
      <c r="G539" t="inlineStr"/>
      <c r="H539" t="inlineStr"/>
      <c r="I539" t="inlineStr">
        <is>
          <t>1</t>
        </is>
      </c>
      <c r="J539" t="inlineStr"/>
      <c r="K539" t="inlineStr"/>
      <c r="L539" t="inlineStr"/>
      <c r="M539" t="inlineStr"/>
      <c r="N539" t="inlineStr"/>
      <c r="O539" t="inlineStr"/>
      <c r="P539" t="inlineStr"/>
      <c r="Q539" t="inlineStr"/>
      <c r="R539" t="inlineStr"/>
      <c r="S539" t="inlineStr"/>
    </row>
    <row r="540">
      <c r="A540">
        <f>Skills!A13</f>
        <v/>
      </c>
      <c r="B540">
        <f>Skills!B13</f>
        <v/>
      </c>
      <c r="C540">
        <f>Inputs!$B$3&gt;=45</f>
        <v/>
      </c>
      <c r="D540">
        <f>IF(Skills!C13=1,60+Inputs!$B$24+Inputs!$B$28,IF(Skills!C13=2,90+Inputs!$B$25+Inputs!$B$28,IF(Skills!C13=3,120+Inputs!$B$26+Inputs!$B$28,MAX(0,(Inputs!$B$3-100)*3)+Inputs!$B$27+Inputs!$B$28)))</f>
        <v/>
      </c>
      <c r="E540">
        <f>INDEX(FactorTable!$B$2:$Y$301, MATCH(ROUND(MIN(300,MAX(1,D540)),0), FactorTable!$A$2:$A$301,0), Skills!M13+1)</f>
        <v/>
      </c>
      <c r="F540">
        <f>IF(Skills!N13=TRUE,(Skills!L13/10)*(E540/1000),Skills!L13/10)+Skills!O13</f>
        <v/>
      </c>
      <c r="G540">
        <f>Skills!G13*IF(Skills!H13&gt;0,Skills!I13/Skills!H13,1)</f>
        <v/>
      </c>
      <c r="H540">
        <f>1-(1-Skills!J13/100)^Skills!K13</f>
        <v/>
      </c>
      <c r="I540" t="inlineStr">
        <is>
          <t>1</t>
        </is>
      </c>
      <c r="J540" t="inlineStr"/>
      <c r="K540" t="inlineStr"/>
      <c r="L540" t="inlineStr"/>
      <c r="M540" t="inlineStr"/>
      <c r="N540" t="inlineStr"/>
      <c r="O540" t="n">
        <v>0</v>
      </c>
      <c r="P540">
        <f>IF(B562=0,0,O540/B562)</f>
        <v/>
      </c>
      <c r="Q540" t="n">
        <v>0</v>
      </c>
      <c r="R540" t="n">
        <v>0</v>
      </c>
      <c r="S540">
        <f>IFERROR(O540/N540,0)</f>
        <v/>
      </c>
    </row>
    <row r="541">
      <c r="A541">
        <f>Skills!A14</f>
        <v/>
      </c>
      <c r="B541">
        <f>Skills!B14</f>
        <v/>
      </c>
      <c r="C541">
        <f>Inputs!$B$3&gt;=110</f>
        <v/>
      </c>
      <c r="D541">
        <f>IF(Skills!C14=1,60+Inputs!$B$24+Inputs!$B$28,IF(Skills!C14=2,90+Inputs!$B$25+Inputs!$B$28,IF(Skills!C14=3,120+Inputs!$B$26+Inputs!$B$28,MAX(0,(Inputs!$B$3-100)*3)+Inputs!$B$27+Inputs!$B$28)))</f>
        <v/>
      </c>
      <c r="E541">
        <f>INDEX(FactorTable!$B$2:$Y$301, MATCH(ROUND(MIN(300,MAX(1,D541)),0), FactorTable!$A$2:$A$301,0), Skills!M14+1)</f>
        <v/>
      </c>
      <c r="F541">
        <f>IF(Skills!N14=TRUE,(Skills!L14/10)*(E541/1000),Skills!L14/10)+Skills!O14</f>
        <v/>
      </c>
      <c r="G541">
        <f>Skills!G14*IF(Skills!H14&gt;0,Skills!I14/Skills!H14,1)</f>
        <v/>
      </c>
      <c r="H541">
        <f>1-(1-Skills!J14/100)^Skills!K14</f>
        <v/>
      </c>
      <c r="I541" t="inlineStr">
        <is>
          <t>1</t>
        </is>
      </c>
      <c r="J541" t="inlineStr"/>
      <c r="K541" t="inlineStr"/>
      <c r="L541" t="inlineStr"/>
      <c r="M541" t="inlineStr"/>
      <c r="N541" t="inlineStr"/>
      <c r="O541" t="n">
        <v>0</v>
      </c>
      <c r="P541">
        <f>IF(B562=0,0,O541/B562)</f>
        <v/>
      </c>
      <c r="Q541" t="n">
        <v>0</v>
      </c>
      <c r="R541" t="n">
        <v>0</v>
      </c>
      <c r="S541">
        <f>IFERROR(O541/N541,0)</f>
        <v/>
      </c>
    </row>
    <row r="542">
      <c r="A542">
        <f>Skills!A15</f>
        <v/>
      </c>
      <c r="B542">
        <f>Skills!B15</f>
        <v/>
      </c>
      <c r="C542">
        <f>Inputs!$B$3&gt;=75</f>
        <v/>
      </c>
      <c r="D542">
        <f>IF(Skills!C15=1,60+Inputs!$B$24+Inputs!$B$28,IF(Skills!C15=2,90+Inputs!$B$25+Inputs!$B$28,IF(Skills!C15=3,120+Inputs!$B$26+Inputs!$B$28,MAX(0,(Inputs!$B$3-100)*3)+Inputs!$B$27+Inputs!$B$28)))</f>
        <v/>
      </c>
      <c r="E542">
        <f>INDEX(FactorTable!$B$2:$Y$301, MATCH(ROUND(MIN(300,MAX(1,D542)),0), FactorTable!$A$2:$A$301,0), Skills!M15+1)</f>
        <v/>
      </c>
      <c r="F542">
        <f>IF(Skills!N15=TRUE,(Skills!L15/10)*(E542/1000),Skills!L15/10)+Skills!O15</f>
        <v/>
      </c>
      <c r="G542">
        <f>Skills!G15*IF(Skills!H15&gt;0,Skills!I15/Skills!H15,1)</f>
        <v/>
      </c>
      <c r="H542">
        <f>1-(1-Skills!J15/100)^Skills!K15</f>
        <v/>
      </c>
      <c r="I542" t="inlineStr">
        <is>
          <t>1</t>
        </is>
      </c>
      <c r="J542" t="inlineStr"/>
      <c r="K542" t="inlineStr"/>
      <c r="L542" t="inlineStr"/>
      <c r="M542" t="inlineStr"/>
      <c r="N542" t="inlineStr"/>
      <c r="O542" t="n">
        <v>0</v>
      </c>
      <c r="P542">
        <f>IF(B562=0,0,O542/B562)</f>
        <v/>
      </c>
      <c r="Q542">
        <f>IFERROR(1/IF(Inputs!$B$4="pvp",15,MAX(0.1,Skills!D15-IF(Skills!E15=TRUE,Inputs!$B$31,0))),0)</f>
        <v/>
      </c>
      <c r="R542">
        <f>IF(AND(Inputs!$B$4&lt;&gt;"pvp",Inputs!$B$35&gt;0),(INT(Inputs!$B$35/IF(Inputs!$B$4="pvp",15,MAX(0.1,Skills!D15-IF(Skills!E15=TRUE,Inputs!$B$31,0))))+1),0)</f>
        <v/>
      </c>
      <c r="S542">
        <f>IFERROR(O542/N542,0)</f>
        <v/>
      </c>
    </row>
    <row r="543">
      <c r="A543">
        <f>Skills!A16</f>
        <v/>
      </c>
      <c r="B543">
        <f>Skills!B16</f>
        <v/>
      </c>
      <c r="C543">
        <f>Inputs!$B$3&gt;=105</f>
        <v/>
      </c>
      <c r="D543">
        <f>IF(Skills!C16=1,60+Inputs!$B$24+Inputs!$B$28,IF(Skills!C16=2,90+Inputs!$B$25+Inputs!$B$28,IF(Skills!C16=3,120+Inputs!$B$26+Inputs!$B$28,MAX(0,(Inputs!$B$3-100)*3)+Inputs!$B$27+Inputs!$B$28)))</f>
        <v/>
      </c>
      <c r="E543">
        <f>INDEX(FactorTable!$B$2:$Y$301, MATCH(ROUND(MIN(300,MAX(1,D543)),0), FactorTable!$A$2:$A$301,0), Skills!M16+1)</f>
        <v/>
      </c>
      <c r="F543">
        <f>IF(Skills!N16=TRUE,(Skills!L16/10)*(E543/1000),Skills!L16/10)+Skills!O16</f>
        <v/>
      </c>
      <c r="G543">
        <f>Skills!G16*IF(Skills!H16&gt;0,Skills!I16/Skills!H16,1)</f>
        <v/>
      </c>
      <c r="H543">
        <f>1-(1-Skills!J16/100)^Skills!K16</f>
        <v/>
      </c>
      <c r="I543" t="inlineStr">
        <is>
          <t>1</t>
        </is>
      </c>
      <c r="J543" t="inlineStr"/>
      <c r="K543" t="inlineStr"/>
      <c r="L543" t="inlineStr"/>
      <c r="M543" t="inlineStr"/>
      <c r="N543" t="inlineStr"/>
      <c r="O543" t="n">
        <v>0</v>
      </c>
      <c r="P543">
        <f>IF(B562=0,0,O543/B562)</f>
        <v/>
      </c>
      <c r="Q543">
        <f>IFERROR(1/IF(Inputs!$B$4="pvp",15,MAX(0.1,Skills!D16-IF(Skills!E16=TRUE,Inputs!$B$31,0))),0)</f>
        <v/>
      </c>
      <c r="R543">
        <f>IF(AND(Inputs!$B$4&lt;&gt;"pvp",Inputs!$B$35&gt;0),(INT(Inputs!$B$35/IF(Inputs!$B$4="pvp",15,MAX(0.1,Skills!D16-IF(Skills!E16=TRUE,Inputs!$B$31,0))))+1),0)</f>
        <v/>
      </c>
      <c r="S543">
        <f>IFERROR(O543/N543,0)</f>
        <v/>
      </c>
    </row>
    <row r="544">
      <c r="A544">
        <f>Skills!A17</f>
        <v/>
      </c>
      <c r="B544">
        <f>Skills!B17</f>
        <v/>
      </c>
      <c r="C544">
        <f>Inputs!$B$3&gt;=115</f>
        <v/>
      </c>
      <c r="D544">
        <f>IF(Skills!C17=1,60+Inputs!$B$24+Inputs!$B$28,IF(Skills!C17=2,90+Inputs!$B$25+Inputs!$B$28,IF(Skills!C17=3,120+Inputs!$B$26+Inputs!$B$28,MAX(0,(Inputs!$B$3-100)*3)+Inputs!$B$27+Inputs!$B$28)))</f>
        <v/>
      </c>
      <c r="E544">
        <f>INDEX(FactorTable!$B$2:$Y$301, MATCH(ROUND(MIN(300,MAX(1,D544)),0), FactorTable!$A$2:$A$301,0), Skills!M17+1)</f>
        <v/>
      </c>
      <c r="F544">
        <f>IF(Skills!N17=TRUE,(Skills!L17/10)*(E544/1000),Skills!L17/10)+Skills!O17</f>
        <v/>
      </c>
      <c r="G544">
        <f>Skills!G17*IF(Skills!H17&gt;0,Skills!I17/Skills!H17,1)</f>
        <v/>
      </c>
      <c r="H544">
        <f>1-(1-Skills!J17/100)^Skills!K17</f>
        <v/>
      </c>
      <c r="I544" t="inlineStr">
        <is>
          <t>1</t>
        </is>
      </c>
      <c r="J544" t="inlineStr"/>
      <c r="K544" t="inlineStr"/>
      <c r="L544" t="inlineStr"/>
      <c r="M544" t="inlineStr"/>
      <c r="N544" t="inlineStr"/>
      <c r="O544" t="n">
        <v>0</v>
      </c>
      <c r="P544">
        <f>IF(B562=0,0,O544/B562)</f>
        <v/>
      </c>
      <c r="Q544">
        <f>IFERROR(1/IF(Inputs!$B$4="pvp",15,MAX(0.1,Skills!D17-IF(Skills!E17=TRUE,Inputs!$B$31,0))),0)</f>
        <v/>
      </c>
      <c r="R544">
        <f>IF(AND(Inputs!$B$4&lt;&gt;"pvp",Inputs!$B$35&gt;0),(INT(Inputs!$B$35/IF(Inputs!$B$4="pvp",15,MAX(0.1,Skills!D17-IF(Skills!E17=TRUE,Inputs!$B$31,0))))+1),0)</f>
        <v/>
      </c>
      <c r="S544">
        <f>IFERROR(O544/N544,0)</f>
        <v/>
      </c>
    </row>
    <row r="545">
      <c r="A545">
        <f>Skills!A18</f>
        <v/>
      </c>
      <c r="B545">
        <f>Skills!B18</f>
        <v/>
      </c>
      <c r="C545">
        <f>Inputs!$B$3&gt;=74</f>
        <v/>
      </c>
      <c r="D545">
        <f>IF(Skills!C18=1,60+Inputs!$B$24+Inputs!$B$28,IF(Skills!C18=2,90+Inputs!$B$25+Inputs!$B$28,IF(Skills!C18=3,120+Inputs!$B$26+Inputs!$B$28,MAX(0,(Inputs!$B$3-100)*3)+Inputs!$B$27+Inputs!$B$28)))</f>
        <v/>
      </c>
      <c r="E545">
        <f>INDEX(FactorTable!$B$2:$Y$301, MATCH(ROUND(MIN(300,MAX(1,D545)),0), FactorTable!$A$2:$A$301,0), Skills!M18+1)</f>
        <v/>
      </c>
      <c r="F545">
        <f>IF(Skills!N18=TRUE,(Skills!L18/10)*(E545/1000),Skills!L18/10)+Skills!O18</f>
        <v/>
      </c>
      <c r="G545">
        <f>Skills!G18*IF(Skills!H18&gt;0,Skills!I18/Skills!H18,1)</f>
        <v/>
      </c>
      <c r="H545">
        <f>1-(1-Skills!J18/100)^Skills!K18</f>
        <v/>
      </c>
      <c r="I545" t="inlineStr">
        <is>
          <t>1</t>
        </is>
      </c>
      <c r="J545" t="inlineStr"/>
      <c r="K545" t="inlineStr"/>
      <c r="L545" t="inlineStr"/>
      <c r="M545" t="inlineStr"/>
      <c r="N545" t="inlineStr"/>
      <c r="O545" t="n">
        <v>0</v>
      </c>
      <c r="P545">
        <f>IF(B562=0,0,O545/B562)</f>
        <v/>
      </c>
      <c r="Q545">
        <f>IFERROR(1/IF(Inputs!$B$4="pvp",15,MAX(0.1,Skills!D18-IF(Skills!E18=TRUE,Inputs!$B$31,0))),0)</f>
        <v/>
      </c>
      <c r="R545">
        <f>IF(AND(Inputs!$B$4&lt;&gt;"pvp",Inputs!$B$35&gt;0),(INT(Inputs!$B$35/IF(Inputs!$B$4="pvp",15,MAX(0.1,Skills!D18-IF(Skills!E18=TRUE,Inputs!$B$31,0))))+1),0)</f>
        <v/>
      </c>
      <c r="S545">
        <f>IFERROR(O545/N545,0)</f>
        <v/>
      </c>
    </row>
    <row r="546">
      <c r="A546">
        <f>Skills!A19</f>
        <v/>
      </c>
      <c r="B546">
        <f>Skills!B19</f>
        <v/>
      </c>
      <c r="C546">
        <f>TRUE</f>
        <v/>
      </c>
      <c r="D546">
        <f>IF(Skills!C19=1,60+Inputs!$B$24+Inputs!$B$28,IF(Skills!C19=2,90+Inputs!$B$25+Inputs!$B$28,IF(Skills!C19=3,120+Inputs!$B$26+Inputs!$B$28,MAX(0,(Inputs!$B$3-100)*3)+Inputs!$B$27+Inputs!$B$28)))</f>
        <v/>
      </c>
      <c r="E546">
        <f>INDEX(FactorTable!$B$2:$Y$301, MATCH(ROUND(MIN(300,MAX(1,D546)),0), FactorTable!$A$2:$A$301,0), Skills!M19+1)</f>
        <v/>
      </c>
      <c r="F546">
        <f>IF(Skills!N19=TRUE,(Skills!L19/10)*(E546/1000),Skills!L19/10)+Skills!O19</f>
        <v/>
      </c>
      <c r="G546">
        <f>Skills!G19*IF(Skills!H19&gt;0,Skills!I19/Skills!H19,1)</f>
        <v/>
      </c>
      <c r="H546">
        <f>1-(1-Skills!J19/100)^Skills!K19</f>
        <v/>
      </c>
      <c r="I546" t="inlineStr">
        <is>
          <t>1</t>
        </is>
      </c>
      <c r="J546" t="inlineStr"/>
      <c r="K546" t="inlineStr"/>
      <c r="L546" t="inlineStr"/>
      <c r="M546" t="inlineStr"/>
      <c r="N546" t="inlineStr"/>
      <c r="O546" t="n">
        <v>0</v>
      </c>
      <c r="P546">
        <f>IF(B562=0,0,O546/B562)</f>
        <v/>
      </c>
      <c r="Q546">
        <f>IFERROR(1/IF(Inputs!$B$4="pvp",15,MAX(0.1,Skills!D19-IF(Skills!E19=TRUE,Inputs!$B$31,0))),0)</f>
        <v/>
      </c>
      <c r="R546">
        <f>IF(AND(Inputs!$B$4&lt;&gt;"pvp",Inputs!$B$35&gt;0),(INT(Inputs!$B$35/IF(Inputs!$B$4="pvp",15,MAX(0.1,Skills!D19-IF(Skills!E19=TRUE,Inputs!$B$31,0))))+1),0)</f>
        <v/>
      </c>
      <c r="S546">
        <f>IFERROR(O546/N546,0)</f>
        <v/>
      </c>
    </row>
    <row r="547">
      <c r="A547">
        <f>Skills!A20</f>
        <v/>
      </c>
      <c r="B547">
        <f>Skills!B20</f>
        <v/>
      </c>
      <c r="C547">
        <f>Inputs!$B$3&gt;=33</f>
        <v/>
      </c>
      <c r="D547">
        <f>IF(Skills!C20=1,60+Inputs!$B$24+Inputs!$B$28,IF(Skills!C20=2,90+Inputs!$B$25+Inputs!$B$28,IF(Skills!C20=3,120+Inputs!$B$26+Inputs!$B$28,MAX(0,(Inputs!$B$3-100)*3)+Inputs!$B$27+Inputs!$B$28)))</f>
        <v/>
      </c>
      <c r="E547">
        <f>INDEX(FactorTable!$B$2:$Y$301, MATCH(ROUND(MIN(300,MAX(1,D547)),0), FactorTable!$A$2:$A$301,0), Skills!M20+1)</f>
        <v/>
      </c>
      <c r="F547">
        <f>IF(Skills!N20=TRUE,(Skills!L20/10)*(E547/1000),Skills!L20/10)+Skills!O20</f>
        <v/>
      </c>
      <c r="G547">
        <f>Skills!G20*IF(Skills!H20&gt;0,Skills!I20/Skills!H20,1)</f>
        <v/>
      </c>
      <c r="H547">
        <f>1-(1-Skills!J20/100)^Skills!K20</f>
        <v/>
      </c>
      <c r="I547" t="inlineStr">
        <is>
          <t>1</t>
        </is>
      </c>
      <c r="J547" t="inlineStr"/>
      <c r="K547" t="inlineStr"/>
      <c r="L547" t="inlineStr"/>
      <c r="M547" t="inlineStr"/>
      <c r="N547" t="inlineStr"/>
      <c r="O547" t="n">
        <v>0</v>
      </c>
      <c r="P547">
        <f>IF(B562=0,0,O547/B562)</f>
        <v/>
      </c>
      <c r="Q547" t="n">
        <v>0</v>
      </c>
      <c r="R547" t="n">
        <v>0</v>
      </c>
      <c r="S547">
        <f>IFERROR(O547/N547,0)</f>
        <v/>
      </c>
    </row>
    <row r="548">
      <c r="A548">
        <f>Skills!A21</f>
        <v/>
      </c>
      <c r="B548">
        <f>Skills!B21</f>
        <v/>
      </c>
      <c r="C548">
        <f>Inputs!$B$3&gt;=38</f>
        <v/>
      </c>
      <c r="D548">
        <f>IF(Skills!C21=1,60+Inputs!$B$24+Inputs!$B$28,IF(Skills!C21=2,90+Inputs!$B$25+Inputs!$B$28,IF(Skills!C21=3,120+Inputs!$B$26+Inputs!$B$28,MAX(0,(Inputs!$B$3-100)*3)+Inputs!$B$27+Inputs!$B$28)))</f>
        <v/>
      </c>
      <c r="E548">
        <f>INDEX(FactorTable!$B$2:$Y$301, MATCH(ROUND(MIN(300,MAX(1,D548)),0), FactorTable!$A$2:$A$301,0), Skills!M21+1)</f>
        <v/>
      </c>
      <c r="F548">
        <f>IF(Skills!N21=TRUE,(Skills!L21/10)*(E548/1000),Skills!L21/10)+Skills!O21</f>
        <v/>
      </c>
      <c r="G548">
        <f>Skills!G21*IF(Skills!H21&gt;0,Skills!I21/Skills!H21,1)</f>
        <v/>
      </c>
      <c r="H548">
        <f>1-(1-Skills!J21/100)^Skills!K21</f>
        <v/>
      </c>
      <c r="I548" t="inlineStr">
        <is>
          <t>1</t>
        </is>
      </c>
      <c r="J548" t="inlineStr"/>
      <c r="K548" t="inlineStr"/>
      <c r="L548" t="inlineStr"/>
      <c r="M548" t="inlineStr"/>
      <c r="N548" t="inlineStr"/>
      <c r="O548" t="n">
        <v>0</v>
      </c>
      <c r="P548">
        <f>IF(B562=0,0,O548/B562)</f>
        <v/>
      </c>
      <c r="Q548" t="n">
        <v>0</v>
      </c>
      <c r="R548" t="n">
        <v>0</v>
      </c>
      <c r="S548">
        <f>IFERROR(O548/N548,0)</f>
        <v/>
      </c>
    </row>
    <row r="549">
      <c r="A549">
        <f>Skills!A22</f>
        <v/>
      </c>
      <c r="B549">
        <f>Skills!B22</f>
        <v/>
      </c>
      <c r="C549">
        <f>Inputs!$B$3&gt;=43</f>
        <v/>
      </c>
      <c r="D549">
        <f>IF(Skills!C22=1,60+Inputs!$B$24+Inputs!$B$28,IF(Skills!C22=2,90+Inputs!$B$25+Inputs!$B$28,IF(Skills!C22=3,120+Inputs!$B$26+Inputs!$B$28,MAX(0,(Inputs!$B$3-100)*3)+Inputs!$B$27+Inputs!$B$28)))</f>
        <v/>
      </c>
      <c r="E549">
        <f>INDEX(FactorTable!$B$2:$Y$301, MATCH(ROUND(MIN(300,MAX(1,D549)),0), FactorTable!$A$2:$A$301,0), Skills!M22+1)</f>
        <v/>
      </c>
      <c r="F549">
        <f>IF(Skills!N22=TRUE,(Skills!L22/10)*(E549/1000),Skills!L22/10)+Skills!O22</f>
        <v/>
      </c>
      <c r="G549">
        <f>Skills!G22*IF(Skills!H22&gt;0,Skills!I22/Skills!H22,1)</f>
        <v/>
      </c>
      <c r="H549">
        <f>1-(1-Skills!J22/100)^Skills!K22</f>
        <v/>
      </c>
      <c r="I549" t="inlineStr">
        <is>
          <t>1</t>
        </is>
      </c>
      <c r="J549" t="inlineStr"/>
      <c r="K549" t="inlineStr"/>
      <c r="L549" t="inlineStr"/>
      <c r="M549" t="inlineStr"/>
      <c r="N549" t="inlineStr"/>
      <c r="O549" t="n">
        <v>0</v>
      </c>
      <c r="P549">
        <f>IF(B562=0,0,O549/B562)</f>
        <v/>
      </c>
      <c r="Q549" t="n">
        <v>0</v>
      </c>
      <c r="R549" t="n">
        <v>0</v>
      </c>
      <c r="S549">
        <f>IFERROR(O549/N549,0)</f>
        <v/>
      </c>
    </row>
    <row r="550">
      <c r="A550">
        <f>Skills!A23</f>
        <v/>
      </c>
      <c r="B550">
        <f>Skills!B23</f>
        <v/>
      </c>
      <c r="C550">
        <f>Inputs!$B$3&gt;=120</f>
        <v/>
      </c>
      <c r="D550">
        <f>IF(Skills!C23=1,60+Inputs!$B$24+Inputs!$B$28,IF(Skills!C23=2,90+Inputs!$B$25+Inputs!$B$28,IF(Skills!C23=3,120+Inputs!$B$26+Inputs!$B$28,MAX(0,(Inputs!$B$3-100)*3)+Inputs!$B$27+Inputs!$B$28)))</f>
        <v/>
      </c>
      <c r="E550">
        <f>INDEX(FactorTable!$B$2:$Y$301, MATCH(ROUND(MIN(300,MAX(1,D550)),0), FactorTable!$A$2:$A$301,0), Skills!M23+1)</f>
        <v/>
      </c>
      <c r="F550">
        <f>IF(Skills!N23=TRUE,(Skills!L23/10)*(E550/1000),Skills!L23/10)+Skills!O23</f>
        <v/>
      </c>
      <c r="G550">
        <f>Skills!G23*IF(Skills!H23&gt;0,Skills!I23/Skills!H23,1)</f>
        <v/>
      </c>
      <c r="H550">
        <f>1-(1-Skills!J23/100)^Skills!K23</f>
        <v/>
      </c>
      <c r="I550" t="inlineStr">
        <is>
          <t>1</t>
        </is>
      </c>
      <c r="J550" t="inlineStr"/>
      <c r="K550" t="inlineStr"/>
      <c r="L550" t="inlineStr"/>
      <c r="M550" t="inlineStr"/>
      <c r="N550" t="inlineStr"/>
      <c r="O550" t="n">
        <v>0</v>
      </c>
      <c r="P550">
        <f>IF(B562=0,0,O550/B562)</f>
        <v/>
      </c>
      <c r="Q550" t="n">
        <v>0</v>
      </c>
      <c r="R550" t="n">
        <v>0</v>
      </c>
      <c r="S550">
        <f>IFERROR(O550/N550,0)</f>
        <v/>
      </c>
    </row>
    <row r="551">
      <c r="A551">
        <f>Skills!A24</f>
        <v/>
      </c>
      <c r="B551">
        <f>Skills!B24</f>
        <v/>
      </c>
      <c r="C551">
        <f>Inputs!$B$3&gt;=120</f>
        <v/>
      </c>
      <c r="D551">
        <f>IF(Skills!C24=1,60+Inputs!$B$24+Inputs!$B$28,IF(Skills!C24=2,90+Inputs!$B$25+Inputs!$B$28,IF(Skills!C24=3,120+Inputs!$B$26+Inputs!$B$28,MAX(0,(Inputs!$B$3-100)*3)+Inputs!$B$27+Inputs!$B$28)))</f>
        <v/>
      </c>
      <c r="E551">
        <f>INDEX(FactorTable!$B$2:$Y$301, MATCH(ROUND(MIN(300,MAX(1,D551)),0), FactorTable!$A$2:$A$301,0), Skills!M24+1)</f>
        <v/>
      </c>
      <c r="F551">
        <f>IF(Skills!N24=TRUE,(Skills!L24/10)*(E551/1000),Skills!L24/10)+Skills!O24</f>
        <v/>
      </c>
      <c r="G551">
        <f>Skills!G24*IF(Skills!H24&gt;0,Skills!I24/Skills!H24,1)</f>
        <v/>
      </c>
      <c r="H551">
        <f>1-(1-Skills!J24/100)^Skills!K24</f>
        <v/>
      </c>
      <c r="I551" t="inlineStr">
        <is>
          <t>1</t>
        </is>
      </c>
      <c r="J551" t="inlineStr"/>
      <c r="K551" t="inlineStr"/>
      <c r="L551" t="inlineStr"/>
      <c r="M551" t="inlineStr"/>
      <c r="N551" t="inlineStr"/>
      <c r="O551" t="n">
        <v>0</v>
      </c>
      <c r="P551">
        <f>IF(B562=0,0,O551/B562)</f>
        <v/>
      </c>
      <c r="Q551" t="n">
        <v>0</v>
      </c>
      <c r="R551" t="n">
        <v>0</v>
      </c>
      <c r="S551">
        <f>IFERROR(O551/N551,0)</f>
        <v/>
      </c>
    </row>
    <row r="553">
      <c r="A553" t="inlineStr">
        <is>
          <t>Attack% Bucket Multiplier</t>
        </is>
      </c>
      <c r="B553">
        <f>(1+(((C540=TRUE)*F540*MIN(1,Skills!T13*(Skills!J13/100)*B558))+((C545=TRUE)*F545*IF(AND(Inputs!$B$4&lt;&gt;"pvp",Inputs!$B$35&gt;0),(((S545-1)*(Skills!T18*(1+Inputs!$B$33/100))+MIN((Skills!T18*(1+Inputs!$B$33/100)),MAX(0,Inputs!$B$35-((S545-1)*Skills!D18))))/Inputs!$B$35),IF(Inputs!$B$4="pvp",MIN((Skills!T18*(1+Inputs!$B$33/100)),15)/15,(Skills!T18*(1+Inputs!$B$33/100))/Skills!D18)))+0)/100)</f>
        <v/>
      </c>
    </row>
    <row r="554">
      <c r="A554" t="inlineStr">
        <is>
          <t>Global Crit Rate Bonus %</t>
        </is>
      </c>
      <c r="B554" t="n">
        <v>0</v>
      </c>
    </row>
    <row r="555">
      <c r="A555" t="inlineStr">
        <is>
          <t>Attack Speed Buff Bonus %</t>
        </is>
      </c>
      <c r="B555">
        <f>((C546=TRUE)*F546*IF(AND(Inputs!$B$4&lt;&gt;"pvp",Inputs!$B$35&gt;0),(((S546-1)*(Skills!T19*(1+Inputs!$B$33/100))+MIN((Skills!T19*(1+Inputs!$B$33/100)),MAX(0,Inputs!$B$35-((S546-1)*Skills!D19))))/Inputs!$B$35),IF(Inputs!$B$4="pvp",MIN((Skills!T19*(1+Inputs!$B$33/100)),15)/15,(Skills!T19*(1+Inputs!$B$33/100))/Skills!D19)))</f>
        <v/>
      </c>
    </row>
    <row r="556">
      <c r="A556" t="inlineStr">
        <is>
          <t>Actions Per Second</t>
        </is>
      </c>
      <c r="B556">
        <f>1+MIN(150,150*(1-(1-(Inputs!$B$10+((C547=TRUE)*(F547-Calc!F20)))/150)*(1-B555/150)))/100</f>
        <v/>
      </c>
    </row>
    <row r="557">
      <c r="A557" t="inlineStr">
        <is>
          <t>Skill + Buff Cast Rate</t>
        </is>
      </c>
      <c r="B557">
        <f>IF(AND(Inputs!$B$4&lt;&gt;"pvp",Inputs!$B$35&gt;0),SUMPRODUCT((Skills!E2:E24=TRUE)*(C529:C551=TRUE)*R529:R551*Skills!F2:F24)/Inputs!$B$35,SUMPRODUCT((Skills!E2:E24=TRUE)*(C529:C551=TRUE)*Q529:Q551*Skills!F2:F24))</f>
        <v/>
      </c>
    </row>
    <row r="558">
      <c r="A558" t="inlineStr">
        <is>
          <t>Blast Casts Per Second</t>
        </is>
      </c>
      <c r="B558">
        <f>MAX(0,B556-B557)</f>
        <v/>
      </c>
    </row>
    <row r="559">
      <c r="A559" t="inlineStr">
        <is>
          <t>Global Critical Damage Bonus % (unused)</t>
        </is>
      </c>
      <c r="B559" t="n">
        <v>0</v>
      </c>
    </row>
    <row r="560">
      <c r="A560" t="inlineStr">
        <is>
          <t>Global Final Damage Bonus % (Divine Shield + Guardian + Divine Blessing + Greater Vessel of Light)</t>
        </is>
      </c>
      <c r="B560">
        <f>((C542=TRUE)*F542*IF(AND(Inputs!$B$4&lt;&gt;"pvp",Inputs!$B$35&gt;0),(((S542-1)*(Skills!T15*(1+Inputs!$B$33/100))+MIN((Skills!T15*(1+Inputs!$B$33/100)),MAX(0,Inputs!$B$35-((S542-1)*Skills!D15))))/Inputs!$B$35),IF(Inputs!$B$4="pvp",MIN((Skills!T15*(1+Inputs!$B$33/100)),15)/15,(Skills!T15*(1+Inputs!$B$33/100))/Skills!D15)))+((C543=TRUE)*F543*IF(AND(Inputs!$B$4&lt;&gt;"pvp",Inputs!$B$35&gt;0),(((S543-1)*(Skills!T16*(1+Inputs!$B$33/100))+MIN((Skills!T16*(1+Inputs!$B$33/100)),MAX(0,Inputs!$B$35-((S543-1)*Skills!D16))))/Inputs!$B$35),IF(Inputs!$B$4="pvp",MIN((Skills!T16*(1+Inputs!$B$33/100)),15)/15,(Skills!T16*(1+Inputs!$B$33/100))/Skills!D16)))+((C544=TRUE)*F544*IF(AND(Inputs!$B$4&lt;&gt;"pvp",Inputs!$B$35&gt;0),(((S544-1)*(Skills!T17*(1+Inputs!$B$33/100))+MIN((Skills!T17*(1+Inputs!$B$33/100)),MAX(0,Inputs!$B$35-((S544-1)*Skills!D17))))/Inputs!$B$35),IF(Inputs!$B$4="pvp",MIN((Skills!T17*(1+Inputs!$B$33/100)),15)/15,(Skills!T17*(1+Inputs!$B$33/100))/Skills!D17)))+((C541=TRUE)*F541*MIN(1,Skills!T13*(Skills!J13/100)*B558))</f>
        <v/>
      </c>
    </row>
    <row r="562">
      <c r="A562" s="5" t="inlineStr">
        <is>
          <t>TOTAL DPS</t>
        </is>
      </c>
      <c r="B562" s="5">
        <f>SUM(O529:O551)</f>
        <v/>
      </c>
    </row>
    <row r="565">
      <c r="A565" s="5" t="inlineStr">
        <is>
          <t>Stat: BASIC_ATTACK_DAMAGE %</t>
        </is>
      </c>
    </row>
    <row r="566">
      <c r="A566" s="8" t="inlineStr">
        <is>
          <t>Key</t>
        </is>
      </c>
      <c r="B566" s="8" t="inlineStr">
        <is>
          <t>Name</t>
        </is>
      </c>
      <c r="C566" s="8" t="inlineStr">
        <is>
          <t>Unlocked</t>
        </is>
      </c>
      <c r="D566" s="8" t="inlineStr">
        <is>
          <t>InputLevel</t>
        </is>
      </c>
      <c r="E566" s="8" t="inlineStr">
        <is>
          <t>Factor</t>
        </is>
      </c>
      <c r="F566" s="8" t="inlineStr">
        <is>
          <t>CoefficientPercent</t>
        </is>
      </c>
      <c r="G566" s="8" t="inlineStr">
        <is>
          <t>EffectiveHits</t>
        </is>
      </c>
      <c r="H566" s="8" t="inlineStr">
        <is>
          <t>ProcProbability</t>
        </is>
      </c>
      <c r="I566" s="8" t="inlineStr">
        <is>
          <t>MapleHeroMultiplier</t>
        </is>
      </c>
      <c r="J566" s="8" t="inlineStr">
        <is>
          <t>BaseDamage</t>
        </is>
      </c>
      <c r="K566" s="8" t="inlineStr">
        <is>
          <t>BaseHitDamage</t>
        </is>
      </c>
      <c r="L566" s="8" t="inlineStr">
        <is>
          <t>NonCritAvg</t>
        </is>
      </c>
      <c r="M566" s="8" t="inlineStr">
        <is>
          <t>CritAvg</t>
        </is>
      </c>
      <c r="N566" s="8" t="inlineStr">
        <is>
          <t>ExpectedDamage(perHit)</t>
        </is>
      </c>
      <c r="O566" s="8" t="inlineStr">
        <is>
          <t>DPS</t>
        </is>
      </c>
      <c r="P566" s="8" t="inlineStr">
        <is>
          <t>% of Total</t>
        </is>
      </c>
      <c r="Q566" s="8" t="inlineStr">
        <is>
          <t>InvCooldown</t>
        </is>
      </c>
      <c r="R566" s="8" t="inlineStr">
        <is>
          <t>CastsInFight</t>
        </is>
      </c>
      <c r="S566" s="8" t="inlineStr">
        <is>
          <t>HitRate(perSec)</t>
        </is>
      </c>
      <c r="U566" t="inlineStr">
        <is>
          <t>helpers</t>
        </is>
      </c>
    </row>
    <row r="567">
      <c r="A567">
        <f>Skills!A2</f>
        <v/>
      </c>
      <c r="B567">
        <f>Skills!B2</f>
        <v/>
      </c>
      <c r="C567">
        <f>Inputs!$B$3&gt;=100</f>
        <v/>
      </c>
      <c r="D567" t="inlineStr"/>
      <c r="E567" t="inlineStr"/>
      <c r="F567">
        <f>U569+Skills!O2</f>
        <v/>
      </c>
      <c r="G567">
        <f>Skills!G2*IF(Skills!H2&gt;0,Skills!I2/Skills!H2,1)</f>
        <v/>
      </c>
      <c r="H567">
        <f>1-(1-Skills!J2/100)^Skills!K2</f>
        <v/>
      </c>
      <c r="I567" t="inlineStr">
        <is>
          <t>1</t>
        </is>
      </c>
      <c r="J567">
        <f>(Inputs!$B$5*(1+Inputs!$B$6/100))*(F567/100)</f>
        <v/>
      </c>
      <c r="K567">
        <f>J567*(1+((Inputs!$B$11*(1+Inputs!$B$12/100))*0.01+Inputs!$B$13*0.0025)/100)*(1+Inputs!$B$14/100)*(1+IF(Inputs!$B$4="pvp",0,(1-Summary!$B$55)*(Inputs!$B$19+0+Skills!P2)+Summary!$B$55*(Inputs!$B$20+Skills!Q2))/100)*(1+Inputs!$B$15/100)*(5000/(6000+Inputs!$B$7*(1-(Inputs!$B$18+0)/100)))*(1+(Inputs!$B$23+0+B598)/100)*(1+(IF(Skills!A2="BLAST",(Inputs!$B$16+1)+((C586=TRUE)*(F586-Calc!F21)),Inputs!$B$17+((C588=TRUE)*(F588-Calc!F23))))/100)*((1+(((C578=TRUE)*F578*MIN(1,Skills!T13*(Skills!J13/100)*B596))+((C583=TRUE)*F583*IF(AND(Inputs!$B$4&lt;&gt;"pvp",Inputs!$B$35&gt;0),(((S583-1)*(Skills!T18*(1+Inputs!$B$33/100))+MIN((Skills!T18*(1+Inputs!$B$33/100)),MAX(0,Inputs!$B$35-((S583-1)*Skills!D18))))/Inputs!$B$35),IF(Inputs!$B$4="pvp",MIN((Skills!T18*(1+Inputs!$B$33/100)),15)/15,(Skills!T18*(1+Inputs!$B$33/100))/Skills!D18)))+0)/100)*I567)</f>
        <v/>
      </c>
      <c r="L567">
        <f>K567*(MIN(Inputs!$B$21+((C587=TRUE)*(F587-Calc!F22)),Inputs!$B$22+((C589=TRUE)*(F589-Calc!F24)))/100+(Inputs!$B$22+((C589=TRUE)*(F589-Calc!F24)))/100)/2</f>
        <v/>
      </c>
      <c r="M567">
        <f>L567*(1+(Inputs!$B$9+0+B597)/100)</f>
        <v/>
      </c>
      <c r="N567">
        <f>L567*(1-MIN((Inputs!$B$8+0+B592),100)/100)+M567*(MIN((Inputs!$B$8+0+B592),100)/100)</f>
        <v/>
      </c>
      <c r="O567">
        <f>IF(C567,Skills!G2*N567*B596*IF(Inputs!$B$4="pvp",1,(1-Summary!$B$55)*(1)+Summary!$B$55*(MIN((6+Inputs!$B$32),Inputs!$B$37))),0)</f>
        <v/>
      </c>
      <c r="P567">
        <f>IF(B600=0,0,O567/B600)</f>
        <v/>
      </c>
      <c r="Q567" t="n">
        <v>0</v>
      </c>
      <c r="R567" t="n">
        <v>0</v>
      </c>
      <c r="S567">
        <f>IFERROR(O567/N567,0)</f>
        <v/>
      </c>
      <c r="U567">
        <f>MAX(0,(Inputs!$B$3-100)*3)+Inputs!$B$27+Inputs!$B$28</f>
        <v/>
      </c>
    </row>
    <row r="568">
      <c r="A568">
        <f>Skills!A3</f>
        <v/>
      </c>
      <c r="B568">
        <f>Skills!B3</f>
        <v/>
      </c>
      <c r="C568">
        <f>Inputs!$B$3&gt;=50</f>
        <v/>
      </c>
      <c r="D568">
        <f>IF(Skills!C3=1,60+Inputs!$B$24+Inputs!$B$28,IF(Skills!C3=2,90+Inputs!$B$25+Inputs!$B$28,IF(Skills!C3=3,120+Inputs!$B$26+Inputs!$B$28,MAX(0,(Inputs!$B$3-100)*3)+Inputs!$B$27+Inputs!$B$28)))</f>
        <v/>
      </c>
      <c r="E568">
        <f>INDEX(FactorTable!$B$2:$Y$301, MATCH(ROUND(MIN(300,MAX(1,D568)),0), FactorTable!$A$2:$A$301,0), Skills!M3+1)</f>
        <v/>
      </c>
      <c r="F568">
        <f>IF(Skills!N3=TRUE,(Skills!L3/10)*(E568/1000),Skills!L3/10)+Skills!O3</f>
        <v/>
      </c>
      <c r="G568" t="inlineStr"/>
      <c r="H568" t="inlineStr"/>
      <c r="I568" t="inlineStr">
        <is>
          <t>1</t>
        </is>
      </c>
      <c r="J568" t="inlineStr"/>
      <c r="K568" t="inlineStr"/>
      <c r="L568" t="inlineStr"/>
      <c r="M568" t="inlineStr"/>
      <c r="N568" t="inlineStr"/>
      <c r="O568" t="inlineStr"/>
      <c r="P568" t="inlineStr"/>
      <c r="Q568" t="inlineStr"/>
      <c r="R568" t="inlineStr"/>
      <c r="S568" t="inlineStr"/>
      <c r="U568">
        <f>INDEX(FactorTable!$B$2:$Y$301, MATCH(ROUND(MIN(300,MAX(1,U567)),0), FactorTable!$A$2:$A$301,0), 22)</f>
        <v/>
      </c>
    </row>
    <row r="569">
      <c r="A569">
        <f>Skills!A4</f>
        <v/>
      </c>
      <c r="B569">
        <f>Skills!B4</f>
        <v/>
      </c>
      <c r="C569">
        <f>Inputs!$B$3&gt;=35</f>
        <v/>
      </c>
      <c r="D569">
        <f>IF(Skills!C4=1,60+Inputs!$B$24+Inputs!$B$28,IF(Skills!C4=2,90+Inputs!$B$25+Inputs!$B$28,IF(Skills!C4=3,120+Inputs!$B$26+Inputs!$B$28,MAX(0,(Inputs!$B$3-100)*3)+Inputs!$B$27+Inputs!$B$28)))</f>
        <v/>
      </c>
      <c r="E569">
        <f>INDEX(FactorTable!$B$2:$Y$301, MATCH(ROUND(MIN(300,MAX(1,D569)),0), FactorTable!$A$2:$A$301,0), Skills!M4+1)</f>
        <v/>
      </c>
      <c r="F569">
        <f>IF(Skills!N4=TRUE,(Skills!L4/10)*(E569/1000),Skills!L4/10)+Skills!O4</f>
        <v/>
      </c>
      <c r="G569">
        <f>Skills!G4*IF(Skills!H4&gt;0,Skills!I4/Skills!H4,1)</f>
        <v/>
      </c>
      <c r="H569">
        <f>1-(1-Skills!J4/100)^Skills!K4</f>
        <v/>
      </c>
      <c r="I569" t="inlineStr">
        <is>
          <t>1</t>
        </is>
      </c>
      <c r="J569">
        <f>(Inputs!$B$5*(1+Inputs!$B$6/100))*(F569/100)</f>
        <v/>
      </c>
      <c r="K569">
        <f>J569*(1+((Inputs!$B$11*(1+Inputs!$B$12/100))*0.01+Inputs!$B$13*0.0025)/100)*(1+Inputs!$B$14/100)*(1+IF(Inputs!$B$4="pvp",0,(1-Summary!$B$55)*(Inputs!$B$19+0+Skills!P4)+Summary!$B$55*(Inputs!$B$20+Skills!Q4))/100)*(1+Inputs!$B$15/100)*(5000/(6000+Inputs!$B$7*(1-(Inputs!$B$18+0)/100)))*(1+(Inputs!$B$23+0+B598)/100)*(1+4.0*IF(C577=TRUE,F577,0)/100)*(1+(IF(Skills!A4="BLAST",(Inputs!$B$16+1)+((C586=TRUE)*(F586-Calc!F21)),Inputs!$B$17+((C588=TRUE)*(F588-Calc!F23))))/100)*((1+(((C578=TRUE)*F578*MIN(1,Skills!T13*(Skills!J13/100)*B596))+((C583=TRUE)*F583*IF(AND(Inputs!$B$4&lt;&gt;"pvp",Inputs!$B$35&gt;0),(((S583-1)*(Skills!T18*(1+Inputs!$B$33/100))+MIN((Skills!T18*(1+Inputs!$B$33/100)),MAX(0,Inputs!$B$35-((S583-1)*Skills!D18))))/Inputs!$B$35),IF(Inputs!$B$4="pvp",MIN((Skills!T18*(1+Inputs!$B$33/100)),15)/15,(Skills!T18*(1+Inputs!$B$33/100))/Skills!D18)))+0)/100)*I569)</f>
        <v/>
      </c>
      <c r="L569">
        <f>K569*(MIN(Inputs!$B$21+((C587=TRUE)*(F587-Calc!F22)),Inputs!$B$22+((C589=TRUE)*(F589-Calc!F24)))/100+(Inputs!$B$22+((C589=TRUE)*(F589-Calc!F24)))/100)/2</f>
        <v/>
      </c>
      <c r="M569">
        <f>L569*(1+(Inputs!$B$9+0+B597)/100)</f>
        <v/>
      </c>
      <c r="N569">
        <f>L569*(1-MIN((Inputs!$B$8+0+B592),100)/100)+M569*(MIN((Inputs!$B$8+0+B592),100)/100)</f>
        <v/>
      </c>
      <c r="O569">
        <f>IF(C569,H569*N569*IF(AND(Inputs!$B$4&lt;&gt;"pvp",Inputs!$B$35&gt;0),((Skills!G4*((R569-1)*IF(Skills!H4&gt;0,Skills!I4/Skills!H4,1)+IF(Skills!H4&gt;0,MIN(Skills!I4,MAX(0,Inputs!$B$35-((R569-1)*IF(Inputs!$B$4="pvp",15,MAX(0.1,Skills!D4-IF(Skills!E4=TRUE,Inputs!$B$31,0))))))/Skills!H4,1)))/Inputs!$B$35),G569*Q569)*IF(Inputs!$B$4="pvp",1,(1-Summary!$B$55)*(1)+Summary!$B$55*(MIN(Skills!R4,Inputs!$B$37))),0)</f>
        <v/>
      </c>
      <c r="P569">
        <f>IF(B600=0,0,O569/B600)</f>
        <v/>
      </c>
      <c r="Q569">
        <f>IFERROR(1/IF(Inputs!$B$4="pvp",15,MAX(0.1,Skills!D4-IF(Skills!E4=TRUE,Inputs!$B$31,0))),0)</f>
        <v/>
      </c>
      <c r="R569">
        <f>IF(AND(Inputs!$B$4&lt;&gt;"pvp",Inputs!$B$35&gt;0),(INT(Inputs!$B$35/IF(Inputs!$B$4="pvp",15,MAX(0.1,Skills!D4-IF(Skills!E4=TRUE,Inputs!$B$31,0))))+1),0)</f>
        <v/>
      </c>
      <c r="S569">
        <f>IFERROR(O569/N569,0)</f>
        <v/>
      </c>
      <c r="U569">
        <f>290*U568/1000</f>
        <v/>
      </c>
    </row>
    <row r="570">
      <c r="A570">
        <f>Skills!A5</f>
        <v/>
      </c>
      <c r="B570">
        <f>Skills!B5</f>
        <v/>
      </c>
      <c r="C570">
        <f>Inputs!$B$3&gt;=66</f>
        <v/>
      </c>
      <c r="D570">
        <f>IF(Skills!C5=1,60+Inputs!$B$24+Inputs!$B$28,IF(Skills!C5=2,90+Inputs!$B$25+Inputs!$B$28,IF(Skills!C5=3,120+Inputs!$B$26+Inputs!$B$28,MAX(0,(Inputs!$B$3-100)*3)+Inputs!$B$27+Inputs!$B$28)))</f>
        <v/>
      </c>
      <c r="E570">
        <f>INDEX(FactorTable!$B$2:$Y$301, MATCH(ROUND(MIN(300,MAX(1,D570)),0), FactorTable!$A$2:$A$301,0), Skills!M5+1)</f>
        <v/>
      </c>
      <c r="F570">
        <f>IF(Skills!N5=TRUE,(Skills!L5/10)*(E570/1000),Skills!L5/10)+Skills!O5</f>
        <v/>
      </c>
      <c r="G570">
        <f>Skills!G5*IF(Skills!H5&gt;0,Skills!I5/Skills!H5,1)</f>
        <v/>
      </c>
      <c r="H570">
        <f>1-(1-Skills!J5/100)^Skills!K5</f>
        <v/>
      </c>
      <c r="I570" t="inlineStr">
        <is>
          <t>1</t>
        </is>
      </c>
      <c r="J570">
        <f>(Inputs!$B$5*(1+Inputs!$B$6/100))*(F570/100)</f>
        <v/>
      </c>
      <c r="K570">
        <f>J570*(1+((Inputs!$B$11*(1+Inputs!$B$12/100))*0.01+Inputs!$B$13*0.0025)/100)*(1+Inputs!$B$14/100)*(1+IF(Inputs!$B$4="pvp",0,(1-Summary!$B$55)*(Inputs!$B$19+0+Skills!P5)+Summary!$B$55*(Inputs!$B$20+Skills!Q5))/100)*(1+Inputs!$B$15/100)*(5000/(6000+Inputs!$B$7*(1-(Inputs!$B$18+0)/100)))*(1+(Inputs!$B$23+0+B598)/100)*(1+1.0*IF(C577=TRUE,F577,0)/100)*(1+(IF(Skills!A5="BLAST",(Inputs!$B$16+1)+((C586=TRUE)*(F586-Calc!F21)),Inputs!$B$17+((C588=TRUE)*(F588-Calc!F23))))/100)*((1+(((C578=TRUE)*F578*MIN(1,Skills!T13*(Skills!J13/100)*B596))+((C583=TRUE)*F583*IF(AND(Inputs!$B$4&lt;&gt;"pvp",Inputs!$B$35&gt;0),(((S583-1)*(Skills!T18*(1+Inputs!$B$33/100))+MIN((Skills!T18*(1+Inputs!$B$33/100)),MAX(0,Inputs!$B$35-((S583-1)*Skills!D18))))/Inputs!$B$35),IF(Inputs!$B$4="pvp",MIN((Skills!T18*(1+Inputs!$B$33/100)),15)/15,(Skills!T18*(1+Inputs!$B$33/100))/Skills!D18)))+0)/100)*I570)</f>
        <v/>
      </c>
      <c r="L570">
        <f>K570*(MIN(Inputs!$B$21+((C587=TRUE)*(F587-Calc!F22)),Inputs!$B$22+((C589=TRUE)*(F589-Calc!F24)))/100+(Inputs!$B$22+((C589=TRUE)*(F589-Calc!F24)))/100)/2</f>
        <v/>
      </c>
      <c r="M570">
        <f>L570*(1+(Inputs!$B$9+0+B597)/100)</f>
        <v/>
      </c>
      <c r="N570">
        <f>L570*(1-MIN((Inputs!$B$8+0+B592),100)/100)+M570*(MIN((Inputs!$B$8+0+B592),100)/100)</f>
        <v/>
      </c>
      <c r="O570">
        <f>IF(C570,H570*N570*IF(AND(Inputs!$B$4&lt;&gt;"pvp",Inputs!$B$35&gt;0),((Skills!G5*((R570-1)*IF(Skills!H5&gt;0,Skills!I5/Skills!H5,1)+IF(Skills!H5&gt;0,MIN(Skills!I5,MAX(0,Inputs!$B$35-((R570-1)*IF(Inputs!$B$4="pvp",15,MAX(0.1,Skills!D5-IF(Skills!E5=TRUE,Inputs!$B$31,0))))))/Skills!H5,1)))/Inputs!$B$35),G570*Q570)*IF(Inputs!$B$4="pvp",1,(1-Summary!$B$55)*(1)+Summary!$B$55*(MIN(Skills!R5,Inputs!$B$37))),0)</f>
        <v/>
      </c>
      <c r="P570">
        <f>IF(B600=0,0,O570/B600)</f>
        <v/>
      </c>
      <c r="Q570">
        <f>IFERROR(1/IF(Inputs!$B$4="pvp",15,MAX(0.1,Skills!D5-IF(Skills!E5=TRUE,Inputs!$B$31,0))),0)</f>
        <v/>
      </c>
      <c r="R570">
        <f>IF(AND(Inputs!$B$4&lt;&gt;"pvp",Inputs!$B$35&gt;0),(INT(Inputs!$B$35/IF(Inputs!$B$4="pvp",15,MAX(0.1,Skills!D5-IF(Skills!E5=TRUE,Inputs!$B$31,0))))+1),0)</f>
        <v/>
      </c>
      <c r="S570">
        <f>IFERROR(O570/N570,0)</f>
        <v/>
      </c>
    </row>
    <row r="571">
      <c r="A571">
        <f>Skills!A6</f>
        <v/>
      </c>
      <c r="B571">
        <f>Skills!B6</f>
        <v/>
      </c>
      <c r="C571">
        <f>Inputs!$B$3&gt;=103</f>
        <v/>
      </c>
      <c r="D571">
        <f>IF(Skills!C6=1,60+Inputs!$B$24+Inputs!$B$28,IF(Skills!C6=2,90+Inputs!$B$25+Inputs!$B$28,IF(Skills!C6=3,120+Inputs!$B$26+Inputs!$B$28,MAX(0,(Inputs!$B$3-100)*3)+Inputs!$B$27+Inputs!$B$28)))</f>
        <v/>
      </c>
      <c r="E571">
        <f>INDEX(FactorTable!$B$2:$Y$301, MATCH(ROUND(MIN(300,MAX(1,D571)),0), FactorTable!$A$2:$A$301,0), Skills!M6+1)</f>
        <v/>
      </c>
      <c r="F571">
        <f>IF(Skills!N6=TRUE,(Skills!L6/10)*(E571/1000),Skills!L6/10)+Skills!O6</f>
        <v/>
      </c>
      <c r="G571">
        <f>Skills!G6*IF(Skills!H6&gt;0,Skills!I6/Skills!H6,1)</f>
        <v/>
      </c>
      <c r="H571">
        <f>1-(1-Skills!J6/100)^Skills!K6</f>
        <v/>
      </c>
      <c r="I571" t="inlineStr">
        <is>
          <t>1</t>
        </is>
      </c>
      <c r="J571">
        <f>(Inputs!$B$5*(1+Inputs!$B$6/100))*(F571/100)</f>
        <v/>
      </c>
      <c r="K571">
        <f>J571*(1+((Inputs!$B$11*(1+Inputs!$B$12/100))*0.01+Inputs!$B$13*0.0025)/100)*(1+Inputs!$B$14/100)*(1+IF(Inputs!$B$4="pvp",0,(1-Summary!$B$55)*(Inputs!$B$19+0+Skills!P6)+Summary!$B$55*(Inputs!$B$20+Skills!Q6))/100)*(1+Inputs!$B$15/100)*(5000/(6000+Inputs!$B$7*(1-(Inputs!$B$18+0)/100)))*(1+(Inputs!$B$23+0+B598)/100)*(1+(IF(Skills!A6="BLAST",(Inputs!$B$16+1)+((C586=TRUE)*(F586-Calc!F21)),Inputs!$B$17+((C588=TRUE)*(F588-Calc!F23))))/100)*((1+(((C578=TRUE)*F578*MIN(1,Skills!T13*(Skills!J13/100)*B596))+((C583=TRUE)*F583*IF(AND(Inputs!$B$4&lt;&gt;"pvp",Inputs!$B$35&gt;0),(((S583-1)*(Skills!T18*(1+Inputs!$B$33/100))+MIN((Skills!T18*(1+Inputs!$B$33/100)),MAX(0,Inputs!$B$35-((S583-1)*Skills!D18))))/Inputs!$B$35),IF(Inputs!$B$4="pvp",MIN((Skills!T18*(1+Inputs!$B$33/100)),15)/15,(Skills!T18*(1+Inputs!$B$33/100))/Skills!D18)))+0)/100)*I571)</f>
        <v/>
      </c>
      <c r="L571">
        <f>K571*(MIN(Inputs!$B$21+((C587=TRUE)*(F587-Calc!F22)),Inputs!$B$22+((C589=TRUE)*(F589-Calc!F24)))/100+(Inputs!$B$22+((C589=TRUE)*(F589-Calc!F24)))/100)/2</f>
        <v/>
      </c>
      <c r="M571">
        <f>L571*(1+(Inputs!$B$9+0+B597)/100)</f>
        <v/>
      </c>
      <c r="N571">
        <f>L571*(1-MIN((Inputs!$B$8+0+B592),100)/100)+M571*(MIN((Inputs!$B$8+0+B592),100)/100)</f>
        <v/>
      </c>
      <c r="O571">
        <f>IF(C571,H571*N571*IF(AND(Inputs!$B$4&lt;&gt;"pvp",Inputs!$B$35&gt;0),((Skills!G6*((R571-1)*IF(Skills!H6&gt;0,Skills!I6/Skills!H6,1)+IF(Skills!H6&gt;0,MIN(Skills!I6,MAX(0,Inputs!$B$35-((R571-1)*IF(Inputs!$B$4="pvp",15,MAX(0.1,Skills!D6-IF(Skills!E6=TRUE,Inputs!$B$31,0))))))/Skills!H6,1)))/Inputs!$B$35),G571*Q571)*IF(Inputs!$B$4="pvp",1,(1-Summary!$B$55)*(1)+Summary!$B$55*(MIN(Skills!R6,Inputs!$B$37))),0)</f>
        <v/>
      </c>
      <c r="P571">
        <f>IF(B600=0,0,O571/B600)</f>
        <v/>
      </c>
      <c r="Q571">
        <f>IFERROR(1/IF(Inputs!$B$4="pvp",15,MAX(0.1,Skills!D6-IF(Skills!E6=TRUE,Inputs!$B$31,0))),0)</f>
        <v/>
      </c>
      <c r="R571">
        <f>IF(AND(Inputs!$B$4&lt;&gt;"pvp",Inputs!$B$35&gt;0),(INT(Inputs!$B$35/IF(Inputs!$B$4="pvp",15,MAX(0.1,Skills!D6-IF(Skills!E6=TRUE,Inputs!$B$31,0))))+1),0)</f>
        <v/>
      </c>
      <c r="S571">
        <f>IFERROR(O571/N571,0)</f>
        <v/>
      </c>
    </row>
    <row r="572">
      <c r="A572">
        <f>Skills!A7</f>
        <v/>
      </c>
      <c r="B572">
        <f>Skills!B7</f>
        <v/>
      </c>
      <c r="C572">
        <f>Inputs!$B$3&gt;=107</f>
        <v/>
      </c>
      <c r="D572">
        <f>IF(Skills!C7=1,60+Inputs!$B$24+Inputs!$B$28,IF(Skills!C7=2,90+Inputs!$B$25+Inputs!$B$28,IF(Skills!C7=3,120+Inputs!$B$26+Inputs!$B$28,MAX(0,(Inputs!$B$3-100)*3)+Inputs!$B$27+Inputs!$B$28)))</f>
        <v/>
      </c>
      <c r="E572">
        <f>INDEX(FactorTable!$B$2:$Y$301, MATCH(ROUND(MIN(300,MAX(1,D572)),0), FactorTable!$A$2:$A$301,0), Skills!M7+1)</f>
        <v/>
      </c>
      <c r="F572">
        <f>IF(Skills!N7=TRUE,(Skills!L7/10)*(E572/1000),Skills!L7/10)+Skills!O7</f>
        <v/>
      </c>
      <c r="G572">
        <f>Skills!G7*IF(Skills!H7&gt;0,Skills!I7/Skills!H7,1)</f>
        <v/>
      </c>
      <c r="H572">
        <f>1-(1-Skills!J7/100)^Skills!K7</f>
        <v/>
      </c>
      <c r="I572" t="inlineStr">
        <is>
          <t>1</t>
        </is>
      </c>
      <c r="J572">
        <f>(Inputs!$B$5*(1+Inputs!$B$6/100))*(F572/100)</f>
        <v/>
      </c>
      <c r="K572">
        <f>J572*(1+((Inputs!$B$11*(1+Inputs!$B$12/100))*0.01+Inputs!$B$13*0.0025)/100)*(1+Inputs!$B$14/100)*(1+IF(Inputs!$B$4="pvp",0,(1-Summary!$B$55)*(Inputs!$B$19+0+Skills!P7)+Summary!$B$55*(Inputs!$B$20+Skills!Q7))/100)*(1+Inputs!$B$15/100)*(5000/(6000+Inputs!$B$7*(1-(Inputs!$B$18+0)/100)))*(1+(Inputs!$B$23+0+B598)/100)*(1+(IF(Skills!A7="BLAST",(Inputs!$B$16+1)+((C586=TRUE)*(F586-Calc!F21)),Inputs!$B$17+((C588=TRUE)*(F588-Calc!F23))))/100)*((1+(((C578=TRUE)*F578*MIN(1,Skills!T13*(Skills!J13/100)*B596))+((C583=TRUE)*F583*IF(AND(Inputs!$B$4&lt;&gt;"pvp",Inputs!$B$35&gt;0),(((S583-1)*(Skills!T18*(1+Inputs!$B$33/100))+MIN((Skills!T18*(1+Inputs!$B$33/100)),MAX(0,Inputs!$B$35-((S583-1)*Skills!D18))))/Inputs!$B$35),IF(Inputs!$B$4="pvp",MIN((Skills!T18*(1+Inputs!$B$33/100)),15)/15,(Skills!T18*(1+Inputs!$B$33/100))/Skills!D18)))+0)/100)*I572)</f>
        <v/>
      </c>
      <c r="L572">
        <f>K572*(MIN(Inputs!$B$21+((C587=TRUE)*(F587-Calc!F22)),Inputs!$B$22+((C589=TRUE)*(F589-Calc!F24)))/100+(Inputs!$B$22+((C589=TRUE)*(F589-Calc!F24)))/100)/2</f>
        <v/>
      </c>
      <c r="M572">
        <f>L572*(1+(Inputs!$B$9+0+B597)/100)</f>
        <v/>
      </c>
      <c r="N572">
        <f>L572*(1-MIN((Inputs!$B$8+0+B592),100)/100)+M572*(MIN((Inputs!$B$8+0+B592),100)/100)</f>
        <v/>
      </c>
      <c r="O572">
        <f>IF(C572,H572*N572*IF(AND(Inputs!$B$4&lt;&gt;"pvp",Inputs!$B$35&gt;0),((Skills!G7*((R572-1)*IF(Skills!H7&gt;0,Skills!I7/Skills!H7,1)+IF(Skills!H7&gt;0,MIN(Skills!I7,MAX(0,Inputs!$B$35-((R572-1)*IF(Inputs!$B$4="pvp",15,MAX(0.1,Skills!D7-IF(Skills!E7=TRUE,Inputs!$B$31,0))))))/Skills!H7,1)))/Inputs!$B$35),G572*Q572)*IF(Inputs!$B$4="pvp",1,(1-Summary!$B$55)*(1)+Summary!$B$55*(MIN(Skills!R7,Inputs!$B$37))),0)</f>
        <v/>
      </c>
      <c r="P572">
        <f>IF(B600=0,0,O572/B600)</f>
        <v/>
      </c>
      <c r="Q572">
        <f>IFERROR(1/IF(Inputs!$B$4="pvp",15,MAX(0.1,Skills!D7-IF(Skills!E7=TRUE,Inputs!$B$31,0))),0)</f>
        <v/>
      </c>
      <c r="R572">
        <f>IF(AND(Inputs!$B$4&lt;&gt;"pvp",Inputs!$B$35&gt;0),(INT(Inputs!$B$35/IF(Inputs!$B$4="pvp",15,MAX(0.1,Skills!D7-IF(Skills!E7=TRUE,Inputs!$B$31,0))))+1),0)</f>
        <v/>
      </c>
      <c r="S572">
        <f>IFERROR(O572/N572,0)</f>
        <v/>
      </c>
    </row>
    <row r="573">
      <c r="A573">
        <f>Skills!A8</f>
        <v/>
      </c>
      <c r="B573">
        <f>Skills!B8</f>
        <v/>
      </c>
      <c r="C573">
        <f>Inputs!$B$3&gt;=107</f>
        <v/>
      </c>
      <c r="D573">
        <f>IF(Skills!C8=1,60+Inputs!$B$24+Inputs!$B$28,IF(Skills!C8=2,90+Inputs!$B$25+Inputs!$B$28,IF(Skills!C8=3,120+Inputs!$B$26+Inputs!$B$28,MAX(0,(Inputs!$B$3-100)*3)+Inputs!$B$27+Inputs!$B$28)))</f>
        <v/>
      </c>
      <c r="E573">
        <f>INDEX(FactorTable!$B$2:$Y$301, MATCH(ROUND(MIN(300,MAX(1,D573)),0), FactorTable!$A$2:$A$301,0), Skills!M8+1)</f>
        <v/>
      </c>
      <c r="F573">
        <f>IF(Skills!N8=TRUE,(Skills!L8/10)*(E573/1000),Skills!L8/10)+Skills!O8</f>
        <v/>
      </c>
      <c r="G573">
        <f>Skills!G8*IF(Skills!H8&gt;0,Skills!I8/Skills!H8,1)</f>
        <v/>
      </c>
      <c r="H573">
        <f>1-(1-Skills!J8/100)^Skills!K8</f>
        <v/>
      </c>
      <c r="I573" t="inlineStr">
        <is>
          <t>1</t>
        </is>
      </c>
      <c r="J573">
        <f>(Inputs!$B$5*(1+Inputs!$B$6/100))*(F573/100)</f>
        <v/>
      </c>
      <c r="K573">
        <f>J573*(1+((Inputs!$B$11*(1+Inputs!$B$12/100))*0.01+Inputs!$B$13*0.0025)/100)*(1+Inputs!$B$14/100)*(1+IF(Inputs!$B$4="pvp",0,(1-Summary!$B$55)*(Inputs!$B$19+0+Skills!P8)+Summary!$B$55*(Inputs!$B$20+Skills!Q8))/100)*(1+Inputs!$B$15/100)*(5000/(6000+Inputs!$B$7*(1-(Inputs!$B$18+0)/100)))*(1+(Inputs!$B$23+0+B598)/100)*(1+(IF(Skills!A8="BLAST",(Inputs!$B$16+1)+((C586=TRUE)*(F586-Calc!F21)),Inputs!$B$17+((C588=TRUE)*(F588-Calc!F23))))/100)*((1+(((C578=TRUE)*F578*MIN(1,Skills!T13*(Skills!J13/100)*B596))+((C583=TRUE)*F583*IF(AND(Inputs!$B$4&lt;&gt;"pvp",Inputs!$B$35&gt;0),(((S583-1)*(Skills!T18*(1+Inputs!$B$33/100))+MIN((Skills!T18*(1+Inputs!$B$33/100)),MAX(0,Inputs!$B$35-((S583-1)*Skills!D18))))/Inputs!$B$35),IF(Inputs!$B$4="pvp",MIN((Skills!T18*(1+Inputs!$B$33/100)),15)/15,(Skills!T18*(1+Inputs!$B$33/100))/Skills!D18)))+0)/100)*I573)</f>
        <v/>
      </c>
      <c r="L573">
        <f>K573*(MIN(Inputs!$B$21+((C587=TRUE)*(F587-Calc!F22)),Inputs!$B$22+((C589=TRUE)*(F589-Calc!F24)))/100+(Inputs!$B$22+((C589=TRUE)*(F589-Calc!F24)))/100)/2</f>
        <v/>
      </c>
      <c r="M573">
        <f>L573*(1+(Inputs!$B$9+0+B597)/100)</f>
        <v/>
      </c>
      <c r="N573">
        <f>L573*(1-MIN((Inputs!$B$8+0+B592),100)/100)+M573*(MIN((Inputs!$B$8+0+B592),100)/100)</f>
        <v/>
      </c>
      <c r="O573">
        <f>IF(C573,H573*N573*IF(AND(Inputs!$B$4&lt;&gt;"pvp",Inputs!$B$35&gt;0),((Skills!G8*((R573-1)*IF(Skills!H8&gt;0,Skills!I8/Skills!H8,1)+IF(Skills!H8&gt;0,MIN(Skills!I8,MAX(0,Inputs!$B$35-((R573-1)*IF(Inputs!$B$4="pvp",15,MAX(0.1,Skills!D8-IF(Skills!E8=TRUE,Inputs!$B$31,0))))))/Skills!H8,1)))/Inputs!$B$35),G573*Q573)*IF(Inputs!$B$4="pvp",1,(1-Summary!$B$55)*(1)+Summary!$B$55*(MIN(Skills!R8,Inputs!$B$37))),0)</f>
        <v/>
      </c>
      <c r="P573">
        <f>IF(B600=0,0,O573/B600)</f>
        <v/>
      </c>
      <c r="Q573">
        <f>IFERROR(1/IF(Inputs!$B$4="pvp",15,MAX(0.1,Skills!D8-IF(Skills!E8=TRUE,Inputs!$B$31,0))),0)</f>
        <v/>
      </c>
      <c r="R573">
        <f>IF(AND(Inputs!$B$4&lt;&gt;"pvp",Inputs!$B$35&gt;0),(INT(Inputs!$B$35/IF(Inputs!$B$4="pvp",15,MAX(0.1,Skills!D8-IF(Skills!E8=TRUE,Inputs!$B$31,0))))+1),0)</f>
        <v/>
      </c>
      <c r="S573">
        <f>IFERROR(O573/N573,0)</f>
        <v/>
      </c>
    </row>
    <row r="574">
      <c r="A574">
        <f>Skills!A9</f>
        <v/>
      </c>
      <c r="B574">
        <f>Skills!B9</f>
        <v/>
      </c>
      <c r="C574">
        <f>Inputs!$B$3&gt;=125</f>
        <v/>
      </c>
      <c r="D574">
        <f>IF(Skills!C9=1,60+Inputs!$B$24+Inputs!$B$28,IF(Skills!C9=2,90+Inputs!$B$25+Inputs!$B$28,IF(Skills!C9=3,120+Inputs!$B$26+Inputs!$B$28,MAX(0,(Inputs!$B$3-100)*3)+Inputs!$B$27+Inputs!$B$28)))</f>
        <v/>
      </c>
      <c r="E574">
        <f>INDEX(FactorTable!$B$2:$Y$301, MATCH(ROUND(MIN(300,MAX(1,D574)),0), FactorTable!$A$2:$A$301,0), Skills!M9+1)</f>
        <v/>
      </c>
      <c r="F574">
        <f>IF(Skills!N9=TRUE,(Skills!L9/10)*(E574/1000),Skills!L9/10)+Skills!O9</f>
        <v/>
      </c>
      <c r="G574">
        <f>Skills!G9*IF(Skills!H9&gt;0,Skills!I9/Skills!H9,1)</f>
        <v/>
      </c>
      <c r="H574">
        <f>1-(1-Skills!J9/100)^Skills!K9</f>
        <v/>
      </c>
      <c r="I574" t="inlineStr">
        <is>
          <t>1</t>
        </is>
      </c>
      <c r="J574">
        <f>(Inputs!$B$5*(1+Inputs!$B$6/100))*(F574/100)</f>
        <v/>
      </c>
      <c r="K574">
        <f>J574*(1+((Inputs!$B$11*(1+Inputs!$B$12/100))*0.01+Inputs!$B$13*0.0025)/100)*(1+Inputs!$B$14/100)*(1+IF(Inputs!$B$4="pvp",0,(1-Summary!$B$55)*(Inputs!$B$19+0+Skills!P9)+Summary!$B$55*(Inputs!$B$20+Skills!Q9))/100)*(1+Inputs!$B$15/100)*(5000/(6000+Inputs!$B$7*(1-(Inputs!$B$18+0)/100)))*(1+(Inputs!$B$23+0+B598)/100)*(1+(IF(Skills!A9="BLAST",(Inputs!$B$16+1)+((C586=TRUE)*(F586-Calc!F21)),Inputs!$B$17+((C588=TRUE)*(F588-Calc!F23))))/100)*((1+(((C578=TRUE)*F578*MIN(1,Skills!T13*(Skills!J13/100)*B596))+((C583=TRUE)*F583*IF(AND(Inputs!$B$4&lt;&gt;"pvp",Inputs!$B$35&gt;0),(((S583-1)*(Skills!T18*(1+Inputs!$B$33/100))+MIN((Skills!T18*(1+Inputs!$B$33/100)),MAX(0,Inputs!$B$35-((S583-1)*Skills!D18))))/Inputs!$B$35),IF(Inputs!$B$4="pvp",MIN((Skills!T18*(1+Inputs!$B$33/100)),15)/15,(Skills!T18*(1+Inputs!$B$33/100))/Skills!D18)))+0)/100)*I574)</f>
        <v/>
      </c>
      <c r="L574">
        <f>K574*(MIN(Inputs!$B$21+((C587=TRUE)*(F587-Calc!F22)),Inputs!$B$22+((C589=TRUE)*(F589-Calc!F24)))/100+(Inputs!$B$22+((C589=TRUE)*(F589-Calc!F24)))/100)/2</f>
        <v/>
      </c>
      <c r="M574">
        <f>L574*(1+(Inputs!$B$9+0+B597)/100)</f>
        <v/>
      </c>
      <c r="N574">
        <f>L574*(1-MIN((Inputs!$B$8+0+B592),100)/100)+M574*(MIN((Inputs!$B$8+0+B592),100)/100)</f>
        <v/>
      </c>
      <c r="O574">
        <f>IF(C574,H574*N574*IF(AND(Inputs!$B$4&lt;&gt;"pvp",Inputs!$B$35&gt;0),((Skills!G9*((R574-1)*IF(Skills!H9&gt;0,Skills!I9/Skills!H9,1)+IF(Skills!H9&gt;0,MIN(Skills!I9,MAX(0,Inputs!$B$35-((R574-1)*IF(Inputs!$B$4="pvp",15,MAX(0.1,Skills!D9-IF(Skills!E9=TRUE,Inputs!$B$31,0))))))/Skills!H9,1)))/Inputs!$B$35),G574*Q574)*IF(Inputs!$B$4="pvp",1,(1-Summary!$B$55)*(1)+Summary!$B$55*(MIN(Skills!R9,Inputs!$B$37))),0)</f>
        <v/>
      </c>
      <c r="P574">
        <f>IF(B600=0,0,O574/B600)</f>
        <v/>
      </c>
      <c r="Q574">
        <f>IFERROR(1/IF(Inputs!$B$4="pvp",15,MAX(0.1,Skills!D9-IF(Skills!E9=TRUE,Inputs!$B$31,0))),0)</f>
        <v/>
      </c>
      <c r="R574">
        <f>IF(AND(Inputs!$B$4&lt;&gt;"pvp",Inputs!$B$35&gt;0),(INT(Inputs!$B$35/IF(Inputs!$B$4="pvp",15,MAX(0.1,Skills!D9-IF(Skills!E9=TRUE,Inputs!$B$31,0))))+1),0)</f>
        <v/>
      </c>
      <c r="S574">
        <f>IFERROR(O574/N574,0)</f>
        <v/>
      </c>
    </row>
    <row r="575">
      <c r="A575">
        <f>Skills!A10</f>
        <v/>
      </c>
      <c r="B575">
        <f>Skills!B10</f>
        <v/>
      </c>
      <c r="C575">
        <f>Inputs!$B$3&gt;=117</f>
        <v/>
      </c>
      <c r="D575">
        <f>IF(Skills!C10=1,60+Inputs!$B$24+Inputs!$B$28,IF(Skills!C10=2,90+Inputs!$B$25+Inputs!$B$28,IF(Skills!C10=3,120+Inputs!$B$26+Inputs!$B$28,MAX(0,(Inputs!$B$3-100)*3)+Inputs!$B$27+Inputs!$B$28)))</f>
        <v/>
      </c>
      <c r="E575">
        <f>INDEX(FactorTable!$B$2:$Y$301, MATCH(ROUND(MIN(300,MAX(1,D575)),0), FactorTable!$A$2:$A$301,0), Skills!M10+1)</f>
        <v/>
      </c>
      <c r="F575">
        <f>IF(Skills!N10=TRUE,(Skills!L10/10)*(E575/1000),Skills!L10/10)+Skills!O10</f>
        <v/>
      </c>
      <c r="G575">
        <f>Skills!G10*IF(Skills!H10&gt;0,Skills!I10/Skills!H10,1)</f>
        <v/>
      </c>
      <c r="H575">
        <f>1-(1-Skills!J10/100)^Skills!K10</f>
        <v/>
      </c>
      <c r="I575" t="inlineStr">
        <is>
          <t>1</t>
        </is>
      </c>
      <c r="J575">
        <f>(Inputs!$B$5*(1+Inputs!$B$6/100))*(F575/100)</f>
        <v/>
      </c>
      <c r="K575">
        <f>J575*(1+((Inputs!$B$11*(1+Inputs!$B$12/100))*0.01+Inputs!$B$13*0.0025)/100)*(1+Inputs!$B$14/100)*(1+IF(Inputs!$B$4="pvp",0,(1-Summary!$B$55)*(Inputs!$B$19+0+Skills!P10)+Summary!$B$55*(Inputs!$B$20+Skills!Q10))/100)*(1+Inputs!$B$15/100)*(5000/(6000+Inputs!$B$7*(1-(Inputs!$B$18+0)/100)))*(1+(Inputs!$B$23+0+B598)/100)*(1+(IF(Skills!A10="BLAST",(Inputs!$B$16+1)+((C586=TRUE)*(F586-Calc!F21)),Inputs!$B$17+((C588=TRUE)*(F588-Calc!F23))))/100)*((1+(((C578=TRUE)*F578*MIN(1,Skills!T13*(Skills!J13/100)*B596))+((C583=TRUE)*F583*IF(AND(Inputs!$B$4&lt;&gt;"pvp",Inputs!$B$35&gt;0),(((S583-1)*(Skills!T18*(1+Inputs!$B$33/100))+MIN((Skills!T18*(1+Inputs!$B$33/100)),MAX(0,Inputs!$B$35-((S583-1)*Skills!D18))))/Inputs!$B$35),IF(Inputs!$B$4="pvp",MIN((Skills!T18*(1+Inputs!$B$33/100)),15)/15,(Skills!T18*(1+Inputs!$B$33/100))/Skills!D18)))+0)/100)*I575)</f>
        <v/>
      </c>
      <c r="L575">
        <f>K575*(MIN(Inputs!$B$21+((C587=TRUE)*(F587-Calc!F22)),Inputs!$B$22+((C589=TRUE)*(F589-Calc!F24)))/100+(Inputs!$B$22+((C589=TRUE)*(F589-Calc!F24)))/100)/2</f>
        <v/>
      </c>
      <c r="M575">
        <f>L575*(1+(Inputs!$B$9+0+B597)/100)</f>
        <v/>
      </c>
      <c r="N575">
        <f>L575*(1-MIN((Inputs!$B$8+0+B592),100)/100)+M575*(MIN((Inputs!$B$8+0+B592),100)/100)</f>
        <v/>
      </c>
      <c r="O575">
        <f>IF(C575,H575*N575*IF(AND(Inputs!$B$4&lt;&gt;"pvp",Inputs!$B$35&gt;0),((Skills!G10*((R575-1)*IF(Skills!H10&gt;0,Skills!I10/Skills!H10,1)+IF(Skills!H10&gt;0,MIN(Skills!I10,MAX(0,Inputs!$B$35-((R575-1)*IF(Inputs!$B$4="pvp",15,MAX(0.1,Skills!D10-IF(Skills!E10=TRUE,Inputs!$B$31,0))))))/Skills!H10,1)))/Inputs!$B$35),G575*Q575)*IF(Inputs!$B$4="pvp",1,(1-Summary!$B$55)*(1)+Summary!$B$55*(MIN(Skills!R10,Inputs!$B$37))),0)</f>
        <v/>
      </c>
      <c r="P575">
        <f>IF(B600=0,0,O575/B600)</f>
        <v/>
      </c>
      <c r="Q575">
        <f>IFERROR(1/IF(Inputs!$B$4="pvp",15,MAX(0.1,Skills!D10-IF(Skills!E10=TRUE,Inputs!$B$31,0))),0)</f>
        <v/>
      </c>
      <c r="R575">
        <f>IF(AND(Inputs!$B$4&lt;&gt;"pvp",Inputs!$B$35&gt;0),(INT(Inputs!$B$35/IF(Inputs!$B$4="pvp",15,MAX(0.1,Skills!D10-IF(Skills!E10=TRUE,Inputs!$B$31,0))))+1),0)</f>
        <v/>
      </c>
      <c r="S575">
        <f>IFERROR(O575/N575,0)</f>
        <v/>
      </c>
    </row>
    <row r="576">
      <c r="A576">
        <f>Skills!A11</f>
        <v/>
      </c>
      <c r="B576">
        <f>Skills!B11</f>
        <v/>
      </c>
      <c r="C576">
        <f>Inputs!$B$3&gt;=63</f>
        <v/>
      </c>
      <c r="D576">
        <f>IF(Skills!C11=1,60+Inputs!$B$24+Inputs!$B$28,IF(Skills!C11=2,90+Inputs!$B$25+Inputs!$B$28,IF(Skills!C11=3,120+Inputs!$B$26+Inputs!$B$28,MAX(0,(Inputs!$B$3-100)*3)+Inputs!$B$27+Inputs!$B$28)))</f>
        <v/>
      </c>
      <c r="E576">
        <f>INDEX(FactorTable!$B$2:$Y$301, MATCH(ROUND(MIN(300,MAX(1,D576)),0), FactorTable!$A$2:$A$301,0), Skills!M11+1)</f>
        <v/>
      </c>
      <c r="F576">
        <f>IF(Skills!N11=TRUE,(Skills!L11/10)*(E576/1000),Skills!L11/10)+Skills!O11</f>
        <v/>
      </c>
      <c r="G576">
        <f>Skills!G11*IF(Skills!H11&gt;0,Skills!I11/Skills!H11,1)</f>
        <v/>
      </c>
      <c r="H576">
        <f>1-(1-Skills!J11/100)^Skills!K11</f>
        <v/>
      </c>
      <c r="I576" t="inlineStr">
        <is>
          <t>1</t>
        </is>
      </c>
      <c r="J576">
        <f>(Inputs!$B$5*(1+Inputs!$B$6/100))*(F576/100)</f>
        <v/>
      </c>
      <c r="K576">
        <f>J576*(1+((Inputs!$B$11*(1+Inputs!$B$12/100))*0.01+Inputs!$B$13*0.0025)/100)*(1+Inputs!$B$14/100)*(1+IF(Inputs!$B$4="pvp",0,(1-Summary!$B$55)*(Inputs!$B$19+0+Skills!P11)+Summary!$B$55*(Inputs!$B$20+Skills!Q11))/100)*(1+Inputs!$B$15/100)*(5000/(6000+Inputs!$B$7*(1-(Inputs!$B$18+0)/100)))*(1+(Inputs!$B$23+0+B598)/100)*(1+1.5*IF(C577=TRUE,F577,0)/100)*(1+(IF(Skills!A11="BLAST",(Inputs!$B$16+1)+((C586=TRUE)*(F586-Calc!F21)),Inputs!$B$17+((C588=TRUE)*(F588-Calc!F23))))/100)*((1+(((C578=TRUE)*F578*MIN(1,Skills!T13*(Skills!J13/100)*B596))+((C583=TRUE)*F583*IF(AND(Inputs!$B$4&lt;&gt;"pvp",Inputs!$B$35&gt;0),(((S583-1)*(Skills!T18*(1+Inputs!$B$33/100))+MIN((Skills!T18*(1+Inputs!$B$33/100)),MAX(0,Inputs!$B$35-((S583-1)*Skills!D18))))/Inputs!$B$35),IF(Inputs!$B$4="pvp",MIN((Skills!T18*(1+Inputs!$B$33/100)),15)/15,(Skills!T18*(1+Inputs!$B$33/100))/Skills!D18)))+0)/100)*I576)</f>
        <v/>
      </c>
      <c r="L576">
        <f>K576*(MIN(Inputs!$B$21+((C587=TRUE)*(F587-Calc!F22)),Inputs!$B$22+((C589=TRUE)*(F589-Calc!F24)))/100+(Inputs!$B$22+((C589=TRUE)*(F589-Calc!F24)))/100)/2</f>
        <v/>
      </c>
      <c r="M576">
        <f>L576*(1+(Inputs!$B$9+0+B597)/100)</f>
        <v/>
      </c>
      <c r="N576">
        <f>L576*(1-MIN((Inputs!$B$8+0+B592),100)/100)+M576*(MIN((Inputs!$B$8+0+B592),100)/100)</f>
        <v/>
      </c>
      <c r="O576">
        <f>IF(C576,H576*N576*IF(AND(Inputs!$B$4&lt;&gt;"pvp",Inputs!$B$35&gt;0),((Skills!G11*((R576-1)*IF(Skills!H11&gt;0,Skills!I11/Skills!H11,1)+IF(Skills!H11&gt;0,MIN(Skills!I11,MAX(0,Inputs!$B$35-((R576-1)*IF(Inputs!$B$4="pvp",15,MAX(0.1,Skills!D11-IF(Skills!E11=TRUE,Inputs!$B$31,0))))))/Skills!H11,1)))/Inputs!$B$35),G576*Q576)*IF(Inputs!$B$4="pvp",1,(1-Summary!$B$55)*(1)+Summary!$B$55*(MIN(Skills!R11,Inputs!$B$37))),0)</f>
        <v/>
      </c>
      <c r="P576">
        <f>IF(B600=0,0,O576/B600)</f>
        <v/>
      </c>
      <c r="Q576">
        <f>IFERROR(1/IF(Inputs!$B$4="pvp",15,MAX(0.1,Skills!D11-IF(Skills!E11=TRUE,Inputs!$B$31,0))),0)</f>
        <v/>
      </c>
      <c r="R576">
        <f>IF(AND(Inputs!$B$4&lt;&gt;"pvp",Inputs!$B$35&gt;0),(INT(Inputs!$B$35/IF(Inputs!$B$4="pvp",15,MAX(0.1,Skills!D11-IF(Skills!E11=TRUE,Inputs!$B$31,0))))+1),0)</f>
        <v/>
      </c>
      <c r="S576">
        <f>IFERROR(O576/N576,0)</f>
        <v/>
      </c>
    </row>
    <row r="577">
      <c r="A577">
        <f>Skills!A12</f>
        <v/>
      </c>
      <c r="B577">
        <f>Skills!B12</f>
        <v/>
      </c>
      <c r="C577">
        <f>Inputs!$B$3&gt;=100</f>
        <v/>
      </c>
      <c r="D577">
        <f>IF(Skills!C12=1,60+Inputs!$B$24+Inputs!$B$28,IF(Skills!C12=2,90+Inputs!$B$25+Inputs!$B$28,IF(Skills!C12=3,120+Inputs!$B$26+Inputs!$B$28,MAX(0,(Inputs!$B$3-100)*3)+Inputs!$B$27+Inputs!$B$28)))</f>
        <v/>
      </c>
      <c r="E577">
        <f>INDEX(FactorTable!$B$2:$Y$301, MATCH(ROUND(MIN(300,MAX(1,D577)),0), FactorTable!$A$2:$A$301,0), Skills!M12+1)</f>
        <v/>
      </c>
      <c r="F577">
        <f>IF(Skills!N12=TRUE,(Skills!L12/10)*(E577/1000),Skills!L12/10)+Skills!O12</f>
        <v/>
      </c>
      <c r="G577" t="inlineStr"/>
      <c r="H577" t="inlineStr"/>
      <c r="I577" t="inlineStr">
        <is>
          <t>1</t>
        </is>
      </c>
      <c r="J577" t="inlineStr"/>
      <c r="K577" t="inlineStr"/>
      <c r="L577" t="inlineStr"/>
      <c r="M577" t="inlineStr"/>
      <c r="N577" t="inlineStr"/>
      <c r="O577" t="inlineStr"/>
      <c r="P577" t="inlineStr"/>
      <c r="Q577" t="inlineStr"/>
      <c r="R577" t="inlineStr"/>
      <c r="S577" t="inlineStr"/>
    </row>
    <row r="578">
      <c r="A578">
        <f>Skills!A13</f>
        <v/>
      </c>
      <c r="B578">
        <f>Skills!B13</f>
        <v/>
      </c>
      <c r="C578">
        <f>Inputs!$B$3&gt;=45</f>
        <v/>
      </c>
      <c r="D578">
        <f>IF(Skills!C13=1,60+Inputs!$B$24+Inputs!$B$28,IF(Skills!C13=2,90+Inputs!$B$25+Inputs!$B$28,IF(Skills!C13=3,120+Inputs!$B$26+Inputs!$B$28,MAX(0,(Inputs!$B$3-100)*3)+Inputs!$B$27+Inputs!$B$28)))</f>
        <v/>
      </c>
      <c r="E578">
        <f>INDEX(FactorTable!$B$2:$Y$301, MATCH(ROUND(MIN(300,MAX(1,D578)),0), FactorTable!$A$2:$A$301,0), Skills!M13+1)</f>
        <v/>
      </c>
      <c r="F578">
        <f>IF(Skills!N13=TRUE,(Skills!L13/10)*(E578/1000),Skills!L13/10)+Skills!O13</f>
        <v/>
      </c>
      <c r="G578">
        <f>Skills!G13*IF(Skills!H13&gt;0,Skills!I13/Skills!H13,1)</f>
        <v/>
      </c>
      <c r="H578">
        <f>1-(1-Skills!J13/100)^Skills!K13</f>
        <v/>
      </c>
      <c r="I578" t="inlineStr">
        <is>
          <t>1</t>
        </is>
      </c>
      <c r="J578" t="inlineStr"/>
      <c r="K578" t="inlineStr"/>
      <c r="L578" t="inlineStr"/>
      <c r="M578" t="inlineStr"/>
      <c r="N578" t="inlineStr"/>
      <c r="O578" t="n">
        <v>0</v>
      </c>
      <c r="P578">
        <f>IF(B600=0,0,O578/B600)</f>
        <v/>
      </c>
      <c r="Q578" t="n">
        <v>0</v>
      </c>
      <c r="R578" t="n">
        <v>0</v>
      </c>
      <c r="S578">
        <f>IFERROR(O578/N578,0)</f>
        <v/>
      </c>
    </row>
    <row r="579">
      <c r="A579">
        <f>Skills!A14</f>
        <v/>
      </c>
      <c r="B579">
        <f>Skills!B14</f>
        <v/>
      </c>
      <c r="C579">
        <f>Inputs!$B$3&gt;=110</f>
        <v/>
      </c>
      <c r="D579">
        <f>IF(Skills!C14=1,60+Inputs!$B$24+Inputs!$B$28,IF(Skills!C14=2,90+Inputs!$B$25+Inputs!$B$28,IF(Skills!C14=3,120+Inputs!$B$26+Inputs!$B$28,MAX(0,(Inputs!$B$3-100)*3)+Inputs!$B$27+Inputs!$B$28)))</f>
        <v/>
      </c>
      <c r="E579">
        <f>INDEX(FactorTable!$B$2:$Y$301, MATCH(ROUND(MIN(300,MAX(1,D579)),0), FactorTable!$A$2:$A$301,0), Skills!M14+1)</f>
        <v/>
      </c>
      <c r="F579">
        <f>IF(Skills!N14=TRUE,(Skills!L14/10)*(E579/1000),Skills!L14/10)+Skills!O14</f>
        <v/>
      </c>
      <c r="G579">
        <f>Skills!G14*IF(Skills!H14&gt;0,Skills!I14/Skills!H14,1)</f>
        <v/>
      </c>
      <c r="H579">
        <f>1-(1-Skills!J14/100)^Skills!K14</f>
        <v/>
      </c>
      <c r="I579" t="inlineStr">
        <is>
          <t>1</t>
        </is>
      </c>
      <c r="J579" t="inlineStr"/>
      <c r="K579" t="inlineStr"/>
      <c r="L579" t="inlineStr"/>
      <c r="M579" t="inlineStr"/>
      <c r="N579" t="inlineStr"/>
      <c r="O579" t="n">
        <v>0</v>
      </c>
      <c r="P579">
        <f>IF(B600=0,0,O579/B600)</f>
        <v/>
      </c>
      <c r="Q579" t="n">
        <v>0</v>
      </c>
      <c r="R579" t="n">
        <v>0</v>
      </c>
      <c r="S579">
        <f>IFERROR(O579/N579,0)</f>
        <v/>
      </c>
    </row>
    <row r="580">
      <c r="A580">
        <f>Skills!A15</f>
        <v/>
      </c>
      <c r="B580">
        <f>Skills!B15</f>
        <v/>
      </c>
      <c r="C580">
        <f>Inputs!$B$3&gt;=75</f>
        <v/>
      </c>
      <c r="D580">
        <f>IF(Skills!C15=1,60+Inputs!$B$24+Inputs!$B$28,IF(Skills!C15=2,90+Inputs!$B$25+Inputs!$B$28,IF(Skills!C15=3,120+Inputs!$B$26+Inputs!$B$28,MAX(0,(Inputs!$B$3-100)*3)+Inputs!$B$27+Inputs!$B$28)))</f>
        <v/>
      </c>
      <c r="E580">
        <f>INDEX(FactorTable!$B$2:$Y$301, MATCH(ROUND(MIN(300,MAX(1,D580)),0), FactorTable!$A$2:$A$301,0), Skills!M15+1)</f>
        <v/>
      </c>
      <c r="F580">
        <f>IF(Skills!N15=TRUE,(Skills!L15/10)*(E580/1000),Skills!L15/10)+Skills!O15</f>
        <v/>
      </c>
      <c r="G580">
        <f>Skills!G15*IF(Skills!H15&gt;0,Skills!I15/Skills!H15,1)</f>
        <v/>
      </c>
      <c r="H580">
        <f>1-(1-Skills!J15/100)^Skills!K15</f>
        <v/>
      </c>
      <c r="I580" t="inlineStr">
        <is>
          <t>1</t>
        </is>
      </c>
      <c r="J580" t="inlineStr"/>
      <c r="K580" t="inlineStr"/>
      <c r="L580" t="inlineStr"/>
      <c r="M580" t="inlineStr"/>
      <c r="N580" t="inlineStr"/>
      <c r="O580" t="n">
        <v>0</v>
      </c>
      <c r="P580">
        <f>IF(B600=0,0,O580/B600)</f>
        <v/>
      </c>
      <c r="Q580">
        <f>IFERROR(1/IF(Inputs!$B$4="pvp",15,MAX(0.1,Skills!D15-IF(Skills!E15=TRUE,Inputs!$B$31,0))),0)</f>
        <v/>
      </c>
      <c r="R580">
        <f>IF(AND(Inputs!$B$4&lt;&gt;"pvp",Inputs!$B$35&gt;0),(INT(Inputs!$B$35/IF(Inputs!$B$4="pvp",15,MAX(0.1,Skills!D15-IF(Skills!E15=TRUE,Inputs!$B$31,0))))+1),0)</f>
        <v/>
      </c>
      <c r="S580">
        <f>IFERROR(O580/N580,0)</f>
        <v/>
      </c>
    </row>
    <row r="581">
      <c r="A581">
        <f>Skills!A16</f>
        <v/>
      </c>
      <c r="B581">
        <f>Skills!B16</f>
        <v/>
      </c>
      <c r="C581">
        <f>Inputs!$B$3&gt;=105</f>
        <v/>
      </c>
      <c r="D581">
        <f>IF(Skills!C16=1,60+Inputs!$B$24+Inputs!$B$28,IF(Skills!C16=2,90+Inputs!$B$25+Inputs!$B$28,IF(Skills!C16=3,120+Inputs!$B$26+Inputs!$B$28,MAX(0,(Inputs!$B$3-100)*3)+Inputs!$B$27+Inputs!$B$28)))</f>
        <v/>
      </c>
      <c r="E581">
        <f>INDEX(FactorTable!$B$2:$Y$301, MATCH(ROUND(MIN(300,MAX(1,D581)),0), FactorTable!$A$2:$A$301,0), Skills!M16+1)</f>
        <v/>
      </c>
      <c r="F581">
        <f>IF(Skills!N16=TRUE,(Skills!L16/10)*(E581/1000),Skills!L16/10)+Skills!O16</f>
        <v/>
      </c>
      <c r="G581">
        <f>Skills!G16*IF(Skills!H16&gt;0,Skills!I16/Skills!H16,1)</f>
        <v/>
      </c>
      <c r="H581">
        <f>1-(1-Skills!J16/100)^Skills!K16</f>
        <v/>
      </c>
      <c r="I581" t="inlineStr">
        <is>
          <t>1</t>
        </is>
      </c>
      <c r="J581" t="inlineStr"/>
      <c r="K581" t="inlineStr"/>
      <c r="L581" t="inlineStr"/>
      <c r="M581" t="inlineStr"/>
      <c r="N581" t="inlineStr"/>
      <c r="O581" t="n">
        <v>0</v>
      </c>
      <c r="P581">
        <f>IF(B600=0,0,O581/B600)</f>
        <v/>
      </c>
      <c r="Q581">
        <f>IFERROR(1/IF(Inputs!$B$4="pvp",15,MAX(0.1,Skills!D16-IF(Skills!E16=TRUE,Inputs!$B$31,0))),0)</f>
        <v/>
      </c>
      <c r="R581">
        <f>IF(AND(Inputs!$B$4&lt;&gt;"pvp",Inputs!$B$35&gt;0),(INT(Inputs!$B$35/IF(Inputs!$B$4="pvp",15,MAX(0.1,Skills!D16-IF(Skills!E16=TRUE,Inputs!$B$31,0))))+1),0)</f>
        <v/>
      </c>
      <c r="S581">
        <f>IFERROR(O581/N581,0)</f>
        <v/>
      </c>
    </row>
    <row r="582">
      <c r="A582">
        <f>Skills!A17</f>
        <v/>
      </c>
      <c r="B582">
        <f>Skills!B17</f>
        <v/>
      </c>
      <c r="C582">
        <f>Inputs!$B$3&gt;=115</f>
        <v/>
      </c>
      <c r="D582">
        <f>IF(Skills!C17=1,60+Inputs!$B$24+Inputs!$B$28,IF(Skills!C17=2,90+Inputs!$B$25+Inputs!$B$28,IF(Skills!C17=3,120+Inputs!$B$26+Inputs!$B$28,MAX(0,(Inputs!$B$3-100)*3)+Inputs!$B$27+Inputs!$B$28)))</f>
        <v/>
      </c>
      <c r="E582">
        <f>INDEX(FactorTable!$B$2:$Y$301, MATCH(ROUND(MIN(300,MAX(1,D582)),0), FactorTable!$A$2:$A$301,0), Skills!M17+1)</f>
        <v/>
      </c>
      <c r="F582">
        <f>IF(Skills!N17=TRUE,(Skills!L17/10)*(E582/1000),Skills!L17/10)+Skills!O17</f>
        <v/>
      </c>
      <c r="G582">
        <f>Skills!G17*IF(Skills!H17&gt;0,Skills!I17/Skills!H17,1)</f>
        <v/>
      </c>
      <c r="H582">
        <f>1-(1-Skills!J17/100)^Skills!K17</f>
        <v/>
      </c>
      <c r="I582" t="inlineStr">
        <is>
          <t>1</t>
        </is>
      </c>
      <c r="J582" t="inlineStr"/>
      <c r="K582" t="inlineStr"/>
      <c r="L582" t="inlineStr"/>
      <c r="M582" t="inlineStr"/>
      <c r="N582" t="inlineStr"/>
      <c r="O582" t="n">
        <v>0</v>
      </c>
      <c r="P582">
        <f>IF(B600=0,0,O582/B600)</f>
        <v/>
      </c>
      <c r="Q582">
        <f>IFERROR(1/IF(Inputs!$B$4="pvp",15,MAX(0.1,Skills!D17-IF(Skills!E17=TRUE,Inputs!$B$31,0))),0)</f>
        <v/>
      </c>
      <c r="R582">
        <f>IF(AND(Inputs!$B$4&lt;&gt;"pvp",Inputs!$B$35&gt;0),(INT(Inputs!$B$35/IF(Inputs!$B$4="pvp",15,MAX(0.1,Skills!D17-IF(Skills!E17=TRUE,Inputs!$B$31,0))))+1),0)</f>
        <v/>
      </c>
      <c r="S582">
        <f>IFERROR(O582/N582,0)</f>
        <v/>
      </c>
    </row>
    <row r="583">
      <c r="A583">
        <f>Skills!A18</f>
        <v/>
      </c>
      <c r="B583">
        <f>Skills!B18</f>
        <v/>
      </c>
      <c r="C583">
        <f>Inputs!$B$3&gt;=74</f>
        <v/>
      </c>
      <c r="D583">
        <f>IF(Skills!C18=1,60+Inputs!$B$24+Inputs!$B$28,IF(Skills!C18=2,90+Inputs!$B$25+Inputs!$B$28,IF(Skills!C18=3,120+Inputs!$B$26+Inputs!$B$28,MAX(0,(Inputs!$B$3-100)*3)+Inputs!$B$27+Inputs!$B$28)))</f>
        <v/>
      </c>
      <c r="E583">
        <f>INDEX(FactorTable!$B$2:$Y$301, MATCH(ROUND(MIN(300,MAX(1,D583)),0), FactorTable!$A$2:$A$301,0), Skills!M18+1)</f>
        <v/>
      </c>
      <c r="F583">
        <f>IF(Skills!N18=TRUE,(Skills!L18/10)*(E583/1000),Skills!L18/10)+Skills!O18</f>
        <v/>
      </c>
      <c r="G583">
        <f>Skills!G18*IF(Skills!H18&gt;0,Skills!I18/Skills!H18,1)</f>
        <v/>
      </c>
      <c r="H583">
        <f>1-(1-Skills!J18/100)^Skills!K18</f>
        <v/>
      </c>
      <c r="I583" t="inlineStr">
        <is>
          <t>1</t>
        </is>
      </c>
      <c r="J583" t="inlineStr"/>
      <c r="K583" t="inlineStr"/>
      <c r="L583" t="inlineStr"/>
      <c r="M583" t="inlineStr"/>
      <c r="N583" t="inlineStr"/>
      <c r="O583" t="n">
        <v>0</v>
      </c>
      <c r="P583">
        <f>IF(B600=0,0,O583/B600)</f>
        <v/>
      </c>
      <c r="Q583">
        <f>IFERROR(1/IF(Inputs!$B$4="pvp",15,MAX(0.1,Skills!D18-IF(Skills!E18=TRUE,Inputs!$B$31,0))),0)</f>
        <v/>
      </c>
      <c r="R583">
        <f>IF(AND(Inputs!$B$4&lt;&gt;"pvp",Inputs!$B$35&gt;0),(INT(Inputs!$B$35/IF(Inputs!$B$4="pvp",15,MAX(0.1,Skills!D18-IF(Skills!E18=TRUE,Inputs!$B$31,0))))+1),0)</f>
        <v/>
      </c>
      <c r="S583">
        <f>IFERROR(O583/N583,0)</f>
        <v/>
      </c>
    </row>
    <row r="584">
      <c r="A584">
        <f>Skills!A19</f>
        <v/>
      </c>
      <c r="B584">
        <f>Skills!B19</f>
        <v/>
      </c>
      <c r="C584">
        <f>TRUE</f>
        <v/>
      </c>
      <c r="D584">
        <f>IF(Skills!C19=1,60+Inputs!$B$24+Inputs!$B$28,IF(Skills!C19=2,90+Inputs!$B$25+Inputs!$B$28,IF(Skills!C19=3,120+Inputs!$B$26+Inputs!$B$28,MAX(0,(Inputs!$B$3-100)*3)+Inputs!$B$27+Inputs!$B$28)))</f>
        <v/>
      </c>
      <c r="E584">
        <f>INDEX(FactorTable!$B$2:$Y$301, MATCH(ROUND(MIN(300,MAX(1,D584)),0), FactorTable!$A$2:$A$301,0), Skills!M19+1)</f>
        <v/>
      </c>
      <c r="F584">
        <f>IF(Skills!N19=TRUE,(Skills!L19/10)*(E584/1000),Skills!L19/10)+Skills!O19</f>
        <v/>
      </c>
      <c r="G584">
        <f>Skills!G19*IF(Skills!H19&gt;0,Skills!I19/Skills!H19,1)</f>
        <v/>
      </c>
      <c r="H584">
        <f>1-(1-Skills!J19/100)^Skills!K19</f>
        <v/>
      </c>
      <c r="I584" t="inlineStr">
        <is>
          <t>1</t>
        </is>
      </c>
      <c r="J584" t="inlineStr"/>
      <c r="K584" t="inlineStr"/>
      <c r="L584" t="inlineStr"/>
      <c r="M584" t="inlineStr"/>
      <c r="N584" t="inlineStr"/>
      <c r="O584" t="n">
        <v>0</v>
      </c>
      <c r="P584">
        <f>IF(B600=0,0,O584/B600)</f>
        <v/>
      </c>
      <c r="Q584">
        <f>IFERROR(1/IF(Inputs!$B$4="pvp",15,MAX(0.1,Skills!D19-IF(Skills!E19=TRUE,Inputs!$B$31,0))),0)</f>
        <v/>
      </c>
      <c r="R584">
        <f>IF(AND(Inputs!$B$4&lt;&gt;"pvp",Inputs!$B$35&gt;0),(INT(Inputs!$B$35/IF(Inputs!$B$4="pvp",15,MAX(0.1,Skills!D19-IF(Skills!E19=TRUE,Inputs!$B$31,0))))+1),0)</f>
        <v/>
      </c>
      <c r="S584">
        <f>IFERROR(O584/N584,0)</f>
        <v/>
      </c>
    </row>
    <row r="585">
      <c r="A585">
        <f>Skills!A20</f>
        <v/>
      </c>
      <c r="B585">
        <f>Skills!B20</f>
        <v/>
      </c>
      <c r="C585">
        <f>Inputs!$B$3&gt;=33</f>
        <v/>
      </c>
      <c r="D585">
        <f>IF(Skills!C20=1,60+Inputs!$B$24+Inputs!$B$28,IF(Skills!C20=2,90+Inputs!$B$25+Inputs!$B$28,IF(Skills!C20=3,120+Inputs!$B$26+Inputs!$B$28,MAX(0,(Inputs!$B$3-100)*3)+Inputs!$B$27+Inputs!$B$28)))</f>
        <v/>
      </c>
      <c r="E585">
        <f>INDEX(FactorTable!$B$2:$Y$301, MATCH(ROUND(MIN(300,MAX(1,D585)),0), FactorTable!$A$2:$A$301,0), Skills!M20+1)</f>
        <v/>
      </c>
      <c r="F585">
        <f>IF(Skills!N20=TRUE,(Skills!L20/10)*(E585/1000),Skills!L20/10)+Skills!O20</f>
        <v/>
      </c>
      <c r="G585">
        <f>Skills!G20*IF(Skills!H20&gt;0,Skills!I20/Skills!H20,1)</f>
        <v/>
      </c>
      <c r="H585">
        <f>1-(1-Skills!J20/100)^Skills!K20</f>
        <v/>
      </c>
      <c r="I585" t="inlineStr">
        <is>
          <t>1</t>
        </is>
      </c>
      <c r="J585" t="inlineStr"/>
      <c r="K585" t="inlineStr"/>
      <c r="L585" t="inlineStr"/>
      <c r="M585" t="inlineStr"/>
      <c r="N585" t="inlineStr"/>
      <c r="O585" t="n">
        <v>0</v>
      </c>
      <c r="P585">
        <f>IF(B600=0,0,O585/B600)</f>
        <v/>
      </c>
      <c r="Q585" t="n">
        <v>0</v>
      </c>
      <c r="R585" t="n">
        <v>0</v>
      </c>
      <c r="S585">
        <f>IFERROR(O585/N585,0)</f>
        <v/>
      </c>
    </row>
    <row r="586">
      <c r="A586">
        <f>Skills!A21</f>
        <v/>
      </c>
      <c r="B586">
        <f>Skills!B21</f>
        <v/>
      </c>
      <c r="C586">
        <f>Inputs!$B$3&gt;=38</f>
        <v/>
      </c>
      <c r="D586">
        <f>IF(Skills!C21=1,60+Inputs!$B$24+Inputs!$B$28,IF(Skills!C21=2,90+Inputs!$B$25+Inputs!$B$28,IF(Skills!C21=3,120+Inputs!$B$26+Inputs!$B$28,MAX(0,(Inputs!$B$3-100)*3)+Inputs!$B$27+Inputs!$B$28)))</f>
        <v/>
      </c>
      <c r="E586">
        <f>INDEX(FactorTable!$B$2:$Y$301, MATCH(ROUND(MIN(300,MAX(1,D586)),0), FactorTable!$A$2:$A$301,0), Skills!M21+1)</f>
        <v/>
      </c>
      <c r="F586">
        <f>IF(Skills!N21=TRUE,(Skills!L21/10)*(E586/1000),Skills!L21/10)+Skills!O21</f>
        <v/>
      </c>
      <c r="G586">
        <f>Skills!G21*IF(Skills!H21&gt;0,Skills!I21/Skills!H21,1)</f>
        <v/>
      </c>
      <c r="H586">
        <f>1-(1-Skills!J21/100)^Skills!K21</f>
        <v/>
      </c>
      <c r="I586" t="inlineStr">
        <is>
          <t>1</t>
        </is>
      </c>
      <c r="J586" t="inlineStr"/>
      <c r="K586" t="inlineStr"/>
      <c r="L586" t="inlineStr"/>
      <c r="M586" t="inlineStr"/>
      <c r="N586" t="inlineStr"/>
      <c r="O586" t="n">
        <v>0</v>
      </c>
      <c r="P586">
        <f>IF(B600=0,0,O586/B600)</f>
        <v/>
      </c>
      <c r="Q586" t="n">
        <v>0</v>
      </c>
      <c r="R586" t="n">
        <v>0</v>
      </c>
      <c r="S586">
        <f>IFERROR(O586/N586,0)</f>
        <v/>
      </c>
    </row>
    <row r="587">
      <c r="A587">
        <f>Skills!A22</f>
        <v/>
      </c>
      <c r="B587">
        <f>Skills!B22</f>
        <v/>
      </c>
      <c r="C587">
        <f>Inputs!$B$3&gt;=43</f>
        <v/>
      </c>
      <c r="D587">
        <f>IF(Skills!C22=1,60+Inputs!$B$24+Inputs!$B$28,IF(Skills!C22=2,90+Inputs!$B$25+Inputs!$B$28,IF(Skills!C22=3,120+Inputs!$B$26+Inputs!$B$28,MAX(0,(Inputs!$B$3-100)*3)+Inputs!$B$27+Inputs!$B$28)))</f>
        <v/>
      </c>
      <c r="E587">
        <f>INDEX(FactorTable!$B$2:$Y$301, MATCH(ROUND(MIN(300,MAX(1,D587)),0), FactorTable!$A$2:$A$301,0), Skills!M22+1)</f>
        <v/>
      </c>
      <c r="F587">
        <f>IF(Skills!N22=TRUE,(Skills!L22/10)*(E587/1000),Skills!L22/10)+Skills!O22</f>
        <v/>
      </c>
      <c r="G587">
        <f>Skills!G22*IF(Skills!H22&gt;0,Skills!I22/Skills!H22,1)</f>
        <v/>
      </c>
      <c r="H587">
        <f>1-(1-Skills!J22/100)^Skills!K22</f>
        <v/>
      </c>
      <c r="I587" t="inlineStr">
        <is>
          <t>1</t>
        </is>
      </c>
      <c r="J587" t="inlineStr"/>
      <c r="K587" t="inlineStr"/>
      <c r="L587" t="inlineStr"/>
      <c r="M587" t="inlineStr"/>
      <c r="N587" t="inlineStr"/>
      <c r="O587" t="n">
        <v>0</v>
      </c>
      <c r="P587">
        <f>IF(B600=0,0,O587/B600)</f>
        <v/>
      </c>
      <c r="Q587" t="n">
        <v>0</v>
      </c>
      <c r="R587" t="n">
        <v>0</v>
      </c>
      <c r="S587">
        <f>IFERROR(O587/N587,0)</f>
        <v/>
      </c>
    </row>
    <row r="588">
      <c r="A588">
        <f>Skills!A23</f>
        <v/>
      </c>
      <c r="B588">
        <f>Skills!B23</f>
        <v/>
      </c>
      <c r="C588">
        <f>Inputs!$B$3&gt;=120</f>
        <v/>
      </c>
      <c r="D588">
        <f>IF(Skills!C23=1,60+Inputs!$B$24+Inputs!$B$28,IF(Skills!C23=2,90+Inputs!$B$25+Inputs!$B$28,IF(Skills!C23=3,120+Inputs!$B$26+Inputs!$B$28,MAX(0,(Inputs!$B$3-100)*3)+Inputs!$B$27+Inputs!$B$28)))</f>
        <v/>
      </c>
      <c r="E588">
        <f>INDEX(FactorTable!$B$2:$Y$301, MATCH(ROUND(MIN(300,MAX(1,D588)),0), FactorTable!$A$2:$A$301,0), Skills!M23+1)</f>
        <v/>
      </c>
      <c r="F588">
        <f>IF(Skills!N23=TRUE,(Skills!L23/10)*(E588/1000),Skills!L23/10)+Skills!O23</f>
        <v/>
      </c>
      <c r="G588">
        <f>Skills!G23*IF(Skills!H23&gt;0,Skills!I23/Skills!H23,1)</f>
        <v/>
      </c>
      <c r="H588">
        <f>1-(1-Skills!J23/100)^Skills!K23</f>
        <v/>
      </c>
      <c r="I588" t="inlineStr">
        <is>
          <t>1</t>
        </is>
      </c>
      <c r="J588" t="inlineStr"/>
      <c r="K588" t="inlineStr"/>
      <c r="L588" t="inlineStr"/>
      <c r="M588" t="inlineStr"/>
      <c r="N588" t="inlineStr"/>
      <c r="O588" t="n">
        <v>0</v>
      </c>
      <c r="P588">
        <f>IF(B600=0,0,O588/B600)</f>
        <v/>
      </c>
      <c r="Q588" t="n">
        <v>0</v>
      </c>
      <c r="R588" t="n">
        <v>0</v>
      </c>
      <c r="S588">
        <f>IFERROR(O588/N588,0)</f>
        <v/>
      </c>
    </row>
    <row r="589">
      <c r="A589">
        <f>Skills!A24</f>
        <v/>
      </c>
      <c r="B589">
        <f>Skills!B24</f>
        <v/>
      </c>
      <c r="C589">
        <f>Inputs!$B$3&gt;=120</f>
        <v/>
      </c>
      <c r="D589">
        <f>IF(Skills!C24=1,60+Inputs!$B$24+Inputs!$B$28,IF(Skills!C24=2,90+Inputs!$B$25+Inputs!$B$28,IF(Skills!C24=3,120+Inputs!$B$26+Inputs!$B$28,MAX(0,(Inputs!$B$3-100)*3)+Inputs!$B$27+Inputs!$B$28)))</f>
        <v/>
      </c>
      <c r="E589">
        <f>INDEX(FactorTable!$B$2:$Y$301, MATCH(ROUND(MIN(300,MAX(1,D589)),0), FactorTable!$A$2:$A$301,0), Skills!M24+1)</f>
        <v/>
      </c>
      <c r="F589">
        <f>IF(Skills!N24=TRUE,(Skills!L24/10)*(E589/1000),Skills!L24/10)+Skills!O24</f>
        <v/>
      </c>
      <c r="G589">
        <f>Skills!G24*IF(Skills!H24&gt;0,Skills!I24/Skills!H24,1)</f>
        <v/>
      </c>
      <c r="H589">
        <f>1-(1-Skills!J24/100)^Skills!K24</f>
        <v/>
      </c>
      <c r="I589" t="inlineStr">
        <is>
          <t>1</t>
        </is>
      </c>
      <c r="J589" t="inlineStr"/>
      <c r="K589" t="inlineStr"/>
      <c r="L589" t="inlineStr"/>
      <c r="M589" t="inlineStr"/>
      <c r="N589" t="inlineStr"/>
      <c r="O589" t="n">
        <v>0</v>
      </c>
      <c r="P589">
        <f>IF(B600=0,0,O589/B600)</f>
        <v/>
      </c>
      <c r="Q589" t="n">
        <v>0</v>
      </c>
      <c r="R589" t="n">
        <v>0</v>
      </c>
      <c r="S589">
        <f>IFERROR(O589/N589,0)</f>
        <v/>
      </c>
    </row>
    <row r="591">
      <c r="A591" t="inlineStr">
        <is>
          <t>Attack% Bucket Multiplier</t>
        </is>
      </c>
      <c r="B591">
        <f>(1+(((C578=TRUE)*F578*MIN(1,Skills!T13*(Skills!J13/100)*B596))+((C583=TRUE)*F583*IF(AND(Inputs!$B$4&lt;&gt;"pvp",Inputs!$B$35&gt;0),(((S583-1)*(Skills!T18*(1+Inputs!$B$33/100))+MIN((Skills!T18*(1+Inputs!$B$33/100)),MAX(0,Inputs!$B$35-((S583-1)*Skills!D18))))/Inputs!$B$35),IF(Inputs!$B$4="pvp",MIN((Skills!T18*(1+Inputs!$B$33/100)),15)/15,(Skills!T18*(1+Inputs!$B$33/100))/Skills!D18)))+0)/100)</f>
        <v/>
      </c>
    </row>
    <row r="592">
      <c r="A592" t="inlineStr">
        <is>
          <t>Global Crit Rate Bonus %</t>
        </is>
      </c>
      <c r="B592" t="n">
        <v>0</v>
      </c>
    </row>
    <row r="593">
      <c r="A593" t="inlineStr">
        <is>
          <t>Attack Speed Buff Bonus %</t>
        </is>
      </c>
      <c r="B593">
        <f>((C584=TRUE)*F584*IF(AND(Inputs!$B$4&lt;&gt;"pvp",Inputs!$B$35&gt;0),(((S584-1)*(Skills!T19*(1+Inputs!$B$33/100))+MIN((Skills!T19*(1+Inputs!$B$33/100)),MAX(0,Inputs!$B$35-((S584-1)*Skills!D19))))/Inputs!$B$35),IF(Inputs!$B$4="pvp",MIN((Skills!T19*(1+Inputs!$B$33/100)),15)/15,(Skills!T19*(1+Inputs!$B$33/100))/Skills!D19)))</f>
        <v/>
      </c>
    </row>
    <row r="594">
      <c r="A594" t="inlineStr">
        <is>
          <t>Actions Per Second</t>
        </is>
      </c>
      <c r="B594">
        <f>1+MIN(150,150*(1-(1-(Inputs!$B$10+((C585=TRUE)*(F585-Calc!F20)))/150)*(1-B593/150)))/100</f>
        <v/>
      </c>
    </row>
    <row r="595">
      <c r="A595" t="inlineStr">
        <is>
          <t>Skill + Buff Cast Rate</t>
        </is>
      </c>
      <c r="B595">
        <f>IF(AND(Inputs!$B$4&lt;&gt;"pvp",Inputs!$B$35&gt;0),SUMPRODUCT((Skills!E2:E24=TRUE)*(C567:C589=TRUE)*R567:R589*Skills!F2:F24)/Inputs!$B$35,SUMPRODUCT((Skills!E2:E24=TRUE)*(C567:C589=TRUE)*Q567:Q589*Skills!F2:F24))</f>
        <v/>
      </c>
    </row>
    <row r="596">
      <c r="A596" t="inlineStr">
        <is>
          <t>Blast Casts Per Second</t>
        </is>
      </c>
      <c r="B596">
        <f>MAX(0,B594-B595)</f>
        <v/>
      </c>
    </row>
    <row r="597">
      <c r="A597" t="inlineStr">
        <is>
          <t>Global Critical Damage Bonus % (unused)</t>
        </is>
      </c>
      <c r="B597" t="n">
        <v>0</v>
      </c>
    </row>
    <row r="598">
      <c r="A598" t="inlineStr">
        <is>
          <t>Global Final Damage Bonus % (Divine Shield + Guardian + Divine Blessing + Greater Vessel of Light)</t>
        </is>
      </c>
      <c r="B598">
        <f>((C580=TRUE)*F580*IF(AND(Inputs!$B$4&lt;&gt;"pvp",Inputs!$B$35&gt;0),(((S580-1)*(Skills!T15*(1+Inputs!$B$33/100))+MIN((Skills!T15*(1+Inputs!$B$33/100)),MAX(0,Inputs!$B$35-((S580-1)*Skills!D15))))/Inputs!$B$35),IF(Inputs!$B$4="pvp",MIN((Skills!T15*(1+Inputs!$B$33/100)),15)/15,(Skills!T15*(1+Inputs!$B$33/100))/Skills!D15)))+((C581=TRUE)*F581*IF(AND(Inputs!$B$4&lt;&gt;"pvp",Inputs!$B$35&gt;0),(((S581-1)*(Skills!T16*(1+Inputs!$B$33/100))+MIN((Skills!T16*(1+Inputs!$B$33/100)),MAX(0,Inputs!$B$35-((S581-1)*Skills!D16))))/Inputs!$B$35),IF(Inputs!$B$4="pvp",MIN((Skills!T16*(1+Inputs!$B$33/100)),15)/15,(Skills!T16*(1+Inputs!$B$33/100))/Skills!D16)))+((C582=TRUE)*F582*IF(AND(Inputs!$B$4&lt;&gt;"pvp",Inputs!$B$35&gt;0),(((S582-1)*(Skills!T17*(1+Inputs!$B$33/100))+MIN((Skills!T17*(1+Inputs!$B$33/100)),MAX(0,Inputs!$B$35-((S582-1)*Skills!D17))))/Inputs!$B$35),IF(Inputs!$B$4="pvp",MIN((Skills!T17*(1+Inputs!$B$33/100)),15)/15,(Skills!T17*(1+Inputs!$B$33/100))/Skills!D17)))+((C579=TRUE)*F579*MIN(1,Skills!T13*(Skills!J13/100)*B596))</f>
        <v/>
      </c>
    </row>
    <row r="600">
      <c r="A600" s="5" t="inlineStr">
        <is>
          <t>TOTAL DPS</t>
        </is>
      </c>
      <c r="B600" s="5">
        <f>SUM(O567:O589)</f>
        <v/>
      </c>
    </row>
    <row r="603">
      <c r="A603" s="5" t="inlineStr">
        <is>
          <t>Stat: SKILL_DAMAGE %</t>
        </is>
      </c>
    </row>
    <row r="604">
      <c r="A604" s="8" t="inlineStr">
        <is>
          <t>Key</t>
        </is>
      </c>
      <c r="B604" s="8" t="inlineStr">
        <is>
          <t>Name</t>
        </is>
      </c>
      <c r="C604" s="8" t="inlineStr">
        <is>
          <t>Unlocked</t>
        </is>
      </c>
      <c r="D604" s="8" t="inlineStr">
        <is>
          <t>InputLevel</t>
        </is>
      </c>
      <c r="E604" s="8" t="inlineStr">
        <is>
          <t>Factor</t>
        </is>
      </c>
      <c r="F604" s="8" t="inlineStr">
        <is>
          <t>CoefficientPercent</t>
        </is>
      </c>
      <c r="G604" s="8" t="inlineStr">
        <is>
          <t>EffectiveHits</t>
        </is>
      </c>
      <c r="H604" s="8" t="inlineStr">
        <is>
          <t>ProcProbability</t>
        </is>
      </c>
      <c r="I604" s="8" t="inlineStr">
        <is>
          <t>MapleHeroMultiplier</t>
        </is>
      </c>
      <c r="J604" s="8" t="inlineStr">
        <is>
          <t>BaseDamage</t>
        </is>
      </c>
      <c r="K604" s="8" t="inlineStr">
        <is>
          <t>BaseHitDamage</t>
        </is>
      </c>
      <c r="L604" s="8" t="inlineStr">
        <is>
          <t>NonCritAvg</t>
        </is>
      </c>
      <c r="M604" s="8" t="inlineStr">
        <is>
          <t>CritAvg</t>
        </is>
      </c>
      <c r="N604" s="8" t="inlineStr">
        <is>
          <t>ExpectedDamage(perHit)</t>
        </is>
      </c>
      <c r="O604" s="8" t="inlineStr">
        <is>
          <t>DPS</t>
        </is>
      </c>
      <c r="P604" s="8" t="inlineStr">
        <is>
          <t>% of Total</t>
        </is>
      </c>
      <c r="Q604" s="8" t="inlineStr">
        <is>
          <t>InvCooldown</t>
        </is>
      </c>
      <c r="R604" s="8" t="inlineStr">
        <is>
          <t>CastsInFight</t>
        </is>
      </c>
      <c r="S604" s="8" t="inlineStr">
        <is>
          <t>HitRate(perSec)</t>
        </is>
      </c>
      <c r="U604" t="inlineStr">
        <is>
          <t>helpers</t>
        </is>
      </c>
    </row>
    <row r="605">
      <c r="A605">
        <f>Skills!A2</f>
        <v/>
      </c>
      <c r="B605">
        <f>Skills!B2</f>
        <v/>
      </c>
      <c r="C605">
        <f>Inputs!$B$3&gt;=100</f>
        <v/>
      </c>
      <c r="D605" t="inlineStr"/>
      <c r="E605" t="inlineStr"/>
      <c r="F605">
        <f>U607+Skills!O2</f>
        <v/>
      </c>
      <c r="G605">
        <f>Skills!G2*IF(Skills!H2&gt;0,Skills!I2/Skills!H2,1)</f>
        <v/>
      </c>
      <c r="H605">
        <f>1-(1-Skills!J2/100)^Skills!K2</f>
        <v/>
      </c>
      <c r="I605" t="inlineStr">
        <is>
          <t>1</t>
        </is>
      </c>
      <c r="J605">
        <f>(Inputs!$B$5*(1+Inputs!$B$6/100))*(F605/100)</f>
        <v/>
      </c>
      <c r="K605">
        <f>J605*(1+((Inputs!$B$11*(1+Inputs!$B$12/100))*0.01+Inputs!$B$13*0.0025)/100)*(1+Inputs!$B$14/100)*(1+IF(Inputs!$B$4="pvp",0,(1-Summary!$B$55)*(Inputs!$B$19+0+Skills!P2)+Summary!$B$55*(Inputs!$B$20+Skills!Q2))/100)*(1+Inputs!$B$15/100)*(5000/(6000+Inputs!$B$7*(1-(Inputs!$B$18+0)/100)))*(1+(Inputs!$B$23+0+B636)/100)*(1+(IF(Skills!A2="BLAST",Inputs!$B$16+((C624=TRUE)*(F624-Calc!F21)),(Inputs!$B$17+1)+((C626=TRUE)*(F626-Calc!F23))))/100)*((1+(((C616=TRUE)*F616*MIN(1,Skills!T13*(Skills!J13/100)*B634))+((C621=TRUE)*F621*IF(AND(Inputs!$B$4&lt;&gt;"pvp",Inputs!$B$35&gt;0),(((S621-1)*(Skills!T18*(1+Inputs!$B$33/100))+MIN((Skills!T18*(1+Inputs!$B$33/100)),MAX(0,Inputs!$B$35-((S621-1)*Skills!D18))))/Inputs!$B$35),IF(Inputs!$B$4="pvp",MIN((Skills!T18*(1+Inputs!$B$33/100)),15)/15,(Skills!T18*(1+Inputs!$B$33/100))/Skills!D18)))+0)/100)*I605)</f>
        <v/>
      </c>
      <c r="L605">
        <f>K605*(MIN(Inputs!$B$21+((C625=TRUE)*(F625-Calc!F22)),Inputs!$B$22+((C627=TRUE)*(F627-Calc!F24)))/100+(Inputs!$B$22+((C627=TRUE)*(F627-Calc!F24)))/100)/2</f>
        <v/>
      </c>
      <c r="M605">
        <f>L605*(1+(Inputs!$B$9+0+B635)/100)</f>
        <v/>
      </c>
      <c r="N605">
        <f>L605*(1-MIN((Inputs!$B$8+0+B630),100)/100)+M605*(MIN((Inputs!$B$8+0+B630),100)/100)</f>
        <v/>
      </c>
      <c r="O605">
        <f>IF(C605,Skills!G2*N605*B634*IF(Inputs!$B$4="pvp",1,(1-Summary!$B$55)*(1)+Summary!$B$55*(MIN((6+Inputs!$B$32),Inputs!$B$37))),0)</f>
        <v/>
      </c>
      <c r="P605">
        <f>IF(B638=0,0,O605/B638)</f>
        <v/>
      </c>
      <c r="Q605" t="n">
        <v>0</v>
      </c>
      <c r="R605" t="n">
        <v>0</v>
      </c>
      <c r="S605">
        <f>IFERROR(O605/N605,0)</f>
        <v/>
      </c>
      <c r="U605">
        <f>MAX(0,(Inputs!$B$3-100)*3)+Inputs!$B$27+Inputs!$B$28</f>
        <v/>
      </c>
    </row>
    <row r="606">
      <c r="A606">
        <f>Skills!A3</f>
        <v/>
      </c>
      <c r="B606">
        <f>Skills!B3</f>
        <v/>
      </c>
      <c r="C606">
        <f>Inputs!$B$3&gt;=50</f>
        <v/>
      </c>
      <c r="D606">
        <f>IF(Skills!C3=1,60+Inputs!$B$24+Inputs!$B$28,IF(Skills!C3=2,90+Inputs!$B$25+Inputs!$B$28,IF(Skills!C3=3,120+Inputs!$B$26+Inputs!$B$28,MAX(0,(Inputs!$B$3-100)*3)+Inputs!$B$27+Inputs!$B$28)))</f>
        <v/>
      </c>
      <c r="E606">
        <f>INDEX(FactorTable!$B$2:$Y$301, MATCH(ROUND(MIN(300,MAX(1,D606)),0), FactorTable!$A$2:$A$301,0), Skills!M3+1)</f>
        <v/>
      </c>
      <c r="F606">
        <f>IF(Skills!N3=TRUE,(Skills!L3/10)*(E606/1000),Skills!L3/10)+Skills!O3</f>
        <v/>
      </c>
      <c r="G606" t="inlineStr"/>
      <c r="H606" t="inlineStr"/>
      <c r="I606" t="inlineStr">
        <is>
          <t>1</t>
        </is>
      </c>
      <c r="J606" t="inlineStr"/>
      <c r="K606" t="inlineStr"/>
      <c r="L606" t="inlineStr"/>
      <c r="M606" t="inlineStr"/>
      <c r="N606" t="inlineStr"/>
      <c r="O606" t="inlineStr"/>
      <c r="P606" t="inlineStr"/>
      <c r="Q606" t="inlineStr"/>
      <c r="R606" t="inlineStr"/>
      <c r="S606" t="inlineStr"/>
      <c r="U606">
        <f>INDEX(FactorTable!$B$2:$Y$301, MATCH(ROUND(MIN(300,MAX(1,U605)),0), FactorTable!$A$2:$A$301,0), 22)</f>
        <v/>
      </c>
    </row>
    <row r="607">
      <c r="A607">
        <f>Skills!A4</f>
        <v/>
      </c>
      <c r="B607">
        <f>Skills!B4</f>
        <v/>
      </c>
      <c r="C607">
        <f>Inputs!$B$3&gt;=35</f>
        <v/>
      </c>
      <c r="D607">
        <f>IF(Skills!C4=1,60+Inputs!$B$24+Inputs!$B$28,IF(Skills!C4=2,90+Inputs!$B$25+Inputs!$B$28,IF(Skills!C4=3,120+Inputs!$B$26+Inputs!$B$28,MAX(0,(Inputs!$B$3-100)*3)+Inputs!$B$27+Inputs!$B$28)))</f>
        <v/>
      </c>
      <c r="E607">
        <f>INDEX(FactorTable!$B$2:$Y$301, MATCH(ROUND(MIN(300,MAX(1,D607)),0), FactorTable!$A$2:$A$301,0), Skills!M4+1)</f>
        <v/>
      </c>
      <c r="F607">
        <f>IF(Skills!N4=TRUE,(Skills!L4/10)*(E607/1000),Skills!L4/10)+Skills!O4</f>
        <v/>
      </c>
      <c r="G607">
        <f>Skills!G4*IF(Skills!H4&gt;0,Skills!I4/Skills!H4,1)</f>
        <v/>
      </c>
      <c r="H607">
        <f>1-(1-Skills!J4/100)^Skills!K4</f>
        <v/>
      </c>
      <c r="I607" t="inlineStr">
        <is>
          <t>1</t>
        </is>
      </c>
      <c r="J607">
        <f>(Inputs!$B$5*(1+Inputs!$B$6/100))*(F607/100)</f>
        <v/>
      </c>
      <c r="K607">
        <f>J607*(1+((Inputs!$B$11*(1+Inputs!$B$12/100))*0.01+Inputs!$B$13*0.0025)/100)*(1+Inputs!$B$14/100)*(1+IF(Inputs!$B$4="pvp",0,(1-Summary!$B$55)*(Inputs!$B$19+0+Skills!P4)+Summary!$B$55*(Inputs!$B$20+Skills!Q4))/100)*(1+Inputs!$B$15/100)*(5000/(6000+Inputs!$B$7*(1-(Inputs!$B$18+0)/100)))*(1+(Inputs!$B$23+0+B636)/100)*(1+4.0*IF(C615=TRUE,F615,0)/100)*(1+(IF(Skills!A4="BLAST",Inputs!$B$16+((C624=TRUE)*(F624-Calc!F21)),(Inputs!$B$17+1)+((C626=TRUE)*(F626-Calc!F23))))/100)*((1+(((C616=TRUE)*F616*MIN(1,Skills!T13*(Skills!J13/100)*B634))+((C621=TRUE)*F621*IF(AND(Inputs!$B$4&lt;&gt;"pvp",Inputs!$B$35&gt;0),(((S621-1)*(Skills!T18*(1+Inputs!$B$33/100))+MIN((Skills!T18*(1+Inputs!$B$33/100)),MAX(0,Inputs!$B$35-((S621-1)*Skills!D18))))/Inputs!$B$35),IF(Inputs!$B$4="pvp",MIN((Skills!T18*(1+Inputs!$B$33/100)),15)/15,(Skills!T18*(1+Inputs!$B$33/100))/Skills!D18)))+0)/100)*I607)</f>
        <v/>
      </c>
      <c r="L607">
        <f>K607*(MIN(Inputs!$B$21+((C625=TRUE)*(F625-Calc!F22)),Inputs!$B$22+((C627=TRUE)*(F627-Calc!F24)))/100+(Inputs!$B$22+((C627=TRUE)*(F627-Calc!F24)))/100)/2</f>
        <v/>
      </c>
      <c r="M607">
        <f>L607*(1+(Inputs!$B$9+0+B635)/100)</f>
        <v/>
      </c>
      <c r="N607">
        <f>L607*(1-MIN((Inputs!$B$8+0+B630),100)/100)+M607*(MIN((Inputs!$B$8+0+B630),100)/100)</f>
        <v/>
      </c>
      <c r="O607">
        <f>IF(C607,H607*N607*IF(AND(Inputs!$B$4&lt;&gt;"pvp",Inputs!$B$35&gt;0),((Skills!G4*((R607-1)*IF(Skills!H4&gt;0,Skills!I4/Skills!H4,1)+IF(Skills!H4&gt;0,MIN(Skills!I4,MAX(0,Inputs!$B$35-((R607-1)*IF(Inputs!$B$4="pvp",15,MAX(0.1,Skills!D4-IF(Skills!E4=TRUE,Inputs!$B$31,0))))))/Skills!H4,1)))/Inputs!$B$35),G607*Q607)*IF(Inputs!$B$4="pvp",1,(1-Summary!$B$55)*(1)+Summary!$B$55*(MIN(Skills!R4,Inputs!$B$37))),0)</f>
        <v/>
      </c>
      <c r="P607">
        <f>IF(B638=0,0,O607/B638)</f>
        <v/>
      </c>
      <c r="Q607">
        <f>IFERROR(1/IF(Inputs!$B$4="pvp",15,MAX(0.1,Skills!D4-IF(Skills!E4=TRUE,Inputs!$B$31,0))),0)</f>
        <v/>
      </c>
      <c r="R607">
        <f>IF(AND(Inputs!$B$4&lt;&gt;"pvp",Inputs!$B$35&gt;0),(INT(Inputs!$B$35/IF(Inputs!$B$4="pvp",15,MAX(0.1,Skills!D4-IF(Skills!E4=TRUE,Inputs!$B$31,0))))+1),0)</f>
        <v/>
      </c>
      <c r="S607">
        <f>IFERROR(O607/N607,0)</f>
        <v/>
      </c>
      <c r="U607">
        <f>290*U606/1000</f>
        <v/>
      </c>
    </row>
    <row r="608">
      <c r="A608">
        <f>Skills!A5</f>
        <v/>
      </c>
      <c r="B608">
        <f>Skills!B5</f>
        <v/>
      </c>
      <c r="C608">
        <f>Inputs!$B$3&gt;=66</f>
        <v/>
      </c>
      <c r="D608">
        <f>IF(Skills!C5=1,60+Inputs!$B$24+Inputs!$B$28,IF(Skills!C5=2,90+Inputs!$B$25+Inputs!$B$28,IF(Skills!C5=3,120+Inputs!$B$26+Inputs!$B$28,MAX(0,(Inputs!$B$3-100)*3)+Inputs!$B$27+Inputs!$B$28)))</f>
        <v/>
      </c>
      <c r="E608">
        <f>INDEX(FactorTable!$B$2:$Y$301, MATCH(ROUND(MIN(300,MAX(1,D608)),0), FactorTable!$A$2:$A$301,0), Skills!M5+1)</f>
        <v/>
      </c>
      <c r="F608">
        <f>IF(Skills!N5=TRUE,(Skills!L5/10)*(E608/1000),Skills!L5/10)+Skills!O5</f>
        <v/>
      </c>
      <c r="G608">
        <f>Skills!G5*IF(Skills!H5&gt;0,Skills!I5/Skills!H5,1)</f>
        <v/>
      </c>
      <c r="H608">
        <f>1-(1-Skills!J5/100)^Skills!K5</f>
        <v/>
      </c>
      <c r="I608" t="inlineStr">
        <is>
          <t>1</t>
        </is>
      </c>
      <c r="J608">
        <f>(Inputs!$B$5*(1+Inputs!$B$6/100))*(F608/100)</f>
        <v/>
      </c>
      <c r="K608">
        <f>J608*(1+((Inputs!$B$11*(1+Inputs!$B$12/100))*0.01+Inputs!$B$13*0.0025)/100)*(1+Inputs!$B$14/100)*(1+IF(Inputs!$B$4="pvp",0,(1-Summary!$B$55)*(Inputs!$B$19+0+Skills!P5)+Summary!$B$55*(Inputs!$B$20+Skills!Q5))/100)*(1+Inputs!$B$15/100)*(5000/(6000+Inputs!$B$7*(1-(Inputs!$B$18+0)/100)))*(1+(Inputs!$B$23+0+B636)/100)*(1+1.0*IF(C615=TRUE,F615,0)/100)*(1+(IF(Skills!A5="BLAST",Inputs!$B$16+((C624=TRUE)*(F624-Calc!F21)),(Inputs!$B$17+1)+((C626=TRUE)*(F626-Calc!F23))))/100)*((1+(((C616=TRUE)*F616*MIN(1,Skills!T13*(Skills!J13/100)*B634))+((C621=TRUE)*F621*IF(AND(Inputs!$B$4&lt;&gt;"pvp",Inputs!$B$35&gt;0),(((S621-1)*(Skills!T18*(1+Inputs!$B$33/100))+MIN((Skills!T18*(1+Inputs!$B$33/100)),MAX(0,Inputs!$B$35-((S621-1)*Skills!D18))))/Inputs!$B$35),IF(Inputs!$B$4="pvp",MIN((Skills!T18*(1+Inputs!$B$33/100)),15)/15,(Skills!T18*(1+Inputs!$B$33/100))/Skills!D18)))+0)/100)*I608)</f>
        <v/>
      </c>
      <c r="L608">
        <f>K608*(MIN(Inputs!$B$21+((C625=TRUE)*(F625-Calc!F22)),Inputs!$B$22+((C627=TRUE)*(F627-Calc!F24)))/100+(Inputs!$B$22+((C627=TRUE)*(F627-Calc!F24)))/100)/2</f>
        <v/>
      </c>
      <c r="M608">
        <f>L608*(1+(Inputs!$B$9+0+B635)/100)</f>
        <v/>
      </c>
      <c r="N608">
        <f>L608*(1-MIN((Inputs!$B$8+0+B630),100)/100)+M608*(MIN((Inputs!$B$8+0+B630),100)/100)</f>
        <v/>
      </c>
      <c r="O608">
        <f>IF(C608,H608*N608*IF(AND(Inputs!$B$4&lt;&gt;"pvp",Inputs!$B$35&gt;0),((Skills!G5*((R608-1)*IF(Skills!H5&gt;0,Skills!I5/Skills!H5,1)+IF(Skills!H5&gt;0,MIN(Skills!I5,MAX(0,Inputs!$B$35-((R608-1)*IF(Inputs!$B$4="pvp",15,MAX(0.1,Skills!D5-IF(Skills!E5=TRUE,Inputs!$B$31,0))))))/Skills!H5,1)))/Inputs!$B$35),G608*Q608)*IF(Inputs!$B$4="pvp",1,(1-Summary!$B$55)*(1)+Summary!$B$55*(MIN(Skills!R5,Inputs!$B$37))),0)</f>
        <v/>
      </c>
      <c r="P608">
        <f>IF(B638=0,0,O608/B638)</f>
        <v/>
      </c>
      <c r="Q608">
        <f>IFERROR(1/IF(Inputs!$B$4="pvp",15,MAX(0.1,Skills!D5-IF(Skills!E5=TRUE,Inputs!$B$31,0))),0)</f>
        <v/>
      </c>
      <c r="R608">
        <f>IF(AND(Inputs!$B$4&lt;&gt;"pvp",Inputs!$B$35&gt;0),(INT(Inputs!$B$35/IF(Inputs!$B$4="pvp",15,MAX(0.1,Skills!D5-IF(Skills!E5=TRUE,Inputs!$B$31,0))))+1),0)</f>
        <v/>
      </c>
      <c r="S608">
        <f>IFERROR(O608/N608,0)</f>
        <v/>
      </c>
    </row>
    <row r="609">
      <c r="A609">
        <f>Skills!A6</f>
        <v/>
      </c>
      <c r="B609">
        <f>Skills!B6</f>
        <v/>
      </c>
      <c r="C609">
        <f>Inputs!$B$3&gt;=103</f>
        <v/>
      </c>
      <c r="D609">
        <f>IF(Skills!C6=1,60+Inputs!$B$24+Inputs!$B$28,IF(Skills!C6=2,90+Inputs!$B$25+Inputs!$B$28,IF(Skills!C6=3,120+Inputs!$B$26+Inputs!$B$28,MAX(0,(Inputs!$B$3-100)*3)+Inputs!$B$27+Inputs!$B$28)))</f>
        <v/>
      </c>
      <c r="E609">
        <f>INDEX(FactorTable!$B$2:$Y$301, MATCH(ROUND(MIN(300,MAX(1,D609)),0), FactorTable!$A$2:$A$301,0), Skills!M6+1)</f>
        <v/>
      </c>
      <c r="F609">
        <f>IF(Skills!N6=TRUE,(Skills!L6/10)*(E609/1000),Skills!L6/10)+Skills!O6</f>
        <v/>
      </c>
      <c r="G609">
        <f>Skills!G6*IF(Skills!H6&gt;0,Skills!I6/Skills!H6,1)</f>
        <v/>
      </c>
      <c r="H609">
        <f>1-(1-Skills!J6/100)^Skills!K6</f>
        <v/>
      </c>
      <c r="I609" t="inlineStr">
        <is>
          <t>1</t>
        </is>
      </c>
      <c r="J609">
        <f>(Inputs!$B$5*(1+Inputs!$B$6/100))*(F609/100)</f>
        <v/>
      </c>
      <c r="K609">
        <f>J609*(1+((Inputs!$B$11*(1+Inputs!$B$12/100))*0.01+Inputs!$B$13*0.0025)/100)*(1+Inputs!$B$14/100)*(1+IF(Inputs!$B$4="pvp",0,(1-Summary!$B$55)*(Inputs!$B$19+0+Skills!P6)+Summary!$B$55*(Inputs!$B$20+Skills!Q6))/100)*(1+Inputs!$B$15/100)*(5000/(6000+Inputs!$B$7*(1-(Inputs!$B$18+0)/100)))*(1+(Inputs!$B$23+0+B636)/100)*(1+(IF(Skills!A6="BLAST",Inputs!$B$16+((C624=TRUE)*(F624-Calc!F21)),(Inputs!$B$17+1)+((C626=TRUE)*(F626-Calc!F23))))/100)*((1+(((C616=TRUE)*F616*MIN(1,Skills!T13*(Skills!J13/100)*B634))+((C621=TRUE)*F621*IF(AND(Inputs!$B$4&lt;&gt;"pvp",Inputs!$B$35&gt;0),(((S621-1)*(Skills!T18*(1+Inputs!$B$33/100))+MIN((Skills!T18*(1+Inputs!$B$33/100)),MAX(0,Inputs!$B$35-((S621-1)*Skills!D18))))/Inputs!$B$35),IF(Inputs!$B$4="pvp",MIN((Skills!T18*(1+Inputs!$B$33/100)),15)/15,(Skills!T18*(1+Inputs!$B$33/100))/Skills!D18)))+0)/100)*I609)</f>
        <v/>
      </c>
      <c r="L609">
        <f>K609*(MIN(Inputs!$B$21+((C625=TRUE)*(F625-Calc!F22)),Inputs!$B$22+((C627=TRUE)*(F627-Calc!F24)))/100+(Inputs!$B$22+((C627=TRUE)*(F627-Calc!F24)))/100)/2</f>
        <v/>
      </c>
      <c r="M609">
        <f>L609*(1+(Inputs!$B$9+0+B635)/100)</f>
        <v/>
      </c>
      <c r="N609">
        <f>L609*(1-MIN((Inputs!$B$8+0+B630),100)/100)+M609*(MIN((Inputs!$B$8+0+B630),100)/100)</f>
        <v/>
      </c>
      <c r="O609">
        <f>IF(C609,H609*N609*IF(AND(Inputs!$B$4&lt;&gt;"pvp",Inputs!$B$35&gt;0),((Skills!G6*((R609-1)*IF(Skills!H6&gt;0,Skills!I6/Skills!H6,1)+IF(Skills!H6&gt;0,MIN(Skills!I6,MAX(0,Inputs!$B$35-((R609-1)*IF(Inputs!$B$4="pvp",15,MAX(0.1,Skills!D6-IF(Skills!E6=TRUE,Inputs!$B$31,0))))))/Skills!H6,1)))/Inputs!$B$35),G609*Q609)*IF(Inputs!$B$4="pvp",1,(1-Summary!$B$55)*(1)+Summary!$B$55*(MIN(Skills!R6,Inputs!$B$37))),0)</f>
        <v/>
      </c>
      <c r="P609">
        <f>IF(B638=0,0,O609/B638)</f>
        <v/>
      </c>
      <c r="Q609">
        <f>IFERROR(1/IF(Inputs!$B$4="pvp",15,MAX(0.1,Skills!D6-IF(Skills!E6=TRUE,Inputs!$B$31,0))),0)</f>
        <v/>
      </c>
      <c r="R609">
        <f>IF(AND(Inputs!$B$4&lt;&gt;"pvp",Inputs!$B$35&gt;0),(INT(Inputs!$B$35/IF(Inputs!$B$4="pvp",15,MAX(0.1,Skills!D6-IF(Skills!E6=TRUE,Inputs!$B$31,0))))+1),0)</f>
        <v/>
      </c>
      <c r="S609">
        <f>IFERROR(O609/N609,0)</f>
        <v/>
      </c>
    </row>
    <row r="610">
      <c r="A610">
        <f>Skills!A7</f>
        <v/>
      </c>
      <c r="B610">
        <f>Skills!B7</f>
        <v/>
      </c>
      <c r="C610">
        <f>Inputs!$B$3&gt;=107</f>
        <v/>
      </c>
      <c r="D610">
        <f>IF(Skills!C7=1,60+Inputs!$B$24+Inputs!$B$28,IF(Skills!C7=2,90+Inputs!$B$25+Inputs!$B$28,IF(Skills!C7=3,120+Inputs!$B$26+Inputs!$B$28,MAX(0,(Inputs!$B$3-100)*3)+Inputs!$B$27+Inputs!$B$28)))</f>
        <v/>
      </c>
      <c r="E610">
        <f>INDEX(FactorTable!$B$2:$Y$301, MATCH(ROUND(MIN(300,MAX(1,D610)),0), FactorTable!$A$2:$A$301,0), Skills!M7+1)</f>
        <v/>
      </c>
      <c r="F610">
        <f>IF(Skills!N7=TRUE,(Skills!L7/10)*(E610/1000),Skills!L7/10)+Skills!O7</f>
        <v/>
      </c>
      <c r="G610">
        <f>Skills!G7*IF(Skills!H7&gt;0,Skills!I7/Skills!H7,1)</f>
        <v/>
      </c>
      <c r="H610">
        <f>1-(1-Skills!J7/100)^Skills!K7</f>
        <v/>
      </c>
      <c r="I610" t="inlineStr">
        <is>
          <t>1</t>
        </is>
      </c>
      <c r="J610">
        <f>(Inputs!$B$5*(1+Inputs!$B$6/100))*(F610/100)</f>
        <v/>
      </c>
      <c r="K610">
        <f>J610*(1+((Inputs!$B$11*(1+Inputs!$B$12/100))*0.01+Inputs!$B$13*0.0025)/100)*(1+Inputs!$B$14/100)*(1+IF(Inputs!$B$4="pvp",0,(1-Summary!$B$55)*(Inputs!$B$19+0+Skills!P7)+Summary!$B$55*(Inputs!$B$20+Skills!Q7))/100)*(1+Inputs!$B$15/100)*(5000/(6000+Inputs!$B$7*(1-(Inputs!$B$18+0)/100)))*(1+(Inputs!$B$23+0+B636)/100)*(1+(IF(Skills!A7="BLAST",Inputs!$B$16+((C624=TRUE)*(F624-Calc!F21)),(Inputs!$B$17+1)+((C626=TRUE)*(F626-Calc!F23))))/100)*((1+(((C616=TRUE)*F616*MIN(1,Skills!T13*(Skills!J13/100)*B634))+((C621=TRUE)*F621*IF(AND(Inputs!$B$4&lt;&gt;"pvp",Inputs!$B$35&gt;0),(((S621-1)*(Skills!T18*(1+Inputs!$B$33/100))+MIN((Skills!T18*(1+Inputs!$B$33/100)),MAX(0,Inputs!$B$35-((S621-1)*Skills!D18))))/Inputs!$B$35),IF(Inputs!$B$4="pvp",MIN((Skills!T18*(1+Inputs!$B$33/100)),15)/15,(Skills!T18*(1+Inputs!$B$33/100))/Skills!D18)))+0)/100)*I610)</f>
        <v/>
      </c>
      <c r="L610">
        <f>K610*(MIN(Inputs!$B$21+((C625=TRUE)*(F625-Calc!F22)),Inputs!$B$22+((C627=TRUE)*(F627-Calc!F24)))/100+(Inputs!$B$22+((C627=TRUE)*(F627-Calc!F24)))/100)/2</f>
        <v/>
      </c>
      <c r="M610">
        <f>L610*(1+(Inputs!$B$9+0+B635)/100)</f>
        <v/>
      </c>
      <c r="N610">
        <f>L610*(1-MIN((Inputs!$B$8+0+B630),100)/100)+M610*(MIN((Inputs!$B$8+0+B630),100)/100)</f>
        <v/>
      </c>
      <c r="O610">
        <f>IF(C610,H610*N610*IF(AND(Inputs!$B$4&lt;&gt;"pvp",Inputs!$B$35&gt;0),((Skills!G7*((R610-1)*IF(Skills!H7&gt;0,Skills!I7/Skills!H7,1)+IF(Skills!H7&gt;0,MIN(Skills!I7,MAX(0,Inputs!$B$35-((R610-1)*IF(Inputs!$B$4="pvp",15,MAX(0.1,Skills!D7-IF(Skills!E7=TRUE,Inputs!$B$31,0))))))/Skills!H7,1)))/Inputs!$B$35),G610*Q610)*IF(Inputs!$B$4="pvp",1,(1-Summary!$B$55)*(1)+Summary!$B$55*(MIN(Skills!R7,Inputs!$B$37))),0)</f>
        <v/>
      </c>
      <c r="P610">
        <f>IF(B638=0,0,O610/B638)</f>
        <v/>
      </c>
      <c r="Q610">
        <f>IFERROR(1/IF(Inputs!$B$4="pvp",15,MAX(0.1,Skills!D7-IF(Skills!E7=TRUE,Inputs!$B$31,0))),0)</f>
        <v/>
      </c>
      <c r="R610">
        <f>IF(AND(Inputs!$B$4&lt;&gt;"pvp",Inputs!$B$35&gt;0),(INT(Inputs!$B$35/IF(Inputs!$B$4="pvp",15,MAX(0.1,Skills!D7-IF(Skills!E7=TRUE,Inputs!$B$31,0))))+1),0)</f>
        <v/>
      </c>
      <c r="S610">
        <f>IFERROR(O610/N610,0)</f>
        <v/>
      </c>
    </row>
    <row r="611">
      <c r="A611">
        <f>Skills!A8</f>
        <v/>
      </c>
      <c r="B611">
        <f>Skills!B8</f>
        <v/>
      </c>
      <c r="C611">
        <f>Inputs!$B$3&gt;=107</f>
        <v/>
      </c>
      <c r="D611">
        <f>IF(Skills!C8=1,60+Inputs!$B$24+Inputs!$B$28,IF(Skills!C8=2,90+Inputs!$B$25+Inputs!$B$28,IF(Skills!C8=3,120+Inputs!$B$26+Inputs!$B$28,MAX(0,(Inputs!$B$3-100)*3)+Inputs!$B$27+Inputs!$B$28)))</f>
        <v/>
      </c>
      <c r="E611">
        <f>INDEX(FactorTable!$B$2:$Y$301, MATCH(ROUND(MIN(300,MAX(1,D611)),0), FactorTable!$A$2:$A$301,0), Skills!M8+1)</f>
        <v/>
      </c>
      <c r="F611">
        <f>IF(Skills!N8=TRUE,(Skills!L8/10)*(E611/1000),Skills!L8/10)+Skills!O8</f>
        <v/>
      </c>
      <c r="G611">
        <f>Skills!G8*IF(Skills!H8&gt;0,Skills!I8/Skills!H8,1)</f>
        <v/>
      </c>
      <c r="H611">
        <f>1-(1-Skills!J8/100)^Skills!K8</f>
        <v/>
      </c>
      <c r="I611" t="inlineStr">
        <is>
          <t>1</t>
        </is>
      </c>
      <c r="J611">
        <f>(Inputs!$B$5*(1+Inputs!$B$6/100))*(F611/100)</f>
        <v/>
      </c>
      <c r="K611">
        <f>J611*(1+((Inputs!$B$11*(1+Inputs!$B$12/100))*0.01+Inputs!$B$13*0.0025)/100)*(1+Inputs!$B$14/100)*(1+IF(Inputs!$B$4="pvp",0,(1-Summary!$B$55)*(Inputs!$B$19+0+Skills!P8)+Summary!$B$55*(Inputs!$B$20+Skills!Q8))/100)*(1+Inputs!$B$15/100)*(5000/(6000+Inputs!$B$7*(1-(Inputs!$B$18+0)/100)))*(1+(Inputs!$B$23+0+B636)/100)*(1+(IF(Skills!A8="BLAST",Inputs!$B$16+((C624=TRUE)*(F624-Calc!F21)),(Inputs!$B$17+1)+((C626=TRUE)*(F626-Calc!F23))))/100)*((1+(((C616=TRUE)*F616*MIN(1,Skills!T13*(Skills!J13/100)*B634))+((C621=TRUE)*F621*IF(AND(Inputs!$B$4&lt;&gt;"pvp",Inputs!$B$35&gt;0),(((S621-1)*(Skills!T18*(1+Inputs!$B$33/100))+MIN((Skills!T18*(1+Inputs!$B$33/100)),MAX(0,Inputs!$B$35-((S621-1)*Skills!D18))))/Inputs!$B$35),IF(Inputs!$B$4="pvp",MIN((Skills!T18*(1+Inputs!$B$33/100)),15)/15,(Skills!T18*(1+Inputs!$B$33/100))/Skills!D18)))+0)/100)*I611)</f>
        <v/>
      </c>
      <c r="L611">
        <f>K611*(MIN(Inputs!$B$21+((C625=TRUE)*(F625-Calc!F22)),Inputs!$B$22+((C627=TRUE)*(F627-Calc!F24)))/100+(Inputs!$B$22+((C627=TRUE)*(F627-Calc!F24)))/100)/2</f>
        <v/>
      </c>
      <c r="M611">
        <f>L611*(1+(Inputs!$B$9+0+B635)/100)</f>
        <v/>
      </c>
      <c r="N611">
        <f>L611*(1-MIN((Inputs!$B$8+0+B630),100)/100)+M611*(MIN((Inputs!$B$8+0+B630),100)/100)</f>
        <v/>
      </c>
      <c r="O611">
        <f>IF(C611,H611*N611*IF(AND(Inputs!$B$4&lt;&gt;"pvp",Inputs!$B$35&gt;0),((Skills!G8*((R611-1)*IF(Skills!H8&gt;0,Skills!I8/Skills!H8,1)+IF(Skills!H8&gt;0,MIN(Skills!I8,MAX(0,Inputs!$B$35-((R611-1)*IF(Inputs!$B$4="pvp",15,MAX(0.1,Skills!D8-IF(Skills!E8=TRUE,Inputs!$B$31,0))))))/Skills!H8,1)))/Inputs!$B$35),G611*Q611)*IF(Inputs!$B$4="pvp",1,(1-Summary!$B$55)*(1)+Summary!$B$55*(MIN(Skills!R8,Inputs!$B$37))),0)</f>
        <v/>
      </c>
      <c r="P611">
        <f>IF(B638=0,0,O611/B638)</f>
        <v/>
      </c>
      <c r="Q611">
        <f>IFERROR(1/IF(Inputs!$B$4="pvp",15,MAX(0.1,Skills!D8-IF(Skills!E8=TRUE,Inputs!$B$31,0))),0)</f>
        <v/>
      </c>
      <c r="R611">
        <f>IF(AND(Inputs!$B$4&lt;&gt;"pvp",Inputs!$B$35&gt;0),(INT(Inputs!$B$35/IF(Inputs!$B$4="pvp",15,MAX(0.1,Skills!D8-IF(Skills!E8=TRUE,Inputs!$B$31,0))))+1),0)</f>
        <v/>
      </c>
      <c r="S611">
        <f>IFERROR(O611/N611,0)</f>
        <v/>
      </c>
    </row>
    <row r="612">
      <c r="A612">
        <f>Skills!A9</f>
        <v/>
      </c>
      <c r="B612">
        <f>Skills!B9</f>
        <v/>
      </c>
      <c r="C612">
        <f>Inputs!$B$3&gt;=125</f>
        <v/>
      </c>
      <c r="D612">
        <f>IF(Skills!C9=1,60+Inputs!$B$24+Inputs!$B$28,IF(Skills!C9=2,90+Inputs!$B$25+Inputs!$B$28,IF(Skills!C9=3,120+Inputs!$B$26+Inputs!$B$28,MAX(0,(Inputs!$B$3-100)*3)+Inputs!$B$27+Inputs!$B$28)))</f>
        <v/>
      </c>
      <c r="E612">
        <f>INDEX(FactorTable!$B$2:$Y$301, MATCH(ROUND(MIN(300,MAX(1,D612)),0), FactorTable!$A$2:$A$301,0), Skills!M9+1)</f>
        <v/>
      </c>
      <c r="F612">
        <f>IF(Skills!N9=TRUE,(Skills!L9/10)*(E612/1000),Skills!L9/10)+Skills!O9</f>
        <v/>
      </c>
      <c r="G612">
        <f>Skills!G9*IF(Skills!H9&gt;0,Skills!I9/Skills!H9,1)</f>
        <v/>
      </c>
      <c r="H612">
        <f>1-(1-Skills!J9/100)^Skills!K9</f>
        <v/>
      </c>
      <c r="I612" t="inlineStr">
        <is>
          <t>1</t>
        </is>
      </c>
      <c r="J612">
        <f>(Inputs!$B$5*(1+Inputs!$B$6/100))*(F612/100)</f>
        <v/>
      </c>
      <c r="K612">
        <f>J612*(1+((Inputs!$B$11*(1+Inputs!$B$12/100))*0.01+Inputs!$B$13*0.0025)/100)*(1+Inputs!$B$14/100)*(1+IF(Inputs!$B$4="pvp",0,(1-Summary!$B$55)*(Inputs!$B$19+0+Skills!P9)+Summary!$B$55*(Inputs!$B$20+Skills!Q9))/100)*(1+Inputs!$B$15/100)*(5000/(6000+Inputs!$B$7*(1-(Inputs!$B$18+0)/100)))*(1+(Inputs!$B$23+0+B636)/100)*(1+(IF(Skills!A9="BLAST",Inputs!$B$16+((C624=TRUE)*(F624-Calc!F21)),(Inputs!$B$17+1)+((C626=TRUE)*(F626-Calc!F23))))/100)*((1+(((C616=TRUE)*F616*MIN(1,Skills!T13*(Skills!J13/100)*B634))+((C621=TRUE)*F621*IF(AND(Inputs!$B$4&lt;&gt;"pvp",Inputs!$B$35&gt;0),(((S621-1)*(Skills!T18*(1+Inputs!$B$33/100))+MIN((Skills!T18*(1+Inputs!$B$33/100)),MAX(0,Inputs!$B$35-((S621-1)*Skills!D18))))/Inputs!$B$35),IF(Inputs!$B$4="pvp",MIN((Skills!T18*(1+Inputs!$B$33/100)),15)/15,(Skills!T18*(1+Inputs!$B$33/100))/Skills!D18)))+0)/100)*I612)</f>
        <v/>
      </c>
      <c r="L612">
        <f>K612*(MIN(Inputs!$B$21+((C625=TRUE)*(F625-Calc!F22)),Inputs!$B$22+((C627=TRUE)*(F627-Calc!F24)))/100+(Inputs!$B$22+((C627=TRUE)*(F627-Calc!F24)))/100)/2</f>
        <v/>
      </c>
      <c r="M612">
        <f>L612*(1+(Inputs!$B$9+0+B635)/100)</f>
        <v/>
      </c>
      <c r="N612">
        <f>L612*(1-MIN((Inputs!$B$8+0+B630),100)/100)+M612*(MIN((Inputs!$B$8+0+B630),100)/100)</f>
        <v/>
      </c>
      <c r="O612">
        <f>IF(C612,H612*N612*IF(AND(Inputs!$B$4&lt;&gt;"pvp",Inputs!$B$35&gt;0),((Skills!G9*((R612-1)*IF(Skills!H9&gt;0,Skills!I9/Skills!H9,1)+IF(Skills!H9&gt;0,MIN(Skills!I9,MAX(0,Inputs!$B$35-((R612-1)*IF(Inputs!$B$4="pvp",15,MAX(0.1,Skills!D9-IF(Skills!E9=TRUE,Inputs!$B$31,0))))))/Skills!H9,1)))/Inputs!$B$35),G612*Q612)*IF(Inputs!$B$4="pvp",1,(1-Summary!$B$55)*(1)+Summary!$B$55*(MIN(Skills!R9,Inputs!$B$37))),0)</f>
        <v/>
      </c>
      <c r="P612">
        <f>IF(B638=0,0,O612/B638)</f>
        <v/>
      </c>
      <c r="Q612">
        <f>IFERROR(1/IF(Inputs!$B$4="pvp",15,MAX(0.1,Skills!D9-IF(Skills!E9=TRUE,Inputs!$B$31,0))),0)</f>
        <v/>
      </c>
      <c r="R612">
        <f>IF(AND(Inputs!$B$4&lt;&gt;"pvp",Inputs!$B$35&gt;0),(INT(Inputs!$B$35/IF(Inputs!$B$4="pvp",15,MAX(0.1,Skills!D9-IF(Skills!E9=TRUE,Inputs!$B$31,0))))+1),0)</f>
        <v/>
      </c>
      <c r="S612">
        <f>IFERROR(O612/N612,0)</f>
        <v/>
      </c>
    </row>
    <row r="613">
      <c r="A613">
        <f>Skills!A10</f>
        <v/>
      </c>
      <c r="B613">
        <f>Skills!B10</f>
        <v/>
      </c>
      <c r="C613">
        <f>Inputs!$B$3&gt;=117</f>
        <v/>
      </c>
      <c r="D613">
        <f>IF(Skills!C10=1,60+Inputs!$B$24+Inputs!$B$28,IF(Skills!C10=2,90+Inputs!$B$25+Inputs!$B$28,IF(Skills!C10=3,120+Inputs!$B$26+Inputs!$B$28,MAX(0,(Inputs!$B$3-100)*3)+Inputs!$B$27+Inputs!$B$28)))</f>
        <v/>
      </c>
      <c r="E613">
        <f>INDEX(FactorTable!$B$2:$Y$301, MATCH(ROUND(MIN(300,MAX(1,D613)),0), FactorTable!$A$2:$A$301,0), Skills!M10+1)</f>
        <v/>
      </c>
      <c r="F613">
        <f>IF(Skills!N10=TRUE,(Skills!L10/10)*(E613/1000),Skills!L10/10)+Skills!O10</f>
        <v/>
      </c>
      <c r="G613">
        <f>Skills!G10*IF(Skills!H10&gt;0,Skills!I10/Skills!H10,1)</f>
        <v/>
      </c>
      <c r="H613">
        <f>1-(1-Skills!J10/100)^Skills!K10</f>
        <v/>
      </c>
      <c r="I613" t="inlineStr">
        <is>
          <t>1</t>
        </is>
      </c>
      <c r="J613">
        <f>(Inputs!$B$5*(1+Inputs!$B$6/100))*(F613/100)</f>
        <v/>
      </c>
      <c r="K613">
        <f>J613*(1+((Inputs!$B$11*(1+Inputs!$B$12/100))*0.01+Inputs!$B$13*0.0025)/100)*(1+Inputs!$B$14/100)*(1+IF(Inputs!$B$4="pvp",0,(1-Summary!$B$55)*(Inputs!$B$19+0+Skills!P10)+Summary!$B$55*(Inputs!$B$20+Skills!Q10))/100)*(1+Inputs!$B$15/100)*(5000/(6000+Inputs!$B$7*(1-(Inputs!$B$18+0)/100)))*(1+(Inputs!$B$23+0+B636)/100)*(1+(IF(Skills!A10="BLAST",Inputs!$B$16+((C624=TRUE)*(F624-Calc!F21)),(Inputs!$B$17+1)+((C626=TRUE)*(F626-Calc!F23))))/100)*((1+(((C616=TRUE)*F616*MIN(1,Skills!T13*(Skills!J13/100)*B634))+((C621=TRUE)*F621*IF(AND(Inputs!$B$4&lt;&gt;"pvp",Inputs!$B$35&gt;0),(((S621-1)*(Skills!T18*(1+Inputs!$B$33/100))+MIN((Skills!T18*(1+Inputs!$B$33/100)),MAX(0,Inputs!$B$35-((S621-1)*Skills!D18))))/Inputs!$B$35),IF(Inputs!$B$4="pvp",MIN((Skills!T18*(1+Inputs!$B$33/100)),15)/15,(Skills!T18*(1+Inputs!$B$33/100))/Skills!D18)))+0)/100)*I613)</f>
        <v/>
      </c>
      <c r="L613">
        <f>K613*(MIN(Inputs!$B$21+((C625=TRUE)*(F625-Calc!F22)),Inputs!$B$22+((C627=TRUE)*(F627-Calc!F24)))/100+(Inputs!$B$22+((C627=TRUE)*(F627-Calc!F24)))/100)/2</f>
        <v/>
      </c>
      <c r="M613">
        <f>L613*(1+(Inputs!$B$9+0+B635)/100)</f>
        <v/>
      </c>
      <c r="N613">
        <f>L613*(1-MIN((Inputs!$B$8+0+B630),100)/100)+M613*(MIN((Inputs!$B$8+0+B630),100)/100)</f>
        <v/>
      </c>
      <c r="O613">
        <f>IF(C613,H613*N613*IF(AND(Inputs!$B$4&lt;&gt;"pvp",Inputs!$B$35&gt;0),((Skills!G10*((R613-1)*IF(Skills!H10&gt;0,Skills!I10/Skills!H10,1)+IF(Skills!H10&gt;0,MIN(Skills!I10,MAX(0,Inputs!$B$35-((R613-1)*IF(Inputs!$B$4="pvp",15,MAX(0.1,Skills!D10-IF(Skills!E10=TRUE,Inputs!$B$31,0))))))/Skills!H10,1)))/Inputs!$B$35),G613*Q613)*IF(Inputs!$B$4="pvp",1,(1-Summary!$B$55)*(1)+Summary!$B$55*(MIN(Skills!R10,Inputs!$B$37))),0)</f>
        <v/>
      </c>
      <c r="P613">
        <f>IF(B638=0,0,O613/B638)</f>
        <v/>
      </c>
      <c r="Q613">
        <f>IFERROR(1/IF(Inputs!$B$4="pvp",15,MAX(0.1,Skills!D10-IF(Skills!E10=TRUE,Inputs!$B$31,0))),0)</f>
        <v/>
      </c>
      <c r="R613">
        <f>IF(AND(Inputs!$B$4&lt;&gt;"pvp",Inputs!$B$35&gt;0),(INT(Inputs!$B$35/IF(Inputs!$B$4="pvp",15,MAX(0.1,Skills!D10-IF(Skills!E10=TRUE,Inputs!$B$31,0))))+1),0)</f>
        <v/>
      </c>
      <c r="S613">
        <f>IFERROR(O613/N613,0)</f>
        <v/>
      </c>
    </row>
    <row r="614">
      <c r="A614">
        <f>Skills!A11</f>
        <v/>
      </c>
      <c r="B614">
        <f>Skills!B11</f>
        <v/>
      </c>
      <c r="C614">
        <f>Inputs!$B$3&gt;=63</f>
        <v/>
      </c>
      <c r="D614">
        <f>IF(Skills!C11=1,60+Inputs!$B$24+Inputs!$B$28,IF(Skills!C11=2,90+Inputs!$B$25+Inputs!$B$28,IF(Skills!C11=3,120+Inputs!$B$26+Inputs!$B$28,MAX(0,(Inputs!$B$3-100)*3)+Inputs!$B$27+Inputs!$B$28)))</f>
        <v/>
      </c>
      <c r="E614">
        <f>INDEX(FactorTable!$B$2:$Y$301, MATCH(ROUND(MIN(300,MAX(1,D614)),0), FactorTable!$A$2:$A$301,0), Skills!M11+1)</f>
        <v/>
      </c>
      <c r="F614">
        <f>IF(Skills!N11=TRUE,(Skills!L11/10)*(E614/1000),Skills!L11/10)+Skills!O11</f>
        <v/>
      </c>
      <c r="G614">
        <f>Skills!G11*IF(Skills!H11&gt;0,Skills!I11/Skills!H11,1)</f>
        <v/>
      </c>
      <c r="H614">
        <f>1-(1-Skills!J11/100)^Skills!K11</f>
        <v/>
      </c>
      <c r="I614" t="inlineStr">
        <is>
          <t>1</t>
        </is>
      </c>
      <c r="J614">
        <f>(Inputs!$B$5*(1+Inputs!$B$6/100))*(F614/100)</f>
        <v/>
      </c>
      <c r="K614">
        <f>J614*(1+((Inputs!$B$11*(1+Inputs!$B$12/100))*0.01+Inputs!$B$13*0.0025)/100)*(1+Inputs!$B$14/100)*(1+IF(Inputs!$B$4="pvp",0,(1-Summary!$B$55)*(Inputs!$B$19+0+Skills!P11)+Summary!$B$55*(Inputs!$B$20+Skills!Q11))/100)*(1+Inputs!$B$15/100)*(5000/(6000+Inputs!$B$7*(1-(Inputs!$B$18+0)/100)))*(1+(Inputs!$B$23+0+B636)/100)*(1+1.5*IF(C615=TRUE,F615,0)/100)*(1+(IF(Skills!A11="BLAST",Inputs!$B$16+((C624=TRUE)*(F624-Calc!F21)),(Inputs!$B$17+1)+((C626=TRUE)*(F626-Calc!F23))))/100)*((1+(((C616=TRUE)*F616*MIN(1,Skills!T13*(Skills!J13/100)*B634))+((C621=TRUE)*F621*IF(AND(Inputs!$B$4&lt;&gt;"pvp",Inputs!$B$35&gt;0),(((S621-1)*(Skills!T18*(1+Inputs!$B$33/100))+MIN((Skills!T18*(1+Inputs!$B$33/100)),MAX(0,Inputs!$B$35-((S621-1)*Skills!D18))))/Inputs!$B$35),IF(Inputs!$B$4="pvp",MIN((Skills!T18*(1+Inputs!$B$33/100)),15)/15,(Skills!T18*(1+Inputs!$B$33/100))/Skills!D18)))+0)/100)*I614)</f>
        <v/>
      </c>
      <c r="L614">
        <f>K614*(MIN(Inputs!$B$21+((C625=TRUE)*(F625-Calc!F22)),Inputs!$B$22+((C627=TRUE)*(F627-Calc!F24)))/100+(Inputs!$B$22+((C627=TRUE)*(F627-Calc!F24)))/100)/2</f>
        <v/>
      </c>
      <c r="M614">
        <f>L614*(1+(Inputs!$B$9+0+B635)/100)</f>
        <v/>
      </c>
      <c r="N614">
        <f>L614*(1-MIN((Inputs!$B$8+0+B630),100)/100)+M614*(MIN((Inputs!$B$8+0+B630),100)/100)</f>
        <v/>
      </c>
      <c r="O614">
        <f>IF(C614,H614*N614*IF(AND(Inputs!$B$4&lt;&gt;"pvp",Inputs!$B$35&gt;0),((Skills!G11*((R614-1)*IF(Skills!H11&gt;0,Skills!I11/Skills!H11,1)+IF(Skills!H11&gt;0,MIN(Skills!I11,MAX(0,Inputs!$B$35-((R614-1)*IF(Inputs!$B$4="pvp",15,MAX(0.1,Skills!D11-IF(Skills!E11=TRUE,Inputs!$B$31,0))))))/Skills!H11,1)))/Inputs!$B$35),G614*Q614)*IF(Inputs!$B$4="pvp",1,(1-Summary!$B$55)*(1)+Summary!$B$55*(MIN(Skills!R11,Inputs!$B$37))),0)</f>
        <v/>
      </c>
      <c r="P614">
        <f>IF(B638=0,0,O614/B638)</f>
        <v/>
      </c>
      <c r="Q614">
        <f>IFERROR(1/IF(Inputs!$B$4="pvp",15,MAX(0.1,Skills!D11-IF(Skills!E11=TRUE,Inputs!$B$31,0))),0)</f>
        <v/>
      </c>
      <c r="R614">
        <f>IF(AND(Inputs!$B$4&lt;&gt;"pvp",Inputs!$B$35&gt;0),(INT(Inputs!$B$35/IF(Inputs!$B$4="pvp",15,MAX(0.1,Skills!D11-IF(Skills!E11=TRUE,Inputs!$B$31,0))))+1),0)</f>
        <v/>
      </c>
      <c r="S614">
        <f>IFERROR(O614/N614,0)</f>
        <v/>
      </c>
    </row>
    <row r="615">
      <c r="A615">
        <f>Skills!A12</f>
        <v/>
      </c>
      <c r="B615">
        <f>Skills!B12</f>
        <v/>
      </c>
      <c r="C615">
        <f>Inputs!$B$3&gt;=100</f>
        <v/>
      </c>
      <c r="D615">
        <f>IF(Skills!C12=1,60+Inputs!$B$24+Inputs!$B$28,IF(Skills!C12=2,90+Inputs!$B$25+Inputs!$B$28,IF(Skills!C12=3,120+Inputs!$B$26+Inputs!$B$28,MAX(0,(Inputs!$B$3-100)*3)+Inputs!$B$27+Inputs!$B$28)))</f>
        <v/>
      </c>
      <c r="E615">
        <f>INDEX(FactorTable!$B$2:$Y$301, MATCH(ROUND(MIN(300,MAX(1,D615)),0), FactorTable!$A$2:$A$301,0), Skills!M12+1)</f>
        <v/>
      </c>
      <c r="F615">
        <f>IF(Skills!N12=TRUE,(Skills!L12/10)*(E615/1000),Skills!L12/10)+Skills!O12</f>
        <v/>
      </c>
      <c r="G615" t="inlineStr"/>
      <c r="H615" t="inlineStr"/>
      <c r="I615" t="inlineStr">
        <is>
          <t>1</t>
        </is>
      </c>
      <c r="J615" t="inlineStr"/>
      <c r="K615" t="inlineStr"/>
      <c r="L615" t="inlineStr"/>
      <c r="M615" t="inlineStr"/>
      <c r="N615" t="inlineStr"/>
      <c r="O615" t="inlineStr"/>
      <c r="P615" t="inlineStr"/>
      <c r="Q615" t="inlineStr"/>
      <c r="R615" t="inlineStr"/>
      <c r="S615" t="inlineStr"/>
    </row>
    <row r="616">
      <c r="A616">
        <f>Skills!A13</f>
        <v/>
      </c>
      <c r="B616">
        <f>Skills!B13</f>
        <v/>
      </c>
      <c r="C616">
        <f>Inputs!$B$3&gt;=45</f>
        <v/>
      </c>
      <c r="D616">
        <f>IF(Skills!C13=1,60+Inputs!$B$24+Inputs!$B$28,IF(Skills!C13=2,90+Inputs!$B$25+Inputs!$B$28,IF(Skills!C13=3,120+Inputs!$B$26+Inputs!$B$28,MAX(0,(Inputs!$B$3-100)*3)+Inputs!$B$27+Inputs!$B$28)))</f>
        <v/>
      </c>
      <c r="E616">
        <f>INDEX(FactorTable!$B$2:$Y$301, MATCH(ROUND(MIN(300,MAX(1,D616)),0), FactorTable!$A$2:$A$301,0), Skills!M13+1)</f>
        <v/>
      </c>
      <c r="F616">
        <f>IF(Skills!N13=TRUE,(Skills!L13/10)*(E616/1000),Skills!L13/10)+Skills!O13</f>
        <v/>
      </c>
      <c r="G616">
        <f>Skills!G13*IF(Skills!H13&gt;0,Skills!I13/Skills!H13,1)</f>
        <v/>
      </c>
      <c r="H616">
        <f>1-(1-Skills!J13/100)^Skills!K13</f>
        <v/>
      </c>
      <c r="I616" t="inlineStr">
        <is>
          <t>1</t>
        </is>
      </c>
      <c r="J616" t="inlineStr"/>
      <c r="K616" t="inlineStr"/>
      <c r="L616" t="inlineStr"/>
      <c r="M616" t="inlineStr"/>
      <c r="N616" t="inlineStr"/>
      <c r="O616" t="n">
        <v>0</v>
      </c>
      <c r="P616">
        <f>IF(B638=0,0,O616/B638)</f>
        <v/>
      </c>
      <c r="Q616" t="n">
        <v>0</v>
      </c>
      <c r="R616" t="n">
        <v>0</v>
      </c>
      <c r="S616">
        <f>IFERROR(O616/N616,0)</f>
        <v/>
      </c>
    </row>
    <row r="617">
      <c r="A617">
        <f>Skills!A14</f>
        <v/>
      </c>
      <c r="B617">
        <f>Skills!B14</f>
        <v/>
      </c>
      <c r="C617">
        <f>Inputs!$B$3&gt;=110</f>
        <v/>
      </c>
      <c r="D617">
        <f>IF(Skills!C14=1,60+Inputs!$B$24+Inputs!$B$28,IF(Skills!C14=2,90+Inputs!$B$25+Inputs!$B$28,IF(Skills!C14=3,120+Inputs!$B$26+Inputs!$B$28,MAX(0,(Inputs!$B$3-100)*3)+Inputs!$B$27+Inputs!$B$28)))</f>
        <v/>
      </c>
      <c r="E617">
        <f>INDEX(FactorTable!$B$2:$Y$301, MATCH(ROUND(MIN(300,MAX(1,D617)),0), FactorTable!$A$2:$A$301,0), Skills!M14+1)</f>
        <v/>
      </c>
      <c r="F617">
        <f>IF(Skills!N14=TRUE,(Skills!L14/10)*(E617/1000),Skills!L14/10)+Skills!O14</f>
        <v/>
      </c>
      <c r="G617">
        <f>Skills!G14*IF(Skills!H14&gt;0,Skills!I14/Skills!H14,1)</f>
        <v/>
      </c>
      <c r="H617">
        <f>1-(1-Skills!J14/100)^Skills!K14</f>
        <v/>
      </c>
      <c r="I617" t="inlineStr">
        <is>
          <t>1</t>
        </is>
      </c>
      <c r="J617" t="inlineStr"/>
      <c r="K617" t="inlineStr"/>
      <c r="L617" t="inlineStr"/>
      <c r="M617" t="inlineStr"/>
      <c r="N617" t="inlineStr"/>
      <c r="O617" t="n">
        <v>0</v>
      </c>
      <c r="P617">
        <f>IF(B638=0,0,O617/B638)</f>
        <v/>
      </c>
      <c r="Q617" t="n">
        <v>0</v>
      </c>
      <c r="R617" t="n">
        <v>0</v>
      </c>
      <c r="S617">
        <f>IFERROR(O617/N617,0)</f>
        <v/>
      </c>
    </row>
    <row r="618">
      <c r="A618">
        <f>Skills!A15</f>
        <v/>
      </c>
      <c r="B618">
        <f>Skills!B15</f>
        <v/>
      </c>
      <c r="C618">
        <f>Inputs!$B$3&gt;=75</f>
        <v/>
      </c>
      <c r="D618">
        <f>IF(Skills!C15=1,60+Inputs!$B$24+Inputs!$B$28,IF(Skills!C15=2,90+Inputs!$B$25+Inputs!$B$28,IF(Skills!C15=3,120+Inputs!$B$26+Inputs!$B$28,MAX(0,(Inputs!$B$3-100)*3)+Inputs!$B$27+Inputs!$B$28)))</f>
        <v/>
      </c>
      <c r="E618">
        <f>INDEX(FactorTable!$B$2:$Y$301, MATCH(ROUND(MIN(300,MAX(1,D618)),0), FactorTable!$A$2:$A$301,0), Skills!M15+1)</f>
        <v/>
      </c>
      <c r="F618">
        <f>IF(Skills!N15=TRUE,(Skills!L15/10)*(E618/1000),Skills!L15/10)+Skills!O15</f>
        <v/>
      </c>
      <c r="G618">
        <f>Skills!G15*IF(Skills!H15&gt;0,Skills!I15/Skills!H15,1)</f>
        <v/>
      </c>
      <c r="H618">
        <f>1-(1-Skills!J15/100)^Skills!K15</f>
        <v/>
      </c>
      <c r="I618" t="inlineStr">
        <is>
          <t>1</t>
        </is>
      </c>
      <c r="J618" t="inlineStr"/>
      <c r="K618" t="inlineStr"/>
      <c r="L618" t="inlineStr"/>
      <c r="M618" t="inlineStr"/>
      <c r="N618" t="inlineStr"/>
      <c r="O618" t="n">
        <v>0</v>
      </c>
      <c r="P618">
        <f>IF(B638=0,0,O618/B638)</f>
        <v/>
      </c>
      <c r="Q618">
        <f>IFERROR(1/IF(Inputs!$B$4="pvp",15,MAX(0.1,Skills!D15-IF(Skills!E15=TRUE,Inputs!$B$31,0))),0)</f>
        <v/>
      </c>
      <c r="R618">
        <f>IF(AND(Inputs!$B$4&lt;&gt;"pvp",Inputs!$B$35&gt;0),(INT(Inputs!$B$35/IF(Inputs!$B$4="pvp",15,MAX(0.1,Skills!D15-IF(Skills!E15=TRUE,Inputs!$B$31,0))))+1),0)</f>
        <v/>
      </c>
      <c r="S618">
        <f>IFERROR(O618/N618,0)</f>
        <v/>
      </c>
    </row>
    <row r="619">
      <c r="A619">
        <f>Skills!A16</f>
        <v/>
      </c>
      <c r="B619">
        <f>Skills!B16</f>
        <v/>
      </c>
      <c r="C619">
        <f>Inputs!$B$3&gt;=105</f>
        <v/>
      </c>
      <c r="D619">
        <f>IF(Skills!C16=1,60+Inputs!$B$24+Inputs!$B$28,IF(Skills!C16=2,90+Inputs!$B$25+Inputs!$B$28,IF(Skills!C16=3,120+Inputs!$B$26+Inputs!$B$28,MAX(0,(Inputs!$B$3-100)*3)+Inputs!$B$27+Inputs!$B$28)))</f>
        <v/>
      </c>
      <c r="E619">
        <f>INDEX(FactorTable!$B$2:$Y$301, MATCH(ROUND(MIN(300,MAX(1,D619)),0), FactorTable!$A$2:$A$301,0), Skills!M16+1)</f>
        <v/>
      </c>
      <c r="F619">
        <f>IF(Skills!N16=TRUE,(Skills!L16/10)*(E619/1000),Skills!L16/10)+Skills!O16</f>
        <v/>
      </c>
      <c r="G619">
        <f>Skills!G16*IF(Skills!H16&gt;0,Skills!I16/Skills!H16,1)</f>
        <v/>
      </c>
      <c r="H619">
        <f>1-(1-Skills!J16/100)^Skills!K16</f>
        <v/>
      </c>
      <c r="I619" t="inlineStr">
        <is>
          <t>1</t>
        </is>
      </c>
      <c r="J619" t="inlineStr"/>
      <c r="K619" t="inlineStr"/>
      <c r="L619" t="inlineStr"/>
      <c r="M619" t="inlineStr"/>
      <c r="N619" t="inlineStr"/>
      <c r="O619" t="n">
        <v>0</v>
      </c>
      <c r="P619">
        <f>IF(B638=0,0,O619/B638)</f>
        <v/>
      </c>
      <c r="Q619">
        <f>IFERROR(1/IF(Inputs!$B$4="pvp",15,MAX(0.1,Skills!D16-IF(Skills!E16=TRUE,Inputs!$B$31,0))),0)</f>
        <v/>
      </c>
      <c r="R619">
        <f>IF(AND(Inputs!$B$4&lt;&gt;"pvp",Inputs!$B$35&gt;0),(INT(Inputs!$B$35/IF(Inputs!$B$4="pvp",15,MAX(0.1,Skills!D16-IF(Skills!E16=TRUE,Inputs!$B$31,0))))+1),0)</f>
        <v/>
      </c>
      <c r="S619">
        <f>IFERROR(O619/N619,0)</f>
        <v/>
      </c>
    </row>
    <row r="620">
      <c r="A620">
        <f>Skills!A17</f>
        <v/>
      </c>
      <c r="B620">
        <f>Skills!B17</f>
        <v/>
      </c>
      <c r="C620">
        <f>Inputs!$B$3&gt;=115</f>
        <v/>
      </c>
      <c r="D620">
        <f>IF(Skills!C17=1,60+Inputs!$B$24+Inputs!$B$28,IF(Skills!C17=2,90+Inputs!$B$25+Inputs!$B$28,IF(Skills!C17=3,120+Inputs!$B$26+Inputs!$B$28,MAX(0,(Inputs!$B$3-100)*3)+Inputs!$B$27+Inputs!$B$28)))</f>
        <v/>
      </c>
      <c r="E620">
        <f>INDEX(FactorTable!$B$2:$Y$301, MATCH(ROUND(MIN(300,MAX(1,D620)),0), FactorTable!$A$2:$A$301,0), Skills!M17+1)</f>
        <v/>
      </c>
      <c r="F620">
        <f>IF(Skills!N17=TRUE,(Skills!L17/10)*(E620/1000),Skills!L17/10)+Skills!O17</f>
        <v/>
      </c>
      <c r="G620">
        <f>Skills!G17*IF(Skills!H17&gt;0,Skills!I17/Skills!H17,1)</f>
        <v/>
      </c>
      <c r="H620">
        <f>1-(1-Skills!J17/100)^Skills!K17</f>
        <v/>
      </c>
      <c r="I620" t="inlineStr">
        <is>
          <t>1</t>
        </is>
      </c>
      <c r="J620" t="inlineStr"/>
      <c r="K620" t="inlineStr"/>
      <c r="L620" t="inlineStr"/>
      <c r="M620" t="inlineStr"/>
      <c r="N620" t="inlineStr"/>
      <c r="O620" t="n">
        <v>0</v>
      </c>
      <c r="P620">
        <f>IF(B638=0,0,O620/B638)</f>
        <v/>
      </c>
      <c r="Q620">
        <f>IFERROR(1/IF(Inputs!$B$4="pvp",15,MAX(0.1,Skills!D17-IF(Skills!E17=TRUE,Inputs!$B$31,0))),0)</f>
        <v/>
      </c>
      <c r="R620">
        <f>IF(AND(Inputs!$B$4&lt;&gt;"pvp",Inputs!$B$35&gt;0),(INT(Inputs!$B$35/IF(Inputs!$B$4="pvp",15,MAX(0.1,Skills!D17-IF(Skills!E17=TRUE,Inputs!$B$31,0))))+1),0)</f>
        <v/>
      </c>
      <c r="S620">
        <f>IFERROR(O620/N620,0)</f>
        <v/>
      </c>
    </row>
    <row r="621">
      <c r="A621">
        <f>Skills!A18</f>
        <v/>
      </c>
      <c r="B621">
        <f>Skills!B18</f>
        <v/>
      </c>
      <c r="C621">
        <f>Inputs!$B$3&gt;=74</f>
        <v/>
      </c>
      <c r="D621">
        <f>IF(Skills!C18=1,60+Inputs!$B$24+Inputs!$B$28,IF(Skills!C18=2,90+Inputs!$B$25+Inputs!$B$28,IF(Skills!C18=3,120+Inputs!$B$26+Inputs!$B$28,MAX(0,(Inputs!$B$3-100)*3)+Inputs!$B$27+Inputs!$B$28)))</f>
        <v/>
      </c>
      <c r="E621">
        <f>INDEX(FactorTable!$B$2:$Y$301, MATCH(ROUND(MIN(300,MAX(1,D621)),0), FactorTable!$A$2:$A$301,0), Skills!M18+1)</f>
        <v/>
      </c>
      <c r="F621">
        <f>IF(Skills!N18=TRUE,(Skills!L18/10)*(E621/1000),Skills!L18/10)+Skills!O18</f>
        <v/>
      </c>
      <c r="G621">
        <f>Skills!G18*IF(Skills!H18&gt;0,Skills!I18/Skills!H18,1)</f>
        <v/>
      </c>
      <c r="H621">
        <f>1-(1-Skills!J18/100)^Skills!K18</f>
        <v/>
      </c>
      <c r="I621" t="inlineStr">
        <is>
          <t>1</t>
        </is>
      </c>
      <c r="J621" t="inlineStr"/>
      <c r="K621" t="inlineStr"/>
      <c r="L621" t="inlineStr"/>
      <c r="M621" t="inlineStr"/>
      <c r="N621" t="inlineStr"/>
      <c r="O621" t="n">
        <v>0</v>
      </c>
      <c r="P621">
        <f>IF(B638=0,0,O621/B638)</f>
        <v/>
      </c>
      <c r="Q621">
        <f>IFERROR(1/IF(Inputs!$B$4="pvp",15,MAX(0.1,Skills!D18-IF(Skills!E18=TRUE,Inputs!$B$31,0))),0)</f>
        <v/>
      </c>
      <c r="R621">
        <f>IF(AND(Inputs!$B$4&lt;&gt;"pvp",Inputs!$B$35&gt;0),(INT(Inputs!$B$35/IF(Inputs!$B$4="pvp",15,MAX(0.1,Skills!D18-IF(Skills!E18=TRUE,Inputs!$B$31,0))))+1),0)</f>
        <v/>
      </c>
      <c r="S621">
        <f>IFERROR(O621/N621,0)</f>
        <v/>
      </c>
    </row>
    <row r="622">
      <c r="A622">
        <f>Skills!A19</f>
        <v/>
      </c>
      <c r="B622">
        <f>Skills!B19</f>
        <v/>
      </c>
      <c r="C622">
        <f>TRUE</f>
        <v/>
      </c>
      <c r="D622">
        <f>IF(Skills!C19=1,60+Inputs!$B$24+Inputs!$B$28,IF(Skills!C19=2,90+Inputs!$B$25+Inputs!$B$28,IF(Skills!C19=3,120+Inputs!$B$26+Inputs!$B$28,MAX(0,(Inputs!$B$3-100)*3)+Inputs!$B$27+Inputs!$B$28)))</f>
        <v/>
      </c>
      <c r="E622">
        <f>INDEX(FactorTable!$B$2:$Y$301, MATCH(ROUND(MIN(300,MAX(1,D622)),0), FactorTable!$A$2:$A$301,0), Skills!M19+1)</f>
        <v/>
      </c>
      <c r="F622">
        <f>IF(Skills!N19=TRUE,(Skills!L19/10)*(E622/1000),Skills!L19/10)+Skills!O19</f>
        <v/>
      </c>
      <c r="G622">
        <f>Skills!G19*IF(Skills!H19&gt;0,Skills!I19/Skills!H19,1)</f>
        <v/>
      </c>
      <c r="H622">
        <f>1-(1-Skills!J19/100)^Skills!K19</f>
        <v/>
      </c>
      <c r="I622" t="inlineStr">
        <is>
          <t>1</t>
        </is>
      </c>
      <c r="J622" t="inlineStr"/>
      <c r="K622" t="inlineStr"/>
      <c r="L622" t="inlineStr"/>
      <c r="M622" t="inlineStr"/>
      <c r="N622" t="inlineStr"/>
      <c r="O622" t="n">
        <v>0</v>
      </c>
      <c r="P622">
        <f>IF(B638=0,0,O622/B638)</f>
        <v/>
      </c>
      <c r="Q622">
        <f>IFERROR(1/IF(Inputs!$B$4="pvp",15,MAX(0.1,Skills!D19-IF(Skills!E19=TRUE,Inputs!$B$31,0))),0)</f>
        <v/>
      </c>
      <c r="R622">
        <f>IF(AND(Inputs!$B$4&lt;&gt;"pvp",Inputs!$B$35&gt;0),(INT(Inputs!$B$35/IF(Inputs!$B$4="pvp",15,MAX(0.1,Skills!D19-IF(Skills!E19=TRUE,Inputs!$B$31,0))))+1),0)</f>
        <v/>
      </c>
      <c r="S622">
        <f>IFERROR(O622/N622,0)</f>
        <v/>
      </c>
    </row>
    <row r="623">
      <c r="A623">
        <f>Skills!A20</f>
        <v/>
      </c>
      <c r="B623">
        <f>Skills!B20</f>
        <v/>
      </c>
      <c r="C623">
        <f>Inputs!$B$3&gt;=33</f>
        <v/>
      </c>
      <c r="D623">
        <f>IF(Skills!C20=1,60+Inputs!$B$24+Inputs!$B$28,IF(Skills!C20=2,90+Inputs!$B$25+Inputs!$B$28,IF(Skills!C20=3,120+Inputs!$B$26+Inputs!$B$28,MAX(0,(Inputs!$B$3-100)*3)+Inputs!$B$27+Inputs!$B$28)))</f>
        <v/>
      </c>
      <c r="E623">
        <f>INDEX(FactorTable!$B$2:$Y$301, MATCH(ROUND(MIN(300,MAX(1,D623)),0), FactorTable!$A$2:$A$301,0), Skills!M20+1)</f>
        <v/>
      </c>
      <c r="F623">
        <f>IF(Skills!N20=TRUE,(Skills!L20/10)*(E623/1000),Skills!L20/10)+Skills!O20</f>
        <v/>
      </c>
      <c r="G623">
        <f>Skills!G20*IF(Skills!H20&gt;0,Skills!I20/Skills!H20,1)</f>
        <v/>
      </c>
      <c r="H623">
        <f>1-(1-Skills!J20/100)^Skills!K20</f>
        <v/>
      </c>
      <c r="I623" t="inlineStr">
        <is>
          <t>1</t>
        </is>
      </c>
      <c r="J623" t="inlineStr"/>
      <c r="K623" t="inlineStr"/>
      <c r="L623" t="inlineStr"/>
      <c r="M623" t="inlineStr"/>
      <c r="N623" t="inlineStr"/>
      <c r="O623" t="n">
        <v>0</v>
      </c>
      <c r="P623">
        <f>IF(B638=0,0,O623/B638)</f>
        <v/>
      </c>
      <c r="Q623" t="n">
        <v>0</v>
      </c>
      <c r="R623" t="n">
        <v>0</v>
      </c>
      <c r="S623">
        <f>IFERROR(O623/N623,0)</f>
        <v/>
      </c>
    </row>
    <row r="624">
      <c r="A624">
        <f>Skills!A21</f>
        <v/>
      </c>
      <c r="B624">
        <f>Skills!B21</f>
        <v/>
      </c>
      <c r="C624">
        <f>Inputs!$B$3&gt;=38</f>
        <v/>
      </c>
      <c r="D624">
        <f>IF(Skills!C21=1,60+Inputs!$B$24+Inputs!$B$28,IF(Skills!C21=2,90+Inputs!$B$25+Inputs!$B$28,IF(Skills!C21=3,120+Inputs!$B$26+Inputs!$B$28,MAX(0,(Inputs!$B$3-100)*3)+Inputs!$B$27+Inputs!$B$28)))</f>
        <v/>
      </c>
      <c r="E624">
        <f>INDEX(FactorTable!$B$2:$Y$301, MATCH(ROUND(MIN(300,MAX(1,D624)),0), FactorTable!$A$2:$A$301,0), Skills!M21+1)</f>
        <v/>
      </c>
      <c r="F624">
        <f>IF(Skills!N21=TRUE,(Skills!L21/10)*(E624/1000),Skills!L21/10)+Skills!O21</f>
        <v/>
      </c>
      <c r="G624">
        <f>Skills!G21*IF(Skills!H21&gt;0,Skills!I21/Skills!H21,1)</f>
        <v/>
      </c>
      <c r="H624">
        <f>1-(1-Skills!J21/100)^Skills!K21</f>
        <v/>
      </c>
      <c r="I624" t="inlineStr">
        <is>
          <t>1</t>
        </is>
      </c>
      <c r="J624" t="inlineStr"/>
      <c r="K624" t="inlineStr"/>
      <c r="L624" t="inlineStr"/>
      <c r="M624" t="inlineStr"/>
      <c r="N624" t="inlineStr"/>
      <c r="O624" t="n">
        <v>0</v>
      </c>
      <c r="P624">
        <f>IF(B638=0,0,O624/B638)</f>
        <v/>
      </c>
      <c r="Q624" t="n">
        <v>0</v>
      </c>
      <c r="R624" t="n">
        <v>0</v>
      </c>
      <c r="S624">
        <f>IFERROR(O624/N624,0)</f>
        <v/>
      </c>
    </row>
    <row r="625">
      <c r="A625">
        <f>Skills!A22</f>
        <v/>
      </c>
      <c r="B625">
        <f>Skills!B22</f>
        <v/>
      </c>
      <c r="C625">
        <f>Inputs!$B$3&gt;=43</f>
        <v/>
      </c>
      <c r="D625">
        <f>IF(Skills!C22=1,60+Inputs!$B$24+Inputs!$B$28,IF(Skills!C22=2,90+Inputs!$B$25+Inputs!$B$28,IF(Skills!C22=3,120+Inputs!$B$26+Inputs!$B$28,MAX(0,(Inputs!$B$3-100)*3)+Inputs!$B$27+Inputs!$B$28)))</f>
        <v/>
      </c>
      <c r="E625">
        <f>INDEX(FactorTable!$B$2:$Y$301, MATCH(ROUND(MIN(300,MAX(1,D625)),0), FactorTable!$A$2:$A$301,0), Skills!M22+1)</f>
        <v/>
      </c>
      <c r="F625">
        <f>IF(Skills!N22=TRUE,(Skills!L22/10)*(E625/1000),Skills!L22/10)+Skills!O22</f>
        <v/>
      </c>
      <c r="G625">
        <f>Skills!G22*IF(Skills!H22&gt;0,Skills!I22/Skills!H22,1)</f>
        <v/>
      </c>
      <c r="H625">
        <f>1-(1-Skills!J22/100)^Skills!K22</f>
        <v/>
      </c>
      <c r="I625" t="inlineStr">
        <is>
          <t>1</t>
        </is>
      </c>
      <c r="J625" t="inlineStr"/>
      <c r="K625" t="inlineStr"/>
      <c r="L625" t="inlineStr"/>
      <c r="M625" t="inlineStr"/>
      <c r="N625" t="inlineStr"/>
      <c r="O625" t="n">
        <v>0</v>
      </c>
      <c r="P625">
        <f>IF(B638=0,0,O625/B638)</f>
        <v/>
      </c>
      <c r="Q625" t="n">
        <v>0</v>
      </c>
      <c r="R625" t="n">
        <v>0</v>
      </c>
      <c r="S625">
        <f>IFERROR(O625/N625,0)</f>
        <v/>
      </c>
    </row>
    <row r="626">
      <c r="A626">
        <f>Skills!A23</f>
        <v/>
      </c>
      <c r="B626">
        <f>Skills!B23</f>
        <v/>
      </c>
      <c r="C626">
        <f>Inputs!$B$3&gt;=120</f>
        <v/>
      </c>
      <c r="D626">
        <f>IF(Skills!C23=1,60+Inputs!$B$24+Inputs!$B$28,IF(Skills!C23=2,90+Inputs!$B$25+Inputs!$B$28,IF(Skills!C23=3,120+Inputs!$B$26+Inputs!$B$28,MAX(0,(Inputs!$B$3-100)*3)+Inputs!$B$27+Inputs!$B$28)))</f>
        <v/>
      </c>
      <c r="E626">
        <f>INDEX(FactorTable!$B$2:$Y$301, MATCH(ROUND(MIN(300,MAX(1,D626)),0), FactorTable!$A$2:$A$301,0), Skills!M23+1)</f>
        <v/>
      </c>
      <c r="F626">
        <f>IF(Skills!N23=TRUE,(Skills!L23/10)*(E626/1000),Skills!L23/10)+Skills!O23</f>
        <v/>
      </c>
      <c r="G626">
        <f>Skills!G23*IF(Skills!H23&gt;0,Skills!I23/Skills!H23,1)</f>
        <v/>
      </c>
      <c r="H626">
        <f>1-(1-Skills!J23/100)^Skills!K23</f>
        <v/>
      </c>
      <c r="I626" t="inlineStr">
        <is>
          <t>1</t>
        </is>
      </c>
      <c r="J626" t="inlineStr"/>
      <c r="K626" t="inlineStr"/>
      <c r="L626" t="inlineStr"/>
      <c r="M626" t="inlineStr"/>
      <c r="N626" t="inlineStr"/>
      <c r="O626" t="n">
        <v>0</v>
      </c>
      <c r="P626">
        <f>IF(B638=0,0,O626/B638)</f>
        <v/>
      </c>
      <c r="Q626" t="n">
        <v>0</v>
      </c>
      <c r="R626" t="n">
        <v>0</v>
      </c>
      <c r="S626">
        <f>IFERROR(O626/N626,0)</f>
        <v/>
      </c>
    </row>
    <row r="627">
      <c r="A627">
        <f>Skills!A24</f>
        <v/>
      </c>
      <c r="B627">
        <f>Skills!B24</f>
        <v/>
      </c>
      <c r="C627">
        <f>Inputs!$B$3&gt;=120</f>
        <v/>
      </c>
      <c r="D627">
        <f>IF(Skills!C24=1,60+Inputs!$B$24+Inputs!$B$28,IF(Skills!C24=2,90+Inputs!$B$25+Inputs!$B$28,IF(Skills!C24=3,120+Inputs!$B$26+Inputs!$B$28,MAX(0,(Inputs!$B$3-100)*3)+Inputs!$B$27+Inputs!$B$28)))</f>
        <v/>
      </c>
      <c r="E627">
        <f>INDEX(FactorTable!$B$2:$Y$301, MATCH(ROUND(MIN(300,MAX(1,D627)),0), FactorTable!$A$2:$A$301,0), Skills!M24+1)</f>
        <v/>
      </c>
      <c r="F627">
        <f>IF(Skills!N24=TRUE,(Skills!L24/10)*(E627/1000),Skills!L24/10)+Skills!O24</f>
        <v/>
      </c>
      <c r="G627">
        <f>Skills!G24*IF(Skills!H24&gt;0,Skills!I24/Skills!H24,1)</f>
        <v/>
      </c>
      <c r="H627">
        <f>1-(1-Skills!J24/100)^Skills!K24</f>
        <v/>
      </c>
      <c r="I627" t="inlineStr">
        <is>
          <t>1</t>
        </is>
      </c>
      <c r="J627" t="inlineStr"/>
      <c r="K627" t="inlineStr"/>
      <c r="L627" t="inlineStr"/>
      <c r="M627" t="inlineStr"/>
      <c r="N627" t="inlineStr"/>
      <c r="O627" t="n">
        <v>0</v>
      </c>
      <c r="P627">
        <f>IF(B638=0,0,O627/B638)</f>
        <v/>
      </c>
      <c r="Q627" t="n">
        <v>0</v>
      </c>
      <c r="R627" t="n">
        <v>0</v>
      </c>
      <c r="S627">
        <f>IFERROR(O627/N627,0)</f>
        <v/>
      </c>
    </row>
    <row r="629">
      <c r="A629" t="inlineStr">
        <is>
          <t>Attack% Bucket Multiplier</t>
        </is>
      </c>
      <c r="B629">
        <f>(1+(((C616=TRUE)*F616*MIN(1,Skills!T13*(Skills!J13/100)*B634))+((C621=TRUE)*F621*IF(AND(Inputs!$B$4&lt;&gt;"pvp",Inputs!$B$35&gt;0),(((S621-1)*(Skills!T18*(1+Inputs!$B$33/100))+MIN((Skills!T18*(1+Inputs!$B$33/100)),MAX(0,Inputs!$B$35-((S621-1)*Skills!D18))))/Inputs!$B$35),IF(Inputs!$B$4="pvp",MIN((Skills!T18*(1+Inputs!$B$33/100)),15)/15,(Skills!T18*(1+Inputs!$B$33/100))/Skills!D18)))+0)/100)</f>
        <v/>
      </c>
    </row>
    <row r="630">
      <c r="A630" t="inlineStr">
        <is>
          <t>Global Crit Rate Bonus %</t>
        </is>
      </c>
      <c r="B630" t="n">
        <v>0</v>
      </c>
    </row>
    <row r="631">
      <c r="A631" t="inlineStr">
        <is>
          <t>Attack Speed Buff Bonus %</t>
        </is>
      </c>
      <c r="B631">
        <f>((C622=TRUE)*F622*IF(AND(Inputs!$B$4&lt;&gt;"pvp",Inputs!$B$35&gt;0),(((S622-1)*(Skills!T19*(1+Inputs!$B$33/100))+MIN((Skills!T19*(1+Inputs!$B$33/100)),MAX(0,Inputs!$B$35-((S622-1)*Skills!D19))))/Inputs!$B$35),IF(Inputs!$B$4="pvp",MIN((Skills!T19*(1+Inputs!$B$33/100)),15)/15,(Skills!T19*(1+Inputs!$B$33/100))/Skills!D19)))</f>
        <v/>
      </c>
    </row>
    <row r="632">
      <c r="A632" t="inlineStr">
        <is>
          <t>Actions Per Second</t>
        </is>
      </c>
      <c r="B632">
        <f>1+MIN(150,150*(1-(1-(Inputs!$B$10+((C623=TRUE)*(F623-Calc!F20)))/150)*(1-B631/150)))/100</f>
        <v/>
      </c>
    </row>
    <row r="633">
      <c r="A633" t="inlineStr">
        <is>
          <t>Skill + Buff Cast Rate</t>
        </is>
      </c>
      <c r="B633">
        <f>IF(AND(Inputs!$B$4&lt;&gt;"pvp",Inputs!$B$35&gt;0),SUMPRODUCT((Skills!E2:E24=TRUE)*(C605:C627=TRUE)*R605:R627*Skills!F2:F24)/Inputs!$B$35,SUMPRODUCT((Skills!E2:E24=TRUE)*(C605:C627=TRUE)*Q605:Q627*Skills!F2:F24))</f>
        <v/>
      </c>
    </row>
    <row r="634">
      <c r="A634" t="inlineStr">
        <is>
          <t>Blast Casts Per Second</t>
        </is>
      </c>
      <c r="B634">
        <f>MAX(0,B632-B633)</f>
        <v/>
      </c>
    </row>
    <row r="635">
      <c r="A635" t="inlineStr">
        <is>
          <t>Global Critical Damage Bonus % (unused)</t>
        </is>
      </c>
      <c r="B635" t="n">
        <v>0</v>
      </c>
    </row>
    <row r="636">
      <c r="A636" t="inlineStr">
        <is>
          <t>Global Final Damage Bonus % (Divine Shield + Guardian + Divine Blessing + Greater Vessel of Light)</t>
        </is>
      </c>
      <c r="B636">
        <f>((C618=TRUE)*F618*IF(AND(Inputs!$B$4&lt;&gt;"pvp",Inputs!$B$35&gt;0),(((S618-1)*(Skills!T15*(1+Inputs!$B$33/100))+MIN((Skills!T15*(1+Inputs!$B$33/100)),MAX(0,Inputs!$B$35-((S618-1)*Skills!D15))))/Inputs!$B$35),IF(Inputs!$B$4="pvp",MIN((Skills!T15*(1+Inputs!$B$33/100)),15)/15,(Skills!T15*(1+Inputs!$B$33/100))/Skills!D15)))+((C619=TRUE)*F619*IF(AND(Inputs!$B$4&lt;&gt;"pvp",Inputs!$B$35&gt;0),(((S619-1)*(Skills!T16*(1+Inputs!$B$33/100))+MIN((Skills!T16*(1+Inputs!$B$33/100)),MAX(0,Inputs!$B$35-((S619-1)*Skills!D16))))/Inputs!$B$35),IF(Inputs!$B$4="pvp",MIN((Skills!T16*(1+Inputs!$B$33/100)),15)/15,(Skills!T16*(1+Inputs!$B$33/100))/Skills!D16)))+((C620=TRUE)*F620*IF(AND(Inputs!$B$4&lt;&gt;"pvp",Inputs!$B$35&gt;0),(((S620-1)*(Skills!T17*(1+Inputs!$B$33/100))+MIN((Skills!T17*(1+Inputs!$B$33/100)),MAX(0,Inputs!$B$35-((S620-1)*Skills!D17))))/Inputs!$B$35),IF(Inputs!$B$4="pvp",MIN((Skills!T17*(1+Inputs!$B$33/100)),15)/15,(Skills!T17*(1+Inputs!$B$33/100))/Skills!D17)))+((C617=TRUE)*F617*MIN(1,Skills!T13*(Skills!J13/100)*B634))</f>
        <v/>
      </c>
    </row>
    <row r="638">
      <c r="A638" s="5" t="inlineStr">
        <is>
          <t>TOTAL DPS</t>
        </is>
      </c>
      <c r="B638" s="5">
        <f>SUM(O605:O627)</f>
        <v/>
      </c>
    </row>
    <row r="641">
      <c r="A641" s="5" t="inlineStr">
        <is>
          <t>Stat: Skill Level Bonus — 1st Job</t>
        </is>
      </c>
    </row>
    <row r="642">
      <c r="A642" s="8" t="inlineStr">
        <is>
          <t>Key</t>
        </is>
      </c>
      <c r="B642" s="8" t="inlineStr">
        <is>
          <t>Name</t>
        </is>
      </c>
      <c r="C642" s="8" t="inlineStr">
        <is>
          <t>Unlocked</t>
        </is>
      </c>
      <c r="D642" s="8" t="inlineStr">
        <is>
          <t>InputLevel</t>
        </is>
      </c>
      <c r="E642" s="8" t="inlineStr">
        <is>
          <t>Factor</t>
        </is>
      </c>
      <c r="F642" s="8" t="inlineStr">
        <is>
          <t>CoefficientPercent</t>
        </is>
      </c>
      <c r="G642" s="8" t="inlineStr">
        <is>
          <t>EffectiveHits</t>
        </is>
      </c>
      <c r="H642" s="8" t="inlineStr">
        <is>
          <t>ProcProbability</t>
        </is>
      </c>
      <c r="I642" s="8" t="inlineStr">
        <is>
          <t>MapleHeroMultiplier</t>
        </is>
      </c>
      <c r="J642" s="8" t="inlineStr">
        <is>
          <t>BaseDamage</t>
        </is>
      </c>
      <c r="K642" s="8" t="inlineStr">
        <is>
          <t>BaseHitDamage</t>
        </is>
      </c>
      <c r="L642" s="8" t="inlineStr">
        <is>
          <t>NonCritAvg</t>
        </is>
      </c>
      <c r="M642" s="8" t="inlineStr">
        <is>
          <t>CritAvg</t>
        </is>
      </c>
      <c r="N642" s="8" t="inlineStr">
        <is>
          <t>ExpectedDamage(perHit)</t>
        </is>
      </c>
      <c r="O642" s="8" t="inlineStr">
        <is>
          <t>DPS</t>
        </is>
      </c>
      <c r="P642" s="8" t="inlineStr">
        <is>
          <t>% of Total</t>
        </is>
      </c>
      <c r="Q642" s="8" t="inlineStr">
        <is>
          <t>InvCooldown</t>
        </is>
      </c>
      <c r="R642" s="8" t="inlineStr">
        <is>
          <t>CastsInFight</t>
        </is>
      </c>
      <c r="S642" s="8" t="inlineStr">
        <is>
          <t>HitRate(perSec)</t>
        </is>
      </c>
      <c r="U642" t="inlineStr">
        <is>
          <t>helpers</t>
        </is>
      </c>
    </row>
    <row r="643">
      <c r="A643">
        <f>Skills!A2</f>
        <v/>
      </c>
      <c r="B643">
        <f>Skills!B2</f>
        <v/>
      </c>
      <c r="C643">
        <f>Inputs!$B$3&gt;=100</f>
        <v/>
      </c>
      <c r="D643" t="inlineStr"/>
      <c r="E643" t="inlineStr"/>
      <c r="F643">
        <f>U645+Skills!O2</f>
        <v/>
      </c>
      <c r="G643">
        <f>Skills!G2*IF(Skills!H2&gt;0,Skills!I2/Skills!H2,1)</f>
        <v/>
      </c>
      <c r="H643">
        <f>1-(1-Skills!J2/100)^Skills!K2</f>
        <v/>
      </c>
      <c r="I643" t="inlineStr">
        <is>
          <t>1</t>
        </is>
      </c>
      <c r="J643">
        <f>(Inputs!$B$5*(1+Inputs!$B$6/100))*(F643/100)</f>
        <v/>
      </c>
      <c r="K643">
        <f>J643*(1+((Inputs!$B$11*(1+Inputs!$B$12/100))*0.01+Inputs!$B$13*0.0025)/100)*(1+Inputs!$B$14/100)*(1+IF(Inputs!$B$4="pvp",0,(1-Summary!$B$55)*(Inputs!$B$19+0+Skills!P2)+Summary!$B$55*(Inputs!$B$20+Skills!Q2))/100)*(1+Inputs!$B$15/100)*(5000/(6000+Inputs!$B$7*(1-(Inputs!$B$18+0)/100)))*(1+(Inputs!$B$23+0+B674)/100)*(1+(IF(Skills!A2="BLAST",Inputs!$B$16+((C662=TRUE)*(F662-Calc!F21)),Inputs!$B$17+((C664=TRUE)*(F664-Calc!F23))))/100)*((1+(((C654=TRUE)*F654*MIN(1,Skills!T13*(Skills!J13/100)*B672))+((C659=TRUE)*F659*IF(AND(Inputs!$B$4&lt;&gt;"pvp",Inputs!$B$35&gt;0),(((S659-1)*(Skills!T18*(1+Inputs!$B$33/100))+MIN((Skills!T18*(1+Inputs!$B$33/100)),MAX(0,Inputs!$B$35-((S659-1)*Skills!D18))))/Inputs!$B$35),IF(Inputs!$B$4="pvp",MIN((Skills!T18*(1+Inputs!$B$33/100)),15)/15,(Skills!T18*(1+Inputs!$B$33/100))/Skills!D18)))+0)/100)*I643)</f>
        <v/>
      </c>
      <c r="L643">
        <f>K643*(MIN(Inputs!$B$21+((C663=TRUE)*(F663-Calc!F22)),Inputs!$B$22+((C665=TRUE)*(F665-Calc!F24)))/100+(Inputs!$B$22+((C665=TRUE)*(F665-Calc!F24)))/100)/2</f>
        <v/>
      </c>
      <c r="M643">
        <f>L643*(1+(Inputs!$B$9+0+B673)/100)</f>
        <v/>
      </c>
      <c r="N643">
        <f>L643*(1-MIN((Inputs!$B$8+0+B668),100)/100)+M643*(MIN((Inputs!$B$8+0+B668),100)/100)</f>
        <v/>
      </c>
      <c r="O643">
        <f>IF(C643,Skills!G2*N643*B672*IF(Inputs!$B$4="pvp",1,(1-Summary!$B$55)*(1)+Summary!$B$55*(MIN((6+Inputs!$B$32),Inputs!$B$37))),0)</f>
        <v/>
      </c>
      <c r="P643">
        <f>IF(B676=0,0,O643/B676)</f>
        <v/>
      </c>
      <c r="Q643" t="n">
        <v>0</v>
      </c>
      <c r="R643" t="n">
        <v>0</v>
      </c>
      <c r="S643">
        <f>IFERROR(O643/N643,0)</f>
        <v/>
      </c>
      <c r="U643">
        <f>MAX(0,(Inputs!$B$3-100)*3)+Inputs!$B$27+Inputs!$B$28</f>
        <v/>
      </c>
    </row>
    <row r="644">
      <c r="A644">
        <f>Skills!A3</f>
        <v/>
      </c>
      <c r="B644">
        <f>Skills!B3</f>
        <v/>
      </c>
      <c r="C644">
        <f>Inputs!$B$3&gt;=50</f>
        <v/>
      </c>
      <c r="D644">
        <f>IF(Skills!C3=1,60+(Inputs!$B$24+1)+Inputs!$B$28,IF(Skills!C3=2,90+Inputs!$B$25+Inputs!$B$28,IF(Skills!C3=3,120+Inputs!$B$26+Inputs!$B$28,MAX(0,(Inputs!$B$3-100)*3)+Inputs!$B$27+Inputs!$B$28)))</f>
        <v/>
      </c>
      <c r="E644">
        <f>INDEX(FactorTable!$B$2:$Y$301, MATCH(ROUND(MIN(300,MAX(1,D644)),0), FactorTable!$A$2:$A$301,0), Skills!M3+1)</f>
        <v/>
      </c>
      <c r="F644">
        <f>IF(Skills!N3=TRUE,(Skills!L3/10)*(E644/1000),Skills!L3/10)+Skills!O3</f>
        <v/>
      </c>
      <c r="G644" t="inlineStr"/>
      <c r="H644" t="inlineStr"/>
      <c r="I644" t="inlineStr">
        <is>
          <t>1</t>
        </is>
      </c>
      <c r="J644" t="inlineStr"/>
      <c r="K644" t="inlineStr"/>
      <c r="L644" t="inlineStr"/>
      <c r="M644" t="inlineStr"/>
      <c r="N644" t="inlineStr"/>
      <c r="O644" t="inlineStr"/>
      <c r="P644" t="inlineStr"/>
      <c r="Q644" t="inlineStr"/>
      <c r="R644" t="inlineStr"/>
      <c r="S644" t="inlineStr"/>
      <c r="U644">
        <f>INDEX(FactorTable!$B$2:$Y$301, MATCH(ROUND(MIN(300,MAX(1,U643)),0), FactorTable!$A$2:$A$301,0), 22)</f>
        <v/>
      </c>
    </row>
    <row r="645">
      <c r="A645">
        <f>Skills!A4</f>
        <v/>
      </c>
      <c r="B645">
        <f>Skills!B4</f>
        <v/>
      </c>
      <c r="C645">
        <f>Inputs!$B$3&gt;=35</f>
        <v/>
      </c>
      <c r="D645">
        <f>IF(Skills!C4=1,60+(Inputs!$B$24+1)+Inputs!$B$28,IF(Skills!C4=2,90+Inputs!$B$25+Inputs!$B$28,IF(Skills!C4=3,120+Inputs!$B$26+Inputs!$B$28,MAX(0,(Inputs!$B$3-100)*3)+Inputs!$B$27+Inputs!$B$28)))</f>
        <v/>
      </c>
      <c r="E645">
        <f>INDEX(FactorTable!$B$2:$Y$301, MATCH(ROUND(MIN(300,MAX(1,D645)),0), FactorTable!$A$2:$A$301,0), Skills!M4+1)</f>
        <v/>
      </c>
      <c r="F645">
        <f>IF(Skills!N4=TRUE,(Skills!L4/10)*(E645/1000),Skills!L4/10)+Skills!O4</f>
        <v/>
      </c>
      <c r="G645">
        <f>Skills!G4*IF(Skills!H4&gt;0,Skills!I4/Skills!H4,1)</f>
        <v/>
      </c>
      <c r="H645">
        <f>1-(1-Skills!J4/100)^Skills!K4</f>
        <v/>
      </c>
      <c r="I645" t="inlineStr">
        <is>
          <t>1</t>
        </is>
      </c>
      <c r="J645">
        <f>(Inputs!$B$5*(1+Inputs!$B$6/100))*(F645/100)</f>
        <v/>
      </c>
      <c r="K645">
        <f>J645*(1+((Inputs!$B$11*(1+Inputs!$B$12/100))*0.01+Inputs!$B$13*0.0025)/100)*(1+Inputs!$B$14/100)*(1+IF(Inputs!$B$4="pvp",0,(1-Summary!$B$55)*(Inputs!$B$19+0+Skills!P4)+Summary!$B$55*(Inputs!$B$20+Skills!Q4))/100)*(1+Inputs!$B$15/100)*(5000/(6000+Inputs!$B$7*(1-(Inputs!$B$18+0)/100)))*(1+(Inputs!$B$23+0+B674)/100)*(1+4.0*IF(C653=TRUE,F653,0)/100)*(1+(IF(Skills!A4="BLAST",Inputs!$B$16+((C662=TRUE)*(F662-Calc!F21)),Inputs!$B$17+((C664=TRUE)*(F664-Calc!F23))))/100)*((1+(((C654=TRUE)*F654*MIN(1,Skills!T13*(Skills!J13/100)*B672))+((C659=TRUE)*F659*IF(AND(Inputs!$B$4&lt;&gt;"pvp",Inputs!$B$35&gt;0),(((S659-1)*(Skills!T18*(1+Inputs!$B$33/100))+MIN((Skills!T18*(1+Inputs!$B$33/100)),MAX(0,Inputs!$B$35-((S659-1)*Skills!D18))))/Inputs!$B$35),IF(Inputs!$B$4="pvp",MIN((Skills!T18*(1+Inputs!$B$33/100)),15)/15,(Skills!T18*(1+Inputs!$B$33/100))/Skills!D18)))+0)/100)*I645)</f>
        <v/>
      </c>
      <c r="L645">
        <f>K645*(MIN(Inputs!$B$21+((C663=TRUE)*(F663-Calc!F22)),Inputs!$B$22+((C665=TRUE)*(F665-Calc!F24)))/100+(Inputs!$B$22+((C665=TRUE)*(F665-Calc!F24)))/100)/2</f>
        <v/>
      </c>
      <c r="M645">
        <f>L645*(1+(Inputs!$B$9+0+B673)/100)</f>
        <v/>
      </c>
      <c r="N645">
        <f>L645*(1-MIN((Inputs!$B$8+0+B668),100)/100)+M645*(MIN((Inputs!$B$8+0+B668),100)/100)</f>
        <v/>
      </c>
      <c r="O645">
        <f>IF(C645,H645*N645*IF(AND(Inputs!$B$4&lt;&gt;"pvp",Inputs!$B$35&gt;0),((Skills!G4*((R645-1)*IF(Skills!H4&gt;0,Skills!I4/Skills!H4,1)+IF(Skills!H4&gt;0,MIN(Skills!I4,MAX(0,Inputs!$B$35-((R645-1)*IF(Inputs!$B$4="pvp",15,MAX(0.1,Skills!D4-IF(Skills!E4=TRUE,Inputs!$B$31,0))))))/Skills!H4,1)))/Inputs!$B$35),G645*Q645)*IF(Inputs!$B$4="pvp",1,(1-Summary!$B$55)*(1)+Summary!$B$55*(MIN(Skills!R4,Inputs!$B$37))),0)</f>
        <v/>
      </c>
      <c r="P645">
        <f>IF(B676=0,0,O645/B676)</f>
        <v/>
      </c>
      <c r="Q645">
        <f>IFERROR(1/IF(Inputs!$B$4="pvp",15,MAX(0.1,Skills!D4-IF(Skills!E4=TRUE,Inputs!$B$31,0))),0)</f>
        <v/>
      </c>
      <c r="R645">
        <f>IF(AND(Inputs!$B$4&lt;&gt;"pvp",Inputs!$B$35&gt;0),(INT(Inputs!$B$35/IF(Inputs!$B$4="pvp",15,MAX(0.1,Skills!D4-IF(Skills!E4=TRUE,Inputs!$B$31,0))))+1),0)</f>
        <v/>
      </c>
      <c r="S645">
        <f>IFERROR(O645/N645,0)</f>
        <v/>
      </c>
      <c r="U645">
        <f>290*U644/1000</f>
        <v/>
      </c>
    </row>
    <row r="646">
      <c r="A646">
        <f>Skills!A5</f>
        <v/>
      </c>
      <c r="B646">
        <f>Skills!B5</f>
        <v/>
      </c>
      <c r="C646">
        <f>Inputs!$B$3&gt;=66</f>
        <v/>
      </c>
      <c r="D646">
        <f>IF(Skills!C5=1,60+(Inputs!$B$24+1)+Inputs!$B$28,IF(Skills!C5=2,90+Inputs!$B$25+Inputs!$B$28,IF(Skills!C5=3,120+Inputs!$B$26+Inputs!$B$28,MAX(0,(Inputs!$B$3-100)*3)+Inputs!$B$27+Inputs!$B$28)))</f>
        <v/>
      </c>
      <c r="E646">
        <f>INDEX(FactorTable!$B$2:$Y$301, MATCH(ROUND(MIN(300,MAX(1,D646)),0), FactorTable!$A$2:$A$301,0), Skills!M5+1)</f>
        <v/>
      </c>
      <c r="F646">
        <f>IF(Skills!N5=TRUE,(Skills!L5/10)*(E646/1000),Skills!L5/10)+Skills!O5</f>
        <v/>
      </c>
      <c r="G646">
        <f>Skills!G5*IF(Skills!H5&gt;0,Skills!I5/Skills!H5,1)</f>
        <v/>
      </c>
      <c r="H646">
        <f>1-(1-Skills!J5/100)^Skills!K5</f>
        <v/>
      </c>
      <c r="I646" t="inlineStr">
        <is>
          <t>1</t>
        </is>
      </c>
      <c r="J646">
        <f>(Inputs!$B$5*(1+Inputs!$B$6/100))*(F646/100)</f>
        <v/>
      </c>
      <c r="K646">
        <f>J646*(1+((Inputs!$B$11*(1+Inputs!$B$12/100))*0.01+Inputs!$B$13*0.0025)/100)*(1+Inputs!$B$14/100)*(1+IF(Inputs!$B$4="pvp",0,(1-Summary!$B$55)*(Inputs!$B$19+0+Skills!P5)+Summary!$B$55*(Inputs!$B$20+Skills!Q5))/100)*(1+Inputs!$B$15/100)*(5000/(6000+Inputs!$B$7*(1-(Inputs!$B$18+0)/100)))*(1+(Inputs!$B$23+0+B674)/100)*(1+1.0*IF(C653=TRUE,F653,0)/100)*(1+(IF(Skills!A5="BLAST",Inputs!$B$16+((C662=TRUE)*(F662-Calc!F21)),Inputs!$B$17+((C664=TRUE)*(F664-Calc!F23))))/100)*((1+(((C654=TRUE)*F654*MIN(1,Skills!T13*(Skills!J13/100)*B672))+((C659=TRUE)*F659*IF(AND(Inputs!$B$4&lt;&gt;"pvp",Inputs!$B$35&gt;0),(((S659-1)*(Skills!T18*(1+Inputs!$B$33/100))+MIN((Skills!T18*(1+Inputs!$B$33/100)),MAX(0,Inputs!$B$35-((S659-1)*Skills!D18))))/Inputs!$B$35),IF(Inputs!$B$4="pvp",MIN((Skills!T18*(1+Inputs!$B$33/100)),15)/15,(Skills!T18*(1+Inputs!$B$33/100))/Skills!D18)))+0)/100)*I646)</f>
        <v/>
      </c>
      <c r="L646">
        <f>K646*(MIN(Inputs!$B$21+((C663=TRUE)*(F663-Calc!F22)),Inputs!$B$22+((C665=TRUE)*(F665-Calc!F24)))/100+(Inputs!$B$22+((C665=TRUE)*(F665-Calc!F24)))/100)/2</f>
        <v/>
      </c>
      <c r="M646">
        <f>L646*(1+(Inputs!$B$9+0+B673)/100)</f>
        <v/>
      </c>
      <c r="N646">
        <f>L646*(1-MIN((Inputs!$B$8+0+B668),100)/100)+M646*(MIN((Inputs!$B$8+0+B668),100)/100)</f>
        <v/>
      </c>
      <c r="O646">
        <f>IF(C646,H646*N646*IF(AND(Inputs!$B$4&lt;&gt;"pvp",Inputs!$B$35&gt;0),((Skills!G5*((R646-1)*IF(Skills!H5&gt;0,Skills!I5/Skills!H5,1)+IF(Skills!H5&gt;0,MIN(Skills!I5,MAX(0,Inputs!$B$35-((R646-1)*IF(Inputs!$B$4="pvp",15,MAX(0.1,Skills!D5-IF(Skills!E5=TRUE,Inputs!$B$31,0))))))/Skills!H5,1)))/Inputs!$B$35),G646*Q646)*IF(Inputs!$B$4="pvp",1,(1-Summary!$B$55)*(1)+Summary!$B$55*(MIN(Skills!R5,Inputs!$B$37))),0)</f>
        <v/>
      </c>
      <c r="P646">
        <f>IF(B676=0,0,O646/B676)</f>
        <v/>
      </c>
      <c r="Q646">
        <f>IFERROR(1/IF(Inputs!$B$4="pvp",15,MAX(0.1,Skills!D5-IF(Skills!E5=TRUE,Inputs!$B$31,0))),0)</f>
        <v/>
      </c>
      <c r="R646">
        <f>IF(AND(Inputs!$B$4&lt;&gt;"pvp",Inputs!$B$35&gt;0),(INT(Inputs!$B$35/IF(Inputs!$B$4="pvp",15,MAX(0.1,Skills!D5-IF(Skills!E5=TRUE,Inputs!$B$31,0))))+1),0)</f>
        <v/>
      </c>
      <c r="S646">
        <f>IFERROR(O646/N646,0)</f>
        <v/>
      </c>
    </row>
    <row r="647">
      <c r="A647">
        <f>Skills!A6</f>
        <v/>
      </c>
      <c r="B647">
        <f>Skills!B6</f>
        <v/>
      </c>
      <c r="C647">
        <f>Inputs!$B$3&gt;=103</f>
        <v/>
      </c>
      <c r="D647">
        <f>IF(Skills!C6=1,60+(Inputs!$B$24+1)+Inputs!$B$28,IF(Skills!C6=2,90+Inputs!$B$25+Inputs!$B$28,IF(Skills!C6=3,120+Inputs!$B$26+Inputs!$B$28,MAX(0,(Inputs!$B$3-100)*3)+Inputs!$B$27+Inputs!$B$28)))</f>
        <v/>
      </c>
      <c r="E647">
        <f>INDEX(FactorTable!$B$2:$Y$301, MATCH(ROUND(MIN(300,MAX(1,D647)),0), FactorTable!$A$2:$A$301,0), Skills!M6+1)</f>
        <v/>
      </c>
      <c r="F647">
        <f>IF(Skills!N6=TRUE,(Skills!L6/10)*(E647/1000),Skills!L6/10)+Skills!O6</f>
        <v/>
      </c>
      <c r="G647">
        <f>Skills!G6*IF(Skills!H6&gt;0,Skills!I6/Skills!H6,1)</f>
        <v/>
      </c>
      <c r="H647">
        <f>1-(1-Skills!J6/100)^Skills!K6</f>
        <v/>
      </c>
      <c r="I647" t="inlineStr">
        <is>
          <t>1</t>
        </is>
      </c>
      <c r="J647">
        <f>(Inputs!$B$5*(1+Inputs!$B$6/100))*(F647/100)</f>
        <v/>
      </c>
      <c r="K647">
        <f>J647*(1+((Inputs!$B$11*(1+Inputs!$B$12/100))*0.01+Inputs!$B$13*0.0025)/100)*(1+Inputs!$B$14/100)*(1+IF(Inputs!$B$4="pvp",0,(1-Summary!$B$55)*(Inputs!$B$19+0+Skills!P6)+Summary!$B$55*(Inputs!$B$20+Skills!Q6))/100)*(1+Inputs!$B$15/100)*(5000/(6000+Inputs!$B$7*(1-(Inputs!$B$18+0)/100)))*(1+(Inputs!$B$23+0+B674)/100)*(1+(IF(Skills!A6="BLAST",Inputs!$B$16+((C662=TRUE)*(F662-Calc!F21)),Inputs!$B$17+((C664=TRUE)*(F664-Calc!F23))))/100)*((1+(((C654=TRUE)*F654*MIN(1,Skills!T13*(Skills!J13/100)*B672))+((C659=TRUE)*F659*IF(AND(Inputs!$B$4&lt;&gt;"pvp",Inputs!$B$35&gt;0),(((S659-1)*(Skills!T18*(1+Inputs!$B$33/100))+MIN((Skills!T18*(1+Inputs!$B$33/100)),MAX(0,Inputs!$B$35-((S659-1)*Skills!D18))))/Inputs!$B$35),IF(Inputs!$B$4="pvp",MIN((Skills!T18*(1+Inputs!$B$33/100)),15)/15,(Skills!T18*(1+Inputs!$B$33/100))/Skills!D18)))+0)/100)*I647)</f>
        <v/>
      </c>
      <c r="L647">
        <f>K647*(MIN(Inputs!$B$21+((C663=TRUE)*(F663-Calc!F22)),Inputs!$B$22+((C665=TRUE)*(F665-Calc!F24)))/100+(Inputs!$B$22+((C665=TRUE)*(F665-Calc!F24)))/100)/2</f>
        <v/>
      </c>
      <c r="M647">
        <f>L647*(1+(Inputs!$B$9+0+B673)/100)</f>
        <v/>
      </c>
      <c r="N647">
        <f>L647*(1-MIN((Inputs!$B$8+0+B668),100)/100)+M647*(MIN((Inputs!$B$8+0+B668),100)/100)</f>
        <v/>
      </c>
      <c r="O647">
        <f>IF(C647,H647*N647*IF(AND(Inputs!$B$4&lt;&gt;"pvp",Inputs!$B$35&gt;0),((Skills!G6*((R647-1)*IF(Skills!H6&gt;0,Skills!I6/Skills!H6,1)+IF(Skills!H6&gt;0,MIN(Skills!I6,MAX(0,Inputs!$B$35-((R647-1)*IF(Inputs!$B$4="pvp",15,MAX(0.1,Skills!D6-IF(Skills!E6=TRUE,Inputs!$B$31,0))))))/Skills!H6,1)))/Inputs!$B$35),G647*Q647)*IF(Inputs!$B$4="pvp",1,(1-Summary!$B$55)*(1)+Summary!$B$55*(MIN(Skills!R6,Inputs!$B$37))),0)</f>
        <v/>
      </c>
      <c r="P647">
        <f>IF(B676=0,0,O647/B676)</f>
        <v/>
      </c>
      <c r="Q647">
        <f>IFERROR(1/IF(Inputs!$B$4="pvp",15,MAX(0.1,Skills!D6-IF(Skills!E6=TRUE,Inputs!$B$31,0))),0)</f>
        <v/>
      </c>
      <c r="R647">
        <f>IF(AND(Inputs!$B$4&lt;&gt;"pvp",Inputs!$B$35&gt;0),(INT(Inputs!$B$35/IF(Inputs!$B$4="pvp",15,MAX(0.1,Skills!D6-IF(Skills!E6=TRUE,Inputs!$B$31,0))))+1),0)</f>
        <v/>
      </c>
      <c r="S647">
        <f>IFERROR(O647/N647,0)</f>
        <v/>
      </c>
    </row>
    <row r="648">
      <c r="A648">
        <f>Skills!A7</f>
        <v/>
      </c>
      <c r="B648">
        <f>Skills!B7</f>
        <v/>
      </c>
      <c r="C648">
        <f>Inputs!$B$3&gt;=107</f>
        <v/>
      </c>
      <c r="D648">
        <f>IF(Skills!C7=1,60+(Inputs!$B$24+1)+Inputs!$B$28,IF(Skills!C7=2,90+Inputs!$B$25+Inputs!$B$28,IF(Skills!C7=3,120+Inputs!$B$26+Inputs!$B$28,MAX(0,(Inputs!$B$3-100)*3)+Inputs!$B$27+Inputs!$B$28)))</f>
        <v/>
      </c>
      <c r="E648">
        <f>INDEX(FactorTable!$B$2:$Y$301, MATCH(ROUND(MIN(300,MAX(1,D648)),0), FactorTable!$A$2:$A$301,0), Skills!M7+1)</f>
        <v/>
      </c>
      <c r="F648">
        <f>IF(Skills!N7=TRUE,(Skills!L7/10)*(E648/1000),Skills!L7/10)+Skills!O7</f>
        <v/>
      </c>
      <c r="G648">
        <f>Skills!G7*IF(Skills!H7&gt;0,Skills!I7/Skills!H7,1)</f>
        <v/>
      </c>
      <c r="H648">
        <f>1-(1-Skills!J7/100)^Skills!K7</f>
        <v/>
      </c>
      <c r="I648" t="inlineStr">
        <is>
          <t>1</t>
        </is>
      </c>
      <c r="J648">
        <f>(Inputs!$B$5*(1+Inputs!$B$6/100))*(F648/100)</f>
        <v/>
      </c>
      <c r="K648">
        <f>J648*(1+((Inputs!$B$11*(1+Inputs!$B$12/100))*0.01+Inputs!$B$13*0.0025)/100)*(1+Inputs!$B$14/100)*(1+IF(Inputs!$B$4="pvp",0,(1-Summary!$B$55)*(Inputs!$B$19+0+Skills!P7)+Summary!$B$55*(Inputs!$B$20+Skills!Q7))/100)*(1+Inputs!$B$15/100)*(5000/(6000+Inputs!$B$7*(1-(Inputs!$B$18+0)/100)))*(1+(Inputs!$B$23+0+B674)/100)*(1+(IF(Skills!A7="BLAST",Inputs!$B$16+((C662=TRUE)*(F662-Calc!F21)),Inputs!$B$17+((C664=TRUE)*(F664-Calc!F23))))/100)*((1+(((C654=TRUE)*F654*MIN(1,Skills!T13*(Skills!J13/100)*B672))+((C659=TRUE)*F659*IF(AND(Inputs!$B$4&lt;&gt;"pvp",Inputs!$B$35&gt;0),(((S659-1)*(Skills!T18*(1+Inputs!$B$33/100))+MIN((Skills!T18*(1+Inputs!$B$33/100)),MAX(0,Inputs!$B$35-((S659-1)*Skills!D18))))/Inputs!$B$35),IF(Inputs!$B$4="pvp",MIN((Skills!T18*(1+Inputs!$B$33/100)),15)/15,(Skills!T18*(1+Inputs!$B$33/100))/Skills!D18)))+0)/100)*I648)</f>
        <v/>
      </c>
      <c r="L648">
        <f>K648*(MIN(Inputs!$B$21+((C663=TRUE)*(F663-Calc!F22)),Inputs!$B$22+((C665=TRUE)*(F665-Calc!F24)))/100+(Inputs!$B$22+((C665=TRUE)*(F665-Calc!F24)))/100)/2</f>
        <v/>
      </c>
      <c r="M648">
        <f>L648*(1+(Inputs!$B$9+0+B673)/100)</f>
        <v/>
      </c>
      <c r="N648">
        <f>L648*(1-MIN((Inputs!$B$8+0+B668),100)/100)+M648*(MIN((Inputs!$B$8+0+B668),100)/100)</f>
        <v/>
      </c>
      <c r="O648">
        <f>IF(C648,H648*N648*IF(AND(Inputs!$B$4&lt;&gt;"pvp",Inputs!$B$35&gt;0),((Skills!G7*((R648-1)*IF(Skills!H7&gt;0,Skills!I7/Skills!H7,1)+IF(Skills!H7&gt;0,MIN(Skills!I7,MAX(0,Inputs!$B$35-((R648-1)*IF(Inputs!$B$4="pvp",15,MAX(0.1,Skills!D7-IF(Skills!E7=TRUE,Inputs!$B$31,0))))))/Skills!H7,1)))/Inputs!$B$35),G648*Q648)*IF(Inputs!$B$4="pvp",1,(1-Summary!$B$55)*(1)+Summary!$B$55*(MIN(Skills!R7,Inputs!$B$37))),0)</f>
        <v/>
      </c>
      <c r="P648">
        <f>IF(B676=0,0,O648/B676)</f>
        <v/>
      </c>
      <c r="Q648">
        <f>IFERROR(1/IF(Inputs!$B$4="pvp",15,MAX(0.1,Skills!D7-IF(Skills!E7=TRUE,Inputs!$B$31,0))),0)</f>
        <v/>
      </c>
      <c r="R648">
        <f>IF(AND(Inputs!$B$4&lt;&gt;"pvp",Inputs!$B$35&gt;0),(INT(Inputs!$B$35/IF(Inputs!$B$4="pvp",15,MAX(0.1,Skills!D7-IF(Skills!E7=TRUE,Inputs!$B$31,0))))+1),0)</f>
        <v/>
      </c>
      <c r="S648">
        <f>IFERROR(O648/N648,0)</f>
        <v/>
      </c>
    </row>
    <row r="649">
      <c r="A649">
        <f>Skills!A8</f>
        <v/>
      </c>
      <c r="B649">
        <f>Skills!B8</f>
        <v/>
      </c>
      <c r="C649">
        <f>Inputs!$B$3&gt;=107</f>
        <v/>
      </c>
      <c r="D649">
        <f>IF(Skills!C8=1,60+(Inputs!$B$24+1)+Inputs!$B$28,IF(Skills!C8=2,90+Inputs!$B$25+Inputs!$B$28,IF(Skills!C8=3,120+Inputs!$B$26+Inputs!$B$28,MAX(0,(Inputs!$B$3-100)*3)+Inputs!$B$27+Inputs!$B$28)))</f>
        <v/>
      </c>
      <c r="E649">
        <f>INDEX(FactorTable!$B$2:$Y$301, MATCH(ROUND(MIN(300,MAX(1,D649)),0), FactorTable!$A$2:$A$301,0), Skills!M8+1)</f>
        <v/>
      </c>
      <c r="F649">
        <f>IF(Skills!N8=TRUE,(Skills!L8/10)*(E649/1000),Skills!L8/10)+Skills!O8</f>
        <v/>
      </c>
      <c r="G649">
        <f>Skills!G8*IF(Skills!H8&gt;0,Skills!I8/Skills!H8,1)</f>
        <v/>
      </c>
      <c r="H649">
        <f>1-(1-Skills!J8/100)^Skills!K8</f>
        <v/>
      </c>
      <c r="I649" t="inlineStr">
        <is>
          <t>1</t>
        </is>
      </c>
      <c r="J649">
        <f>(Inputs!$B$5*(1+Inputs!$B$6/100))*(F649/100)</f>
        <v/>
      </c>
      <c r="K649">
        <f>J649*(1+((Inputs!$B$11*(1+Inputs!$B$12/100))*0.01+Inputs!$B$13*0.0025)/100)*(1+Inputs!$B$14/100)*(1+IF(Inputs!$B$4="pvp",0,(1-Summary!$B$55)*(Inputs!$B$19+0+Skills!P8)+Summary!$B$55*(Inputs!$B$20+Skills!Q8))/100)*(1+Inputs!$B$15/100)*(5000/(6000+Inputs!$B$7*(1-(Inputs!$B$18+0)/100)))*(1+(Inputs!$B$23+0+B674)/100)*(1+(IF(Skills!A8="BLAST",Inputs!$B$16+((C662=TRUE)*(F662-Calc!F21)),Inputs!$B$17+((C664=TRUE)*(F664-Calc!F23))))/100)*((1+(((C654=TRUE)*F654*MIN(1,Skills!T13*(Skills!J13/100)*B672))+((C659=TRUE)*F659*IF(AND(Inputs!$B$4&lt;&gt;"pvp",Inputs!$B$35&gt;0),(((S659-1)*(Skills!T18*(1+Inputs!$B$33/100))+MIN((Skills!T18*(1+Inputs!$B$33/100)),MAX(0,Inputs!$B$35-((S659-1)*Skills!D18))))/Inputs!$B$35),IF(Inputs!$B$4="pvp",MIN((Skills!T18*(1+Inputs!$B$33/100)),15)/15,(Skills!T18*(1+Inputs!$B$33/100))/Skills!D18)))+0)/100)*I649)</f>
        <v/>
      </c>
      <c r="L649">
        <f>K649*(MIN(Inputs!$B$21+((C663=TRUE)*(F663-Calc!F22)),Inputs!$B$22+((C665=TRUE)*(F665-Calc!F24)))/100+(Inputs!$B$22+((C665=TRUE)*(F665-Calc!F24)))/100)/2</f>
        <v/>
      </c>
      <c r="M649">
        <f>L649*(1+(Inputs!$B$9+0+B673)/100)</f>
        <v/>
      </c>
      <c r="N649">
        <f>L649*(1-MIN((Inputs!$B$8+0+B668),100)/100)+M649*(MIN((Inputs!$B$8+0+B668),100)/100)</f>
        <v/>
      </c>
      <c r="O649">
        <f>IF(C649,H649*N649*IF(AND(Inputs!$B$4&lt;&gt;"pvp",Inputs!$B$35&gt;0),((Skills!G8*((R649-1)*IF(Skills!H8&gt;0,Skills!I8/Skills!H8,1)+IF(Skills!H8&gt;0,MIN(Skills!I8,MAX(0,Inputs!$B$35-((R649-1)*IF(Inputs!$B$4="pvp",15,MAX(0.1,Skills!D8-IF(Skills!E8=TRUE,Inputs!$B$31,0))))))/Skills!H8,1)))/Inputs!$B$35),G649*Q649)*IF(Inputs!$B$4="pvp",1,(1-Summary!$B$55)*(1)+Summary!$B$55*(MIN(Skills!R8,Inputs!$B$37))),0)</f>
        <v/>
      </c>
      <c r="P649">
        <f>IF(B676=0,0,O649/B676)</f>
        <v/>
      </c>
      <c r="Q649">
        <f>IFERROR(1/IF(Inputs!$B$4="pvp",15,MAX(0.1,Skills!D8-IF(Skills!E8=TRUE,Inputs!$B$31,0))),0)</f>
        <v/>
      </c>
      <c r="R649">
        <f>IF(AND(Inputs!$B$4&lt;&gt;"pvp",Inputs!$B$35&gt;0),(INT(Inputs!$B$35/IF(Inputs!$B$4="pvp",15,MAX(0.1,Skills!D8-IF(Skills!E8=TRUE,Inputs!$B$31,0))))+1),0)</f>
        <v/>
      </c>
      <c r="S649">
        <f>IFERROR(O649/N649,0)</f>
        <v/>
      </c>
    </row>
    <row r="650">
      <c r="A650">
        <f>Skills!A9</f>
        <v/>
      </c>
      <c r="B650">
        <f>Skills!B9</f>
        <v/>
      </c>
      <c r="C650">
        <f>Inputs!$B$3&gt;=125</f>
        <v/>
      </c>
      <c r="D650">
        <f>IF(Skills!C9=1,60+(Inputs!$B$24+1)+Inputs!$B$28,IF(Skills!C9=2,90+Inputs!$B$25+Inputs!$B$28,IF(Skills!C9=3,120+Inputs!$B$26+Inputs!$B$28,MAX(0,(Inputs!$B$3-100)*3)+Inputs!$B$27+Inputs!$B$28)))</f>
        <v/>
      </c>
      <c r="E650">
        <f>INDEX(FactorTable!$B$2:$Y$301, MATCH(ROUND(MIN(300,MAX(1,D650)),0), FactorTable!$A$2:$A$301,0), Skills!M9+1)</f>
        <v/>
      </c>
      <c r="F650">
        <f>IF(Skills!N9=TRUE,(Skills!L9/10)*(E650/1000),Skills!L9/10)+Skills!O9</f>
        <v/>
      </c>
      <c r="G650">
        <f>Skills!G9*IF(Skills!H9&gt;0,Skills!I9/Skills!H9,1)</f>
        <v/>
      </c>
      <c r="H650">
        <f>1-(1-Skills!J9/100)^Skills!K9</f>
        <v/>
      </c>
      <c r="I650" t="inlineStr">
        <is>
          <t>1</t>
        </is>
      </c>
      <c r="J650">
        <f>(Inputs!$B$5*(1+Inputs!$B$6/100))*(F650/100)</f>
        <v/>
      </c>
      <c r="K650">
        <f>J650*(1+((Inputs!$B$11*(1+Inputs!$B$12/100))*0.01+Inputs!$B$13*0.0025)/100)*(1+Inputs!$B$14/100)*(1+IF(Inputs!$B$4="pvp",0,(1-Summary!$B$55)*(Inputs!$B$19+0+Skills!P9)+Summary!$B$55*(Inputs!$B$20+Skills!Q9))/100)*(1+Inputs!$B$15/100)*(5000/(6000+Inputs!$B$7*(1-(Inputs!$B$18+0)/100)))*(1+(Inputs!$B$23+0+B674)/100)*(1+(IF(Skills!A9="BLAST",Inputs!$B$16+((C662=TRUE)*(F662-Calc!F21)),Inputs!$B$17+((C664=TRUE)*(F664-Calc!F23))))/100)*((1+(((C654=TRUE)*F654*MIN(1,Skills!T13*(Skills!J13/100)*B672))+((C659=TRUE)*F659*IF(AND(Inputs!$B$4&lt;&gt;"pvp",Inputs!$B$35&gt;0),(((S659-1)*(Skills!T18*(1+Inputs!$B$33/100))+MIN((Skills!T18*(1+Inputs!$B$33/100)),MAX(0,Inputs!$B$35-((S659-1)*Skills!D18))))/Inputs!$B$35),IF(Inputs!$B$4="pvp",MIN((Skills!T18*(1+Inputs!$B$33/100)),15)/15,(Skills!T18*(1+Inputs!$B$33/100))/Skills!D18)))+0)/100)*I650)</f>
        <v/>
      </c>
      <c r="L650">
        <f>K650*(MIN(Inputs!$B$21+((C663=TRUE)*(F663-Calc!F22)),Inputs!$B$22+((C665=TRUE)*(F665-Calc!F24)))/100+(Inputs!$B$22+((C665=TRUE)*(F665-Calc!F24)))/100)/2</f>
        <v/>
      </c>
      <c r="M650">
        <f>L650*(1+(Inputs!$B$9+0+B673)/100)</f>
        <v/>
      </c>
      <c r="N650">
        <f>L650*(1-MIN((Inputs!$B$8+0+B668),100)/100)+M650*(MIN((Inputs!$B$8+0+B668),100)/100)</f>
        <v/>
      </c>
      <c r="O650">
        <f>IF(C650,H650*N650*IF(AND(Inputs!$B$4&lt;&gt;"pvp",Inputs!$B$35&gt;0),((Skills!G9*((R650-1)*IF(Skills!H9&gt;0,Skills!I9/Skills!H9,1)+IF(Skills!H9&gt;0,MIN(Skills!I9,MAX(0,Inputs!$B$35-((R650-1)*IF(Inputs!$B$4="pvp",15,MAX(0.1,Skills!D9-IF(Skills!E9=TRUE,Inputs!$B$31,0))))))/Skills!H9,1)))/Inputs!$B$35),G650*Q650)*IF(Inputs!$B$4="pvp",1,(1-Summary!$B$55)*(1)+Summary!$B$55*(MIN(Skills!R9,Inputs!$B$37))),0)</f>
        <v/>
      </c>
      <c r="P650">
        <f>IF(B676=0,0,O650/B676)</f>
        <v/>
      </c>
      <c r="Q650">
        <f>IFERROR(1/IF(Inputs!$B$4="pvp",15,MAX(0.1,Skills!D9-IF(Skills!E9=TRUE,Inputs!$B$31,0))),0)</f>
        <v/>
      </c>
      <c r="R650">
        <f>IF(AND(Inputs!$B$4&lt;&gt;"pvp",Inputs!$B$35&gt;0),(INT(Inputs!$B$35/IF(Inputs!$B$4="pvp",15,MAX(0.1,Skills!D9-IF(Skills!E9=TRUE,Inputs!$B$31,0))))+1),0)</f>
        <v/>
      </c>
      <c r="S650">
        <f>IFERROR(O650/N650,0)</f>
        <v/>
      </c>
    </row>
    <row r="651">
      <c r="A651">
        <f>Skills!A10</f>
        <v/>
      </c>
      <c r="B651">
        <f>Skills!B10</f>
        <v/>
      </c>
      <c r="C651">
        <f>Inputs!$B$3&gt;=117</f>
        <v/>
      </c>
      <c r="D651">
        <f>IF(Skills!C10=1,60+(Inputs!$B$24+1)+Inputs!$B$28,IF(Skills!C10=2,90+Inputs!$B$25+Inputs!$B$28,IF(Skills!C10=3,120+Inputs!$B$26+Inputs!$B$28,MAX(0,(Inputs!$B$3-100)*3)+Inputs!$B$27+Inputs!$B$28)))</f>
        <v/>
      </c>
      <c r="E651">
        <f>INDEX(FactorTable!$B$2:$Y$301, MATCH(ROUND(MIN(300,MAX(1,D651)),0), FactorTable!$A$2:$A$301,0), Skills!M10+1)</f>
        <v/>
      </c>
      <c r="F651">
        <f>IF(Skills!N10=TRUE,(Skills!L10/10)*(E651/1000),Skills!L10/10)+Skills!O10</f>
        <v/>
      </c>
      <c r="G651">
        <f>Skills!G10*IF(Skills!H10&gt;0,Skills!I10/Skills!H10,1)</f>
        <v/>
      </c>
      <c r="H651">
        <f>1-(1-Skills!J10/100)^Skills!K10</f>
        <v/>
      </c>
      <c r="I651" t="inlineStr">
        <is>
          <t>1</t>
        </is>
      </c>
      <c r="J651">
        <f>(Inputs!$B$5*(1+Inputs!$B$6/100))*(F651/100)</f>
        <v/>
      </c>
      <c r="K651">
        <f>J651*(1+((Inputs!$B$11*(1+Inputs!$B$12/100))*0.01+Inputs!$B$13*0.0025)/100)*(1+Inputs!$B$14/100)*(1+IF(Inputs!$B$4="pvp",0,(1-Summary!$B$55)*(Inputs!$B$19+0+Skills!P10)+Summary!$B$55*(Inputs!$B$20+Skills!Q10))/100)*(1+Inputs!$B$15/100)*(5000/(6000+Inputs!$B$7*(1-(Inputs!$B$18+0)/100)))*(1+(Inputs!$B$23+0+B674)/100)*(1+(IF(Skills!A10="BLAST",Inputs!$B$16+((C662=TRUE)*(F662-Calc!F21)),Inputs!$B$17+((C664=TRUE)*(F664-Calc!F23))))/100)*((1+(((C654=TRUE)*F654*MIN(1,Skills!T13*(Skills!J13/100)*B672))+((C659=TRUE)*F659*IF(AND(Inputs!$B$4&lt;&gt;"pvp",Inputs!$B$35&gt;0),(((S659-1)*(Skills!T18*(1+Inputs!$B$33/100))+MIN((Skills!T18*(1+Inputs!$B$33/100)),MAX(0,Inputs!$B$35-((S659-1)*Skills!D18))))/Inputs!$B$35),IF(Inputs!$B$4="pvp",MIN((Skills!T18*(1+Inputs!$B$33/100)),15)/15,(Skills!T18*(1+Inputs!$B$33/100))/Skills!D18)))+0)/100)*I651)</f>
        <v/>
      </c>
      <c r="L651">
        <f>K651*(MIN(Inputs!$B$21+((C663=TRUE)*(F663-Calc!F22)),Inputs!$B$22+((C665=TRUE)*(F665-Calc!F24)))/100+(Inputs!$B$22+((C665=TRUE)*(F665-Calc!F24)))/100)/2</f>
        <v/>
      </c>
      <c r="M651">
        <f>L651*(1+(Inputs!$B$9+0+B673)/100)</f>
        <v/>
      </c>
      <c r="N651">
        <f>L651*(1-MIN((Inputs!$B$8+0+B668),100)/100)+M651*(MIN((Inputs!$B$8+0+B668),100)/100)</f>
        <v/>
      </c>
      <c r="O651">
        <f>IF(C651,H651*N651*IF(AND(Inputs!$B$4&lt;&gt;"pvp",Inputs!$B$35&gt;0),((Skills!G10*((R651-1)*IF(Skills!H10&gt;0,Skills!I10/Skills!H10,1)+IF(Skills!H10&gt;0,MIN(Skills!I10,MAX(0,Inputs!$B$35-((R651-1)*IF(Inputs!$B$4="pvp",15,MAX(0.1,Skills!D10-IF(Skills!E10=TRUE,Inputs!$B$31,0))))))/Skills!H10,1)))/Inputs!$B$35),G651*Q651)*IF(Inputs!$B$4="pvp",1,(1-Summary!$B$55)*(1)+Summary!$B$55*(MIN(Skills!R10,Inputs!$B$37))),0)</f>
        <v/>
      </c>
      <c r="P651">
        <f>IF(B676=0,0,O651/B676)</f>
        <v/>
      </c>
      <c r="Q651">
        <f>IFERROR(1/IF(Inputs!$B$4="pvp",15,MAX(0.1,Skills!D10-IF(Skills!E10=TRUE,Inputs!$B$31,0))),0)</f>
        <v/>
      </c>
      <c r="R651">
        <f>IF(AND(Inputs!$B$4&lt;&gt;"pvp",Inputs!$B$35&gt;0),(INT(Inputs!$B$35/IF(Inputs!$B$4="pvp",15,MAX(0.1,Skills!D10-IF(Skills!E10=TRUE,Inputs!$B$31,0))))+1),0)</f>
        <v/>
      </c>
      <c r="S651">
        <f>IFERROR(O651/N651,0)</f>
        <v/>
      </c>
    </row>
    <row r="652">
      <c r="A652">
        <f>Skills!A11</f>
        <v/>
      </c>
      <c r="B652">
        <f>Skills!B11</f>
        <v/>
      </c>
      <c r="C652">
        <f>Inputs!$B$3&gt;=63</f>
        <v/>
      </c>
      <c r="D652">
        <f>IF(Skills!C11=1,60+(Inputs!$B$24+1)+Inputs!$B$28,IF(Skills!C11=2,90+Inputs!$B$25+Inputs!$B$28,IF(Skills!C11=3,120+Inputs!$B$26+Inputs!$B$28,MAX(0,(Inputs!$B$3-100)*3)+Inputs!$B$27+Inputs!$B$28)))</f>
        <v/>
      </c>
      <c r="E652">
        <f>INDEX(FactorTable!$B$2:$Y$301, MATCH(ROUND(MIN(300,MAX(1,D652)),0), FactorTable!$A$2:$A$301,0), Skills!M11+1)</f>
        <v/>
      </c>
      <c r="F652">
        <f>IF(Skills!N11=TRUE,(Skills!L11/10)*(E652/1000),Skills!L11/10)+Skills!O11</f>
        <v/>
      </c>
      <c r="G652">
        <f>Skills!G11*IF(Skills!H11&gt;0,Skills!I11/Skills!H11,1)</f>
        <v/>
      </c>
      <c r="H652">
        <f>1-(1-Skills!J11/100)^Skills!K11</f>
        <v/>
      </c>
      <c r="I652" t="inlineStr">
        <is>
          <t>1</t>
        </is>
      </c>
      <c r="J652">
        <f>(Inputs!$B$5*(1+Inputs!$B$6/100))*(F652/100)</f>
        <v/>
      </c>
      <c r="K652">
        <f>J652*(1+((Inputs!$B$11*(1+Inputs!$B$12/100))*0.01+Inputs!$B$13*0.0025)/100)*(1+Inputs!$B$14/100)*(1+IF(Inputs!$B$4="pvp",0,(1-Summary!$B$55)*(Inputs!$B$19+0+Skills!P11)+Summary!$B$55*(Inputs!$B$20+Skills!Q11))/100)*(1+Inputs!$B$15/100)*(5000/(6000+Inputs!$B$7*(1-(Inputs!$B$18+0)/100)))*(1+(Inputs!$B$23+0+B674)/100)*(1+1.5*IF(C653=TRUE,F653,0)/100)*(1+(IF(Skills!A11="BLAST",Inputs!$B$16+((C662=TRUE)*(F662-Calc!F21)),Inputs!$B$17+((C664=TRUE)*(F664-Calc!F23))))/100)*((1+(((C654=TRUE)*F654*MIN(1,Skills!T13*(Skills!J13/100)*B672))+((C659=TRUE)*F659*IF(AND(Inputs!$B$4&lt;&gt;"pvp",Inputs!$B$35&gt;0),(((S659-1)*(Skills!T18*(1+Inputs!$B$33/100))+MIN((Skills!T18*(1+Inputs!$B$33/100)),MAX(0,Inputs!$B$35-((S659-1)*Skills!D18))))/Inputs!$B$35),IF(Inputs!$B$4="pvp",MIN((Skills!T18*(1+Inputs!$B$33/100)),15)/15,(Skills!T18*(1+Inputs!$B$33/100))/Skills!D18)))+0)/100)*I652)</f>
        <v/>
      </c>
      <c r="L652">
        <f>K652*(MIN(Inputs!$B$21+((C663=TRUE)*(F663-Calc!F22)),Inputs!$B$22+((C665=TRUE)*(F665-Calc!F24)))/100+(Inputs!$B$22+((C665=TRUE)*(F665-Calc!F24)))/100)/2</f>
        <v/>
      </c>
      <c r="M652">
        <f>L652*(1+(Inputs!$B$9+0+B673)/100)</f>
        <v/>
      </c>
      <c r="N652">
        <f>L652*(1-MIN((Inputs!$B$8+0+B668),100)/100)+M652*(MIN((Inputs!$B$8+0+B668),100)/100)</f>
        <v/>
      </c>
      <c r="O652">
        <f>IF(C652,H652*N652*IF(AND(Inputs!$B$4&lt;&gt;"pvp",Inputs!$B$35&gt;0),((Skills!G11*((R652-1)*IF(Skills!H11&gt;0,Skills!I11/Skills!H11,1)+IF(Skills!H11&gt;0,MIN(Skills!I11,MAX(0,Inputs!$B$35-((R652-1)*IF(Inputs!$B$4="pvp",15,MAX(0.1,Skills!D11-IF(Skills!E11=TRUE,Inputs!$B$31,0))))))/Skills!H11,1)))/Inputs!$B$35),G652*Q652)*IF(Inputs!$B$4="pvp",1,(1-Summary!$B$55)*(1)+Summary!$B$55*(MIN(Skills!R11,Inputs!$B$37))),0)</f>
        <v/>
      </c>
      <c r="P652">
        <f>IF(B676=0,0,O652/B676)</f>
        <v/>
      </c>
      <c r="Q652">
        <f>IFERROR(1/IF(Inputs!$B$4="pvp",15,MAX(0.1,Skills!D11-IF(Skills!E11=TRUE,Inputs!$B$31,0))),0)</f>
        <v/>
      </c>
      <c r="R652">
        <f>IF(AND(Inputs!$B$4&lt;&gt;"pvp",Inputs!$B$35&gt;0),(INT(Inputs!$B$35/IF(Inputs!$B$4="pvp",15,MAX(0.1,Skills!D11-IF(Skills!E11=TRUE,Inputs!$B$31,0))))+1),0)</f>
        <v/>
      </c>
      <c r="S652">
        <f>IFERROR(O652/N652,0)</f>
        <v/>
      </c>
    </row>
    <row r="653">
      <c r="A653">
        <f>Skills!A12</f>
        <v/>
      </c>
      <c r="B653">
        <f>Skills!B12</f>
        <v/>
      </c>
      <c r="C653">
        <f>Inputs!$B$3&gt;=100</f>
        <v/>
      </c>
      <c r="D653">
        <f>IF(Skills!C12=1,60+(Inputs!$B$24+1)+Inputs!$B$28,IF(Skills!C12=2,90+Inputs!$B$25+Inputs!$B$28,IF(Skills!C12=3,120+Inputs!$B$26+Inputs!$B$28,MAX(0,(Inputs!$B$3-100)*3)+Inputs!$B$27+Inputs!$B$28)))</f>
        <v/>
      </c>
      <c r="E653">
        <f>INDEX(FactorTable!$B$2:$Y$301, MATCH(ROUND(MIN(300,MAX(1,D653)),0), FactorTable!$A$2:$A$301,0), Skills!M12+1)</f>
        <v/>
      </c>
      <c r="F653">
        <f>IF(Skills!N12=TRUE,(Skills!L12/10)*(E653/1000),Skills!L12/10)+Skills!O12</f>
        <v/>
      </c>
      <c r="G653" t="inlineStr"/>
      <c r="H653" t="inlineStr"/>
      <c r="I653" t="inlineStr">
        <is>
          <t>1</t>
        </is>
      </c>
      <c r="J653" t="inlineStr"/>
      <c r="K653" t="inlineStr"/>
      <c r="L653" t="inlineStr"/>
      <c r="M653" t="inlineStr"/>
      <c r="N653" t="inlineStr"/>
      <c r="O653" t="inlineStr"/>
      <c r="P653" t="inlineStr"/>
      <c r="Q653" t="inlineStr"/>
      <c r="R653" t="inlineStr"/>
      <c r="S653" t="inlineStr"/>
    </row>
    <row r="654">
      <c r="A654">
        <f>Skills!A13</f>
        <v/>
      </c>
      <c r="B654">
        <f>Skills!B13</f>
        <v/>
      </c>
      <c r="C654">
        <f>Inputs!$B$3&gt;=45</f>
        <v/>
      </c>
      <c r="D654">
        <f>IF(Skills!C13=1,60+(Inputs!$B$24+1)+Inputs!$B$28,IF(Skills!C13=2,90+Inputs!$B$25+Inputs!$B$28,IF(Skills!C13=3,120+Inputs!$B$26+Inputs!$B$28,MAX(0,(Inputs!$B$3-100)*3)+Inputs!$B$27+Inputs!$B$28)))</f>
        <v/>
      </c>
      <c r="E654">
        <f>INDEX(FactorTable!$B$2:$Y$301, MATCH(ROUND(MIN(300,MAX(1,D654)),0), FactorTable!$A$2:$A$301,0), Skills!M13+1)</f>
        <v/>
      </c>
      <c r="F654">
        <f>IF(Skills!N13=TRUE,(Skills!L13/10)*(E654/1000),Skills!L13/10)+Skills!O13</f>
        <v/>
      </c>
      <c r="G654">
        <f>Skills!G13*IF(Skills!H13&gt;0,Skills!I13/Skills!H13,1)</f>
        <v/>
      </c>
      <c r="H654">
        <f>1-(1-Skills!J13/100)^Skills!K13</f>
        <v/>
      </c>
      <c r="I654" t="inlineStr">
        <is>
          <t>1</t>
        </is>
      </c>
      <c r="J654" t="inlineStr"/>
      <c r="K654" t="inlineStr"/>
      <c r="L654" t="inlineStr"/>
      <c r="M654" t="inlineStr"/>
      <c r="N654" t="inlineStr"/>
      <c r="O654" t="n">
        <v>0</v>
      </c>
      <c r="P654">
        <f>IF(B676=0,0,O654/B676)</f>
        <v/>
      </c>
      <c r="Q654" t="n">
        <v>0</v>
      </c>
      <c r="R654" t="n">
        <v>0</v>
      </c>
      <c r="S654">
        <f>IFERROR(O654/N654,0)</f>
        <v/>
      </c>
    </row>
    <row r="655">
      <c r="A655">
        <f>Skills!A14</f>
        <v/>
      </c>
      <c r="B655">
        <f>Skills!B14</f>
        <v/>
      </c>
      <c r="C655">
        <f>Inputs!$B$3&gt;=110</f>
        <v/>
      </c>
      <c r="D655">
        <f>IF(Skills!C14=1,60+(Inputs!$B$24+1)+Inputs!$B$28,IF(Skills!C14=2,90+Inputs!$B$25+Inputs!$B$28,IF(Skills!C14=3,120+Inputs!$B$26+Inputs!$B$28,MAX(0,(Inputs!$B$3-100)*3)+Inputs!$B$27+Inputs!$B$28)))</f>
        <v/>
      </c>
      <c r="E655">
        <f>INDEX(FactorTable!$B$2:$Y$301, MATCH(ROUND(MIN(300,MAX(1,D655)),0), FactorTable!$A$2:$A$301,0), Skills!M14+1)</f>
        <v/>
      </c>
      <c r="F655">
        <f>IF(Skills!N14=TRUE,(Skills!L14/10)*(E655/1000),Skills!L14/10)+Skills!O14</f>
        <v/>
      </c>
      <c r="G655">
        <f>Skills!G14*IF(Skills!H14&gt;0,Skills!I14/Skills!H14,1)</f>
        <v/>
      </c>
      <c r="H655">
        <f>1-(1-Skills!J14/100)^Skills!K14</f>
        <v/>
      </c>
      <c r="I655" t="inlineStr">
        <is>
          <t>1</t>
        </is>
      </c>
      <c r="J655" t="inlineStr"/>
      <c r="K655" t="inlineStr"/>
      <c r="L655" t="inlineStr"/>
      <c r="M655" t="inlineStr"/>
      <c r="N655" t="inlineStr"/>
      <c r="O655" t="n">
        <v>0</v>
      </c>
      <c r="P655">
        <f>IF(B676=0,0,O655/B676)</f>
        <v/>
      </c>
      <c r="Q655" t="n">
        <v>0</v>
      </c>
      <c r="R655" t="n">
        <v>0</v>
      </c>
      <c r="S655">
        <f>IFERROR(O655/N655,0)</f>
        <v/>
      </c>
    </row>
    <row r="656">
      <c r="A656">
        <f>Skills!A15</f>
        <v/>
      </c>
      <c r="B656">
        <f>Skills!B15</f>
        <v/>
      </c>
      <c r="C656">
        <f>Inputs!$B$3&gt;=75</f>
        <v/>
      </c>
      <c r="D656">
        <f>IF(Skills!C15=1,60+(Inputs!$B$24+1)+Inputs!$B$28,IF(Skills!C15=2,90+Inputs!$B$25+Inputs!$B$28,IF(Skills!C15=3,120+Inputs!$B$26+Inputs!$B$28,MAX(0,(Inputs!$B$3-100)*3)+Inputs!$B$27+Inputs!$B$28)))</f>
        <v/>
      </c>
      <c r="E656">
        <f>INDEX(FactorTable!$B$2:$Y$301, MATCH(ROUND(MIN(300,MAX(1,D656)),0), FactorTable!$A$2:$A$301,0), Skills!M15+1)</f>
        <v/>
      </c>
      <c r="F656">
        <f>IF(Skills!N15=TRUE,(Skills!L15/10)*(E656/1000),Skills!L15/10)+Skills!O15</f>
        <v/>
      </c>
      <c r="G656">
        <f>Skills!G15*IF(Skills!H15&gt;0,Skills!I15/Skills!H15,1)</f>
        <v/>
      </c>
      <c r="H656">
        <f>1-(1-Skills!J15/100)^Skills!K15</f>
        <v/>
      </c>
      <c r="I656" t="inlineStr">
        <is>
          <t>1</t>
        </is>
      </c>
      <c r="J656" t="inlineStr"/>
      <c r="K656" t="inlineStr"/>
      <c r="L656" t="inlineStr"/>
      <c r="M656" t="inlineStr"/>
      <c r="N656" t="inlineStr"/>
      <c r="O656" t="n">
        <v>0</v>
      </c>
      <c r="P656">
        <f>IF(B676=0,0,O656/B676)</f>
        <v/>
      </c>
      <c r="Q656">
        <f>IFERROR(1/IF(Inputs!$B$4="pvp",15,MAX(0.1,Skills!D15-IF(Skills!E15=TRUE,Inputs!$B$31,0))),0)</f>
        <v/>
      </c>
      <c r="R656">
        <f>IF(AND(Inputs!$B$4&lt;&gt;"pvp",Inputs!$B$35&gt;0),(INT(Inputs!$B$35/IF(Inputs!$B$4="pvp",15,MAX(0.1,Skills!D15-IF(Skills!E15=TRUE,Inputs!$B$31,0))))+1),0)</f>
        <v/>
      </c>
      <c r="S656">
        <f>IFERROR(O656/N656,0)</f>
        <v/>
      </c>
    </row>
    <row r="657">
      <c r="A657">
        <f>Skills!A16</f>
        <v/>
      </c>
      <c r="B657">
        <f>Skills!B16</f>
        <v/>
      </c>
      <c r="C657">
        <f>Inputs!$B$3&gt;=105</f>
        <v/>
      </c>
      <c r="D657">
        <f>IF(Skills!C16=1,60+(Inputs!$B$24+1)+Inputs!$B$28,IF(Skills!C16=2,90+Inputs!$B$25+Inputs!$B$28,IF(Skills!C16=3,120+Inputs!$B$26+Inputs!$B$28,MAX(0,(Inputs!$B$3-100)*3)+Inputs!$B$27+Inputs!$B$28)))</f>
        <v/>
      </c>
      <c r="E657">
        <f>INDEX(FactorTable!$B$2:$Y$301, MATCH(ROUND(MIN(300,MAX(1,D657)),0), FactorTable!$A$2:$A$301,0), Skills!M16+1)</f>
        <v/>
      </c>
      <c r="F657">
        <f>IF(Skills!N16=TRUE,(Skills!L16/10)*(E657/1000),Skills!L16/10)+Skills!O16</f>
        <v/>
      </c>
      <c r="G657">
        <f>Skills!G16*IF(Skills!H16&gt;0,Skills!I16/Skills!H16,1)</f>
        <v/>
      </c>
      <c r="H657">
        <f>1-(1-Skills!J16/100)^Skills!K16</f>
        <v/>
      </c>
      <c r="I657" t="inlineStr">
        <is>
          <t>1</t>
        </is>
      </c>
      <c r="J657" t="inlineStr"/>
      <c r="K657" t="inlineStr"/>
      <c r="L657" t="inlineStr"/>
      <c r="M657" t="inlineStr"/>
      <c r="N657" t="inlineStr"/>
      <c r="O657" t="n">
        <v>0</v>
      </c>
      <c r="P657">
        <f>IF(B676=0,0,O657/B676)</f>
        <v/>
      </c>
      <c r="Q657">
        <f>IFERROR(1/IF(Inputs!$B$4="pvp",15,MAX(0.1,Skills!D16-IF(Skills!E16=TRUE,Inputs!$B$31,0))),0)</f>
        <v/>
      </c>
      <c r="R657">
        <f>IF(AND(Inputs!$B$4&lt;&gt;"pvp",Inputs!$B$35&gt;0),(INT(Inputs!$B$35/IF(Inputs!$B$4="pvp",15,MAX(0.1,Skills!D16-IF(Skills!E16=TRUE,Inputs!$B$31,0))))+1),0)</f>
        <v/>
      </c>
      <c r="S657">
        <f>IFERROR(O657/N657,0)</f>
        <v/>
      </c>
    </row>
    <row r="658">
      <c r="A658">
        <f>Skills!A17</f>
        <v/>
      </c>
      <c r="B658">
        <f>Skills!B17</f>
        <v/>
      </c>
      <c r="C658">
        <f>Inputs!$B$3&gt;=115</f>
        <v/>
      </c>
      <c r="D658">
        <f>IF(Skills!C17=1,60+(Inputs!$B$24+1)+Inputs!$B$28,IF(Skills!C17=2,90+Inputs!$B$25+Inputs!$B$28,IF(Skills!C17=3,120+Inputs!$B$26+Inputs!$B$28,MAX(0,(Inputs!$B$3-100)*3)+Inputs!$B$27+Inputs!$B$28)))</f>
        <v/>
      </c>
      <c r="E658">
        <f>INDEX(FactorTable!$B$2:$Y$301, MATCH(ROUND(MIN(300,MAX(1,D658)),0), FactorTable!$A$2:$A$301,0), Skills!M17+1)</f>
        <v/>
      </c>
      <c r="F658">
        <f>IF(Skills!N17=TRUE,(Skills!L17/10)*(E658/1000),Skills!L17/10)+Skills!O17</f>
        <v/>
      </c>
      <c r="G658">
        <f>Skills!G17*IF(Skills!H17&gt;0,Skills!I17/Skills!H17,1)</f>
        <v/>
      </c>
      <c r="H658">
        <f>1-(1-Skills!J17/100)^Skills!K17</f>
        <v/>
      </c>
      <c r="I658" t="inlineStr">
        <is>
          <t>1</t>
        </is>
      </c>
      <c r="J658" t="inlineStr"/>
      <c r="K658" t="inlineStr"/>
      <c r="L658" t="inlineStr"/>
      <c r="M658" t="inlineStr"/>
      <c r="N658" t="inlineStr"/>
      <c r="O658" t="n">
        <v>0</v>
      </c>
      <c r="P658">
        <f>IF(B676=0,0,O658/B676)</f>
        <v/>
      </c>
      <c r="Q658">
        <f>IFERROR(1/IF(Inputs!$B$4="pvp",15,MAX(0.1,Skills!D17-IF(Skills!E17=TRUE,Inputs!$B$31,0))),0)</f>
        <v/>
      </c>
      <c r="R658">
        <f>IF(AND(Inputs!$B$4&lt;&gt;"pvp",Inputs!$B$35&gt;0),(INT(Inputs!$B$35/IF(Inputs!$B$4="pvp",15,MAX(0.1,Skills!D17-IF(Skills!E17=TRUE,Inputs!$B$31,0))))+1),0)</f>
        <v/>
      </c>
      <c r="S658">
        <f>IFERROR(O658/N658,0)</f>
        <v/>
      </c>
    </row>
    <row r="659">
      <c r="A659">
        <f>Skills!A18</f>
        <v/>
      </c>
      <c r="B659">
        <f>Skills!B18</f>
        <v/>
      </c>
      <c r="C659">
        <f>Inputs!$B$3&gt;=74</f>
        <v/>
      </c>
      <c r="D659">
        <f>IF(Skills!C18=1,60+(Inputs!$B$24+1)+Inputs!$B$28,IF(Skills!C18=2,90+Inputs!$B$25+Inputs!$B$28,IF(Skills!C18=3,120+Inputs!$B$26+Inputs!$B$28,MAX(0,(Inputs!$B$3-100)*3)+Inputs!$B$27+Inputs!$B$28)))</f>
        <v/>
      </c>
      <c r="E659">
        <f>INDEX(FactorTable!$B$2:$Y$301, MATCH(ROUND(MIN(300,MAX(1,D659)),0), FactorTable!$A$2:$A$301,0), Skills!M18+1)</f>
        <v/>
      </c>
      <c r="F659">
        <f>IF(Skills!N18=TRUE,(Skills!L18/10)*(E659/1000),Skills!L18/10)+Skills!O18</f>
        <v/>
      </c>
      <c r="G659">
        <f>Skills!G18*IF(Skills!H18&gt;0,Skills!I18/Skills!H18,1)</f>
        <v/>
      </c>
      <c r="H659">
        <f>1-(1-Skills!J18/100)^Skills!K18</f>
        <v/>
      </c>
      <c r="I659" t="inlineStr">
        <is>
          <t>1</t>
        </is>
      </c>
      <c r="J659" t="inlineStr"/>
      <c r="K659" t="inlineStr"/>
      <c r="L659" t="inlineStr"/>
      <c r="M659" t="inlineStr"/>
      <c r="N659" t="inlineStr"/>
      <c r="O659" t="n">
        <v>0</v>
      </c>
      <c r="P659">
        <f>IF(B676=0,0,O659/B676)</f>
        <v/>
      </c>
      <c r="Q659">
        <f>IFERROR(1/IF(Inputs!$B$4="pvp",15,MAX(0.1,Skills!D18-IF(Skills!E18=TRUE,Inputs!$B$31,0))),0)</f>
        <v/>
      </c>
      <c r="R659">
        <f>IF(AND(Inputs!$B$4&lt;&gt;"pvp",Inputs!$B$35&gt;0),(INT(Inputs!$B$35/IF(Inputs!$B$4="pvp",15,MAX(0.1,Skills!D18-IF(Skills!E18=TRUE,Inputs!$B$31,0))))+1),0)</f>
        <v/>
      </c>
      <c r="S659">
        <f>IFERROR(O659/N659,0)</f>
        <v/>
      </c>
    </row>
    <row r="660">
      <c r="A660">
        <f>Skills!A19</f>
        <v/>
      </c>
      <c r="B660">
        <f>Skills!B19</f>
        <v/>
      </c>
      <c r="C660">
        <f>TRUE</f>
        <v/>
      </c>
      <c r="D660">
        <f>IF(Skills!C19=1,60+(Inputs!$B$24+1)+Inputs!$B$28,IF(Skills!C19=2,90+Inputs!$B$25+Inputs!$B$28,IF(Skills!C19=3,120+Inputs!$B$26+Inputs!$B$28,MAX(0,(Inputs!$B$3-100)*3)+Inputs!$B$27+Inputs!$B$28)))</f>
        <v/>
      </c>
      <c r="E660">
        <f>INDEX(FactorTable!$B$2:$Y$301, MATCH(ROUND(MIN(300,MAX(1,D660)),0), FactorTable!$A$2:$A$301,0), Skills!M19+1)</f>
        <v/>
      </c>
      <c r="F660">
        <f>IF(Skills!N19=TRUE,(Skills!L19/10)*(E660/1000),Skills!L19/10)+Skills!O19</f>
        <v/>
      </c>
      <c r="G660">
        <f>Skills!G19*IF(Skills!H19&gt;0,Skills!I19/Skills!H19,1)</f>
        <v/>
      </c>
      <c r="H660">
        <f>1-(1-Skills!J19/100)^Skills!K19</f>
        <v/>
      </c>
      <c r="I660" t="inlineStr">
        <is>
          <t>1</t>
        </is>
      </c>
      <c r="J660" t="inlineStr"/>
      <c r="K660" t="inlineStr"/>
      <c r="L660" t="inlineStr"/>
      <c r="M660" t="inlineStr"/>
      <c r="N660" t="inlineStr"/>
      <c r="O660" t="n">
        <v>0</v>
      </c>
      <c r="P660">
        <f>IF(B676=0,0,O660/B676)</f>
        <v/>
      </c>
      <c r="Q660">
        <f>IFERROR(1/IF(Inputs!$B$4="pvp",15,MAX(0.1,Skills!D19-IF(Skills!E19=TRUE,Inputs!$B$31,0))),0)</f>
        <v/>
      </c>
      <c r="R660">
        <f>IF(AND(Inputs!$B$4&lt;&gt;"pvp",Inputs!$B$35&gt;0),(INT(Inputs!$B$35/IF(Inputs!$B$4="pvp",15,MAX(0.1,Skills!D19-IF(Skills!E19=TRUE,Inputs!$B$31,0))))+1),0)</f>
        <v/>
      </c>
      <c r="S660">
        <f>IFERROR(O660/N660,0)</f>
        <v/>
      </c>
    </row>
    <row r="661">
      <c r="A661">
        <f>Skills!A20</f>
        <v/>
      </c>
      <c r="B661">
        <f>Skills!B20</f>
        <v/>
      </c>
      <c r="C661">
        <f>Inputs!$B$3&gt;=33</f>
        <v/>
      </c>
      <c r="D661">
        <f>IF(Skills!C20=1,60+(Inputs!$B$24+1)+Inputs!$B$28,IF(Skills!C20=2,90+Inputs!$B$25+Inputs!$B$28,IF(Skills!C20=3,120+Inputs!$B$26+Inputs!$B$28,MAX(0,(Inputs!$B$3-100)*3)+Inputs!$B$27+Inputs!$B$28)))</f>
        <v/>
      </c>
      <c r="E661">
        <f>INDEX(FactorTable!$B$2:$Y$301, MATCH(ROUND(MIN(300,MAX(1,D661)),0), FactorTable!$A$2:$A$301,0), Skills!M20+1)</f>
        <v/>
      </c>
      <c r="F661">
        <f>IF(Skills!N20=TRUE,(Skills!L20/10)*(E661/1000),Skills!L20/10)+Skills!O20</f>
        <v/>
      </c>
      <c r="G661">
        <f>Skills!G20*IF(Skills!H20&gt;0,Skills!I20/Skills!H20,1)</f>
        <v/>
      </c>
      <c r="H661">
        <f>1-(1-Skills!J20/100)^Skills!K20</f>
        <v/>
      </c>
      <c r="I661" t="inlineStr">
        <is>
          <t>1</t>
        </is>
      </c>
      <c r="J661" t="inlineStr"/>
      <c r="K661" t="inlineStr"/>
      <c r="L661" t="inlineStr"/>
      <c r="M661" t="inlineStr"/>
      <c r="N661" t="inlineStr"/>
      <c r="O661" t="n">
        <v>0</v>
      </c>
      <c r="P661">
        <f>IF(B676=0,0,O661/B676)</f>
        <v/>
      </c>
      <c r="Q661" t="n">
        <v>0</v>
      </c>
      <c r="R661" t="n">
        <v>0</v>
      </c>
      <c r="S661">
        <f>IFERROR(O661/N661,0)</f>
        <v/>
      </c>
    </row>
    <row r="662">
      <c r="A662">
        <f>Skills!A21</f>
        <v/>
      </c>
      <c r="B662">
        <f>Skills!B21</f>
        <v/>
      </c>
      <c r="C662">
        <f>Inputs!$B$3&gt;=38</f>
        <v/>
      </c>
      <c r="D662">
        <f>IF(Skills!C21=1,60+(Inputs!$B$24+1)+Inputs!$B$28,IF(Skills!C21=2,90+Inputs!$B$25+Inputs!$B$28,IF(Skills!C21=3,120+Inputs!$B$26+Inputs!$B$28,MAX(0,(Inputs!$B$3-100)*3)+Inputs!$B$27+Inputs!$B$28)))</f>
        <v/>
      </c>
      <c r="E662">
        <f>INDEX(FactorTable!$B$2:$Y$301, MATCH(ROUND(MIN(300,MAX(1,D662)),0), FactorTable!$A$2:$A$301,0), Skills!M21+1)</f>
        <v/>
      </c>
      <c r="F662">
        <f>IF(Skills!N21=TRUE,(Skills!L21/10)*(E662/1000),Skills!L21/10)+Skills!O21</f>
        <v/>
      </c>
      <c r="G662">
        <f>Skills!G21*IF(Skills!H21&gt;0,Skills!I21/Skills!H21,1)</f>
        <v/>
      </c>
      <c r="H662">
        <f>1-(1-Skills!J21/100)^Skills!K21</f>
        <v/>
      </c>
      <c r="I662" t="inlineStr">
        <is>
          <t>1</t>
        </is>
      </c>
      <c r="J662" t="inlineStr"/>
      <c r="K662" t="inlineStr"/>
      <c r="L662" t="inlineStr"/>
      <c r="M662" t="inlineStr"/>
      <c r="N662" t="inlineStr"/>
      <c r="O662" t="n">
        <v>0</v>
      </c>
      <c r="P662">
        <f>IF(B676=0,0,O662/B676)</f>
        <v/>
      </c>
      <c r="Q662" t="n">
        <v>0</v>
      </c>
      <c r="R662" t="n">
        <v>0</v>
      </c>
      <c r="S662">
        <f>IFERROR(O662/N662,0)</f>
        <v/>
      </c>
    </row>
    <row r="663">
      <c r="A663">
        <f>Skills!A22</f>
        <v/>
      </c>
      <c r="B663">
        <f>Skills!B22</f>
        <v/>
      </c>
      <c r="C663">
        <f>Inputs!$B$3&gt;=43</f>
        <v/>
      </c>
      <c r="D663">
        <f>IF(Skills!C22=1,60+(Inputs!$B$24+1)+Inputs!$B$28,IF(Skills!C22=2,90+Inputs!$B$25+Inputs!$B$28,IF(Skills!C22=3,120+Inputs!$B$26+Inputs!$B$28,MAX(0,(Inputs!$B$3-100)*3)+Inputs!$B$27+Inputs!$B$28)))</f>
        <v/>
      </c>
      <c r="E663">
        <f>INDEX(FactorTable!$B$2:$Y$301, MATCH(ROUND(MIN(300,MAX(1,D663)),0), FactorTable!$A$2:$A$301,0), Skills!M22+1)</f>
        <v/>
      </c>
      <c r="F663">
        <f>IF(Skills!N22=TRUE,(Skills!L22/10)*(E663/1000),Skills!L22/10)+Skills!O22</f>
        <v/>
      </c>
      <c r="G663">
        <f>Skills!G22*IF(Skills!H22&gt;0,Skills!I22/Skills!H22,1)</f>
        <v/>
      </c>
      <c r="H663">
        <f>1-(1-Skills!J22/100)^Skills!K22</f>
        <v/>
      </c>
      <c r="I663" t="inlineStr">
        <is>
          <t>1</t>
        </is>
      </c>
      <c r="J663" t="inlineStr"/>
      <c r="K663" t="inlineStr"/>
      <c r="L663" t="inlineStr"/>
      <c r="M663" t="inlineStr"/>
      <c r="N663" t="inlineStr"/>
      <c r="O663" t="n">
        <v>0</v>
      </c>
      <c r="P663">
        <f>IF(B676=0,0,O663/B676)</f>
        <v/>
      </c>
      <c r="Q663" t="n">
        <v>0</v>
      </c>
      <c r="R663" t="n">
        <v>0</v>
      </c>
      <c r="S663">
        <f>IFERROR(O663/N663,0)</f>
        <v/>
      </c>
    </row>
    <row r="664">
      <c r="A664">
        <f>Skills!A23</f>
        <v/>
      </c>
      <c r="B664">
        <f>Skills!B23</f>
        <v/>
      </c>
      <c r="C664">
        <f>Inputs!$B$3&gt;=120</f>
        <v/>
      </c>
      <c r="D664">
        <f>IF(Skills!C23=1,60+(Inputs!$B$24+1)+Inputs!$B$28,IF(Skills!C23=2,90+Inputs!$B$25+Inputs!$B$28,IF(Skills!C23=3,120+Inputs!$B$26+Inputs!$B$28,MAX(0,(Inputs!$B$3-100)*3)+Inputs!$B$27+Inputs!$B$28)))</f>
        <v/>
      </c>
      <c r="E664">
        <f>INDEX(FactorTable!$B$2:$Y$301, MATCH(ROUND(MIN(300,MAX(1,D664)),0), FactorTable!$A$2:$A$301,0), Skills!M23+1)</f>
        <v/>
      </c>
      <c r="F664">
        <f>IF(Skills!N23=TRUE,(Skills!L23/10)*(E664/1000),Skills!L23/10)+Skills!O23</f>
        <v/>
      </c>
      <c r="G664">
        <f>Skills!G23*IF(Skills!H23&gt;0,Skills!I23/Skills!H23,1)</f>
        <v/>
      </c>
      <c r="H664">
        <f>1-(1-Skills!J23/100)^Skills!K23</f>
        <v/>
      </c>
      <c r="I664" t="inlineStr">
        <is>
          <t>1</t>
        </is>
      </c>
      <c r="J664" t="inlineStr"/>
      <c r="K664" t="inlineStr"/>
      <c r="L664" t="inlineStr"/>
      <c r="M664" t="inlineStr"/>
      <c r="N664" t="inlineStr"/>
      <c r="O664" t="n">
        <v>0</v>
      </c>
      <c r="P664">
        <f>IF(B676=0,0,O664/B676)</f>
        <v/>
      </c>
      <c r="Q664" t="n">
        <v>0</v>
      </c>
      <c r="R664" t="n">
        <v>0</v>
      </c>
      <c r="S664">
        <f>IFERROR(O664/N664,0)</f>
        <v/>
      </c>
    </row>
    <row r="665">
      <c r="A665">
        <f>Skills!A24</f>
        <v/>
      </c>
      <c r="B665">
        <f>Skills!B24</f>
        <v/>
      </c>
      <c r="C665">
        <f>Inputs!$B$3&gt;=120</f>
        <v/>
      </c>
      <c r="D665">
        <f>IF(Skills!C24=1,60+(Inputs!$B$24+1)+Inputs!$B$28,IF(Skills!C24=2,90+Inputs!$B$25+Inputs!$B$28,IF(Skills!C24=3,120+Inputs!$B$26+Inputs!$B$28,MAX(0,(Inputs!$B$3-100)*3)+Inputs!$B$27+Inputs!$B$28)))</f>
        <v/>
      </c>
      <c r="E665">
        <f>INDEX(FactorTable!$B$2:$Y$301, MATCH(ROUND(MIN(300,MAX(1,D665)),0), FactorTable!$A$2:$A$301,0), Skills!M24+1)</f>
        <v/>
      </c>
      <c r="F665">
        <f>IF(Skills!N24=TRUE,(Skills!L24/10)*(E665/1000),Skills!L24/10)+Skills!O24</f>
        <v/>
      </c>
      <c r="G665">
        <f>Skills!G24*IF(Skills!H24&gt;0,Skills!I24/Skills!H24,1)</f>
        <v/>
      </c>
      <c r="H665">
        <f>1-(1-Skills!J24/100)^Skills!K24</f>
        <v/>
      </c>
      <c r="I665" t="inlineStr">
        <is>
          <t>1</t>
        </is>
      </c>
      <c r="J665" t="inlineStr"/>
      <c r="K665" t="inlineStr"/>
      <c r="L665" t="inlineStr"/>
      <c r="M665" t="inlineStr"/>
      <c r="N665" t="inlineStr"/>
      <c r="O665" t="n">
        <v>0</v>
      </c>
      <c r="P665">
        <f>IF(B676=0,0,O665/B676)</f>
        <v/>
      </c>
      <c r="Q665" t="n">
        <v>0</v>
      </c>
      <c r="R665" t="n">
        <v>0</v>
      </c>
      <c r="S665">
        <f>IFERROR(O665/N665,0)</f>
        <v/>
      </c>
    </row>
    <row r="667">
      <c r="A667" t="inlineStr">
        <is>
          <t>Attack% Bucket Multiplier</t>
        </is>
      </c>
      <c r="B667">
        <f>(1+(((C654=TRUE)*F654*MIN(1,Skills!T13*(Skills!J13/100)*B672))+((C659=TRUE)*F659*IF(AND(Inputs!$B$4&lt;&gt;"pvp",Inputs!$B$35&gt;0),(((S659-1)*(Skills!T18*(1+Inputs!$B$33/100))+MIN((Skills!T18*(1+Inputs!$B$33/100)),MAX(0,Inputs!$B$35-((S659-1)*Skills!D18))))/Inputs!$B$35),IF(Inputs!$B$4="pvp",MIN((Skills!T18*(1+Inputs!$B$33/100)),15)/15,(Skills!T18*(1+Inputs!$B$33/100))/Skills!D18)))+0)/100)</f>
        <v/>
      </c>
    </row>
    <row r="668">
      <c r="A668" t="inlineStr">
        <is>
          <t>Global Crit Rate Bonus %</t>
        </is>
      </c>
      <c r="B668" t="n">
        <v>0</v>
      </c>
    </row>
    <row r="669">
      <c r="A669" t="inlineStr">
        <is>
          <t>Attack Speed Buff Bonus %</t>
        </is>
      </c>
      <c r="B669">
        <f>((C660=TRUE)*F660*IF(AND(Inputs!$B$4&lt;&gt;"pvp",Inputs!$B$35&gt;0),(((S660-1)*(Skills!T19*(1+Inputs!$B$33/100))+MIN((Skills!T19*(1+Inputs!$B$33/100)),MAX(0,Inputs!$B$35-((S660-1)*Skills!D19))))/Inputs!$B$35),IF(Inputs!$B$4="pvp",MIN((Skills!T19*(1+Inputs!$B$33/100)),15)/15,(Skills!T19*(1+Inputs!$B$33/100))/Skills!D19)))</f>
        <v/>
      </c>
    </row>
    <row r="670">
      <c r="A670" t="inlineStr">
        <is>
          <t>Actions Per Second</t>
        </is>
      </c>
      <c r="B670">
        <f>1+MIN(150,150*(1-(1-(Inputs!$B$10+((C661=TRUE)*(F661-Calc!F20)))/150)*(1-B669/150)))/100</f>
        <v/>
      </c>
    </row>
    <row r="671">
      <c r="A671" t="inlineStr">
        <is>
          <t>Skill + Buff Cast Rate</t>
        </is>
      </c>
      <c r="B671">
        <f>IF(AND(Inputs!$B$4&lt;&gt;"pvp",Inputs!$B$35&gt;0),SUMPRODUCT((Skills!E2:E24=TRUE)*(C643:C665=TRUE)*R643:R665*Skills!F2:F24)/Inputs!$B$35,SUMPRODUCT((Skills!E2:E24=TRUE)*(C643:C665=TRUE)*Q643:Q665*Skills!F2:F24))</f>
        <v/>
      </c>
    </row>
    <row r="672">
      <c r="A672" t="inlineStr">
        <is>
          <t>Blast Casts Per Second</t>
        </is>
      </c>
      <c r="B672">
        <f>MAX(0,B670-B671)</f>
        <v/>
      </c>
    </row>
    <row r="673">
      <c r="A673" t="inlineStr">
        <is>
          <t>Global Critical Damage Bonus % (unused)</t>
        </is>
      </c>
      <c r="B673" t="n">
        <v>0</v>
      </c>
    </row>
    <row r="674">
      <c r="A674" t="inlineStr">
        <is>
          <t>Global Final Damage Bonus % (Divine Shield + Guardian + Divine Blessing + Greater Vessel of Light)</t>
        </is>
      </c>
      <c r="B674">
        <f>((C656=TRUE)*F656*IF(AND(Inputs!$B$4&lt;&gt;"pvp",Inputs!$B$35&gt;0),(((S656-1)*(Skills!T15*(1+Inputs!$B$33/100))+MIN((Skills!T15*(1+Inputs!$B$33/100)),MAX(0,Inputs!$B$35-((S656-1)*Skills!D15))))/Inputs!$B$35),IF(Inputs!$B$4="pvp",MIN((Skills!T15*(1+Inputs!$B$33/100)),15)/15,(Skills!T15*(1+Inputs!$B$33/100))/Skills!D15)))+((C657=TRUE)*F657*IF(AND(Inputs!$B$4&lt;&gt;"pvp",Inputs!$B$35&gt;0),(((S657-1)*(Skills!T16*(1+Inputs!$B$33/100))+MIN((Skills!T16*(1+Inputs!$B$33/100)),MAX(0,Inputs!$B$35-((S657-1)*Skills!D16))))/Inputs!$B$35),IF(Inputs!$B$4="pvp",MIN((Skills!T16*(1+Inputs!$B$33/100)),15)/15,(Skills!T16*(1+Inputs!$B$33/100))/Skills!D16)))+((C658=TRUE)*F658*IF(AND(Inputs!$B$4&lt;&gt;"pvp",Inputs!$B$35&gt;0),(((S658-1)*(Skills!T17*(1+Inputs!$B$33/100))+MIN((Skills!T17*(1+Inputs!$B$33/100)),MAX(0,Inputs!$B$35-((S658-1)*Skills!D17))))/Inputs!$B$35),IF(Inputs!$B$4="pvp",MIN((Skills!T17*(1+Inputs!$B$33/100)),15)/15,(Skills!T17*(1+Inputs!$B$33/100))/Skills!D17)))+((C655=TRUE)*F655*MIN(1,Skills!T13*(Skills!J13/100)*B672))</f>
        <v/>
      </c>
    </row>
    <row r="676">
      <c r="A676" s="5" t="inlineStr">
        <is>
          <t>TOTAL DPS</t>
        </is>
      </c>
      <c r="B676" s="5">
        <f>SUM(O643:O665)</f>
        <v/>
      </c>
    </row>
    <row r="679">
      <c r="A679" s="5" t="inlineStr">
        <is>
          <t>Stat: Skill Level Bonus — 2nd Job</t>
        </is>
      </c>
    </row>
    <row r="680">
      <c r="A680" s="8" t="inlineStr">
        <is>
          <t>Key</t>
        </is>
      </c>
      <c r="B680" s="8" t="inlineStr">
        <is>
          <t>Name</t>
        </is>
      </c>
      <c r="C680" s="8" t="inlineStr">
        <is>
          <t>Unlocked</t>
        </is>
      </c>
      <c r="D680" s="8" t="inlineStr">
        <is>
          <t>InputLevel</t>
        </is>
      </c>
      <c r="E680" s="8" t="inlineStr">
        <is>
          <t>Factor</t>
        </is>
      </c>
      <c r="F680" s="8" t="inlineStr">
        <is>
          <t>CoefficientPercent</t>
        </is>
      </c>
      <c r="G680" s="8" t="inlineStr">
        <is>
          <t>EffectiveHits</t>
        </is>
      </c>
      <c r="H680" s="8" t="inlineStr">
        <is>
          <t>ProcProbability</t>
        </is>
      </c>
      <c r="I680" s="8" t="inlineStr">
        <is>
          <t>MapleHeroMultiplier</t>
        </is>
      </c>
      <c r="J680" s="8" t="inlineStr">
        <is>
          <t>BaseDamage</t>
        </is>
      </c>
      <c r="K680" s="8" t="inlineStr">
        <is>
          <t>BaseHitDamage</t>
        </is>
      </c>
      <c r="L680" s="8" t="inlineStr">
        <is>
          <t>NonCritAvg</t>
        </is>
      </c>
      <c r="M680" s="8" t="inlineStr">
        <is>
          <t>CritAvg</t>
        </is>
      </c>
      <c r="N680" s="8" t="inlineStr">
        <is>
          <t>ExpectedDamage(perHit)</t>
        </is>
      </c>
      <c r="O680" s="8" t="inlineStr">
        <is>
          <t>DPS</t>
        </is>
      </c>
      <c r="P680" s="8" t="inlineStr">
        <is>
          <t>% of Total</t>
        </is>
      </c>
      <c r="Q680" s="8" t="inlineStr">
        <is>
          <t>InvCooldown</t>
        </is>
      </c>
      <c r="R680" s="8" t="inlineStr">
        <is>
          <t>CastsInFight</t>
        </is>
      </c>
      <c r="S680" s="8" t="inlineStr">
        <is>
          <t>HitRate(perSec)</t>
        </is>
      </c>
      <c r="U680" t="inlineStr">
        <is>
          <t>helpers</t>
        </is>
      </c>
    </row>
    <row r="681">
      <c r="A681">
        <f>Skills!A2</f>
        <v/>
      </c>
      <c r="B681">
        <f>Skills!B2</f>
        <v/>
      </c>
      <c r="C681">
        <f>Inputs!$B$3&gt;=100</f>
        <v/>
      </c>
      <c r="D681" t="inlineStr"/>
      <c r="E681" t="inlineStr"/>
      <c r="F681">
        <f>U683+Skills!O2</f>
        <v/>
      </c>
      <c r="G681">
        <f>Skills!G2*IF(Skills!H2&gt;0,Skills!I2/Skills!H2,1)</f>
        <v/>
      </c>
      <c r="H681">
        <f>1-(1-Skills!J2/100)^Skills!K2</f>
        <v/>
      </c>
      <c r="I681" t="inlineStr">
        <is>
          <t>1</t>
        </is>
      </c>
      <c r="J681">
        <f>(Inputs!$B$5*(1+Inputs!$B$6/100))*(F681/100)</f>
        <v/>
      </c>
      <c r="K681">
        <f>J681*(1+((Inputs!$B$11*(1+Inputs!$B$12/100))*0.01+Inputs!$B$13*0.0025)/100)*(1+Inputs!$B$14/100)*(1+IF(Inputs!$B$4="pvp",0,(1-Summary!$B$55)*(Inputs!$B$19+0+Skills!P2)+Summary!$B$55*(Inputs!$B$20+Skills!Q2))/100)*(1+Inputs!$B$15/100)*(5000/(6000+Inputs!$B$7*(1-(Inputs!$B$18+0)/100)))*(1+(Inputs!$B$23+0+B712)/100)*(1+(IF(Skills!A2="BLAST",Inputs!$B$16+((C700=TRUE)*(F700-Calc!F21)),Inputs!$B$17+((C702=TRUE)*(F702-Calc!F23))))/100)*((1+(((C692=TRUE)*F692*MIN(1,Skills!T13*(Skills!J13/100)*B710))+((C697=TRUE)*F697*IF(AND(Inputs!$B$4&lt;&gt;"pvp",Inputs!$B$35&gt;0),(((S697-1)*(Skills!T18*(1+Inputs!$B$33/100))+MIN((Skills!T18*(1+Inputs!$B$33/100)),MAX(0,Inputs!$B$35-((S697-1)*Skills!D18))))/Inputs!$B$35),IF(Inputs!$B$4="pvp",MIN((Skills!T18*(1+Inputs!$B$33/100)),15)/15,(Skills!T18*(1+Inputs!$B$33/100))/Skills!D18)))+0)/100)*I681)</f>
        <v/>
      </c>
      <c r="L681">
        <f>K681*(MIN(Inputs!$B$21+((C701=TRUE)*(F701-Calc!F22)),Inputs!$B$22+((C703=TRUE)*(F703-Calc!F24)))/100+(Inputs!$B$22+((C703=TRUE)*(F703-Calc!F24)))/100)/2</f>
        <v/>
      </c>
      <c r="M681">
        <f>L681*(1+(Inputs!$B$9+0+B711)/100)</f>
        <v/>
      </c>
      <c r="N681">
        <f>L681*(1-MIN((Inputs!$B$8+0+B706),100)/100)+M681*(MIN((Inputs!$B$8+0+B706),100)/100)</f>
        <v/>
      </c>
      <c r="O681">
        <f>IF(C681,Skills!G2*N681*B710*IF(Inputs!$B$4="pvp",1,(1-Summary!$B$55)*(1)+Summary!$B$55*(MIN((6+Inputs!$B$32),Inputs!$B$37))),0)</f>
        <v/>
      </c>
      <c r="P681">
        <f>IF(B714=0,0,O681/B714)</f>
        <v/>
      </c>
      <c r="Q681" t="n">
        <v>0</v>
      </c>
      <c r="R681" t="n">
        <v>0</v>
      </c>
      <c r="S681">
        <f>IFERROR(O681/N681,0)</f>
        <v/>
      </c>
      <c r="U681">
        <f>MAX(0,(Inputs!$B$3-100)*3)+Inputs!$B$27+Inputs!$B$28</f>
        <v/>
      </c>
    </row>
    <row r="682">
      <c r="A682">
        <f>Skills!A3</f>
        <v/>
      </c>
      <c r="B682">
        <f>Skills!B3</f>
        <v/>
      </c>
      <c r="C682">
        <f>Inputs!$B$3&gt;=50</f>
        <v/>
      </c>
      <c r="D682">
        <f>IF(Skills!C3=1,60+Inputs!$B$24+Inputs!$B$28,IF(Skills!C3=2,90+(Inputs!$B$25+1)+Inputs!$B$28,IF(Skills!C3=3,120+Inputs!$B$26+Inputs!$B$28,MAX(0,(Inputs!$B$3-100)*3)+Inputs!$B$27+Inputs!$B$28)))</f>
        <v/>
      </c>
      <c r="E682">
        <f>INDEX(FactorTable!$B$2:$Y$301, MATCH(ROUND(MIN(300,MAX(1,D682)),0), FactorTable!$A$2:$A$301,0), Skills!M3+1)</f>
        <v/>
      </c>
      <c r="F682">
        <f>IF(Skills!N3=TRUE,(Skills!L3/10)*(E682/1000),Skills!L3/10)+Skills!O3</f>
        <v/>
      </c>
      <c r="G682" t="inlineStr"/>
      <c r="H682" t="inlineStr"/>
      <c r="I682" t="inlineStr">
        <is>
          <t>1</t>
        </is>
      </c>
      <c r="J682" t="inlineStr"/>
      <c r="K682" t="inlineStr"/>
      <c r="L682" t="inlineStr"/>
      <c r="M682" t="inlineStr"/>
      <c r="N682" t="inlineStr"/>
      <c r="O682" t="inlineStr"/>
      <c r="P682" t="inlineStr"/>
      <c r="Q682" t="inlineStr"/>
      <c r="R682" t="inlineStr"/>
      <c r="S682" t="inlineStr"/>
      <c r="U682">
        <f>INDEX(FactorTable!$B$2:$Y$301, MATCH(ROUND(MIN(300,MAX(1,U681)),0), FactorTable!$A$2:$A$301,0), 22)</f>
        <v/>
      </c>
    </row>
    <row r="683">
      <c r="A683">
        <f>Skills!A4</f>
        <v/>
      </c>
      <c r="B683">
        <f>Skills!B4</f>
        <v/>
      </c>
      <c r="C683">
        <f>Inputs!$B$3&gt;=35</f>
        <v/>
      </c>
      <c r="D683">
        <f>IF(Skills!C4=1,60+Inputs!$B$24+Inputs!$B$28,IF(Skills!C4=2,90+(Inputs!$B$25+1)+Inputs!$B$28,IF(Skills!C4=3,120+Inputs!$B$26+Inputs!$B$28,MAX(0,(Inputs!$B$3-100)*3)+Inputs!$B$27+Inputs!$B$28)))</f>
        <v/>
      </c>
      <c r="E683">
        <f>INDEX(FactorTable!$B$2:$Y$301, MATCH(ROUND(MIN(300,MAX(1,D683)),0), FactorTable!$A$2:$A$301,0), Skills!M4+1)</f>
        <v/>
      </c>
      <c r="F683">
        <f>IF(Skills!N4=TRUE,(Skills!L4/10)*(E683/1000),Skills!L4/10)+Skills!O4</f>
        <v/>
      </c>
      <c r="G683">
        <f>Skills!G4*IF(Skills!H4&gt;0,Skills!I4/Skills!H4,1)</f>
        <v/>
      </c>
      <c r="H683">
        <f>1-(1-Skills!J4/100)^Skills!K4</f>
        <v/>
      </c>
      <c r="I683" t="inlineStr">
        <is>
          <t>1</t>
        </is>
      </c>
      <c r="J683">
        <f>(Inputs!$B$5*(1+Inputs!$B$6/100))*(F683/100)</f>
        <v/>
      </c>
      <c r="K683">
        <f>J683*(1+((Inputs!$B$11*(1+Inputs!$B$12/100))*0.01+Inputs!$B$13*0.0025)/100)*(1+Inputs!$B$14/100)*(1+IF(Inputs!$B$4="pvp",0,(1-Summary!$B$55)*(Inputs!$B$19+0+Skills!P4)+Summary!$B$55*(Inputs!$B$20+Skills!Q4))/100)*(1+Inputs!$B$15/100)*(5000/(6000+Inputs!$B$7*(1-(Inputs!$B$18+0)/100)))*(1+(Inputs!$B$23+0+B712)/100)*(1+4.0*IF(C691=TRUE,F691,0)/100)*(1+(IF(Skills!A4="BLAST",Inputs!$B$16+((C700=TRUE)*(F700-Calc!F21)),Inputs!$B$17+((C702=TRUE)*(F702-Calc!F23))))/100)*((1+(((C692=TRUE)*F692*MIN(1,Skills!T13*(Skills!J13/100)*B710))+((C697=TRUE)*F697*IF(AND(Inputs!$B$4&lt;&gt;"pvp",Inputs!$B$35&gt;0),(((S697-1)*(Skills!T18*(1+Inputs!$B$33/100))+MIN((Skills!T18*(1+Inputs!$B$33/100)),MAX(0,Inputs!$B$35-((S697-1)*Skills!D18))))/Inputs!$B$35),IF(Inputs!$B$4="pvp",MIN((Skills!T18*(1+Inputs!$B$33/100)),15)/15,(Skills!T18*(1+Inputs!$B$33/100))/Skills!D18)))+0)/100)*I683)</f>
        <v/>
      </c>
      <c r="L683">
        <f>K683*(MIN(Inputs!$B$21+((C701=TRUE)*(F701-Calc!F22)),Inputs!$B$22+((C703=TRUE)*(F703-Calc!F24)))/100+(Inputs!$B$22+((C703=TRUE)*(F703-Calc!F24)))/100)/2</f>
        <v/>
      </c>
      <c r="M683">
        <f>L683*(1+(Inputs!$B$9+0+B711)/100)</f>
        <v/>
      </c>
      <c r="N683">
        <f>L683*(1-MIN((Inputs!$B$8+0+B706),100)/100)+M683*(MIN((Inputs!$B$8+0+B706),100)/100)</f>
        <v/>
      </c>
      <c r="O683">
        <f>IF(C683,H683*N683*IF(AND(Inputs!$B$4&lt;&gt;"pvp",Inputs!$B$35&gt;0),((Skills!G4*((R683-1)*IF(Skills!H4&gt;0,Skills!I4/Skills!H4,1)+IF(Skills!H4&gt;0,MIN(Skills!I4,MAX(0,Inputs!$B$35-((R683-1)*IF(Inputs!$B$4="pvp",15,MAX(0.1,Skills!D4-IF(Skills!E4=TRUE,Inputs!$B$31,0))))))/Skills!H4,1)))/Inputs!$B$35),G683*Q683)*IF(Inputs!$B$4="pvp",1,(1-Summary!$B$55)*(1)+Summary!$B$55*(MIN(Skills!R4,Inputs!$B$37))),0)</f>
        <v/>
      </c>
      <c r="P683">
        <f>IF(B714=0,0,O683/B714)</f>
        <v/>
      </c>
      <c r="Q683">
        <f>IFERROR(1/IF(Inputs!$B$4="pvp",15,MAX(0.1,Skills!D4-IF(Skills!E4=TRUE,Inputs!$B$31,0))),0)</f>
        <v/>
      </c>
      <c r="R683">
        <f>IF(AND(Inputs!$B$4&lt;&gt;"pvp",Inputs!$B$35&gt;0),(INT(Inputs!$B$35/IF(Inputs!$B$4="pvp",15,MAX(0.1,Skills!D4-IF(Skills!E4=TRUE,Inputs!$B$31,0))))+1),0)</f>
        <v/>
      </c>
      <c r="S683">
        <f>IFERROR(O683/N683,0)</f>
        <v/>
      </c>
      <c r="U683">
        <f>290*U682/1000</f>
        <v/>
      </c>
    </row>
    <row r="684">
      <c r="A684">
        <f>Skills!A5</f>
        <v/>
      </c>
      <c r="B684">
        <f>Skills!B5</f>
        <v/>
      </c>
      <c r="C684">
        <f>Inputs!$B$3&gt;=66</f>
        <v/>
      </c>
      <c r="D684">
        <f>IF(Skills!C5=1,60+Inputs!$B$24+Inputs!$B$28,IF(Skills!C5=2,90+(Inputs!$B$25+1)+Inputs!$B$28,IF(Skills!C5=3,120+Inputs!$B$26+Inputs!$B$28,MAX(0,(Inputs!$B$3-100)*3)+Inputs!$B$27+Inputs!$B$28)))</f>
        <v/>
      </c>
      <c r="E684">
        <f>INDEX(FactorTable!$B$2:$Y$301, MATCH(ROUND(MIN(300,MAX(1,D684)),0), FactorTable!$A$2:$A$301,0), Skills!M5+1)</f>
        <v/>
      </c>
      <c r="F684">
        <f>IF(Skills!N5=TRUE,(Skills!L5/10)*(E684/1000),Skills!L5/10)+Skills!O5</f>
        <v/>
      </c>
      <c r="G684">
        <f>Skills!G5*IF(Skills!H5&gt;0,Skills!I5/Skills!H5,1)</f>
        <v/>
      </c>
      <c r="H684">
        <f>1-(1-Skills!J5/100)^Skills!K5</f>
        <v/>
      </c>
      <c r="I684" t="inlineStr">
        <is>
          <t>1</t>
        </is>
      </c>
      <c r="J684">
        <f>(Inputs!$B$5*(1+Inputs!$B$6/100))*(F684/100)</f>
        <v/>
      </c>
      <c r="K684">
        <f>J684*(1+((Inputs!$B$11*(1+Inputs!$B$12/100))*0.01+Inputs!$B$13*0.0025)/100)*(1+Inputs!$B$14/100)*(1+IF(Inputs!$B$4="pvp",0,(1-Summary!$B$55)*(Inputs!$B$19+0+Skills!P5)+Summary!$B$55*(Inputs!$B$20+Skills!Q5))/100)*(1+Inputs!$B$15/100)*(5000/(6000+Inputs!$B$7*(1-(Inputs!$B$18+0)/100)))*(1+(Inputs!$B$23+0+B712)/100)*(1+1.0*IF(C691=TRUE,F691,0)/100)*(1+(IF(Skills!A5="BLAST",Inputs!$B$16+((C700=TRUE)*(F700-Calc!F21)),Inputs!$B$17+((C702=TRUE)*(F702-Calc!F23))))/100)*((1+(((C692=TRUE)*F692*MIN(1,Skills!T13*(Skills!J13/100)*B710))+((C697=TRUE)*F697*IF(AND(Inputs!$B$4&lt;&gt;"pvp",Inputs!$B$35&gt;0),(((S697-1)*(Skills!T18*(1+Inputs!$B$33/100))+MIN((Skills!T18*(1+Inputs!$B$33/100)),MAX(0,Inputs!$B$35-((S697-1)*Skills!D18))))/Inputs!$B$35),IF(Inputs!$B$4="pvp",MIN((Skills!T18*(1+Inputs!$B$33/100)),15)/15,(Skills!T18*(1+Inputs!$B$33/100))/Skills!D18)))+0)/100)*I684)</f>
        <v/>
      </c>
      <c r="L684">
        <f>K684*(MIN(Inputs!$B$21+((C701=TRUE)*(F701-Calc!F22)),Inputs!$B$22+((C703=TRUE)*(F703-Calc!F24)))/100+(Inputs!$B$22+((C703=TRUE)*(F703-Calc!F24)))/100)/2</f>
        <v/>
      </c>
      <c r="M684">
        <f>L684*(1+(Inputs!$B$9+0+B711)/100)</f>
        <v/>
      </c>
      <c r="N684">
        <f>L684*(1-MIN((Inputs!$B$8+0+B706),100)/100)+M684*(MIN((Inputs!$B$8+0+B706),100)/100)</f>
        <v/>
      </c>
      <c r="O684">
        <f>IF(C684,H684*N684*IF(AND(Inputs!$B$4&lt;&gt;"pvp",Inputs!$B$35&gt;0),((Skills!G5*((R684-1)*IF(Skills!H5&gt;0,Skills!I5/Skills!H5,1)+IF(Skills!H5&gt;0,MIN(Skills!I5,MAX(0,Inputs!$B$35-((R684-1)*IF(Inputs!$B$4="pvp",15,MAX(0.1,Skills!D5-IF(Skills!E5=TRUE,Inputs!$B$31,0))))))/Skills!H5,1)))/Inputs!$B$35),G684*Q684)*IF(Inputs!$B$4="pvp",1,(1-Summary!$B$55)*(1)+Summary!$B$55*(MIN(Skills!R5,Inputs!$B$37))),0)</f>
        <v/>
      </c>
      <c r="P684">
        <f>IF(B714=0,0,O684/B714)</f>
        <v/>
      </c>
      <c r="Q684">
        <f>IFERROR(1/IF(Inputs!$B$4="pvp",15,MAX(0.1,Skills!D5-IF(Skills!E5=TRUE,Inputs!$B$31,0))),0)</f>
        <v/>
      </c>
      <c r="R684">
        <f>IF(AND(Inputs!$B$4&lt;&gt;"pvp",Inputs!$B$35&gt;0),(INT(Inputs!$B$35/IF(Inputs!$B$4="pvp",15,MAX(0.1,Skills!D5-IF(Skills!E5=TRUE,Inputs!$B$31,0))))+1),0)</f>
        <v/>
      </c>
      <c r="S684">
        <f>IFERROR(O684/N684,0)</f>
        <v/>
      </c>
    </row>
    <row r="685">
      <c r="A685">
        <f>Skills!A6</f>
        <v/>
      </c>
      <c r="B685">
        <f>Skills!B6</f>
        <v/>
      </c>
      <c r="C685">
        <f>Inputs!$B$3&gt;=103</f>
        <v/>
      </c>
      <c r="D685">
        <f>IF(Skills!C6=1,60+Inputs!$B$24+Inputs!$B$28,IF(Skills!C6=2,90+(Inputs!$B$25+1)+Inputs!$B$28,IF(Skills!C6=3,120+Inputs!$B$26+Inputs!$B$28,MAX(0,(Inputs!$B$3-100)*3)+Inputs!$B$27+Inputs!$B$28)))</f>
        <v/>
      </c>
      <c r="E685">
        <f>INDEX(FactorTable!$B$2:$Y$301, MATCH(ROUND(MIN(300,MAX(1,D685)),0), FactorTable!$A$2:$A$301,0), Skills!M6+1)</f>
        <v/>
      </c>
      <c r="F685">
        <f>IF(Skills!N6=TRUE,(Skills!L6/10)*(E685/1000),Skills!L6/10)+Skills!O6</f>
        <v/>
      </c>
      <c r="G685">
        <f>Skills!G6*IF(Skills!H6&gt;0,Skills!I6/Skills!H6,1)</f>
        <v/>
      </c>
      <c r="H685">
        <f>1-(1-Skills!J6/100)^Skills!K6</f>
        <v/>
      </c>
      <c r="I685" t="inlineStr">
        <is>
          <t>1</t>
        </is>
      </c>
      <c r="J685">
        <f>(Inputs!$B$5*(1+Inputs!$B$6/100))*(F685/100)</f>
        <v/>
      </c>
      <c r="K685">
        <f>J685*(1+((Inputs!$B$11*(1+Inputs!$B$12/100))*0.01+Inputs!$B$13*0.0025)/100)*(1+Inputs!$B$14/100)*(1+IF(Inputs!$B$4="pvp",0,(1-Summary!$B$55)*(Inputs!$B$19+0+Skills!P6)+Summary!$B$55*(Inputs!$B$20+Skills!Q6))/100)*(1+Inputs!$B$15/100)*(5000/(6000+Inputs!$B$7*(1-(Inputs!$B$18+0)/100)))*(1+(Inputs!$B$23+0+B712)/100)*(1+(IF(Skills!A6="BLAST",Inputs!$B$16+((C700=TRUE)*(F700-Calc!F21)),Inputs!$B$17+((C702=TRUE)*(F702-Calc!F23))))/100)*((1+(((C692=TRUE)*F692*MIN(1,Skills!T13*(Skills!J13/100)*B710))+((C697=TRUE)*F697*IF(AND(Inputs!$B$4&lt;&gt;"pvp",Inputs!$B$35&gt;0),(((S697-1)*(Skills!T18*(1+Inputs!$B$33/100))+MIN((Skills!T18*(1+Inputs!$B$33/100)),MAX(0,Inputs!$B$35-((S697-1)*Skills!D18))))/Inputs!$B$35),IF(Inputs!$B$4="pvp",MIN((Skills!T18*(1+Inputs!$B$33/100)),15)/15,(Skills!T18*(1+Inputs!$B$33/100))/Skills!D18)))+0)/100)*I685)</f>
        <v/>
      </c>
      <c r="L685">
        <f>K685*(MIN(Inputs!$B$21+((C701=TRUE)*(F701-Calc!F22)),Inputs!$B$22+((C703=TRUE)*(F703-Calc!F24)))/100+(Inputs!$B$22+((C703=TRUE)*(F703-Calc!F24)))/100)/2</f>
        <v/>
      </c>
      <c r="M685">
        <f>L685*(1+(Inputs!$B$9+0+B711)/100)</f>
        <v/>
      </c>
      <c r="N685">
        <f>L685*(1-MIN((Inputs!$B$8+0+B706),100)/100)+M685*(MIN((Inputs!$B$8+0+B706),100)/100)</f>
        <v/>
      </c>
      <c r="O685">
        <f>IF(C685,H685*N685*IF(AND(Inputs!$B$4&lt;&gt;"pvp",Inputs!$B$35&gt;0),((Skills!G6*((R685-1)*IF(Skills!H6&gt;0,Skills!I6/Skills!H6,1)+IF(Skills!H6&gt;0,MIN(Skills!I6,MAX(0,Inputs!$B$35-((R685-1)*IF(Inputs!$B$4="pvp",15,MAX(0.1,Skills!D6-IF(Skills!E6=TRUE,Inputs!$B$31,0))))))/Skills!H6,1)))/Inputs!$B$35),G685*Q685)*IF(Inputs!$B$4="pvp",1,(1-Summary!$B$55)*(1)+Summary!$B$55*(MIN(Skills!R6,Inputs!$B$37))),0)</f>
        <v/>
      </c>
      <c r="P685">
        <f>IF(B714=0,0,O685/B714)</f>
        <v/>
      </c>
      <c r="Q685">
        <f>IFERROR(1/IF(Inputs!$B$4="pvp",15,MAX(0.1,Skills!D6-IF(Skills!E6=TRUE,Inputs!$B$31,0))),0)</f>
        <v/>
      </c>
      <c r="R685">
        <f>IF(AND(Inputs!$B$4&lt;&gt;"pvp",Inputs!$B$35&gt;0),(INT(Inputs!$B$35/IF(Inputs!$B$4="pvp",15,MAX(0.1,Skills!D6-IF(Skills!E6=TRUE,Inputs!$B$31,0))))+1),0)</f>
        <v/>
      </c>
      <c r="S685">
        <f>IFERROR(O685/N685,0)</f>
        <v/>
      </c>
    </row>
    <row r="686">
      <c r="A686">
        <f>Skills!A7</f>
        <v/>
      </c>
      <c r="B686">
        <f>Skills!B7</f>
        <v/>
      </c>
      <c r="C686">
        <f>Inputs!$B$3&gt;=107</f>
        <v/>
      </c>
      <c r="D686">
        <f>IF(Skills!C7=1,60+Inputs!$B$24+Inputs!$B$28,IF(Skills!C7=2,90+(Inputs!$B$25+1)+Inputs!$B$28,IF(Skills!C7=3,120+Inputs!$B$26+Inputs!$B$28,MAX(0,(Inputs!$B$3-100)*3)+Inputs!$B$27+Inputs!$B$28)))</f>
        <v/>
      </c>
      <c r="E686">
        <f>INDEX(FactorTable!$B$2:$Y$301, MATCH(ROUND(MIN(300,MAX(1,D686)),0), FactorTable!$A$2:$A$301,0), Skills!M7+1)</f>
        <v/>
      </c>
      <c r="F686">
        <f>IF(Skills!N7=TRUE,(Skills!L7/10)*(E686/1000),Skills!L7/10)+Skills!O7</f>
        <v/>
      </c>
      <c r="G686">
        <f>Skills!G7*IF(Skills!H7&gt;0,Skills!I7/Skills!H7,1)</f>
        <v/>
      </c>
      <c r="H686">
        <f>1-(1-Skills!J7/100)^Skills!K7</f>
        <v/>
      </c>
      <c r="I686" t="inlineStr">
        <is>
          <t>1</t>
        </is>
      </c>
      <c r="J686">
        <f>(Inputs!$B$5*(1+Inputs!$B$6/100))*(F686/100)</f>
        <v/>
      </c>
      <c r="K686">
        <f>J686*(1+((Inputs!$B$11*(1+Inputs!$B$12/100))*0.01+Inputs!$B$13*0.0025)/100)*(1+Inputs!$B$14/100)*(1+IF(Inputs!$B$4="pvp",0,(1-Summary!$B$55)*(Inputs!$B$19+0+Skills!P7)+Summary!$B$55*(Inputs!$B$20+Skills!Q7))/100)*(1+Inputs!$B$15/100)*(5000/(6000+Inputs!$B$7*(1-(Inputs!$B$18+0)/100)))*(1+(Inputs!$B$23+0+B712)/100)*(1+(IF(Skills!A7="BLAST",Inputs!$B$16+((C700=TRUE)*(F700-Calc!F21)),Inputs!$B$17+((C702=TRUE)*(F702-Calc!F23))))/100)*((1+(((C692=TRUE)*F692*MIN(1,Skills!T13*(Skills!J13/100)*B710))+((C697=TRUE)*F697*IF(AND(Inputs!$B$4&lt;&gt;"pvp",Inputs!$B$35&gt;0),(((S697-1)*(Skills!T18*(1+Inputs!$B$33/100))+MIN((Skills!T18*(1+Inputs!$B$33/100)),MAX(0,Inputs!$B$35-((S697-1)*Skills!D18))))/Inputs!$B$35),IF(Inputs!$B$4="pvp",MIN((Skills!T18*(1+Inputs!$B$33/100)),15)/15,(Skills!T18*(1+Inputs!$B$33/100))/Skills!D18)))+0)/100)*I686)</f>
        <v/>
      </c>
      <c r="L686">
        <f>K686*(MIN(Inputs!$B$21+((C701=TRUE)*(F701-Calc!F22)),Inputs!$B$22+((C703=TRUE)*(F703-Calc!F24)))/100+(Inputs!$B$22+((C703=TRUE)*(F703-Calc!F24)))/100)/2</f>
        <v/>
      </c>
      <c r="M686">
        <f>L686*(1+(Inputs!$B$9+0+B711)/100)</f>
        <v/>
      </c>
      <c r="N686">
        <f>L686*(1-MIN((Inputs!$B$8+0+B706),100)/100)+M686*(MIN((Inputs!$B$8+0+B706),100)/100)</f>
        <v/>
      </c>
      <c r="O686">
        <f>IF(C686,H686*N686*IF(AND(Inputs!$B$4&lt;&gt;"pvp",Inputs!$B$35&gt;0),((Skills!G7*((R686-1)*IF(Skills!H7&gt;0,Skills!I7/Skills!H7,1)+IF(Skills!H7&gt;0,MIN(Skills!I7,MAX(0,Inputs!$B$35-((R686-1)*IF(Inputs!$B$4="pvp",15,MAX(0.1,Skills!D7-IF(Skills!E7=TRUE,Inputs!$B$31,0))))))/Skills!H7,1)))/Inputs!$B$35),G686*Q686)*IF(Inputs!$B$4="pvp",1,(1-Summary!$B$55)*(1)+Summary!$B$55*(MIN(Skills!R7,Inputs!$B$37))),0)</f>
        <v/>
      </c>
      <c r="P686">
        <f>IF(B714=0,0,O686/B714)</f>
        <v/>
      </c>
      <c r="Q686">
        <f>IFERROR(1/IF(Inputs!$B$4="pvp",15,MAX(0.1,Skills!D7-IF(Skills!E7=TRUE,Inputs!$B$31,0))),0)</f>
        <v/>
      </c>
      <c r="R686">
        <f>IF(AND(Inputs!$B$4&lt;&gt;"pvp",Inputs!$B$35&gt;0),(INT(Inputs!$B$35/IF(Inputs!$B$4="pvp",15,MAX(0.1,Skills!D7-IF(Skills!E7=TRUE,Inputs!$B$31,0))))+1),0)</f>
        <v/>
      </c>
      <c r="S686">
        <f>IFERROR(O686/N686,0)</f>
        <v/>
      </c>
    </row>
    <row r="687">
      <c r="A687">
        <f>Skills!A8</f>
        <v/>
      </c>
      <c r="B687">
        <f>Skills!B8</f>
        <v/>
      </c>
      <c r="C687">
        <f>Inputs!$B$3&gt;=107</f>
        <v/>
      </c>
      <c r="D687">
        <f>IF(Skills!C8=1,60+Inputs!$B$24+Inputs!$B$28,IF(Skills!C8=2,90+(Inputs!$B$25+1)+Inputs!$B$28,IF(Skills!C8=3,120+Inputs!$B$26+Inputs!$B$28,MAX(0,(Inputs!$B$3-100)*3)+Inputs!$B$27+Inputs!$B$28)))</f>
        <v/>
      </c>
      <c r="E687">
        <f>INDEX(FactorTable!$B$2:$Y$301, MATCH(ROUND(MIN(300,MAX(1,D687)),0), FactorTable!$A$2:$A$301,0), Skills!M8+1)</f>
        <v/>
      </c>
      <c r="F687">
        <f>IF(Skills!N8=TRUE,(Skills!L8/10)*(E687/1000),Skills!L8/10)+Skills!O8</f>
        <v/>
      </c>
      <c r="G687">
        <f>Skills!G8*IF(Skills!H8&gt;0,Skills!I8/Skills!H8,1)</f>
        <v/>
      </c>
      <c r="H687">
        <f>1-(1-Skills!J8/100)^Skills!K8</f>
        <v/>
      </c>
      <c r="I687" t="inlineStr">
        <is>
          <t>1</t>
        </is>
      </c>
      <c r="J687">
        <f>(Inputs!$B$5*(1+Inputs!$B$6/100))*(F687/100)</f>
        <v/>
      </c>
      <c r="K687">
        <f>J687*(1+((Inputs!$B$11*(1+Inputs!$B$12/100))*0.01+Inputs!$B$13*0.0025)/100)*(1+Inputs!$B$14/100)*(1+IF(Inputs!$B$4="pvp",0,(1-Summary!$B$55)*(Inputs!$B$19+0+Skills!P8)+Summary!$B$55*(Inputs!$B$20+Skills!Q8))/100)*(1+Inputs!$B$15/100)*(5000/(6000+Inputs!$B$7*(1-(Inputs!$B$18+0)/100)))*(1+(Inputs!$B$23+0+B712)/100)*(1+(IF(Skills!A8="BLAST",Inputs!$B$16+((C700=TRUE)*(F700-Calc!F21)),Inputs!$B$17+((C702=TRUE)*(F702-Calc!F23))))/100)*((1+(((C692=TRUE)*F692*MIN(1,Skills!T13*(Skills!J13/100)*B710))+((C697=TRUE)*F697*IF(AND(Inputs!$B$4&lt;&gt;"pvp",Inputs!$B$35&gt;0),(((S697-1)*(Skills!T18*(1+Inputs!$B$33/100))+MIN((Skills!T18*(1+Inputs!$B$33/100)),MAX(0,Inputs!$B$35-((S697-1)*Skills!D18))))/Inputs!$B$35),IF(Inputs!$B$4="pvp",MIN((Skills!T18*(1+Inputs!$B$33/100)),15)/15,(Skills!T18*(1+Inputs!$B$33/100))/Skills!D18)))+0)/100)*I687)</f>
        <v/>
      </c>
      <c r="L687">
        <f>K687*(MIN(Inputs!$B$21+((C701=TRUE)*(F701-Calc!F22)),Inputs!$B$22+((C703=TRUE)*(F703-Calc!F24)))/100+(Inputs!$B$22+((C703=TRUE)*(F703-Calc!F24)))/100)/2</f>
        <v/>
      </c>
      <c r="M687">
        <f>L687*(1+(Inputs!$B$9+0+B711)/100)</f>
        <v/>
      </c>
      <c r="N687">
        <f>L687*(1-MIN((Inputs!$B$8+0+B706),100)/100)+M687*(MIN((Inputs!$B$8+0+B706),100)/100)</f>
        <v/>
      </c>
      <c r="O687">
        <f>IF(C687,H687*N687*IF(AND(Inputs!$B$4&lt;&gt;"pvp",Inputs!$B$35&gt;0),((Skills!G8*((R687-1)*IF(Skills!H8&gt;0,Skills!I8/Skills!H8,1)+IF(Skills!H8&gt;0,MIN(Skills!I8,MAX(0,Inputs!$B$35-((R687-1)*IF(Inputs!$B$4="pvp",15,MAX(0.1,Skills!D8-IF(Skills!E8=TRUE,Inputs!$B$31,0))))))/Skills!H8,1)))/Inputs!$B$35),G687*Q687)*IF(Inputs!$B$4="pvp",1,(1-Summary!$B$55)*(1)+Summary!$B$55*(MIN(Skills!R8,Inputs!$B$37))),0)</f>
        <v/>
      </c>
      <c r="P687">
        <f>IF(B714=0,0,O687/B714)</f>
        <v/>
      </c>
      <c r="Q687">
        <f>IFERROR(1/IF(Inputs!$B$4="pvp",15,MAX(0.1,Skills!D8-IF(Skills!E8=TRUE,Inputs!$B$31,0))),0)</f>
        <v/>
      </c>
      <c r="R687">
        <f>IF(AND(Inputs!$B$4&lt;&gt;"pvp",Inputs!$B$35&gt;0),(INT(Inputs!$B$35/IF(Inputs!$B$4="pvp",15,MAX(0.1,Skills!D8-IF(Skills!E8=TRUE,Inputs!$B$31,0))))+1),0)</f>
        <v/>
      </c>
      <c r="S687">
        <f>IFERROR(O687/N687,0)</f>
        <v/>
      </c>
    </row>
    <row r="688">
      <c r="A688">
        <f>Skills!A9</f>
        <v/>
      </c>
      <c r="B688">
        <f>Skills!B9</f>
        <v/>
      </c>
      <c r="C688">
        <f>Inputs!$B$3&gt;=125</f>
        <v/>
      </c>
      <c r="D688">
        <f>IF(Skills!C9=1,60+Inputs!$B$24+Inputs!$B$28,IF(Skills!C9=2,90+(Inputs!$B$25+1)+Inputs!$B$28,IF(Skills!C9=3,120+Inputs!$B$26+Inputs!$B$28,MAX(0,(Inputs!$B$3-100)*3)+Inputs!$B$27+Inputs!$B$28)))</f>
        <v/>
      </c>
      <c r="E688">
        <f>INDEX(FactorTable!$B$2:$Y$301, MATCH(ROUND(MIN(300,MAX(1,D688)),0), FactorTable!$A$2:$A$301,0), Skills!M9+1)</f>
        <v/>
      </c>
      <c r="F688">
        <f>IF(Skills!N9=TRUE,(Skills!L9/10)*(E688/1000),Skills!L9/10)+Skills!O9</f>
        <v/>
      </c>
      <c r="G688">
        <f>Skills!G9*IF(Skills!H9&gt;0,Skills!I9/Skills!H9,1)</f>
        <v/>
      </c>
      <c r="H688">
        <f>1-(1-Skills!J9/100)^Skills!K9</f>
        <v/>
      </c>
      <c r="I688" t="inlineStr">
        <is>
          <t>1</t>
        </is>
      </c>
      <c r="J688">
        <f>(Inputs!$B$5*(1+Inputs!$B$6/100))*(F688/100)</f>
        <v/>
      </c>
      <c r="K688">
        <f>J688*(1+((Inputs!$B$11*(1+Inputs!$B$12/100))*0.01+Inputs!$B$13*0.0025)/100)*(1+Inputs!$B$14/100)*(1+IF(Inputs!$B$4="pvp",0,(1-Summary!$B$55)*(Inputs!$B$19+0+Skills!P9)+Summary!$B$55*(Inputs!$B$20+Skills!Q9))/100)*(1+Inputs!$B$15/100)*(5000/(6000+Inputs!$B$7*(1-(Inputs!$B$18+0)/100)))*(1+(Inputs!$B$23+0+B712)/100)*(1+(IF(Skills!A9="BLAST",Inputs!$B$16+((C700=TRUE)*(F700-Calc!F21)),Inputs!$B$17+((C702=TRUE)*(F702-Calc!F23))))/100)*((1+(((C692=TRUE)*F692*MIN(1,Skills!T13*(Skills!J13/100)*B710))+((C697=TRUE)*F697*IF(AND(Inputs!$B$4&lt;&gt;"pvp",Inputs!$B$35&gt;0),(((S697-1)*(Skills!T18*(1+Inputs!$B$33/100))+MIN((Skills!T18*(1+Inputs!$B$33/100)),MAX(0,Inputs!$B$35-((S697-1)*Skills!D18))))/Inputs!$B$35),IF(Inputs!$B$4="pvp",MIN((Skills!T18*(1+Inputs!$B$33/100)),15)/15,(Skills!T18*(1+Inputs!$B$33/100))/Skills!D18)))+0)/100)*I688)</f>
        <v/>
      </c>
      <c r="L688">
        <f>K688*(MIN(Inputs!$B$21+((C701=TRUE)*(F701-Calc!F22)),Inputs!$B$22+((C703=TRUE)*(F703-Calc!F24)))/100+(Inputs!$B$22+((C703=TRUE)*(F703-Calc!F24)))/100)/2</f>
        <v/>
      </c>
      <c r="M688">
        <f>L688*(1+(Inputs!$B$9+0+B711)/100)</f>
        <v/>
      </c>
      <c r="N688">
        <f>L688*(1-MIN((Inputs!$B$8+0+B706),100)/100)+M688*(MIN((Inputs!$B$8+0+B706),100)/100)</f>
        <v/>
      </c>
      <c r="O688">
        <f>IF(C688,H688*N688*IF(AND(Inputs!$B$4&lt;&gt;"pvp",Inputs!$B$35&gt;0),((Skills!G9*((R688-1)*IF(Skills!H9&gt;0,Skills!I9/Skills!H9,1)+IF(Skills!H9&gt;0,MIN(Skills!I9,MAX(0,Inputs!$B$35-((R688-1)*IF(Inputs!$B$4="pvp",15,MAX(0.1,Skills!D9-IF(Skills!E9=TRUE,Inputs!$B$31,0))))))/Skills!H9,1)))/Inputs!$B$35),G688*Q688)*IF(Inputs!$B$4="pvp",1,(1-Summary!$B$55)*(1)+Summary!$B$55*(MIN(Skills!R9,Inputs!$B$37))),0)</f>
        <v/>
      </c>
      <c r="P688">
        <f>IF(B714=0,0,O688/B714)</f>
        <v/>
      </c>
      <c r="Q688">
        <f>IFERROR(1/IF(Inputs!$B$4="pvp",15,MAX(0.1,Skills!D9-IF(Skills!E9=TRUE,Inputs!$B$31,0))),0)</f>
        <v/>
      </c>
      <c r="R688">
        <f>IF(AND(Inputs!$B$4&lt;&gt;"pvp",Inputs!$B$35&gt;0),(INT(Inputs!$B$35/IF(Inputs!$B$4="pvp",15,MAX(0.1,Skills!D9-IF(Skills!E9=TRUE,Inputs!$B$31,0))))+1),0)</f>
        <v/>
      </c>
      <c r="S688">
        <f>IFERROR(O688/N688,0)</f>
        <v/>
      </c>
    </row>
    <row r="689">
      <c r="A689">
        <f>Skills!A10</f>
        <v/>
      </c>
      <c r="B689">
        <f>Skills!B10</f>
        <v/>
      </c>
      <c r="C689">
        <f>Inputs!$B$3&gt;=117</f>
        <v/>
      </c>
      <c r="D689">
        <f>IF(Skills!C10=1,60+Inputs!$B$24+Inputs!$B$28,IF(Skills!C10=2,90+(Inputs!$B$25+1)+Inputs!$B$28,IF(Skills!C10=3,120+Inputs!$B$26+Inputs!$B$28,MAX(0,(Inputs!$B$3-100)*3)+Inputs!$B$27+Inputs!$B$28)))</f>
        <v/>
      </c>
      <c r="E689">
        <f>INDEX(FactorTable!$B$2:$Y$301, MATCH(ROUND(MIN(300,MAX(1,D689)),0), FactorTable!$A$2:$A$301,0), Skills!M10+1)</f>
        <v/>
      </c>
      <c r="F689">
        <f>IF(Skills!N10=TRUE,(Skills!L10/10)*(E689/1000),Skills!L10/10)+Skills!O10</f>
        <v/>
      </c>
      <c r="G689">
        <f>Skills!G10*IF(Skills!H10&gt;0,Skills!I10/Skills!H10,1)</f>
        <v/>
      </c>
      <c r="H689">
        <f>1-(1-Skills!J10/100)^Skills!K10</f>
        <v/>
      </c>
      <c r="I689" t="inlineStr">
        <is>
          <t>1</t>
        </is>
      </c>
      <c r="J689">
        <f>(Inputs!$B$5*(1+Inputs!$B$6/100))*(F689/100)</f>
        <v/>
      </c>
      <c r="K689">
        <f>J689*(1+((Inputs!$B$11*(1+Inputs!$B$12/100))*0.01+Inputs!$B$13*0.0025)/100)*(1+Inputs!$B$14/100)*(1+IF(Inputs!$B$4="pvp",0,(1-Summary!$B$55)*(Inputs!$B$19+0+Skills!P10)+Summary!$B$55*(Inputs!$B$20+Skills!Q10))/100)*(1+Inputs!$B$15/100)*(5000/(6000+Inputs!$B$7*(1-(Inputs!$B$18+0)/100)))*(1+(Inputs!$B$23+0+B712)/100)*(1+(IF(Skills!A10="BLAST",Inputs!$B$16+((C700=TRUE)*(F700-Calc!F21)),Inputs!$B$17+((C702=TRUE)*(F702-Calc!F23))))/100)*((1+(((C692=TRUE)*F692*MIN(1,Skills!T13*(Skills!J13/100)*B710))+((C697=TRUE)*F697*IF(AND(Inputs!$B$4&lt;&gt;"pvp",Inputs!$B$35&gt;0),(((S697-1)*(Skills!T18*(1+Inputs!$B$33/100))+MIN((Skills!T18*(1+Inputs!$B$33/100)),MAX(0,Inputs!$B$35-((S697-1)*Skills!D18))))/Inputs!$B$35),IF(Inputs!$B$4="pvp",MIN((Skills!T18*(1+Inputs!$B$33/100)),15)/15,(Skills!T18*(1+Inputs!$B$33/100))/Skills!D18)))+0)/100)*I689)</f>
        <v/>
      </c>
      <c r="L689">
        <f>K689*(MIN(Inputs!$B$21+((C701=TRUE)*(F701-Calc!F22)),Inputs!$B$22+((C703=TRUE)*(F703-Calc!F24)))/100+(Inputs!$B$22+((C703=TRUE)*(F703-Calc!F24)))/100)/2</f>
        <v/>
      </c>
      <c r="M689">
        <f>L689*(1+(Inputs!$B$9+0+B711)/100)</f>
        <v/>
      </c>
      <c r="N689">
        <f>L689*(1-MIN((Inputs!$B$8+0+B706),100)/100)+M689*(MIN((Inputs!$B$8+0+B706),100)/100)</f>
        <v/>
      </c>
      <c r="O689">
        <f>IF(C689,H689*N689*IF(AND(Inputs!$B$4&lt;&gt;"pvp",Inputs!$B$35&gt;0),((Skills!G10*((R689-1)*IF(Skills!H10&gt;0,Skills!I10/Skills!H10,1)+IF(Skills!H10&gt;0,MIN(Skills!I10,MAX(0,Inputs!$B$35-((R689-1)*IF(Inputs!$B$4="pvp",15,MAX(0.1,Skills!D10-IF(Skills!E10=TRUE,Inputs!$B$31,0))))))/Skills!H10,1)))/Inputs!$B$35),G689*Q689)*IF(Inputs!$B$4="pvp",1,(1-Summary!$B$55)*(1)+Summary!$B$55*(MIN(Skills!R10,Inputs!$B$37))),0)</f>
        <v/>
      </c>
      <c r="P689">
        <f>IF(B714=0,0,O689/B714)</f>
        <v/>
      </c>
      <c r="Q689">
        <f>IFERROR(1/IF(Inputs!$B$4="pvp",15,MAX(0.1,Skills!D10-IF(Skills!E10=TRUE,Inputs!$B$31,0))),0)</f>
        <v/>
      </c>
      <c r="R689">
        <f>IF(AND(Inputs!$B$4&lt;&gt;"pvp",Inputs!$B$35&gt;0),(INT(Inputs!$B$35/IF(Inputs!$B$4="pvp",15,MAX(0.1,Skills!D10-IF(Skills!E10=TRUE,Inputs!$B$31,0))))+1),0)</f>
        <v/>
      </c>
      <c r="S689">
        <f>IFERROR(O689/N689,0)</f>
        <v/>
      </c>
    </row>
    <row r="690">
      <c r="A690">
        <f>Skills!A11</f>
        <v/>
      </c>
      <c r="B690">
        <f>Skills!B11</f>
        <v/>
      </c>
      <c r="C690">
        <f>Inputs!$B$3&gt;=63</f>
        <v/>
      </c>
      <c r="D690">
        <f>IF(Skills!C11=1,60+Inputs!$B$24+Inputs!$B$28,IF(Skills!C11=2,90+(Inputs!$B$25+1)+Inputs!$B$28,IF(Skills!C11=3,120+Inputs!$B$26+Inputs!$B$28,MAX(0,(Inputs!$B$3-100)*3)+Inputs!$B$27+Inputs!$B$28)))</f>
        <v/>
      </c>
      <c r="E690">
        <f>INDEX(FactorTable!$B$2:$Y$301, MATCH(ROUND(MIN(300,MAX(1,D690)),0), FactorTable!$A$2:$A$301,0), Skills!M11+1)</f>
        <v/>
      </c>
      <c r="F690">
        <f>IF(Skills!N11=TRUE,(Skills!L11/10)*(E690/1000),Skills!L11/10)+Skills!O11</f>
        <v/>
      </c>
      <c r="G690">
        <f>Skills!G11*IF(Skills!H11&gt;0,Skills!I11/Skills!H11,1)</f>
        <v/>
      </c>
      <c r="H690">
        <f>1-(1-Skills!J11/100)^Skills!K11</f>
        <v/>
      </c>
      <c r="I690" t="inlineStr">
        <is>
          <t>1</t>
        </is>
      </c>
      <c r="J690">
        <f>(Inputs!$B$5*(1+Inputs!$B$6/100))*(F690/100)</f>
        <v/>
      </c>
      <c r="K690">
        <f>J690*(1+((Inputs!$B$11*(1+Inputs!$B$12/100))*0.01+Inputs!$B$13*0.0025)/100)*(1+Inputs!$B$14/100)*(1+IF(Inputs!$B$4="pvp",0,(1-Summary!$B$55)*(Inputs!$B$19+0+Skills!P11)+Summary!$B$55*(Inputs!$B$20+Skills!Q11))/100)*(1+Inputs!$B$15/100)*(5000/(6000+Inputs!$B$7*(1-(Inputs!$B$18+0)/100)))*(1+(Inputs!$B$23+0+B712)/100)*(1+1.5*IF(C691=TRUE,F691,0)/100)*(1+(IF(Skills!A11="BLAST",Inputs!$B$16+((C700=TRUE)*(F700-Calc!F21)),Inputs!$B$17+((C702=TRUE)*(F702-Calc!F23))))/100)*((1+(((C692=TRUE)*F692*MIN(1,Skills!T13*(Skills!J13/100)*B710))+((C697=TRUE)*F697*IF(AND(Inputs!$B$4&lt;&gt;"pvp",Inputs!$B$35&gt;0),(((S697-1)*(Skills!T18*(1+Inputs!$B$33/100))+MIN((Skills!T18*(1+Inputs!$B$33/100)),MAX(0,Inputs!$B$35-((S697-1)*Skills!D18))))/Inputs!$B$35),IF(Inputs!$B$4="pvp",MIN((Skills!T18*(1+Inputs!$B$33/100)),15)/15,(Skills!T18*(1+Inputs!$B$33/100))/Skills!D18)))+0)/100)*I690)</f>
        <v/>
      </c>
      <c r="L690">
        <f>K690*(MIN(Inputs!$B$21+((C701=TRUE)*(F701-Calc!F22)),Inputs!$B$22+((C703=TRUE)*(F703-Calc!F24)))/100+(Inputs!$B$22+((C703=TRUE)*(F703-Calc!F24)))/100)/2</f>
        <v/>
      </c>
      <c r="M690">
        <f>L690*(1+(Inputs!$B$9+0+B711)/100)</f>
        <v/>
      </c>
      <c r="N690">
        <f>L690*(1-MIN((Inputs!$B$8+0+B706),100)/100)+M690*(MIN((Inputs!$B$8+0+B706),100)/100)</f>
        <v/>
      </c>
      <c r="O690">
        <f>IF(C690,H690*N690*IF(AND(Inputs!$B$4&lt;&gt;"pvp",Inputs!$B$35&gt;0),((Skills!G11*((R690-1)*IF(Skills!H11&gt;0,Skills!I11/Skills!H11,1)+IF(Skills!H11&gt;0,MIN(Skills!I11,MAX(0,Inputs!$B$35-((R690-1)*IF(Inputs!$B$4="pvp",15,MAX(0.1,Skills!D11-IF(Skills!E11=TRUE,Inputs!$B$31,0))))))/Skills!H11,1)))/Inputs!$B$35),G690*Q690)*IF(Inputs!$B$4="pvp",1,(1-Summary!$B$55)*(1)+Summary!$B$55*(MIN(Skills!R11,Inputs!$B$37))),0)</f>
        <v/>
      </c>
      <c r="P690">
        <f>IF(B714=0,0,O690/B714)</f>
        <v/>
      </c>
      <c r="Q690">
        <f>IFERROR(1/IF(Inputs!$B$4="pvp",15,MAX(0.1,Skills!D11-IF(Skills!E11=TRUE,Inputs!$B$31,0))),0)</f>
        <v/>
      </c>
      <c r="R690">
        <f>IF(AND(Inputs!$B$4&lt;&gt;"pvp",Inputs!$B$35&gt;0),(INT(Inputs!$B$35/IF(Inputs!$B$4="pvp",15,MAX(0.1,Skills!D11-IF(Skills!E11=TRUE,Inputs!$B$31,0))))+1),0)</f>
        <v/>
      </c>
      <c r="S690">
        <f>IFERROR(O690/N690,0)</f>
        <v/>
      </c>
    </row>
    <row r="691">
      <c r="A691">
        <f>Skills!A12</f>
        <v/>
      </c>
      <c r="B691">
        <f>Skills!B12</f>
        <v/>
      </c>
      <c r="C691">
        <f>Inputs!$B$3&gt;=100</f>
        <v/>
      </c>
      <c r="D691">
        <f>IF(Skills!C12=1,60+Inputs!$B$24+Inputs!$B$28,IF(Skills!C12=2,90+(Inputs!$B$25+1)+Inputs!$B$28,IF(Skills!C12=3,120+Inputs!$B$26+Inputs!$B$28,MAX(0,(Inputs!$B$3-100)*3)+Inputs!$B$27+Inputs!$B$28)))</f>
        <v/>
      </c>
      <c r="E691">
        <f>INDEX(FactorTable!$B$2:$Y$301, MATCH(ROUND(MIN(300,MAX(1,D691)),0), FactorTable!$A$2:$A$301,0), Skills!M12+1)</f>
        <v/>
      </c>
      <c r="F691">
        <f>IF(Skills!N12=TRUE,(Skills!L12/10)*(E691/1000),Skills!L12/10)+Skills!O12</f>
        <v/>
      </c>
      <c r="G691" t="inlineStr"/>
      <c r="H691" t="inlineStr"/>
      <c r="I691" t="inlineStr">
        <is>
          <t>1</t>
        </is>
      </c>
      <c r="J691" t="inlineStr"/>
      <c r="K691" t="inlineStr"/>
      <c r="L691" t="inlineStr"/>
      <c r="M691" t="inlineStr"/>
      <c r="N691" t="inlineStr"/>
      <c r="O691" t="inlineStr"/>
      <c r="P691" t="inlineStr"/>
      <c r="Q691" t="inlineStr"/>
      <c r="R691" t="inlineStr"/>
      <c r="S691" t="inlineStr"/>
    </row>
    <row r="692">
      <c r="A692">
        <f>Skills!A13</f>
        <v/>
      </c>
      <c r="B692">
        <f>Skills!B13</f>
        <v/>
      </c>
      <c r="C692">
        <f>Inputs!$B$3&gt;=45</f>
        <v/>
      </c>
      <c r="D692">
        <f>IF(Skills!C13=1,60+Inputs!$B$24+Inputs!$B$28,IF(Skills!C13=2,90+(Inputs!$B$25+1)+Inputs!$B$28,IF(Skills!C13=3,120+Inputs!$B$26+Inputs!$B$28,MAX(0,(Inputs!$B$3-100)*3)+Inputs!$B$27+Inputs!$B$28)))</f>
        <v/>
      </c>
      <c r="E692">
        <f>INDEX(FactorTable!$B$2:$Y$301, MATCH(ROUND(MIN(300,MAX(1,D692)),0), FactorTable!$A$2:$A$301,0), Skills!M13+1)</f>
        <v/>
      </c>
      <c r="F692">
        <f>IF(Skills!N13=TRUE,(Skills!L13/10)*(E692/1000),Skills!L13/10)+Skills!O13</f>
        <v/>
      </c>
      <c r="G692">
        <f>Skills!G13*IF(Skills!H13&gt;0,Skills!I13/Skills!H13,1)</f>
        <v/>
      </c>
      <c r="H692">
        <f>1-(1-Skills!J13/100)^Skills!K13</f>
        <v/>
      </c>
      <c r="I692" t="inlineStr">
        <is>
          <t>1</t>
        </is>
      </c>
      <c r="J692" t="inlineStr"/>
      <c r="K692" t="inlineStr"/>
      <c r="L692" t="inlineStr"/>
      <c r="M692" t="inlineStr"/>
      <c r="N692" t="inlineStr"/>
      <c r="O692" t="n">
        <v>0</v>
      </c>
      <c r="P692">
        <f>IF(B714=0,0,O692/B714)</f>
        <v/>
      </c>
      <c r="Q692" t="n">
        <v>0</v>
      </c>
      <c r="R692" t="n">
        <v>0</v>
      </c>
      <c r="S692">
        <f>IFERROR(O692/N692,0)</f>
        <v/>
      </c>
    </row>
    <row r="693">
      <c r="A693">
        <f>Skills!A14</f>
        <v/>
      </c>
      <c r="B693">
        <f>Skills!B14</f>
        <v/>
      </c>
      <c r="C693">
        <f>Inputs!$B$3&gt;=110</f>
        <v/>
      </c>
      <c r="D693">
        <f>IF(Skills!C14=1,60+Inputs!$B$24+Inputs!$B$28,IF(Skills!C14=2,90+(Inputs!$B$25+1)+Inputs!$B$28,IF(Skills!C14=3,120+Inputs!$B$26+Inputs!$B$28,MAX(0,(Inputs!$B$3-100)*3)+Inputs!$B$27+Inputs!$B$28)))</f>
        <v/>
      </c>
      <c r="E693">
        <f>INDEX(FactorTable!$B$2:$Y$301, MATCH(ROUND(MIN(300,MAX(1,D693)),0), FactorTable!$A$2:$A$301,0), Skills!M14+1)</f>
        <v/>
      </c>
      <c r="F693">
        <f>IF(Skills!N14=TRUE,(Skills!L14/10)*(E693/1000),Skills!L14/10)+Skills!O14</f>
        <v/>
      </c>
      <c r="G693">
        <f>Skills!G14*IF(Skills!H14&gt;0,Skills!I14/Skills!H14,1)</f>
        <v/>
      </c>
      <c r="H693">
        <f>1-(1-Skills!J14/100)^Skills!K14</f>
        <v/>
      </c>
      <c r="I693" t="inlineStr">
        <is>
          <t>1</t>
        </is>
      </c>
      <c r="J693" t="inlineStr"/>
      <c r="K693" t="inlineStr"/>
      <c r="L693" t="inlineStr"/>
      <c r="M693" t="inlineStr"/>
      <c r="N693" t="inlineStr"/>
      <c r="O693" t="n">
        <v>0</v>
      </c>
      <c r="P693">
        <f>IF(B714=0,0,O693/B714)</f>
        <v/>
      </c>
      <c r="Q693" t="n">
        <v>0</v>
      </c>
      <c r="R693" t="n">
        <v>0</v>
      </c>
      <c r="S693">
        <f>IFERROR(O693/N693,0)</f>
        <v/>
      </c>
    </row>
    <row r="694">
      <c r="A694">
        <f>Skills!A15</f>
        <v/>
      </c>
      <c r="B694">
        <f>Skills!B15</f>
        <v/>
      </c>
      <c r="C694">
        <f>Inputs!$B$3&gt;=75</f>
        <v/>
      </c>
      <c r="D694">
        <f>IF(Skills!C15=1,60+Inputs!$B$24+Inputs!$B$28,IF(Skills!C15=2,90+(Inputs!$B$25+1)+Inputs!$B$28,IF(Skills!C15=3,120+Inputs!$B$26+Inputs!$B$28,MAX(0,(Inputs!$B$3-100)*3)+Inputs!$B$27+Inputs!$B$28)))</f>
        <v/>
      </c>
      <c r="E694">
        <f>INDEX(FactorTable!$B$2:$Y$301, MATCH(ROUND(MIN(300,MAX(1,D694)),0), FactorTable!$A$2:$A$301,0), Skills!M15+1)</f>
        <v/>
      </c>
      <c r="F694">
        <f>IF(Skills!N15=TRUE,(Skills!L15/10)*(E694/1000),Skills!L15/10)+Skills!O15</f>
        <v/>
      </c>
      <c r="G694">
        <f>Skills!G15*IF(Skills!H15&gt;0,Skills!I15/Skills!H15,1)</f>
        <v/>
      </c>
      <c r="H694">
        <f>1-(1-Skills!J15/100)^Skills!K15</f>
        <v/>
      </c>
      <c r="I694" t="inlineStr">
        <is>
          <t>1</t>
        </is>
      </c>
      <c r="J694" t="inlineStr"/>
      <c r="K694" t="inlineStr"/>
      <c r="L694" t="inlineStr"/>
      <c r="M694" t="inlineStr"/>
      <c r="N694" t="inlineStr"/>
      <c r="O694" t="n">
        <v>0</v>
      </c>
      <c r="P694">
        <f>IF(B714=0,0,O694/B714)</f>
        <v/>
      </c>
      <c r="Q694">
        <f>IFERROR(1/IF(Inputs!$B$4="pvp",15,MAX(0.1,Skills!D15-IF(Skills!E15=TRUE,Inputs!$B$31,0))),0)</f>
        <v/>
      </c>
      <c r="R694">
        <f>IF(AND(Inputs!$B$4&lt;&gt;"pvp",Inputs!$B$35&gt;0),(INT(Inputs!$B$35/IF(Inputs!$B$4="pvp",15,MAX(0.1,Skills!D15-IF(Skills!E15=TRUE,Inputs!$B$31,0))))+1),0)</f>
        <v/>
      </c>
      <c r="S694">
        <f>IFERROR(O694/N694,0)</f>
        <v/>
      </c>
    </row>
    <row r="695">
      <c r="A695">
        <f>Skills!A16</f>
        <v/>
      </c>
      <c r="B695">
        <f>Skills!B16</f>
        <v/>
      </c>
      <c r="C695">
        <f>Inputs!$B$3&gt;=105</f>
        <v/>
      </c>
      <c r="D695">
        <f>IF(Skills!C16=1,60+Inputs!$B$24+Inputs!$B$28,IF(Skills!C16=2,90+(Inputs!$B$25+1)+Inputs!$B$28,IF(Skills!C16=3,120+Inputs!$B$26+Inputs!$B$28,MAX(0,(Inputs!$B$3-100)*3)+Inputs!$B$27+Inputs!$B$28)))</f>
        <v/>
      </c>
      <c r="E695">
        <f>INDEX(FactorTable!$B$2:$Y$301, MATCH(ROUND(MIN(300,MAX(1,D695)),0), FactorTable!$A$2:$A$301,0), Skills!M16+1)</f>
        <v/>
      </c>
      <c r="F695">
        <f>IF(Skills!N16=TRUE,(Skills!L16/10)*(E695/1000),Skills!L16/10)+Skills!O16</f>
        <v/>
      </c>
      <c r="G695">
        <f>Skills!G16*IF(Skills!H16&gt;0,Skills!I16/Skills!H16,1)</f>
        <v/>
      </c>
      <c r="H695">
        <f>1-(1-Skills!J16/100)^Skills!K16</f>
        <v/>
      </c>
      <c r="I695" t="inlineStr">
        <is>
          <t>1</t>
        </is>
      </c>
      <c r="J695" t="inlineStr"/>
      <c r="K695" t="inlineStr"/>
      <c r="L695" t="inlineStr"/>
      <c r="M695" t="inlineStr"/>
      <c r="N695" t="inlineStr"/>
      <c r="O695" t="n">
        <v>0</v>
      </c>
      <c r="P695">
        <f>IF(B714=0,0,O695/B714)</f>
        <v/>
      </c>
      <c r="Q695">
        <f>IFERROR(1/IF(Inputs!$B$4="pvp",15,MAX(0.1,Skills!D16-IF(Skills!E16=TRUE,Inputs!$B$31,0))),0)</f>
        <v/>
      </c>
      <c r="R695">
        <f>IF(AND(Inputs!$B$4&lt;&gt;"pvp",Inputs!$B$35&gt;0),(INT(Inputs!$B$35/IF(Inputs!$B$4="pvp",15,MAX(0.1,Skills!D16-IF(Skills!E16=TRUE,Inputs!$B$31,0))))+1),0)</f>
        <v/>
      </c>
      <c r="S695">
        <f>IFERROR(O695/N695,0)</f>
        <v/>
      </c>
    </row>
    <row r="696">
      <c r="A696">
        <f>Skills!A17</f>
        <v/>
      </c>
      <c r="B696">
        <f>Skills!B17</f>
        <v/>
      </c>
      <c r="C696">
        <f>Inputs!$B$3&gt;=115</f>
        <v/>
      </c>
      <c r="D696">
        <f>IF(Skills!C17=1,60+Inputs!$B$24+Inputs!$B$28,IF(Skills!C17=2,90+(Inputs!$B$25+1)+Inputs!$B$28,IF(Skills!C17=3,120+Inputs!$B$26+Inputs!$B$28,MAX(0,(Inputs!$B$3-100)*3)+Inputs!$B$27+Inputs!$B$28)))</f>
        <v/>
      </c>
      <c r="E696">
        <f>INDEX(FactorTable!$B$2:$Y$301, MATCH(ROUND(MIN(300,MAX(1,D696)),0), FactorTable!$A$2:$A$301,0), Skills!M17+1)</f>
        <v/>
      </c>
      <c r="F696">
        <f>IF(Skills!N17=TRUE,(Skills!L17/10)*(E696/1000),Skills!L17/10)+Skills!O17</f>
        <v/>
      </c>
      <c r="G696">
        <f>Skills!G17*IF(Skills!H17&gt;0,Skills!I17/Skills!H17,1)</f>
        <v/>
      </c>
      <c r="H696">
        <f>1-(1-Skills!J17/100)^Skills!K17</f>
        <v/>
      </c>
      <c r="I696" t="inlineStr">
        <is>
          <t>1</t>
        </is>
      </c>
      <c r="J696" t="inlineStr"/>
      <c r="K696" t="inlineStr"/>
      <c r="L696" t="inlineStr"/>
      <c r="M696" t="inlineStr"/>
      <c r="N696" t="inlineStr"/>
      <c r="O696" t="n">
        <v>0</v>
      </c>
      <c r="P696">
        <f>IF(B714=0,0,O696/B714)</f>
        <v/>
      </c>
      <c r="Q696">
        <f>IFERROR(1/IF(Inputs!$B$4="pvp",15,MAX(0.1,Skills!D17-IF(Skills!E17=TRUE,Inputs!$B$31,0))),0)</f>
        <v/>
      </c>
      <c r="R696">
        <f>IF(AND(Inputs!$B$4&lt;&gt;"pvp",Inputs!$B$35&gt;0),(INT(Inputs!$B$35/IF(Inputs!$B$4="pvp",15,MAX(0.1,Skills!D17-IF(Skills!E17=TRUE,Inputs!$B$31,0))))+1),0)</f>
        <v/>
      </c>
      <c r="S696">
        <f>IFERROR(O696/N696,0)</f>
        <v/>
      </c>
    </row>
    <row r="697">
      <c r="A697">
        <f>Skills!A18</f>
        <v/>
      </c>
      <c r="B697">
        <f>Skills!B18</f>
        <v/>
      </c>
      <c r="C697">
        <f>Inputs!$B$3&gt;=74</f>
        <v/>
      </c>
      <c r="D697">
        <f>IF(Skills!C18=1,60+Inputs!$B$24+Inputs!$B$28,IF(Skills!C18=2,90+(Inputs!$B$25+1)+Inputs!$B$28,IF(Skills!C18=3,120+Inputs!$B$26+Inputs!$B$28,MAX(0,(Inputs!$B$3-100)*3)+Inputs!$B$27+Inputs!$B$28)))</f>
        <v/>
      </c>
      <c r="E697">
        <f>INDEX(FactorTable!$B$2:$Y$301, MATCH(ROUND(MIN(300,MAX(1,D697)),0), FactorTable!$A$2:$A$301,0), Skills!M18+1)</f>
        <v/>
      </c>
      <c r="F697">
        <f>IF(Skills!N18=TRUE,(Skills!L18/10)*(E697/1000),Skills!L18/10)+Skills!O18</f>
        <v/>
      </c>
      <c r="G697">
        <f>Skills!G18*IF(Skills!H18&gt;0,Skills!I18/Skills!H18,1)</f>
        <v/>
      </c>
      <c r="H697">
        <f>1-(1-Skills!J18/100)^Skills!K18</f>
        <v/>
      </c>
      <c r="I697" t="inlineStr">
        <is>
          <t>1</t>
        </is>
      </c>
      <c r="J697" t="inlineStr"/>
      <c r="K697" t="inlineStr"/>
      <c r="L697" t="inlineStr"/>
      <c r="M697" t="inlineStr"/>
      <c r="N697" t="inlineStr"/>
      <c r="O697" t="n">
        <v>0</v>
      </c>
      <c r="P697">
        <f>IF(B714=0,0,O697/B714)</f>
        <v/>
      </c>
      <c r="Q697">
        <f>IFERROR(1/IF(Inputs!$B$4="pvp",15,MAX(0.1,Skills!D18-IF(Skills!E18=TRUE,Inputs!$B$31,0))),0)</f>
        <v/>
      </c>
      <c r="R697">
        <f>IF(AND(Inputs!$B$4&lt;&gt;"pvp",Inputs!$B$35&gt;0),(INT(Inputs!$B$35/IF(Inputs!$B$4="pvp",15,MAX(0.1,Skills!D18-IF(Skills!E18=TRUE,Inputs!$B$31,0))))+1),0)</f>
        <v/>
      </c>
      <c r="S697">
        <f>IFERROR(O697/N697,0)</f>
        <v/>
      </c>
    </row>
    <row r="698">
      <c r="A698">
        <f>Skills!A19</f>
        <v/>
      </c>
      <c r="B698">
        <f>Skills!B19</f>
        <v/>
      </c>
      <c r="C698">
        <f>TRUE</f>
        <v/>
      </c>
      <c r="D698">
        <f>IF(Skills!C19=1,60+Inputs!$B$24+Inputs!$B$28,IF(Skills!C19=2,90+(Inputs!$B$25+1)+Inputs!$B$28,IF(Skills!C19=3,120+Inputs!$B$26+Inputs!$B$28,MAX(0,(Inputs!$B$3-100)*3)+Inputs!$B$27+Inputs!$B$28)))</f>
        <v/>
      </c>
      <c r="E698">
        <f>INDEX(FactorTable!$B$2:$Y$301, MATCH(ROUND(MIN(300,MAX(1,D698)),0), FactorTable!$A$2:$A$301,0), Skills!M19+1)</f>
        <v/>
      </c>
      <c r="F698">
        <f>IF(Skills!N19=TRUE,(Skills!L19/10)*(E698/1000),Skills!L19/10)+Skills!O19</f>
        <v/>
      </c>
      <c r="G698">
        <f>Skills!G19*IF(Skills!H19&gt;0,Skills!I19/Skills!H19,1)</f>
        <v/>
      </c>
      <c r="H698">
        <f>1-(1-Skills!J19/100)^Skills!K19</f>
        <v/>
      </c>
      <c r="I698" t="inlineStr">
        <is>
          <t>1</t>
        </is>
      </c>
      <c r="J698" t="inlineStr"/>
      <c r="K698" t="inlineStr"/>
      <c r="L698" t="inlineStr"/>
      <c r="M698" t="inlineStr"/>
      <c r="N698" t="inlineStr"/>
      <c r="O698" t="n">
        <v>0</v>
      </c>
      <c r="P698">
        <f>IF(B714=0,0,O698/B714)</f>
        <v/>
      </c>
      <c r="Q698">
        <f>IFERROR(1/IF(Inputs!$B$4="pvp",15,MAX(0.1,Skills!D19-IF(Skills!E19=TRUE,Inputs!$B$31,0))),0)</f>
        <v/>
      </c>
      <c r="R698">
        <f>IF(AND(Inputs!$B$4&lt;&gt;"pvp",Inputs!$B$35&gt;0),(INT(Inputs!$B$35/IF(Inputs!$B$4="pvp",15,MAX(0.1,Skills!D19-IF(Skills!E19=TRUE,Inputs!$B$31,0))))+1),0)</f>
        <v/>
      </c>
      <c r="S698">
        <f>IFERROR(O698/N698,0)</f>
        <v/>
      </c>
    </row>
    <row r="699">
      <c r="A699">
        <f>Skills!A20</f>
        <v/>
      </c>
      <c r="B699">
        <f>Skills!B20</f>
        <v/>
      </c>
      <c r="C699">
        <f>Inputs!$B$3&gt;=33</f>
        <v/>
      </c>
      <c r="D699">
        <f>IF(Skills!C20=1,60+Inputs!$B$24+Inputs!$B$28,IF(Skills!C20=2,90+(Inputs!$B$25+1)+Inputs!$B$28,IF(Skills!C20=3,120+Inputs!$B$26+Inputs!$B$28,MAX(0,(Inputs!$B$3-100)*3)+Inputs!$B$27+Inputs!$B$28)))</f>
        <v/>
      </c>
      <c r="E699">
        <f>INDEX(FactorTable!$B$2:$Y$301, MATCH(ROUND(MIN(300,MAX(1,D699)),0), FactorTable!$A$2:$A$301,0), Skills!M20+1)</f>
        <v/>
      </c>
      <c r="F699">
        <f>IF(Skills!N20=TRUE,(Skills!L20/10)*(E699/1000),Skills!L20/10)+Skills!O20</f>
        <v/>
      </c>
      <c r="G699">
        <f>Skills!G20*IF(Skills!H20&gt;0,Skills!I20/Skills!H20,1)</f>
        <v/>
      </c>
      <c r="H699">
        <f>1-(1-Skills!J20/100)^Skills!K20</f>
        <v/>
      </c>
      <c r="I699" t="inlineStr">
        <is>
          <t>1</t>
        </is>
      </c>
      <c r="J699" t="inlineStr"/>
      <c r="K699" t="inlineStr"/>
      <c r="L699" t="inlineStr"/>
      <c r="M699" t="inlineStr"/>
      <c r="N699" t="inlineStr"/>
      <c r="O699" t="n">
        <v>0</v>
      </c>
      <c r="P699">
        <f>IF(B714=0,0,O699/B714)</f>
        <v/>
      </c>
      <c r="Q699" t="n">
        <v>0</v>
      </c>
      <c r="R699" t="n">
        <v>0</v>
      </c>
      <c r="S699">
        <f>IFERROR(O699/N699,0)</f>
        <v/>
      </c>
    </row>
    <row r="700">
      <c r="A700">
        <f>Skills!A21</f>
        <v/>
      </c>
      <c r="B700">
        <f>Skills!B21</f>
        <v/>
      </c>
      <c r="C700">
        <f>Inputs!$B$3&gt;=38</f>
        <v/>
      </c>
      <c r="D700">
        <f>IF(Skills!C21=1,60+Inputs!$B$24+Inputs!$B$28,IF(Skills!C21=2,90+(Inputs!$B$25+1)+Inputs!$B$28,IF(Skills!C21=3,120+Inputs!$B$26+Inputs!$B$28,MAX(0,(Inputs!$B$3-100)*3)+Inputs!$B$27+Inputs!$B$28)))</f>
        <v/>
      </c>
      <c r="E700">
        <f>INDEX(FactorTable!$B$2:$Y$301, MATCH(ROUND(MIN(300,MAX(1,D700)),0), FactorTable!$A$2:$A$301,0), Skills!M21+1)</f>
        <v/>
      </c>
      <c r="F700">
        <f>IF(Skills!N21=TRUE,(Skills!L21/10)*(E700/1000),Skills!L21/10)+Skills!O21</f>
        <v/>
      </c>
      <c r="G700">
        <f>Skills!G21*IF(Skills!H21&gt;0,Skills!I21/Skills!H21,1)</f>
        <v/>
      </c>
      <c r="H700">
        <f>1-(1-Skills!J21/100)^Skills!K21</f>
        <v/>
      </c>
      <c r="I700" t="inlineStr">
        <is>
          <t>1</t>
        </is>
      </c>
      <c r="J700" t="inlineStr"/>
      <c r="K700" t="inlineStr"/>
      <c r="L700" t="inlineStr"/>
      <c r="M700" t="inlineStr"/>
      <c r="N700" t="inlineStr"/>
      <c r="O700" t="n">
        <v>0</v>
      </c>
      <c r="P700">
        <f>IF(B714=0,0,O700/B714)</f>
        <v/>
      </c>
      <c r="Q700" t="n">
        <v>0</v>
      </c>
      <c r="R700" t="n">
        <v>0</v>
      </c>
      <c r="S700">
        <f>IFERROR(O700/N700,0)</f>
        <v/>
      </c>
    </row>
    <row r="701">
      <c r="A701">
        <f>Skills!A22</f>
        <v/>
      </c>
      <c r="B701">
        <f>Skills!B22</f>
        <v/>
      </c>
      <c r="C701">
        <f>Inputs!$B$3&gt;=43</f>
        <v/>
      </c>
      <c r="D701">
        <f>IF(Skills!C22=1,60+Inputs!$B$24+Inputs!$B$28,IF(Skills!C22=2,90+(Inputs!$B$25+1)+Inputs!$B$28,IF(Skills!C22=3,120+Inputs!$B$26+Inputs!$B$28,MAX(0,(Inputs!$B$3-100)*3)+Inputs!$B$27+Inputs!$B$28)))</f>
        <v/>
      </c>
      <c r="E701">
        <f>INDEX(FactorTable!$B$2:$Y$301, MATCH(ROUND(MIN(300,MAX(1,D701)),0), FactorTable!$A$2:$A$301,0), Skills!M22+1)</f>
        <v/>
      </c>
      <c r="F701">
        <f>IF(Skills!N22=TRUE,(Skills!L22/10)*(E701/1000),Skills!L22/10)+Skills!O22</f>
        <v/>
      </c>
      <c r="G701">
        <f>Skills!G22*IF(Skills!H22&gt;0,Skills!I22/Skills!H22,1)</f>
        <v/>
      </c>
      <c r="H701">
        <f>1-(1-Skills!J22/100)^Skills!K22</f>
        <v/>
      </c>
      <c r="I701" t="inlineStr">
        <is>
          <t>1</t>
        </is>
      </c>
      <c r="J701" t="inlineStr"/>
      <c r="K701" t="inlineStr"/>
      <c r="L701" t="inlineStr"/>
      <c r="M701" t="inlineStr"/>
      <c r="N701" t="inlineStr"/>
      <c r="O701" t="n">
        <v>0</v>
      </c>
      <c r="P701">
        <f>IF(B714=0,0,O701/B714)</f>
        <v/>
      </c>
      <c r="Q701" t="n">
        <v>0</v>
      </c>
      <c r="R701" t="n">
        <v>0</v>
      </c>
      <c r="S701">
        <f>IFERROR(O701/N701,0)</f>
        <v/>
      </c>
    </row>
    <row r="702">
      <c r="A702">
        <f>Skills!A23</f>
        <v/>
      </c>
      <c r="B702">
        <f>Skills!B23</f>
        <v/>
      </c>
      <c r="C702">
        <f>Inputs!$B$3&gt;=120</f>
        <v/>
      </c>
      <c r="D702">
        <f>IF(Skills!C23=1,60+Inputs!$B$24+Inputs!$B$28,IF(Skills!C23=2,90+(Inputs!$B$25+1)+Inputs!$B$28,IF(Skills!C23=3,120+Inputs!$B$26+Inputs!$B$28,MAX(0,(Inputs!$B$3-100)*3)+Inputs!$B$27+Inputs!$B$28)))</f>
        <v/>
      </c>
      <c r="E702">
        <f>INDEX(FactorTable!$B$2:$Y$301, MATCH(ROUND(MIN(300,MAX(1,D702)),0), FactorTable!$A$2:$A$301,0), Skills!M23+1)</f>
        <v/>
      </c>
      <c r="F702">
        <f>IF(Skills!N23=TRUE,(Skills!L23/10)*(E702/1000),Skills!L23/10)+Skills!O23</f>
        <v/>
      </c>
      <c r="G702">
        <f>Skills!G23*IF(Skills!H23&gt;0,Skills!I23/Skills!H23,1)</f>
        <v/>
      </c>
      <c r="H702">
        <f>1-(1-Skills!J23/100)^Skills!K23</f>
        <v/>
      </c>
      <c r="I702" t="inlineStr">
        <is>
          <t>1</t>
        </is>
      </c>
      <c r="J702" t="inlineStr"/>
      <c r="K702" t="inlineStr"/>
      <c r="L702" t="inlineStr"/>
      <c r="M702" t="inlineStr"/>
      <c r="N702" t="inlineStr"/>
      <c r="O702" t="n">
        <v>0</v>
      </c>
      <c r="P702">
        <f>IF(B714=0,0,O702/B714)</f>
        <v/>
      </c>
      <c r="Q702" t="n">
        <v>0</v>
      </c>
      <c r="R702" t="n">
        <v>0</v>
      </c>
      <c r="S702">
        <f>IFERROR(O702/N702,0)</f>
        <v/>
      </c>
    </row>
    <row r="703">
      <c r="A703">
        <f>Skills!A24</f>
        <v/>
      </c>
      <c r="B703">
        <f>Skills!B24</f>
        <v/>
      </c>
      <c r="C703">
        <f>Inputs!$B$3&gt;=120</f>
        <v/>
      </c>
      <c r="D703">
        <f>IF(Skills!C24=1,60+Inputs!$B$24+Inputs!$B$28,IF(Skills!C24=2,90+(Inputs!$B$25+1)+Inputs!$B$28,IF(Skills!C24=3,120+Inputs!$B$26+Inputs!$B$28,MAX(0,(Inputs!$B$3-100)*3)+Inputs!$B$27+Inputs!$B$28)))</f>
        <v/>
      </c>
      <c r="E703">
        <f>INDEX(FactorTable!$B$2:$Y$301, MATCH(ROUND(MIN(300,MAX(1,D703)),0), FactorTable!$A$2:$A$301,0), Skills!M24+1)</f>
        <v/>
      </c>
      <c r="F703">
        <f>IF(Skills!N24=TRUE,(Skills!L24/10)*(E703/1000),Skills!L24/10)+Skills!O24</f>
        <v/>
      </c>
      <c r="G703">
        <f>Skills!G24*IF(Skills!H24&gt;0,Skills!I24/Skills!H24,1)</f>
        <v/>
      </c>
      <c r="H703">
        <f>1-(1-Skills!J24/100)^Skills!K24</f>
        <v/>
      </c>
      <c r="I703" t="inlineStr">
        <is>
          <t>1</t>
        </is>
      </c>
      <c r="J703" t="inlineStr"/>
      <c r="K703" t="inlineStr"/>
      <c r="L703" t="inlineStr"/>
      <c r="M703" t="inlineStr"/>
      <c r="N703" t="inlineStr"/>
      <c r="O703" t="n">
        <v>0</v>
      </c>
      <c r="P703">
        <f>IF(B714=0,0,O703/B714)</f>
        <v/>
      </c>
      <c r="Q703" t="n">
        <v>0</v>
      </c>
      <c r="R703" t="n">
        <v>0</v>
      </c>
      <c r="S703">
        <f>IFERROR(O703/N703,0)</f>
        <v/>
      </c>
    </row>
    <row r="705">
      <c r="A705" t="inlineStr">
        <is>
          <t>Attack% Bucket Multiplier</t>
        </is>
      </c>
      <c r="B705">
        <f>(1+(((C692=TRUE)*F692*MIN(1,Skills!T13*(Skills!J13/100)*B710))+((C697=TRUE)*F697*IF(AND(Inputs!$B$4&lt;&gt;"pvp",Inputs!$B$35&gt;0),(((S697-1)*(Skills!T18*(1+Inputs!$B$33/100))+MIN((Skills!T18*(1+Inputs!$B$33/100)),MAX(0,Inputs!$B$35-((S697-1)*Skills!D18))))/Inputs!$B$35),IF(Inputs!$B$4="pvp",MIN((Skills!T18*(1+Inputs!$B$33/100)),15)/15,(Skills!T18*(1+Inputs!$B$33/100))/Skills!D18)))+0)/100)</f>
        <v/>
      </c>
    </row>
    <row r="706">
      <c r="A706" t="inlineStr">
        <is>
          <t>Global Crit Rate Bonus %</t>
        </is>
      </c>
      <c r="B706" t="n">
        <v>0</v>
      </c>
    </row>
    <row r="707">
      <c r="A707" t="inlineStr">
        <is>
          <t>Attack Speed Buff Bonus %</t>
        </is>
      </c>
      <c r="B707">
        <f>((C698=TRUE)*F698*IF(AND(Inputs!$B$4&lt;&gt;"pvp",Inputs!$B$35&gt;0),(((S698-1)*(Skills!T19*(1+Inputs!$B$33/100))+MIN((Skills!T19*(1+Inputs!$B$33/100)),MAX(0,Inputs!$B$35-((S698-1)*Skills!D19))))/Inputs!$B$35),IF(Inputs!$B$4="pvp",MIN((Skills!T19*(1+Inputs!$B$33/100)),15)/15,(Skills!T19*(1+Inputs!$B$33/100))/Skills!D19)))</f>
        <v/>
      </c>
    </row>
    <row r="708">
      <c r="A708" t="inlineStr">
        <is>
          <t>Actions Per Second</t>
        </is>
      </c>
      <c r="B708">
        <f>1+MIN(150,150*(1-(1-(Inputs!$B$10+((C699=TRUE)*(F699-Calc!F20)))/150)*(1-B707/150)))/100</f>
        <v/>
      </c>
    </row>
    <row r="709">
      <c r="A709" t="inlineStr">
        <is>
          <t>Skill + Buff Cast Rate</t>
        </is>
      </c>
      <c r="B709">
        <f>IF(AND(Inputs!$B$4&lt;&gt;"pvp",Inputs!$B$35&gt;0),SUMPRODUCT((Skills!E2:E24=TRUE)*(C681:C703=TRUE)*R681:R703*Skills!F2:F24)/Inputs!$B$35,SUMPRODUCT((Skills!E2:E24=TRUE)*(C681:C703=TRUE)*Q681:Q703*Skills!F2:F24))</f>
        <v/>
      </c>
    </row>
    <row r="710">
      <c r="A710" t="inlineStr">
        <is>
          <t>Blast Casts Per Second</t>
        </is>
      </c>
      <c r="B710">
        <f>MAX(0,B708-B709)</f>
        <v/>
      </c>
    </row>
    <row r="711">
      <c r="A711" t="inlineStr">
        <is>
          <t>Global Critical Damage Bonus % (unused)</t>
        </is>
      </c>
      <c r="B711" t="n">
        <v>0</v>
      </c>
    </row>
    <row r="712">
      <c r="A712" t="inlineStr">
        <is>
          <t>Global Final Damage Bonus % (Divine Shield + Guardian + Divine Blessing + Greater Vessel of Light)</t>
        </is>
      </c>
      <c r="B712">
        <f>((C694=TRUE)*F694*IF(AND(Inputs!$B$4&lt;&gt;"pvp",Inputs!$B$35&gt;0),(((S694-1)*(Skills!T15*(1+Inputs!$B$33/100))+MIN((Skills!T15*(1+Inputs!$B$33/100)),MAX(0,Inputs!$B$35-((S694-1)*Skills!D15))))/Inputs!$B$35),IF(Inputs!$B$4="pvp",MIN((Skills!T15*(1+Inputs!$B$33/100)),15)/15,(Skills!T15*(1+Inputs!$B$33/100))/Skills!D15)))+((C695=TRUE)*F695*IF(AND(Inputs!$B$4&lt;&gt;"pvp",Inputs!$B$35&gt;0),(((S695-1)*(Skills!T16*(1+Inputs!$B$33/100))+MIN((Skills!T16*(1+Inputs!$B$33/100)),MAX(0,Inputs!$B$35-((S695-1)*Skills!D16))))/Inputs!$B$35),IF(Inputs!$B$4="pvp",MIN((Skills!T16*(1+Inputs!$B$33/100)),15)/15,(Skills!T16*(1+Inputs!$B$33/100))/Skills!D16)))+((C696=TRUE)*F696*IF(AND(Inputs!$B$4&lt;&gt;"pvp",Inputs!$B$35&gt;0),(((S696-1)*(Skills!T17*(1+Inputs!$B$33/100))+MIN((Skills!T17*(1+Inputs!$B$33/100)),MAX(0,Inputs!$B$35-((S696-1)*Skills!D17))))/Inputs!$B$35),IF(Inputs!$B$4="pvp",MIN((Skills!T17*(1+Inputs!$B$33/100)),15)/15,(Skills!T17*(1+Inputs!$B$33/100))/Skills!D17)))+((C693=TRUE)*F693*MIN(1,Skills!T13*(Skills!J13/100)*B710))</f>
        <v/>
      </c>
    </row>
    <row r="714">
      <c r="A714" s="5" t="inlineStr">
        <is>
          <t>TOTAL DPS</t>
        </is>
      </c>
      <c r="B714" s="5">
        <f>SUM(O681:O703)</f>
        <v/>
      </c>
    </row>
    <row r="717">
      <c r="A717" s="5" t="inlineStr">
        <is>
          <t>Stat: Skill Level Bonus — 3rd Job</t>
        </is>
      </c>
    </row>
    <row r="718">
      <c r="A718" s="8" t="inlineStr">
        <is>
          <t>Key</t>
        </is>
      </c>
      <c r="B718" s="8" t="inlineStr">
        <is>
          <t>Name</t>
        </is>
      </c>
      <c r="C718" s="8" t="inlineStr">
        <is>
          <t>Unlocked</t>
        </is>
      </c>
      <c r="D718" s="8" t="inlineStr">
        <is>
          <t>InputLevel</t>
        </is>
      </c>
      <c r="E718" s="8" t="inlineStr">
        <is>
          <t>Factor</t>
        </is>
      </c>
      <c r="F718" s="8" t="inlineStr">
        <is>
          <t>CoefficientPercent</t>
        </is>
      </c>
      <c r="G718" s="8" t="inlineStr">
        <is>
          <t>EffectiveHits</t>
        </is>
      </c>
      <c r="H718" s="8" t="inlineStr">
        <is>
          <t>ProcProbability</t>
        </is>
      </c>
      <c r="I718" s="8" t="inlineStr">
        <is>
          <t>MapleHeroMultiplier</t>
        </is>
      </c>
      <c r="J718" s="8" t="inlineStr">
        <is>
          <t>BaseDamage</t>
        </is>
      </c>
      <c r="K718" s="8" t="inlineStr">
        <is>
          <t>BaseHitDamage</t>
        </is>
      </c>
      <c r="L718" s="8" t="inlineStr">
        <is>
          <t>NonCritAvg</t>
        </is>
      </c>
      <c r="M718" s="8" t="inlineStr">
        <is>
          <t>CritAvg</t>
        </is>
      </c>
      <c r="N718" s="8" t="inlineStr">
        <is>
          <t>ExpectedDamage(perHit)</t>
        </is>
      </c>
      <c r="O718" s="8" t="inlineStr">
        <is>
          <t>DPS</t>
        </is>
      </c>
      <c r="P718" s="8" t="inlineStr">
        <is>
          <t>% of Total</t>
        </is>
      </c>
      <c r="Q718" s="8" t="inlineStr">
        <is>
          <t>InvCooldown</t>
        </is>
      </c>
      <c r="R718" s="8" t="inlineStr">
        <is>
          <t>CastsInFight</t>
        </is>
      </c>
      <c r="S718" s="8" t="inlineStr">
        <is>
          <t>HitRate(perSec)</t>
        </is>
      </c>
      <c r="U718" t="inlineStr">
        <is>
          <t>helpers</t>
        </is>
      </c>
    </row>
    <row r="719">
      <c r="A719">
        <f>Skills!A2</f>
        <v/>
      </c>
      <c r="B719">
        <f>Skills!B2</f>
        <v/>
      </c>
      <c r="C719">
        <f>Inputs!$B$3&gt;=100</f>
        <v/>
      </c>
      <c r="D719" t="inlineStr"/>
      <c r="E719" t="inlineStr"/>
      <c r="F719">
        <f>U721+Skills!O2</f>
        <v/>
      </c>
      <c r="G719">
        <f>Skills!G2*IF(Skills!H2&gt;0,Skills!I2/Skills!H2,1)</f>
        <v/>
      </c>
      <c r="H719">
        <f>1-(1-Skills!J2/100)^Skills!K2</f>
        <v/>
      </c>
      <c r="I719" t="inlineStr">
        <is>
          <t>1</t>
        </is>
      </c>
      <c r="J719">
        <f>(Inputs!$B$5*(1+Inputs!$B$6/100))*(F719/100)</f>
        <v/>
      </c>
      <c r="K719">
        <f>J719*(1+((Inputs!$B$11*(1+Inputs!$B$12/100))*0.01+Inputs!$B$13*0.0025)/100)*(1+Inputs!$B$14/100)*(1+IF(Inputs!$B$4="pvp",0,(1-Summary!$B$55)*(Inputs!$B$19+0+Skills!P2)+Summary!$B$55*(Inputs!$B$20+Skills!Q2))/100)*(1+Inputs!$B$15/100)*(5000/(6000+Inputs!$B$7*(1-(Inputs!$B$18+0)/100)))*(1+(Inputs!$B$23+0+B750)/100)*(1+(IF(Skills!A2="BLAST",Inputs!$B$16+((C738=TRUE)*(F738-Calc!F21)),Inputs!$B$17+((C740=TRUE)*(F740-Calc!F23))))/100)*((1+(((C730=TRUE)*F730*MIN(1,Skills!T13*(Skills!J13/100)*B748))+((C735=TRUE)*F735*IF(AND(Inputs!$B$4&lt;&gt;"pvp",Inputs!$B$35&gt;0),(((S735-1)*(Skills!T18*(1+Inputs!$B$33/100))+MIN((Skills!T18*(1+Inputs!$B$33/100)),MAX(0,Inputs!$B$35-((S735-1)*Skills!D18))))/Inputs!$B$35),IF(Inputs!$B$4="pvp",MIN((Skills!T18*(1+Inputs!$B$33/100)),15)/15,(Skills!T18*(1+Inputs!$B$33/100))/Skills!D18)))+0)/100)*I719)</f>
        <v/>
      </c>
      <c r="L719">
        <f>K719*(MIN(Inputs!$B$21+((C739=TRUE)*(F739-Calc!F22)),Inputs!$B$22+((C741=TRUE)*(F741-Calc!F24)))/100+(Inputs!$B$22+((C741=TRUE)*(F741-Calc!F24)))/100)/2</f>
        <v/>
      </c>
      <c r="M719">
        <f>L719*(1+(Inputs!$B$9+0+B749)/100)</f>
        <v/>
      </c>
      <c r="N719">
        <f>L719*(1-MIN((Inputs!$B$8+0+B744),100)/100)+M719*(MIN((Inputs!$B$8+0+B744),100)/100)</f>
        <v/>
      </c>
      <c r="O719">
        <f>IF(C719,Skills!G2*N719*B748*IF(Inputs!$B$4="pvp",1,(1-Summary!$B$55)*(1)+Summary!$B$55*(MIN((6+Inputs!$B$32),Inputs!$B$37))),0)</f>
        <v/>
      </c>
      <c r="P719">
        <f>IF(B752=0,0,O719/B752)</f>
        <v/>
      </c>
      <c r="Q719" t="n">
        <v>0</v>
      </c>
      <c r="R719" t="n">
        <v>0</v>
      </c>
      <c r="S719">
        <f>IFERROR(O719/N719,0)</f>
        <v/>
      </c>
      <c r="U719">
        <f>MAX(0,(Inputs!$B$3-100)*3)+Inputs!$B$27+Inputs!$B$28</f>
        <v/>
      </c>
    </row>
    <row r="720">
      <c r="A720">
        <f>Skills!A3</f>
        <v/>
      </c>
      <c r="B720">
        <f>Skills!B3</f>
        <v/>
      </c>
      <c r="C720">
        <f>Inputs!$B$3&gt;=50</f>
        <v/>
      </c>
      <c r="D720">
        <f>IF(Skills!C3=1,60+Inputs!$B$24+Inputs!$B$28,IF(Skills!C3=2,90+Inputs!$B$25+Inputs!$B$28,IF(Skills!C3=3,120+(Inputs!$B$26+1)+Inputs!$B$28,MAX(0,(Inputs!$B$3-100)*3)+Inputs!$B$27+Inputs!$B$28)))</f>
        <v/>
      </c>
      <c r="E720">
        <f>INDEX(FactorTable!$B$2:$Y$301, MATCH(ROUND(MIN(300,MAX(1,D720)),0), FactorTable!$A$2:$A$301,0), Skills!M3+1)</f>
        <v/>
      </c>
      <c r="F720">
        <f>IF(Skills!N3=TRUE,(Skills!L3/10)*(E720/1000),Skills!L3/10)+Skills!O3</f>
        <v/>
      </c>
      <c r="G720" t="inlineStr"/>
      <c r="H720" t="inlineStr"/>
      <c r="I720" t="inlineStr">
        <is>
          <t>1</t>
        </is>
      </c>
      <c r="J720" t="inlineStr"/>
      <c r="K720" t="inlineStr"/>
      <c r="L720" t="inlineStr"/>
      <c r="M720" t="inlineStr"/>
      <c r="N720" t="inlineStr"/>
      <c r="O720" t="inlineStr"/>
      <c r="P720" t="inlineStr"/>
      <c r="Q720" t="inlineStr"/>
      <c r="R720" t="inlineStr"/>
      <c r="S720" t="inlineStr"/>
      <c r="U720">
        <f>INDEX(FactorTable!$B$2:$Y$301, MATCH(ROUND(MIN(300,MAX(1,U719)),0), FactorTable!$A$2:$A$301,0), 22)</f>
        <v/>
      </c>
    </row>
    <row r="721">
      <c r="A721">
        <f>Skills!A4</f>
        <v/>
      </c>
      <c r="B721">
        <f>Skills!B4</f>
        <v/>
      </c>
      <c r="C721">
        <f>Inputs!$B$3&gt;=35</f>
        <v/>
      </c>
      <c r="D721">
        <f>IF(Skills!C4=1,60+Inputs!$B$24+Inputs!$B$28,IF(Skills!C4=2,90+Inputs!$B$25+Inputs!$B$28,IF(Skills!C4=3,120+(Inputs!$B$26+1)+Inputs!$B$28,MAX(0,(Inputs!$B$3-100)*3)+Inputs!$B$27+Inputs!$B$28)))</f>
        <v/>
      </c>
      <c r="E721">
        <f>INDEX(FactorTable!$B$2:$Y$301, MATCH(ROUND(MIN(300,MAX(1,D721)),0), FactorTable!$A$2:$A$301,0), Skills!M4+1)</f>
        <v/>
      </c>
      <c r="F721">
        <f>IF(Skills!N4=TRUE,(Skills!L4/10)*(E721/1000),Skills!L4/10)+Skills!O4</f>
        <v/>
      </c>
      <c r="G721">
        <f>Skills!G4*IF(Skills!H4&gt;0,Skills!I4/Skills!H4,1)</f>
        <v/>
      </c>
      <c r="H721">
        <f>1-(1-Skills!J4/100)^Skills!K4</f>
        <v/>
      </c>
      <c r="I721" t="inlineStr">
        <is>
          <t>1</t>
        </is>
      </c>
      <c r="J721">
        <f>(Inputs!$B$5*(1+Inputs!$B$6/100))*(F721/100)</f>
        <v/>
      </c>
      <c r="K721">
        <f>J721*(1+((Inputs!$B$11*(1+Inputs!$B$12/100))*0.01+Inputs!$B$13*0.0025)/100)*(1+Inputs!$B$14/100)*(1+IF(Inputs!$B$4="pvp",0,(1-Summary!$B$55)*(Inputs!$B$19+0+Skills!P4)+Summary!$B$55*(Inputs!$B$20+Skills!Q4))/100)*(1+Inputs!$B$15/100)*(5000/(6000+Inputs!$B$7*(1-(Inputs!$B$18+0)/100)))*(1+(Inputs!$B$23+0+B750)/100)*(1+4.0*IF(C729=TRUE,F729,0)/100)*(1+(IF(Skills!A4="BLAST",Inputs!$B$16+((C738=TRUE)*(F738-Calc!F21)),Inputs!$B$17+((C740=TRUE)*(F740-Calc!F23))))/100)*((1+(((C730=TRUE)*F730*MIN(1,Skills!T13*(Skills!J13/100)*B748))+((C735=TRUE)*F735*IF(AND(Inputs!$B$4&lt;&gt;"pvp",Inputs!$B$35&gt;0),(((S735-1)*(Skills!T18*(1+Inputs!$B$33/100))+MIN((Skills!T18*(1+Inputs!$B$33/100)),MAX(0,Inputs!$B$35-((S735-1)*Skills!D18))))/Inputs!$B$35),IF(Inputs!$B$4="pvp",MIN((Skills!T18*(1+Inputs!$B$33/100)),15)/15,(Skills!T18*(1+Inputs!$B$33/100))/Skills!D18)))+0)/100)*I721)</f>
        <v/>
      </c>
      <c r="L721">
        <f>K721*(MIN(Inputs!$B$21+((C739=TRUE)*(F739-Calc!F22)),Inputs!$B$22+((C741=TRUE)*(F741-Calc!F24)))/100+(Inputs!$B$22+((C741=TRUE)*(F741-Calc!F24)))/100)/2</f>
        <v/>
      </c>
      <c r="M721">
        <f>L721*(1+(Inputs!$B$9+0+B749)/100)</f>
        <v/>
      </c>
      <c r="N721">
        <f>L721*(1-MIN((Inputs!$B$8+0+B744),100)/100)+M721*(MIN((Inputs!$B$8+0+B744),100)/100)</f>
        <v/>
      </c>
      <c r="O721">
        <f>IF(C721,H721*N721*IF(AND(Inputs!$B$4&lt;&gt;"pvp",Inputs!$B$35&gt;0),((Skills!G4*((R721-1)*IF(Skills!H4&gt;0,Skills!I4/Skills!H4,1)+IF(Skills!H4&gt;0,MIN(Skills!I4,MAX(0,Inputs!$B$35-((R721-1)*IF(Inputs!$B$4="pvp",15,MAX(0.1,Skills!D4-IF(Skills!E4=TRUE,Inputs!$B$31,0))))))/Skills!H4,1)))/Inputs!$B$35),G721*Q721)*IF(Inputs!$B$4="pvp",1,(1-Summary!$B$55)*(1)+Summary!$B$55*(MIN(Skills!R4,Inputs!$B$37))),0)</f>
        <v/>
      </c>
      <c r="P721">
        <f>IF(B752=0,0,O721/B752)</f>
        <v/>
      </c>
      <c r="Q721">
        <f>IFERROR(1/IF(Inputs!$B$4="pvp",15,MAX(0.1,Skills!D4-IF(Skills!E4=TRUE,Inputs!$B$31,0))),0)</f>
        <v/>
      </c>
      <c r="R721">
        <f>IF(AND(Inputs!$B$4&lt;&gt;"pvp",Inputs!$B$35&gt;0),(INT(Inputs!$B$35/IF(Inputs!$B$4="pvp",15,MAX(0.1,Skills!D4-IF(Skills!E4=TRUE,Inputs!$B$31,0))))+1),0)</f>
        <v/>
      </c>
      <c r="S721">
        <f>IFERROR(O721/N721,0)</f>
        <v/>
      </c>
      <c r="U721">
        <f>290*U720/1000</f>
        <v/>
      </c>
    </row>
    <row r="722">
      <c r="A722">
        <f>Skills!A5</f>
        <v/>
      </c>
      <c r="B722">
        <f>Skills!B5</f>
        <v/>
      </c>
      <c r="C722">
        <f>Inputs!$B$3&gt;=66</f>
        <v/>
      </c>
      <c r="D722">
        <f>IF(Skills!C5=1,60+Inputs!$B$24+Inputs!$B$28,IF(Skills!C5=2,90+Inputs!$B$25+Inputs!$B$28,IF(Skills!C5=3,120+(Inputs!$B$26+1)+Inputs!$B$28,MAX(0,(Inputs!$B$3-100)*3)+Inputs!$B$27+Inputs!$B$28)))</f>
        <v/>
      </c>
      <c r="E722">
        <f>INDEX(FactorTable!$B$2:$Y$301, MATCH(ROUND(MIN(300,MAX(1,D722)),0), FactorTable!$A$2:$A$301,0), Skills!M5+1)</f>
        <v/>
      </c>
      <c r="F722">
        <f>IF(Skills!N5=TRUE,(Skills!L5/10)*(E722/1000),Skills!L5/10)+Skills!O5</f>
        <v/>
      </c>
      <c r="G722">
        <f>Skills!G5*IF(Skills!H5&gt;0,Skills!I5/Skills!H5,1)</f>
        <v/>
      </c>
      <c r="H722">
        <f>1-(1-Skills!J5/100)^Skills!K5</f>
        <v/>
      </c>
      <c r="I722" t="inlineStr">
        <is>
          <t>1</t>
        </is>
      </c>
      <c r="J722">
        <f>(Inputs!$B$5*(1+Inputs!$B$6/100))*(F722/100)</f>
        <v/>
      </c>
      <c r="K722">
        <f>J722*(1+((Inputs!$B$11*(1+Inputs!$B$12/100))*0.01+Inputs!$B$13*0.0025)/100)*(1+Inputs!$B$14/100)*(1+IF(Inputs!$B$4="pvp",0,(1-Summary!$B$55)*(Inputs!$B$19+0+Skills!P5)+Summary!$B$55*(Inputs!$B$20+Skills!Q5))/100)*(1+Inputs!$B$15/100)*(5000/(6000+Inputs!$B$7*(1-(Inputs!$B$18+0)/100)))*(1+(Inputs!$B$23+0+B750)/100)*(1+1.0*IF(C729=TRUE,F729,0)/100)*(1+(IF(Skills!A5="BLAST",Inputs!$B$16+((C738=TRUE)*(F738-Calc!F21)),Inputs!$B$17+((C740=TRUE)*(F740-Calc!F23))))/100)*((1+(((C730=TRUE)*F730*MIN(1,Skills!T13*(Skills!J13/100)*B748))+((C735=TRUE)*F735*IF(AND(Inputs!$B$4&lt;&gt;"pvp",Inputs!$B$35&gt;0),(((S735-1)*(Skills!T18*(1+Inputs!$B$33/100))+MIN((Skills!T18*(1+Inputs!$B$33/100)),MAX(0,Inputs!$B$35-((S735-1)*Skills!D18))))/Inputs!$B$35),IF(Inputs!$B$4="pvp",MIN((Skills!T18*(1+Inputs!$B$33/100)),15)/15,(Skills!T18*(1+Inputs!$B$33/100))/Skills!D18)))+0)/100)*I722)</f>
        <v/>
      </c>
      <c r="L722">
        <f>K722*(MIN(Inputs!$B$21+((C739=TRUE)*(F739-Calc!F22)),Inputs!$B$22+((C741=TRUE)*(F741-Calc!F24)))/100+(Inputs!$B$22+((C741=TRUE)*(F741-Calc!F24)))/100)/2</f>
        <v/>
      </c>
      <c r="M722">
        <f>L722*(1+(Inputs!$B$9+0+B749)/100)</f>
        <v/>
      </c>
      <c r="N722">
        <f>L722*(1-MIN((Inputs!$B$8+0+B744),100)/100)+M722*(MIN((Inputs!$B$8+0+B744),100)/100)</f>
        <v/>
      </c>
      <c r="O722">
        <f>IF(C722,H722*N722*IF(AND(Inputs!$B$4&lt;&gt;"pvp",Inputs!$B$35&gt;0),((Skills!G5*((R722-1)*IF(Skills!H5&gt;0,Skills!I5/Skills!H5,1)+IF(Skills!H5&gt;0,MIN(Skills!I5,MAX(0,Inputs!$B$35-((R722-1)*IF(Inputs!$B$4="pvp",15,MAX(0.1,Skills!D5-IF(Skills!E5=TRUE,Inputs!$B$31,0))))))/Skills!H5,1)))/Inputs!$B$35),G722*Q722)*IF(Inputs!$B$4="pvp",1,(1-Summary!$B$55)*(1)+Summary!$B$55*(MIN(Skills!R5,Inputs!$B$37))),0)</f>
        <v/>
      </c>
      <c r="P722">
        <f>IF(B752=0,0,O722/B752)</f>
        <v/>
      </c>
      <c r="Q722">
        <f>IFERROR(1/IF(Inputs!$B$4="pvp",15,MAX(0.1,Skills!D5-IF(Skills!E5=TRUE,Inputs!$B$31,0))),0)</f>
        <v/>
      </c>
      <c r="R722">
        <f>IF(AND(Inputs!$B$4&lt;&gt;"pvp",Inputs!$B$35&gt;0),(INT(Inputs!$B$35/IF(Inputs!$B$4="pvp",15,MAX(0.1,Skills!D5-IF(Skills!E5=TRUE,Inputs!$B$31,0))))+1),0)</f>
        <v/>
      </c>
      <c r="S722">
        <f>IFERROR(O722/N722,0)</f>
        <v/>
      </c>
    </row>
    <row r="723">
      <c r="A723">
        <f>Skills!A6</f>
        <v/>
      </c>
      <c r="B723">
        <f>Skills!B6</f>
        <v/>
      </c>
      <c r="C723">
        <f>Inputs!$B$3&gt;=103</f>
        <v/>
      </c>
      <c r="D723">
        <f>IF(Skills!C6=1,60+Inputs!$B$24+Inputs!$B$28,IF(Skills!C6=2,90+Inputs!$B$25+Inputs!$B$28,IF(Skills!C6=3,120+(Inputs!$B$26+1)+Inputs!$B$28,MAX(0,(Inputs!$B$3-100)*3)+Inputs!$B$27+Inputs!$B$28)))</f>
        <v/>
      </c>
      <c r="E723">
        <f>INDEX(FactorTable!$B$2:$Y$301, MATCH(ROUND(MIN(300,MAX(1,D723)),0), FactorTable!$A$2:$A$301,0), Skills!M6+1)</f>
        <v/>
      </c>
      <c r="F723">
        <f>IF(Skills!N6=TRUE,(Skills!L6/10)*(E723/1000),Skills!L6/10)+Skills!O6</f>
        <v/>
      </c>
      <c r="G723">
        <f>Skills!G6*IF(Skills!H6&gt;0,Skills!I6/Skills!H6,1)</f>
        <v/>
      </c>
      <c r="H723">
        <f>1-(1-Skills!J6/100)^Skills!K6</f>
        <v/>
      </c>
      <c r="I723" t="inlineStr">
        <is>
          <t>1</t>
        </is>
      </c>
      <c r="J723">
        <f>(Inputs!$B$5*(1+Inputs!$B$6/100))*(F723/100)</f>
        <v/>
      </c>
      <c r="K723">
        <f>J723*(1+((Inputs!$B$11*(1+Inputs!$B$12/100))*0.01+Inputs!$B$13*0.0025)/100)*(1+Inputs!$B$14/100)*(1+IF(Inputs!$B$4="pvp",0,(1-Summary!$B$55)*(Inputs!$B$19+0+Skills!P6)+Summary!$B$55*(Inputs!$B$20+Skills!Q6))/100)*(1+Inputs!$B$15/100)*(5000/(6000+Inputs!$B$7*(1-(Inputs!$B$18+0)/100)))*(1+(Inputs!$B$23+0+B750)/100)*(1+(IF(Skills!A6="BLAST",Inputs!$B$16+((C738=TRUE)*(F738-Calc!F21)),Inputs!$B$17+((C740=TRUE)*(F740-Calc!F23))))/100)*((1+(((C730=TRUE)*F730*MIN(1,Skills!T13*(Skills!J13/100)*B748))+((C735=TRUE)*F735*IF(AND(Inputs!$B$4&lt;&gt;"pvp",Inputs!$B$35&gt;0),(((S735-1)*(Skills!T18*(1+Inputs!$B$33/100))+MIN((Skills!T18*(1+Inputs!$B$33/100)),MAX(0,Inputs!$B$35-((S735-1)*Skills!D18))))/Inputs!$B$35),IF(Inputs!$B$4="pvp",MIN((Skills!T18*(1+Inputs!$B$33/100)),15)/15,(Skills!T18*(1+Inputs!$B$33/100))/Skills!D18)))+0)/100)*I723)</f>
        <v/>
      </c>
      <c r="L723">
        <f>K723*(MIN(Inputs!$B$21+((C739=TRUE)*(F739-Calc!F22)),Inputs!$B$22+((C741=TRUE)*(F741-Calc!F24)))/100+(Inputs!$B$22+((C741=TRUE)*(F741-Calc!F24)))/100)/2</f>
        <v/>
      </c>
      <c r="M723">
        <f>L723*(1+(Inputs!$B$9+0+B749)/100)</f>
        <v/>
      </c>
      <c r="N723">
        <f>L723*(1-MIN((Inputs!$B$8+0+B744),100)/100)+M723*(MIN((Inputs!$B$8+0+B744),100)/100)</f>
        <v/>
      </c>
      <c r="O723">
        <f>IF(C723,H723*N723*IF(AND(Inputs!$B$4&lt;&gt;"pvp",Inputs!$B$35&gt;0),((Skills!G6*((R723-1)*IF(Skills!H6&gt;0,Skills!I6/Skills!H6,1)+IF(Skills!H6&gt;0,MIN(Skills!I6,MAX(0,Inputs!$B$35-((R723-1)*IF(Inputs!$B$4="pvp",15,MAX(0.1,Skills!D6-IF(Skills!E6=TRUE,Inputs!$B$31,0))))))/Skills!H6,1)))/Inputs!$B$35),G723*Q723)*IF(Inputs!$B$4="pvp",1,(1-Summary!$B$55)*(1)+Summary!$B$55*(MIN(Skills!R6,Inputs!$B$37))),0)</f>
        <v/>
      </c>
      <c r="P723">
        <f>IF(B752=0,0,O723/B752)</f>
        <v/>
      </c>
      <c r="Q723">
        <f>IFERROR(1/IF(Inputs!$B$4="pvp",15,MAX(0.1,Skills!D6-IF(Skills!E6=TRUE,Inputs!$B$31,0))),0)</f>
        <v/>
      </c>
      <c r="R723">
        <f>IF(AND(Inputs!$B$4&lt;&gt;"pvp",Inputs!$B$35&gt;0),(INT(Inputs!$B$35/IF(Inputs!$B$4="pvp",15,MAX(0.1,Skills!D6-IF(Skills!E6=TRUE,Inputs!$B$31,0))))+1),0)</f>
        <v/>
      </c>
      <c r="S723">
        <f>IFERROR(O723/N723,0)</f>
        <v/>
      </c>
    </row>
    <row r="724">
      <c r="A724">
        <f>Skills!A7</f>
        <v/>
      </c>
      <c r="B724">
        <f>Skills!B7</f>
        <v/>
      </c>
      <c r="C724">
        <f>Inputs!$B$3&gt;=107</f>
        <v/>
      </c>
      <c r="D724">
        <f>IF(Skills!C7=1,60+Inputs!$B$24+Inputs!$B$28,IF(Skills!C7=2,90+Inputs!$B$25+Inputs!$B$28,IF(Skills!C7=3,120+(Inputs!$B$26+1)+Inputs!$B$28,MAX(0,(Inputs!$B$3-100)*3)+Inputs!$B$27+Inputs!$B$28)))</f>
        <v/>
      </c>
      <c r="E724">
        <f>INDEX(FactorTable!$B$2:$Y$301, MATCH(ROUND(MIN(300,MAX(1,D724)),0), FactorTable!$A$2:$A$301,0), Skills!M7+1)</f>
        <v/>
      </c>
      <c r="F724">
        <f>IF(Skills!N7=TRUE,(Skills!L7/10)*(E724/1000),Skills!L7/10)+Skills!O7</f>
        <v/>
      </c>
      <c r="G724">
        <f>Skills!G7*IF(Skills!H7&gt;0,Skills!I7/Skills!H7,1)</f>
        <v/>
      </c>
      <c r="H724">
        <f>1-(1-Skills!J7/100)^Skills!K7</f>
        <v/>
      </c>
      <c r="I724" t="inlineStr">
        <is>
          <t>1</t>
        </is>
      </c>
      <c r="J724">
        <f>(Inputs!$B$5*(1+Inputs!$B$6/100))*(F724/100)</f>
        <v/>
      </c>
      <c r="K724">
        <f>J724*(1+((Inputs!$B$11*(1+Inputs!$B$12/100))*0.01+Inputs!$B$13*0.0025)/100)*(1+Inputs!$B$14/100)*(1+IF(Inputs!$B$4="pvp",0,(1-Summary!$B$55)*(Inputs!$B$19+0+Skills!P7)+Summary!$B$55*(Inputs!$B$20+Skills!Q7))/100)*(1+Inputs!$B$15/100)*(5000/(6000+Inputs!$B$7*(1-(Inputs!$B$18+0)/100)))*(1+(Inputs!$B$23+0+B750)/100)*(1+(IF(Skills!A7="BLAST",Inputs!$B$16+((C738=TRUE)*(F738-Calc!F21)),Inputs!$B$17+((C740=TRUE)*(F740-Calc!F23))))/100)*((1+(((C730=TRUE)*F730*MIN(1,Skills!T13*(Skills!J13/100)*B748))+((C735=TRUE)*F735*IF(AND(Inputs!$B$4&lt;&gt;"pvp",Inputs!$B$35&gt;0),(((S735-1)*(Skills!T18*(1+Inputs!$B$33/100))+MIN((Skills!T18*(1+Inputs!$B$33/100)),MAX(0,Inputs!$B$35-((S735-1)*Skills!D18))))/Inputs!$B$35),IF(Inputs!$B$4="pvp",MIN((Skills!T18*(1+Inputs!$B$33/100)),15)/15,(Skills!T18*(1+Inputs!$B$33/100))/Skills!D18)))+0)/100)*I724)</f>
        <v/>
      </c>
      <c r="L724">
        <f>K724*(MIN(Inputs!$B$21+((C739=TRUE)*(F739-Calc!F22)),Inputs!$B$22+((C741=TRUE)*(F741-Calc!F24)))/100+(Inputs!$B$22+((C741=TRUE)*(F741-Calc!F24)))/100)/2</f>
        <v/>
      </c>
      <c r="M724">
        <f>L724*(1+(Inputs!$B$9+0+B749)/100)</f>
        <v/>
      </c>
      <c r="N724">
        <f>L724*(1-MIN((Inputs!$B$8+0+B744),100)/100)+M724*(MIN((Inputs!$B$8+0+B744),100)/100)</f>
        <v/>
      </c>
      <c r="O724">
        <f>IF(C724,H724*N724*IF(AND(Inputs!$B$4&lt;&gt;"pvp",Inputs!$B$35&gt;0),((Skills!G7*((R724-1)*IF(Skills!H7&gt;0,Skills!I7/Skills!H7,1)+IF(Skills!H7&gt;0,MIN(Skills!I7,MAX(0,Inputs!$B$35-((R724-1)*IF(Inputs!$B$4="pvp",15,MAX(0.1,Skills!D7-IF(Skills!E7=TRUE,Inputs!$B$31,0))))))/Skills!H7,1)))/Inputs!$B$35),G724*Q724)*IF(Inputs!$B$4="pvp",1,(1-Summary!$B$55)*(1)+Summary!$B$55*(MIN(Skills!R7,Inputs!$B$37))),0)</f>
        <v/>
      </c>
      <c r="P724">
        <f>IF(B752=0,0,O724/B752)</f>
        <v/>
      </c>
      <c r="Q724">
        <f>IFERROR(1/IF(Inputs!$B$4="pvp",15,MAX(0.1,Skills!D7-IF(Skills!E7=TRUE,Inputs!$B$31,0))),0)</f>
        <v/>
      </c>
      <c r="R724">
        <f>IF(AND(Inputs!$B$4&lt;&gt;"pvp",Inputs!$B$35&gt;0),(INT(Inputs!$B$35/IF(Inputs!$B$4="pvp",15,MAX(0.1,Skills!D7-IF(Skills!E7=TRUE,Inputs!$B$31,0))))+1),0)</f>
        <v/>
      </c>
      <c r="S724">
        <f>IFERROR(O724/N724,0)</f>
        <v/>
      </c>
    </row>
    <row r="725">
      <c r="A725">
        <f>Skills!A8</f>
        <v/>
      </c>
      <c r="B725">
        <f>Skills!B8</f>
        <v/>
      </c>
      <c r="C725">
        <f>Inputs!$B$3&gt;=107</f>
        <v/>
      </c>
      <c r="D725">
        <f>IF(Skills!C8=1,60+Inputs!$B$24+Inputs!$B$28,IF(Skills!C8=2,90+Inputs!$B$25+Inputs!$B$28,IF(Skills!C8=3,120+(Inputs!$B$26+1)+Inputs!$B$28,MAX(0,(Inputs!$B$3-100)*3)+Inputs!$B$27+Inputs!$B$28)))</f>
        <v/>
      </c>
      <c r="E725">
        <f>INDEX(FactorTable!$B$2:$Y$301, MATCH(ROUND(MIN(300,MAX(1,D725)),0), FactorTable!$A$2:$A$301,0), Skills!M8+1)</f>
        <v/>
      </c>
      <c r="F725">
        <f>IF(Skills!N8=TRUE,(Skills!L8/10)*(E725/1000),Skills!L8/10)+Skills!O8</f>
        <v/>
      </c>
      <c r="G725">
        <f>Skills!G8*IF(Skills!H8&gt;0,Skills!I8/Skills!H8,1)</f>
        <v/>
      </c>
      <c r="H725">
        <f>1-(1-Skills!J8/100)^Skills!K8</f>
        <v/>
      </c>
      <c r="I725" t="inlineStr">
        <is>
          <t>1</t>
        </is>
      </c>
      <c r="J725">
        <f>(Inputs!$B$5*(1+Inputs!$B$6/100))*(F725/100)</f>
        <v/>
      </c>
      <c r="K725">
        <f>J725*(1+((Inputs!$B$11*(1+Inputs!$B$12/100))*0.01+Inputs!$B$13*0.0025)/100)*(1+Inputs!$B$14/100)*(1+IF(Inputs!$B$4="pvp",0,(1-Summary!$B$55)*(Inputs!$B$19+0+Skills!P8)+Summary!$B$55*(Inputs!$B$20+Skills!Q8))/100)*(1+Inputs!$B$15/100)*(5000/(6000+Inputs!$B$7*(1-(Inputs!$B$18+0)/100)))*(1+(Inputs!$B$23+0+B750)/100)*(1+(IF(Skills!A8="BLAST",Inputs!$B$16+((C738=TRUE)*(F738-Calc!F21)),Inputs!$B$17+((C740=TRUE)*(F740-Calc!F23))))/100)*((1+(((C730=TRUE)*F730*MIN(1,Skills!T13*(Skills!J13/100)*B748))+((C735=TRUE)*F735*IF(AND(Inputs!$B$4&lt;&gt;"pvp",Inputs!$B$35&gt;0),(((S735-1)*(Skills!T18*(1+Inputs!$B$33/100))+MIN((Skills!T18*(1+Inputs!$B$33/100)),MAX(0,Inputs!$B$35-((S735-1)*Skills!D18))))/Inputs!$B$35),IF(Inputs!$B$4="pvp",MIN((Skills!T18*(1+Inputs!$B$33/100)),15)/15,(Skills!T18*(1+Inputs!$B$33/100))/Skills!D18)))+0)/100)*I725)</f>
        <v/>
      </c>
      <c r="L725">
        <f>K725*(MIN(Inputs!$B$21+((C739=TRUE)*(F739-Calc!F22)),Inputs!$B$22+((C741=TRUE)*(F741-Calc!F24)))/100+(Inputs!$B$22+((C741=TRUE)*(F741-Calc!F24)))/100)/2</f>
        <v/>
      </c>
      <c r="M725">
        <f>L725*(1+(Inputs!$B$9+0+B749)/100)</f>
        <v/>
      </c>
      <c r="N725">
        <f>L725*(1-MIN((Inputs!$B$8+0+B744),100)/100)+M725*(MIN((Inputs!$B$8+0+B744),100)/100)</f>
        <v/>
      </c>
      <c r="O725">
        <f>IF(C725,H725*N725*IF(AND(Inputs!$B$4&lt;&gt;"pvp",Inputs!$B$35&gt;0),((Skills!G8*((R725-1)*IF(Skills!H8&gt;0,Skills!I8/Skills!H8,1)+IF(Skills!H8&gt;0,MIN(Skills!I8,MAX(0,Inputs!$B$35-((R725-1)*IF(Inputs!$B$4="pvp",15,MAX(0.1,Skills!D8-IF(Skills!E8=TRUE,Inputs!$B$31,0))))))/Skills!H8,1)))/Inputs!$B$35),G725*Q725)*IF(Inputs!$B$4="pvp",1,(1-Summary!$B$55)*(1)+Summary!$B$55*(MIN(Skills!R8,Inputs!$B$37))),0)</f>
        <v/>
      </c>
      <c r="P725">
        <f>IF(B752=0,0,O725/B752)</f>
        <v/>
      </c>
      <c r="Q725">
        <f>IFERROR(1/IF(Inputs!$B$4="pvp",15,MAX(0.1,Skills!D8-IF(Skills!E8=TRUE,Inputs!$B$31,0))),0)</f>
        <v/>
      </c>
      <c r="R725">
        <f>IF(AND(Inputs!$B$4&lt;&gt;"pvp",Inputs!$B$35&gt;0),(INT(Inputs!$B$35/IF(Inputs!$B$4="pvp",15,MAX(0.1,Skills!D8-IF(Skills!E8=TRUE,Inputs!$B$31,0))))+1),0)</f>
        <v/>
      </c>
      <c r="S725">
        <f>IFERROR(O725/N725,0)</f>
        <v/>
      </c>
    </row>
    <row r="726">
      <c r="A726">
        <f>Skills!A9</f>
        <v/>
      </c>
      <c r="B726">
        <f>Skills!B9</f>
        <v/>
      </c>
      <c r="C726">
        <f>Inputs!$B$3&gt;=125</f>
        <v/>
      </c>
      <c r="D726">
        <f>IF(Skills!C9=1,60+Inputs!$B$24+Inputs!$B$28,IF(Skills!C9=2,90+Inputs!$B$25+Inputs!$B$28,IF(Skills!C9=3,120+(Inputs!$B$26+1)+Inputs!$B$28,MAX(0,(Inputs!$B$3-100)*3)+Inputs!$B$27+Inputs!$B$28)))</f>
        <v/>
      </c>
      <c r="E726">
        <f>INDEX(FactorTable!$B$2:$Y$301, MATCH(ROUND(MIN(300,MAX(1,D726)),0), FactorTable!$A$2:$A$301,0), Skills!M9+1)</f>
        <v/>
      </c>
      <c r="F726">
        <f>IF(Skills!N9=TRUE,(Skills!L9/10)*(E726/1000),Skills!L9/10)+Skills!O9</f>
        <v/>
      </c>
      <c r="G726">
        <f>Skills!G9*IF(Skills!H9&gt;0,Skills!I9/Skills!H9,1)</f>
        <v/>
      </c>
      <c r="H726">
        <f>1-(1-Skills!J9/100)^Skills!K9</f>
        <v/>
      </c>
      <c r="I726" t="inlineStr">
        <is>
          <t>1</t>
        </is>
      </c>
      <c r="J726">
        <f>(Inputs!$B$5*(1+Inputs!$B$6/100))*(F726/100)</f>
        <v/>
      </c>
      <c r="K726">
        <f>J726*(1+((Inputs!$B$11*(1+Inputs!$B$12/100))*0.01+Inputs!$B$13*0.0025)/100)*(1+Inputs!$B$14/100)*(1+IF(Inputs!$B$4="pvp",0,(1-Summary!$B$55)*(Inputs!$B$19+0+Skills!P9)+Summary!$B$55*(Inputs!$B$20+Skills!Q9))/100)*(1+Inputs!$B$15/100)*(5000/(6000+Inputs!$B$7*(1-(Inputs!$B$18+0)/100)))*(1+(Inputs!$B$23+0+B750)/100)*(1+(IF(Skills!A9="BLAST",Inputs!$B$16+((C738=TRUE)*(F738-Calc!F21)),Inputs!$B$17+((C740=TRUE)*(F740-Calc!F23))))/100)*((1+(((C730=TRUE)*F730*MIN(1,Skills!T13*(Skills!J13/100)*B748))+((C735=TRUE)*F735*IF(AND(Inputs!$B$4&lt;&gt;"pvp",Inputs!$B$35&gt;0),(((S735-1)*(Skills!T18*(1+Inputs!$B$33/100))+MIN((Skills!T18*(1+Inputs!$B$33/100)),MAX(0,Inputs!$B$35-((S735-1)*Skills!D18))))/Inputs!$B$35),IF(Inputs!$B$4="pvp",MIN((Skills!T18*(1+Inputs!$B$33/100)),15)/15,(Skills!T18*(1+Inputs!$B$33/100))/Skills!D18)))+0)/100)*I726)</f>
        <v/>
      </c>
      <c r="L726">
        <f>K726*(MIN(Inputs!$B$21+((C739=TRUE)*(F739-Calc!F22)),Inputs!$B$22+((C741=TRUE)*(F741-Calc!F24)))/100+(Inputs!$B$22+((C741=TRUE)*(F741-Calc!F24)))/100)/2</f>
        <v/>
      </c>
      <c r="M726">
        <f>L726*(1+(Inputs!$B$9+0+B749)/100)</f>
        <v/>
      </c>
      <c r="N726">
        <f>L726*(1-MIN((Inputs!$B$8+0+B744),100)/100)+M726*(MIN((Inputs!$B$8+0+B744),100)/100)</f>
        <v/>
      </c>
      <c r="O726">
        <f>IF(C726,H726*N726*IF(AND(Inputs!$B$4&lt;&gt;"pvp",Inputs!$B$35&gt;0),((Skills!G9*((R726-1)*IF(Skills!H9&gt;0,Skills!I9/Skills!H9,1)+IF(Skills!H9&gt;0,MIN(Skills!I9,MAX(0,Inputs!$B$35-((R726-1)*IF(Inputs!$B$4="pvp",15,MAX(0.1,Skills!D9-IF(Skills!E9=TRUE,Inputs!$B$31,0))))))/Skills!H9,1)))/Inputs!$B$35),G726*Q726)*IF(Inputs!$B$4="pvp",1,(1-Summary!$B$55)*(1)+Summary!$B$55*(MIN(Skills!R9,Inputs!$B$37))),0)</f>
        <v/>
      </c>
      <c r="P726">
        <f>IF(B752=0,0,O726/B752)</f>
        <v/>
      </c>
      <c r="Q726">
        <f>IFERROR(1/IF(Inputs!$B$4="pvp",15,MAX(0.1,Skills!D9-IF(Skills!E9=TRUE,Inputs!$B$31,0))),0)</f>
        <v/>
      </c>
      <c r="R726">
        <f>IF(AND(Inputs!$B$4&lt;&gt;"pvp",Inputs!$B$35&gt;0),(INT(Inputs!$B$35/IF(Inputs!$B$4="pvp",15,MAX(0.1,Skills!D9-IF(Skills!E9=TRUE,Inputs!$B$31,0))))+1),0)</f>
        <v/>
      </c>
      <c r="S726">
        <f>IFERROR(O726/N726,0)</f>
        <v/>
      </c>
    </row>
    <row r="727">
      <c r="A727">
        <f>Skills!A10</f>
        <v/>
      </c>
      <c r="B727">
        <f>Skills!B10</f>
        <v/>
      </c>
      <c r="C727">
        <f>Inputs!$B$3&gt;=117</f>
        <v/>
      </c>
      <c r="D727">
        <f>IF(Skills!C10=1,60+Inputs!$B$24+Inputs!$B$28,IF(Skills!C10=2,90+Inputs!$B$25+Inputs!$B$28,IF(Skills!C10=3,120+(Inputs!$B$26+1)+Inputs!$B$28,MAX(0,(Inputs!$B$3-100)*3)+Inputs!$B$27+Inputs!$B$28)))</f>
        <v/>
      </c>
      <c r="E727">
        <f>INDEX(FactorTable!$B$2:$Y$301, MATCH(ROUND(MIN(300,MAX(1,D727)),0), FactorTable!$A$2:$A$301,0), Skills!M10+1)</f>
        <v/>
      </c>
      <c r="F727">
        <f>IF(Skills!N10=TRUE,(Skills!L10/10)*(E727/1000),Skills!L10/10)+Skills!O10</f>
        <v/>
      </c>
      <c r="G727">
        <f>Skills!G10*IF(Skills!H10&gt;0,Skills!I10/Skills!H10,1)</f>
        <v/>
      </c>
      <c r="H727">
        <f>1-(1-Skills!J10/100)^Skills!K10</f>
        <v/>
      </c>
      <c r="I727" t="inlineStr">
        <is>
          <t>1</t>
        </is>
      </c>
      <c r="J727">
        <f>(Inputs!$B$5*(1+Inputs!$B$6/100))*(F727/100)</f>
        <v/>
      </c>
      <c r="K727">
        <f>J727*(1+((Inputs!$B$11*(1+Inputs!$B$12/100))*0.01+Inputs!$B$13*0.0025)/100)*(1+Inputs!$B$14/100)*(1+IF(Inputs!$B$4="pvp",0,(1-Summary!$B$55)*(Inputs!$B$19+0+Skills!P10)+Summary!$B$55*(Inputs!$B$20+Skills!Q10))/100)*(1+Inputs!$B$15/100)*(5000/(6000+Inputs!$B$7*(1-(Inputs!$B$18+0)/100)))*(1+(Inputs!$B$23+0+B750)/100)*(1+(IF(Skills!A10="BLAST",Inputs!$B$16+((C738=TRUE)*(F738-Calc!F21)),Inputs!$B$17+((C740=TRUE)*(F740-Calc!F23))))/100)*((1+(((C730=TRUE)*F730*MIN(1,Skills!T13*(Skills!J13/100)*B748))+((C735=TRUE)*F735*IF(AND(Inputs!$B$4&lt;&gt;"pvp",Inputs!$B$35&gt;0),(((S735-1)*(Skills!T18*(1+Inputs!$B$33/100))+MIN((Skills!T18*(1+Inputs!$B$33/100)),MAX(0,Inputs!$B$35-((S735-1)*Skills!D18))))/Inputs!$B$35),IF(Inputs!$B$4="pvp",MIN((Skills!T18*(1+Inputs!$B$33/100)),15)/15,(Skills!T18*(1+Inputs!$B$33/100))/Skills!D18)))+0)/100)*I727)</f>
        <v/>
      </c>
      <c r="L727">
        <f>K727*(MIN(Inputs!$B$21+((C739=TRUE)*(F739-Calc!F22)),Inputs!$B$22+((C741=TRUE)*(F741-Calc!F24)))/100+(Inputs!$B$22+((C741=TRUE)*(F741-Calc!F24)))/100)/2</f>
        <v/>
      </c>
      <c r="M727">
        <f>L727*(1+(Inputs!$B$9+0+B749)/100)</f>
        <v/>
      </c>
      <c r="N727">
        <f>L727*(1-MIN((Inputs!$B$8+0+B744),100)/100)+M727*(MIN((Inputs!$B$8+0+B744),100)/100)</f>
        <v/>
      </c>
      <c r="O727">
        <f>IF(C727,H727*N727*IF(AND(Inputs!$B$4&lt;&gt;"pvp",Inputs!$B$35&gt;0),((Skills!G10*((R727-1)*IF(Skills!H10&gt;0,Skills!I10/Skills!H10,1)+IF(Skills!H10&gt;0,MIN(Skills!I10,MAX(0,Inputs!$B$35-((R727-1)*IF(Inputs!$B$4="pvp",15,MAX(0.1,Skills!D10-IF(Skills!E10=TRUE,Inputs!$B$31,0))))))/Skills!H10,1)))/Inputs!$B$35),G727*Q727)*IF(Inputs!$B$4="pvp",1,(1-Summary!$B$55)*(1)+Summary!$B$55*(MIN(Skills!R10,Inputs!$B$37))),0)</f>
        <v/>
      </c>
      <c r="P727">
        <f>IF(B752=0,0,O727/B752)</f>
        <v/>
      </c>
      <c r="Q727">
        <f>IFERROR(1/IF(Inputs!$B$4="pvp",15,MAX(0.1,Skills!D10-IF(Skills!E10=TRUE,Inputs!$B$31,0))),0)</f>
        <v/>
      </c>
      <c r="R727">
        <f>IF(AND(Inputs!$B$4&lt;&gt;"pvp",Inputs!$B$35&gt;0),(INT(Inputs!$B$35/IF(Inputs!$B$4="pvp",15,MAX(0.1,Skills!D10-IF(Skills!E10=TRUE,Inputs!$B$31,0))))+1),0)</f>
        <v/>
      </c>
      <c r="S727">
        <f>IFERROR(O727/N727,0)</f>
        <v/>
      </c>
    </row>
    <row r="728">
      <c r="A728">
        <f>Skills!A11</f>
        <v/>
      </c>
      <c r="B728">
        <f>Skills!B11</f>
        <v/>
      </c>
      <c r="C728">
        <f>Inputs!$B$3&gt;=63</f>
        <v/>
      </c>
      <c r="D728">
        <f>IF(Skills!C11=1,60+Inputs!$B$24+Inputs!$B$28,IF(Skills!C11=2,90+Inputs!$B$25+Inputs!$B$28,IF(Skills!C11=3,120+(Inputs!$B$26+1)+Inputs!$B$28,MAX(0,(Inputs!$B$3-100)*3)+Inputs!$B$27+Inputs!$B$28)))</f>
        <v/>
      </c>
      <c r="E728">
        <f>INDEX(FactorTable!$B$2:$Y$301, MATCH(ROUND(MIN(300,MAX(1,D728)),0), FactorTable!$A$2:$A$301,0), Skills!M11+1)</f>
        <v/>
      </c>
      <c r="F728">
        <f>IF(Skills!N11=TRUE,(Skills!L11/10)*(E728/1000),Skills!L11/10)+Skills!O11</f>
        <v/>
      </c>
      <c r="G728">
        <f>Skills!G11*IF(Skills!H11&gt;0,Skills!I11/Skills!H11,1)</f>
        <v/>
      </c>
      <c r="H728">
        <f>1-(1-Skills!J11/100)^Skills!K11</f>
        <v/>
      </c>
      <c r="I728" t="inlineStr">
        <is>
          <t>1</t>
        </is>
      </c>
      <c r="J728">
        <f>(Inputs!$B$5*(1+Inputs!$B$6/100))*(F728/100)</f>
        <v/>
      </c>
      <c r="K728">
        <f>J728*(1+((Inputs!$B$11*(1+Inputs!$B$12/100))*0.01+Inputs!$B$13*0.0025)/100)*(1+Inputs!$B$14/100)*(1+IF(Inputs!$B$4="pvp",0,(1-Summary!$B$55)*(Inputs!$B$19+0+Skills!P11)+Summary!$B$55*(Inputs!$B$20+Skills!Q11))/100)*(1+Inputs!$B$15/100)*(5000/(6000+Inputs!$B$7*(1-(Inputs!$B$18+0)/100)))*(1+(Inputs!$B$23+0+B750)/100)*(1+1.5*IF(C729=TRUE,F729,0)/100)*(1+(IF(Skills!A11="BLAST",Inputs!$B$16+((C738=TRUE)*(F738-Calc!F21)),Inputs!$B$17+((C740=TRUE)*(F740-Calc!F23))))/100)*((1+(((C730=TRUE)*F730*MIN(1,Skills!T13*(Skills!J13/100)*B748))+((C735=TRUE)*F735*IF(AND(Inputs!$B$4&lt;&gt;"pvp",Inputs!$B$35&gt;0),(((S735-1)*(Skills!T18*(1+Inputs!$B$33/100))+MIN((Skills!T18*(1+Inputs!$B$33/100)),MAX(0,Inputs!$B$35-((S735-1)*Skills!D18))))/Inputs!$B$35),IF(Inputs!$B$4="pvp",MIN((Skills!T18*(1+Inputs!$B$33/100)),15)/15,(Skills!T18*(1+Inputs!$B$33/100))/Skills!D18)))+0)/100)*I728)</f>
        <v/>
      </c>
      <c r="L728">
        <f>K728*(MIN(Inputs!$B$21+((C739=TRUE)*(F739-Calc!F22)),Inputs!$B$22+((C741=TRUE)*(F741-Calc!F24)))/100+(Inputs!$B$22+((C741=TRUE)*(F741-Calc!F24)))/100)/2</f>
        <v/>
      </c>
      <c r="M728">
        <f>L728*(1+(Inputs!$B$9+0+B749)/100)</f>
        <v/>
      </c>
      <c r="N728">
        <f>L728*(1-MIN((Inputs!$B$8+0+B744),100)/100)+M728*(MIN((Inputs!$B$8+0+B744),100)/100)</f>
        <v/>
      </c>
      <c r="O728">
        <f>IF(C728,H728*N728*IF(AND(Inputs!$B$4&lt;&gt;"pvp",Inputs!$B$35&gt;0),((Skills!G11*((R728-1)*IF(Skills!H11&gt;0,Skills!I11/Skills!H11,1)+IF(Skills!H11&gt;0,MIN(Skills!I11,MAX(0,Inputs!$B$35-((R728-1)*IF(Inputs!$B$4="pvp",15,MAX(0.1,Skills!D11-IF(Skills!E11=TRUE,Inputs!$B$31,0))))))/Skills!H11,1)))/Inputs!$B$35),G728*Q728)*IF(Inputs!$B$4="pvp",1,(1-Summary!$B$55)*(1)+Summary!$B$55*(MIN(Skills!R11,Inputs!$B$37))),0)</f>
        <v/>
      </c>
      <c r="P728">
        <f>IF(B752=0,0,O728/B752)</f>
        <v/>
      </c>
      <c r="Q728">
        <f>IFERROR(1/IF(Inputs!$B$4="pvp",15,MAX(0.1,Skills!D11-IF(Skills!E11=TRUE,Inputs!$B$31,0))),0)</f>
        <v/>
      </c>
      <c r="R728">
        <f>IF(AND(Inputs!$B$4&lt;&gt;"pvp",Inputs!$B$35&gt;0),(INT(Inputs!$B$35/IF(Inputs!$B$4="pvp",15,MAX(0.1,Skills!D11-IF(Skills!E11=TRUE,Inputs!$B$31,0))))+1),0)</f>
        <v/>
      </c>
      <c r="S728">
        <f>IFERROR(O728/N728,0)</f>
        <v/>
      </c>
    </row>
    <row r="729">
      <c r="A729">
        <f>Skills!A12</f>
        <v/>
      </c>
      <c r="B729">
        <f>Skills!B12</f>
        <v/>
      </c>
      <c r="C729">
        <f>Inputs!$B$3&gt;=100</f>
        <v/>
      </c>
      <c r="D729">
        <f>IF(Skills!C12=1,60+Inputs!$B$24+Inputs!$B$28,IF(Skills!C12=2,90+Inputs!$B$25+Inputs!$B$28,IF(Skills!C12=3,120+(Inputs!$B$26+1)+Inputs!$B$28,MAX(0,(Inputs!$B$3-100)*3)+Inputs!$B$27+Inputs!$B$28)))</f>
        <v/>
      </c>
      <c r="E729">
        <f>INDEX(FactorTable!$B$2:$Y$301, MATCH(ROUND(MIN(300,MAX(1,D729)),0), FactorTable!$A$2:$A$301,0), Skills!M12+1)</f>
        <v/>
      </c>
      <c r="F729">
        <f>IF(Skills!N12=TRUE,(Skills!L12/10)*(E729/1000),Skills!L12/10)+Skills!O12</f>
        <v/>
      </c>
      <c r="G729" t="inlineStr"/>
      <c r="H729" t="inlineStr"/>
      <c r="I729" t="inlineStr">
        <is>
          <t>1</t>
        </is>
      </c>
      <c r="J729" t="inlineStr"/>
      <c r="K729" t="inlineStr"/>
      <c r="L729" t="inlineStr"/>
      <c r="M729" t="inlineStr"/>
      <c r="N729" t="inlineStr"/>
      <c r="O729" t="inlineStr"/>
      <c r="P729" t="inlineStr"/>
      <c r="Q729" t="inlineStr"/>
      <c r="R729" t="inlineStr"/>
      <c r="S729" t="inlineStr"/>
    </row>
    <row r="730">
      <c r="A730">
        <f>Skills!A13</f>
        <v/>
      </c>
      <c r="B730">
        <f>Skills!B13</f>
        <v/>
      </c>
      <c r="C730">
        <f>Inputs!$B$3&gt;=45</f>
        <v/>
      </c>
      <c r="D730">
        <f>IF(Skills!C13=1,60+Inputs!$B$24+Inputs!$B$28,IF(Skills!C13=2,90+Inputs!$B$25+Inputs!$B$28,IF(Skills!C13=3,120+(Inputs!$B$26+1)+Inputs!$B$28,MAX(0,(Inputs!$B$3-100)*3)+Inputs!$B$27+Inputs!$B$28)))</f>
        <v/>
      </c>
      <c r="E730">
        <f>INDEX(FactorTable!$B$2:$Y$301, MATCH(ROUND(MIN(300,MAX(1,D730)),0), FactorTable!$A$2:$A$301,0), Skills!M13+1)</f>
        <v/>
      </c>
      <c r="F730">
        <f>IF(Skills!N13=TRUE,(Skills!L13/10)*(E730/1000),Skills!L13/10)+Skills!O13</f>
        <v/>
      </c>
      <c r="G730">
        <f>Skills!G13*IF(Skills!H13&gt;0,Skills!I13/Skills!H13,1)</f>
        <v/>
      </c>
      <c r="H730">
        <f>1-(1-Skills!J13/100)^Skills!K13</f>
        <v/>
      </c>
      <c r="I730" t="inlineStr">
        <is>
          <t>1</t>
        </is>
      </c>
      <c r="J730" t="inlineStr"/>
      <c r="K730" t="inlineStr"/>
      <c r="L730" t="inlineStr"/>
      <c r="M730" t="inlineStr"/>
      <c r="N730" t="inlineStr"/>
      <c r="O730" t="n">
        <v>0</v>
      </c>
      <c r="P730">
        <f>IF(B752=0,0,O730/B752)</f>
        <v/>
      </c>
      <c r="Q730" t="n">
        <v>0</v>
      </c>
      <c r="R730" t="n">
        <v>0</v>
      </c>
      <c r="S730">
        <f>IFERROR(O730/N730,0)</f>
        <v/>
      </c>
    </row>
    <row r="731">
      <c r="A731">
        <f>Skills!A14</f>
        <v/>
      </c>
      <c r="B731">
        <f>Skills!B14</f>
        <v/>
      </c>
      <c r="C731">
        <f>Inputs!$B$3&gt;=110</f>
        <v/>
      </c>
      <c r="D731">
        <f>IF(Skills!C14=1,60+Inputs!$B$24+Inputs!$B$28,IF(Skills!C14=2,90+Inputs!$B$25+Inputs!$B$28,IF(Skills!C14=3,120+(Inputs!$B$26+1)+Inputs!$B$28,MAX(0,(Inputs!$B$3-100)*3)+Inputs!$B$27+Inputs!$B$28)))</f>
        <v/>
      </c>
      <c r="E731">
        <f>INDEX(FactorTable!$B$2:$Y$301, MATCH(ROUND(MIN(300,MAX(1,D731)),0), FactorTable!$A$2:$A$301,0), Skills!M14+1)</f>
        <v/>
      </c>
      <c r="F731">
        <f>IF(Skills!N14=TRUE,(Skills!L14/10)*(E731/1000),Skills!L14/10)+Skills!O14</f>
        <v/>
      </c>
      <c r="G731">
        <f>Skills!G14*IF(Skills!H14&gt;0,Skills!I14/Skills!H14,1)</f>
        <v/>
      </c>
      <c r="H731">
        <f>1-(1-Skills!J14/100)^Skills!K14</f>
        <v/>
      </c>
      <c r="I731" t="inlineStr">
        <is>
          <t>1</t>
        </is>
      </c>
      <c r="J731" t="inlineStr"/>
      <c r="K731" t="inlineStr"/>
      <c r="L731" t="inlineStr"/>
      <c r="M731" t="inlineStr"/>
      <c r="N731" t="inlineStr"/>
      <c r="O731" t="n">
        <v>0</v>
      </c>
      <c r="P731">
        <f>IF(B752=0,0,O731/B752)</f>
        <v/>
      </c>
      <c r="Q731" t="n">
        <v>0</v>
      </c>
      <c r="R731" t="n">
        <v>0</v>
      </c>
      <c r="S731">
        <f>IFERROR(O731/N731,0)</f>
        <v/>
      </c>
    </row>
    <row r="732">
      <c r="A732">
        <f>Skills!A15</f>
        <v/>
      </c>
      <c r="B732">
        <f>Skills!B15</f>
        <v/>
      </c>
      <c r="C732">
        <f>Inputs!$B$3&gt;=75</f>
        <v/>
      </c>
      <c r="D732">
        <f>IF(Skills!C15=1,60+Inputs!$B$24+Inputs!$B$28,IF(Skills!C15=2,90+Inputs!$B$25+Inputs!$B$28,IF(Skills!C15=3,120+(Inputs!$B$26+1)+Inputs!$B$28,MAX(0,(Inputs!$B$3-100)*3)+Inputs!$B$27+Inputs!$B$28)))</f>
        <v/>
      </c>
      <c r="E732">
        <f>INDEX(FactorTable!$B$2:$Y$301, MATCH(ROUND(MIN(300,MAX(1,D732)),0), FactorTable!$A$2:$A$301,0), Skills!M15+1)</f>
        <v/>
      </c>
      <c r="F732">
        <f>IF(Skills!N15=TRUE,(Skills!L15/10)*(E732/1000),Skills!L15/10)+Skills!O15</f>
        <v/>
      </c>
      <c r="G732">
        <f>Skills!G15*IF(Skills!H15&gt;0,Skills!I15/Skills!H15,1)</f>
        <v/>
      </c>
      <c r="H732">
        <f>1-(1-Skills!J15/100)^Skills!K15</f>
        <v/>
      </c>
      <c r="I732" t="inlineStr">
        <is>
          <t>1</t>
        </is>
      </c>
      <c r="J732" t="inlineStr"/>
      <c r="K732" t="inlineStr"/>
      <c r="L732" t="inlineStr"/>
      <c r="M732" t="inlineStr"/>
      <c r="N732" t="inlineStr"/>
      <c r="O732" t="n">
        <v>0</v>
      </c>
      <c r="P732">
        <f>IF(B752=0,0,O732/B752)</f>
        <v/>
      </c>
      <c r="Q732">
        <f>IFERROR(1/IF(Inputs!$B$4="pvp",15,MAX(0.1,Skills!D15-IF(Skills!E15=TRUE,Inputs!$B$31,0))),0)</f>
        <v/>
      </c>
      <c r="R732">
        <f>IF(AND(Inputs!$B$4&lt;&gt;"pvp",Inputs!$B$35&gt;0),(INT(Inputs!$B$35/IF(Inputs!$B$4="pvp",15,MAX(0.1,Skills!D15-IF(Skills!E15=TRUE,Inputs!$B$31,0))))+1),0)</f>
        <v/>
      </c>
      <c r="S732">
        <f>IFERROR(O732/N732,0)</f>
        <v/>
      </c>
    </row>
    <row r="733">
      <c r="A733">
        <f>Skills!A16</f>
        <v/>
      </c>
      <c r="B733">
        <f>Skills!B16</f>
        <v/>
      </c>
      <c r="C733">
        <f>Inputs!$B$3&gt;=105</f>
        <v/>
      </c>
      <c r="D733">
        <f>IF(Skills!C16=1,60+Inputs!$B$24+Inputs!$B$28,IF(Skills!C16=2,90+Inputs!$B$25+Inputs!$B$28,IF(Skills!C16=3,120+(Inputs!$B$26+1)+Inputs!$B$28,MAX(0,(Inputs!$B$3-100)*3)+Inputs!$B$27+Inputs!$B$28)))</f>
        <v/>
      </c>
      <c r="E733">
        <f>INDEX(FactorTable!$B$2:$Y$301, MATCH(ROUND(MIN(300,MAX(1,D733)),0), FactorTable!$A$2:$A$301,0), Skills!M16+1)</f>
        <v/>
      </c>
      <c r="F733">
        <f>IF(Skills!N16=TRUE,(Skills!L16/10)*(E733/1000),Skills!L16/10)+Skills!O16</f>
        <v/>
      </c>
      <c r="G733">
        <f>Skills!G16*IF(Skills!H16&gt;0,Skills!I16/Skills!H16,1)</f>
        <v/>
      </c>
      <c r="H733">
        <f>1-(1-Skills!J16/100)^Skills!K16</f>
        <v/>
      </c>
      <c r="I733" t="inlineStr">
        <is>
          <t>1</t>
        </is>
      </c>
      <c r="J733" t="inlineStr"/>
      <c r="K733" t="inlineStr"/>
      <c r="L733" t="inlineStr"/>
      <c r="M733" t="inlineStr"/>
      <c r="N733" t="inlineStr"/>
      <c r="O733" t="n">
        <v>0</v>
      </c>
      <c r="P733">
        <f>IF(B752=0,0,O733/B752)</f>
        <v/>
      </c>
      <c r="Q733">
        <f>IFERROR(1/IF(Inputs!$B$4="pvp",15,MAX(0.1,Skills!D16-IF(Skills!E16=TRUE,Inputs!$B$31,0))),0)</f>
        <v/>
      </c>
      <c r="R733">
        <f>IF(AND(Inputs!$B$4&lt;&gt;"pvp",Inputs!$B$35&gt;0),(INT(Inputs!$B$35/IF(Inputs!$B$4="pvp",15,MAX(0.1,Skills!D16-IF(Skills!E16=TRUE,Inputs!$B$31,0))))+1),0)</f>
        <v/>
      </c>
      <c r="S733">
        <f>IFERROR(O733/N733,0)</f>
        <v/>
      </c>
    </row>
    <row r="734">
      <c r="A734">
        <f>Skills!A17</f>
        <v/>
      </c>
      <c r="B734">
        <f>Skills!B17</f>
        <v/>
      </c>
      <c r="C734">
        <f>Inputs!$B$3&gt;=115</f>
        <v/>
      </c>
      <c r="D734">
        <f>IF(Skills!C17=1,60+Inputs!$B$24+Inputs!$B$28,IF(Skills!C17=2,90+Inputs!$B$25+Inputs!$B$28,IF(Skills!C17=3,120+(Inputs!$B$26+1)+Inputs!$B$28,MAX(0,(Inputs!$B$3-100)*3)+Inputs!$B$27+Inputs!$B$28)))</f>
        <v/>
      </c>
      <c r="E734">
        <f>INDEX(FactorTable!$B$2:$Y$301, MATCH(ROUND(MIN(300,MAX(1,D734)),0), FactorTable!$A$2:$A$301,0), Skills!M17+1)</f>
        <v/>
      </c>
      <c r="F734">
        <f>IF(Skills!N17=TRUE,(Skills!L17/10)*(E734/1000),Skills!L17/10)+Skills!O17</f>
        <v/>
      </c>
      <c r="G734">
        <f>Skills!G17*IF(Skills!H17&gt;0,Skills!I17/Skills!H17,1)</f>
        <v/>
      </c>
      <c r="H734">
        <f>1-(1-Skills!J17/100)^Skills!K17</f>
        <v/>
      </c>
      <c r="I734" t="inlineStr">
        <is>
          <t>1</t>
        </is>
      </c>
      <c r="J734" t="inlineStr"/>
      <c r="K734" t="inlineStr"/>
      <c r="L734" t="inlineStr"/>
      <c r="M734" t="inlineStr"/>
      <c r="N734" t="inlineStr"/>
      <c r="O734" t="n">
        <v>0</v>
      </c>
      <c r="P734">
        <f>IF(B752=0,0,O734/B752)</f>
        <v/>
      </c>
      <c r="Q734">
        <f>IFERROR(1/IF(Inputs!$B$4="pvp",15,MAX(0.1,Skills!D17-IF(Skills!E17=TRUE,Inputs!$B$31,0))),0)</f>
        <v/>
      </c>
      <c r="R734">
        <f>IF(AND(Inputs!$B$4&lt;&gt;"pvp",Inputs!$B$35&gt;0),(INT(Inputs!$B$35/IF(Inputs!$B$4="pvp",15,MAX(0.1,Skills!D17-IF(Skills!E17=TRUE,Inputs!$B$31,0))))+1),0)</f>
        <v/>
      </c>
      <c r="S734">
        <f>IFERROR(O734/N734,0)</f>
        <v/>
      </c>
    </row>
    <row r="735">
      <c r="A735">
        <f>Skills!A18</f>
        <v/>
      </c>
      <c r="B735">
        <f>Skills!B18</f>
        <v/>
      </c>
      <c r="C735">
        <f>Inputs!$B$3&gt;=74</f>
        <v/>
      </c>
      <c r="D735">
        <f>IF(Skills!C18=1,60+Inputs!$B$24+Inputs!$B$28,IF(Skills!C18=2,90+Inputs!$B$25+Inputs!$B$28,IF(Skills!C18=3,120+(Inputs!$B$26+1)+Inputs!$B$28,MAX(0,(Inputs!$B$3-100)*3)+Inputs!$B$27+Inputs!$B$28)))</f>
        <v/>
      </c>
      <c r="E735">
        <f>INDEX(FactorTable!$B$2:$Y$301, MATCH(ROUND(MIN(300,MAX(1,D735)),0), FactorTable!$A$2:$A$301,0), Skills!M18+1)</f>
        <v/>
      </c>
      <c r="F735">
        <f>IF(Skills!N18=TRUE,(Skills!L18/10)*(E735/1000),Skills!L18/10)+Skills!O18</f>
        <v/>
      </c>
      <c r="G735">
        <f>Skills!G18*IF(Skills!H18&gt;0,Skills!I18/Skills!H18,1)</f>
        <v/>
      </c>
      <c r="H735">
        <f>1-(1-Skills!J18/100)^Skills!K18</f>
        <v/>
      </c>
      <c r="I735" t="inlineStr">
        <is>
          <t>1</t>
        </is>
      </c>
      <c r="J735" t="inlineStr"/>
      <c r="K735" t="inlineStr"/>
      <c r="L735" t="inlineStr"/>
      <c r="M735" t="inlineStr"/>
      <c r="N735" t="inlineStr"/>
      <c r="O735" t="n">
        <v>0</v>
      </c>
      <c r="P735">
        <f>IF(B752=0,0,O735/B752)</f>
        <v/>
      </c>
      <c r="Q735">
        <f>IFERROR(1/IF(Inputs!$B$4="pvp",15,MAX(0.1,Skills!D18-IF(Skills!E18=TRUE,Inputs!$B$31,0))),0)</f>
        <v/>
      </c>
      <c r="R735">
        <f>IF(AND(Inputs!$B$4&lt;&gt;"pvp",Inputs!$B$35&gt;0),(INT(Inputs!$B$35/IF(Inputs!$B$4="pvp",15,MAX(0.1,Skills!D18-IF(Skills!E18=TRUE,Inputs!$B$31,0))))+1),0)</f>
        <v/>
      </c>
      <c r="S735">
        <f>IFERROR(O735/N735,0)</f>
        <v/>
      </c>
    </row>
    <row r="736">
      <c r="A736">
        <f>Skills!A19</f>
        <v/>
      </c>
      <c r="B736">
        <f>Skills!B19</f>
        <v/>
      </c>
      <c r="C736">
        <f>TRUE</f>
        <v/>
      </c>
      <c r="D736">
        <f>IF(Skills!C19=1,60+Inputs!$B$24+Inputs!$B$28,IF(Skills!C19=2,90+Inputs!$B$25+Inputs!$B$28,IF(Skills!C19=3,120+(Inputs!$B$26+1)+Inputs!$B$28,MAX(0,(Inputs!$B$3-100)*3)+Inputs!$B$27+Inputs!$B$28)))</f>
        <v/>
      </c>
      <c r="E736">
        <f>INDEX(FactorTable!$B$2:$Y$301, MATCH(ROUND(MIN(300,MAX(1,D736)),0), FactorTable!$A$2:$A$301,0), Skills!M19+1)</f>
        <v/>
      </c>
      <c r="F736">
        <f>IF(Skills!N19=TRUE,(Skills!L19/10)*(E736/1000),Skills!L19/10)+Skills!O19</f>
        <v/>
      </c>
      <c r="G736">
        <f>Skills!G19*IF(Skills!H19&gt;0,Skills!I19/Skills!H19,1)</f>
        <v/>
      </c>
      <c r="H736">
        <f>1-(1-Skills!J19/100)^Skills!K19</f>
        <v/>
      </c>
      <c r="I736" t="inlineStr">
        <is>
          <t>1</t>
        </is>
      </c>
      <c r="J736" t="inlineStr"/>
      <c r="K736" t="inlineStr"/>
      <c r="L736" t="inlineStr"/>
      <c r="M736" t="inlineStr"/>
      <c r="N736" t="inlineStr"/>
      <c r="O736" t="n">
        <v>0</v>
      </c>
      <c r="P736">
        <f>IF(B752=0,0,O736/B752)</f>
        <v/>
      </c>
      <c r="Q736">
        <f>IFERROR(1/IF(Inputs!$B$4="pvp",15,MAX(0.1,Skills!D19-IF(Skills!E19=TRUE,Inputs!$B$31,0))),0)</f>
        <v/>
      </c>
      <c r="R736">
        <f>IF(AND(Inputs!$B$4&lt;&gt;"pvp",Inputs!$B$35&gt;0),(INT(Inputs!$B$35/IF(Inputs!$B$4="pvp",15,MAX(0.1,Skills!D19-IF(Skills!E19=TRUE,Inputs!$B$31,0))))+1),0)</f>
        <v/>
      </c>
      <c r="S736">
        <f>IFERROR(O736/N736,0)</f>
        <v/>
      </c>
    </row>
    <row r="737">
      <c r="A737">
        <f>Skills!A20</f>
        <v/>
      </c>
      <c r="B737">
        <f>Skills!B20</f>
        <v/>
      </c>
      <c r="C737">
        <f>Inputs!$B$3&gt;=33</f>
        <v/>
      </c>
      <c r="D737">
        <f>IF(Skills!C20=1,60+Inputs!$B$24+Inputs!$B$28,IF(Skills!C20=2,90+Inputs!$B$25+Inputs!$B$28,IF(Skills!C20=3,120+(Inputs!$B$26+1)+Inputs!$B$28,MAX(0,(Inputs!$B$3-100)*3)+Inputs!$B$27+Inputs!$B$28)))</f>
        <v/>
      </c>
      <c r="E737">
        <f>INDEX(FactorTable!$B$2:$Y$301, MATCH(ROUND(MIN(300,MAX(1,D737)),0), FactorTable!$A$2:$A$301,0), Skills!M20+1)</f>
        <v/>
      </c>
      <c r="F737">
        <f>IF(Skills!N20=TRUE,(Skills!L20/10)*(E737/1000),Skills!L20/10)+Skills!O20</f>
        <v/>
      </c>
      <c r="G737">
        <f>Skills!G20*IF(Skills!H20&gt;0,Skills!I20/Skills!H20,1)</f>
        <v/>
      </c>
      <c r="H737">
        <f>1-(1-Skills!J20/100)^Skills!K20</f>
        <v/>
      </c>
      <c r="I737" t="inlineStr">
        <is>
          <t>1</t>
        </is>
      </c>
      <c r="J737" t="inlineStr"/>
      <c r="K737" t="inlineStr"/>
      <c r="L737" t="inlineStr"/>
      <c r="M737" t="inlineStr"/>
      <c r="N737" t="inlineStr"/>
      <c r="O737" t="n">
        <v>0</v>
      </c>
      <c r="P737">
        <f>IF(B752=0,0,O737/B752)</f>
        <v/>
      </c>
      <c r="Q737" t="n">
        <v>0</v>
      </c>
      <c r="R737" t="n">
        <v>0</v>
      </c>
      <c r="S737">
        <f>IFERROR(O737/N737,0)</f>
        <v/>
      </c>
    </row>
    <row r="738">
      <c r="A738">
        <f>Skills!A21</f>
        <v/>
      </c>
      <c r="B738">
        <f>Skills!B21</f>
        <v/>
      </c>
      <c r="C738">
        <f>Inputs!$B$3&gt;=38</f>
        <v/>
      </c>
      <c r="D738">
        <f>IF(Skills!C21=1,60+Inputs!$B$24+Inputs!$B$28,IF(Skills!C21=2,90+Inputs!$B$25+Inputs!$B$28,IF(Skills!C21=3,120+(Inputs!$B$26+1)+Inputs!$B$28,MAX(0,(Inputs!$B$3-100)*3)+Inputs!$B$27+Inputs!$B$28)))</f>
        <v/>
      </c>
      <c r="E738">
        <f>INDEX(FactorTable!$B$2:$Y$301, MATCH(ROUND(MIN(300,MAX(1,D738)),0), FactorTable!$A$2:$A$301,0), Skills!M21+1)</f>
        <v/>
      </c>
      <c r="F738">
        <f>IF(Skills!N21=TRUE,(Skills!L21/10)*(E738/1000),Skills!L21/10)+Skills!O21</f>
        <v/>
      </c>
      <c r="G738">
        <f>Skills!G21*IF(Skills!H21&gt;0,Skills!I21/Skills!H21,1)</f>
        <v/>
      </c>
      <c r="H738">
        <f>1-(1-Skills!J21/100)^Skills!K21</f>
        <v/>
      </c>
      <c r="I738" t="inlineStr">
        <is>
          <t>1</t>
        </is>
      </c>
      <c r="J738" t="inlineStr"/>
      <c r="K738" t="inlineStr"/>
      <c r="L738" t="inlineStr"/>
      <c r="M738" t="inlineStr"/>
      <c r="N738" t="inlineStr"/>
      <c r="O738" t="n">
        <v>0</v>
      </c>
      <c r="P738">
        <f>IF(B752=0,0,O738/B752)</f>
        <v/>
      </c>
      <c r="Q738" t="n">
        <v>0</v>
      </c>
      <c r="R738" t="n">
        <v>0</v>
      </c>
      <c r="S738">
        <f>IFERROR(O738/N738,0)</f>
        <v/>
      </c>
    </row>
    <row r="739">
      <c r="A739">
        <f>Skills!A22</f>
        <v/>
      </c>
      <c r="B739">
        <f>Skills!B22</f>
        <v/>
      </c>
      <c r="C739">
        <f>Inputs!$B$3&gt;=43</f>
        <v/>
      </c>
      <c r="D739">
        <f>IF(Skills!C22=1,60+Inputs!$B$24+Inputs!$B$28,IF(Skills!C22=2,90+Inputs!$B$25+Inputs!$B$28,IF(Skills!C22=3,120+(Inputs!$B$26+1)+Inputs!$B$28,MAX(0,(Inputs!$B$3-100)*3)+Inputs!$B$27+Inputs!$B$28)))</f>
        <v/>
      </c>
      <c r="E739">
        <f>INDEX(FactorTable!$B$2:$Y$301, MATCH(ROUND(MIN(300,MAX(1,D739)),0), FactorTable!$A$2:$A$301,0), Skills!M22+1)</f>
        <v/>
      </c>
      <c r="F739">
        <f>IF(Skills!N22=TRUE,(Skills!L22/10)*(E739/1000),Skills!L22/10)+Skills!O22</f>
        <v/>
      </c>
      <c r="G739">
        <f>Skills!G22*IF(Skills!H22&gt;0,Skills!I22/Skills!H22,1)</f>
        <v/>
      </c>
      <c r="H739">
        <f>1-(1-Skills!J22/100)^Skills!K22</f>
        <v/>
      </c>
      <c r="I739" t="inlineStr">
        <is>
          <t>1</t>
        </is>
      </c>
      <c r="J739" t="inlineStr"/>
      <c r="K739" t="inlineStr"/>
      <c r="L739" t="inlineStr"/>
      <c r="M739" t="inlineStr"/>
      <c r="N739" t="inlineStr"/>
      <c r="O739" t="n">
        <v>0</v>
      </c>
      <c r="P739">
        <f>IF(B752=0,0,O739/B752)</f>
        <v/>
      </c>
      <c r="Q739" t="n">
        <v>0</v>
      </c>
      <c r="R739" t="n">
        <v>0</v>
      </c>
      <c r="S739">
        <f>IFERROR(O739/N739,0)</f>
        <v/>
      </c>
    </row>
    <row r="740">
      <c r="A740">
        <f>Skills!A23</f>
        <v/>
      </c>
      <c r="B740">
        <f>Skills!B23</f>
        <v/>
      </c>
      <c r="C740">
        <f>Inputs!$B$3&gt;=120</f>
        <v/>
      </c>
      <c r="D740">
        <f>IF(Skills!C23=1,60+Inputs!$B$24+Inputs!$B$28,IF(Skills!C23=2,90+Inputs!$B$25+Inputs!$B$28,IF(Skills!C23=3,120+(Inputs!$B$26+1)+Inputs!$B$28,MAX(0,(Inputs!$B$3-100)*3)+Inputs!$B$27+Inputs!$B$28)))</f>
        <v/>
      </c>
      <c r="E740">
        <f>INDEX(FactorTable!$B$2:$Y$301, MATCH(ROUND(MIN(300,MAX(1,D740)),0), FactorTable!$A$2:$A$301,0), Skills!M23+1)</f>
        <v/>
      </c>
      <c r="F740">
        <f>IF(Skills!N23=TRUE,(Skills!L23/10)*(E740/1000),Skills!L23/10)+Skills!O23</f>
        <v/>
      </c>
      <c r="G740">
        <f>Skills!G23*IF(Skills!H23&gt;0,Skills!I23/Skills!H23,1)</f>
        <v/>
      </c>
      <c r="H740">
        <f>1-(1-Skills!J23/100)^Skills!K23</f>
        <v/>
      </c>
      <c r="I740" t="inlineStr">
        <is>
          <t>1</t>
        </is>
      </c>
      <c r="J740" t="inlineStr"/>
      <c r="K740" t="inlineStr"/>
      <c r="L740" t="inlineStr"/>
      <c r="M740" t="inlineStr"/>
      <c r="N740" t="inlineStr"/>
      <c r="O740" t="n">
        <v>0</v>
      </c>
      <c r="P740">
        <f>IF(B752=0,0,O740/B752)</f>
        <v/>
      </c>
      <c r="Q740" t="n">
        <v>0</v>
      </c>
      <c r="R740" t="n">
        <v>0</v>
      </c>
      <c r="S740">
        <f>IFERROR(O740/N740,0)</f>
        <v/>
      </c>
    </row>
    <row r="741">
      <c r="A741">
        <f>Skills!A24</f>
        <v/>
      </c>
      <c r="B741">
        <f>Skills!B24</f>
        <v/>
      </c>
      <c r="C741">
        <f>Inputs!$B$3&gt;=120</f>
        <v/>
      </c>
      <c r="D741">
        <f>IF(Skills!C24=1,60+Inputs!$B$24+Inputs!$B$28,IF(Skills!C24=2,90+Inputs!$B$25+Inputs!$B$28,IF(Skills!C24=3,120+(Inputs!$B$26+1)+Inputs!$B$28,MAX(0,(Inputs!$B$3-100)*3)+Inputs!$B$27+Inputs!$B$28)))</f>
        <v/>
      </c>
      <c r="E741">
        <f>INDEX(FactorTable!$B$2:$Y$301, MATCH(ROUND(MIN(300,MAX(1,D741)),0), FactorTable!$A$2:$A$301,0), Skills!M24+1)</f>
        <v/>
      </c>
      <c r="F741">
        <f>IF(Skills!N24=TRUE,(Skills!L24/10)*(E741/1000),Skills!L24/10)+Skills!O24</f>
        <v/>
      </c>
      <c r="G741">
        <f>Skills!G24*IF(Skills!H24&gt;0,Skills!I24/Skills!H24,1)</f>
        <v/>
      </c>
      <c r="H741">
        <f>1-(1-Skills!J24/100)^Skills!K24</f>
        <v/>
      </c>
      <c r="I741" t="inlineStr">
        <is>
          <t>1</t>
        </is>
      </c>
      <c r="J741" t="inlineStr"/>
      <c r="K741" t="inlineStr"/>
      <c r="L741" t="inlineStr"/>
      <c r="M741" t="inlineStr"/>
      <c r="N741" t="inlineStr"/>
      <c r="O741" t="n">
        <v>0</v>
      </c>
      <c r="P741">
        <f>IF(B752=0,0,O741/B752)</f>
        <v/>
      </c>
      <c r="Q741" t="n">
        <v>0</v>
      </c>
      <c r="R741" t="n">
        <v>0</v>
      </c>
      <c r="S741">
        <f>IFERROR(O741/N741,0)</f>
        <v/>
      </c>
    </row>
    <row r="743">
      <c r="A743" t="inlineStr">
        <is>
          <t>Attack% Bucket Multiplier</t>
        </is>
      </c>
      <c r="B743">
        <f>(1+(((C730=TRUE)*F730*MIN(1,Skills!T13*(Skills!J13/100)*B748))+((C735=TRUE)*F735*IF(AND(Inputs!$B$4&lt;&gt;"pvp",Inputs!$B$35&gt;0),(((S735-1)*(Skills!T18*(1+Inputs!$B$33/100))+MIN((Skills!T18*(1+Inputs!$B$33/100)),MAX(0,Inputs!$B$35-((S735-1)*Skills!D18))))/Inputs!$B$35),IF(Inputs!$B$4="pvp",MIN((Skills!T18*(1+Inputs!$B$33/100)),15)/15,(Skills!T18*(1+Inputs!$B$33/100))/Skills!D18)))+0)/100)</f>
        <v/>
      </c>
    </row>
    <row r="744">
      <c r="A744" t="inlineStr">
        <is>
          <t>Global Crit Rate Bonus %</t>
        </is>
      </c>
      <c r="B744" t="n">
        <v>0</v>
      </c>
    </row>
    <row r="745">
      <c r="A745" t="inlineStr">
        <is>
          <t>Attack Speed Buff Bonus %</t>
        </is>
      </c>
      <c r="B745">
        <f>((C736=TRUE)*F736*IF(AND(Inputs!$B$4&lt;&gt;"pvp",Inputs!$B$35&gt;0),(((S736-1)*(Skills!T19*(1+Inputs!$B$33/100))+MIN((Skills!T19*(1+Inputs!$B$33/100)),MAX(0,Inputs!$B$35-((S736-1)*Skills!D19))))/Inputs!$B$35),IF(Inputs!$B$4="pvp",MIN((Skills!T19*(1+Inputs!$B$33/100)),15)/15,(Skills!T19*(1+Inputs!$B$33/100))/Skills!D19)))</f>
        <v/>
      </c>
    </row>
    <row r="746">
      <c r="A746" t="inlineStr">
        <is>
          <t>Actions Per Second</t>
        </is>
      </c>
      <c r="B746">
        <f>1+MIN(150,150*(1-(1-(Inputs!$B$10+((C737=TRUE)*(F737-Calc!F20)))/150)*(1-B745/150)))/100</f>
        <v/>
      </c>
    </row>
    <row r="747">
      <c r="A747" t="inlineStr">
        <is>
          <t>Skill + Buff Cast Rate</t>
        </is>
      </c>
      <c r="B747">
        <f>IF(AND(Inputs!$B$4&lt;&gt;"pvp",Inputs!$B$35&gt;0),SUMPRODUCT((Skills!E2:E24=TRUE)*(C719:C741=TRUE)*R719:R741*Skills!F2:F24)/Inputs!$B$35,SUMPRODUCT((Skills!E2:E24=TRUE)*(C719:C741=TRUE)*Q719:Q741*Skills!F2:F24))</f>
        <v/>
      </c>
    </row>
    <row r="748">
      <c r="A748" t="inlineStr">
        <is>
          <t>Blast Casts Per Second</t>
        </is>
      </c>
      <c r="B748">
        <f>MAX(0,B746-B747)</f>
        <v/>
      </c>
    </row>
    <row r="749">
      <c r="A749" t="inlineStr">
        <is>
          <t>Global Critical Damage Bonus % (unused)</t>
        </is>
      </c>
      <c r="B749" t="n">
        <v>0</v>
      </c>
    </row>
    <row r="750">
      <c r="A750" t="inlineStr">
        <is>
          <t>Global Final Damage Bonus % (Divine Shield + Guardian + Divine Blessing + Greater Vessel of Light)</t>
        </is>
      </c>
      <c r="B750">
        <f>((C732=TRUE)*F732*IF(AND(Inputs!$B$4&lt;&gt;"pvp",Inputs!$B$35&gt;0),(((S732-1)*(Skills!T15*(1+Inputs!$B$33/100))+MIN((Skills!T15*(1+Inputs!$B$33/100)),MAX(0,Inputs!$B$35-((S732-1)*Skills!D15))))/Inputs!$B$35),IF(Inputs!$B$4="pvp",MIN((Skills!T15*(1+Inputs!$B$33/100)),15)/15,(Skills!T15*(1+Inputs!$B$33/100))/Skills!D15)))+((C733=TRUE)*F733*IF(AND(Inputs!$B$4&lt;&gt;"pvp",Inputs!$B$35&gt;0),(((S733-1)*(Skills!T16*(1+Inputs!$B$33/100))+MIN((Skills!T16*(1+Inputs!$B$33/100)),MAX(0,Inputs!$B$35-((S733-1)*Skills!D16))))/Inputs!$B$35),IF(Inputs!$B$4="pvp",MIN((Skills!T16*(1+Inputs!$B$33/100)),15)/15,(Skills!T16*(1+Inputs!$B$33/100))/Skills!D16)))+((C734=TRUE)*F734*IF(AND(Inputs!$B$4&lt;&gt;"pvp",Inputs!$B$35&gt;0),(((S734-1)*(Skills!T17*(1+Inputs!$B$33/100))+MIN((Skills!T17*(1+Inputs!$B$33/100)),MAX(0,Inputs!$B$35-((S734-1)*Skills!D17))))/Inputs!$B$35),IF(Inputs!$B$4="pvp",MIN((Skills!T17*(1+Inputs!$B$33/100)),15)/15,(Skills!T17*(1+Inputs!$B$33/100))/Skills!D17)))+((C731=TRUE)*F731*MIN(1,Skills!T13*(Skills!J13/100)*B748))</f>
        <v/>
      </c>
    </row>
    <row r="752">
      <c r="A752" s="5" t="inlineStr">
        <is>
          <t>TOTAL DPS</t>
        </is>
      </c>
      <c r="B752" s="5">
        <f>SUM(O719:O741)</f>
        <v/>
      </c>
    </row>
    <row r="755">
      <c r="A755" s="5" t="inlineStr">
        <is>
          <t>Stat: Skill Level Bonus — 4th Job</t>
        </is>
      </c>
    </row>
    <row r="756">
      <c r="A756" s="8" t="inlineStr">
        <is>
          <t>Key</t>
        </is>
      </c>
      <c r="B756" s="8" t="inlineStr">
        <is>
          <t>Name</t>
        </is>
      </c>
      <c r="C756" s="8" t="inlineStr">
        <is>
          <t>Unlocked</t>
        </is>
      </c>
      <c r="D756" s="8" t="inlineStr">
        <is>
          <t>InputLevel</t>
        </is>
      </c>
      <c r="E756" s="8" t="inlineStr">
        <is>
          <t>Factor</t>
        </is>
      </c>
      <c r="F756" s="8" t="inlineStr">
        <is>
          <t>CoefficientPercent</t>
        </is>
      </c>
      <c r="G756" s="8" t="inlineStr">
        <is>
          <t>EffectiveHits</t>
        </is>
      </c>
      <c r="H756" s="8" t="inlineStr">
        <is>
          <t>ProcProbability</t>
        </is>
      </c>
      <c r="I756" s="8" t="inlineStr">
        <is>
          <t>MapleHeroMultiplier</t>
        </is>
      </c>
      <c r="J756" s="8" t="inlineStr">
        <is>
          <t>BaseDamage</t>
        </is>
      </c>
      <c r="K756" s="8" t="inlineStr">
        <is>
          <t>BaseHitDamage</t>
        </is>
      </c>
      <c r="L756" s="8" t="inlineStr">
        <is>
          <t>NonCritAvg</t>
        </is>
      </c>
      <c r="M756" s="8" t="inlineStr">
        <is>
          <t>CritAvg</t>
        </is>
      </c>
      <c r="N756" s="8" t="inlineStr">
        <is>
          <t>ExpectedDamage(perHit)</t>
        </is>
      </c>
      <c r="O756" s="8" t="inlineStr">
        <is>
          <t>DPS</t>
        </is>
      </c>
      <c r="P756" s="8" t="inlineStr">
        <is>
          <t>% of Total</t>
        </is>
      </c>
      <c r="Q756" s="8" t="inlineStr">
        <is>
          <t>InvCooldown</t>
        </is>
      </c>
      <c r="R756" s="8" t="inlineStr">
        <is>
          <t>CastsInFight</t>
        </is>
      </c>
      <c r="S756" s="8" t="inlineStr">
        <is>
          <t>HitRate(perSec)</t>
        </is>
      </c>
      <c r="U756" t="inlineStr">
        <is>
          <t>helpers</t>
        </is>
      </c>
    </row>
    <row r="757">
      <c r="A757">
        <f>Skills!A2</f>
        <v/>
      </c>
      <c r="B757">
        <f>Skills!B2</f>
        <v/>
      </c>
      <c r="C757">
        <f>Inputs!$B$3&gt;=100</f>
        <v/>
      </c>
      <c r="D757" t="inlineStr"/>
      <c r="E757" t="inlineStr"/>
      <c r="F757">
        <f>U759+Skills!O2</f>
        <v/>
      </c>
      <c r="G757">
        <f>Skills!G2*IF(Skills!H2&gt;0,Skills!I2/Skills!H2,1)</f>
        <v/>
      </c>
      <c r="H757">
        <f>1-(1-Skills!J2/100)^Skills!K2</f>
        <v/>
      </c>
      <c r="I757" t="inlineStr">
        <is>
          <t>1</t>
        </is>
      </c>
      <c r="J757">
        <f>(Inputs!$B$5*(1+Inputs!$B$6/100))*(F757/100)</f>
        <v/>
      </c>
      <c r="K757">
        <f>J757*(1+((Inputs!$B$11*(1+Inputs!$B$12/100))*0.01+Inputs!$B$13*0.0025)/100)*(1+Inputs!$B$14/100)*(1+IF(Inputs!$B$4="pvp",0,(1-Summary!$B$55)*(Inputs!$B$19+0+Skills!P2)+Summary!$B$55*(Inputs!$B$20+Skills!Q2))/100)*(1+Inputs!$B$15/100)*(5000/(6000+Inputs!$B$7*(1-(Inputs!$B$18+0)/100)))*(1+(Inputs!$B$23+0+B788)/100)*(1+(IF(Skills!A2="BLAST",Inputs!$B$16+((C776=TRUE)*(F776-Calc!F21)),Inputs!$B$17+((C778=TRUE)*(F778-Calc!F23))))/100)*((1+(((C768=TRUE)*F768*MIN(1,Skills!T13*(Skills!J13/100)*B786))+((C773=TRUE)*F773*IF(AND(Inputs!$B$4&lt;&gt;"pvp",Inputs!$B$35&gt;0),(((S773-1)*(Skills!T18*(1+Inputs!$B$33/100))+MIN((Skills!T18*(1+Inputs!$B$33/100)),MAX(0,Inputs!$B$35-((S773-1)*Skills!D18))))/Inputs!$B$35),IF(Inputs!$B$4="pvp",MIN((Skills!T18*(1+Inputs!$B$33/100)),15)/15,(Skills!T18*(1+Inputs!$B$33/100))/Skills!D18)))+0)/100)*I757)</f>
        <v/>
      </c>
      <c r="L757">
        <f>K757*(MIN(Inputs!$B$21+((C777=TRUE)*(F777-Calc!F22)),Inputs!$B$22+((C779=TRUE)*(F779-Calc!F24)))/100+(Inputs!$B$22+((C779=TRUE)*(F779-Calc!F24)))/100)/2</f>
        <v/>
      </c>
      <c r="M757">
        <f>L757*(1+(Inputs!$B$9+0+B787)/100)</f>
        <v/>
      </c>
      <c r="N757">
        <f>L757*(1-MIN((Inputs!$B$8+0+B782),100)/100)+M757*(MIN((Inputs!$B$8+0+B782),100)/100)</f>
        <v/>
      </c>
      <c r="O757">
        <f>IF(C757,Skills!G2*N757*B786*IF(Inputs!$B$4="pvp",1,(1-Summary!$B$55)*(1)+Summary!$B$55*(MIN((6+Inputs!$B$32),Inputs!$B$37))),0)</f>
        <v/>
      </c>
      <c r="P757">
        <f>IF(B790=0,0,O757/B790)</f>
        <v/>
      </c>
      <c r="Q757" t="n">
        <v>0</v>
      </c>
      <c r="R757" t="n">
        <v>0</v>
      </c>
      <c r="S757">
        <f>IFERROR(O757/N757,0)</f>
        <v/>
      </c>
      <c r="U757">
        <f>MAX(0,(Inputs!$B$3-100)*3)+(Inputs!$B$27+1)+Inputs!$B$28</f>
        <v/>
      </c>
    </row>
    <row r="758">
      <c r="A758">
        <f>Skills!A3</f>
        <v/>
      </c>
      <c r="B758">
        <f>Skills!B3</f>
        <v/>
      </c>
      <c r="C758">
        <f>Inputs!$B$3&gt;=50</f>
        <v/>
      </c>
      <c r="D758">
        <f>IF(Skills!C3=1,60+Inputs!$B$24+Inputs!$B$28,IF(Skills!C3=2,90+Inputs!$B$25+Inputs!$B$28,IF(Skills!C3=3,120+Inputs!$B$26+Inputs!$B$28,MAX(0,(Inputs!$B$3-100)*3)+(Inputs!$B$27+1)+Inputs!$B$28)))</f>
        <v/>
      </c>
      <c r="E758">
        <f>INDEX(FactorTable!$B$2:$Y$301, MATCH(ROUND(MIN(300,MAX(1,D758)),0), FactorTable!$A$2:$A$301,0), Skills!M3+1)</f>
        <v/>
      </c>
      <c r="F758">
        <f>IF(Skills!N3=TRUE,(Skills!L3/10)*(E758/1000),Skills!L3/10)+Skills!O3</f>
        <v/>
      </c>
      <c r="G758" t="inlineStr"/>
      <c r="H758" t="inlineStr"/>
      <c r="I758" t="inlineStr">
        <is>
          <t>1</t>
        </is>
      </c>
      <c r="J758" t="inlineStr"/>
      <c r="K758" t="inlineStr"/>
      <c r="L758" t="inlineStr"/>
      <c r="M758" t="inlineStr"/>
      <c r="N758" t="inlineStr"/>
      <c r="O758" t="inlineStr"/>
      <c r="P758" t="inlineStr"/>
      <c r="Q758" t="inlineStr"/>
      <c r="R758" t="inlineStr"/>
      <c r="S758" t="inlineStr"/>
      <c r="U758">
        <f>INDEX(FactorTable!$B$2:$Y$301, MATCH(ROUND(MIN(300,MAX(1,U757)),0), FactorTable!$A$2:$A$301,0), 22)</f>
        <v/>
      </c>
    </row>
    <row r="759">
      <c r="A759">
        <f>Skills!A4</f>
        <v/>
      </c>
      <c r="B759">
        <f>Skills!B4</f>
        <v/>
      </c>
      <c r="C759">
        <f>Inputs!$B$3&gt;=35</f>
        <v/>
      </c>
      <c r="D759">
        <f>IF(Skills!C4=1,60+Inputs!$B$24+Inputs!$B$28,IF(Skills!C4=2,90+Inputs!$B$25+Inputs!$B$28,IF(Skills!C4=3,120+Inputs!$B$26+Inputs!$B$28,MAX(0,(Inputs!$B$3-100)*3)+(Inputs!$B$27+1)+Inputs!$B$28)))</f>
        <v/>
      </c>
      <c r="E759">
        <f>INDEX(FactorTable!$B$2:$Y$301, MATCH(ROUND(MIN(300,MAX(1,D759)),0), FactorTable!$A$2:$A$301,0), Skills!M4+1)</f>
        <v/>
      </c>
      <c r="F759">
        <f>IF(Skills!N4=TRUE,(Skills!L4/10)*(E759/1000),Skills!L4/10)+Skills!O4</f>
        <v/>
      </c>
      <c r="G759">
        <f>Skills!G4*IF(Skills!H4&gt;0,Skills!I4/Skills!H4,1)</f>
        <v/>
      </c>
      <c r="H759">
        <f>1-(1-Skills!J4/100)^Skills!K4</f>
        <v/>
      </c>
      <c r="I759" t="inlineStr">
        <is>
          <t>1</t>
        </is>
      </c>
      <c r="J759">
        <f>(Inputs!$B$5*(1+Inputs!$B$6/100))*(F759/100)</f>
        <v/>
      </c>
      <c r="K759">
        <f>J759*(1+((Inputs!$B$11*(1+Inputs!$B$12/100))*0.01+Inputs!$B$13*0.0025)/100)*(1+Inputs!$B$14/100)*(1+IF(Inputs!$B$4="pvp",0,(1-Summary!$B$55)*(Inputs!$B$19+0+Skills!P4)+Summary!$B$55*(Inputs!$B$20+Skills!Q4))/100)*(1+Inputs!$B$15/100)*(5000/(6000+Inputs!$B$7*(1-(Inputs!$B$18+0)/100)))*(1+(Inputs!$B$23+0+B788)/100)*(1+4.0*IF(C767=TRUE,F767,0)/100)*(1+(IF(Skills!A4="BLAST",Inputs!$B$16+((C776=TRUE)*(F776-Calc!F21)),Inputs!$B$17+((C778=TRUE)*(F778-Calc!F23))))/100)*((1+(((C768=TRUE)*F768*MIN(1,Skills!T13*(Skills!J13/100)*B786))+((C773=TRUE)*F773*IF(AND(Inputs!$B$4&lt;&gt;"pvp",Inputs!$B$35&gt;0),(((S773-1)*(Skills!T18*(1+Inputs!$B$33/100))+MIN((Skills!T18*(1+Inputs!$B$33/100)),MAX(0,Inputs!$B$35-((S773-1)*Skills!D18))))/Inputs!$B$35),IF(Inputs!$B$4="pvp",MIN((Skills!T18*(1+Inputs!$B$33/100)),15)/15,(Skills!T18*(1+Inputs!$B$33/100))/Skills!D18)))+0)/100)*I759)</f>
        <v/>
      </c>
      <c r="L759">
        <f>K759*(MIN(Inputs!$B$21+((C777=TRUE)*(F777-Calc!F22)),Inputs!$B$22+((C779=TRUE)*(F779-Calc!F24)))/100+(Inputs!$B$22+((C779=TRUE)*(F779-Calc!F24)))/100)/2</f>
        <v/>
      </c>
      <c r="M759">
        <f>L759*(1+(Inputs!$B$9+0+B787)/100)</f>
        <v/>
      </c>
      <c r="N759">
        <f>L759*(1-MIN((Inputs!$B$8+0+B782),100)/100)+M759*(MIN((Inputs!$B$8+0+B782),100)/100)</f>
        <v/>
      </c>
      <c r="O759">
        <f>IF(C759,H759*N759*IF(AND(Inputs!$B$4&lt;&gt;"pvp",Inputs!$B$35&gt;0),((Skills!G4*((R759-1)*IF(Skills!H4&gt;0,Skills!I4/Skills!H4,1)+IF(Skills!H4&gt;0,MIN(Skills!I4,MAX(0,Inputs!$B$35-((R759-1)*IF(Inputs!$B$4="pvp",15,MAX(0.1,Skills!D4-IF(Skills!E4=TRUE,Inputs!$B$31,0))))))/Skills!H4,1)))/Inputs!$B$35),G759*Q759)*IF(Inputs!$B$4="pvp",1,(1-Summary!$B$55)*(1)+Summary!$B$55*(MIN(Skills!R4,Inputs!$B$37))),0)</f>
        <v/>
      </c>
      <c r="P759">
        <f>IF(B790=0,0,O759/B790)</f>
        <v/>
      </c>
      <c r="Q759">
        <f>IFERROR(1/IF(Inputs!$B$4="pvp",15,MAX(0.1,Skills!D4-IF(Skills!E4=TRUE,Inputs!$B$31,0))),0)</f>
        <v/>
      </c>
      <c r="R759">
        <f>IF(AND(Inputs!$B$4&lt;&gt;"pvp",Inputs!$B$35&gt;0),(INT(Inputs!$B$35/IF(Inputs!$B$4="pvp",15,MAX(0.1,Skills!D4-IF(Skills!E4=TRUE,Inputs!$B$31,0))))+1),0)</f>
        <v/>
      </c>
      <c r="S759">
        <f>IFERROR(O759/N759,0)</f>
        <v/>
      </c>
      <c r="U759">
        <f>290*U758/1000</f>
        <v/>
      </c>
    </row>
    <row r="760">
      <c r="A760">
        <f>Skills!A5</f>
        <v/>
      </c>
      <c r="B760">
        <f>Skills!B5</f>
        <v/>
      </c>
      <c r="C760">
        <f>Inputs!$B$3&gt;=66</f>
        <v/>
      </c>
      <c r="D760">
        <f>IF(Skills!C5=1,60+Inputs!$B$24+Inputs!$B$28,IF(Skills!C5=2,90+Inputs!$B$25+Inputs!$B$28,IF(Skills!C5=3,120+Inputs!$B$26+Inputs!$B$28,MAX(0,(Inputs!$B$3-100)*3)+(Inputs!$B$27+1)+Inputs!$B$28)))</f>
        <v/>
      </c>
      <c r="E760">
        <f>INDEX(FactorTable!$B$2:$Y$301, MATCH(ROUND(MIN(300,MAX(1,D760)),0), FactorTable!$A$2:$A$301,0), Skills!M5+1)</f>
        <v/>
      </c>
      <c r="F760">
        <f>IF(Skills!N5=TRUE,(Skills!L5/10)*(E760/1000),Skills!L5/10)+Skills!O5</f>
        <v/>
      </c>
      <c r="G760">
        <f>Skills!G5*IF(Skills!H5&gt;0,Skills!I5/Skills!H5,1)</f>
        <v/>
      </c>
      <c r="H760">
        <f>1-(1-Skills!J5/100)^Skills!K5</f>
        <v/>
      </c>
      <c r="I760" t="inlineStr">
        <is>
          <t>1</t>
        </is>
      </c>
      <c r="J760">
        <f>(Inputs!$B$5*(1+Inputs!$B$6/100))*(F760/100)</f>
        <v/>
      </c>
      <c r="K760">
        <f>J760*(1+((Inputs!$B$11*(1+Inputs!$B$12/100))*0.01+Inputs!$B$13*0.0025)/100)*(1+Inputs!$B$14/100)*(1+IF(Inputs!$B$4="pvp",0,(1-Summary!$B$55)*(Inputs!$B$19+0+Skills!P5)+Summary!$B$55*(Inputs!$B$20+Skills!Q5))/100)*(1+Inputs!$B$15/100)*(5000/(6000+Inputs!$B$7*(1-(Inputs!$B$18+0)/100)))*(1+(Inputs!$B$23+0+B788)/100)*(1+1.0*IF(C767=TRUE,F767,0)/100)*(1+(IF(Skills!A5="BLAST",Inputs!$B$16+((C776=TRUE)*(F776-Calc!F21)),Inputs!$B$17+((C778=TRUE)*(F778-Calc!F23))))/100)*((1+(((C768=TRUE)*F768*MIN(1,Skills!T13*(Skills!J13/100)*B786))+((C773=TRUE)*F773*IF(AND(Inputs!$B$4&lt;&gt;"pvp",Inputs!$B$35&gt;0),(((S773-1)*(Skills!T18*(1+Inputs!$B$33/100))+MIN((Skills!T18*(1+Inputs!$B$33/100)),MAX(0,Inputs!$B$35-((S773-1)*Skills!D18))))/Inputs!$B$35),IF(Inputs!$B$4="pvp",MIN((Skills!T18*(1+Inputs!$B$33/100)),15)/15,(Skills!T18*(1+Inputs!$B$33/100))/Skills!D18)))+0)/100)*I760)</f>
        <v/>
      </c>
      <c r="L760">
        <f>K760*(MIN(Inputs!$B$21+((C777=TRUE)*(F777-Calc!F22)),Inputs!$B$22+((C779=TRUE)*(F779-Calc!F24)))/100+(Inputs!$B$22+((C779=TRUE)*(F779-Calc!F24)))/100)/2</f>
        <v/>
      </c>
      <c r="M760">
        <f>L760*(1+(Inputs!$B$9+0+B787)/100)</f>
        <v/>
      </c>
      <c r="N760">
        <f>L760*(1-MIN((Inputs!$B$8+0+B782),100)/100)+M760*(MIN((Inputs!$B$8+0+B782),100)/100)</f>
        <v/>
      </c>
      <c r="O760">
        <f>IF(C760,H760*N760*IF(AND(Inputs!$B$4&lt;&gt;"pvp",Inputs!$B$35&gt;0),((Skills!G5*((R760-1)*IF(Skills!H5&gt;0,Skills!I5/Skills!H5,1)+IF(Skills!H5&gt;0,MIN(Skills!I5,MAX(0,Inputs!$B$35-((R760-1)*IF(Inputs!$B$4="pvp",15,MAX(0.1,Skills!D5-IF(Skills!E5=TRUE,Inputs!$B$31,0))))))/Skills!H5,1)))/Inputs!$B$35),G760*Q760)*IF(Inputs!$B$4="pvp",1,(1-Summary!$B$55)*(1)+Summary!$B$55*(MIN(Skills!R5,Inputs!$B$37))),0)</f>
        <v/>
      </c>
      <c r="P760">
        <f>IF(B790=0,0,O760/B790)</f>
        <v/>
      </c>
      <c r="Q760">
        <f>IFERROR(1/IF(Inputs!$B$4="pvp",15,MAX(0.1,Skills!D5-IF(Skills!E5=TRUE,Inputs!$B$31,0))),0)</f>
        <v/>
      </c>
      <c r="R760">
        <f>IF(AND(Inputs!$B$4&lt;&gt;"pvp",Inputs!$B$35&gt;0),(INT(Inputs!$B$35/IF(Inputs!$B$4="pvp",15,MAX(0.1,Skills!D5-IF(Skills!E5=TRUE,Inputs!$B$31,0))))+1),0)</f>
        <v/>
      </c>
      <c r="S760">
        <f>IFERROR(O760/N760,0)</f>
        <v/>
      </c>
    </row>
    <row r="761">
      <c r="A761">
        <f>Skills!A6</f>
        <v/>
      </c>
      <c r="B761">
        <f>Skills!B6</f>
        <v/>
      </c>
      <c r="C761">
        <f>Inputs!$B$3&gt;=103</f>
        <v/>
      </c>
      <c r="D761">
        <f>IF(Skills!C6=1,60+Inputs!$B$24+Inputs!$B$28,IF(Skills!C6=2,90+Inputs!$B$25+Inputs!$B$28,IF(Skills!C6=3,120+Inputs!$B$26+Inputs!$B$28,MAX(0,(Inputs!$B$3-100)*3)+(Inputs!$B$27+1)+Inputs!$B$28)))</f>
        <v/>
      </c>
      <c r="E761">
        <f>INDEX(FactorTable!$B$2:$Y$301, MATCH(ROUND(MIN(300,MAX(1,D761)),0), FactorTable!$A$2:$A$301,0), Skills!M6+1)</f>
        <v/>
      </c>
      <c r="F761">
        <f>IF(Skills!N6=TRUE,(Skills!L6/10)*(E761/1000),Skills!L6/10)+Skills!O6</f>
        <v/>
      </c>
      <c r="G761">
        <f>Skills!G6*IF(Skills!H6&gt;0,Skills!I6/Skills!H6,1)</f>
        <v/>
      </c>
      <c r="H761">
        <f>1-(1-Skills!J6/100)^Skills!K6</f>
        <v/>
      </c>
      <c r="I761" t="inlineStr">
        <is>
          <t>1</t>
        </is>
      </c>
      <c r="J761">
        <f>(Inputs!$B$5*(1+Inputs!$B$6/100))*(F761/100)</f>
        <v/>
      </c>
      <c r="K761">
        <f>J761*(1+((Inputs!$B$11*(1+Inputs!$B$12/100))*0.01+Inputs!$B$13*0.0025)/100)*(1+Inputs!$B$14/100)*(1+IF(Inputs!$B$4="pvp",0,(1-Summary!$B$55)*(Inputs!$B$19+0+Skills!P6)+Summary!$B$55*(Inputs!$B$20+Skills!Q6))/100)*(1+Inputs!$B$15/100)*(5000/(6000+Inputs!$B$7*(1-(Inputs!$B$18+0)/100)))*(1+(Inputs!$B$23+0+B788)/100)*(1+(IF(Skills!A6="BLAST",Inputs!$B$16+((C776=TRUE)*(F776-Calc!F21)),Inputs!$B$17+((C778=TRUE)*(F778-Calc!F23))))/100)*((1+(((C768=TRUE)*F768*MIN(1,Skills!T13*(Skills!J13/100)*B786))+((C773=TRUE)*F773*IF(AND(Inputs!$B$4&lt;&gt;"pvp",Inputs!$B$35&gt;0),(((S773-1)*(Skills!T18*(1+Inputs!$B$33/100))+MIN((Skills!T18*(1+Inputs!$B$33/100)),MAX(0,Inputs!$B$35-((S773-1)*Skills!D18))))/Inputs!$B$35),IF(Inputs!$B$4="pvp",MIN((Skills!T18*(1+Inputs!$B$33/100)),15)/15,(Skills!T18*(1+Inputs!$B$33/100))/Skills!D18)))+0)/100)*I761)</f>
        <v/>
      </c>
      <c r="L761">
        <f>K761*(MIN(Inputs!$B$21+((C777=TRUE)*(F777-Calc!F22)),Inputs!$B$22+((C779=TRUE)*(F779-Calc!F24)))/100+(Inputs!$B$22+((C779=TRUE)*(F779-Calc!F24)))/100)/2</f>
        <v/>
      </c>
      <c r="M761">
        <f>L761*(1+(Inputs!$B$9+0+B787)/100)</f>
        <v/>
      </c>
      <c r="N761">
        <f>L761*(1-MIN((Inputs!$B$8+0+B782),100)/100)+M761*(MIN((Inputs!$B$8+0+B782),100)/100)</f>
        <v/>
      </c>
      <c r="O761">
        <f>IF(C761,H761*N761*IF(AND(Inputs!$B$4&lt;&gt;"pvp",Inputs!$B$35&gt;0),((Skills!G6*((R761-1)*IF(Skills!H6&gt;0,Skills!I6/Skills!H6,1)+IF(Skills!H6&gt;0,MIN(Skills!I6,MAX(0,Inputs!$B$35-((R761-1)*IF(Inputs!$B$4="pvp",15,MAX(0.1,Skills!D6-IF(Skills!E6=TRUE,Inputs!$B$31,0))))))/Skills!H6,1)))/Inputs!$B$35),G761*Q761)*IF(Inputs!$B$4="pvp",1,(1-Summary!$B$55)*(1)+Summary!$B$55*(MIN(Skills!R6,Inputs!$B$37))),0)</f>
        <v/>
      </c>
      <c r="P761">
        <f>IF(B790=0,0,O761/B790)</f>
        <v/>
      </c>
      <c r="Q761">
        <f>IFERROR(1/IF(Inputs!$B$4="pvp",15,MAX(0.1,Skills!D6-IF(Skills!E6=TRUE,Inputs!$B$31,0))),0)</f>
        <v/>
      </c>
      <c r="R761">
        <f>IF(AND(Inputs!$B$4&lt;&gt;"pvp",Inputs!$B$35&gt;0),(INT(Inputs!$B$35/IF(Inputs!$B$4="pvp",15,MAX(0.1,Skills!D6-IF(Skills!E6=TRUE,Inputs!$B$31,0))))+1),0)</f>
        <v/>
      </c>
      <c r="S761">
        <f>IFERROR(O761/N761,0)</f>
        <v/>
      </c>
    </row>
    <row r="762">
      <c r="A762">
        <f>Skills!A7</f>
        <v/>
      </c>
      <c r="B762">
        <f>Skills!B7</f>
        <v/>
      </c>
      <c r="C762">
        <f>Inputs!$B$3&gt;=107</f>
        <v/>
      </c>
      <c r="D762">
        <f>IF(Skills!C7=1,60+Inputs!$B$24+Inputs!$B$28,IF(Skills!C7=2,90+Inputs!$B$25+Inputs!$B$28,IF(Skills!C7=3,120+Inputs!$B$26+Inputs!$B$28,MAX(0,(Inputs!$B$3-100)*3)+(Inputs!$B$27+1)+Inputs!$B$28)))</f>
        <v/>
      </c>
      <c r="E762">
        <f>INDEX(FactorTable!$B$2:$Y$301, MATCH(ROUND(MIN(300,MAX(1,D762)),0), FactorTable!$A$2:$A$301,0), Skills!M7+1)</f>
        <v/>
      </c>
      <c r="F762">
        <f>IF(Skills!N7=TRUE,(Skills!L7/10)*(E762/1000),Skills!L7/10)+Skills!O7</f>
        <v/>
      </c>
      <c r="G762">
        <f>Skills!G7*IF(Skills!H7&gt;0,Skills!I7/Skills!H7,1)</f>
        <v/>
      </c>
      <c r="H762">
        <f>1-(1-Skills!J7/100)^Skills!K7</f>
        <v/>
      </c>
      <c r="I762" t="inlineStr">
        <is>
          <t>1</t>
        </is>
      </c>
      <c r="J762">
        <f>(Inputs!$B$5*(1+Inputs!$B$6/100))*(F762/100)</f>
        <v/>
      </c>
      <c r="K762">
        <f>J762*(1+((Inputs!$B$11*(1+Inputs!$B$12/100))*0.01+Inputs!$B$13*0.0025)/100)*(1+Inputs!$B$14/100)*(1+IF(Inputs!$B$4="pvp",0,(1-Summary!$B$55)*(Inputs!$B$19+0+Skills!P7)+Summary!$B$55*(Inputs!$B$20+Skills!Q7))/100)*(1+Inputs!$B$15/100)*(5000/(6000+Inputs!$B$7*(1-(Inputs!$B$18+0)/100)))*(1+(Inputs!$B$23+0+B788)/100)*(1+(IF(Skills!A7="BLAST",Inputs!$B$16+((C776=TRUE)*(F776-Calc!F21)),Inputs!$B$17+((C778=TRUE)*(F778-Calc!F23))))/100)*((1+(((C768=TRUE)*F768*MIN(1,Skills!T13*(Skills!J13/100)*B786))+((C773=TRUE)*F773*IF(AND(Inputs!$B$4&lt;&gt;"pvp",Inputs!$B$35&gt;0),(((S773-1)*(Skills!T18*(1+Inputs!$B$33/100))+MIN((Skills!T18*(1+Inputs!$B$33/100)),MAX(0,Inputs!$B$35-((S773-1)*Skills!D18))))/Inputs!$B$35),IF(Inputs!$B$4="pvp",MIN((Skills!T18*(1+Inputs!$B$33/100)),15)/15,(Skills!T18*(1+Inputs!$B$33/100))/Skills!D18)))+0)/100)*I762)</f>
        <v/>
      </c>
      <c r="L762">
        <f>K762*(MIN(Inputs!$B$21+((C777=TRUE)*(F777-Calc!F22)),Inputs!$B$22+((C779=TRUE)*(F779-Calc!F24)))/100+(Inputs!$B$22+((C779=TRUE)*(F779-Calc!F24)))/100)/2</f>
        <v/>
      </c>
      <c r="M762">
        <f>L762*(1+(Inputs!$B$9+0+B787)/100)</f>
        <v/>
      </c>
      <c r="N762">
        <f>L762*(1-MIN((Inputs!$B$8+0+B782),100)/100)+M762*(MIN((Inputs!$B$8+0+B782),100)/100)</f>
        <v/>
      </c>
      <c r="O762">
        <f>IF(C762,H762*N762*IF(AND(Inputs!$B$4&lt;&gt;"pvp",Inputs!$B$35&gt;0),((Skills!G7*((R762-1)*IF(Skills!H7&gt;0,Skills!I7/Skills!H7,1)+IF(Skills!H7&gt;0,MIN(Skills!I7,MAX(0,Inputs!$B$35-((R762-1)*IF(Inputs!$B$4="pvp",15,MAX(0.1,Skills!D7-IF(Skills!E7=TRUE,Inputs!$B$31,0))))))/Skills!H7,1)))/Inputs!$B$35),G762*Q762)*IF(Inputs!$B$4="pvp",1,(1-Summary!$B$55)*(1)+Summary!$B$55*(MIN(Skills!R7,Inputs!$B$37))),0)</f>
        <v/>
      </c>
      <c r="P762">
        <f>IF(B790=0,0,O762/B790)</f>
        <v/>
      </c>
      <c r="Q762">
        <f>IFERROR(1/IF(Inputs!$B$4="pvp",15,MAX(0.1,Skills!D7-IF(Skills!E7=TRUE,Inputs!$B$31,0))),0)</f>
        <v/>
      </c>
      <c r="R762">
        <f>IF(AND(Inputs!$B$4&lt;&gt;"pvp",Inputs!$B$35&gt;0),(INT(Inputs!$B$35/IF(Inputs!$B$4="pvp",15,MAX(0.1,Skills!D7-IF(Skills!E7=TRUE,Inputs!$B$31,0))))+1),0)</f>
        <v/>
      </c>
      <c r="S762">
        <f>IFERROR(O762/N762,0)</f>
        <v/>
      </c>
    </row>
    <row r="763">
      <c r="A763">
        <f>Skills!A8</f>
        <v/>
      </c>
      <c r="B763">
        <f>Skills!B8</f>
        <v/>
      </c>
      <c r="C763">
        <f>Inputs!$B$3&gt;=107</f>
        <v/>
      </c>
      <c r="D763">
        <f>IF(Skills!C8=1,60+Inputs!$B$24+Inputs!$B$28,IF(Skills!C8=2,90+Inputs!$B$25+Inputs!$B$28,IF(Skills!C8=3,120+Inputs!$B$26+Inputs!$B$28,MAX(0,(Inputs!$B$3-100)*3)+(Inputs!$B$27+1)+Inputs!$B$28)))</f>
        <v/>
      </c>
      <c r="E763">
        <f>INDEX(FactorTable!$B$2:$Y$301, MATCH(ROUND(MIN(300,MAX(1,D763)),0), FactorTable!$A$2:$A$301,0), Skills!M8+1)</f>
        <v/>
      </c>
      <c r="F763">
        <f>IF(Skills!N8=TRUE,(Skills!L8/10)*(E763/1000),Skills!L8/10)+Skills!O8</f>
        <v/>
      </c>
      <c r="G763">
        <f>Skills!G8*IF(Skills!H8&gt;0,Skills!I8/Skills!H8,1)</f>
        <v/>
      </c>
      <c r="H763">
        <f>1-(1-Skills!J8/100)^Skills!K8</f>
        <v/>
      </c>
      <c r="I763" t="inlineStr">
        <is>
          <t>1</t>
        </is>
      </c>
      <c r="J763">
        <f>(Inputs!$B$5*(1+Inputs!$B$6/100))*(F763/100)</f>
        <v/>
      </c>
      <c r="K763">
        <f>J763*(1+((Inputs!$B$11*(1+Inputs!$B$12/100))*0.01+Inputs!$B$13*0.0025)/100)*(1+Inputs!$B$14/100)*(1+IF(Inputs!$B$4="pvp",0,(1-Summary!$B$55)*(Inputs!$B$19+0+Skills!P8)+Summary!$B$55*(Inputs!$B$20+Skills!Q8))/100)*(1+Inputs!$B$15/100)*(5000/(6000+Inputs!$B$7*(1-(Inputs!$B$18+0)/100)))*(1+(Inputs!$B$23+0+B788)/100)*(1+(IF(Skills!A8="BLAST",Inputs!$B$16+((C776=TRUE)*(F776-Calc!F21)),Inputs!$B$17+((C778=TRUE)*(F778-Calc!F23))))/100)*((1+(((C768=TRUE)*F768*MIN(1,Skills!T13*(Skills!J13/100)*B786))+((C773=TRUE)*F773*IF(AND(Inputs!$B$4&lt;&gt;"pvp",Inputs!$B$35&gt;0),(((S773-1)*(Skills!T18*(1+Inputs!$B$33/100))+MIN((Skills!T18*(1+Inputs!$B$33/100)),MAX(0,Inputs!$B$35-((S773-1)*Skills!D18))))/Inputs!$B$35),IF(Inputs!$B$4="pvp",MIN((Skills!T18*(1+Inputs!$B$33/100)),15)/15,(Skills!T18*(1+Inputs!$B$33/100))/Skills!D18)))+0)/100)*I763)</f>
        <v/>
      </c>
      <c r="L763">
        <f>K763*(MIN(Inputs!$B$21+((C777=TRUE)*(F777-Calc!F22)),Inputs!$B$22+((C779=TRUE)*(F779-Calc!F24)))/100+(Inputs!$B$22+((C779=TRUE)*(F779-Calc!F24)))/100)/2</f>
        <v/>
      </c>
      <c r="M763">
        <f>L763*(1+(Inputs!$B$9+0+B787)/100)</f>
        <v/>
      </c>
      <c r="N763">
        <f>L763*(1-MIN((Inputs!$B$8+0+B782),100)/100)+M763*(MIN((Inputs!$B$8+0+B782),100)/100)</f>
        <v/>
      </c>
      <c r="O763">
        <f>IF(C763,H763*N763*IF(AND(Inputs!$B$4&lt;&gt;"pvp",Inputs!$B$35&gt;0),((Skills!G8*((R763-1)*IF(Skills!H8&gt;0,Skills!I8/Skills!H8,1)+IF(Skills!H8&gt;0,MIN(Skills!I8,MAX(0,Inputs!$B$35-((R763-1)*IF(Inputs!$B$4="pvp",15,MAX(0.1,Skills!D8-IF(Skills!E8=TRUE,Inputs!$B$31,0))))))/Skills!H8,1)))/Inputs!$B$35),G763*Q763)*IF(Inputs!$B$4="pvp",1,(1-Summary!$B$55)*(1)+Summary!$B$55*(MIN(Skills!R8,Inputs!$B$37))),0)</f>
        <v/>
      </c>
      <c r="P763">
        <f>IF(B790=0,0,O763/B790)</f>
        <v/>
      </c>
      <c r="Q763">
        <f>IFERROR(1/IF(Inputs!$B$4="pvp",15,MAX(0.1,Skills!D8-IF(Skills!E8=TRUE,Inputs!$B$31,0))),0)</f>
        <v/>
      </c>
      <c r="R763">
        <f>IF(AND(Inputs!$B$4&lt;&gt;"pvp",Inputs!$B$35&gt;0),(INT(Inputs!$B$35/IF(Inputs!$B$4="pvp",15,MAX(0.1,Skills!D8-IF(Skills!E8=TRUE,Inputs!$B$31,0))))+1),0)</f>
        <v/>
      </c>
      <c r="S763">
        <f>IFERROR(O763/N763,0)</f>
        <v/>
      </c>
    </row>
    <row r="764">
      <c r="A764">
        <f>Skills!A9</f>
        <v/>
      </c>
      <c r="B764">
        <f>Skills!B9</f>
        <v/>
      </c>
      <c r="C764">
        <f>Inputs!$B$3&gt;=125</f>
        <v/>
      </c>
      <c r="D764">
        <f>IF(Skills!C9=1,60+Inputs!$B$24+Inputs!$B$28,IF(Skills!C9=2,90+Inputs!$B$25+Inputs!$B$28,IF(Skills!C9=3,120+Inputs!$B$26+Inputs!$B$28,MAX(0,(Inputs!$B$3-100)*3)+(Inputs!$B$27+1)+Inputs!$B$28)))</f>
        <v/>
      </c>
      <c r="E764">
        <f>INDEX(FactorTable!$B$2:$Y$301, MATCH(ROUND(MIN(300,MAX(1,D764)),0), FactorTable!$A$2:$A$301,0), Skills!M9+1)</f>
        <v/>
      </c>
      <c r="F764">
        <f>IF(Skills!N9=TRUE,(Skills!L9/10)*(E764/1000),Skills!L9/10)+Skills!O9</f>
        <v/>
      </c>
      <c r="G764">
        <f>Skills!G9*IF(Skills!H9&gt;0,Skills!I9/Skills!H9,1)</f>
        <v/>
      </c>
      <c r="H764">
        <f>1-(1-Skills!J9/100)^Skills!K9</f>
        <v/>
      </c>
      <c r="I764" t="inlineStr">
        <is>
          <t>1</t>
        </is>
      </c>
      <c r="J764">
        <f>(Inputs!$B$5*(1+Inputs!$B$6/100))*(F764/100)</f>
        <v/>
      </c>
      <c r="K764">
        <f>J764*(1+((Inputs!$B$11*(1+Inputs!$B$12/100))*0.01+Inputs!$B$13*0.0025)/100)*(1+Inputs!$B$14/100)*(1+IF(Inputs!$B$4="pvp",0,(1-Summary!$B$55)*(Inputs!$B$19+0+Skills!P9)+Summary!$B$55*(Inputs!$B$20+Skills!Q9))/100)*(1+Inputs!$B$15/100)*(5000/(6000+Inputs!$B$7*(1-(Inputs!$B$18+0)/100)))*(1+(Inputs!$B$23+0+B788)/100)*(1+(IF(Skills!A9="BLAST",Inputs!$B$16+((C776=TRUE)*(F776-Calc!F21)),Inputs!$B$17+((C778=TRUE)*(F778-Calc!F23))))/100)*((1+(((C768=TRUE)*F768*MIN(1,Skills!T13*(Skills!J13/100)*B786))+((C773=TRUE)*F773*IF(AND(Inputs!$B$4&lt;&gt;"pvp",Inputs!$B$35&gt;0),(((S773-1)*(Skills!T18*(1+Inputs!$B$33/100))+MIN((Skills!T18*(1+Inputs!$B$33/100)),MAX(0,Inputs!$B$35-((S773-1)*Skills!D18))))/Inputs!$B$35),IF(Inputs!$B$4="pvp",MIN((Skills!T18*(1+Inputs!$B$33/100)),15)/15,(Skills!T18*(1+Inputs!$B$33/100))/Skills!D18)))+0)/100)*I764)</f>
        <v/>
      </c>
      <c r="L764">
        <f>K764*(MIN(Inputs!$B$21+((C777=TRUE)*(F777-Calc!F22)),Inputs!$B$22+((C779=TRUE)*(F779-Calc!F24)))/100+(Inputs!$B$22+((C779=TRUE)*(F779-Calc!F24)))/100)/2</f>
        <v/>
      </c>
      <c r="M764">
        <f>L764*(1+(Inputs!$B$9+0+B787)/100)</f>
        <v/>
      </c>
      <c r="N764">
        <f>L764*(1-MIN((Inputs!$B$8+0+B782),100)/100)+M764*(MIN((Inputs!$B$8+0+B782),100)/100)</f>
        <v/>
      </c>
      <c r="O764">
        <f>IF(C764,H764*N764*IF(AND(Inputs!$B$4&lt;&gt;"pvp",Inputs!$B$35&gt;0),((Skills!G9*((R764-1)*IF(Skills!H9&gt;0,Skills!I9/Skills!H9,1)+IF(Skills!H9&gt;0,MIN(Skills!I9,MAX(0,Inputs!$B$35-((R764-1)*IF(Inputs!$B$4="pvp",15,MAX(0.1,Skills!D9-IF(Skills!E9=TRUE,Inputs!$B$31,0))))))/Skills!H9,1)))/Inputs!$B$35),G764*Q764)*IF(Inputs!$B$4="pvp",1,(1-Summary!$B$55)*(1)+Summary!$B$55*(MIN(Skills!R9,Inputs!$B$37))),0)</f>
        <v/>
      </c>
      <c r="P764">
        <f>IF(B790=0,0,O764/B790)</f>
        <v/>
      </c>
      <c r="Q764">
        <f>IFERROR(1/IF(Inputs!$B$4="pvp",15,MAX(0.1,Skills!D9-IF(Skills!E9=TRUE,Inputs!$B$31,0))),0)</f>
        <v/>
      </c>
      <c r="R764">
        <f>IF(AND(Inputs!$B$4&lt;&gt;"pvp",Inputs!$B$35&gt;0),(INT(Inputs!$B$35/IF(Inputs!$B$4="pvp",15,MAX(0.1,Skills!D9-IF(Skills!E9=TRUE,Inputs!$B$31,0))))+1),0)</f>
        <v/>
      </c>
      <c r="S764">
        <f>IFERROR(O764/N764,0)</f>
        <v/>
      </c>
    </row>
    <row r="765">
      <c r="A765">
        <f>Skills!A10</f>
        <v/>
      </c>
      <c r="B765">
        <f>Skills!B10</f>
        <v/>
      </c>
      <c r="C765">
        <f>Inputs!$B$3&gt;=117</f>
        <v/>
      </c>
      <c r="D765">
        <f>IF(Skills!C10=1,60+Inputs!$B$24+Inputs!$B$28,IF(Skills!C10=2,90+Inputs!$B$25+Inputs!$B$28,IF(Skills!C10=3,120+Inputs!$B$26+Inputs!$B$28,MAX(0,(Inputs!$B$3-100)*3)+(Inputs!$B$27+1)+Inputs!$B$28)))</f>
        <v/>
      </c>
      <c r="E765">
        <f>INDEX(FactorTable!$B$2:$Y$301, MATCH(ROUND(MIN(300,MAX(1,D765)),0), FactorTable!$A$2:$A$301,0), Skills!M10+1)</f>
        <v/>
      </c>
      <c r="F765">
        <f>IF(Skills!N10=TRUE,(Skills!L10/10)*(E765/1000),Skills!L10/10)+Skills!O10</f>
        <v/>
      </c>
      <c r="G765">
        <f>Skills!G10*IF(Skills!H10&gt;0,Skills!I10/Skills!H10,1)</f>
        <v/>
      </c>
      <c r="H765">
        <f>1-(1-Skills!J10/100)^Skills!K10</f>
        <v/>
      </c>
      <c r="I765" t="inlineStr">
        <is>
          <t>1</t>
        </is>
      </c>
      <c r="J765">
        <f>(Inputs!$B$5*(1+Inputs!$B$6/100))*(F765/100)</f>
        <v/>
      </c>
      <c r="K765">
        <f>J765*(1+((Inputs!$B$11*(1+Inputs!$B$12/100))*0.01+Inputs!$B$13*0.0025)/100)*(1+Inputs!$B$14/100)*(1+IF(Inputs!$B$4="pvp",0,(1-Summary!$B$55)*(Inputs!$B$19+0+Skills!P10)+Summary!$B$55*(Inputs!$B$20+Skills!Q10))/100)*(1+Inputs!$B$15/100)*(5000/(6000+Inputs!$B$7*(1-(Inputs!$B$18+0)/100)))*(1+(Inputs!$B$23+0+B788)/100)*(1+(IF(Skills!A10="BLAST",Inputs!$B$16+((C776=TRUE)*(F776-Calc!F21)),Inputs!$B$17+((C778=TRUE)*(F778-Calc!F23))))/100)*((1+(((C768=TRUE)*F768*MIN(1,Skills!T13*(Skills!J13/100)*B786))+((C773=TRUE)*F773*IF(AND(Inputs!$B$4&lt;&gt;"pvp",Inputs!$B$35&gt;0),(((S773-1)*(Skills!T18*(1+Inputs!$B$33/100))+MIN((Skills!T18*(1+Inputs!$B$33/100)),MAX(0,Inputs!$B$35-((S773-1)*Skills!D18))))/Inputs!$B$35),IF(Inputs!$B$4="pvp",MIN((Skills!T18*(1+Inputs!$B$33/100)),15)/15,(Skills!T18*(1+Inputs!$B$33/100))/Skills!D18)))+0)/100)*I765)</f>
        <v/>
      </c>
      <c r="L765">
        <f>K765*(MIN(Inputs!$B$21+((C777=TRUE)*(F777-Calc!F22)),Inputs!$B$22+((C779=TRUE)*(F779-Calc!F24)))/100+(Inputs!$B$22+((C779=TRUE)*(F779-Calc!F24)))/100)/2</f>
        <v/>
      </c>
      <c r="M765">
        <f>L765*(1+(Inputs!$B$9+0+B787)/100)</f>
        <v/>
      </c>
      <c r="N765">
        <f>L765*(1-MIN((Inputs!$B$8+0+B782),100)/100)+M765*(MIN((Inputs!$B$8+0+B782),100)/100)</f>
        <v/>
      </c>
      <c r="O765">
        <f>IF(C765,H765*N765*IF(AND(Inputs!$B$4&lt;&gt;"pvp",Inputs!$B$35&gt;0),((Skills!G10*((R765-1)*IF(Skills!H10&gt;0,Skills!I10/Skills!H10,1)+IF(Skills!H10&gt;0,MIN(Skills!I10,MAX(0,Inputs!$B$35-((R765-1)*IF(Inputs!$B$4="pvp",15,MAX(0.1,Skills!D10-IF(Skills!E10=TRUE,Inputs!$B$31,0))))))/Skills!H10,1)))/Inputs!$B$35),G765*Q765)*IF(Inputs!$B$4="pvp",1,(1-Summary!$B$55)*(1)+Summary!$B$55*(MIN(Skills!R10,Inputs!$B$37))),0)</f>
        <v/>
      </c>
      <c r="P765">
        <f>IF(B790=0,0,O765/B790)</f>
        <v/>
      </c>
      <c r="Q765">
        <f>IFERROR(1/IF(Inputs!$B$4="pvp",15,MAX(0.1,Skills!D10-IF(Skills!E10=TRUE,Inputs!$B$31,0))),0)</f>
        <v/>
      </c>
      <c r="R765">
        <f>IF(AND(Inputs!$B$4&lt;&gt;"pvp",Inputs!$B$35&gt;0),(INT(Inputs!$B$35/IF(Inputs!$B$4="pvp",15,MAX(0.1,Skills!D10-IF(Skills!E10=TRUE,Inputs!$B$31,0))))+1),0)</f>
        <v/>
      </c>
      <c r="S765">
        <f>IFERROR(O765/N765,0)</f>
        <v/>
      </c>
    </row>
    <row r="766">
      <c r="A766">
        <f>Skills!A11</f>
        <v/>
      </c>
      <c r="B766">
        <f>Skills!B11</f>
        <v/>
      </c>
      <c r="C766">
        <f>Inputs!$B$3&gt;=63</f>
        <v/>
      </c>
      <c r="D766">
        <f>IF(Skills!C11=1,60+Inputs!$B$24+Inputs!$B$28,IF(Skills!C11=2,90+Inputs!$B$25+Inputs!$B$28,IF(Skills!C11=3,120+Inputs!$B$26+Inputs!$B$28,MAX(0,(Inputs!$B$3-100)*3)+(Inputs!$B$27+1)+Inputs!$B$28)))</f>
        <v/>
      </c>
      <c r="E766">
        <f>INDEX(FactorTable!$B$2:$Y$301, MATCH(ROUND(MIN(300,MAX(1,D766)),0), FactorTable!$A$2:$A$301,0), Skills!M11+1)</f>
        <v/>
      </c>
      <c r="F766">
        <f>IF(Skills!N11=TRUE,(Skills!L11/10)*(E766/1000),Skills!L11/10)+Skills!O11</f>
        <v/>
      </c>
      <c r="G766">
        <f>Skills!G11*IF(Skills!H11&gt;0,Skills!I11/Skills!H11,1)</f>
        <v/>
      </c>
      <c r="H766">
        <f>1-(1-Skills!J11/100)^Skills!K11</f>
        <v/>
      </c>
      <c r="I766" t="inlineStr">
        <is>
          <t>1</t>
        </is>
      </c>
      <c r="J766">
        <f>(Inputs!$B$5*(1+Inputs!$B$6/100))*(F766/100)</f>
        <v/>
      </c>
      <c r="K766">
        <f>J766*(1+((Inputs!$B$11*(1+Inputs!$B$12/100))*0.01+Inputs!$B$13*0.0025)/100)*(1+Inputs!$B$14/100)*(1+IF(Inputs!$B$4="pvp",0,(1-Summary!$B$55)*(Inputs!$B$19+0+Skills!P11)+Summary!$B$55*(Inputs!$B$20+Skills!Q11))/100)*(1+Inputs!$B$15/100)*(5000/(6000+Inputs!$B$7*(1-(Inputs!$B$18+0)/100)))*(1+(Inputs!$B$23+0+B788)/100)*(1+1.5*IF(C767=TRUE,F767,0)/100)*(1+(IF(Skills!A11="BLAST",Inputs!$B$16+((C776=TRUE)*(F776-Calc!F21)),Inputs!$B$17+((C778=TRUE)*(F778-Calc!F23))))/100)*((1+(((C768=TRUE)*F768*MIN(1,Skills!T13*(Skills!J13/100)*B786))+((C773=TRUE)*F773*IF(AND(Inputs!$B$4&lt;&gt;"pvp",Inputs!$B$35&gt;0),(((S773-1)*(Skills!T18*(1+Inputs!$B$33/100))+MIN((Skills!T18*(1+Inputs!$B$33/100)),MAX(0,Inputs!$B$35-((S773-1)*Skills!D18))))/Inputs!$B$35),IF(Inputs!$B$4="pvp",MIN((Skills!T18*(1+Inputs!$B$33/100)),15)/15,(Skills!T18*(1+Inputs!$B$33/100))/Skills!D18)))+0)/100)*I766)</f>
        <v/>
      </c>
      <c r="L766">
        <f>K766*(MIN(Inputs!$B$21+((C777=TRUE)*(F777-Calc!F22)),Inputs!$B$22+((C779=TRUE)*(F779-Calc!F24)))/100+(Inputs!$B$22+((C779=TRUE)*(F779-Calc!F24)))/100)/2</f>
        <v/>
      </c>
      <c r="M766">
        <f>L766*(1+(Inputs!$B$9+0+B787)/100)</f>
        <v/>
      </c>
      <c r="N766">
        <f>L766*(1-MIN((Inputs!$B$8+0+B782),100)/100)+M766*(MIN((Inputs!$B$8+0+B782),100)/100)</f>
        <v/>
      </c>
      <c r="O766">
        <f>IF(C766,H766*N766*IF(AND(Inputs!$B$4&lt;&gt;"pvp",Inputs!$B$35&gt;0),((Skills!G11*((R766-1)*IF(Skills!H11&gt;0,Skills!I11/Skills!H11,1)+IF(Skills!H11&gt;0,MIN(Skills!I11,MAX(0,Inputs!$B$35-((R766-1)*IF(Inputs!$B$4="pvp",15,MAX(0.1,Skills!D11-IF(Skills!E11=TRUE,Inputs!$B$31,0))))))/Skills!H11,1)))/Inputs!$B$35),G766*Q766)*IF(Inputs!$B$4="pvp",1,(1-Summary!$B$55)*(1)+Summary!$B$55*(MIN(Skills!R11,Inputs!$B$37))),0)</f>
        <v/>
      </c>
      <c r="P766">
        <f>IF(B790=0,0,O766/B790)</f>
        <v/>
      </c>
      <c r="Q766">
        <f>IFERROR(1/IF(Inputs!$B$4="pvp",15,MAX(0.1,Skills!D11-IF(Skills!E11=TRUE,Inputs!$B$31,0))),0)</f>
        <v/>
      </c>
      <c r="R766">
        <f>IF(AND(Inputs!$B$4&lt;&gt;"pvp",Inputs!$B$35&gt;0),(INT(Inputs!$B$35/IF(Inputs!$B$4="pvp",15,MAX(0.1,Skills!D11-IF(Skills!E11=TRUE,Inputs!$B$31,0))))+1),0)</f>
        <v/>
      </c>
      <c r="S766">
        <f>IFERROR(O766/N766,0)</f>
        <v/>
      </c>
    </row>
    <row r="767">
      <c r="A767">
        <f>Skills!A12</f>
        <v/>
      </c>
      <c r="B767">
        <f>Skills!B12</f>
        <v/>
      </c>
      <c r="C767">
        <f>Inputs!$B$3&gt;=100</f>
        <v/>
      </c>
      <c r="D767">
        <f>IF(Skills!C12=1,60+Inputs!$B$24+Inputs!$B$28,IF(Skills!C12=2,90+Inputs!$B$25+Inputs!$B$28,IF(Skills!C12=3,120+Inputs!$B$26+Inputs!$B$28,MAX(0,(Inputs!$B$3-100)*3)+(Inputs!$B$27+1)+Inputs!$B$28)))</f>
        <v/>
      </c>
      <c r="E767">
        <f>INDEX(FactorTable!$B$2:$Y$301, MATCH(ROUND(MIN(300,MAX(1,D767)),0), FactorTable!$A$2:$A$301,0), Skills!M12+1)</f>
        <v/>
      </c>
      <c r="F767">
        <f>IF(Skills!N12=TRUE,(Skills!L12/10)*(E767/1000),Skills!L12/10)+Skills!O12</f>
        <v/>
      </c>
      <c r="G767" t="inlineStr"/>
      <c r="H767" t="inlineStr"/>
      <c r="I767" t="inlineStr">
        <is>
          <t>1</t>
        </is>
      </c>
      <c r="J767" t="inlineStr"/>
      <c r="K767" t="inlineStr"/>
      <c r="L767" t="inlineStr"/>
      <c r="M767" t="inlineStr"/>
      <c r="N767" t="inlineStr"/>
      <c r="O767" t="inlineStr"/>
      <c r="P767" t="inlineStr"/>
      <c r="Q767" t="inlineStr"/>
      <c r="R767" t="inlineStr"/>
      <c r="S767" t="inlineStr"/>
    </row>
    <row r="768">
      <c r="A768">
        <f>Skills!A13</f>
        <v/>
      </c>
      <c r="B768">
        <f>Skills!B13</f>
        <v/>
      </c>
      <c r="C768">
        <f>Inputs!$B$3&gt;=45</f>
        <v/>
      </c>
      <c r="D768">
        <f>IF(Skills!C13=1,60+Inputs!$B$24+Inputs!$B$28,IF(Skills!C13=2,90+Inputs!$B$25+Inputs!$B$28,IF(Skills!C13=3,120+Inputs!$B$26+Inputs!$B$28,MAX(0,(Inputs!$B$3-100)*3)+(Inputs!$B$27+1)+Inputs!$B$28)))</f>
        <v/>
      </c>
      <c r="E768">
        <f>INDEX(FactorTable!$B$2:$Y$301, MATCH(ROUND(MIN(300,MAX(1,D768)),0), FactorTable!$A$2:$A$301,0), Skills!M13+1)</f>
        <v/>
      </c>
      <c r="F768">
        <f>IF(Skills!N13=TRUE,(Skills!L13/10)*(E768/1000),Skills!L13/10)+Skills!O13</f>
        <v/>
      </c>
      <c r="G768">
        <f>Skills!G13*IF(Skills!H13&gt;0,Skills!I13/Skills!H13,1)</f>
        <v/>
      </c>
      <c r="H768">
        <f>1-(1-Skills!J13/100)^Skills!K13</f>
        <v/>
      </c>
      <c r="I768" t="inlineStr">
        <is>
          <t>1</t>
        </is>
      </c>
      <c r="J768" t="inlineStr"/>
      <c r="K768" t="inlineStr"/>
      <c r="L768" t="inlineStr"/>
      <c r="M768" t="inlineStr"/>
      <c r="N768" t="inlineStr"/>
      <c r="O768" t="n">
        <v>0</v>
      </c>
      <c r="P768">
        <f>IF(B790=0,0,O768/B790)</f>
        <v/>
      </c>
      <c r="Q768" t="n">
        <v>0</v>
      </c>
      <c r="R768" t="n">
        <v>0</v>
      </c>
      <c r="S768">
        <f>IFERROR(O768/N768,0)</f>
        <v/>
      </c>
    </row>
    <row r="769">
      <c r="A769">
        <f>Skills!A14</f>
        <v/>
      </c>
      <c r="B769">
        <f>Skills!B14</f>
        <v/>
      </c>
      <c r="C769">
        <f>Inputs!$B$3&gt;=110</f>
        <v/>
      </c>
      <c r="D769">
        <f>IF(Skills!C14=1,60+Inputs!$B$24+Inputs!$B$28,IF(Skills!C14=2,90+Inputs!$B$25+Inputs!$B$28,IF(Skills!C14=3,120+Inputs!$B$26+Inputs!$B$28,MAX(0,(Inputs!$B$3-100)*3)+(Inputs!$B$27+1)+Inputs!$B$28)))</f>
        <v/>
      </c>
      <c r="E769">
        <f>INDEX(FactorTable!$B$2:$Y$301, MATCH(ROUND(MIN(300,MAX(1,D769)),0), FactorTable!$A$2:$A$301,0), Skills!M14+1)</f>
        <v/>
      </c>
      <c r="F769">
        <f>IF(Skills!N14=TRUE,(Skills!L14/10)*(E769/1000),Skills!L14/10)+Skills!O14</f>
        <v/>
      </c>
      <c r="G769">
        <f>Skills!G14*IF(Skills!H14&gt;0,Skills!I14/Skills!H14,1)</f>
        <v/>
      </c>
      <c r="H769">
        <f>1-(1-Skills!J14/100)^Skills!K14</f>
        <v/>
      </c>
      <c r="I769" t="inlineStr">
        <is>
          <t>1</t>
        </is>
      </c>
      <c r="J769" t="inlineStr"/>
      <c r="K769" t="inlineStr"/>
      <c r="L769" t="inlineStr"/>
      <c r="M769" t="inlineStr"/>
      <c r="N769" t="inlineStr"/>
      <c r="O769" t="n">
        <v>0</v>
      </c>
      <c r="P769">
        <f>IF(B790=0,0,O769/B790)</f>
        <v/>
      </c>
      <c r="Q769" t="n">
        <v>0</v>
      </c>
      <c r="R769" t="n">
        <v>0</v>
      </c>
      <c r="S769">
        <f>IFERROR(O769/N769,0)</f>
        <v/>
      </c>
    </row>
    <row r="770">
      <c r="A770">
        <f>Skills!A15</f>
        <v/>
      </c>
      <c r="B770">
        <f>Skills!B15</f>
        <v/>
      </c>
      <c r="C770">
        <f>Inputs!$B$3&gt;=75</f>
        <v/>
      </c>
      <c r="D770">
        <f>IF(Skills!C15=1,60+Inputs!$B$24+Inputs!$B$28,IF(Skills!C15=2,90+Inputs!$B$25+Inputs!$B$28,IF(Skills!C15=3,120+Inputs!$B$26+Inputs!$B$28,MAX(0,(Inputs!$B$3-100)*3)+(Inputs!$B$27+1)+Inputs!$B$28)))</f>
        <v/>
      </c>
      <c r="E770">
        <f>INDEX(FactorTable!$B$2:$Y$301, MATCH(ROUND(MIN(300,MAX(1,D770)),0), FactorTable!$A$2:$A$301,0), Skills!M15+1)</f>
        <v/>
      </c>
      <c r="F770">
        <f>IF(Skills!N15=TRUE,(Skills!L15/10)*(E770/1000),Skills!L15/10)+Skills!O15</f>
        <v/>
      </c>
      <c r="G770">
        <f>Skills!G15*IF(Skills!H15&gt;0,Skills!I15/Skills!H15,1)</f>
        <v/>
      </c>
      <c r="H770">
        <f>1-(1-Skills!J15/100)^Skills!K15</f>
        <v/>
      </c>
      <c r="I770" t="inlineStr">
        <is>
          <t>1</t>
        </is>
      </c>
      <c r="J770" t="inlineStr"/>
      <c r="K770" t="inlineStr"/>
      <c r="L770" t="inlineStr"/>
      <c r="M770" t="inlineStr"/>
      <c r="N770" t="inlineStr"/>
      <c r="O770" t="n">
        <v>0</v>
      </c>
      <c r="P770">
        <f>IF(B790=0,0,O770/B790)</f>
        <v/>
      </c>
      <c r="Q770">
        <f>IFERROR(1/IF(Inputs!$B$4="pvp",15,MAX(0.1,Skills!D15-IF(Skills!E15=TRUE,Inputs!$B$31,0))),0)</f>
        <v/>
      </c>
      <c r="R770">
        <f>IF(AND(Inputs!$B$4&lt;&gt;"pvp",Inputs!$B$35&gt;0),(INT(Inputs!$B$35/IF(Inputs!$B$4="pvp",15,MAX(0.1,Skills!D15-IF(Skills!E15=TRUE,Inputs!$B$31,0))))+1),0)</f>
        <v/>
      </c>
      <c r="S770">
        <f>IFERROR(O770/N770,0)</f>
        <v/>
      </c>
    </row>
    <row r="771">
      <c r="A771">
        <f>Skills!A16</f>
        <v/>
      </c>
      <c r="B771">
        <f>Skills!B16</f>
        <v/>
      </c>
      <c r="C771">
        <f>Inputs!$B$3&gt;=105</f>
        <v/>
      </c>
      <c r="D771">
        <f>IF(Skills!C16=1,60+Inputs!$B$24+Inputs!$B$28,IF(Skills!C16=2,90+Inputs!$B$25+Inputs!$B$28,IF(Skills!C16=3,120+Inputs!$B$26+Inputs!$B$28,MAX(0,(Inputs!$B$3-100)*3)+(Inputs!$B$27+1)+Inputs!$B$28)))</f>
        <v/>
      </c>
      <c r="E771">
        <f>INDEX(FactorTable!$B$2:$Y$301, MATCH(ROUND(MIN(300,MAX(1,D771)),0), FactorTable!$A$2:$A$301,0), Skills!M16+1)</f>
        <v/>
      </c>
      <c r="F771">
        <f>IF(Skills!N16=TRUE,(Skills!L16/10)*(E771/1000),Skills!L16/10)+Skills!O16</f>
        <v/>
      </c>
      <c r="G771">
        <f>Skills!G16*IF(Skills!H16&gt;0,Skills!I16/Skills!H16,1)</f>
        <v/>
      </c>
      <c r="H771">
        <f>1-(1-Skills!J16/100)^Skills!K16</f>
        <v/>
      </c>
      <c r="I771" t="inlineStr">
        <is>
          <t>1</t>
        </is>
      </c>
      <c r="J771" t="inlineStr"/>
      <c r="K771" t="inlineStr"/>
      <c r="L771" t="inlineStr"/>
      <c r="M771" t="inlineStr"/>
      <c r="N771" t="inlineStr"/>
      <c r="O771" t="n">
        <v>0</v>
      </c>
      <c r="P771">
        <f>IF(B790=0,0,O771/B790)</f>
        <v/>
      </c>
      <c r="Q771">
        <f>IFERROR(1/IF(Inputs!$B$4="pvp",15,MAX(0.1,Skills!D16-IF(Skills!E16=TRUE,Inputs!$B$31,0))),0)</f>
        <v/>
      </c>
      <c r="R771">
        <f>IF(AND(Inputs!$B$4&lt;&gt;"pvp",Inputs!$B$35&gt;0),(INT(Inputs!$B$35/IF(Inputs!$B$4="pvp",15,MAX(0.1,Skills!D16-IF(Skills!E16=TRUE,Inputs!$B$31,0))))+1),0)</f>
        <v/>
      </c>
      <c r="S771">
        <f>IFERROR(O771/N771,0)</f>
        <v/>
      </c>
    </row>
    <row r="772">
      <c r="A772">
        <f>Skills!A17</f>
        <v/>
      </c>
      <c r="B772">
        <f>Skills!B17</f>
        <v/>
      </c>
      <c r="C772">
        <f>Inputs!$B$3&gt;=115</f>
        <v/>
      </c>
      <c r="D772">
        <f>IF(Skills!C17=1,60+Inputs!$B$24+Inputs!$B$28,IF(Skills!C17=2,90+Inputs!$B$25+Inputs!$B$28,IF(Skills!C17=3,120+Inputs!$B$26+Inputs!$B$28,MAX(0,(Inputs!$B$3-100)*3)+(Inputs!$B$27+1)+Inputs!$B$28)))</f>
        <v/>
      </c>
      <c r="E772">
        <f>INDEX(FactorTable!$B$2:$Y$301, MATCH(ROUND(MIN(300,MAX(1,D772)),0), FactorTable!$A$2:$A$301,0), Skills!M17+1)</f>
        <v/>
      </c>
      <c r="F772">
        <f>IF(Skills!N17=TRUE,(Skills!L17/10)*(E772/1000),Skills!L17/10)+Skills!O17</f>
        <v/>
      </c>
      <c r="G772">
        <f>Skills!G17*IF(Skills!H17&gt;0,Skills!I17/Skills!H17,1)</f>
        <v/>
      </c>
      <c r="H772">
        <f>1-(1-Skills!J17/100)^Skills!K17</f>
        <v/>
      </c>
      <c r="I772" t="inlineStr">
        <is>
          <t>1</t>
        </is>
      </c>
      <c r="J772" t="inlineStr"/>
      <c r="K772" t="inlineStr"/>
      <c r="L772" t="inlineStr"/>
      <c r="M772" t="inlineStr"/>
      <c r="N772" t="inlineStr"/>
      <c r="O772" t="n">
        <v>0</v>
      </c>
      <c r="P772">
        <f>IF(B790=0,0,O772/B790)</f>
        <v/>
      </c>
      <c r="Q772">
        <f>IFERROR(1/IF(Inputs!$B$4="pvp",15,MAX(0.1,Skills!D17-IF(Skills!E17=TRUE,Inputs!$B$31,0))),0)</f>
        <v/>
      </c>
      <c r="R772">
        <f>IF(AND(Inputs!$B$4&lt;&gt;"pvp",Inputs!$B$35&gt;0),(INT(Inputs!$B$35/IF(Inputs!$B$4="pvp",15,MAX(0.1,Skills!D17-IF(Skills!E17=TRUE,Inputs!$B$31,0))))+1),0)</f>
        <v/>
      </c>
      <c r="S772">
        <f>IFERROR(O772/N772,0)</f>
        <v/>
      </c>
    </row>
    <row r="773">
      <c r="A773">
        <f>Skills!A18</f>
        <v/>
      </c>
      <c r="B773">
        <f>Skills!B18</f>
        <v/>
      </c>
      <c r="C773">
        <f>Inputs!$B$3&gt;=74</f>
        <v/>
      </c>
      <c r="D773">
        <f>IF(Skills!C18=1,60+Inputs!$B$24+Inputs!$B$28,IF(Skills!C18=2,90+Inputs!$B$25+Inputs!$B$28,IF(Skills!C18=3,120+Inputs!$B$26+Inputs!$B$28,MAX(0,(Inputs!$B$3-100)*3)+(Inputs!$B$27+1)+Inputs!$B$28)))</f>
        <v/>
      </c>
      <c r="E773">
        <f>INDEX(FactorTable!$B$2:$Y$301, MATCH(ROUND(MIN(300,MAX(1,D773)),0), FactorTable!$A$2:$A$301,0), Skills!M18+1)</f>
        <v/>
      </c>
      <c r="F773">
        <f>IF(Skills!N18=TRUE,(Skills!L18/10)*(E773/1000),Skills!L18/10)+Skills!O18</f>
        <v/>
      </c>
      <c r="G773">
        <f>Skills!G18*IF(Skills!H18&gt;0,Skills!I18/Skills!H18,1)</f>
        <v/>
      </c>
      <c r="H773">
        <f>1-(1-Skills!J18/100)^Skills!K18</f>
        <v/>
      </c>
      <c r="I773" t="inlineStr">
        <is>
          <t>1</t>
        </is>
      </c>
      <c r="J773" t="inlineStr"/>
      <c r="K773" t="inlineStr"/>
      <c r="L773" t="inlineStr"/>
      <c r="M773" t="inlineStr"/>
      <c r="N773" t="inlineStr"/>
      <c r="O773" t="n">
        <v>0</v>
      </c>
      <c r="P773">
        <f>IF(B790=0,0,O773/B790)</f>
        <v/>
      </c>
      <c r="Q773">
        <f>IFERROR(1/IF(Inputs!$B$4="pvp",15,MAX(0.1,Skills!D18-IF(Skills!E18=TRUE,Inputs!$B$31,0))),0)</f>
        <v/>
      </c>
      <c r="R773">
        <f>IF(AND(Inputs!$B$4&lt;&gt;"pvp",Inputs!$B$35&gt;0),(INT(Inputs!$B$35/IF(Inputs!$B$4="pvp",15,MAX(0.1,Skills!D18-IF(Skills!E18=TRUE,Inputs!$B$31,0))))+1),0)</f>
        <v/>
      </c>
      <c r="S773">
        <f>IFERROR(O773/N773,0)</f>
        <v/>
      </c>
    </row>
    <row r="774">
      <c r="A774">
        <f>Skills!A19</f>
        <v/>
      </c>
      <c r="B774">
        <f>Skills!B19</f>
        <v/>
      </c>
      <c r="C774">
        <f>TRUE</f>
        <v/>
      </c>
      <c r="D774">
        <f>IF(Skills!C19=1,60+Inputs!$B$24+Inputs!$B$28,IF(Skills!C19=2,90+Inputs!$B$25+Inputs!$B$28,IF(Skills!C19=3,120+Inputs!$B$26+Inputs!$B$28,MAX(0,(Inputs!$B$3-100)*3)+(Inputs!$B$27+1)+Inputs!$B$28)))</f>
        <v/>
      </c>
      <c r="E774">
        <f>INDEX(FactorTable!$B$2:$Y$301, MATCH(ROUND(MIN(300,MAX(1,D774)),0), FactorTable!$A$2:$A$301,0), Skills!M19+1)</f>
        <v/>
      </c>
      <c r="F774">
        <f>IF(Skills!N19=TRUE,(Skills!L19/10)*(E774/1000),Skills!L19/10)+Skills!O19</f>
        <v/>
      </c>
      <c r="G774">
        <f>Skills!G19*IF(Skills!H19&gt;0,Skills!I19/Skills!H19,1)</f>
        <v/>
      </c>
      <c r="H774">
        <f>1-(1-Skills!J19/100)^Skills!K19</f>
        <v/>
      </c>
      <c r="I774" t="inlineStr">
        <is>
          <t>1</t>
        </is>
      </c>
      <c r="J774" t="inlineStr"/>
      <c r="K774" t="inlineStr"/>
      <c r="L774" t="inlineStr"/>
      <c r="M774" t="inlineStr"/>
      <c r="N774" t="inlineStr"/>
      <c r="O774" t="n">
        <v>0</v>
      </c>
      <c r="P774">
        <f>IF(B790=0,0,O774/B790)</f>
        <v/>
      </c>
      <c r="Q774">
        <f>IFERROR(1/IF(Inputs!$B$4="pvp",15,MAX(0.1,Skills!D19-IF(Skills!E19=TRUE,Inputs!$B$31,0))),0)</f>
        <v/>
      </c>
      <c r="R774">
        <f>IF(AND(Inputs!$B$4&lt;&gt;"pvp",Inputs!$B$35&gt;0),(INT(Inputs!$B$35/IF(Inputs!$B$4="pvp",15,MAX(0.1,Skills!D19-IF(Skills!E19=TRUE,Inputs!$B$31,0))))+1),0)</f>
        <v/>
      </c>
      <c r="S774">
        <f>IFERROR(O774/N774,0)</f>
        <v/>
      </c>
    </row>
    <row r="775">
      <c r="A775">
        <f>Skills!A20</f>
        <v/>
      </c>
      <c r="B775">
        <f>Skills!B20</f>
        <v/>
      </c>
      <c r="C775">
        <f>Inputs!$B$3&gt;=33</f>
        <v/>
      </c>
      <c r="D775">
        <f>IF(Skills!C20=1,60+Inputs!$B$24+Inputs!$B$28,IF(Skills!C20=2,90+Inputs!$B$25+Inputs!$B$28,IF(Skills!C20=3,120+Inputs!$B$26+Inputs!$B$28,MAX(0,(Inputs!$B$3-100)*3)+(Inputs!$B$27+1)+Inputs!$B$28)))</f>
        <v/>
      </c>
      <c r="E775">
        <f>INDEX(FactorTable!$B$2:$Y$301, MATCH(ROUND(MIN(300,MAX(1,D775)),0), FactorTable!$A$2:$A$301,0), Skills!M20+1)</f>
        <v/>
      </c>
      <c r="F775">
        <f>IF(Skills!N20=TRUE,(Skills!L20/10)*(E775/1000),Skills!L20/10)+Skills!O20</f>
        <v/>
      </c>
      <c r="G775">
        <f>Skills!G20*IF(Skills!H20&gt;0,Skills!I20/Skills!H20,1)</f>
        <v/>
      </c>
      <c r="H775">
        <f>1-(1-Skills!J20/100)^Skills!K20</f>
        <v/>
      </c>
      <c r="I775" t="inlineStr">
        <is>
          <t>1</t>
        </is>
      </c>
      <c r="J775" t="inlineStr"/>
      <c r="K775" t="inlineStr"/>
      <c r="L775" t="inlineStr"/>
      <c r="M775" t="inlineStr"/>
      <c r="N775" t="inlineStr"/>
      <c r="O775" t="n">
        <v>0</v>
      </c>
      <c r="P775">
        <f>IF(B790=0,0,O775/B790)</f>
        <v/>
      </c>
      <c r="Q775" t="n">
        <v>0</v>
      </c>
      <c r="R775" t="n">
        <v>0</v>
      </c>
      <c r="S775">
        <f>IFERROR(O775/N775,0)</f>
        <v/>
      </c>
    </row>
    <row r="776">
      <c r="A776">
        <f>Skills!A21</f>
        <v/>
      </c>
      <c r="B776">
        <f>Skills!B21</f>
        <v/>
      </c>
      <c r="C776">
        <f>Inputs!$B$3&gt;=38</f>
        <v/>
      </c>
      <c r="D776">
        <f>IF(Skills!C21=1,60+Inputs!$B$24+Inputs!$B$28,IF(Skills!C21=2,90+Inputs!$B$25+Inputs!$B$28,IF(Skills!C21=3,120+Inputs!$B$26+Inputs!$B$28,MAX(0,(Inputs!$B$3-100)*3)+(Inputs!$B$27+1)+Inputs!$B$28)))</f>
        <v/>
      </c>
      <c r="E776">
        <f>INDEX(FactorTable!$B$2:$Y$301, MATCH(ROUND(MIN(300,MAX(1,D776)),0), FactorTable!$A$2:$A$301,0), Skills!M21+1)</f>
        <v/>
      </c>
      <c r="F776">
        <f>IF(Skills!N21=TRUE,(Skills!L21/10)*(E776/1000),Skills!L21/10)+Skills!O21</f>
        <v/>
      </c>
      <c r="G776">
        <f>Skills!G21*IF(Skills!H21&gt;0,Skills!I21/Skills!H21,1)</f>
        <v/>
      </c>
      <c r="H776">
        <f>1-(1-Skills!J21/100)^Skills!K21</f>
        <v/>
      </c>
      <c r="I776" t="inlineStr">
        <is>
          <t>1</t>
        </is>
      </c>
      <c r="J776" t="inlineStr"/>
      <c r="K776" t="inlineStr"/>
      <c r="L776" t="inlineStr"/>
      <c r="M776" t="inlineStr"/>
      <c r="N776" t="inlineStr"/>
      <c r="O776" t="n">
        <v>0</v>
      </c>
      <c r="P776">
        <f>IF(B790=0,0,O776/B790)</f>
        <v/>
      </c>
      <c r="Q776" t="n">
        <v>0</v>
      </c>
      <c r="R776" t="n">
        <v>0</v>
      </c>
      <c r="S776">
        <f>IFERROR(O776/N776,0)</f>
        <v/>
      </c>
    </row>
    <row r="777">
      <c r="A777">
        <f>Skills!A22</f>
        <v/>
      </c>
      <c r="B777">
        <f>Skills!B22</f>
        <v/>
      </c>
      <c r="C777">
        <f>Inputs!$B$3&gt;=43</f>
        <v/>
      </c>
      <c r="D777">
        <f>IF(Skills!C22=1,60+Inputs!$B$24+Inputs!$B$28,IF(Skills!C22=2,90+Inputs!$B$25+Inputs!$B$28,IF(Skills!C22=3,120+Inputs!$B$26+Inputs!$B$28,MAX(0,(Inputs!$B$3-100)*3)+(Inputs!$B$27+1)+Inputs!$B$28)))</f>
        <v/>
      </c>
      <c r="E777">
        <f>INDEX(FactorTable!$B$2:$Y$301, MATCH(ROUND(MIN(300,MAX(1,D777)),0), FactorTable!$A$2:$A$301,0), Skills!M22+1)</f>
        <v/>
      </c>
      <c r="F777">
        <f>IF(Skills!N22=TRUE,(Skills!L22/10)*(E777/1000),Skills!L22/10)+Skills!O22</f>
        <v/>
      </c>
      <c r="G777">
        <f>Skills!G22*IF(Skills!H22&gt;0,Skills!I22/Skills!H22,1)</f>
        <v/>
      </c>
      <c r="H777">
        <f>1-(1-Skills!J22/100)^Skills!K22</f>
        <v/>
      </c>
      <c r="I777" t="inlineStr">
        <is>
          <t>1</t>
        </is>
      </c>
      <c r="J777" t="inlineStr"/>
      <c r="K777" t="inlineStr"/>
      <c r="L777" t="inlineStr"/>
      <c r="M777" t="inlineStr"/>
      <c r="N777" t="inlineStr"/>
      <c r="O777" t="n">
        <v>0</v>
      </c>
      <c r="P777">
        <f>IF(B790=0,0,O777/B790)</f>
        <v/>
      </c>
      <c r="Q777" t="n">
        <v>0</v>
      </c>
      <c r="R777" t="n">
        <v>0</v>
      </c>
      <c r="S777">
        <f>IFERROR(O777/N777,0)</f>
        <v/>
      </c>
    </row>
    <row r="778">
      <c r="A778">
        <f>Skills!A23</f>
        <v/>
      </c>
      <c r="B778">
        <f>Skills!B23</f>
        <v/>
      </c>
      <c r="C778">
        <f>Inputs!$B$3&gt;=120</f>
        <v/>
      </c>
      <c r="D778">
        <f>IF(Skills!C23=1,60+Inputs!$B$24+Inputs!$B$28,IF(Skills!C23=2,90+Inputs!$B$25+Inputs!$B$28,IF(Skills!C23=3,120+Inputs!$B$26+Inputs!$B$28,MAX(0,(Inputs!$B$3-100)*3)+(Inputs!$B$27+1)+Inputs!$B$28)))</f>
        <v/>
      </c>
      <c r="E778">
        <f>INDEX(FactorTable!$B$2:$Y$301, MATCH(ROUND(MIN(300,MAX(1,D778)),0), FactorTable!$A$2:$A$301,0), Skills!M23+1)</f>
        <v/>
      </c>
      <c r="F778">
        <f>IF(Skills!N23=TRUE,(Skills!L23/10)*(E778/1000),Skills!L23/10)+Skills!O23</f>
        <v/>
      </c>
      <c r="G778">
        <f>Skills!G23*IF(Skills!H23&gt;0,Skills!I23/Skills!H23,1)</f>
        <v/>
      </c>
      <c r="H778">
        <f>1-(1-Skills!J23/100)^Skills!K23</f>
        <v/>
      </c>
      <c r="I778" t="inlineStr">
        <is>
          <t>1</t>
        </is>
      </c>
      <c r="J778" t="inlineStr"/>
      <c r="K778" t="inlineStr"/>
      <c r="L778" t="inlineStr"/>
      <c r="M778" t="inlineStr"/>
      <c r="N778" t="inlineStr"/>
      <c r="O778" t="n">
        <v>0</v>
      </c>
      <c r="P778">
        <f>IF(B790=0,0,O778/B790)</f>
        <v/>
      </c>
      <c r="Q778" t="n">
        <v>0</v>
      </c>
      <c r="R778" t="n">
        <v>0</v>
      </c>
      <c r="S778">
        <f>IFERROR(O778/N778,0)</f>
        <v/>
      </c>
    </row>
    <row r="779">
      <c r="A779">
        <f>Skills!A24</f>
        <v/>
      </c>
      <c r="B779">
        <f>Skills!B24</f>
        <v/>
      </c>
      <c r="C779">
        <f>Inputs!$B$3&gt;=120</f>
        <v/>
      </c>
      <c r="D779">
        <f>IF(Skills!C24=1,60+Inputs!$B$24+Inputs!$B$28,IF(Skills!C24=2,90+Inputs!$B$25+Inputs!$B$28,IF(Skills!C24=3,120+Inputs!$B$26+Inputs!$B$28,MAX(0,(Inputs!$B$3-100)*3)+(Inputs!$B$27+1)+Inputs!$B$28)))</f>
        <v/>
      </c>
      <c r="E779">
        <f>INDEX(FactorTable!$B$2:$Y$301, MATCH(ROUND(MIN(300,MAX(1,D779)),0), FactorTable!$A$2:$A$301,0), Skills!M24+1)</f>
        <v/>
      </c>
      <c r="F779">
        <f>IF(Skills!N24=TRUE,(Skills!L24/10)*(E779/1000),Skills!L24/10)+Skills!O24</f>
        <v/>
      </c>
      <c r="G779">
        <f>Skills!G24*IF(Skills!H24&gt;0,Skills!I24/Skills!H24,1)</f>
        <v/>
      </c>
      <c r="H779">
        <f>1-(1-Skills!J24/100)^Skills!K24</f>
        <v/>
      </c>
      <c r="I779" t="inlineStr">
        <is>
          <t>1</t>
        </is>
      </c>
      <c r="J779" t="inlineStr"/>
      <c r="K779" t="inlineStr"/>
      <c r="L779" t="inlineStr"/>
      <c r="M779" t="inlineStr"/>
      <c r="N779" t="inlineStr"/>
      <c r="O779" t="n">
        <v>0</v>
      </c>
      <c r="P779">
        <f>IF(B790=0,0,O779/B790)</f>
        <v/>
      </c>
      <c r="Q779" t="n">
        <v>0</v>
      </c>
      <c r="R779" t="n">
        <v>0</v>
      </c>
      <c r="S779">
        <f>IFERROR(O779/N779,0)</f>
        <v/>
      </c>
    </row>
    <row r="781">
      <c r="A781" t="inlineStr">
        <is>
          <t>Attack% Bucket Multiplier</t>
        </is>
      </c>
      <c r="B781">
        <f>(1+(((C768=TRUE)*F768*MIN(1,Skills!T13*(Skills!J13/100)*B786))+((C773=TRUE)*F773*IF(AND(Inputs!$B$4&lt;&gt;"pvp",Inputs!$B$35&gt;0),(((S773-1)*(Skills!T18*(1+Inputs!$B$33/100))+MIN((Skills!T18*(1+Inputs!$B$33/100)),MAX(0,Inputs!$B$35-((S773-1)*Skills!D18))))/Inputs!$B$35),IF(Inputs!$B$4="pvp",MIN((Skills!T18*(1+Inputs!$B$33/100)),15)/15,(Skills!T18*(1+Inputs!$B$33/100))/Skills!D18)))+0)/100)</f>
        <v/>
      </c>
    </row>
    <row r="782">
      <c r="A782" t="inlineStr">
        <is>
          <t>Global Crit Rate Bonus %</t>
        </is>
      </c>
      <c r="B782" t="n">
        <v>0</v>
      </c>
    </row>
    <row r="783">
      <c r="A783" t="inlineStr">
        <is>
          <t>Attack Speed Buff Bonus %</t>
        </is>
      </c>
      <c r="B783">
        <f>((C774=TRUE)*F774*IF(AND(Inputs!$B$4&lt;&gt;"pvp",Inputs!$B$35&gt;0),(((S774-1)*(Skills!T19*(1+Inputs!$B$33/100))+MIN((Skills!T19*(1+Inputs!$B$33/100)),MAX(0,Inputs!$B$35-((S774-1)*Skills!D19))))/Inputs!$B$35),IF(Inputs!$B$4="pvp",MIN((Skills!T19*(1+Inputs!$B$33/100)),15)/15,(Skills!T19*(1+Inputs!$B$33/100))/Skills!D19)))</f>
        <v/>
      </c>
    </row>
    <row r="784">
      <c r="A784" t="inlineStr">
        <is>
          <t>Actions Per Second</t>
        </is>
      </c>
      <c r="B784">
        <f>1+MIN(150,150*(1-(1-(Inputs!$B$10+((C775=TRUE)*(F775-Calc!F20)))/150)*(1-B783/150)))/100</f>
        <v/>
      </c>
    </row>
    <row r="785">
      <c r="A785" t="inlineStr">
        <is>
          <t>Skill + Buff Cast Rate</t>
        </is>
      </c>
      <c r="B785">
        <f>IF(AND(Inputs!$B$4&lt;&gt;"pvp",Inputs!$B$35&gt;0),SUMPRODUCT((Skills!E2:E24=TRUE)*(C757:C779=TRUE)*R757:R779*Skills!F2:F24)/Inputs!$B$35,SUMPRODUCT((Skills!E2:E24=TRUE)*(C757:C779=TRUE)*Q757:Q779*Skills!F2:F24))</f>
        <v/>
      </c>
    </row>
    <row r="786">
      <c r="A786" t="inlineStr">
        <is>
          <t>Blast Casts Per Second</t>
        </is>
      </c>
      <c r="B786">
        <f>MAX(0,B784-B785)</f>
        <v/>
      </c>
    </row>
    <row r="787">
      <c r="A787" t="inlineStr">
        <is>
          <t>Global Critical Damage Bonus % (unused)</t>
        </is>
      </c>
      <c r="B787" t="n">
        <v>0</v>
      </c>
    </row>
    <row r="788">
      <c r="A788" t="inlineStr">
        <is>
          <t>Global Final Damage Bonus % (Divine Shield + Guardian + Divine Blessing + Greater Vessel of Light)</t>
        </is>
      </c>
      <c r="B788">
        <f>((C770=TRUE)*F770*IF(AND(Inputs!$B$4&lt;&gt;"pvp",Inputs!$B$35&gt;0),(((S770-1)*(Skills!T15*(1+Inputs!$B$33/100))+MIN((Skills!T15*(1+Inputs!$B$33/100)),MAX(0,Inputs!$B$35-((S770-1)*Skills!D15))))/Inputs!$B$35),IF(Inputs!$B$4="pvp",MIN((Skills!T15*(1+Inputs!$B$33/100)),15)/15,(Skills!T15*(1+Inputs!$B$33/100))/Skills!D15)))+((C771=TRUE)*F771*IF(AND(Inputs!$B$4&lt;&gt;"pvp",Inputs!$B$35&gt;0),(((S771-1)*(Skills!T16*(1+Inputs!$B$33/100))+MIN((Skills!T16*(1+Inputs!$B$33/100)),MAX(0,Inputs!$B$35-((S771-1)*Skills!D16))))/Inputs!$B$35),IF(Inputs!$B$4="pvp",MIN((Skills!T16*(1+Inputs!$B$33/100)),15)/15,(Skills!T16*(1+Inputs!$B$33/100))/Skills!D16)))+((C772=TRUE)*F772*IF(AND(Inputs!$B$4&lt;&gt;"pvp",Inputs!$B$35&gt;0),(((S772-1)*(Skills!T17*(1+Inputs!$B$33/100))+MIN((Skills!T17*(1+Inputs!$B$33/100)),MAX(0,Inputs!$B$35-((S772-1)*Skills!D17))))/Inputs!$B$35),IF(Inputs!$B$4="pvp",MIN((Skills!T17*(1+Inputs!$B$33/100)),15)/15,(Skills!T17*(1+Inputs!$B$33/100))/Skills!D17)))+((C769=TRUE)*F769*MIN(1,Skills!T13*(Skills!J13/100)*B786))</f>
        <v/>
      </c>
    </row>
    <row r="790">
      <c r="A790" s="5" t="inlineStr">
        <is>
          <t>TOTAL DPS</t>
        </is>
      </c>
      <c r="B790" s="5">
        <f>SUM(O757:O779)</f>
        <v/>
      </c>
    </row>
    <row r="793">
      <c r="A793" s="5" t="inlineStr">
        <is>
          <t>Stat: Skill Level Bonus — All Skills</t>
        </is>
      </c>
    </row>
    <row r="794">
      <c r="A794" s="8" t="inlineStr">
        <is>
          <t>Key</t>
        </is>
      </c>
      <c r="B794" s="8" t="inlineStr">
        <is>
          <t>Name</t>
        </is>
      </c>
      <c r="C794" s="8" t="inlineStr">
        <is>
          <t>Unlocked</t>
        </is>
      </c>
      <c r="D794" s="8" t="inlineStr">
        <is>
          <t>InputLevel</t>
        </is>
      </c>
      <c r="E794" s="8" t="inlineStr">
        <is>
          <t>Factor</t>
        </is>
      </c>
      <c r="F794" s="8" t="inlineStr">
        <is>
          <t>CoefficientPercent</t>
        </is>
      </c>
      <c r="G794" s="8" t="inlineStr">
        <is>
          <t>EffectiveHits</t>
        </is>
      </c>
      <c r="H794" s="8" t="inlineStr">
        <is>
          <t>ProcProbability</t>
        </is>
      </c>
      <c r="I794" s="8" t="inlineStr">
        <is>
          <t>MapleHeroMultiplier</t>
        </is>
      </c>
      <c r="J794" s="8" t="inlineStr">
        <is>
          <t>BaseDamage</t>
        </is>
      </c>
      <c r="K794" s="8" t="inlineStr">
        <is>
          <t>BaseHitDamage</t>
        </is>
      </c>
      <c r="L794" s="8" t="inlineStr">
        <is>
          <t>NonCritAvg</t>
        </is>
      </c>
      <c r="M794" s="8" t="inlineStr">
        <is>
          <t>CritAvg</t>
        </is>
      </c>
      <c r="N794" s="8" t="inlineStr">
        <is>
          <t>ExpectedDamage(perHit)</t>
        </is>
      </c>
      <c r="O794" s="8" t="inlineStr">
        <is>
          <t>DPS</t>
        </is>
      </c>
      <c r="P794" s="8" t="inlineStr">
        <is>
          <t>% of Total</t>
        </is>
      </c>
      <c r="Q794" s="8" t="inlineStr">
        <is>
          <t>InvCooldown</t>
        </is>
      </c>
      <c r="R794" s="8" t="inlineStr">
        <is>
          <t>CastsInFight</t>
        </is>
      </c>
      <c r="S794" s="8" t="inlineStr">
        <is>
          <t>HitRate(perSec)</t>
        </is>
      </c>
      <c r="U794" t="inlineStr">
        <is>
          <t>helpers</t>
        </is>
      </c>
    </row>
    <row r="795">
      <c r="A795">
        <f>Skills!A2</f>
        <v/>
      </c>
      <c r="B795">
        <f>Skills!B2</f>
        <v/>
      </c>
      <c r="C795">
        <f>Inputs!$B$3&gt;=100</f>
        <v/>
      </c>
      <c r="D795" t="inlineStr"/>
      <c r="E795" t="inlineStr"/>
      <c r="F795">
        <f>U797+Skills!O2</f>
        <v/>
      </c>
      <c r="G795">
        <f>Skills!G2*IF(Skills!H2&gt;0,Skills!I2/Skills!H2,1)</f>
        <v/>
      </c>
      <c r="H795">
        <f>1-(1-Skills!J2/100)^Skills!K2</f>
        <v/>
      </c>
      <c r="I795" t="inlineStr">
        <is>
          <t>1</t>
        </is>
      </c>
      <c r="J795">
        <f>(Inputs!$B$5*(1+Inputs!$B$6/100))*(F795/100)</f>
        <v/>
      </c>
      <c r="K795">
        <f>J795*(1+((Inputs!$B$11*(1+Inputs!$B$12/100))*0.01+Inputs!$B$13*0.0025)/100)*(1+Inputs!$B$14/100)*(1+IF(Inputs!$B$4="pvp",0,(1-Summary!$B$55)*(Inputs!$B$19+0+Skills!P2)+Summary!$B$55*(Inputs!$B$20+Skills!Q2))/100)*(1+Inputs!$B$15/100)*(5000/(6000+Inputs!$B$7*(1-(Inputs!$B$18+0)/100)))*(1+(Inputs!$B$23+0+B826)/100)*(1+(IF(Skills!A2="BLAST",Inputs!$B$16+((C814=TRUE)*(F814-Calc!F21)),Inputs!$B$17+((C816=TRUE)*(F816-Calc!F23))))/100)*((1+(((C806=TRUE)*F806*MIN(1,Skills!T13*(Skills!J13/100)*B824))+((C811=TRUE)*F811*IF(AND(Inputs!$B$4&lt;&gt;"pvp",Inputs!$B$35&gt;0),(((S811-1)*(Skills!T18*(1+Inputs!$B$33/100))+MIN((Skills!T18*(1+Inputs!$B$33/100)),MAX(0,Inputs!$B$35-((S811-1)*Skills!D18))))/Inputs!$B$35),IF(Inputs!$B$4="pvp",MIN((Skills!T18*(1+Inputs!$B$33/100)),15)/15,(Skills!T18*(1+Inputs!$B$33/100))/Skills!D18)))+0)/100)*I795)</f>
        <v/>
      </c>
      <c r="L795">
        <f>K795*(MIN(Inputs!$B$21+((C815=TRUE)*(F815-Calc!F22)),Inputs!$B$22+((C817=TRUE)*(F817-Calc!F24)))/100+(Inputs!$B$22+((C817=TRUE)*(F817-Calc!F24)))/100)/2</f>
        <v/>
      </c>
      <c r="M795">
        <f>L795*(1+(Inputs!$B$9+0+B825)/100)</f>
        <v/>
      </c>
      <c r="N795">
        <f>L795*(1-MIN((Inputs!$B$8+0+B820),100)/100)+M795*(MIN((Inputs!$B$8+0+B820),100)/100)</f>
        <v/>
      </c>
      <c r="O795">
        <f>IF(C795,Skills!G2*N795*B824*IF(Inputs!$B$4="pvp",1,(1-Summary!$B$55)*(1)+Summary!$B$55*(MIN((6+Inputs!$B$32),Inputs!$B$37))),0)</f>
        <v/>
      </c>
      <c r="P795">
        <f>IF(B828=0,0,O795/B828)</f>
        <v/>
      </c>
      <c r="Q795" t="n">
        <v>0</v>
      </c>
      <c r="R795" t="n">
        <v>0</v>
      </c>
      <c r="S795">
        <f>IFERROR(O795/N795,0)</f>
        <v/>
      </c>
      <c r="U795">
        <f>MAX(0,(Inputs!$B$3-100)*3)+Inputs!$B$27+(Inputs!$B$28+1)</f>
        <v/>
      </c>
    </row>
    <row r="796">
      <c r="A796">
        <f>Skills!A3</f>
        <v/>
      </c>
      <c r="B796">
        <f>Skills!B3</f>
        <v/>
      </c>
      <c r="C796">
        <f>Inputs!$B$3&gt;=50</f>
        <v/>
      </c>
      <c r="D796">
        <f>IF(Skills!C3=1,60+Inputs!$B$24+(Inputs!$B$28+1),IF(Skills!C3=2,90+Inputs!$B$25+(Inputs!$B$28+1),IF(Skills!C3=3,120+Inputs!$B$26+(Inputs!$B$28+1),MAX(0,(Inputs!$B$3-100)*3)+Inputs!$B$27+(Inputs!$B$28+1))))</f>
        <v/>
      </c>
      <c r="E796">
        <f>INDEX(FactorTable!$B$2:$Y$301, MATCH(ROUND(MIN(300,MAX(1,D796)),0), FactorTable!$A$2:$A$301,0), Skills!M3+1)</f>
        <v/>
      </c>
      <c r="F796">
        <f>IF(Skills!N3=TRUE,(Skills!L3/10)*(E796/1000),Skills!L3/10)+Skills!O3</f>
        <v/>
      </c>
      <c r="G796" t="inlineStr"/>
      <c r="H796" t="inlineStr"/>
      <c r="I796" t="inlineStr">
        <is>
          <t>1</t>
        </is>
      </c>
      <c r="J796" t="inlineStr"/>
      <c r="K796" t="inlineStr"/>
      <c r="L796" t="inlineStr"/>
      <c r="M796" t="inlineStr"/>
      <c r="N796" t="inlineStr"/>
      <c r="O796" t="inlineStr"/>
      <c r="P796" t="inlineStr"/>
      <c r="Q796" t="inlineStr"/>
      <c r="R796" t="inlineStr"/>
      <c r="S796" t="inlineStr"/>
      <c r="U796">
        <f>INDEX(FactorTable!$B$2:$Y$301, MATCH(ROUND(MIN(300,MAX(1,U795)),0), FactorTable!$A$2:$A$301,0), 22)</f>
        <v/>
      </c>
    </row>
    <row r="797">
      <c r="A797">
        <f>Skills!A4</f>
        <v/>
      </c>
      <c r="B797">
        <f>Skills!B4</f>
        <v/>
      </c>
      <c r="C797">
        <f>Inputs!$B$3&gt;=35</f>
        <v/>
      </c>
      <c r="D797">
        <f>IF(Skills!C4=1,60+Inputs!$B$24+(Inputs!$B$28+1),IF(Skills!C4=2,90+Inputs!$B$25+(Inputs!$B$28+1),IF(Skills!C4=3,120+Inputs!$B$26+(Inputs!$B$28+1),MAX(0,(Inputs!$B$3-100)*3)+Inputs!$B$27+(Inputs!$B$28+1))))</f>
        <v/>
      </c>
      <c r="E797">
        <f>INDEX(FactorTable!$B$2:$Y$301, MATCH(ROUND(MIN(300,MAX(1,D797)),0), FactorTable!$A$2:$A$301,0), Skills!M4+1)</f>
        <v/>
      </c>
      <c r="F797">
        <f>IF(Skills!N4=TRUE,(Skills!L4/10)*(E797/1000),Skills!L4/10)+Skills!O4</f>
        <v/>
      </c>
      <c r="G797">
        <f>Skills!G4*IF(Skills!H4&gt;0,Skills!I4/Skills!H4,1)</f>
        <v/>
      </c>
      <c r="H797">
        <f>1-(1-Skills!J4/100)^Skills!K4</f>
        <v/>
      </c>
      <c r="I797" t="inlineStr">
        <is>
          <t>1</t>
        </is>
      </c>
      <c r="J797">
        <f>(Inputs!$B$5*(1+Inputs!$B$6/100))*(F797/100)</f>
        <v/>
      </c>
      <c r="K797">
        <f>J797*(1+((Inputs!$B$11*(1+Inputs!$B$12/100))*0.01+Inputs!$B$13*0.0025)/100)*(1+Inputs!$B$14/100)*(1+IF(Inputs!$B$4="pvp",0,(1-Summary!$B$55)*(Inputs!$B$19+0+Skills!P4)+Summary!$B$55*(Inputs!$B$20+Skills!Q4))/100)*(1+Inputs!$B$15/100)*(5000/(6000+Inputs!$B$7*(1-(Inputs!$B$18+0)/100)))*(1+(Inputs!$B$23+0+B826)/100)*(1+4.0*IF(C805=TRUE,F805,0)/100)*(1+(IF(Skills!A4="BLAST",Inputs!$B$16+((C814=TRUE)*(F814-Calc!F21)),Inputs!$B$17+((C816=TRUE)*(F816-Calc!F23))))/100)*((1+(((C806=TRUE)*F806*MIN(1,Skills!T13*(Skills!J13/100)*B824))+((C811=TRUE)*F811*IF(AND(Inputs!$B$4&lt;&gt;"pvp",Inputs!$B$35&gt;0),(((S811-1)*(Skills!T18*(1+Inputs!$B$33/100))+MIN((Skills!T18*(1+Inputs!$B$33/100)),MAX(0,Inputs!$B$35-((S811-1)*Skills!D18))))/Inputs!$B$35),IF(Inputs!$B$4="pvp",MIN((Skills!T18*(1+Inputs!$B$33/100)),15)/15,(Skills!T18*(1+Inputs!$B$33/100))/Skills!D18)))+0)/100)*I797)</f>
        <v/>
      </c>
      <c r="L797">
        <f>K797*(MIN(Inputs!$B$21+((C815=TRUE)*(F815-Calc!F22)),Inputs!$B$22+((C817=TRUE)*(F817-Calc!F24)))/100+(Inputs!$B$22+((C817=TRUE)*(F817-Calc!F24)))/100)/2</f>
        <v/>
      </c>
      <c r="M797">
        <f>L797*(1+(Inputs!$B$9+0+B825)/100)</f>
        <v/>
      </c>
      <c r="N797">
        <f>L797*(1-MIN((Inputs!$B$8+0+B820),100)/100)+M797*(MIN((Inputs!$B$8+0+B820),100)/100)</f>
        <v/>
      </c>
      <c r="O797">
        <f>IF(C797,H797*N797*IF(AND(Inputs!$B$4&lt;&gt;"pvp",Inputs!$B$35&gt;0),((Skills!G4*((R797-1)*IF(Skills!H4&gt;0,Skills!I4/Skills!H4,1)+IF(Skills!H4&gt;0,MIN(Skills!I4,MAX(0,Inputs!$B$35-((R797-1)*IF(Inputs!$B$4="pvp",15,MAX(0.1,Skills!D4-IF(Skills!E4=TRUE,Inputs!$B$31,0))))))/Skills!H4,1)))/Inputs!$B$35),G797*Q797)*IF(Inputs!$B$4="pvp",1,(1-Summary!$B$55)*(1)+Summary!$B$55*(MIN(Skills!R4,Inputs!$B$37))),0)</f>
        <v/>
      </c>
      <c r="P797">
        <f>IF(B828=0,0,O797/B828)</f>
        <v/>
      </c>
      <c r="Q797">
        <f>IFERROR(1/IF(Inputs!$B$4="pvp",15,MAX(0.1,Skills!D4-IF(Skills!E4=TRUE,Inputs!$B$31,0))),0)</f>
        <v/>
      </c>
      <c r="R797">
        <f>IF(AND(Inputs!$B$4&lt;&gt;"pvp",Inputs!$B$35&gt;0),(INT(Inputs!$B$35/IF(Inputs!$B$4="pvp",15,MAX(0.1,Skills!D4-IF(Skills!E4=TRUE,Inputs!$B$31,0))))+1),0)</f>
        <v/>
      </c>
      <c r="S797">
        <f>IFERROR(O797/N797,0)</f>
        <v/>
      </c>
      <c r="U797">
        <f>290*U796/1000</f>
        <v/>
      </c>
    </row>
    <row r="798">
      <c r="A798">
        <f>Skills!A5</f>
        <v/>
      </c>
      <c r="B798">
        <f>Skills!B5</f>
        <v/>
      </c>
      <c r="C798">
        <f>Inputs!$B$3&gt;=66</f>
        <v/>
      </c>
      <c r="D798">
        <f>IF(Skills!C5=1,60+Inputs!$B$24+(Inputs!$B$28+1),IF(Skills!C5=2,90+Inputs!$B$25+(Inputs!$B$28+1),IF(Skills!C5=3,120+Inputs!$B$26+(Inputs!$B$28+1),MAX(0,(Inputs!$B$3-100)*3)+Inputs!$B$27+(Inputs!$B$28+1))))</f>
        <v/>
      </c>
      <c r="E798">
        <f>INDEX(FactorTable!$B$2:$Y$301, MATCH(ROUND(MIN(300,MAX(1,D798)),0), FactorTable!$A$2:$A$301,0), Skills!M5+1)</f>
        <v/>
      </c>
      <c r="F798">
        <f>IF(Skills!N5=TRUE,(Skills!L5/10)*(E798/1000),Skills!L5/10)+Skills!O5</f>
        <v/>
      </c>
      <c r="G798">
        <f>Skills!G5*IF(Skills!H5&gt;0,Skills!I5/Skills!H5,1)</f>
        <v/>
      </c>
      <c r="H798">
        <f>1-(1-Skills!J5/100)^Skills!K5</f>
        <v/>
      </c>
      <c r="I798" t="inlineStr">
        <is>
          <t>1</t>
        </is>
      </c>
      <c r="J798">
        <f>(Inputs!$B$5*(1+Inputs!$B$6/100))*(F798/100)</f>
        <v/>
      </c>
      <c r="K798">
        <f>J798*(1+((Inputs!$B$11*(1+Inputs!$B$12/100))*0.01+Inputs!$B$13*0.0025)/100)*(1+Inputs!$B$14/100)*(1+IF(Inputs!$B$4="pvp",0,(1-Summary!$B$55)*(Inputs!$B$19+0+Skills!P5)+Summary!$B$55*(Inputs!$B$20+Skills!Q5))/100)*(1+Inputs!$B$15/100)*(5000/(6000+Inputs!$B$7*(1-(Inputs!$B$18+0)/100)))*(1+(Inputs!$B$23+0+B826)/100)*(1+1.0*IF(C805=TRUE,F805,0)/100)*(1+(IF(Skills!A5="BLAST",Inputs!$B$16+((C814=TRUE)*(F814-Calc!F21)),Inputs!$B$17+((C816=TRUE)*(F816-Calc!F23))))/100)*((1+(((C806=TRUE)*F806*MIN(1,Skills!T13*(Skills!J13/100)*B824))+((C811=TRUE)*F811*IF(AND(Inputs!$B$4&lt;&gt;"pvp",Inputs!$B$35&gt;0),(((S811-1)*(Skills!T18*(1+Inputs!$B$33/100))+MIN((Skills!T18*(1+Inputs!$B$33/100)),MAX(0,Inputs!$B$35-((S811-1)*Skills!D18))))/Inputs!$B$35),IF(Inputs!$B$4="pvp",MIN((Skills!T18*(1+Inputs!$B$33/100)),15)/15,(Skills!T18*(1+Inputs!$B$33/100))/Skills!D18)))+0)/100)*I798)</f>
        <v/>
      </c>
      <c r="L798">
        <f>K798*(MIN(Inputs!$B$21+((C815=TRUE)*(F815-Calc!F22)),Inputs!$B$22+((C817=TRUE)*(F817-Calc!F24)))/100+(Inputs!$B$22+((C817=TRUE)*(F817-Calc!F24)))/100)/2</f>
        <v/>
      </c>
      <c r="M798">
        <f>L798*(1+(Inputs!$B$9+0+B825)/100)</f>
        <v/>
      </c>
      <c r="N798">
        <f>L798*(1-MIN((Inputs!$B$8+0+B820),100)/100)+M798*(MIN((Inputs!$B$8+0+B820),100)/100)</f>
        <v/>
      </c>
      <c r="O798">
        <f>IF(C798,H798*N798*IF(AND(Inputs!$B$4&lt;&gt;"pvp",Inputs!$B$35&gt;0),((Skills!G5*((R798-1)*IF(Skills!H5&gt;0,Skills!I5/Skills!H5,1)+IF(Skills!H5&gt;0,MIN(Skills!I5,MAX(0,Inputs!$B$35-((R798-1)*IF(Inputs!$B$4="pvp",15,MAX(0.1,Skills!D5-IF(Skills!E5=TRUE,Inputs!$B$31,0))))))/Skills!H5,1)))/Inputs!$B$35),G798*Q798)*IF(Inputs!$B$4="pvp",1,(1-Summary!$B$55)*(1)+Summary!$B$55*(MIN(Skills!R5,Inputs!$B$37))),0)</f>
        <v/>
      </c>
      <c r="P798">
        <f>IF(B828=0,0,O798/B828)</f>
        <v/>
      </c>
      <c r="Q798">
        <f>IFERROR(1/IF(Inputs!$B$4="pvp",15,MAX(0.1,Skills!D5-IF(Skills!E5=TRUE,Inputs!$B$31,0))),0)</f>
        <v/>
      </c>
      <c r="R798">
        <f>IF(AND(Inputs!$B$4&lt;&gt;"pvp",Inputs!$B$35&gt;0),(INT(Inputs!$B$35/IF(Inputs!$B$4="pvp",15,MAX(0.1,Skills!D5-IF(Skills!E5=TRUE,Inputs!$B$31,0))))+1),0)</f>
        <v/>
      </c>
      <c r="S798">
        <f>IFERROR(O798/N798,0)</f>
        <v/>
      </c>
    </row>
    <row r="799">
      <c r="A799">
        <f>Skills!A6</f>
        <v/>
      </c>
      <c r="B799">
        <f>Skills!B6</f>
        <v/>
      </c>
      <c r="C799">
        <f>Inputs!$B$3&gt;=103</f>
        <v/>
      </c>
      <c r="D799">
        <f>IF(Skills!C6=1,60+Inputs!$B$24+(Inputs!$B$28+1),IF(Skills!C6=2,90+Inputs!$B$25+(Inputs!$B$28+1),IF(Skills!C6=3,120+Inputs!$B$26+(Inputs!$B$28+1),MAX(0,(Inputs!$B$3-100)*3)+Inputs!$B$27+(Inputs!$B$28+1))))</f>
        <v/>
      </c>
      <c r="E799">
        <f>INDEX(FactorTable!$B$2:$Y$301, MATCH(ROUND(MIN(300,MAX(1,D799)),0), FactorTable!$A$2:$A$301,0), Skills!M6+1)</f>
        <v/>
      </c>
      <c r="F799">
        <f>IF(Skills!N6=TRUE,(Skills!L6/10)*(E799/1000),Skills!L6/10)+Skills!O6</f>
        <v/>
      </c>
      <c r="G799">
        <f>Skills!G6*IF(Skills!H6&gt;0,Skills!I6/Skills!H6,1)</f>
        <v/>
      </c>
      <c r="H799">
        <f>1-(1-Skills!J6/100)^Skills!K6</f>
        <v/>
      </c>
      <c r="I799" t="inlineStr">
        <is>
          <t>1</t>
        </is>
      </c>
      <c r="J799">
        <f>(Inputs!$B$5*(1+Inputs!$B$6/100))*(F799/100)</f>
        <v/>
      </c>
      <c r="K799">
        <f>J799*(1+((Inputs!$B$11*(1+Inputs!$B$12/100))*0.01+Inputs!$B$13*0.0025)/100)*(1+Inputs!$B$14/100)*(1+IF(Inputs!$B$4="pvp",0,(1-Summary!$B$55)*(Inputs!$B$19+0+Skills!P6)+Summary!$B$55*(Inputs!$B$20+Skills!Q6))/100)*(1+Inputs!$B$15/100)*(5000/(6000+Inputs!$B$7*(1-(Inputs!$B$18+0)/100)))*(1+(Inputs!$B$23+0+B826)/100)*(1+(IF(Skills!A6="BLAST",Inputs!$B$16+((C814=TRUE)*(F814-Calc!F21)),Inputs!$B$17+((C816=TRUE)*(F816-Calc!F23))))/100)*((1+(((C806=TRUE)*F806*MIN(1,Skills!T13*(Skills!J13/100)*B824))+((C811=TRUE)*F811*IF(AND(Inputs!$B$4&lt;&gt;"pvp",Inputs!$B$35&gt;0),(((S811-1)*(Skills!T18*(1+Inputs!$B$33/100))+MIN((Skills!T18*(1+Inputs!$B$33/100)),MAX(0,Inputs!$B$35-((S811-1)*Skills!D18))))/Inputs!$B$35),IF(Inputs!$B$4="pvp",MIN((Skills!T18*(1+Inputs!$B$33/100)),15)/15,(Skills!T18*(1+Inputs!$B$33/100))/Skills!D18)))+0)/100)*I799)</f>
        <v/>
      </c>
      <c r="L799">
        <f>K799*(MIN(Inputs!$B$21+((C815=TRUE)*(F815-Calc!F22)),Inputs!$B$22+((C817=TRUE)*(F817-Calc!F24)))/100+(Inputs!$B$22+((C817=TRUE)*(F817-Calc!F24)))/100)/2</f>
        <v/>
      </c>
      <c r="M799">
        <f>L799*(1+(Inputs!$B$9+0+B825)/100)</f>
        <v/>
      </c>
      <c r="N799">
        <f>L799*(1-MIN((Inputs!$B$8+0+B820),100)/100)+M799*(MIN((Inputs!$B$8+0+B820),100)/100)</f>
        <v/>
      </c>
      <c r="O799">
        <f>IF(C799,H799*N799*IF(AND(Inputs!$B$4&lt;&gt;"pvp",Inputs!$B$35&gt;0),((Skills!G6*((R799-1)*IF(Skills!H6&gt;0,Skills!I6/Skills!H6,1)+IF(Skills!H6&gt;0,MIN(Skills!I6,MAX(0,Inputs!$B$35-((R799-1)*IF(Inputs!$B$4="pvp",15,MAX(0.1,Skills!D6-IF(Skills!E6=TRUE,Inputs!$B$31,0))))))/Skills!H6,1)))/Inputs!$B$35),G799*Q799)*IF(Inputs!$B$4="pvp",1,(1-Summary!$B$55)*(1)+Summary!$B$55*(MIN(Skills!R6,Inputs!$B$37))),0)</f>
        <v/>
      </c>
      <c r="P799">
        <f>IF(B828=0,0,O799/B828)</f>
        <v/>
      </c>
      <c r="Q799">
        <f>IFERROR(1/IF(Inputs!$B$4="pvp",15,MAX(0.1,Skills!D6-IF(Skills!E6=TRUE,Inputs!$B$31,0))),0)</f>
        <v/>
      </c>
      <c r="R799">
        <f>IF(AND(Inputs!$B$4&lt;&gt;"pvp",Inputs!$B$35&gt;0),(INT(Inputs!$B$35/IF(Inputs!$B$4="pvp",15,MAX(0.1,Skills!D6-IF(Skills!E6=TRUE,Inputs!$B$31,0))))+1),0)</f>
        <v/>
      </c>
      <c r="S799">
        <f>IFERROR(O799/N799,0)</f>
        <v/>
      </c>
    </row>
    <row r="800">
      <c r="A800">
        <f>Skills!A7</f>
        <v/>
      </c>
      <c r="B800">
        <f>Skills!B7</f>
        <v/>
      </c>
      <c r="C800">
        <f>Inputs!$B$3&gt;=107</f>
        <v/>
      </c>
      <c r="D800">
        <f>IF(Skills!C7=1,60+Inputs!$B$24+(Inputs!$B$28+1),IF(Skills!C7=2,90+Inputs!$B$25+(Inputs!$B$28+1),IF(Skills!C7=3,120+Inputs!$B$26+(Inputs!$B$28+1),MAX(0,(Inputs!$B$3-100)*3)+Inputs!$B$27+(Inputs!$B$28+1))))</f>
        <v/>
      </c>
      <c r="E800">
        <f>INDEX(FactorTable!$B$2:$Y$301, MATCH(ROUND(MIN(300,MAX(1,D800)),0), FactorTable!$A$2:$A$301,0), Skills!M7+1)</f>
        <v/>
      </c>
      <c r="F800">
        <f>IF(Skills!N7=TRUE,(Skills!L7/10)*(E800/1000),Skills!L7/10)+Skills!O7</f>
        <v/>
      </c>
      <c r="G800">
        <f>Skills!G7*IF(Skills!H7&gt;0,Skills!I7/Skills!H7,1)</f>
        <v/>
      </c>
      <c r="H800">
        <f>1-(1-Skills!J7/100)^Skills!K7</f>
        <v/>
      </c>
      <c r="I800" t="inlineStr">
        <is>
          <t>1</t>
        </is>
      </c>
      <c r="J800">
        <f>(Inputs!$B$5*(1+Inputs!$B$6/100))*(F800/100)</f>
        <v/>
      </c>
      <c r="K800">
        <f>J800*(1+((Inputs!$B$11*(1+Inputs!$B$12/100))*0.01+Inputs!$B$13*0.0025)/100)*(1+Inputs!$B$14/100)*(1+IF(Inputs!$B$4="pvp",0,(1-Summary!$B$55)*(Inputs!$B$19+0+Skills!P7)+Summary!$B$55*(Inputs!$B$20+Skills!Q7))/100)*(1+Inputs!$B$15/100)*(5000/(6000+Inputs!$B$7*(1-(Inputs!$B$18+0)/100)))*(1+(Inputs!$B$23+0+B826)/100)*(1+(IF(Skills!A7="BLAST",Inputs!$B$16+((C814=TRUE)*(F814-Calc!F21)),Inputs!$B$17+((C816=TRUE)*(F816-Calc!F23))))/100)*((1+(((C806=TRUE)*F806*MIN(1,Skills!T13*(Skills!J13/100)*B824))+((C811=TRUE)*F811*IF(AND(Inputs!$B$4&lt;&gt;"pvp",Inputs!$B$35&gt;0),(((S811-1)*(Skills!T18*(1+Inputs!$B$33/100))+MIN((Skills!T18*(1+Inputs!$B$33/100)),MAX(0,Inputs!$B$35-((S811-1)*Skills!D18))))/Inputs!$B$35),IF(Inputs!$B$4="pvp",MIN((Skills!T18*(1+Inputs!$B$33/100)),15)/15,(Skills!T18*(1+Inputs!$B$33/100))/Skills!D18)))+0)/100)*I800)</f>
        <v/>
      </c>
      <c r="L800">
        <f>K800*(MIN(Inputs!$B$21+((C815=TRUE)*(F815-Calc!F22)),Inputs!$B$22+((C817=TRUE)*(F817-Calc!F24)))/100+(Inputs!$B$22+((C817=TRUE)*(F817-Calc!F24)))/100)/2</f>
        <v/>
      </c>
      <c r="M800">
        <f>L800*(1+(Inputs!$B$9+0+B825)/100)</f>
        <v/>
      </c>
      <c r="N800">
        <f>L800*(1-MIN((Inputs!$B$8+0+B820),100)/100)+M800*(MIN((Inputs!$B$8+0+B820),100)/100)</f>
        <v/>
      </c>
      <c r="O800">
        <f>IF(C800,H800*N800*IF(AND(Inputs!$B$4&lt;&gt;"pvp",Inputs!$B$35&gt;0),((Skills!G7*((R800-1)*IF(Skills!H7&gt;0,Skills!I7/Skills!H7,1)+IF(Skills!H7&gt;0,MIN(Skills!I7,MAX(0,Inputs!$B$35-((R800-1)*IF(Inputs!$B$4="pvp",15,MAX(0.1,Skills!D7-IF(Skills!E7=TRUE,Inputs!$B$31,0))))))/Skills!H7,1)))/Inputs!$B$35),G800*Q800)*IF(Inputs!$B$4="pvp",1,(1-Summary!$B$55)*(1)+Summary!$B$55*(MIN(Skills!R7,Inputs!$B$37))),0)</f>
        <v/>
      </c>
      <c r="P800">
        <f>IF(B828=0,0,O800/B828)</f>
        <v/>
      </c>
      <c r="Q800">
        <f>IFERROR(1/IF(Inputs!$B$4="pvp",15,MAX(0.1,Skills!D7-IF(Skills!E7=TRUE,Inputs!$B$31,0))),0)</f>
        <v/>
      </c>
      <c r="R800">
        <f>IF(AND(Inputs!$B$4&lt;&gt;"pvp",Inputs!$B$35&gt;0),(INT(Inputs!$B$35/IF(Inputs!$B$4="pvp",15,MAX(0.1,Skills!D7-IF(Skills!E7=TRUE,Inputs!$B$31,0))))+1),0)</f>
        <v/>
      </c>
      <c r="S800">
        <f>IFERROR(O800/N800,0)</f>
        <v/>
      </c>
    </row>
    <row r="801">
      <c r="A801">
        <f>Skills!A8</f>
        <v/>
      </c>
      <c r="B801">
        <f>Skills!B8</f>
        <v/>
      </c>
      <c r="C801">
        <f>Inputs!$B$3&gt;=107</f>
        <v/>
      </c>
      <c r="D801">
        <f>IF(Skills!C8=1,60+Inputs!$B$24+(Inputs!$B$28+1),IF(Skills!C8=2,90+Inputs!$B$25+(Inputs!$B$28+1),IF(Skills!C8=3,120+Inputs!$B$26+(Inputs!$B$28+1),MAX(0,(Inputs!$B$3-100)*3)+Inputs!$B$27+(Inputs!$B$28+1))))</f>
        <v/>
      </c>
      <c r="E801">
        <f>INDEX(FactorTable!$B$2:$Y$301, MATCH(ROUND(MIN(300,MAX(1,D801)),0), FactorTable!$A$2:$A$301,0), Skills!M8+1)</f>
        <v/>
      </c>
      <c r="F801">
        <f>IF(Skills!N8=TRUE,(Skills!L8/10)*(E801/1000),Skills!L8/10)+Skills!O8</f>
        <v/>
      </c>
      <c r="G801">
        <f>Skills!G8*IF(Skills!H8&gt;0,Skills!I8/Skills!H8,1)</f>
        <v/>
      </c>
      <c r="H801">
        <f>1-(1-Skills!J8/100)^Skills!K8</f>
        <v/>
      </c>
      <c r="I801" t="inlineStr">
        <is>
          <t>1</t>
        </is>
      </c>
      <c r="J801">
        <f>(Inputs!$B$5*(1+Inputs!$B$6/100))*(F801/100)</f>
        <v/>
      </c>
      <c r="K801">
        <f>J801*(1+((Inputs!$B$11*(1+Inputs!$B$12/100))*0.01+Inputs!$B$13*0.0025)/100)*(1+Inputs!$B$14/100)*(1+IF(Inputs!$B$4="pvp",0,(1-Summary!$B$55)*(Inputs!$B$19+0+Skills!P8)+Summary!$B$55*(Inputs!$B$20+Skills!Q8))/100)*(1+Inputs!$B$15/100)*(5000/(6000+Inputs!$B$7*(1-(Inputs!$B$18+0)/100)))*(1+(Inputs!$B$23+0+B826)/100)*(1+(IF(Skills!A8="BLAST",Inputs!$B$16+((C814=TRUE)*(F814-Calc!F21)),Inputs!$B$17+((C816=TRUE)*(F816-Calc!F23))))/100)*((1+(((C806=TRUE)*F806*MIN(1,Skills!T13*(Skills!J13/100)*B824))+((C811=TRUE)*F811*IF(AND(Inputs!$B$4&lt;&gt;"pvp",Inputs!$B$35&gt;0),(((S811-1)*(Skills!T18*(1+Inputs!$B$33/100))+MIN((Skills!T18*(1+Inputs!$B$33/100)),MAX(0,Inputs!$B$35-((S811-1)*Skills!D18))))/Inputs!$B$35),IF(Inputs!$B$4="pvp",MIN((Skills!T18*(1+Inputs!$B$33/100)),15)/15,(Skills!T18*(1+Inputs!$B$33/100))/Skills!D18)))+0)/100)*I801)</f>
        <v/>
      </c>
      <c r="L801">
        <f>K801*(MIN(Inputs!$B$21+((C815=TRUE)*(F815-Calc!F22)),Inputs!$B$22+((C817=TRUE)*(F817-Calc!F24)))/100+(Inputs!$B$22+((C817=TRUE)*(F817-Calc!F24)))/100)/2</f>
        <v/>
      </c>
      <c r="M801">
        <f>L801*(1+(Inputs!$B$9+0+B825)/100)</f>
        <v/>
      </c>
      <c r="N801">
        <f>L801*(1-MIN((Inputs!$B$8+0+B820),100)/100)+M801*(MIN((Inputs!$B$8+0+B820),100)/100)</f>
        <v/>
      </c>
      <c r="O801">
        <f>IF(C801,H801*N801*IF(AND(Inputs!$B$4&lt;&gt;"pvp",Inputs!$B$35&gt;0),((Skills!G8*((R801-1)*IF(Skills!H8&gt;0,Skills!I8/Skills!H8,1)+IF(Skills!H8&gt;0,MIN(Skills!I8,MAX(0,Inputs!$B$35-((R801-1)*IF(Inputs!$B$4="pvp",15,MAX(0.1,Skills!D8-IF(Skills!E8=TRUE,Inputs!$B$31,0))))))/Skills!H8,1)))/Inputs!$B$35),G801*Q801)*IF(Inputs!$B$4="pvp",1,(1-Summary!$B$55)*(1)+Summary!$B$55*(MIN(Skills!R8,Inputs!$B$37))),0)</f>
        <v/>
      </c>
      <c r="P801">
        <f>IF(B828=0,0,O801/B828)</f>
        <v/>
      </c>
      <c r="Q801">
        <f>IFERROR(1/IF(Inputs!$B$4="pvp",15,MAX(0.1,Skills!D8-IF(Skills!E8=TRUE,Inputs!$B$31,0))),0)</f>
        <v/>
      </c>
      <c r="R801">
        <f>IF(AND(Inputs!$B$4&lt;&gt;"pvp",Inputs!$B$35&gt;0),(INT(Inputs!$B$35/IF(Inputs!$B$4="pvp",15,MAX(0.1,Skills!D8-IF(Skills!E8=TRUE,Inputs!$B$31,0))))+1),0)</f>
        <v/>
      </c>
      <c r="S801">
        <f>IFERROR(O801/N801,0)</f>
        <v/>
      </c>
    </row>
    <row r="802">
      <c r="A802">
        <f>Skills!A9</f>
        <v/>
      </c>
      <c r="B802">
        <f>Skills!B9</f>
        <v/>
      </c>
      <c r="C802">
        <f>Inputs!$B$3&gt;=125</f>
        <v/>
      </c>
      <c r="D802">
        <f>IF(Skills!C9=1,60+Inputs!$B$24+(Inputs!$B$28+1),IF(Skills!C9=2,90+Inputs!$B$25+(Inputs!$B$28+1),IF(Skills!C9=3,120+Inputs!$B$26+(Inputs!$B$28+1),MAX(0,(Inputs!$B$3-100)*3)+Inputs!$B$27+(Inputs!$B$28+1))))</f>
        <v/>
      </c>
      <c r="E802">
        <f>INDEX(FactorTable!$B$2:$Y$301, MATCH(ROUND(MIN(300,MAX(1,D802)),0), FactorTable!$A$2:$A$301,0), Skills!M9+1)</f>
        <v/>
      </c>
      <c r="F802">
        <f>IF(Skills!N9=TRUE,(Skills!L9/10)*(E802/1000),Skills!L9/10)+Skills!O9</f>
        <v/>
      </c>
      <c r="G802">
        <f>Skills!G9*IF(Skills!H9&gt;0,Skills!I9/Skills!H9,1)</f>
        <v/>
      </c>
      <c r="H802">
        <f>1-(1-Skills!J9/100)^Skills!K9</f>
        <v/>
      </c>
      <c r="I802" t="inlineStr">
        <is>
          <t>1</t>
        </is>
      </c>
      <c r="J802">
        <f>(Inputs!$B$5*(1+Inputs!$B$6/100))*(F802/100)</f>
        <v/>
      </c>
      <c r="K802">
        <f>J802*(1+((Inputs!$B$11*(1+Inputs!$B$12/100))*0.01+Inputs!$B$13*0.0025)/100)*(1+Inputs!$B$14/100)*(1+IF(Inputs!$B$4="pvp",0,(1-Summary!$B$55)*(Inputs!$B$19+0+Skills!P9)+Summary!$B$55*(Inputs!$B$20+Skills!Q9))/100)*(1+Inputs!$B$15/100)*(5000/(6000+Inputs!$B$7*(1-(Inputs!$B$18+0)/100)))*(1+(Inputs!$B$23+0+B826)/100)*(1+(IF(Skills!A9="BLAST",Inputs!$B$16+((C814=TRUE)*(F814-Calc!F21)),Inputs!$B$17+((C816=TRUE)*(F816-Calc!F23))))/100)*((1+(((C806=TRUE)*F806*MIN(1,Skills!T13*(Skills!J13/100)*B824))+((C811=TRUE)*F811*IF(AND(Inputs!$B$4&lt;&gt;"pvp",Inputs!$B$35&gt;0),(((S811-1)*(Skills!T18*(1+Inputs!$B$33/100))+MIN((Skills!T18*(1+Inputs!$B$33/100)),MAX(0,Inputs!$B$35-((S811-1)*Skills!D18))))/Inputs!$B$35),IF(Inputs!$B$4="pvp",MIN((Skills!T18*(1+Inputs!$B$33/100)),15)/15,(Skills!T18*(1+Inputs!$B$33/100))/Skills!D18)))+0)/100)*I802)</f>
        <v/>
      </c>
      <c r="L802">
        <f>K802*(MIN(Inputs!$B$21+((C815=TRUE)*(F815-Calc!F22)),Inputs!$B$22+((C817=TRUE)*(F817-Calc!F24)))/100+(Inputs!$B$22+((C817=TRUE)*(F817-Calc!F24)))/100)/2</f>
        <v/>
      </c>
      <c r="M802">
        <f>L802*(1+(Inputs!$B$9+0+B825)/100)</f>
        <v/>
      </c>
      <c r="N802">
        <f>L802*(1-MIN((Inputs!$B$8+0+B820),100)/100)+M802*(MIN((Inputs!$B$8+0+B820),100)/100)</f>
        <v/>
      </c>
      <c r="O802">
        <f>IF(C802,H802*N802*IF(AND(Inputs!$B$4&lt;&gt;"pvp",Inputs!$B$35&gt;0),((Skills!G9*((R802-1)*IF(Skills!H9&gt;0,Skills!I9/Skills!H9,1)+IF(Skills!H9&gt;0,MIN(Skills!I9,MAX(0,Inputs!$B$35-((R802-1)*IF(Inputs!$B$4="pvp",15,MAX(0.1,Skills!D9-IF(Skills!E9=TRUE,Inputs!$B$31,0))))))/Skills!H9,1)))/Inputs!$B$35),G802*Q802)*IF(Inputs!$B$4="pvp",1,(1-Summary!$B$55)*(1)+Summary!$B$55*(MIN(Skills!R9,Inputs!$B$37))),0)</f>
        <v/>
      </c>
      <c r="P802">
        <f>IF(B828=0,0,O802/B828)</f>
        <v/>
      </c>
      <c r="Q802">
        <f>IFERROR(1/IF(Inputs!$B$4="pvp",15,MAX(0.1,Skills!D9-IF(Skills!E9=TRUE,Inputs!$B$31,0))),0)</f>
        <v/>
      </c>
      <c r="R802">
        <f>IF(AND(Inputs!$B$4&lt;&gt;"pvp",Inputs!$B$35&gt;0),(INT(Inputs!$B$35/IF(Inputs!$B$4="pvp",15,MAX(0.1,Skills!D9-IF(Skills!E9=TRUE,Inputs!$B$31,0))))+1),0)</f>
        <v/>
      </c>
      <c r="S802">
        <f>IFERROR(O802/N802,0)</f>
        <v/>
      </c>
    </row>
    <row r="803">
      <c r="A803">
        <f>Skills!A10</f>
        <v/>
      </c>
      <c r="B803">
        <f>Skills!B10</f>
        <v/>
      </c>
      <c r="C803">
        <f>Inputs!$B$3&gt;=117</f>
        <v/>
      </c>
      <c r="D803">
        <f>IF(Skills!C10=1,60+Inputs!$B$24+(Inputs!$B$28+1),IF(Skills!C10=2,90+Inputs!$B$25+(Inputs!$B$28+1),IF(Skills!C10=3,120+Inputs!$B$26+(Inputs!$B$28+1),MAX(0,(Inputs!$B$3-100)*3)+Inputs!$B$27+(Inputs!$B$28+1))))</f>
        <v/>
      </c>
      <c r="E803">
        <f>INDEX(FactorTable!$B$2:$Y$301, MATCH(ROUND(MIN(300,MAX(1,D803)),0), FactorTable!$A$2:$A$301,0), Skills!M10+1)</f>
        <v/>
      </c>
      <c r="F803">
        <f>IF(Skills!N10=TRUE,(Skills!L10/10)*(E803/1000),Skills!L10/10)+Skills!O10</f>
        <v/>
      </c>
      <c r="G803">
        <f>Skills!G10*IF(Skills!H10&gt;0,Skills!I10/Skills!H10,1)</f>
        <v/>
      </c>
      <c r="H803">
        <f>1-(1-Skills!J10/100)^Skills!K10</f>
        <v/>
      </c>
      <c r="I803" t="inlineStr">
        <is>
          <t>1</t>
        </is>
      </c>
      <c r="J803">
        <f>(Inputs!$B$5*(1+Inputs!$B$6/100))*(F803/100)</f>
        <v/>
      </c>
      <c r="K803">
        <f>J803*(1+((Inputs!$B$11*(1+Inputs!$B$12/100))*0.01+Inputs!$B$13*0.0025)/100)*(1+Inputs!$B$14/100)*(1+IF(Inputs!$B$4="pvp",0,(1-Summary!$B$55)*(Inputs!$B$19+0+Skills!P10)+Summary!$B$55*(Inputs!$B$20+Skills!Q10))/100)*(1+Inputs!$B$15/100)*(5000/(6000+Inputs!$B$7*(1-(Inputs!$B$18+0)/100)))*(1+(Inputs!$B$23+0+B826)/100)*(1+(IF(Skills!A10="BLAST",Inputs!$B$16+((C814=TRUE)*(F814-Calc!F21)),Inputs!$B$17+((C816=TRUE)*(F816-Calc!F23))))/100)*((1+(((C806=TRUE)*F806*MIN(1,Skills!T13*(Skills!J13/100)*B824))+((C811=TRUE)*F811*IF(AND(Inputs!$B$4&lt;&gt;"pvp",Inputs!$B$35&gt;0),(((S811-1)*(Skills!T18*(1+Inputs!$B$33/100))+MIN((Skills!T18*(1+Inputs!$B$33/100)),MAX(0,Inputs!$B$35-((S811-1)*Skills!D18))))/Inputs!$B$35),IF(Inputs!$B$4="pvp",MIN((Skills!T18*(1+Inputs!$B$33/100)),15)/15,(Skills!T18*(1+Inputs!$B$33/100))/Skills!D18)))+0)/100)*I803)</f>
        <v/>
      </c>
      <c r="L803">
        <f>K803*(MIN(Inputs!$B$21+((C815=TRUE)*(F815-Calc!F22)),Inputs!$B$22+((C817=TRUE)*(F817-Calc!F24)))/100+(Inputs!$B$22+((C817=TRUE)*(F817-Calc!F24)))/100)/2</f>
        <v/>
      </c>
      <c r="M803">
        <f>L803*(1+(Inputs!$B$9+0+B825)/100)</f>
        <v/>
      </c>
      <c r="N803">
        <f>L803*(1-MIN((Inputs!$B$8+0+B820),100)/100)+M803*(MIN((Inputs!$B$8+0+B820),100)/100)</f>
        <v/>
      </c>
      <c r="O803">
        <f>IF(C803,H803*N803*IF(AND(Inputs!$B$4&lt;&gt;"pvp",Inputs!$B$35&gt;0),((Skills!G10*((R803-1)*IF(Skills!H10&gt;0,Skills!I10/Skills!H10,1)+IF(Skills!H10&gt;0,MIN(Skills!I10,MAX(0,Inputs!$B$35-((R803-1)*IF(Inputs!$B$4="pvp",15,MAX(0.1,Skills!D10-IF(Skills!E10=TRUE,Inputs!$B$31,0))))))/Skills!H10,1)))/Inputs!$B$35),G803*Q803)*IF(Inputs!$B$4="pvp",1,(1-Summary!$B$55)*(1)+Summary!$B$55*(MIN(Skills!R10,Inputs!$B$37))),0)</f>
        <v/>
      </c>
      <c r="P803">
        <f>IF(B828=0,0,O803/B828)</f>
        <v/>
      </c>
      <c r="Q803">
        <f>IFERROR(1/IF(Inputs!$B$4="pvp",15,MAX(0.1,Skills!D10-IF(Skills!E10=TRUE,Inputs!$B$31,0))),0)</f>
        <v/>
      </c>
      <c r="R803">
        <f>IF(AND(Inputs!$B$4&lt;&gt;"pvp",Inputs!$B$35&gt;0),(INT(Inputs!$B$35/IF(Inputs!$B$4="pvp",15,MAX(0.1,Skills!D10-IF(Skills!E10=TRUE,Inputs!$B$31,0))))+1),0)</f>
        <v/>
      </c>
      <c r="S803">
        <f>IFERROR(O803/N803,0)</f>
        <v/>
      </c>
    </row>
    <row r="804">
      <c r="A804">
        <f>Skills!A11</f>
        <v/>
      </c>
      <c r="B804">
        <f>Skills!B11</f>
        <v/>
      </c>
      <c r="C804">
        <f>Inputs!$B$3&gt;=63</f>
        <v/>
      </c>
      <c r="D804">
        <f>IF(Skills!C11=1,60+Inputs!$B$24+(Inputs!$B$28+1),IF(Skills!C11=2,90+Inputs!$B$25+(Inputs!$B$28+1),IF(Skills!C11=3,120+Inputs!$B$26+(Inputs!$B$28+1),MAX(0,(Inputs!$B$3-100)*3)+Inputs!$B$27+(Inputs!$B$28+1))))</f>
        <v/>
      </c>
      <c r="E804">
        <f>INDEX(FactorTable!$B$2:$Y$301, MATCH(ROUND(MIN(300,MAX(1,D804)),0), FactorTable!$A$2:$A$301,0), Skills!M11+1)</f>
        <v/>
      </c>
      <c r="F804">
        <f>IF(Skills!N11=TRUE,(Skills!L11/10)*(E804/1000),Skills!L11/10)+Skills!O11</f>
        <v/>
      </c>
      <c r="G804">
        <f>Skills!G11*IF(Skills!H11&gt;0,Skills!I11/Skills!H11,1)</f>
        <v/>
      </c>
      <c r="H804">
        <f>1-(1-Skills!J11/100)^Skills!K11</f>
        <v/>
      </c>
      <c r="I804" t="inlineStr">
        <is>
          <t>1</t>
        </is>
      </c>
      <c r="J804">
        <f>(Inputs!$B$5*(1+Inputs!$B$6/100))*(F804/100)</f>
        <v/>
      </c>
      <c r="K804">
        <f>J804*(1+((Inputs!$B$11*(1+Inputs!$B$12/100))*0.01+Inputs!$B$13*0.0025)/100)*(1+Inputs!$B$14/100)*(1+IF(Inputs!$B$4="pvp",0,(1-Summary!$B$55)*(Inputs!$B$19+0+Skills!P11)+Summary!$B$55*(Inputs!$B$20+Skills!Q11))/100)*(1+Inputs!$B$15/100)*(5000/(6000+Inputs!$B$7*(1-(Inputs!$B$18+0)/100)))*(1+(Inputs!$B$23+0+B826)/100)*(1+1.5*IF(C805=TRUE,F805,0)/100)*(1+(IF(Skills!A11="BLAST",Inputs!$B$16+((C814=TRUE)*(F814-Calc!F21)),Inputs!$B$17+((C816=TRUE)*(F816-Calc!F23))))/100)*((1+(((C806=TRUE)*F806*MIN(1,Skills!T13*(Skills!J13/100)*B824))+((C811=TRUE)*F811*IF(AND(Inputs!$B$4&lt;&gt;"pvp",Inputs!$B$35&gt;0),(((S811-1)*(Skills!T18*(1+Inputs!$B$33/100))+MIN((Skills!T18*(1+Inputs!$B$33/100)),MAX(0,Inputs!$B$35-((S811-1)*Skills!D18))))/Inputs!$B$35),IF(Inputs!$B$4="pvp",MIN((Skills!T18*(1+Inputs!$B$33/100)),15)/15,(Skills!T18*(1+Inputs!$B$33/100))/Skills!D18)))+0)/100)*I804)</f>
        <v/>
      </c>
      <c r="L804">
        <f>K804*(MIN(Inputs!$B$21+((C815=TRUE)*(F815-Calc!F22)),Inputs!$B$22+((C817=TRUE)*(F817-Calc!F24)))/100+(Inputs!$B$22+((C817=TRUE)*(F817-Calc!F24)))/100)/2</f>
        <v/>
      </c>
      <c r="M804">
        <f>L804*(1+(Inputs!$B$9+0+B825)/100)</f>
        <v/>
      </c>
      <c r="N804">
        <f>L804*(1-MIN((Inputs!$B$8+0+B820),100)/100)+M804*(MIN((Inputs!$B$8+0+B820),100)/100)</f>
        <v/>
      </c>
      <c r="O804">
        <f>IF(C804,H804*N804*IF(AND(Inputs!$B$4&lt;&gt;"pvp",Inputs!$B$35&gt;0),((Skills!G11*((R804-1)*IF(Skills!H11&gt;0,Skills!I11/Skills!H11,1)+IF(Skills!H11&gt;0,MIN(Skills!I11,MAX(0,Inputs!$B$35-((R804-1)*IF(Inputs!$B$4="pvp",15,MAX(0.1,Skills!D11-IF(Skills!E11=TRUE,Inputs!$B$31,0))))))/Skills!H11,1)))/Inputs!$B$35),G804*Q804)*IF(Inputs!$B$4="pvp",1,(1-Summary!$B$55)*(1)+Summary!$B$55*(MIN(Skills!R11,Inputs!$B$37))),0)</f>
        <v/>
      </c>
      <c r="P804">
        <f>IF(B828=0,0,O804/B828)</f>
        <v/>
      </c>
      <c r="Q804">
        <f>IFERROR(1/IF(Inputs!$B$4="pvp",15,MAX(0.1,Skills!D11-IF(Skills!E11=TRUE,Inputs!$B$31,0))),0)</f>
        <v/>
      </c>
      <c r="R804">
        <f>IF(AND(Inputs!$B$4&lt;&gt;"pvp",Inputs!$B$35&gt;0),(INT(Inputs!$B$35/IF(Inputs!$B$4="pvp",15,MAX(0.1,Skills!D11-IF(Skills!E11=TRUE,Inputs!$B$31,0))))+1),0)</f>
        <v/>
      </c>
      <c r="S804">
        <f>IFERROR(O804/N804,0)</f>
        <v/>
      </c>
    </row>
    <row r="805">
      <c r="A805">
        <f>Skills!A12</f>
        <v/>
      </c>
      <c r="B805">
        <f>Skills!B12</f>
        <v/>
      </c>
      <c r="C805">
        <f>Inputs!$B$3&gt;=100</f>
        <v/>
      </c>
      <c r="D805">
        <f>IF(Skills!C12=1,60+Inputs!$B$24+(Inputs!$B$28+1),IF(Skills!C12=2,90+Inputs!$B$25+(Inputs!$B$28+1),IF(Skills!C12=3,120+Inputs!$B$26+(Inputs!$B$28+1),MAX(0,(Inputs!$B$3-100)*3)+Inputs!$B$27+(Inputs!$B$28+1))))</f>
        <v/>
      </c>
      <c r="E805">
        <f>INDEX(FactorTable!$B$2:$Y$301, MATCH(ROUND(MIN(300,MAX(1,D805)),0), FactorTable!$A$2:$A$301,0), Skills!M12+1)</f>
        <v/>
      </c>
      <c r="F805">
        <f>IF(Skills!N12=TRUE,(Skills!L12/10)*(E805/1000),Skills!L12/10)+Skills!O12</f>
        <v/>
      </c>
      <c r="G805" t="inlineStr"/>
      <c r="H805" t="inlineStr"/>
      <c r="I805" t="inlineStr">
        <is>
          <t>1</t>
        </is>
      </c>
      <c r="J805" t="inlineStr"/>
      <c r="K805" t="inlineStr"/>
      <c r="L805" t="inlineStr"/>
      <c r="M805" t="inlineStr"/>
      <c r="N805" t="inlineStr"/>
      <c r="O805" t="inlineStr"/>
      <c r="P805" t="inlineStr"/>
      <c r="Q805" t="inlineStr"/>
      <c r="R805" t="inlineStr"/>
      <c r="S805" t="inlineStr"/>
    </row>
    <row r="806">
      <c r="A806">
        <f>Skills!A13</f>
        <v/>
      </c>
      <c r="B806">
        <f>Skills!B13</f>
        <v/>
      </c>
      <c r="C806">
        <f>Inputs!$B$3&gt;=45</f>
        <v/>
      </c>
      <c r="D806">
        <f>IF(Skills!C13=1,60+Inputs!$B$24+(Inputs!$B$28+1),IF(Skills!C13=2,90+Inputs!$B$25+(Inputs!$B$28+1),IF(Skills!C13=3,120+Inputs!$B$26+(Inputs!$B$28+1),MAX(0,(Inputs!$B$3-100)*3)+Inputs!$B$27+(Inputs!$B$28+1))))</f>
        <v/>
      </c>
      <c r="E806">
        <f>INDEX(FactorTable!$B$2:$Y$301, MATCH(ROUND(MIN(300,MAX(1,D806)),0), FactorTable!$A$2:$A$301,0), Skills!M13+1)</f>
        <v/>
      </c>
      <c r="F806">
        <f>IF(Skills!N13=TRUE,(Skills!L13/10)*(E806/1000),Skills!L13/10)+Skills!O13</f>
        <v/>
      </c>
      <c r="G806">
        <f>Skills!G13*IF(Skills!H13&gt;0,Skills!I13/Skills!H13,1)</f>
        <v/>
      </c>
      <c r="H806">
        <f>1-(1-Skills!J13/100)^Skills!K13</f>
        <v/>
      </c>
      <c r="I806" t="inlineStr">
        <is>
          <t>1</t>
        </is>
      </c>
      <c r="J806" t="inlineStr"/>
      <c r="K806" t="inlineStr"/>
      <c r="L806" t="inlineStr"/>
      <c r="M806" t="inlineStr"/>
      <c r="N806" t="inlineStr"/>
      <c r="O806" t="n">
        <v>0</v>
      </c>
      <c r="P806">
        <f>IF(B828=0,0,O806/B828)</f>
        <v/>
      </c>
      <c r="Q806" t="n">
        <v>0</v>
      </c>
      <c r="R806" t="n">
        <v>0</v>
      </c>
      <c r="S806">
        <f>IFERROR(O806/N806,0)</f>
        <v/>
      </c>
    </row>
    <row r="807">
      <c r="A807">
        <f>Skills!A14</f>
        <v/>
      </c>
      <c r="B807">
        <f>Skills!B14</f>
        <v/>
      </c>
      <c r="C807">
        <f>Inputs!$B$3&gt;=110</f>
        <v/>
      </c>
      <c r="D807">
        <f>IF(Skills!C14=1,60+Inputs!$B$24+(Inputs!$B$28+1),IF(Skills!C14=2,90+Inputs!$B$25+(Inputs!$B$28+1),IF(Skills!C14=3,120+Inputs!$B$26+(Inputs!$B$28+1),MAX(0,(Inputs!$B$3-100)*3)+Inputs!$B$27+(Inputs!$B$28+1))))</f>
        <v/>
      </c>
      <c r="E807">
        <f>INDEX(FactorTable!$B$2:$Y$301, MATCH(ROUND(MIN(300,MAX(1,D807)),0), FactorTable!$A$2:$A$301,0), Skills!M14+1)</f>
        <v/>
      </c>
      <c r="F807">
        <f>IF(Skills!N14=TRUE,(Skills!L14/10)*(E807/1000),Skills!L14/10)+Skills!O14</f>
        <v/>
      </c>
      <c r="G807">
        <f>Skills!G14*IF(Skills!H14&gt;0,Skills!I14/Skills!H14,1)</f>
        <v/>
      </c>
      <c r="H807">
        <f>1-(1-Skills!J14/100)^Skills!K14</f>
        <v/>
      </c>
      <c r="I807" t="inlineStr">
        <is>
          <t>1</t>
        </is>
      </c>
      <c r="J807" t="inlineStr"/>
      <c r="K807" t="inlineStr"/>
      <c r="L807" t="inlineStr"/>
      <c r="M807" t="inlineStr"/>
      <c r="N807" t="inlineStr"/>
      <c r="O807" t="n">
        <v>0</v>
      </c>
      <c r="P807">
        <f>IF(B828=0,0,O807/B828)</f>
        <v/>
      </c>
      <c r="Q807" t="n">
        <v>0</v>
      </c>
      <c r="R807" t="n">
        <v>0</v>
      </c>
      <c r="S807">
        <f>IFERROR(O807/N807,0)</f>
        <v/>
      </c>
    </row>
    <row r="808">
      <c r="A808">
        <f>Skills!A15</f>
        <v/>
      </c>
      <c r="B808">
        <f>Skills!B15</f>
        <v/>
      </c>
      <c r="C808">
        <f>Inputs!$B$3&gt;=75</f>
        <v/>
      </c>
      <c r="D808">
        <f>IF(Skills!C15=1,60+Inputs!$B$24+(Inputs!$B$28+1),IF(Skills!C15=2,90+Inputs!$B$25+(Inputs!$B$28+1),IF(Skills!C15=3,120+Inputs!$B$26+(Inputs!$B$28+1),MAX(0,(Inputs!$B$3-100)*3)+Inputs!$B$27+(Inputs!$B$28+1))))</f>
        <v/>
      </c>
      <c r="E808">
        <f>INDEX(FactorTable!$B$2:$Y$301, MATCH(ROUND(MIN(300,MAX(1,D808)),0), FactorTable!$A$2:$A$301,0), Skills!M15+1)</f>
        <v/>
      </c>
      <c r="F808">
        <f>IF(Skills!N15=TRUE,(Skills!L15/10)*(E808/1000),Skills!L15/10)+Skills!O15</f>
        <v/>
      </c>
      <c r="G808">
        <f>Skills!G15*IF(Skills!H15&gt;0,Skills!I15/Skills!H15,1)</f>
        <v/>
      </c>
      <c r="H808">
        <f>1-(1-Skills!J15/100)^Skills!K15</f>
        <v/>
      </c>
      <c r="I808" t="inlineStr">
        <is>
          <t>1</t>
        </is>
      </c>
      <c r="J808" t="inlineStr"/>
      <c r="K808" t="inlineStr"/>
      <c r="L808" t="inlineStr"/>
      <c r="M808" t="inlineStr"/>
      <c r="N808" t="inlineStr"/>
      <c r="O808" t="n">
        <v>0</v>
      </c>
      <c r="P808">
        <f>IF(B828=0,0,O808/B828)</f>
        <v/>
      </c>
      <c r="Q808">
        <f>IFERROR(1/IF(Inputs!$B$4="pvp",15,MAX(0.1,Skills!D15-IF(Skills!E15=TRUE,Inputs!$B$31,0))),0)</f>
        <v/>
      </c>
      <c r="R808">
        <f>IF(AND(Inputs!$B$4&lt;&gt;"pvp",Inputs!$B$35&gt;0),(INT(Inputs!$B$35/IF(Inputs!$B$4="pvp",15,MAX(0.1,Skills!D15-IF(Skills!E15=TRUE,Inputs!$B$31,0))))+1),0)</f>
        <v/>
      </c>
      <c r="S808">
        <f>IFERROR(O808/N808,0)</f>
        <v/>
      </c>
    </row>
    <row r="809">
      <c r="A809">
        <f>Skills!A16</f>
        <v/>
      </c>
      <c r="B809">
        <f>Skills!B16</f>
        <v/>
      </c>
      <c r="C809">
        <f>Inputs!$B$3&gt;=105</f>
        <v/>
      </c>
      <c r="D809">
        <f>IF(Skills!C16=1,60+Inputs!$B$24+(Inputs!$B$28+1),IF(Skills!C16=2,90+Inputs!$B$25+(Inputs!$B$28+1),IF(Skills!C16=3,120+Inputs!$B$26+(Inputs!$B$28+1),MAX(0,(Inputs!$B$3-100)*3)+Inputs!$B$27+(Inputs!$B$28+1))))</f>
        <v/>
      </c>
      <c r="E809">
        <f>INDEX(FactorTable!$B$2:$Y$301, MATCH(ROUND(MIN(300,MAX(1,D809)),0), FactorTable!$A$2:$A$301,0), Skills!M16+1)</f>
        <v/>
      </c>
      <c r="F809">
        <f>IF(Skills!N16=TRUE,(Skills!L16/10)*(E809/1000),Skills!L16/10)+Skills!O16</f>
        <v/>
      </c>
      <c r="G809">
        <f>Skills!G16*IF(Skills!H16&gt;0,Skills!I16/Skills!H16,1)</f>
        <v/>
      </c>
      <c r="H809">
        <f>1-(1-Skills!J16/100)^Skills!K16</f>
        <v/>
      </c>
      <c r="I809" t="inlineStr">
        <is>
          <t>1</t>
        </is>
      </c>
      <c r="J809" t="inlineStr"/>
      <c r="K809" t="inlineStr"/>
      <c r="L809" t="inlineStr"/>
      <c r="M809" t="inlineStr"/>
      <c r="N809" t="inlineStr"/>
      <c r="O809" t="n">
        <v>0</v>
      </c>
      <c r="P809">
        <f>IF(B828=0,0,O809/B828)</f>
        <v/>
      </c>
      <c r="Q809">
        <f>IFERROR(1/IF(Inputs!$B$4="pvp",15,MAX(0.1,Skills!D16-IF(Skills!E16=TRUE,Inputs!$B$31,0))),0)</f>
        <v/>
      </c>
      <c r="R809">
        <f>IF(AND(Inputs!$B$4&lt;&gt;"pvp",Inputs!$B$35&gt;0),(INT(Inputs!$B$35/IF(Inputs!$B$4="pvp",15,MAX(0.1,Skills!D16-IF(Skills!E16=TRUE,Inputs!$B$31,0))))+1),0)</f>
        <v/>
      </c>
      <c r="S809">
        <f>IFERROR(O809/N809,0)</f>
        <v/>
      </c>
    </row>
    <row r="810">
      <c r="A810">
        <f>Skills!A17</f>
        <v/>
      </c>
      <c r="B810">
        <f>Skills!B17</f>
        <v/>
      </c>
      <c r="C810">
        <f>Inputs!$B$3&gt;=115</f>
        <v/>
      </c>
      <c r="D810">
        <f>IF(Skills!C17=1,60+Inputs!$B$24+(Inputs!$B$28+1),IF(Skills!C17=2,90+Inputs!$B$25+(Inputs!$B$28+1),IF(Skills!C17=3,120+Inputs!$B$26+(Inputs!$B$28+1),MAX(0,(Inputs!$B$3-100)*3)+Inputs!$B$27+(Inputs!$B$28+1))))</f>
        <v/>
      </c>
      <c r="E810">
        <f>INDEX(FactorTable!$B$2:$Y$301, MATCH(ROUND(MIN(300,MAX(1,D810)),0), FactorTable!$A$2:$A$301,0), Skills!M17+1)</f>
        <v/>
      </c>
      <c r="F810">
        <f>IF(Skills!N17=TRUE,(Skills!L17/10)*(E810/1000),Skills!L17/10)+Skills!O17</f>
        <v/>
      </c>
      <c r="G810">
        <f>Skills!G17*IF(Skills!H17&gt;0,Skills!I17/Skills!H17,1)</f>
        <v/>
      </c>
      <c r="H810">
        <f>1-(1-Skills!J17/100)^Skills!K17</f>
        <v/>
      </c>
      <c r="I810" t="inlineStr">
        <is>
          <t>1</t>
        </is>
      </c>
      <c r="J810" t="inlineStr"/>
      <c r="K810" t="inlineStr"/>
      <c r="L810" t="inlineStr"/>
      <c r="M810" t="inlineStr"/>
      <c r="N810" t="inlineStr"/>
      <c r="O810" t="n">
        <v>0</v>
      </c>
      <c r="P810">
        <f>IF(B828=0,0,O810/B828)</f>
        <v/>
      </c>
      <c r="Q810">
        <f>IFERROR(1/IF(Inputs!$B$4="pvp",15,MAX(0.1,Skills!D17-IF(Skills!E17=TRUE,Inputs!$B$31,0))),0)</f>
        <v/>
      </c>
      <c r="R810">
        <f>IF(AND(Inputs!$B$4&lt;&gt;"pvp",Inputs!$B$35&gt;0),(INT(Inputs!$B$35/IF(Inputs!$B$4="pvp",15,MAX(0.1,Skills!D17-IF(Skills!E17=TRUE,Inputs!$B$31,0))))+1),0)</f>
        <v/>
      </c>
      <c r="S810">
        <f>IFERROR(O810/N810,0)</f>
        <v/>
      </c>
    </row>
    <row r="811">
      <c r="A811">
        <f>Skills!A18</f>
        <v/>
      </c>
      <c r="B811">
        <f>Skills!B18</f>
        <v/>
      </c>
      <c r="C811">
        <f>Inputs!$B$3&gt;=74</f>
        <v/>
      </c>
      <c r="D811">
        <f>IF(Skills!C18=1,60+Inputs!$B$24+(Inputs!$B$28+1),IF(Skills!C18=2,90+Inputs!$B$25+(Inputs!$B$28+1),IF(Skills!C18=3,120+Inputs!$B$26+(Inputs!$B$28+1),MAX(0,(Inputs!$B$3-100)*3)+Inputs!$B$27+(Inputs!$B$28+1))))</f>
        <v/>
      </c>
      <c r="E811">
        <f>INDEX(FactorTable!$B$2:$Y$301, MATCH(ROUND(MIN(300,MAX(1,D811)),0), FactorTable!$A$2:$A$301,0), Skills!M18+1)</f>
        <v/>
      </c>
      <c r="F811">
        <f>IF(Skills!N18=TRUE,(Skills!L18/10)*(E811/1000),Skills!L18/10)+Skills!O18</f>
        <v/>
      </c>
      <c r="G811">
        <f>Skills!G18*IF(Skills!H18&gt;0,Skills!I18/Skills!H18,1)</f>
        <v/>
      </c>
      <c r="H811">
        <f>1-(1-Skills!J18/100)^Skills!K18</f>
        <v/>
      </c>
      <c r="I811" t="inlineStr">
        <is>
          <t>1</t>
        </is>
      </c>
      <c r="J811" t="inlineStr"/>
      <c r="K811" t="inlineStr"/>
      <c r="L811" t="inlineStr"/>
      <c r="M811" t="inlineStr"/>
      <c r="N811" t="inlineStr"/>
      <c r="O811" t="n">
        <v>0</v>
      </c>
      <c r="P811">
        <f>IF(B828=0,0,O811/B828)</f>
        <v/>
      </c>
      <c r="Q811">
        <f>IFERROR(1/IF(Inputs!$B$4="pvp",15,MAX(0.1,Skills!D18-IF(Skills!E18=TRUE,Inputs!$B$31,0))),0)</f>
        <v/>
      </c>
      <c r="R811">
        <f>IF(AND(Inputs!$B$4&lt;&gt;"pvp",Inputs!$B$35&gt;0),(INT(Inputs!$B$35/IF(Inputs!$B$4="pvp",15,MAX(0.1,Skills!D18-IF(Skills!E18=TRUE,Inputs!$B$31,0))))+1),0)</f>
        <v/>
      </c>
      <c r="S811">
        <f>IFERROR(O811/N811,0)</f>
        <v/>
      </c>
    </row>
    <row r="812">
      <c r="A812">
        <f>Skills!A19</f>
        <v/>
      </c>
      <c r="B812">
        <f>Skills!B19</f>
        <v/>
      </c>
      <c r="C812">
        <f>TRUE</f>
        <v/>
      </c>
      <c r="D812">
        <f>IF(Skills!C19=1,60+Inputs!$B$24+(Inputs!$B$28+1),IF(Skills!C19=2,90+Inputs!$B$25+(Inputs!$B$28+1),IF(Skills!C19=3,120+Inputs!$B$26+(Inputs!$B$28+1),MAX(0,(Inputs!$B$3-100)*3)+Inputs!$B$27+(Inputs!$B$28+1))))</f>
        <v/>
      </c>
      <c r="E812">
        <f>INDEX(FactorTable!$B$2:$Y$301, MATCH(ROUND(MIN(300,MAX(1,D812)),0), FactorTable!$A$2:$A$301,0), Skills!M19+1)</f>
        <v/>
      </c>
      <c r="F812">
        <f>IF(Skills!N19=TRUE,(Skills!L19/10)*(E812/1000),Skills!L19/10)+Skills!O19</f>
        <v/>
      </c>
      <c r="G812">
        <f>Skills!G19*IF(Skills!H19&gt;0,Skills!I19/Skills!H19,1)</f>
        <v/>
      </c>
      <c r="H812">
        <f>1-(1-Skills!J19/100)^Skills!K19</f>
        <v/>
      </c>
      <c r="I812" t="inlineStr">
        <is>
          <t>1</t>
        </is>
      </c>
      <c r="J812" t="inlineStr"/>
      <c r="K812" t="inlineStr"/>
      <c r="L812" t="inlineStr"/>
      <c r="M812" t="inlineStr"/>
      <c r="N812" t="inlineStr"/>
      <c r="O812" t="n">
        <v>0</v>
      </c>
      <c r="P812">
        <f>IF(B828=0,0,O812/B828)</f>
        <v/>
      </c>
      <c r="Q812">
        <f>IFERROR(1/IF(Inputs!$B$4="pvp",15,MAX(0.1,Skills!D19-IF(Skills!E19=TRUE,Inputs!$B$31,0))),0)</f>
        <v/>
      </c>
      <c r="R812">
        <f>IF(AND(Inputs!$B$4&lt;&gt;"pvp",Inputs!$B$35&gt;0),(INT(Inputs!$B$35/IF(Inputs!$B$4="pvp",15,MAX(0.1,Skills!D19-IF(Skills!E19=TRUE,Inputs!$B$31,0))))+1),0)</f>
        <v/>
      </c>
      <c r="S812">
        <f>IFERROR(O812/N812,0)</f>
        <v/>
      </c>
    </row>
    <row r="813">
      <c r="A813">
        <f>Skills!A20</f>
        <v/>
      </c>
      <c r="B813">
        <f>Skills!B20</f>
        <v/>
      </c>
      <c r="C813">
        <f>Inputs!$B$3&gt;=33</f>
        <v/>
      </c>
      <c r="D813">
        <f>IF(Skills!C20=1,60+Inputs!$B$24+(Inputs!$B$28+1),IF(Skills!C20=2,90+Inputs!$B$25+(Inputs!$B$28+1),IF(Skills!C20=3,120+Inputs!$B$26+(Inputs!$B$28+1),MAX(0,(Inputs!$B$3-100)*3)+Inputs!$B$27+(Inputs!$B$28+1))))</f>
        <v/>
      </c>
      <c r="E813">
        <f>INDEX(FactorTable!$B$2:$Y$301, MATCH(ROUND(MIN(300,MAX(1,D813)),0), FactorTable!$A$2:$A$301,0), Skills!M20+1)</f>
        <v/>
      </c>
      <c r="F813">
        <f>IF(Skills!N20=TRUE,(Skills!L20/10)*(E813/1000),Skills!L20/10)+Skills!O20</f>
        <v/>
      </c>
      <c r="G813">
        <f>Skills!G20*IF(Skills!H20&gt;0,Skills!I20/Skills!H20,1)</f>
        <v/>
      </c>
      <c r="H813">
        <f>1-(1-Skills!J20/100)^Skills!K20</f>
        <v/>
      </c>
      <c r="I813" t="inlineStr">
        <is>
          <t>1</t>
        </is>
      </c>
      <c r="J813" t="inlineStr"/>
      <c r="K813" t="inlineStr"/>
      <c r="L813" t="inlineStr"/>
      <c r="M813" t="inlineStr"/>
      <c r="N813" t="inlineStr"/>
      <c r="O813" t="n">
        <v>0</v>
      </c>
      <c r="P813">
        <f>IF(B828=0,0,O813/B828)</f>
        <v/>
      </c>
      <c r="Q813" t="n">
        <v>0</v>
      </c>
      <c r="R813" t="n">
        <v>0</v>
      </c>
      <c r="S813">
        <f>IFERROR(O813/N813,0)</f>
        <v/>
      </c>
    </row>
    <row r="814">
      <c r="A814">
        <f>Skills!A21</f>
        <v/>
      </c>
      <c r="B814">
        <f>Skills!B21</f>
        <v/>
      </c>
      <c r="C814">
        <f>Inputs!$B$3&gt;=38</f>
        <v/>
      </c>
      <c r="D814">
        <f>IF(Skills!C21=1,60+Inputs!$B$24+(Inputs!$B$28+1),IF(Skills!C21=2,90+Inputs!$B$25+(Inputs!$B$28+1),IF(Skills!C21=3,120+Inputs!$B$26+(Inputs!$B$28+1),MAX(0,(Inputs!$B$3-100)*3)+Inputs!$B$27+(Inputs!$B$28+1))))</f>
        <v/>
      </c>
      <c r="E814">
        <f>INDEX(FactorTable!$B$2:$Y$301, MATCH(ROUND(MIN(300,MAX(1,D814)),0), FactorTable!$A$2:$A$301,0), Skills!M21+1)</f>
        <v/>
      </c>
      <c r="F814">
        <f>IF(Skills!N21=TRUE,(Skills!L21/10)*(E814/1000),Skills!L21/10)+Skills!O21</f>
        <v/>
      </c>
      <c r="G814">
        <f>Skills!G21*IF(Skills!H21&gt;0,Skills!I21/Skills!H21,1)</f>
        <v/>
      </c>
      <c r="H814">
        <f>1-(1-Skills!J21/100)^Skills!K21</f>
        <v/>
      </c>
      <c r="I814" t="inlineStr">
        <is>
          <t>1</t>
        </is>
      </c>
      <c r="J814" t="inlineStr"/>
      <c r="K814" t="inlineStr"/>
      <c r="L814" t="inlineStr"/>
      <c r="M814" t="inlineStr"/>
      <c r="N814" t="inlineStr"/>
      <c r="O814" t="n">
        <v>0</v>
      </c>
      <c r="P814">
        <f>IF(B828=0,0,O814/B828)</f>
        <v/>
      </c>
      <c r="Q814" t="n">
        <v>0</v>
      </c>
      <c r="R814" t="n">
        <v>0</v>
      </c>
      <c r="S814">
        <f>IFERROR(O814/N814,0)</f>
        <v/>
      </c>
    </row>
    <row r="815">
      <c r="A815">
        <f>Skills!A22</f>
        <v/>
      </c>
      <c r="B815">
        <f>Skills!B22</f>
        <v/>
      </c>
      <c r="C815">
        <f>Inputs!$B$3&gt;=43</f>
        <v/>
      </c>
      <c r="D815">
        <f>IF(Skills!C22=1,60+Inputs!$B$24+(Inputs!$B$28+1),IF(Skills!C22=2,90+Inputs!$B$25+(Inputs!$B$28+1),IF(Skills!C22=3,120+Inputs!$B$26+(Inputs!$B$28+1),MAX(0,(Inputs!$B$3-100)*3)+Inputs!$B$27+(Inputs!$B$28+1))))</f>
        <v/>
      </c>
      <c r="E815">
        <f>INDEX(FactorTable!$B$2:$Y$301, MATCH(ROUND(MIN(300,MAX(1,D815)),0), FactorTable!$A$2:$A$301,0), Skills!M22+1)</f>
        <v/>
      </c>
      <c r="F815">
        <f>IF(Skills!N22=TRUE,(Skills!L22/10)*(E815/1000),Skills!L22/10)+Skills!O22</f>
        <v/>
      </c>
      <c r="G815">
        <f>Skills!G22*IF(Skills!H22&gt;0,Skills!I22/Skills!H22,1)</f>
        <v/>
      </c>
      <c r="H815">
        <f>1-(1-Skills!J22/100)^Skills!K22</f>
        <v/>
      </c>
      <c r="I815" t="inlineStr">
        <is>
          <t>1</t>
        </is>
      </c>
      <c r="J815" t="inlineStr"/>
      <c r="K815" t="inlineStr"/>
      <c r="L815" t="inlineStr"/>
      <c r="M815" t="inlineStr"/>
      <c r="N815" t="inlineStr"/>
      <c r="O815" t="n">
        <v>0</v>
      </c>
      <c r="P815">
        <f>IF(B828=0,0,O815/B828)</f>
        <v/>
      </c>
      <c r="Q815" t="n">
        <v>0</v>
      </c>
      <c r="R815" t="n">
        <v>0</v>
      </c>
      <c r="S815">
        <f>IFERROR(O815/N815,0)</f>
        <v/>
      </c>
    </row>
    <row r="816">
      <c r="A816">
        <f>Skills!A23</f>
        <v/>
      </c>
      <c r="B816">
        <f>Skills!B23</f>
        <v/>
      </c>
      <c r="C816">
        <f>Inputs!$B$3&gt;=120</f>
        <v/>
      </c>
      <c r="D816">
        <f>IF(Skills!C23=1,60+Inputs!$B$24+(Inputs!$B$28+1),IF(Skills!C23=2,90+Inputs!$B$25+(Inputs!$B$28+1),IF(Skills!C23=3,120+Inputs!$B$26+(Inputs!$B$28+1),MAX(0,(Inputs!$B$3-100)*3)+Inputs!$B$27+(Inputs!$B$28+1))))</f>
        <v/>
      </c>
      <c r="E816">
        <f>INDEX(FactorTable!$B$2:$Y$301, MATCH(ROUND(MIN(300,MAX(1,D816)),0), FactorTable!$A$2:$A$301,0), Skills!M23+1)</f>
        <v/>
      </c>
      <c r="F816">
        <f>IF(Skills!N23=TRUE,(Skills!L23/10)*(E816/1000),Skills!L23/10)+Skills!O23</f>
        <v/>
      </c>
      <c r="G816">
        <f>Skills!G23*IF(Skills!H23&gt;0,Skills!I23/Skills!H23,1)</f>
        <v/>
      </c>
      <c r="H816">
        <f>1-(1-Skills!J23/100)^Skills!K23</f>
        <v/>
      </c>
      <c r="I816" t="inlineStr">
        <is>
          <t>1</t>
        </is>
      </c>
      <c r="J816" t="inlineStr"/>
      <c r="K816" t="inlineStr"/>
      <c r="L816" t="inlineStr"/>
      <c r="M816" t="inlineStr"/>
      <c r="N816" t="inlineStr"/>
      <c r="O816" t="n">
        <v>0</v>
      </c>
      <c r="P816">
        <f>IF(B828=0,0,O816/B828)</f>
        <v/>
      </c>
      <c r="Q816" t="n">
        <v>0</v>
      </c>
      <c r="R816" t="n">
        <v>0</v>
      </c>
      <c r="S816">
        <f>IFERROR(O816/N816,0)</f>
        <v/>
      </c>
    </row>
    <row r="817">
      <c r="A817">
        <f>Skills!A24</f>
        <v/>
      </c>
      <c r="B817">
        <f>Skills!B24</f>
        <v/>
      </c>
      <c r="C817">
        <f>Inputs!$B$3&gt;=120</f>
        <v/>
      </c>
      <c r="D817">
        <f>IF(Skills!C24=1,60+Inputs!$B$24+(Inputs!$B$28+1),IF(Skills!C24=2,90+Inputs!$B$25+(Inputs!$B$28+1),IF(Skills!C24=3,120+Inputs!$B$26+(Inputs!$B$28+1),MAX(0,(Inputs!$B$3-100)*3)+Inputs!$B$27+(Inputs!$B$28+1))))</f>
        <v/>
      </c>
      <c r="E817">
        <f>INDEX(FactorTable!$B$2:$Y$301, MATCH(ROUND(MIN(300,MAX(1,D817)),0), FactorTable!$A$2:$A$301,0), Skills!M24+1)</f>
        <v/>
      </c>
      <c r="F817">
        <f>IF(Skills!N24=TRUE,(Skills!L24/10)*(E817/1000),Skills!L24/10)+Skills!O24</f>
        <v/>
      </c>
      <c r="G817">
        <f>Skills!G24*IF(Skills!H24&gt;0,Skills!I24/Skills!H24,1)</f>
        <v/>
      </c>
      <c r="H817">
        <f>1-(1-Skills!J24/100)^Skills!K24</f>
        <v/>
      </c>
      <c r="I817" t="inlineStr">
        <is>
          <t>1</t>
        </is>
      </c>
      <c r="J817" t="inlineStr"/>
      <c r="K817" t="inlineStr"/>
      <c r="L817" t="inlineStr"/>
      <c r="M817" t="inlineStr"/>
      <c r="N817" t="inlineStr"/>
      <c r="O817" t="n">
        <v>0</v>
      </c>
      <c r="P817">
        <f>IF(B828=0,0,O817/B828)</f>
        <v/>
      </c>
      <c r="Q817" t="n">
        <v>0</v>
      </c>
      <c r="R817" t="n">
        <v>0</v>
      </c>
      <c r="S817">
        <f>IFERROR(O817/N817,0)</f>
        <v/>
      </c>
    </row>
    <row r="819">
      <c r="A819" t="inlineStr">
        <is>
          <t>Attack% Bucket Multiplier</t>
        </is>
      </c>
      <c r="B819">
        <f>(1+(((C806=TRUE)*F806*MIN(1,Skills!T13*(Skills!J13/100)*B824))+((C811=TRUE)*F811*IF(AND(Inputs!$B$4&lt;&gt;"pvp",Inputs!$B$35&gt;0),(((S811-1)*(Skills!T18*(1+Inputs!$B$33/100))+MIN((Skills!T18*(1+Inputs!$B$33/100)),MAX(0,Inputs!$B$35-((S811-1)*Skills!D18))))/Inputs!$B$35),IF(Inputs!$B$4="pvp",MIN((Skills!T18*(1+Inputs!$B$33/100)),15)/15,(Skills!T18*(1+Inputs!$B$33/100))/Skills!D18)))+0)/100)</f>
        <v/>
      </c>
    </row>
    <row r="820">
      <c r="A820" t="inlineStr">
        <is>
          <t>Global Crit Rate Bonus %</t>
        </is>
      </c>
      <c r="B820" t="n">
        <v>0</v>
      </c>
    </row>
    <row r="821">
      <c r="A821" t="inlineStr">
        <is>
          <t>Attack Speed Buff Bonus %</t>
        </is>
      </c>
      <c r="B821">
        <f>((C812=TRUE)*F812*IF(AND(Inputs!$B$4&lt;&gt;"pvp",Inputs!$B$35&gt;0),(((S812-1)*(Skills!T19*(1+Inputs!$B$33/100))+MIN((Skills!T19*(1+Inputs!$B$33/100)),MAX(0,Inputs!$B$35-((S812-1)*Skills!D19))))/Inputs!$B$35),IF(Inputs!$B$4="pvp",MIN((Skills!T19*(1+Inputs!$B$33/100)),15)/15,(Skills!T19*(1+Inputs!$B$33/100))/Skills!D19)))</f>
        <v/>
      </c>
    </row>
    <row r="822">
      <c r="A822" t="inlineStr">
        <is>
          <t>Actions Per Second</t>
        </is>
      </c>
      <c r="B822">
        <f>1+MIN(150,150*(1-(1-(Inputs!$B$10+((C813=TRUE)*(F813-Calc!F20)))/150)*(1-B821/150)))/100</f>
        <v/>
      </c>
    </row>
    <row r="823">
      <c r="A823" t="inlineStr">
        <is>
          <t>Skill + Buff Cast Rate</t>
        </is>
      </c>
      <c r="B823">
        <f>IF(AND(Inputs!$B$4&lt;&gt;"pvp",Inputs!$B$35&gt;0),SUMPRODUCT((Skills!E2:E24=TRUE)*(C795:C817=TRUE)*R795:R817*Skills!F2:F24)/Inputs!$B$35,SUMPRODUCT((Skills!E2:E24=TRUE)*(C795:C817=TRUE)*Q795:Q817*Skills!F2:F24))</f>
        <v/>
      </c>
    </row>
    <row r="824">
      <c r="A824" t="inlineStr">
        <is>
          <t>Blast Casts Per Second</t>
        </is>
      </c>
      <c r="B824">
        <f>MAX(0,B822-B823)</f>
        <v/>
      </c>
    </row>
    <row r="825">
      <c r="A825" t="inlineStr">
        <is>
          <t>Global Critical Damage Bonus % (unused)</t>
        </is>
      </c>
      <c r="B825" t="n">
        <v>0</v>
      </c>
    </row>
    <row r="826">
      <c r="A826" t="inlineStr">
        <is>
          <t>Global Final Damage Bonus % (Divine Shield + Guardian + Divine Blessing + Greater Vessel of Light)</t>
        </is>
      </c>
      <c r="B826">
        <f>((C808=TRUE)*F808*IF(AND(Inputs!$B$4&lt;&gt;"pvp",Inputs!$B$35&gt;0),(((S808-1)*(Skills!T15*(1+Inputs!$B$33/100))+MIN((Skills!T15*(1+Inputs!$B$33/100)),MAX(0,Inputs!$B$35-((S808-1)*Skills!D15))))/Inputs!$B$35),IF(Inputs!$B$4="pvp",MIN((Skills!T15*(1+Inputs!$B$33/100)),15)/15,(Skills!T15*(1+Inputs!$B$33/100))/Skills!D15)))+((C809=TRUE)*F809*IF(AND(Inputs!$B$4&lt;&gt;"pvp",Inputs!$B$35&gt;0),(((S809-1)*(Skills!T16*(1+Inputs!$B$33/100))+MIN((Skills!T16*(1+Inputs!$B$33/100)),MAX(0,Inputs!$B$35-((S809-1)*Skills!D16))))/Inputs!$B$35),IF(Inputs!$B$4="pvp",MIN((Skills!T16*(1+Inputs!$B$33/100)),15)/15,(Skills!T16*(1+Inputs!$B$33/100))/Skills!D16)))+((C810=TRUE)*F810*IF(AND(Inputs!$B$4&lt;&gt;"pvp",Inputs!$B$35&gt;0),(((S810-1)*(Skills!T17*(1+Inputs!$B$33/100))+MIN((Skills!T17*(1+Inputs!$B$33/100)),MAX(0,Inputs!$B$35-((S810-1)*Skills!D17))))/Inputs!$B$35),IF(Inputs!$B$4="pvp",MIN((Skills!T17*(1+Inputs!$B$33/100)),15)/15,(Skills!T17*(1+Inputs!$B$33/100))/Skills!D17)))+((C807=TRUE)*F807*MIN(1,Skills!T13*(Skills!J13/100)*B824))</f>
        <v/>
      </c>
    </row>
    <row r="828">
      <c r="A828" s="5" t="inlineStr">
        <is>
          <t>TOTAL DPS</t>
        </is>
      </c>
      <c r="B828" s="5">
        <f>SUM(O795:O817)</f>
        <v/>
      </c>
    </row>
    <row r="831">
      <c r="A831" s="5" t="inlineStr">
        <is>
          <t>Stat: Flat ATTACK</t>
        </is>
      </c>
    </row>
    <row r="832">
      <c r="A832" s="8" t="inlineStr">
        <is>
          <t>Key</t>
        </is>
      </c>
      <c r="B832" s="8" t="inlineStr">
        <is>
          <t>Name</t>
        </is>
      </c>
      <c r="C832" s="8" t="inlineStr">
        <is>
          <t>Unlocked</t>
        </is>
      </c>
      <c r="D832" s="8" t="inlineStr">
        <is>
          <t>InputLevel</t>
        </is>
      </c>
      <c r="E832" s="8" t="inlineStr">
        <is>
          <t>Factor</t>
        </is>
      </c>
      <c r="F832" s="8" t="inlineStr">
        <is>
          <t>CoefficientPercent</t>
        </is>
      </c>
      <c r="G832" s="8" t="inlineStr">
        <is>
          <t>EffectiveHits</t>
        </is>
      </c>
      <c r="H832" s="8" t="inlineStr">
        <is>
          <t>ProcProbability</t>
        </is>
      </c>
      <c r="I832" s="8" t="inlineStr">
        <is>
          <t>MapleHeroMultiplier</t>
        </is>
      </c>
      <c r="J832" s="8" t="inlineStr">
        <is>
          <t>BaseDamage</t>
        </is>
      </c>
      <c r="K832" s="8" t="inlineStr">
        <is>
          <t>BaseHitDamage</t>
        </is>
      </c>
      <c r="L832" s="8" t="inlineStr">
        <is>
          <t>NonCritAvg</t>
        </is>
      </c>
      <c r="M832" s="8" t="inlineStr">
        <is>
          <t>CritAvg</t>
        </is>
      </c>
      <c r="N832" s="8" t="inlineStr">
        <is>
          <t>ExpectedDamage(perHit)</t>
        </is>
      </c>
      <c r="O832" s="8" t="inlineStr">
        <is>
          <t>DPS</t>
        </is>
      </c>
      <c r="P832" s="8" t="inlineStr">
        <is>
          <t>% of Total</t>
        </is>
      </c>
      <c r="Q832" s="8" t="inlineStr">
        <is>
          <t>InvCooldown</t>
        </is>
      </c>
      <c r="R832" s="8" t="inlineStr">
        <is>
          <t>CastsInFight</t>
        </is>
      </c>
      <c r="S832" s="8" t="inlineStr">
        <is>
          <t>HitRate(perSec)</t>
        </is>
      </c>
      <c r="U832" t="inlineStr">
        <is>
          <t>helpers</t>
        </is>
      </c>
    </row>
    <row r="833">
      <c r="A833">
        <f>Skills!A2</f>
        <v/>
      </c>
      <c r="B833">
        <f>Skills!B2</f>
        <v/>
      </c>
      <c r="C833">
        <f>Inputs!$B$3&gt;=100</f>
        <v/>
      </c>
      <c r="D833" t="inlineStr"/>
      <c r="E833" t="inlineStr"/>
      <c r="F833">
        <f>U835+Skills!O2</f>
        <v/>
      </c>
      <c r="G833">
        <f>Skills!G2*IF(Skills!H2&gt;0,Skills!I2/Skills!H2,1)</f>
        <v/>
      </c>
      <c r="H833">
        <f>1-(1-Skills!J2/100)^Skills!K2</f>
        <v/>
      </c>
      <c r="I833" t="inlineStr">
        <is>
          <t>1</t>
        </is>
      </c>
      <c r="J833">
        <f>((Inputs!$B$5+1)*(1+Inputs!$B$6/100))*(F833/100)</f>
        <v/>
      </c>
      <c r="K833">
        <f>J833*(1+((Inputs!$B$11*(1+Inputs!$B$12/100))*0.01+Inputs!$B$13*0.0025)/100)*(1+Inputs!$B$14/100)*(1+IF(Inputs!$B$4="pvp",0,(1-Summary!$B$55)*(Inputs!$B$19+0+Skills!P2)+Summary!$B$55*(Inputs!$B$20+Skills!Q2))/100)*(1+Inputs!$B$15/100)*(5000/(6000+Inputs!$B$7*(1-(Inputs!$B$18+0)/100)))*(1+(Inputs!$B$23+0+B864)/100)*(1+(IF(Skills!A2="BLAST",Inputs!$B$16+((C852=TRUE)*(F852-Calc!F21)),Inputs!$B$17+((C854=TRUE)*(F854-Calc!F23))))/100)*((1+(((C844=TRUE)*F844*MIN(1,Skills!T13*(Skills!J13/100)*B862))+((C849=TRUE)*F849*IF(AND(Inputs!$B$4&lt;&gt;"pvp",Inputs!$B$35&gt;0),(((S849-1)*(Skills!T18*(1+Inputs!$B$33/100))+MIN((Skills!T18*(1+Inputs!$B$33/100)),MAX(0,Inputs!$B$35-((S849-1)*Skills!D18))))/Inputs!$B$35),IF(Inputs!$B$4="pvp",MIN((Skills!T18*(1+Inputs!$B$33/100)),15)/15,(Skills!T18*(1+Inputs!$B$33/100))/Skills!D18)))+0)/100)*I833)</f>
        <v/>
      </c>
      <c r="L833">
        <f>K833*(MIN(Inputs!$B$21+((C853=TRUE)*(F853-Calc!F22)),Inputs!$B$22+((C855=TRUE)*(F855-Calc!F24)))/100+(Inputs!$B$22+((C855=TRUE)*(F855-Calc!F24)))/100)/2</f>
        <v/>
      </c>
      <c r="M833">
        <f>L833*(1+(Inputs!$B$9+0+B863)/100)</f>
        <v/>
      </c>
      <c r="N833">
        <f>L833*(1-MIN((Inputs!$B$8+0+B858),100)/100)+M833*(MIN((Inputs!$B$8+0+B858),100)/100)</f>
        <v/>
      </c>
      <c r="O833">
        <f>IF(C833,Skills!G2*N833*B862*IF(Inputs!$B$4="pvp",1,(1-Summary!$B$55)*(1)+Summary!$B$55*(MIN((6+Inputs!$B$32),Inputs!$B$37))),0)</f>
        <v/>
      </c>
      <c r="P833">
        <f>IF(B866=0,0,O833/B866)</f>
        <v/>
      </c>
      <c r="Q833" t="n">
        <v>0</v>
      </c>
      <c r="R833" t="n">
        <v>0</v>
      </c>
      <c r="S833">
        <f>IFERROR(O833/N833,0)</f>
        <v/>
      </c>
      <c r="U833">
        <f>MAX(0,(Inputs!$B$3-100)*3)+Inputs!$B$27+Inputs!$B$28</f>
        <v/>
      </c>
    </row>
    <row r="834">
      <c r="A834">
        <f>Skills!A3</f>
        <v/>
      </c>
      <c r="B834">
        <f>Skills!B3</f>
        <v/>
      </c>
      <c r="C834">
        <f>Inputs!$B$3&gt;=50</f>
        <v/>
      </c>
      <c r="D834">
        <f>IF(Skills!C3=1,60+Inputs!$B$24+Inputs!$B$28,IF(Skills!C3=2,90+Inputs!$B$25+Inputs!$B$28,IF(Skills!C3=3,120+Inputs!$B$26+Inputs!$B$28,MAX(0,(Inputs!$B$3-100)*3)+Inputs!$B$27+Inputs!$B$28)))</f>
        <v/>
      </c>
      <c r="E834">
        <f>INDEX(FactorTable!$B$2:$Y$301, MATCH(ROUND(MIN(300,MAX(1,D834)),0), FactorTable!$A$2:$A$301,0), Skills!M3+1)</f>
        <v/>
      </c>
      <c r="F834">
        <f>IF(Skills!N3=TRUE,(Skills!L3/10)*(E834/1000),Skills!L3/10)+Skills!O3</f>
        <v/>
      </c>
      <c r="G834" t="inlineStr"/>
      <c r="H834" t="inlineStr"/>
      <c r="I834" t="inlineStr">
        <is>
          <t>1</t>
        </is>
      </c>
      <c r="J834" t="inlineStr"/>
      <c r="K834" t="inlineStr"/>
      <c r="L834" t="inlineStr"/>
      <c r="M834" t="inlineStr"/>
      <c r="N834" t="inlineStr"/>
      <c r="O834" t="inlineStr"/>
      <c r="P834" t="inlineStr"/>
      <c r="Q834" t="inlineStr"/>
      <c r="R834" t="inlineStr"/>
      <c r="S834" t="inlineStr"/>
      <c r="U834">
        <f>INDEX(FactorTable!$B$2:$Y$301, MATCH(ROUND(MIN(300,MAX(1,U833)),0), FactorTable!$A$2:$A$301,0), 22)</f>
        <v/>
      </c>
    </row>
    <row r="835">
      <c r="A835">
        <f>Skills!A4</f>
        <v/>
      </c>
      <c r="B835">
        <f>Skills!B4</f>
        <v/>
      </c>
      <c r="C835">
        <f>Inputs!$B$3&gt;=35</f>
        <v/>
      </c>
      <c r="D835">
        <f>IF(Skills!C4=1,60+Inputs!$B$24+Inputs!$B$28,IF(Skills!C4=2,90+Inputs!$B$25+Inputs!$B$28,IF(Skills!C4=3,120+Inputs!$B$26+Inputs!$B$28,MAX(0,(Inputs!$B$3-100)*3)+Inputs!$B$27+Inputs!$B$28)))</f>
        <v/>
      </c>
      <c r="E835">
        <f>INDEX(FactorTable!$B$2:$Y$301, MATCH(ROUND(MIN(300,MAX(1,D835)),0), FactorTable!$A$2:$A$301,0), Skills!M4+1)</f>
        <v/>
      </c>
      <c r="F835">
        <f>IF(Skills!N4=TRUE,(Skills!L4/10)*(E835/1000),Skills!L4/10)+Skills!O4</f>
        <v/>
      </c>
      <c r="G835">
        <f>Skills!G4*IF(Skills!H4&gt;0,Skills!I4/Skills!H4,1)</f>
        <v/>
      </c>
      <c r="H835">
        <f>1-(1-Skills!J4/100)^Skills!K4</f>
        <v/>
      </c>
      <c r="I835" t="inlineStr">
        <is>
          <t>1</t>
        </is>
      </c>
      <c r="J835">
        <f>((Inputs!$B$5+1)*(1+Inputs!$B$6/100))*(F835/100)</f>
        <v/>
      </c>
      <c r="K835">
        <f>J835*(1+((Inputs!$B$11*(1+Inputs!$B$12/100))*0.01+Inputs!$B$13*0.0025)/100)*(1+Inputs!$B$14/100)*(1+IF(Inputs!$B$4="pvp",0,(1-Summary!$B$55)*(Inputs!$B$19+0+Skills!P4)+Summary!$B$55*(Inputs!$B$20+Skills!Q4))/100)*(1+Inputs!$B$15/100)*(5000/(6000+Inputs!$B$7*(1-(Inputs!$B$18+0)/100)))*(1+(Inputs!$B$23+0+B864)/100)*(1+4.0*IF(C843=TRUE,F843,0)/100)*(1+(IF(Skills!A4="BLAST",Inputs!$B$16+((C852=TRUE)*(F852-Calc!F21)),Inputs!$B$17+((C854=TRUE)*(F854-Calc!F23))))/100)*((1+(((C844=TRUE)*F844*MIN(1,Skills!T13*(Skills!J13/100)*B862))+((C849=TRUE)*F849*IF(AND(Inputs!$B$4&lt;&gt;"pvp",Inputs!$B$35&gt;0),(((S849-1)*(Skills!T18*(1+Inputs!$B$33/100))+MIN((Skills!T18*(1+Inputs!$B$33/100)),MAX(0,Inputs!$B$35-((S849-1)*Skills!D18))))/Inputs!$B$35),IF(Inputs!$B$4="pvp",MIN((Skills!T18*(1+Inputs!$B$33/100)),15)/15,(Skills!T18*(1+Inputs!$B$33/100))/Skills!D18)))+0)/100)*I835)</f>
        <v/>
      </c>
      <c r="L835">
        <f>K835*(MIN(Inputs!$B$21+((C853=TRUE)*(F853-Calc!F22)),Inputs!$B$22+((C855=TRUE)*(F855-Calc!F24)))/100+(Inputs!$B$22+((C855=TRUE)*(F855-Calc!F24)))/100)/2</f>
        <v/>
      </c>
      <c r="M835">
        <f>L835*(1+(Inputs!$B$9+0+B863)/100)</f>
        <v/>
      </c>
      <c r="N835">
        <f>L835*(1-MIN((Inputs!$B$8+0+B858),100)/100)+M835*(MIN((Inputs!$B$8+0+B858),100)/100)</f>
        <v/>
      </c>
      <c r="O835">
        <f>IF(C835,H835*N835*IF(AND(Inputs!$B$4&lt;&gt;"pvp",Inputs!$B$35&gt;0),((Skills!G4*((R835-1)*IF(Skills!H4&gt;0,Skills!I4/Skills!H4,1)+IF(Skills!H4&gt;0,MIN(Skills!I4,MAX(0,Inputs!$B$35-((R835-1)*IF(Inputs!$B$4="pvp",15,MAX(0.1,Skills!D4-IF(Skills!E4=TRUE,Inputs!$B$31,0))))))/Skills!H4,1)))/Inputs!$B$35),G835*Q835)*IF(Inputs!$B$4="pvp",1,(1-Summary!$B$55)*(1)+Summary!$B$55*(MIN(Skills!R4,Inputs!$B$37))),0)</f>
        <v/>
      </c>
      <c r="P835">
        <f>IF(B866=0,0,O835/B866)</f>
        <v/>
      </c>
      <c r="Q835">
        <f>IFERROR(1/IF(Inputs!$B$4="pvp",15,MAX(0.1,Skills!D4-IF(Skills!E4=TRUE,Inputs!$B$31,0))),0)</f>
        <v/>
      </c>
      <c r="R835">
        <f>IF(AND(Inputs!$B$4&lt;&gt;"pvp",Inputs!$B$35&gt;0),(INT(Inputs!$B$35/IF(Inputs!$B$4="pvp",15,MAX(0.1,Skills!D4-IF(Skills!E4=TRUE,Inputs!$B$31,0))))+1),0)</f>
        <v/>
      </c>
      <c r="S835">
        <f>IFERROR(O835/N835,0)</f>
        <v/>
      </c>
      <c r="U835">
        <f>290*U834/1000</f>
        <v/>
      </c>
    </row>
    <row r="836">
      <c r="A836">
        <f>Skills!A5</f>
        <v/>
      </c>
      <c r="B836">
        <f>Skills!B5</f>
        <v/>
      </c>
      <c r="C836">
        <f>Inputs!$B$3&gt;=66</f>
        <v/>
      </c>
      <c r="D836">
        <f>IF(Skills!C5=1,60+Inputs!$B$24+Inputs!$B$28,IF(Skills!C5=2,90+Inputs!$B$25+Inputs!$B$28,IF(Skills!C5=3,120+Inputs!$B$26+Inputs!$B$28,MAX(0,(Inputs!$B$3-100)*3)+Inputs!$B$27+Inputs!$B$28)))</f>
        <v/>
      </c>
      <c r="E836">
        <f>INDEX(FactorTable!$B$2:$Y$301, MATCH(ROUND(MIN(300,MAX(1,D836)),0), FactorTable!$A$2:$A$301,0), Skills!M5+1)</f>
        <v/>
      </c>
      <c r="F836">
        <f>IF(Skills!N5=TRUE,(Skills!L5/10)*(E836/1000),Skills!L5/10)+Skills!O5</f>
        <v/>
      </c>
      <c r="G836">
        <f>Skills!G5*IF(Skills!H5&gt;0,Skills!I5/Skills!H5,1)</f>
        <v/>
      </c>
      <c r="H836">
        <f>1-(1-Skills!J5/100)^Skills!K5</f>
        <v/>
      </c>
      <c r="I836" t="inlineStr">
        <is>
          <t>1</t>
        </is>
      </c>
      <c r="J836">
        <f>((Inputs!$B$5+1)*(1+Inputs!$B$6/100))*(F836/100)</f>
        <v/>
      </c>
      <c r="K836">
        <f>J836*(1+((Inputs!$B$11*(1+Inputs!$B$12/100))*0.01+Inputs!$B$13*0.0025)/100)*(1+Inputs!$B$14/100)*(1+IF(Inputs!$B$4="pvp",0,(1-Summary!$B$55)*(Inputs!$B$19+0+Skills!P5)+Summary!$B$55*(Inputs!$B$20+Skills!Q5))/100)*(1+Inputs!$B$15/100)*(5000/(6000+Inputs!$B$7*(1-(Inputs!$B$18+0)/100)))*(1+(Inputs!$B$23+0+B864)/100)*(1+1.0*IF(C843=TRUE,F843,0)/100)*(1+(IF(Skills!A5="BLAST",Inputs!$B$16+((C852=TRUE)*(F852-Calc!F21)),Inputs!$B$17+((C854=TRUE)*(F854-Calc!F23))))/100)*((1+(((C844=TRUE)*F844*MIN(1,Skills!T13*(Skills!J13/100)*B862))+((C849=TRUE)*F849*IF(AND(Inputs!$B$4&lt;&gt;"pvp",Inputs!$B$35&gt;0),(((S849-1)*(Skills!T18*(1+Inputs!$B$33/100))+MIN((Skills!T18*(1+Inputs!$B$33/100)),MAX(0,Inputs!$B$35-((S849-1)*Skills!D18))))/Inputs!$B$35),IF(Inputs!$B$4="pvp",MIN((Skills!T18*(1+Inputs!$B$33/100)),15)/15,(Skills!T18*(1+Inputs!$B$33/100))/Skills!D18)))+0)/100)*I836)</f>
        <v/>
      </c>
      <c r="L836">
        <f>K836*(MIN(Inputs!$B$21+((C853=TRUE)*(F853-Calc!F22)),Inputs!$B$22+((C855=TRUE)*(F855-Calc!F24)))/100+(Inputs!$B$22+((C855=TRUE)*(F855-Calc!F24)))/100)/2</f>
        <v/>
      </c>
      <c r="M836">
        <f>L836*(1+(Inputs!$B$9+0+B863)/100)</f>
        <v/>
      </c>
      <c r="N836">
        <f>L836*(1-MIN((Inputs!$B$8+0+B858),100)/100)+M836*(MIN((Inputs!$B$8+0+B858),100)/100)</f>
        <v/>
      </c>
      <c r="O836">
        <f>IF(C836,H836*N836*IF(AND(Inputs!$B$4&lt;&gt;"pvp",Inputs!$B$35&gt;0),((Skills!G5*((R836-1)*IF(Skills!H5&gt;0,Skills!I5/Skills!H5,1)+IF(Skills!H5&gt;0,MIN(Skills!I5,MAX(0,Inputs!$B$35-((R836-1)*IF(Inputs!$B$4="pvp",15,MAX(0.1,Skills!D5-IF(Skills!E5=TRUE,Inputs!$B$31,0))))))/Skills!H5,1)))/Inputs!$B$35),G836*Q836)*IF(Inputs!$B$4="pvp",1,(1-Summary!$B$55)*(1)+Summary!$B$55*(MIN(Skills!R5,Inputs!$B$37))),0)</f>
        <v/>
      </c>
      <c r="P836">
        <f>IF(B866=0,0,O836/B866)</f>
        <v/>
      </c>
      <c r="Q836">
        <f>IFERROR(1/IF(Inputs!$B$4="pvp",15,MAX(0.1,Skills!D5-IF(Skills!E5=TRUE,Inputs!$B$31,0))),0)</f>
        <v/>
      </c>
      <c r="R836">
        <f>IF(AND(Inputs!$B$4&lt;&gt;"pvp",Inputs!$B$35&gt;0),(INT(Inputs!$B$35/IF(Inputs!$B$4="pvp",15,MAX(0.1,Skills!D5-IF(Skills!E5=TRUE,Inputs!$B$31,0))))+1),0)</f>
        <v/>
      </c>
      <c r="S836">
        <f>IFERROR(O836/N836,0)</f>
        <v/>
      </c>
    </row>
    <row r="837">
      <c r="A837">
        <f>Skills!A6</f>
        <v/>
      </c>
      <c r="B837">
        <f>Skills!B6</f>
        <v/>
      </c>
      <c r="C837">
        <f>Inputs!$B$3&gt;=103</f>
        <v/>
      </c>
      <c r="D837">
        <f>IF(Skills!C6=1,60+Inputs!$B$24+Inputs!$B$28,IF(Skills!C6=2,90+Inputs!$B$25+Inputs!$B$28,IF(Skills!C6=3,120+Inputs!$B$26+Inputs!$B$28,MAX(0,(Inputs!$B$3-100)*3)+Inputs!$B$27+Inputs!$B$28)))</f>
        <v/>
      </c>
      <c r="E837">
        <f>INDEX(FactorTable!$B$2:$Y$301, MATCH(ROUND(MIN(300,MAX(1,D837)),0), FactorTable!$A$2:$A$301,0), Skills!M6+1)</f>
        <v/>
      </c>
      <c r="F837">
        <f>IF(Skills!N6=TRUE,(Skills!L6/10)*(E837/1000),Skills!L6/10)+Skills!O6</f>
        <v/>
      </c>
      <c r="G837">
        <f>Skills!G6*IF(Skills!H6&gt;0,Skills!I6/Skills!H6,1)</f>
        <v/>
      </c>
      <c r="H837">
        <f>1-(1-Skills!J6/100)^Skills!K6</f>
        <v/>
      </c>
      <c r="I837" t="inlineStr">
        <is>
          <t>1</t>
        </is>
      </c>
      <c r="J837">
        <f>((Inputs!$B$5+1)*(1+Inputs!$B$6/100))*(F837/100)</f>
        <v/>
      </c>
      <c r="K837">
        <f>J837*(1+((Inputs!$B$11*(1+Inputs!$B$12/100))*0.01+Inputs!$B$13*0.0025)/100)*(1+Inputs!$B$14/100)*(1+IF(Inputs!$B$4="pvp",0,(1-Summary!$B$55)*(Inputs!$B$19+0+Skills!P6)+Summary!$B$55*(Inputs!$B$20+Skills!Q6))/100)*(1+Inputs!$B$15/100)*(5000/(6000+Inputs!$B$7*(1-(Inputs!$B$18+0)/100)))*(1+(Inputs!$B$23+0+B864)/100)*(1+(IF(Skills!A6="BLAST",Inputs!$B$16+((C852=TRUE)*(F852-Calc!F21)),Inputs!$B$17+((C854=TRUE)*(F854-Calc!F23))))/100)*((1+(((C844=TRUE)*F844*MIN(1,Skills!T13*(Skills!J13/100)*B862))+((C849=TRUE)*F849*IF(AND(Inputs!$B$4&lt;&gt;"pvp",Inputs!$B$35&gt;0),(((S849-1)*(Skills!T18*(1+Inputs!$B$33/100))+MIN((Skills!T18*(1+Inputs!$B$33/100)),MAX(0,Inputs!$B$35-((S849-1)*Skills!D18))))/Inputs!$B$35),IF(Inputs!$B$4="pvp",MIN((Skills!T18*(1+Inputs!$B$33/100)),15)/15,(Skills!T18*(1+Inputs!$B$33/100))/Skills!D18)))+0)/100)*I837)</f>
        <v/>
      </c>
      <c r="L837">
        <f>K837*(MIN(Inputs!$B$21+((C853=TRUE)*(F853-Calc!F22)),Inputs!$B$22+((C855=TRUE)*(F855-Calc!F24)))/100+(Inputs!$B$22+((C855=TRUE)*(F855-Calc!F24)))/100)/2</f>
        <v/>
      </c>
      <c r="M837">
        <f>L837*(1+(Inputs!$B$9+0+B863)/100)</f>
        <v/>
      </c>
      <c r="N837">
        <f>L837*(1-MIN((Inputs!$B$8+0+B858),100)/100)+M837*(MIN((Inputs!$B$8+0+B858),100)/100)</f>
        <v/>
      </c>
      <c r="O837">
        <f>IF(C837,H837*N837*IF(AND(Inputs!$B$4&lt;&gt;"pvp",Inputs!$B$35&gt;0),((Skills!G6*((R837-1)*IF(Skills!H6&gt;0,Skills!I6/Skills!H6,1)+IF(Skills!H6&gt;0,MIN(Skills!I6,MAX(0,Inputs!$B$35-((R837-1)*IF(Inputs!$B$4="pvp",15,MAX(0.1,Skills!D6-IF(Skills!E6=TRUE,Inputs!$B$31,0))))))/Skills!H6,1)))/Inputs!$B$35),G837*Q837)*IF(Inputs!$B$4="pvp",1,(1-Summary!$B$55)*(1)+Summary!$B$55*(MIN(Skills!R6,Inputs!$B$37))),0)</f>
        <v/>
      </c>
      <c r="P837">
        <f>IF(B866=0,0,O837/B866)</f>
        <v/>
      </c>
      <c r="Q837">
        <f>IFERROR(1/IF(Inputs!$B$4="pvp",15,MAX(0.1,Skills!D6-IF(Skills!E6=TRUE,Inputs!$B$31,0))),0)</f>
        <v/>
      </c>
      <c r="R837">
        <f>IF(AND(Inputs!$B$4&lt;&gt;"pvp",Inputs!$B$35&gt;0),(INT(Inputs!$B$35/IF(Inputs!$B$4="pvp",15,MAX(0.1,Skills!D6-IF(Skills!E6=TRUE,Inputs!$B$31,0))))+1),0)</f>
        <v/>
      </c>
      <c r="S837">
        <f>IFERROR(O837/N837,0)</f>
        <v/>
      </c>
    </row>
    <row r="838">
      <c r="A838">
        <f>Skills!A7</f>
        <v/>
      </c>
      <c r="B838">
        <f>Skills!B7</f>
        <v/>
      </c>
      <c r="C838">
        <f>Inputs!$B$3&gt;=107</f>
        <v/>
      </c>
      <c r="D838">
        <f>IF(Skills!C7=1,60+Inputs!$B$24+Inputs!$B$28,IF(Skills!C7=2,90+Inputs!$B$25+Inputs!$B$28,IF(Skills!C7=3,120+Inputs!$B$26+Inputs!$B$28,MAX(0,(Inputs!$B$3-100)*3)+Inputs!$B$27+Inputs!$B$28)))</f>
        <v/>
      </c>
      <c r="E838">
        <f>INDEX(FactorTable!$B$2:$Y$301, MATCH(ROUND(MIN(300,MAX(1,D838)),0), FactorTable!$A$2:$A$301,0), Skills!M7+1)</f>
        <v/>
      </c>
      <c r="F838">
        <f>IF(Skills!N7=TRUE,(Skills!L7/10)*(E838/1000),Skills!L7/10)+Skills!O7</f>
        <v/>
      </c>
      <c r="G838">
        <f>Skills!G7*IF(Skills!H7&gt;0,Skills!I7/Skills!H7,1)</f>
        <v/>
      </c>
      <c r="H838">
        <f>1-(1-Skills!J7/100)^Skills!K7</f>
        <v/>
      </c>
      <c r="I838" t="inlineStr">
        <is>
          <t>1</t>
        </is>
      </c>
      <c r="J838">
        <f>((Inputs!$B$5+1)*(1+Inputs!$B$6/100))*(F838/100)</f>
        <v/>
      </c>
      <c r="K838">
        <f>J838*(1+((Inputs!$B$11*(1+Inputs!$B$12/100))*0.01+Inputs!$B$13*0.0025)/100)*(1+Inputs!$B$14/100)*(1+IF(Inputs!$B$4="pvp",0,(1-Summary!$B$55)*(Inputs!$B$19+0+Skills!P7)+Summary!$B$55*(Inputs!$B$20+Skills!Q7))/100)*(1+Inputs!$B$15/100)*(5000/(6000+Inputs!$B$7*(1-(Inputs!$B$18+0)/100)))*(1+(Inputs!$B$23+0+B864)/100)*(1+(IF(Skills!A7="BLAST",Inputs!$B$16+((C852=TRUE)*(F852-Calc!F21)),Inputs!$B$17+((C854=TRUE)*(F854-Calc!F23))))/100)*((1+(((C844=TRUE)*F844*MIN(1,Skills!T13*(Skills!J13/100)*B862))+((C849=TRUE)*F849*IF(AND(Inputs!$B$4&lt;&gt;"pvp",Inputs!$B$35&gt;0),(((S849-1)*(Skills!T18*(1+Inputs!$B$33/100))+MIN((Skills!T18*(1+Inputs!$B$33/100)),MAX(0,Inputs!$B$35-((S849-1)*Skills!D18))))/Inputs!$B$35),IF(Inputs!$B$4="pvp",MIN((Skills!T18*(1+Inputs!$B$33/100)),15)/15,(Skills!T18*(1+Inputs!$B$33/100))/Skills!D18)))+0)/100)*I838)</f>
        <v/>
      </c>
      <c r="L838">
        <f>K838*(MIN(Inputs!$B$21+((C853=TRUE)*(F853-Calc!F22)),Inputs!$B$22+((C855=TRUE)*(F855-Calc!F24)))/100+(Inputs!$B$22+((C855=TRUE)*(F855-Calc!F24)))/100)/2</f>
        <v/>
      </c>
      <c r="M838">
        <f>L838*(1+(Inputs!$B$9+0+B863)/100)</f>
        <v/>
      </c>
      <c r="N838">
        <f>L838*(1-MIN((Inputs!$B$8+0+B858),100)/100)+M838*(MIN((Inputs!$B$8+0+B858),100)/100)</f>
        <v/>
      </c>
      <c r="O838">
        <f>IF(C838,H838*N838*IF(AND(Inputs!$B$4&lt;&gt;"pvp",Inputs!$B$35&gt;0),((Skills!G7*((R838-1)*IF(Skills!H7&gt;0,Skills!I7/Skills!H7,1)+IF(Skills!H7&gt;0,MIN(Skills!I7,MAX(0,Inputs!$B$35-((R838-1)*IF(Inputs!$B$4="pvp",15,MAX(0.1,Skills!D7-IF(Skills!E7=TRUE,Inputs!$B$31,0))))))/Skills!H7,1)))/Inputs!$B$35),G838*Q838)*IF(Inputs!$B$4="pvp",1,(1-Summary!$B$55)*(1)+Summary!$B$55*(MIN(Skills!R7,Inputs!$B$37))),0)</f>
        <v/>
      </c>
      <c r="P838">
        <f>IF(B866=0,0,O838/B866)</f>
        <v/>
      </c>
      <c r="Q838">
        <f>IFERROR(1/IF(Inputs!$B$4="pvp",15,MAX(0.1,Skills!D7-IF(Skills!E7=TRUE,Inputs!$B$31,0))),0)</f>
        <v/>
      </c>
      <c r="R838">
        <f>IF(AND(Inputs!$B$4&lt;&gt;"pvp",Inputs!$B$35&gt;0),(INT(Inputs!$B$35/IF(Inputs!$B$4="pvp",15,MAX(0.1,Skills!D7-IF(Skills!E7=TRUE,Inputs!$B$31,0))))+1),0)</f>
        <v/>
      </c>
      <c r="S838">
        <f>IFERROR(O838/N838,0)</f>
        <v/>
      </c>
    </row>
    <row r="839">
      <c r="A839">
        <f>Skills!A8</f>
        <v/>
      </c>
      <c r="B839">
        <f>Skills!B8</f>
        <v/>
      </c>
      <c r="C839">
        <f>Inputs!$B$3&gt;=107</f>
        <v/>
      </c>
      <c r="D839">
        <f>IF(Skills!C8=1,60+Inputs!$B$24+Inputs!$B$28,IF(Skills!C8=2,90+Inputs!$B$25+Inputs!$B$28,IF(Skills!C8=3,120+Inputs!$B$26+Inputs!$B$28,MAX(0,(Inputs!$B$3-100)*3)+Inputs!$B$27+Inputs!$B$28)))</f>
        <v/>
      </c>
      <c r="E839">
        <f>INDEX(FactorTable!$B$2:$Y$301, MATCH(ROUND(MIN(300,MAX(1,D839)),0), FactorTable!$A$2:$A$301,0), Skills!M8+1)</f>
        <v/>
      </c>
      <c r="F839">
        <f>IF(Skills!N8=TRUE,(Skills!L8/10)*(E839/1000),Skills!L8/10)+Skills!O8</f>
        <v/>
      </c>
      <c r="G839">
        <f>Skills!G8*IF(Skills!H8&gt;0,Skills!I8/Skills!H8,1)</f>
        <v/>
      </c>
      <c r="H839">
        <f>1-(1-Skills!J8/100)^Skills!K8</f>
        <v/>
      </c>
      <c r="I839" t="inlineStr">
        <is>
          <t>1</t>
        </is>
      </c>
      <c r="J839">
        <f>((Inputs!$B$5+1)*(1+Inputs!$B$6/100))*(F839/100)</f>
        <v/>
      </c>
      <c r="K839">
        <f>J839*(1+((Inputs!$B$11*(1+Inputs!$B$12/100))*0.01+Inputs!$B$13*0.0025)/100)*(1+Inputs!$B$14/100)*(1+IF(Inputs!$B$4="pvp",0,(1-Summary!$B$55)*(Inputs!$B$19+0+Skills!P8)+Summary!$B$55*(Inputs!$B$20+Skills!Q8))/100)*(1+Inputs!$B$15/100)*(5000/(6000+Inputs!$B$7*(1-(Inputs!$B$18+0)/100)))*(1+(Inputs!$B$23+0+B864)/100)*(1+(IF(Skills!A8="BLAST",Inputs!$B$16+((C852=TRUE)*(F852-Calc!F21)),Inputs!$B$17+((C854=TRUE)*(F854-Calc!F23))))/100)*((1+(((C844=TRUE)*F844*MIN(1,Skills!T13*(Skills!J13/100)*B862))+((C849=TRUE)*F849*IF(AND(Inputs!$B$4&lt;&gt;"pvp",Inputs!$B$35&gt;0),(((S849-1)*(Skills!T18*(1+Inputs!$B$33/100))+MIN((Skills!T18*(1+Inputs!$B$33/100)),MAX(0,Inputs!$B$35-((S849-1)*Skills!D18))))/Inputs!$B$35),IF(Inputs!$B$4="pvp",MIN((Skills!T18*(1+Inputs!$B$33/100)),15)/15,(Skills!T18*(1+Inputs!$B$33/100))/Skills!D18)))+0)/100)*I839)</f>
        <v/>
      </c>
      <c r="L839">
        <f>K839*(MIN(Inputs!$B$21+((C853=TRUE)*(F853-Calc!F22)),Inputs!$B$22+((C855=TRUE)*(F855-Calc!F24)))/100+(Inputs!$B$22+((C855=TRUE)*(F855-Calc!F24)))/100)/2</f>
        <v/>
      </c>
      <c r="M839">
        <f>L839*(1+(Inputs!$B$9+0+B863)/100)</f>
        <v/>
      </c>
      <c r="N839">
        <f>L839*(1-MIN((Inputs!$B$8+0+B858),100)/100)+M839*(MIN((Inputs!$B$8+0+B858),100)/100)</f>
        <v/>
      </c>
      <c r="O839">
        <f>IF(C839,H839*N839*IF(AND(Inputs!$B$4&lt;&gt;"pvp",Inputs!$B$35&gt;0),((Skills!G8*((R839-1)*IF(Skills!H8&gt;0,Skills!I8/Skills!H8,1)+IF(Skills!H8&gt;0,MIN(Skills!I8,MAX(0,Inputs!$B$35-((R839-1)*IF(Inputs!$B$4="pvp",15,MAX(0.1,Skills!D8-IF(Skills!E8=TRUE,Inputs!$B$31,0))))))/Skills!H8,1)))/Inputs!$B$35),G839*Q839)*IF(Inputs!$B$4="pvp",1,(1-Summary!$B$55)*(1)+Summary!$B$55*(MIN(Skills!R8,Inputs!$B$37))),0)</f>
        <v/>
      </c>
      <c r="P839">
        <f>IF(B866=0,0,O839/B866)</f>
        <v/>
      </c>
      <c r="Q839">
        <f>IFERROR(1/IF(Inputs!$B$4="pvp",15,MAX(0.1,Skills!D8-IF(Skills!E8=TRUE,Inputs!$B$31,0))),0)</f>
        <v/>
      </c>
      <c r="R839">
        <f>IF(AND(Inputs!$B$4&lt;&gt;"pvp",Inputs!$B$35&gt;0),(INT(Inputs!$B$35/IF(Inputs!$B$4="pvp",15,MAX(0.1,Skills!D8-IF(Skills!E8=TRUE,Inputs!$B$31,0))))+1),0)</f>
        <v/>
      </c>
      <c r="S839">
        <f>IFERROR(O839/N839,0)</f>
        <v/>
      </c>
    </row>
    <row r="840">
      <c r="A840">
        <f>Skills!A9</f>
        <v/>
      </c>
      <c r="B840">
        <f>Skills!B9</f>
        <v/>
      </c>
      <c r="C840">
        <f>Inputs!$B$3&gt;=125</f>
        <v/>
      </c>
      <c r="D840">
        <f>IF(Skills!C9=1,60+Inputs!$B$24+Inputs!$B$28,IF(Skills!C9=2,90+Inputs!$B$25+Inputs!$B$28,IF(Skills!C9=3,120+Inputs!$B$26+Inputs!$B$28,MAX(0,(Inputs!$B$3-100)*3)+Inputs!$B$27+Inputs!$B$28)))</f>
        <v/>
      </c>
      <c r="E840">
        <f>INDEX(FactorTable!$B$2:$Y$301, MATCH(ROUND(MIN(300,MAX(1,D840)),0), FactorTable!$A$2:$A$301,0), Skills!M9+1)</f>
        <v/>
      </c>
      <c r="F840">
        <f>IF(Skills!N9=TRUE,(Skills!L9/10)*(E840/1000),Skills!L9/10)+Skills!O9</f>
        <v/>
      </c>
      <c r="G840">
        <f>Skills!G9*IF(Skills!H9&gt;0,Skills!I9/Skills!H9,1)</f>
        <v/>
      </c>
      <c r="H840">
        <f>1-(1-Skills!J9/100)^Skills!K9</f>
        <v/>
      </c>
      <c r="I840" t="inlineStr">
        <is>
          <t>1</t>
        </is>
      </c>
      <c r="J840">
        <f>((Inputs!$B$5+1)*(1+Inputs!$B$6/100))*(F840/100)</f>
        <v/>
      </c>
      <c r="K840">
        <f>J840*(1+((Inputs!$B$11*(1+Inputs!$B$12/100))*0.01+Inputs!$B$13*0.0025)/100)*(1+Inputs!$B$14/100)*(1+IF(Inputs!$B$4="pvp",0,(1-Summary!$B$55)*(Inputs!$B$19+0+Skills!P9)+Summary!$B$55*(Inputs!$B$20+Skills!Q9))/100)*(1+Inputs!$B$15/100)*(5000/(6000+Inputs!$B$7*(1-(Inputs!$B$18+0)/100)))*(1+(Inputs!$B$23+0+B864)/100)*(1+(IF(Skills!A9="BLAST",Inputs!$B$16+((C852=TRUE)*(F852-Calc!F21)),Inputs!$B$17+((C854=TRUE)*(F854-Calc!F23))))/100)*((1+(((C844=TRUE)*F844*MIN(1,Skills!T13*(Skills!J13/100)*B862))+((C849=TRUE)*F849*IF(AND(Inputs!$B$4&lt;&gt;"pvp",Inputs!$B$35&gt;0),(((S849-1)*(Skills!T18*(1+Inputs!$B$33/100))+MIN((Skills!T18*(1+Inputs!$B$33/100)),MAX(0,Inputs!$B$35-((S849-1)*Skills!D18))))/Inputs!$B$35),IF(Inputs!$B$4="pvp",MIN((Skills!T18*(1+Inputs!$B$33/100)),15)/15,(Skills!T18*(1+Inputs!$B$33/100))/Skills!D18)))+0)/100)*I840)</f>
        <v/>
      </c>
      <c r="L840">
        <f>K840*(MIN(Inputs!$B$21+((C853=TRUE)*(F853-Calc!F22)),Inputs!$B$22+((C855=TRUE)*(F855-Calc!F24)))/100+(Inputs!$B$22+((C855=TRUE)*(F855-Calc!F24)))/100)/2</f>
        <v/>
      </c>
      <c r="M840">
        <f>L840*(1+(Inputs!$B$9+0+B863)/100)</f>
        <v/>
      </c>
      <c r="N840">
        <f>L840*(1-MIN((Inputs!$B$8+0+B858),100)/100)+M840*(MIN((Inputs!$B$8+0+B858),100)/100)</f>
        <v/>
      </c>
      <c r="O840">
        <f>IF(C840,H840*N840*IF(AND(Inputs!$B$4&lt;&gt;"pvp",Inputs!$B$35&gt;0),((Skills!G9*((R840-1)*IF(Skills!H9&gt;0,Skills!I9/Skills!H9,1)+IF(Skills!H9&gt;0,MIN(Skills!I9,MAX(0,Inputs!$B$35-((R840-1)*IF(Inputs!$B$4="pvp",15,MAX(0.1,Skills!D9-IF(Skills!E9=TRUE,Inputs!$B$31,0))))))/Skills!H9,1)))/Inputs!$B$35),G840*Q840)*IF(Inputs!$B$4="pvp",1,(1-Summary!$B$55)*(1)+Summary!$B$55*(MIN(Skills!R9,Inputs!$B$37))),0)</f>
        <v/>
      </c>
      <c r="P840">
        <f>IF(B866=0,0,O840/B866)</f>
        <v/>
      </c>
      <c r="Q840">
        <f>IFERROR(1/IF(Inputs!$B$4="pvp",15,MAX(0.1,Skills!D9-IF(Skills!E9=TRUE,Inputs!$B$31,0))),0)</f>
        <v/>
      </c>
      <c r="R840">
        <f>IF(AND(Inputs!$B$4&lt;&gt;"pvp",Inputs!$B$35&gt;0),(INT(Inputs!$B$35/IF(Inputs!$B$4="pvp",15,MAX(0.1,Skills!D9-IF(Skills!E9=TRUE,Inputs!$B$31,0))))+1),0)</f>
        <v/>
      </c>
      <c r="S840">
        <f>IFERROR(O840/N840,0)</f>
        <v/>
      </c>
    </row>
    <row r="841">
      <c r="A841">
        <f>Skills!A10</f>
        <v/>
      </c>
      <c r="B841">
        <f>Skills!B10</f>
        <v/>
      </c>
      <c r="C841">
        <f>Inputs!$B$3&gt;=117</f>
        <v/>
      </c>
      <c r="D841">
        <f>IF(Skills!C10=1,60+Inputs!$B$24+Inputs!$B$28,IF(Skills!C10=2,90+Inputs!$B$25+Inputs!$B$28,IF(Skills!C10=3,120+Inputs!$B$26+Inputs!$B$28,MAX(0,(Inputs!$B$3-100)*3)+Inputs!$B$27+Inputs!$B$28)))</f>
        <v/>
      </c>
      <c r="E841">
        <f>INDEX(FactorTable!$B$2:$Y$301, MATCH(ROUND(MIN(300,MAX(1,D841)),0), FactorTable!$A$2:$A$301,0), Skills!M10+1)</f>
        <v/>
      </c>
      <c r="F841">
        <f>IF(Skills!N10=TRUE,(Skills!L10/10)*(E841/1000),Skills!L10/10)+Skills!O10</f>
        <v/>
      </c>
      <c r="G841">
        <f>Skills!G10*IF(Skills!H10&gt;0,Skills!I10/Skills!H10,1)</f>
        <v/>
      </c>
      <c r="H841">
        <f>1-(1-Skills!J10/100)^Skills!K10</f>
        <v/>
      </c>
      <c r="I841" t="inlineStr">
        <is>
          <t>1</t>
        </is>
      </c>
      <c r="J841">
        <f>((Inputs!$B$5+1)*(1+Inputs!$B$6/100))*(F841/100)</f>
        <v/>
      </c>
      <c r="K841">
        <f>J841*(1+((Inputs!$B$11*(1+Inputs!$B$12/100))*0.01+Inputs!$B$13*0.0025)/100)*(1+Inputs!$B$14/100)*(1+IF(Inputs!$B$4="pvp",0,(1-Summary!$B$55)*(Inputs!$B$19+0+Skills!P10)+Summary!$B$55*(Inputs!$B$20+Skills!Q10))/100)*(1+Inputs!$B$15/100)*(5000/(6000+Inputs!$B$7*(1-(Inputs!$B$18+0)/100)))*(1+(Inputs!$B$23+0+B864)/100)*(1+(IF(Skills!A10="BLAST",Inputs!$B$16+((C852=TRUE)*(F852-Calc!F21)),Inputs!$B$17+((C854=TRUE)*(F854-Calc!F23))))/100)*((1+(((C844=TRUE)*F844*MIN(1,Skills!T13*(Skills!J13/100)*B862))+((C849=TRUE)*F849*IF(AND(Inputs!$B$4&lt;&gt;"pvp",Inputs!$B$35&gt;0),(((S849-1)*(Skills!T18*(1+Inputs!$B$33/100))+MIN((Skills!T18*(1+Inputs!$B$33/100)),MAX(0,Inputs!$B$35-((S849-1)*Skills!D18))))/Inputs!$B$35),IF(Inputs!$B$4="pvp",MIN((Skills!T18*(1+Inputs!$B$33/100)),15)/15,(Skills!T18*(1+Inputs!$B$33/100))/Skills!D18)))+0)/100)*I841)</f>
        <v/>
      </c>
      <c r="L841">
        <f>K841*(MIN(Inputs!$B$21+((C853=TRUE)*(F853-Calc!F22)),Inputs!$B$22+((C855=TRUE)*(F855-Calc!F24)))/100+(Inputs!$B$22+((C855=TRUE)*(F855-Calc!F24)))/100)/2</f>
        <v/>
      </c>
      <c r="M841">
        <f>L841*(1+(Inputs!$B$9+0+B863)/100)</f>
        <v/>
      </c>
      <c r="N841">
        <f>L841*(1-MIN((Inputs!$B$8+0+B858),100)/100)+M841*(MIN((Inputs!$B$8+0+B858),100)/100)</f>
        <v/>
      </c>
      <c r="O841">
        <f>IF(C841,H841*N841*IF(AND(Inputs!$B$4&lt;&gt;"pvp",Inputs!$B$35&gt;0),((Skills!G10*((R841-1)*IF(Skills!H10&gt;0,Skills!I10/Skills!H10,1)+IF(Skills!H10&gt;0,MIN(Skills!I10,MAX(0,Inputs!$B$35-((R841-1)*IF(Inputs!$B$4="pvp",15,MAX(0.1,Skills!D10-IF(Skills!E10=TRUE,Inputs!$B$31,0))))))/Skills!H10,1)))/Inputs!$B$35),G841*Q841)*IF(Inputs!$B$4="pvp",1,(1-Summary!$B$55)*(1)+Summary!$B$55*(MIN(Skills!R10,Inputs!$B$37))),0)</f>
        <v/>
      </c>
      <c r="P841">
        <f>IF(B866=0,0,O841/B866)</f>
        <v/>
      </c>
      <c r="Q841">
        <f>IFERROR(1/IF(Inputs!$B$4="pvp",15,MAX(0.1,Skills!D10-IF(Skills!E10=TRUE,Inputs!$B$31,0))),0)</f>
        <v/>
      </c>
      <c r="R841">
        <f>IF(AND(Inputs!$B$4&lt;&gt;"pvp",Inputs!$B$35&gt;0),(INT(Inputs!$B$35/IF(Inputs!$B$4="pvp",15,MAX(0.1,Skills!D10-IF(Skills!E10=TRUE,Inputs!$B$31,0))))+1),0)</f>
        <v/>
      </c>
      <c r="S841">
        <f>IFERROR(O841/N841,0)</f>
        <v/>
      </c>
    </row>
    <row r="842">
      <c r="A842">
        <f>Skills!A11</f>
        <v/>
      </c>
      <c r="B842">
        <f>Skills!B11</f>
        <v/>
      </c>
      <c r="C842">
        <f>Inputs!$B$3&gt;=63</f>
        <v/>
      </c>
      <c r="D842">
        <f>IF(Skills!C11=1,60+Inputs!$B$24+Inputs!$B$28,IF(Skills!C11=2,90+Inputs!$B$25+Inputs!$B$28,IF(Skills!C11=3,120+Inputs!$B$26+Inputs!$B$28,MAX(0,(Inputs!$B$3-100)*3)+Inputs!$B$27+Inputs!$B$28)))</f>
        <v/>
      </c>
      <c r="E842">
        <f>INDEX(FactorTable!$B$2:$Y$301, MATCH(ROUND(MIN(300,MAX(1,D842)),0), FactorTable!$A$2:$A$301,0), Skills!M11+1)</f>
        <v/>
      </c>
      <c r="F842">
        <f>IF(Skills!N11=TRUE,(Skills!L11/10)*(E842/1000),Skills!L11/10)+Skills!O11</f>
        <v/>
      </c>
      <c r="G842">
        <f>Skills!G11*IF(Skills!H11&gt;0,Skills!I11/Skills!H11,1)</f>
        <v/>
      </c>
      <c r="H842">
        <f>1-(1-Skills!J11/100)^Skills!K11</f>
        <v/>
      </c>
      <c r="I842" t="inlineStr">
        <is>
          <t>1</t>
        </is>
      </c>
      <c r="J842">
        <f>((Inputs!$B$5+1)*(1+Inputs!$B$6/100))*(F842/100)</f>
        <v/>
      </c>
      <c r="K842">
        <f>J842*(1+((Inputs!$B$11*(1+Inputs!$B$12/100))*0.01+Inputs!$B$13*0.0025)/100)*(1+Inputs!$B$14/100)*(1+IF(Inputs!$B$4="pvp",0,(1-Summary!$B$55)*(Inputs!$B$19+0+Skills!P11)+Summary!$B$55*(Inputs!$B$20+Skills!Q11))/100)*(1+Inputs!$B$15/100)*(5000/(6000+Inputs!$B$7*(1-(Inputs!$B$18+0)/100)))*(1+(Inputs!$B$23+0+B864)/100)*(1+1.5*IF(C843=TRUE,F843,0)/100)*(1+(IF(Skills!A11="BLAST",Inputs!$B$16+((C852=TRUE)*(F852-Calc!F21)),Inputs!$B$17+((C854=TRUE)*(F854-Calc!F23))))/100)*((1+(((C844=TRUE)*F844*MIN(1,Skills!T13*(Skills!J13/100)*B862))+((C849=TRUE)*F849*IF(AND(Inputs!$B$4&lt;&gt;"pvp",Inputs!$B$35&gt;0),(((S849-1)*(Skills!T18*(1+Inputs!$B$33/100))+MIN((Skills!T18*(1+Inputs!$B$33/100)),MAX(0,Inputs!$B$35-((S849-1)*Skills!D18))))/Inputs!$B$35),IF(Inputs!$B$4="pvp",MIN((Skills!T18*(1+Inputs!$B$33/100)),15)/15,(Skills!T18*(1+Inputs!$B$33/100))/Skills!D18)))+0)/100)*I842)</f>
        <v/>
      </c>
      <c r="L842">
        <f>K842*(MIN(Inputs!$B$21+((C853=TRUE)*(F853-Calc!F22)),Inputs!$B$22+((C855=TRUE)*(F855-Calc!F24)))/100+(Inputs!$B$22+((C855=TRUE)*(F855-Calc!F24)))/100)/2</f>
        <v/>
      </c>
      <c r="M842">
        <f>L842*(1+(Inputs!$B$9+0+B863)/100)</f>
        <v/>
      </c>
      <c r="N842">
        <f>L842*(1-MIN((Inputs!$B$8+0+B858),100)/100)+M842*(MIN((Inputs!$B$8+0+B858),100)/100)</f>
        <v/>
      </c>
      <c r="O842">
        <f>IF(C842,H842*N842*IF(AND(Inputs!$B$4&lt;&gt;"pvp",Inputs!$B$35&gt;0),((Skills!G11*((R842-1)*IF(Skills!H11&gt;0,Skills!I11/Skills!H11,1)+IF(Skills!H11&gt;0,MIN(Skills!I11,MAX(0,Inputs!$B$35-((R842-1)*IF(Inputs!$B$4="pvp",15,MAX(0.1,Skills!D11-IF(Skills!E11=TRUE,Inputs!$B$31,0))))))/Skills!H11,1)))/Inputs!$B$35),G842*Q842)*IF(Inputs!$B$4="pvp",1,(1-Summary!$B$55)*(1)+Summary!$B$55*(MIN(Skills!R11,Inputs!$B$37))),0)</f>
        <v/>
      </c>
      <c r="P842">
        <f>IF(B866=0,0,O842/B866)</f>
        <v/>
      </c>
      <c r="Q842">
        <f>IFERROR(1/IF(Inputs!$B$4="pvp",15,MAX(0.1,Skills!D11-IF(Skills!E11=TRUE,Inputs!$B$31,0))),0)</f>
        <v/>
      </c>
      <c r="R842">
        <f>IF(AND(Inputs!$B$4&lt;&gt;"pvp",Inputs!$B$35&gt;0),(INT(Inputs!$B$35/IF(Inputs!$B$4="pvp",15,MAX(0.1,Skills!D11-IF(Skills!E11=TRUE,Inputs!$B$31,0))))+1),0)</f>
        <v/>
      </c>
      <c r="S842">
        <f>IFERROR(O842/N842,0)</f>
        <v/>
      </c>
    </row>
    <row r="843">
      <c r="A843">
        <f>Skills!A12</f>
        <v/>
      </c>
      <c r="B843">
        <f>Skills!B12</f>
        <v/>
      </c>
      <c r="C843">
        <f>Inputs!$B$3&gt;=100</f>
        <v/>
      </c>
      <c r="D843">
        <f>IF(Skills!C12=1,60+Inputs!$B$24+Inputs!$B$28,IF(Skills!C12=2,90+Inputs!$B$25+Inputs!$B$28,IF(Skills!C12=3,120+Inputs!$B$26+Inputs!$B$28,MAX(0,(Inputs!$B$3-100)*3)+Inputs!$B$27+Inputs!$B$28)))</f>
        <v/>
      </c>
      <c r="E843">
        <f>INDEX(FactorTable!$B$2:$Y$301, MATCH(ROUND(MIN(300,MAX(1,D843)),0), FactorTable!$A$2:$A$301,0), Skills!M12+1)</f>
        <v/>
      </c>
      <c r="F843">
        <f>IF(Skills!N12=TRUE,(Skills!L12/10)*(E843/1000),Skills!L12/10)+Skills!O12</f>
        <v/>
      </c>
      <c r="G843" t="inlineStr"/>
      <c r="H843" t="inlineStr"/>
      <c r="I843" t="inlineStr">
        <is>
          <t>1</t>
        </is>
      </c>
      <c r="J843" t="inlineStr"/>
      <c r="K843" t="inlineStr"/>
      <c r="L843" t="inlineStr"/>
      <c r="M843" t="inlineStr"/>
      <c r="N843" t="inlineStr"/>
      <c r="O843" t="inlineStr"/>
      <c r="P843" t="inlineStr"/>
      <c r="Q843" t="inlineStr"/>
      <c r="R843" t="inlineStr"/>
      <c r="S843" t="inlineStr"/>
    </row>
    <row r="844">
      <c r="A844">
        <f>Skills!A13</f>
        <v/>
      </c>
      <c r="B844">
        <f>Skills!B13</f>
        <v/>
      </c>
      <c r="C844">
        <f>Inputs!$B$3&gt;=45</f>
        <v/>
      </c>
      <c r="D844">
        <f>IF(Skills!C13=1,60+Inputs!$B$24+Inputs!$B$28,IF(Skills!C13=2,90+Inputs!$B$25+Inputs!$B$28,IF(Skills!C13=3,120+Inputs!$B$26+Inputs!$B$28,MAX(0,(Inputs!$B$3-100)*3)+Inputs!$B$27+Inputs!$B$28)))</f>
        <v/>
      </c>
      <c r="E844">
        <f>INDEX(FactorTable!$B$2:$Y$301, MATCH(ROUND(MIN(300,MAX(1,D844)),0), FactorTable!$A$2:$A$301,0), Skills!M13+1)</f>
        <v/>
      </c>
      <c r="F844">
        <f>IF(Skills!N13=TRUE,(Skills!L13/10)*(E844/1000),Skills!L13/10)+Skills!O13</f>
        <v/>
      </c>
      <c r="G844">
        <f>Skills!G13*IF(Skills!H13&gt;0,Skills!I13/Skills!H13,1)</f>
        <v/>
      </c>
      <c r="H844">
        <f>1-(1-Skills!J13/100)^Skills!K13</f>
        <v/>
      </c>
      <c r="I844" t="inlineStr">
        <is>
          <t>1</t>
        </is>
      </c>
      <c r="J844" t="inlineStr"/>
      <c r="K844" t="inlineStr"/>
      <c r="L844" t="inlineStr"/>
      <c r="M844" t="inlineStr"/>
      <c r="N844" t="inlineStr"/>
      <c r="O844" t="n">
        <v>0</v>
      </c>
      <c r="P844">
        <f>IF(B866=0,0,O844/B866)</f>
        <v/>
      </c>
      <c r="Q844" t="n">
        <v>0</v>
      </c>
      <c r="R844" t="n">
        <v>0</v>
      </c>
      <c r="S844">
        <f>IFERROR(O844/N844,0)</f>
        <v/>
      </c>
    </row>
    <row r="845">
      <c r="A845">
        <f>Skills!A14</f>
        <v/>
      </c>
      <c r="B845">
        <f>Skills!B14</f>
        <v/>
      </c>
      <c r="C845">
        <f>Inputs!$B$3&gt;=110</f>
        <v/>
      </c>
      <c r="D845">
        <f>IF(Skills!C14=1,60+Inputs!$B$24+Inputs!$B$28,IF(Skills!C14=2,90+Inputs!$B$25+Inputs!$B$28,IF(Skills!C14=3,120+Inputs!$B$26+Inputs!$B$28,MAX(0,(Inputs!$B$3-100)*3)+Inputs!$B$27+Inputs!$B$28)))</f>
        <v/>
      </c>
      <c r="E845">
        <f>INDEX(FactorTable!$B$2:$Y$301, MATCH(ROUND(MIN(300,MAX(1,D845)),0), FactorTable!$A$2:$A$301,0), Skills!M14+1)</f>
        <v/>
      </c>
      <c r="F845">
        <f>IF(Skills!N14=TRUE,(Skills!L14/10)*(E845/1000),Skills!L14/10)+Skills!O14</f>
        <v/>
      </c>
      <c r="G845">
        <f>Skills!G14*IF(Skills!H14&gt;0,Skills!I14/Skills!H14,1)</f>
        <v/>
      </c>
      <c r="H845">
        <f>1-(1-Skills!J14/100)^Skills!K14</f>
        <v/>
      </c>
      <c r="I845" t="inlineStr">
        <is>
          <t>1</t>
        </is>
      </c>
      <c r="J845" t="inlineStr"/>
      <c r="K845" t="inlineStr"/>
      <c r="L845" t="inlineStr"/>
      <c r="M845" t="inlineStr"/>
      <c r="N845" t="inlineStr"/>
      <c r="O845" t="n">
        <v>0</v>
      </c>
      <c r="P845">
        <f>IF(B866=0,0,O845/B866)</f>
        <v/>
      </c>
      <c r="Q845" t="n">
        <v>0</v>
      </c>
      <c r="R845" t="n">
        <v>0</v>
      </c>
      <c r="S845">
        <f>IFERROR(O845/N845,0)</f>
        <v/>
      </c>
    </row>
    <row r="846">
      <c r="A846">
        <f>Skills!A15</f>
        <v/>
      </c>
      <c r="B846">
        <f>Skills!B15</f>
        <v/>
      </c>
      <c r="C846">
        <f>Inputs!$B$3&gt;=75</f>
        <v/>
      </c>
      <c r="D846">
        <f>IF(Skills!C15=1,60+Inputs!$B$24+Inputs!$B$28,IF(Skills!C15=2,90+Inputs!$B$25+Inputs!$B$28,IF(Skills!C15=3,120+Inputs!$B$26+Inputs!$B$28,MAX(0,(Inputs!$B$3-100)*3)+Inputs!$B$27+Inputs!$B$28)))</f>
        <v/>
      </c>
      <c r="E846">
        <f>INDEX(FactorTable!$B$2:$Y$301, MATCH(ROUND(MIN(300,MAX(1,D846)),0), FactorTable!$A$2:$A$301,0), Skills!M15+1)</f>
        <v/>
      </c>
      <c r="F846">
        <f>IF(Skills!N15=TRUE,(Skills!L15/10)*(E846/1000),Skills!L15/10)+Skills!O15</f>
        <v/>
      </c>
      <c r="G846">
        <f>Skills!G15*IF(Skills!H15&gt;0,Skills!I15/Skills!H15,1)</f>
        <v/>
      </c>
      <c r="H846">
        <f>1-(1-Skills!J15/100)^Skills!K15</f>
        <v/>
      </c>
      <c r="I846" t="inlineStr">
        <is>
          <t>1</t>
        </is>
      </c>
      <c r="J846" t="inlineStr"/>
      <c r="K846" t="inlineStr"/>
      <c r="L846" t="inlineStr"/>
      <c r="M846" t="inlineStr"/>
      <c r="N846" t="inlineStr"/>
      <c r="O846" t="n">
        <v>0</v>
      </c>
      <c r="P846">
        <f>IF(B866=0,0,O846/B866)</f>
        <v/>
      </c>
      <c r="Q846">
        <f>IFERROR(1/IF(Inputs!$B$4="pvp",15,MAX(0.1,Skills!D15-IF(Skills!E15=TRUE,Inputs!$B$31,0))),0)</f>
        <v/>
      </c>
      <c r="R846">
        <f>IF(AND(Inputs!$B$4&lt;&gt;"pvp",Inputs!$B$35&gt;0),(INT(Inputs!$B$35/IF(Inputs!$B$4="pvp",15,MAX(0.1,Skills!D15-IF(Skills!E15=TRUE,Inputs!$B$31,0))))+1),0)</f>
        <v/>
      </c>
      <c r="S846">
        <f>IFERROR(O846/N846,0)</f>
        <v/>
      </c>
    </row>
    <row r="847">
      <c r="A847">
        <f>Skills!A16</f>
        <v/>
      </c>
      <c r="B847">
        <f>Skills!B16</f>
        <v/>
      </c>
      <c r="C847">
        <f>Inputs!$B$3&gt;=105</f>
        <v/>
      </c>
      <c r="D847">
        <f>IF(Skills!C16=1,60+Inputs!$B$24+Inputs!$B$28,IF(Skills!C16=2,90+Inputs!$B$25+Inputs!$B$28,IF(Skills!C16=3,120+Inputs!$B$26+Inputs!$B$28,MAX(0,(Inputs!$B$3-100)*3)+Inputs!$B$27+Inputs!$B$28)))</f>
        <v/>
      </c>
      <c r="E847">
        <f>INDEX(FactorTable!$B$2:$Y$301, MATCH(ROUND(MIN(300,MAX(1,D847)),0), FactorTable!$A$2:$A$301,0), Skills!M16+1)</f>
        <v/>
      </c>
      <c r="F847">
        <f>IF(Skills!N16=TRUE,(Skills!L16/10)*(E847/1000),Skills!L16/10)+Skills!O16</f>
        <v/>
      </c>
      <c r="G847">
        <f>Skills!G16*IF(Skills!H16&gt;0,Skills!I16/Skills!H16,1)</f>
        <v/>
      </c>
      <c r="H847">
        <f>1-(1-Skills!J16/100)^Skills!K16</f>
        <v/>
      </c>
      <c r="I847" t="inlineStr">
        <is>
          <t>1</t>
        </is>
      </c>
      <c r="J847" t="inlineStr"/>
      <c r="K847" t="inlineStr"/>
      <c r="L847" t="inlineStr"/>
      <c r="M847" t="inlineStr"/>
      <c r="N847" t="inlineStr"/>
      <c r="O847" t="n">
        <v>0</v>
      </c>
      <c r="P847">
        <f>IF(B866=0,0,O847/B866)</f>
        <v/>
      </c>
      <c r="Q847">
        <f>IFERROR(1/IF(Inputs!$B$4="pvp",15,MAX(0.1,Skills!D16-IF(Skills!E16=TRUE,Inputs!$B$31,0))),0)</f>
        <v/>
      </c>
      <c r="R847">
        <f>IF(AND(Inputs!$B$4&lt;&gt;"pvp",Inputs!$B$35&gt;0),(INT(Inputs!$B$35/IF(Inputs!$B$4="pvp",15,MAX(0.1,Skills!D16-IF(Skills!E16=TRUE,Inputs!$B$31,0))))+1),0)</f>
        <v/>
      </c>
      <c r="S847">
        <f>IFERROR(O847/N847,0)</f>
        <v/>
      </c>
    </row>
    <row r="848">
      <c r="A848">
        <f>Skills!A17</f>
        <v/>
      </c>
      <c r="B848">
        <f>Skills!B17</f>
        <v/>
      </c>
      <c r="C848">
        <f>Inputs!$B$3&gt;=115</f>
        <v/>
      </c>
      <c r="D848">
        <f>IF(Skills!C17=1,60+Inputs!$B$24+Inputs!$B$28,IF(Skills!C17=2,90+Inputs!$B$25+Inputs!$B$28,IF(Skills!C17=3,120+Inputs!$B$26+Inputs!$B$28,MAX(0,(Inputs!$B$3-100)*3)+Inputs!$B$27+Inputs!$B$28)))</f>
        <v/>
      </c>
      <c r="E848">
        <f>INDEX(FactorTable!$B$2:$Y$301, MATCH(ROUND(MIN(300,MAX(1,D848)),0), FactorTable!$A$2:$A$301,0), Skills!M17+1)</f>
        <v/>
      </c>
      <c r="F848">
        <f>IF(Skills!N17=TRUE,(Skills!L17/10)*(E848/1000),Skills!L17/10)+Skills!O17</f>
        <v/>
      </c>
      <c r="G848">
        <f>Skills!G17*IF(Skills!H17&gt;0,Skills!I17/Skills!H17,1)</f>
        <v/>
      </c>
      <c r="H848">
        <f>1-(1-Skills!J17/100)^Skills!K17</f>
        <v/>
      </c>
      <c r="I848" t="inlineStr">
        <is>
          <t>1</t>
        </is>
      </c>
      <c r="J848" t="inlineStr"/>
      <c r="K848" t="inlineStr"/>
      <c r="L848" t="inlineStr"/>
      <c r="M848" t="inlineStr"/>
      <c r="N848" t="inlineStr"/>
      <c r="O848" t="n">
        <v>0</v>
      </c>
      <c r="P848">
        <f>IF(B866=0,0,O848/B866)</f>
        <v/>
      </c>
      <c r="Q848">
        <f>IFERROR(1/IF(Inputs!$B$4="pvp",15,MAX(0.1,Skills!D17-IF(Skills!E17=TRUE,Inputs!$B$31,0))),0)</f>
        <v/>
      </c>
      <c r="R848">
        <f>IF(AND(Inputs!$B$4&lt;&gt;"pvp",Inputs!$B$35&gt;0),(INT(Inputs!$B$35/IF(Inputs!$B$4="pvp",15,MAX(0.1,Skills!D17-IF(Skills!E17=TRUE,Inputs!$B$31,0))))+1),0)</f>
        <v/>
      </c>
      <c r="S848">
        <f>IFERROR(O848/N848,0)</f>
        <v/>
      </c>
    </row>
    <row r="849">
      <c r="A849">
        <f>Skills!A18</f>
        <v/>
      </c>
      <c r="B849">
        <f>Skills!B18</f>
        <v/>
      </c>
      <c r="C849">
        <f>Inputs!$B$3&gt;=74</f>
        <v/>
      </c>
      <c r="D849">
        <f>IF(Skills!C18=1,60+Inputs!$B$24+Inputs!$B$28,IF(Skills!C18=2,90+Inputs!$B$25+Inputs!$B$28,IF(Skills!C18=3,120+Inputs!$B$26+Inputs!$B$28,MAX(0,(Inputs!$B$3-100)*3)+Inputs!$B$27+Inputs!$B$28)))</f>
        <v/>
      </c>
      <c r="E849">
        <f>INDEX(FactorTable!$B$2:$Y$301, MATCH(ROUND(MIN(300,MAX(1,D849)),0), FactorTable!$A$2:$A$301,0), Skills!M18+1)</f>
        <v/>
      </c>
      <c r="F849">
        <f>IF(Skills!N18=TRUE,(Skills!L18/10)*(E849/1000),Skills!L18/10)+Skills!O18</f>
        <v/>
      </c>
      <c r="G849">
        <f>Skills!G18*IF(Skills!H18&gt;0,Skills!I18/Skills!H18,1)</f>
        <v/>
      </c>
      <c r="H849">
        <f>1-(1-Skills!J18/100)^Skills!K18</f>
        <v/>
      </c>
      <c r="I849" t="inlineStr">
        <is>
          <t>1</t>
        </is>
      </c>
      <c r="J849" t="inlineStr"/>
      <c r="K849" t="inlineStr"/>
      <c r="L849" t="inlineStr"/>
      <c r="M849" t="inlineStr"/>
      <c r="N849" t="inlineStr"/>
      <c r="O849" t="n">
        <v>0</v>
      </c>
      <c r="P849">
        <f>IF(B866=0,0,O849/B866)</f>
        <v/>
      </c>
      <c r="Q849">
        <f>IFERROR(1/IF(Inputs!$B$4="pvp",15,MAX(0.1,Skills!D18-IF(Skills!E18=TRUE,Inputs!$B$31,0))),0)</f>
        <v/>
      </c>
      <c r="R849">
        <f>IF(AND(Inputs!$B$4&lt;&gt;"pvp",Inputs!$B$35&gt;0),(INT(Inputs!$B$35/IF(Inputs!$B$4="pvp",15,MAX(0.1,Skills!D18-IF(Skills!E18=TRUE,Inputs!$B$31,0))))+1),0)</f>
        <v/>
      </c>
      <c r="S849">
        <f>IFERROR(O849/N849,0)</f>
        <v/>
      </c>
    </row>
    <row r="850">
      <c r="A850">
        <f>Skills!A19</f>
        <v/>
      </c>
      <c r="B850">
        <f>Skills!B19</f>
        <v/>
      </c>
      <c r="C850">
        <f>TRUE</f>
        <v/>
      </c>
      <c r="D850">
        <f>IF(Skills!C19=1,60+Inputs!$B$24+Inputs!$B$28,IF(Skills!C19=2,90+Inputs!$B$25+Inputs!$B$28,IF(Skills!C19=3,120+Inputs!$B$26+Inputs!$B$28,MAX(0,(Inputs!$B$3-100)*3)+Inputs!$B$27+Inputs!$B$28)))</f>
        <v/>
      </c>
      <c r="E850">
        <f>INDEX(FactorTable!$B$2:$Y$301, MATCH(ROUND(MIN(300,MAX(1,D850)),0), FactorTable!$A$2:$A$301,0), Skills!M19+1)</f>
        <v/>
      </c>
      <c r="F850">
        <f>IF(Skills!N19=TRUE,(Skills!L19/10)*(E850/1000),Skills!L19/10)+Skills!O19</f>
        <v/>
      </c>
      <c r="G850">
        <f>Skills!G19*IF(Skills!H19&gt;0,Skills!I19/Skills!H19,1)</f>
        <v/>
      </c>
      <c r="H850">
        <f>1-(1-Skills!J19/100)^Skills!K19</f>
        <v/>
      </c>
      <c r="I850" t="inlineStr">
        <is>
          <t>1</t>
        </is>
      </c>
      <c r="J850" t="inlineStr"/>
      <c r="K850" t="inlineStr"/>
      <c r="L850" t="inlineStr"/>
      <c r="M850" t="inlineStr"/>
      <c r="N850" t="inlineStr"/>
      <c r="O850" t="n">
        <v>0</v>
      </c>
      <c r="P850">
        <f>IF(B866=0,0,O850/B866)</f>
        <v/>
      </c>
      <c r="Q850">
        <f>IFERROR(1/IF(Inputs!$B$4="pvp",15,MAX(0.1,Skills!D19-IF(Skills!E19=TRUE,Inputs!$B$31,0))),0)</f>
        <v/>
      </c>
      <c r="R850">
        <f>IF(AND(Inputs!$B$4&lt;&gt;"pvp",Inputs!$B$35&gt;0),(INT(Inputs!$B$35/IF(Inputs!$B$4="pvp",15,MAX(0.1,Skills!D19-IF(Skills!E19=TRUE,Inputs!$B$31,0))))+1),0)</f>
        <v/>
      </c>
      <c r="S850">
        <f>IFERROR(O850/N850,0)</f>
        <v/>
      </c>
    </row>
    <row r="851">
      <c r="A851">
        <f>Skills!A20</f>
        <v/>
      </c>
      <c r="B851">
        <f>Skills!B20</f>
        <v/>
      </c>
      <c r="C851">
        <f>Inputs!$B$3&gt;=33</f>
        <v/>
      </c>
      <c r="D851">
        <f>IF(Skills!C20=1,60+Inputs!$B$24+Inputs!$B$28,IF(Skills!C20=2,90+Inputs!$B$25+Inputs!$B$28,IF(Skills!C20=3,120+Inputs!$B$26+Inputs!$B$28,MAX(0,(Inputs!$B$3-100)*3)+Inputs!$B$27+Inputs!$B$28)))</f>
        <v/>
      </c>
      <c r="E851">
        <f>INDEX(FactorTable!$B$2:$Y$301, MATCH(ROUND(MIN(300,MAX(1,D851)),0), FactorTable!$A$2:$A$301,0), Skills!M20+1)</f>
        <v/>
      </c>
      <c r="F851">
        <f>IF(Skills!N20=TRUE,(Skills!L20/10)*(E851/1000),Skills!L20/10)+Skills!O20</f>
        <v/>
      </c>
      <c r="G851">
        <f>Skills!G20*IF(Skills!H20&gt;0,Skills!I20/Skills!H20,1)</f>
        <v/>
      </c>
      <c r="H851">
        <f>1-(1-Skills!J20/100)^Skills!K20</f>
        <v/>
      </c>
      <c r="I851" t="inlineStr">
        <is>
          <t>1</t>
        </is>
      </c>
      <c r="J851" t="inlineStr"/>
      <c r="K851" t="inlineStr"/>
      <c r="L851" t="inlineStr"/>
      <c r="M851" t="inlineStr"/>
      <c r="N851" t="inlineStr"/>
      <c r="O851" t="n">
        <v>0</v>
      </c>
      <c r="P851">
        <f>IF(B866=0,0,O851/B866)</f>
        <v/>
      </c>
      <c r="Q851" t="n">
        <v>0</v>
      </c>
      <c r="R851" t="n">
        <v>0</v>
      </c>
      <c r="S851">
        <f>IFERROR(O851/N851,0)</f>
        <v/>
      </c>
    </row>
    <row r="852">
      <c r="A852">
        <f>Skills!A21</f>
        <v/>
      </c>
      <c r="B852">
        <f>Skills!B21</f>
        <v/>
      </c>
      <c r="C852">
        <f>Inputs!$B$3&gt;=38</f>
        <v/>
      </c>
      <c r="D852">
        <f>IF(Skills!C21=1,60+Inputs!$B$24+Inputs!$B$28,IF(Skills!C21=2,90+Inputs!$B$25+Inputs!$B$28,IF(Skills!C21=3,120+Inputs!$B$26+Inputs!$B$28,MAX(0,(Inputs!$B$3-100)*3)+Inputs!$B$27+Inputs!$B$28)))</f>
        <v/>
      </c>
      <c r="E852">
        <f>INDEX(FactorTable!$B$2:$Y$301, MATCH(ROUND(MIN(300,MAX(1,D852)),0), FactorTable!$A$2:$A$301,0), Skills!M21+1)</f>
        <v/>
      </c>
      <c r="F852">
        <f>IF(Skills!N21=TRUE,(Skills!L21/10)*(E852/1000),Skills!L21/10)+Skills!O21</f>
        <v/>
      </c>
      <c r="G852">
        <f>Skills!G21*IF(Skills!H21&gt;0,Skills!I21/Skills!H21,1)</f>
        <v/>
      </c>
      <c r="H852">
        <f>1-(1-Skills!J21/100)^Skills!K21</f>
        <v/>
      </c>
      <c r="I852" t="inlineStr">
        <is>
          <t>1</t>
        </is>
      </c>
      <c r="J852" t="inlineStr"/>
      <c r="K852" t="inlineStr"/>
      <c r="L852" t="inlineStr"/>
      <c r="M852" t="inlineStr"/>
      <c r="N852" t="inlineStr"/>
      <c r="O852" t="n">
        <v>0</v>
      </c>
      <c r="P852">
        <f>IF(B866=0,0,O852/B866)</f>
        <v/>
      </c>
      <c r="Q852" t="n">
        <v>0</v>
      </c>
      <c r="R852" t="n">
        <v>0</v>
      </c>
      <c r="S852">
        <f>IFERROR(O852/N852,0)</f>
        <v/>
      </c>
    </row>
    <row r="853">
      <c r="A853">
        <f>Skills!A22</f>
        <v/>
      </c>
      <c r="B853">
        <f>Skills!B22</f>
        <v/>
      </c>
      <c r="C853">
        <f>Inputs!$B$3&gt;=43</f>
        <v/>
      </c>
      <c r="D853">
        <f>IF(Skills!C22=1,60+Inputs!$B$24+Inputs!$B$28,IF(Skills!C22=2,90+Inputs!$B$25+Inputs!$B$28,IF(Skills!C22=3,120+Inputs!$B$26+Inputs!$B$28,MAX(0,(Inputs!$B$3-100)*3)+Inputs!$B$27+Inputs!$B$28)))</f>
        <v/>
      </c>
      <c r="E853">
        <f>INDEX(FactorTable!$B$2:$Y$301, MATCH(ROUND(MIN(300,MAX(1,D853)),0), FactorTable!$A$2:$A$301,0), Skills!M22+1)</f>
        <v/>
      </c>
      <c r="F853">
        <f>IF(Skills!N22=TRUE,(Skills!L22/10)*(E853/1000),Skills!L22/10)+Skills!O22</f>
        <v/>
      </c>
      <c r="G853">
        <f>Skills!G22*IF(Skills!H22&gt;0,Skills!I22/Skills!H22,1)</f>
        <v/>
      </c>
      <c r="H853">
        <f>1-(1-Skills!J22/100)^Skills!K22</f>
        <v/>
      </c>
      <c r="I853" t="inlineStr">
        <is>
          <t>1</t>
        </is>
      </c>
      <c r="J853" t="inlineStr"/>
      <c r="K853" t="inlineStr"/>
      <c r="L853" t="inlineStr"/>
      <c r="M853" t="inlineStr"/>
      <c r="N853" t="inlineStr"/>
      <c r="O853" t="n">
        <v>0</v>
      </c>
      <c r="P853">
        <f>IF(B866=0,0,O853/B866)</f>
        <v/>
      </c>
      <c r="Q853" t="n">
        <v>0</v>
      </c>
      <c r="R853" t="n">
        <v>0</v>
      </c>
      <c r="S853">
        <f>IFERROR(O853/N853,0)</f>
        <v/>
      </c>
    </row>
    <row r="854">
      <c r="A854">
        <f>Skills!A23</f>
        <v/>
      </c>
      <c r="B854">
        <f>Skills!B23</f>
        <v/>
      </c>
      <c r="C854">
        <f>Inputs!$B$3&gt;=120</f>
        <v/>
      </c>
      <c r="D854">
        <f>IF(Skills!C23=1,60+Inputs!$B$24+Inputs!$B$28,IF(Skills!C23=2,90+Inputs!$B$25+Inputs!$B$28,IF(Skills!C23=3,120+Inputs!$B$26+Inputs!$B$28,MAX(0,(Inputs!$B$3-100)*3)+Inputs!$B$27+Inputs!$B$28)))</f>
        <v/>
      </c>
      <c r="E854">
        <f>INDEX(FactorTable!$B$2:$Y$301, MATCH(ROUND(MIN(300,MAX(1,D854)),0), FactorTable!$A$2:$A$301,0), Skills!M23+1)</f>
        <v/>
      </c>
      <c r="F854">
        <f>IF(Skills!N23=TRUE,(Skills!L23/10)*(E854/1000),Skills!L23/10)+Skills!O23</f>
        <v/>
      </c>
      <c r="G854">
        <f>Skills!G23*IF(Skills!H23&gt;0,Skills!I23/Skills!H23,1)</f>
        <v/>
      </c>
      <c r="H854">
        <f>1-(1-Skills!J23/100)^Skills!K23</f>
        <v/>
      </c>
      <c r="I854" t="inlineStr">
        <is>
          <t>1</t>
        </is>
      </c>
      <c r="J854" t="inlineStr"/>
      <c r="K854" t="inlineStr"/>
      <c r="L854" t="inlineStr"/>
      <c r="M854" t="inlineStr"/>
      <c r="N854" t="inlineStr"/>
      <c r="O854" t="n">
        <v>0</v>
      </c>
      <c r="P854">
        <f>IF(B866=0,0,O854/B866)</f>
        <v/>
      </c>
      <c r="Q854" t="n">
        <v>0</v>
      </c>
      <c r="R854" t="n">
        <v>0</v>
      </c>
      <c r="S854">
        <f>IFERROR(O854/N854,0)</f>
        <v/>
      </c>
    </row>
    <row r="855">
      <c r="A855">
        <f>Skills!A24</f>
        <v/>
      </c>
      <c r="B855">
        <f>Skills!B24</f>
        <v/>
      </c>
      <c r="C855">
        <f>Inputs!$B$3&gt;=120</f>
        <v/>
      </c>
      <c r="D855">
        <f>IF(Skills!C24=1,60+Inputs!$B$24+Inputs!$B$28,IF(Skills!C24=2,90+Inputs!$B$25+Inputs!$B$28,IF(Skills!C24=3,120+Inputs!$B$26+Inputs!$B$28,MAX(0,(Inputs!$B$3-100)*3)+Inputs!$B$27+Inputs!$B$28)))</f>
        <v/>
      </c>
      <c r="E855">
        <f>INDEX(FactorTable!$B$2:$Y$301, MATCH(ROUND(MIN(300,MAX(1,D855)),0), FactorTable!$A$2:$A$301,0), Skills!M24+1)</f>
        <v/>
      </c>
      <c r="F855">
        <f>IF(Skills!N24=TRUE,(Skills!L24/10)*(E855/1000),Skills!L24/10)+Skills!O24</f>
        <v/>
      </c>
      <c r="G855">
        <f>Skills!G24*IF(Skills!H24&gt;0,Skills!I24/Skills!H24,1)</f>
        <v/>
      </c>
      <c r="H855">
        <f>1-(1-Skills!J24/100)^Skills!K24</f>
        <v/>
      </c>
      <c r="I855" t="inlineStr">
        <is>
          <t>1</t>
        </is>
      </c>
      <c r="J855" t="inlineStr"/>
      <c r="K855" t="inlineStr"/>
      <c r="L855" t="inlineStr"/>
      <c r="M855" t="inlineStr"/>
      <c r="N855" t="inlineStr"/>
      <c r="O855" t="n">
        <v>0</v>
      </c>
      <c r="P855">
        <f>IF(B866=0,0,O855/B866)</f>
        <v/>
      </c>
      <c r="Q855" t="n">
        <v>0</v>
      </c>
      <c r="R855" t="n">
        <v>0</v>
      </c>
      <c r="S855">
        <f>IFERROR(O855/N855,0)</f>
        <v/>
      </c>
    </row>
    <row r="857">
      <c r="A857" t="inlineStr">
        <is>
          <t>Attack% Bucket Multiplier</t>
        </is>
      </c>
      <c r="B857">
        <f>(1+(((C844=TRUE)*F844*MIN(1,Skills!T13*(Skills!J13/100)*B862))+((C849=TRUE)*F849*IF(AND(Inputs!$B$4&lt;&gt;"pvp",Inputs!$B$35&gt;0),(((S849-1)*(Skills!T18*(1+Inputs!$B$33/100))+MIN((Skills!T18*(1+Inputs!$B$33/100)),MAX(0,Inputs!$B$35-((S849-1)*Skills!D18))))/Inputs!$B$35),IF(Inputs!$B$4="pvp",MIN((Skills!T18*(1+Inputs!$B$33/100)),15)/15,(Skills!T18*(1+Inputs!$B$33/100))/Skills!D18)))+0)/100)</f>
        <v/>
      </c>
    </row>
    <row r="858">
      <c r="A858" t="inlineStr">
        <is>
          <t>Global Crit Rate Bonus %</t>
        </is>
      </c>
      <c r="B858" t="n">
        <v>0</v>
      </c>
    </row>
    <row r="859">
      <c r="A859" t="inlineStr">
        <is>
          <t>Attack Speed Buff Bonus %</t>
        </is>
      </c>
      <c r="B859">
        <f>((C850=TRUE)*F850*IF(AND(Inputs!$B$4&lt;&gt;"pvp",Inputs!$B$35&gt;0),(((S850-1)*(Skills!T19*(1+Inputs!$B$33/100))+MIN((Skills!T19*(1+Inputs!$B$33/100)),MAX(0,Inputs!$B$35-((S850-1)*Skills!D19))))/Inputs!$B$35),IF(Inputs!$B$4="pvp",MIN((Skills!T19*(1+Inputs!$B$33/100)),15)/15,(Skills!T19*(1+Inputs!$B$33/100))/Skills!D19)))</f>
        <v/>
      </c>
    </row>
    <row r="860">
      <c r="A860" t="inlineStr">
        <is>
          <t>Actions Per Second</t>
        </is>
      </c>
      <c r="B860">
        <f>1+MIN(150,150*(1-(1-(Inputs!$B$10+((C851=TRUE)*(F851-Calc!F20)))/150)*(1-B859/150)))/100</f>
        <v/>
      </c>
    </row>
    <row r="861">
      <c r="A861" t="inlineStr">
        <is>
          <t>Skill + Buff Cast Rate</t>
        </is>
      </c>
      <c r="B861">
        <f>IF(AND(Inputs!$B$4&lt;&gt;"pvp",Inputs!$B$35&gt;0),SUMPRODUCT((Skills!E2:E24=TRUE)*(C833:C855=TRUE)*R833:R855*Skills!F2:F24)/Inputs!$B$35,SUMPRODUCT((Skills!E2:E24=TRUE)*(C833:C855=TRUE)*Q833:Q855*Skills!F2:F24))</f>
        <v/>
      </c>
    </row>
    <row r="862">
      <c r="A862" t="inlineStr">
        <is>
          <t>Blast Casts Per Second</t>
        </is>
      </c>
      <c r="B862">
        <f>MAX(0,B860-B861)</f>
        <v/>
      </c>
    </row>
    <row r="863">
      <c r="A863" t="inlineStr">
        <is>
          <t>Global Critical Damage Bonus % (unused)</t>
        </is>
      </c>
      <c r="B863" t="n">
        <v>0</v>
      </c>
    </row>
    <row r="864">
      <c r="A864" t="inlineStr">
        <is>
          <t>Global Final Damage Bonus % (Divine Shield + Guardian + Divine Blessing + Greater Vessel of Light)</t>
        </is>
      </c>
      <c r="B864">
        <f>((C846=TRUE)*F846*IF(AND(Inputs!$B$4&lt;&gt;"pvp",Inputs!$B$35&gt;0),(((S846-1)*(Skills!T15*(1+Inputs!$B$33/100))+MIN((Skills!T15*(1+Inputs!$B$33/100)),MAX(0,Inputs!$B$35-((S846-1)*Skills!D15))))/Inputs!$B$35),IF(Inputs!$B$4="pvp",MIN((Skills!T15*(1+Inputs!$B$33/100)),15)/15,(Skills!T15*(1+Inputs!$B$33/100))/Skills!D15)))+((C847=TRUE)*F847*IF(AND(Inputs!$B$4&lt;&gt;"pvp",Inputs!$B$35&gt;0),(((S847-1)*(Skills!T16*(1+Inputs!$B$33/100))+MIN((Skills!T16*(1+Inputs!$B$33/100)),MAX(0,Inputs!$B$35-((S847-1)*Skills!D16))))/Inputs!$B$35),IF(Inputs!$B$4="pvp",MIN((Skills!T16*(1+Inputs!$B$33/100)),15)/15,(Skills!T16*(1+Inputs!$B$33/100))/Skills!D16)))+((C848=TRUE)*F848*IF(AND(Inputs!$B$4&lt;&gt;"pvp",Inputs!$B$35&gt;0),(((S848-1)*(Skills!T17*(1+Inputs!$B$33/100))+MIN((Skills!T17*(1+Inputs!$B$33/100)),MAX(0,Inputs!$B$35-((S848-1)*Skills!D17))))/Inputs!$B$35),IF(Inputs!$B$4="pvp",MIN((Skills!T17*(1+Inputs!$B$33/100)),15)/15,(Skills!T17*(1+Inputs!$B$33/100))/Skills!D17)))+((C845=TRUE)*F845*MIN(1,Skills!T13*(Skills!J13/100)*B862))</f>
        <v/>
      </c>
    </row>
    <row r="866">
      <c r="A866" s="5" t="inlineStr">
        <is>
          <t>TOTAL DPS</t>
        </is>
      </c>
      <c r="B866" s="5">
        <f>SUM(O833:O855)</f>
        <v/>
      </c>
    </row>
    <row r="869">
      <c r="A869" s="5" t="inlineStr">
        <is>
          <t>Stat: ATTACK %</t>
        </is>
      </c>
    </row>
    <row r="870">
      <c r="A870" s="8" t="inlineStr">
        <is>
          <t>Key</t>
        </is>
      </c>
      <c r="B870" s="8" t="inlineStr">
        <is>
          <t>Name</t>
        </is>
      </c>
      <c r="C870" s="8" t="inlineStr">
        <is>
          <t>Unlocked</t>
        </is>
      </c>
      <c r="D870" s="8" t="inlineStr">
        <is>
          <t>InputLevel</t>
        </is>
      </c>
      <c r="E870" s="8" t="inlineStr">
        <is>
          <t>Factor</t>
        </is>
      </c>
      <c r="F870" s="8" t="inlineStr">
        <is>
          <t>CoefficientPercent</t>
        </is>
      </c>
      <c r="G870" s="8" t="inlineStr">
        <is>
          <t>EffectiveHits</t>
        </is>
      </c>
      <c r="H870" s="8" t="inlineStr">
        <is>
          <t>ProcProbability</t>
        </is>
      </c>
      <c r="I870" s="8" t="inlineStr">
        <is>
          <t>MapleHeroMultiplier</t>
        </is>
      </c>
      <c r="J870" s="8" t="inlineStr">
        <is>
          <t>BaseDamage</t>
        </is>
      </c>
      <c r="K870" s="8" t="inlineStr">
        <is>
          <t>BaseHitDamage</t>
        </is>
      </c>
      <c r="L870" s="8" t="inlineStr">
        <is>
          <t>NonCritAvg</t>
        </is>
      </c>
      <c r="M870" s="8" t="inlineStr">
        <is>
          <t>CritAvg</t>
        </is>
      </c>
      <c r="N870" s="8" t="inlineStr">
        <is>
          <t>ExpectedDamage(perHit)</t>
        </is>
      </c>
      <c r="O870" s="8" t="inlineStr">
        <is>
          <t>DPS</t>
        </is>
      </c>
      <c r="P870" s="8" t="inlineStr">
        <is>
          <t>% of Total</t>
        </is>
      </c>
      <c r="Q870" s="8" t="inlineStr">
        <is>
          <t>InvCooldown</t>
        </is>
      </c>
      <c r="R870" s="8" t="inlineStr">
        <is>
          <t>CastsInFight</t>
        </is>
      </c>
      <c r="S870" s="8" t="inlineStr">
        <is>
          <t>HitRate(perSec)</t>
        </is>
      </c>
      <c r="U870" t="inlineStr">
        <is>
          <t>helpers</t>
        </is>
      </c>
    </row>
    <row r="871">
      <c r="A871">
        <f>Skills!A2</f>
        <v/>
      </c>
      <c r="B871">
        <f>Skills!B2</f>
        <v/>
      </c>
      <c r="C871">
        <f>Inputs!$B$3&gt;=100</f>
        <v/>
      </c>
      <c r="D871" t="inlineStr"/>
      <c r="E871" t="inlineStr"/>
      <c r="F871">
        <f>U873+Skills!O2</f>
        <v/>
      </c>
      <c r="G871">
        <f>Skills!G2*IF(Skills!H2&gt;0,Skills!I2/Skills!H2,1)</f>
        <v/>
      </c>
      <c r="H871">
        <f>1-(1-Skills!J2/100)^Skills!K2</f>
        <v/>
      </c>
      <c r="I871" t="inlineStr">
        <is>
          <t>1</t>
        </is>
      </c>
      <c r="J871">
        <f>(Inputs!$B$5*(1+(Inputs!$B$6+1)/100))*(F871/100)</f>
        <v/>
      </c>
      <c r="K871">
        <f>J871*(1+((Inputs!$B$11*(1+Inputs!$B$12/100))*0.01+Inputs!$B$13*0.0025)/100)*(1+Inputs!$B$14/100)*(1+IF(Inputs!$B$4="pvp",0,(1-Summary!$B$55)*(Inputs!$B$19+0+Skills!P2)+Summary!$B$55*(Inputs!$B$20+Skills!Q2))/100)*(1+Inputs!$B$15/100)*(5000/(6000+Inputs!$B$7*(1-(Inputs!$B$18+0)/100)))*(1+(Inputs!$B$23+0+B902)/100)*(1+(IF(Skills!A2="BLAST",Inputs!$B$16+((C890=TRUE)*(F890-Calc!F21)),Inputs!$B$17+((C892=TRUE)*(F892-Calc!F23))))/100)*((1+(((C882=TRUE)*F882*MIN(1,Skills!T13*(Skills!J13/100)*B900))+((C887=TRUE)*F887*IF(AND(Inputs!$B$4&lt;&gt;"pvp",Inputs!$B$35&gt;0),(((S887-1)*(Skills!T18*(1+Inputs!$B$33/100))+MIN((Skills!T18*(1+Inputs!$B$33/100)),MAX(0,Inputs!$B$35-((S887-1)*Skills!D18))))/Inputs!$B$35),IF(Inputs!$B$4="pvp",MIN((Skills!T18*(1+Inputs!$B$33/100)),15)/15,(Skills!T18*(1+Inputs!$B$33/100))/Skills!D18)))+0)/100)*I871)</f>
        <v/>
      </c>
      <c r="L871">
        <f>K871*(MIN(Inputs!$B$21+((C891=TRUE)*(F891-Calc!F22)),Inputs!$B$22+((C893=TRUE)*(F893-Calc!F24)))/100+(Inputs!$B$22+((C893=TRUE)*(F893-Calc!F24)))/100)/2</f>
        <v/>
      </c>
      <c r="M871">
        <f>L871*(1+(Inputs!$B$9+0+B901)/100)</f>
        <v/>
      </c>
      <c r="N871">
        <f>L871*(1-MIN((Inputs!$B$8+0+B896),100)/100)+M871*(MIN((Inputs!$B$8+0+B896),100)/100)</f>
        <v/>
      </c>
      <c r="O871">
        <f>IF(C871,Skills!G2*N871*B900*IF(Inputs!$B$4="pvp",1,(1-Summary!$B$55)*(1)+Summary!$B$55*(MIN((6+Inputs!$B$32),Inputs!$B$37))),0)</f>
        <v/>
      </c>
      <c r="P871">
        <f>IF(B904=0,0,O871/B904)</f>
        <v/>
      </c>
      <c r="Q871" t="n">
        <v>0</v>
      </c>
      <c r="R871" t="n">
        <v>0</v>
      </c>
      <c r="S871">
        <f>IFERROR(O871/N871,0)</f>
        <v/>
      </c>
      <c r="U871">
        <f>MAX(0,(Inputs!$B$3-100)*3)+Inputs!$B$27+Inputs!$B$28</f>
        <v/>
      </c>
    </row>
    <row r="872">
      <c r="A872">
        <f>Skills!A3</f>
        <v/>
      </c>
      <c r="B872">
        <f>Skills!B3</f>
        <v/>
      </c>
      <c r="C872">
        <f>Inputs!$B$3&gt;=50</f>
        <v/>
      </c>
      <c r="D872">
        <f>IF(Skills!C3=1,60+Inputs!$B$24+Inputs!$B$28,IF(Skills!C3=2,90+Inputs!$B$25+Inputs!$B$28,IF(Skills!C3=3,120+Inputs!$B$26+Inputs!$B$28,MAX(0,(Inputs!$B$3-100)*3)+Inputs!$B$27+Inputs!$B$28)))</f>
        <v/>
      </c>
      <c r="E872">
        <f>INDEX(FactorTable!$B$2:$Y$301, MATCH(ROUND(MIN(300,MAX(1,D872)),0), FactorTable!$A$2:$A$301,0), Skills!M3+1)</f>
        <v/>
      </c>
      <c r="F872">
        <f>IF(Skills!N3=TRUE,(Skills!L3/10)*(E872/1000),Skills!L3/10)+Skills!O3</f>
        <v/>
      </c>
      <c r="G872" t="inlineStr"/>
      <c r="H872" t="inlineStr"/>
      <c r="I872" t="inlineStr">
        <is>
          <t>1</t>
        </is>
      </c>
      <c r="J872" t="inlineStr"/>
      <c r="K872" t="inlineStr"/>
      <c r="L872" t="inlineStr"/>
      <c r="M872" t="inlineStr"/>
      <c r="N872" t="inlineStr"/>
      <c r="O872" t="inlineStr"/>
      <c r="P872" t="inlineStr"/>
      <c r="Q872" t="inlineStr"/>
      <c r="R872" t="inlineStr"/>
      <c r="S872" t="inlineStr"/>
      <c r="U872">
        <f>INDEX(FactorTable!$B$2:$Y$301, MATCH(ROUND(MIN(300,MAX(1,U871)),0), FactorTable!$A$2:$A$301,0), 22)</f>
        <v/>
      </c>
    </row>
    <row r="873">
      <c r="A873">
        <f>Skills!A4</f>
        <v/>
      </c>
      <c r="B873">
        <f>Skills!B4</f>
        <v/>
      </c>
      <c r="C873">
        <f>Inputs!$B$3&gt;=35</f>
        <v/>
      </c>
      <c r="D873">
        <f>IF(Skills!C4=1,60+Inputs!$B$24+Inputs!$B$28,IF(Skills!C4=2,90+Inputs!$B$25+Inputs!$B$28,IF(Skills!C4=3,120+Inputs!$B$26+Inputs!$B$28,MAX(0,(Inputs!$B$3-100)*3)+Inputs!$B$27+Inputs!$B$28)))</f>
        <v/>
      </c>
      <c r="E873">
        <f>INDEX(FactorTable!$B$2:$Y$301, MATCH(ROUND(MIN(300,MAX(1,D873)),0), FactorTable!$A$2:$A$301,0), Skills!M4+1)</f>
        <v/>
      </c>
      <c r="F873">
        <f>IF(Skills!N4=TRUE,(Skills!L4/10)*(E873/1000),Skills!L4/10)+Skills!O4</f>
        <v/>
      </c>
      <c r="G873">
        <f>Skills!G4*IF(Skills!H4&gt;0,Skills!I4/Skills!H4,1)</f>
        <v/>
      </c>
      <c r="H873">
        <f>1-(1-Skills!J4/100)^Skills!K4</f>
        <v/>
      </c>
      <c r="I873" t="inlineStr">
        <is>
          <t>1</t>
        </is>
      </c>
      <c r="J873">
        <f>(Inputs!$B$5*(1+(Inputs!$B$6+1)/100))*(F873/100)</f>
        <v/>
      </c>
      <c r="K873">
        <f>J873*(1+((Inputs!$B$11*(1+Inputs!$B$12/100))*0.01+Inputs!$B$13*0.0025)/100)*(1+Inputs!$B$14/100)*(1+IF(Inputs!$B$4="pvp",0,(1-Summary!$B$55)*(Inputs!$B$19+0+Skills!P4)+Summary!$B$55*(Inputs!$B$20+Skills!Q4))/100)*(1+Inputs!$B$15/100)*(5000/(6000+Inputs!$B$7*(1-(Inputs!$B$18+0)/100)))*(1+(Inputs!$B$23+0+B902)/100)*(1+4.0*IF(C881=TRUE,F881,0)/100)*(1+(IF(Skills!A4="BLAST",Inputs!$B$16+((C890=TRUE)*(F890-Calc!F21)),Inputs!$B$17+((C892=TRUE)*(F892-Calc!F23))))/100)*((1+(((C882=TRUE)*F882*MIN(1,Skills!T13*(Skills!J13/100)*B900))+((C887=TRUE)*F887*IF(AND(Inputs!$B$4&lt;&gt;"pvp",Inputs!$B$35&gt;0),(((S887-1)*(Skills!T18*(1+Inputs!$B$33/100))+MIN((Skills!T18*(1+Inputs!$B$33/100)),MAX(0,Inputs!$B$35-((S887-1)*Skills!D18))))/Inputs!$B$35),IF(Inputs!$B$4="pvp",MIN((Skills!T18*(1+Inputs!$B$33/100)),15)/15,(Skills!T18*(1+Inputs!$B$33/100))/Skills!D18)))+0)/100)*I873)</f>
        <v/>
      </c>
      <c r="L873">
        <f>K873*(MIN(Inputs!$B$21+((C891=TRUE)*(F891-Calc!F22)),Inputs!$B$22+((C893=TRUE)*(F893-Calc!F24)))/100+(Inputs!$B$22+((C893=TRUE)*(F893-Calc!F24)))/100)/2</f>
        <v/>
      </c>
      <c r="M873">
        <f>L873*(1+(Inputs!$B$9+0+B901)/100)</f>
        <v/>
      </c>
      <c r="N873">
        <f>L873*(1-MIN((Inputs!$B$8+0+B896),100)/100)+M873*(MIN((Inputs!$B$8+0+B896),100)/100)</f>
        <v/>
      </c>
      <c r="O873">
        <f>IF(C873,H873*N873*IF(AND(Inputs!$B$4&lt;&gt;"pvp",Inputs!$B$35&gt;0),((Skills!G4*((R873-1)*IF(Skills!H4&gt;0,Skills!I4/Skills!H4,1)+IF(Skills!H4&gt;0,MIN(Skills!I4,MAX(0,Inputs!$B$35-((R873-1)*IF(Inputs!$B$4="pvp",15,MAX(0.1,Skills!D4-IF(Skills!E4=TRUE,Inputs!$B$31,0))))))/Skills!H4,1)))/Inputs!$B$35),G873*Q873)*IF(Inputs!$B$4="pvp",1,(1-Summary!$B$55)*(1)+Summary!$B$55*(MIN(Skills!R4,Inputs!$B$37))),0)</f>
        <v/>
      </c>
      <c r="P873">
        <f>IF(B904=0,0,O873/B904)</f>
        <v/>
      </c>
      <c r="Q873">
        <f>IFERROR(1/IF(Inputs!$B$4="pvp",15,MAX(0.1,Skills!D4-IF(Skills!E4=TRUE,Inputs!$B$31,0))),0)</f>
        <v/>
      </c>
      <c r="R873">
        <f>IF(AND(Inputs!$B$4&lt;&gt;"pvp",Inputs!$B$35&gt;0),(INT(Inputs!$B$35/IF(Inputs!$B$4="pvp",15,MAX(0.1,Skills!D4-IF(Skills!E4=TRUE,Inputs!$B$31,0))))+1),0)</f>
        <v/>
      </c>
      <c r="S873">
        <f>IFERROR(O873/N873,0)</f>
        <v/>
      </c>
      <c r="U873">
        <f>290*U872/1000</f>
        <v/>
      </c>
    </row>
    <row r="874">
      <c r="A874">
        <f>Skills!A5</f>
        <v/>
      </c>
      <c r="B874">
        <f>Skills!B5</f>
        <v/>
      </c>
      <c r="C874">
        <f>Inputs!$B$3&gt;=66</f>
        <v/>
      </c>
      <c r="D874">
        <f>IF(Skills!C5=1,60+Inputs!$B$24+Inputs!$B$28,IF(Skills!C5=2,90+Inputs!$B$25+Inputs!$B$28,IF(Skills!C5=3,120+Inputs!$B$26+Inputs!$B$28,MAX(0,(Inputs!$B$3-100)*3)+Inputs!$B$27+Inputs!$B$28)))</f>
        <v/>
      </c>
      <c r="E874">
        <f>INDEX(FactorTable!$B$2:$Y$301, MATCH(ROUND(MIN(300,MAX(1,D874)),0), FactorTable!$A$2:$A$301,0), Skills!M5+1)</f>
        <v/>
      </c>
      <c r="F874">
        <f>IF(Skills!N5=TRUE,(Skills!L5/10)*(E874/1000),Skills!L5/10)+Skills!O5</f>
        <v/>
      </c>
      <c r="G874">
        <f>Skills!G5*IF(Skills!H5&gt;0,Skills!I5/Skills!H5,1)</f>
        <v/>
      </c>
      <c r="H874">
        <f>1-(1-Skills!J5/100)^Skills!K5</f>
        <v/>
      </c>
      <c r="I874" t="inlineStr">
        <is>
          <t>1</t>
        </is>
      </c>
      <c r="J874">
        <f>(Inputs!$B$5*(1+(Inputs!$B$6+1)/100))*(F874/100)</f>
        <v/>
      </c>
      <c r="K874">
        <f>J874*(1+((Inputs!$B$11*(1+Inputs!$B$12/100))*0.01+Inputs!$B$13*0.0025)/100)*(1+Inputs!$B$14/100)*(1+IF(Inputs!$B$4="pvp",0,(1-Summary!$B$55)*(Inputs!$B$19+0+Skills!P5)+Summary!$B$55*(Inputs!$B$20+Skills!Q5))/100)*(1+Inputs!$B$15/100)*(5000/(6000+Inputs!$B$7*(1-(Inputs!$B$18+0)/100)))*(1+(Inputs!$B$23+0+B902)/100)*(1+1.0*IF(C881=TRUE,F881,0)/100)*(1+(IF(Skills!A5="BLAST",Inputs!$B$16+((C890=TRUE)*(F890-Calc!F21)),Inputs!$B$17+((C892=TRUE)*(F892-Calc!F23))))/100)*((1+(((C882=TRUE)*F882*MIN(1,Skills!T13*(Skills!J13/100)*B900))+((C887=TRUE)*F887*IF(AND(Inputs!$B$4&lt;&gt;"pvp",Inputs!$B$35&gt;0),(((S887-1)*(Skills!T18*(1+Inputs!$B$33/100))+MIN((Skills!T18*(1+Inputs!$B$33/100)),MAX(0,Inputs!$B$35-((S887-1)*Skills!D18))))/Inputs!$B$35),IF(Inputs!$B$4="pvp",MIN((Skills!T18*(1+Inputs!$B$33/100)),15)/15,(Skills!T18*(1+Inputs!$B$33/100))/Skills!D18)))+0)/100)*I874)</f>
        <v/>
      </c>
      <c r="L874">
        <f>K874*(MIN(Inputs!$B$21+((C891=TRUE)*(F891-Calc!F22)),Inputs!$B$22+((C893=TRUE)*(F893-Calc!F24)))/100+(Inputs!$B$22+((C893=TRUE)*(F893-Calc!F24)))/100)/2</f>
        <v/>
      </c>
      <c r="M874">
        <f>L874*(1+(Inputs!$B$9+0+B901)/100)</f>
        <v/>
      </c>
      <c r="N874">
        <f>L874*(1-MIN((Inputs!$B$8+0+B896),100)/100)+M874*(MIN((Inputs!$B$8+0+B896),100)/100)</f>
        <v/>
      </c>
      <c r="O874">
        <f>IF(C874,H874*N874*IF(AND(Inputs!$B$4&lt;&gt;"pvp",Inputs!$B$35&gt;0),((Skills!G5*((R874-1)*IF(Skills!H5&gt;0,Skills!I5/Skills!H5,1)+IF(Skills!H5&gt;0,MIN(Skills!I5,MAX(0,Inputs!$B$35-((R874-1)*IF(Inputs!$B$4="pvp",15,MAX(0.1,Skills!D5-IF(Skills!E5=TRUE,Inputs!$B$31,0))))))/Skills!H5,1)))/Inputs!$B$35),G874*Q874)*IF(Inputs!$B$4="pvp",1,(1-Summary!$B$55)*(1)+Summary!$B$55*(MIN(Skills!R5,Inputs!$B$37))),0)</f>
        <v/>
      </c>
      <c r="P874">
        <f>IF(B904=0,0,O874/B904)</f>
        <v/>
      </c>
      <c r="Q874">
        <f>IFERROR(1/IF(Inputs!$B$4="pvp",15,MAX(0.1,Skills!D5-IF(Skills!E5=TRUE,Inputs!$B$31,0))),0)</f>
        <v/>
      </c>
      <c r="R874">
        <f>IF(AND(Inputs!$B$4&lt;&gt;"pvp",Inputs!$B$35&gt;0),(INT(Inputs!$B$35/IF(Inputs!$B$4="pvp",15,MAX(0.1,Skills!D5-IF(Skills!E5=TRUE,Inputs!$B$31,0))))+1),0)</f>
        <v/>
      </c>
      <c r="S874">
        <f>IFERROR(O874/N874,0)</f>
        <v/>
      </c>
    </row>
    <row r="875">
      <c r="A875">
        <f>Skills!A6</f>
        <v/>
      </c>
      <c r="B875">
        <f>Skills!B6</f>
        <v/>
      </c>
      <c r="C875">
        <f>Inputs!$B$3&gt;=103</f>
        <v/>
      </c>
      <c r="D875">
        <f>IF(Skills!C6=1,60+Inputs!$B$24+Inputs!$B$28,IF(Skills!C6=2,90+Inputs!$B$25+Inputs!$B$28,IF(Skills!C6=3,120+Inputs!$B$26+Inputs!$B$28,MAX(0,(Inputs!$B$3-100)*3)+Inputs!$B$27+Inputs!$B$28)))</f>
        <v/>
      </c>
      <c r="E875">
        <f>INDEX(FactorTable!$B$2:$Y$301, MATCH(ROUND(MIN(300,MAX(1,D875)),0), FactorTable!$A$2:$A$301,0), Skills!M6+1)</f>
        <v/>
      </c>
      <c r="F875">
        <f>IF(Skills!N6=TRUE,(Skills!L6/10)*(E875/1000),Skills!L6/10)+Skills!O6</f>
        <v/>
      </c>
      <c r="G875">
        <f>Skills!G6*IF(Skills!H6&gt;0,Skills!I6/Skills!H6,1)</f>
        <v/>
      </c>
      <c r="H875">
        <f>1-(1-Skills!J6/100)^Skills!K6</f>
        <v/>
      </c>
      <c r="I875" t="inlineStr">
        <is>
          <t>1</t>
        </is>
      </c>
      <c r="J875">
        <f>(Inputs!$B$5*(1+(Inputs!$B$6+1)/100))*(F875/100)</f>
        <v/>
      </c>
      <c r="K875">
        <f>J875*(1+((Inputs!$B$11*(1+Inputs!$B$12/100))*0.01+Inputs!$B$13*0.0025)/100)*(1+Inputs!$B$14/100)*(1+IF(Inputs!$B$4="pvp",0,(1-Summary!$B$55)*(Inputs!$B$19+0+Skills!P6)+Summary!$B$55*(Inputs!$B$20+Skills!Q6))/100)*(1+Inputs!$B$15/100)*(5000/(6000+Inputs!$B$7*(1-(Inputs!$B$18+0)/100)))*(1+(Inputs!$B$23+0+B902)/100)*(1+(IF(Skills!A6="BLAST",Inputs!$B$16+((C890=TRUE)*(F890-Calc!F21)),Inputs!$B$17+((C892=TRUE)*(F892-Calc!F23))))/100)*((1+(((C882=TRUE)*F882*MIN(1,Skills!T13*(Skills!J13/100)*B900))+((C887=TRUE)*F887*IF(AND(Inputs!$B$4&lt;&gt;"pvp",Inputs!$B$35&gt;0),(((S887-1)*(Skills!T18*(1+Inputs!$B$33/100))+MIN((Skills!T18*(1+Inputs!$B$33/100)),MAX(0,Inputs!$B$35-((S887-1)*Skills!D18))))/Inputs!$B$35),IF(Inputs!$B$4="pvp",MIN((Skills!T18*(1+Inputs!$B$33/100)),15)/15,(Skills!T18*(1+Inputs!$B$33/100))/Skills!D18)))+0)/100)*I875)</f>
        <v/>
      </c>
      <c r="L875">
        <f>K875*(MIN(Inputs!$B$21+((C891=TRUE)*(F891-Calc!F22)),Inputs!$B$22+((C893=TRUE)*(F893-Calc!F24)))/100+(Inputs!$B$22+((C893=TRUE)*(F893-Calc!F24)))/100)/2</f>
        <v/>
      </c>
      <c r="M875">
        <f>L875*(1+(Inputs!$B$9+0+B901)/100)</f>
        <v/>
      </c>
      <c r="N875">
        <f>L875*(1-MIN((Inputs!$B$8+0+B896),100)/100)+M875*(MIN((Inputs!$B$8+0+B896),100)/100)</f>
        <v/>
      </c>
      <c r="O875">
        <f>IF(C875,H875*N875*IF(AND(Inputs!$B$4&lt;&gt;"pvp",Inputs!$B$35&gt;0),((Skills!G6*((R875-1)*IF(Skills!H6&gt;0,Skills!I6/Skills!H6,1)+IF(Skills!H6&gt;0,MIN(Skills!I6,MAX(0,Inputs!$B$35-((R875-1)*IF(Inputs!$B$4="pvp",15,MAX(0.1,Skills!D6-IF(Skills!E6=TRUE,Inputs!$B$31,0))))))/Skills!H6,1)))/Inputs!$B$35),G875*Q875)*IF(Inputs!$B$4="pvp",1,(1-Summary!$B$55)*(1)+Summary!$B$55*(MIN(Skills!R6,Inputs!$B$37))),0)</f>
        <v/>
      </c>
      <c r="P875">
        <f>IF(B904=0,0,O875/B904)</f>
        <v/>
      </c>
      <c r="Q875">
        <f>IFERROR(1/IF(Inputs!$B$4="pvp",15,MAX(0.1,Skills!D6-IF(Skills!E6=TRUE,Inputs!$B$31,0))),0)</f>
        <v/>
      </c>
      <c r="R875">
        <f>IF(AND(Inputs!$B$4&lt;&gt;"pvp",Inputs!$B$35&gt;0),(INT(Inputs!$B$35/IF(Inputs!$B$4="pvp",15,MAX(0.1,Skills!D6-IF(Skills!E6=TRUE,Inputs!$B$31,0))))+1),0)</f>
        <v/>
      </c>
      <c r="S875">
        <f>IFERROR(O875/N875,0)</f>
        <v/>
      </c>
    </row>
    <row r="876">
      <c r="A876">
        <f>Skills!A7</f>
        <v/>
      </c>
      <c r="B876">
        <f>Skills!B7</f>
        <v/>
      </c>
      <c r="C876">
        <f>Inputs!$B$3&gt;=107</f>
        <v/>
      </c>
      <c r="D876">
        <f>IF(Skills!C7=1,60+Inputs!$B$24+Inputs!$B$28,IF(Skills!C7=2,90+Inputs!$B$25+Inputs!$B$28,IF(Skills!C7=3,120+Inputs!$B$26+Inputs!$B$28,MAX(0,(Inputs!$B$3-100)*3)+Inputs!$B$27+Inputs!$B$28)))</f>
        <v/>
      </c>
      <c r="E876">
        <f>INDEX(FactorTable!$B$2:$Y$301, MATCH(ROUND(MIN(300,MAX(1,D876)),0), FactorTable!$A$2:$A$301,0), Skills!M7+1)</f>
        <v/>
      </c>
      <c r="F876">
        <f>IF(Skills!N7=TRUE,(Skills!L7/10)*(E876/1000),Skills!L7/10)+Skills!O7</f>
        <v/>
      </c>
      <c r="G876">
        <f>Skills!G7*IF(Skills!H7&gt;0,Skills!I7/Skills!H7,1)</f>
        <v/>
      </c>
      <c r="H876">
        <f>1-(1-Skills!J7/100)^Skills!K7</f>
        <v/>
      </c>
      <c r="I876" t="inlineStr">
        <is>
          <t>1</t>
        </is>
      </c>
      <c r="J876">
        <f>(Inputs!$B$5*(1+(Inputs!$B$6+1)/100))*(F876/100)</f>
        <v/>
      </c>
      <c r="K876">
        <f>J876*(1+((Inputs!$B$11*(1+Inputs!$B$12/100))*0.01+Inputs!$B$13*0.0025)/100)*(1+Inputs!$B$14/100)*(1+IF(Inputs!$B$4="pvp",0,(1-Summary!$B$55)*(Inputs!$B$19+0+Skills!P7)+Summary!$B$55*(Inputs!$B$20+Skills!Q7))/100)*(1+Inputs!$B$15/100)*(5000/(6000+Inputs!$B$7*(1-(Inputs!$B$18+0)/100)))*(1+(Inputs!$B$23+0+B902)/100)*(1+(IF(Skills!A7="BLAST",Inputs!$B$16+((C890=TRUE)*(F890-Calc!F21)),Inputs!$B$17+((C892=TRUE)*(F892-Calc!F23))))/100)*((1+(((C882=TRUE)*F882*MIN(1,Skills!T13*(Skills!J13/100)*B900))+((C887=TRUE)*F887*IF(AND(Inputs!$B$4&lt;&gt;"pvp",Inputs!$B$35&gt;0),(((S887-1)*(Skills!T18*(1+Inputs!$B$33/100))+MIN((Skills!T18*(1+Inputs!$B$33/100)),MAX(0,Inputs!$B$35-((S887-1)*Skills!D18))))/Inputs!$B$35),IF(Inputs!$B$4="pvp",MIN((Skills!T18*(1+Inputs!$B$33/100)),15)/15,(Skills!T18*(1+Inputs!$B$33/100))/Skills!D18)))+0)/100)*I876)</f>
        <v/>
      </c>
      <c r="L876">
        <f>K876*(MIN(Inputs!$B$21+((C891=TRUE)*(F891-Calc!F22)),Inputs!$B$22+((C893=TRUE)*(F893-Calc!F24)))/100+(Inputs!$B$22+((C893=TRUE)*(F893-Calc!F24)))/100)/2</f>
        <v/>
      </c>
      <c r="M876">
        <f>L876*(1+(Inputs!$B$9+0+B901)/100)</f>
        <v/>
      </c>
      <c r="N876">
        <f>L876*(1-MIN((Inputs!$B$8+0+B896),100)/100)+M876*(MIN((Inputs!$B$8+0+B896),100)/100)</f>
        <v/>
      </c>
      <c r="O876">
        <f>IF(C876,H876*N876*IF(AND(Inputs!$B$4&lt;&gt;"pvp",Inputs!$B$35&gt;0),((Skills!G7*((R876-1)*IF(Skills!H7&gt;0,Skills!I7/Skills!H7,1)+IF(Skills!H7&gt;0,MIN(Skills!I7,MAX(0,Inputs!$B$35-((R876-1)*IF(Inputs!$B$4="pvp",15,MAX(0.1,Skills!D7-IF(Skills!E7=TRUE,Inputs!$B$31,0))))))/Skills!H7,1)))/Inputs!$B$35),G876*Q876)*IF(Inputs!$B$4="pvp",1,(1-Summary!$B$55)*(1)+Summary!$B$55*(MIN(Skills!R7,Inputs!$B$37))),0)</f>
        <v/>
      </c>
      <c r="P876">
        <f>IF(B904=0,0,O876/B904)</f>
        <v/>
      </c>
      <c r="Q876">
        <f>IFERROR(1/IF(Inputs!$B$4="pvp",15,MAX(0.1,Skills!D7-IF(Skills!E7=TRUE,Inputs!$B$31,0))),0)</f>
        <v/>
      </c>
      <c r="R876">
        <f>IF(AND(Inputs!$B$4&lt;&gt;"pvp",Inputs!$B$35&gt;0),(INT(Inputs!$B$35/IF(Inputs!$B$4="pvp",15,MAX(0.1,Skills!D7-IF(Skills!E7=TRUE,Inputs!$B$31,0))))+1),0)</f>
        <v/>
      </c>
      <c r="S876">
        <f>IFERROR(O876/N876,0)</f>
        <v/>
      </c>
    </row>
    <row r="877">
      <c r="A877">
        <f>Skills!A8</f>
        <v/>
      </c>
      <c r="B877">
        <f>Skills!B8</f>
        <v/>
      </c>
      <c r="C877">
        <f>Inputs!$B$3&gt;=107</f>
        <v/>
      </c>
      <c r="D877">
        <f>IF(Skills!C8=1,60+Inputs!$B$24+Inputs!$B$28,IF(Skills!C8=2,90+Inputs!$B$25+Inputs!$B$28,IF(Skills!C8=3,120+Inputs!$B$26+Inputs!$B$28,MAX(0,(Inputs!$B$3-100)*3)+Inputs!$B$27+Inputs!$B$28)))</f>
        <v/>
      </c>
      <c r="E877">
        <f>INDEX(FactorTable!$B$2:$Y$301, MATCH(ROUND(MIN(300,MAX(1,D877)),0), FactorTable!$A$2:$A$301,0), Skills!M8+1)</f>
        <v/>
      </c>
      <c r="F877">
        <f>IF(Skills!N8=TRUE,(Skills!L8/10)*(E877/1000),Skills!L8/10)+Skills!O8</f>
        <v/>
      </c>
      <c r="G877">
        <f>Skills!G8*IF(Skills!H8&gt;0,Skills!I8/Skills!H8,1)</f>
        <v/>
      </c>
      <c r="H877">
        <f>1-(1-Skills!J8/100)^Skills!K8</f>
        <v/>
      </c>
      <c r="I877" t="inlineStr">
        <is>
          <t>1</t>
        </is>
      </c>
      <c r="J877">
        <f>(Inputs!$B$5*(1+(Inputs!$B$6+1)/100))*(F877/100)</f>
        <v/>
      </c>
      <c r="K877">
        <f>J877*(1+((Inputs!$B$11*(1+Inputs!$B$12/100))*0.01+Inputs!$B$13*0.0025)/100)*(1+Inputs!$B$14/100)*(1+IF(Inputs!$B$4="pvp",0,(1-Summary!$B$55)*(Inputs!$B$19+0+Skills!P8)+Summary!$B$55*(Inputs!$B$20+Skills!Q8))/100)*(1+Inputs!$B$15/100)*(5000/(6000+Inputs!$B$7*(1-(Inputs!$B$18+0)/100)))*(1+(Inputs!$B$23+0+B902)/100)*(1+(IF(Skills!A8="BLAST",Inputs!$B$16+((C890=TRUE)*(F890-Calc!F21)),Inputs!$B$17+((C892=TRUE)*(F892-Calc!F23))))/100)*((1+(((C882=TRUE)*F882*MIN(1,Skills!T13*(Skills!J13/100)*B900))+((C887=TRUE)*F887*IF(AND(Inputs!$B$4&lt;&gt;"pvp",Inputs!$B$35&gt;0),(((S887-1)*(Skills!T18*(1+Inputs!$B$33/100))+MIN((Skills!T18*(1+Inputs!$B$33/100)),MAX(0,Inputs!$B$35-((S887-1)*Skills!D18))))/Inputs!$B$35),IF(Inputs!$B$4="pvp",MIN((Skills!T18*(1+Inputs!$B$33/100)),15)/15,(Skills!T18*(1+Inputs!$B$33/100))/Skills!D18)))+0)/100)*I877)</f>
        <v/>
      </c>
      <c r="L877">
        <f>K877*(MIN(Inputs!$B$21+((C891=TRUE)*(F891-Calc!F22)),Inputs!$B$22+((C893=TRUE)*(F893-Calc!F24)))/100+(Inputs!$B$22+((C893=TRUE)*(F893-Calc!F24)))/100)/2</f>
        <v/>
      </c>
      <c r="M877">
        <f>L877*(1+(Inputs!$B$9+0+B901)/100)</f>
        <v/>
      </c>
      <c r="N877">
        <f>L877*(1-MIN((Inputs!$B$8+0+B896),100)/100)+M877*(MIN((Inputs!$B$8+0+B896),100)/100)</f>
        <v/>
      </c>
      <c r="O877">
        <f>IF(C877,H877*N877*IF(AND(Inputs!$B$4&lt;&gt;"pvp",Inputs!$B$35&gt;0),((Skills!G8*((R877-1)*IF(Skills!H8&gt;0,Skills!I8/Skills!H8,1)+IF(Skills!H8&gt;0,MIN(Skills!I8,MAX(0,Inputs!$B$35-((R877-1)*IF(Inputs!$B$4="pvp",15,MAX(0.1,Skills!D8-IF(Skills!E8=TRUE,Inputs!$B$31,0))))))/Skills!H8,1)))/Inputs!$B$35),G877*Q877)*IF(Inputs!$B$4="pvp",1,(1-Summary!$B$55)*(1)+Summary!$B$55*(MIN(Skills!R8,Inputs!$B$37))),0)</f>
        <v/>
      </c>
      <c r="P877">
        <f>IF(B904=0,0,O877/B904)</f>
        <v/>
      </c>
      <c r="Q877">
        <f>IFERROR(1/IF(Inputs!$B$4="pvp",15,MAX(0.1,Skills!D8-IF(Skills!E8=TRUE,Inputs!$B$31,0))),0)</f>
        <v/>
      </c>
      <c r="R877">
        <f>IF(AND(Inputs!$B$4&lt;&gt;"pvp",Inputs!$B$35&gt;0),(INT(Inputs!$B$35/IF(Inputs!$B$4="pvp",15,MAX(0.1,Skills!D8-IF(Skills!E8=TRUE,Inputs!$B$31,0))))+1),0)</f>
        <v/>
      </c>
      <c r="S877">
        <f>IFERROR(O877/N877,0)</f>
        <v/>
      </c>
    </row>
    <row r="878">
      <c r="A878">
        <f>Skills!A9</f>
        <v/>
      </c>
      <c r="B878">
        <f>Skills!B9</f>
        <v/>
      </c>
      <c r="C878">
        <f>Inputs!$B$3&gt;=125</f>
        <v/>
      </c>
      <c r="D878">
        <f>IF(Skills!C9=1,60+Inputs!$B$24+Inputs!$B$28,IF(Skills!C9=2,90+Inputs!$B$25+Inputs!$B$28,IF(Skills!C9=3,120+Inputs!$B$26+Inputs!$B$28,MAX(0,(Inputs!$B$3-100)*3)+Inputs!$B$27+Inputs!$B$28)))</f>
        <v/>
      </c>
      <c r="E878">
        <f>INDEX(FactorTable!$B$2:$Y$301, MATCH(ROUND(MIN(300,MAX(1,D878)),0), FactorTable!$A$2:$A$301,0), Skills!M9+1)</f>
        <v/>
      </c>
      <c r="F878">
        <f>IF(Skills!N9=TRUE,(Skills!L9/10)*(E878/1000),Skills!L9/10)+Skills!O9</f>
        <v/>
      </c>
      <c r="G878">
        <f>Skills!G9*IF(Skills!H9&gt;0,Skills!I9/Skills!H9,1)</f>
        <v/>
      </c>
      <c r="H878">
        <f>1-(1-Skills!J9/100)^Skills!K9</f>
        <v/>
      </c>
      <c r="I878" t="inlineStr">
        <is>
          <t>1</t>
        </is>
      </c>
      <c r="J878">
        <f>(Inputs!$B$5*(1+(Inputs!$B$6+1)/100))*(F878/100)</f>
        <v/>
      </c>
      <c r="K878">
        <f>J878*(1+((Inputs!$B$11*(1+Inputs!$B$12/100))*0.01+Inputs!$B$13*0.0025)/100)*(1+Inputs!$B$14/100)*(1+IF(Inputs!$B$4="pvp",0,(1-Summary!$B$55)*(Inputs!$B$19+0+Skills!P9)+Summary!$B$55*(Inputs!$B$20+Skills!Q9))/100)*(1+Inputs!$B$15/100)*(5000/(6000+Inputs!$B$7*(1-(Inputs!$B$18+0)/100)))*(1+(Inputs!$B$23+0+B902)/100)*(1+(IF(Skills!A9="BLAST",Inputs!$B$16+((C890=TRUE)*(F890-Calc!F21)),Inputs!$B$17+((C892=TRUE)*(F892-Calc!F23))))/100)*((1+(((C882=TRUE)*F882*MIN(1,Skills!T13*(Skills!J13/100)*B900))+((C887=TRUE)*F887*IF(AND(Inputs!$B$4&lt;&gt;"pvp",Inputs!$B$35&gt;0),(((S887-1)*(Skills!T18*(1+Inputs!$B$33/100))+MIN((Skills!T18*(1+Inputs!$B$33/100)),MAX(0,Inputs!$B$35-((S887-1)*Skills!D18))))/Inputs!$B$35),IF(Inputs!$B$4="pvp",MIN((Skills!T18*(1+Inputs!$B$33/100)),15)/15,(Skills!T18*(1+Inputs!$B$33/100))/Skills!D18)))+0)/100)*I878)</f>
        <v/>
      </c>
      <c r="L878">
        <f>K878*(MIN(Inputs!$B$21+((C891=TRUE)*(F891-Calc!F22)),Inputs!$B$22+((C893=TRUE)*(F893-Calc!F24)))/100+(Inputs!$B$22+((C893=TRUE)*(F893-Calc!F24)))/100)/2</f>
        <v/>
      </c>
      <c r="M878">
        <f>L878*(1+(Inputs!$B$9+0+B901)/100)</f>
        <v/>
      </c>
      <c r="N878">
        <f>L878*(1-MIN((Inputs!$B$8+0+B896),100)/100)+M878*(MIN((Inputs!$B$8+0+B896),100)/100)</f>
        <v/>
      </c>
      <c r="O878">
        <f>IF(C878,H878*N878*IF(AND(Inputs!$B$4&lt;&gt;"pvp",Inputs!$B$35&gt;0),((Skills!G9*((R878-1)*IF(Skills!H9&gt;0,Skills!I9/Skills!H9,1)+IF(Skills!H9&gt;0,MIN(Skills!I9,MAX(0,Inputs!$B$35-((R878-1)*IF(Inputs!$B$4="pvp",15,MAX(0.1,Skills!D9-IF(Skills!E9=TRUE,Inputs!$B$31,0))))))/Skills!H9,1)))/Inputs!$B$35),G878*Q878)*IF(Inputs!$B$4="pvp",1,(1-Summary!$B$55)*(1)+Summary!$B$55*(MIN(Skills!R9,Inputs!$B$37))),0)</f>
        <v/>
      </c>
      <c r="P878">
        <f>IF(B904=0,0,O878/B904)</f>
        <v/>
      </c>
      <c r="Q878">
        <f>IFERROR(1/IF(Inputs!$B$4="pvp",15,MAX(0.1,Skills!D9-IF(Skills!E9=TRUE,Inputs!$B$31,0))),0)</f>
        <v/>
      </c>
      <c r="R878">
        <f>IF(AND(Inputs!$B$4&lt;&gt;"pvp",Inputs!$B$35&gt;0),(INT(Inputs!$B$35/IF(Inputs!$B$4="pvp",15,MAX(0.1,Skills!D9-IF(Skills!E9=TRUE,Inputs!$B$31,0))))+1),0)</f>
        <v/>
      </c>
      <c r="S878">
        <f>IFERROR(O878/N878,0)</f>
        <v/>
      </c>
    </row>
    <row r="879">
      <c r="A879">
        <f>Skills!A10</f>
        <v/>
      </c>
      <c r="B879">
        <f>Skills!B10</f>
        <v/>
      </c>
      <c r="C879">
        <f>Inputs!$B$3&gt;=117</f>
        <v/>
      </c>
      <c r="D879">
        <f>IF(Skills!C10=1,60+Inputs!$B$24+Inputs!$B$28,IF(Skills!C10=2,90+Inputs!$B$25+Inputs!$B$28,IF(Skills!C10=3,120+Inputs!$B$26+Inputs!$B$28,MAX(0,(Inputs!$B$3-100)*3)+Inputs!$B$27+Inputs!$B$28)))</f>
        <v/>
      </c>
      <c r="E879">
        <f>INDEX(FactorTable!$B$2:$Y$301, MATCH(ROUND(MIN(300,MAX(1,D879)),0), FactorTable!$A$2:$A$301,0), Skills!M10+1)</f>
        <v/>
      </c>
      <c r="F879">
        <f>IF(Skills!N10=TRUE,(Skills!L10/10)*(E879/1000),Skills!L10/10)+Skills!O10</f>
        <v/>
      </c>
      <c r="G879">
        <f>Skills!G10*IF(Skills!H10&gt;0,Skills!I10/Skills!H10,1)</f>
        <v/>
      </c>
      <c r="H879">
        <f>1-(1-Skills!J10/100)^Skills!K10</f>
        <v/>
      </c>
      <c r="I879" t="inlineStr">
        <is>
          <t>1</t>
        </is>
      </c>
      <c r="J879">
        <f>(Inputs!$B$5*(1+(Inputs!$B$6+1)/100))*(F879/100)</f>
        <v/>
      </c>
      <c r="K879">
        <f>J879*(1+((Inputs!$B$11*(1+Inputs!$B$12/100))*0.01+Inputs!$B$13*0.0025)/100)*(1+Inputs!$B$14/100)*(1+IF(Inputs!$B$4="pvp",0,(1-Summary!$B$55)*(Inputs!$B$19+0+Skills!P10)+Summary!$B$55*(Inputs!$B$20+Skills!Q10))/100)*(1+Inputs!$B$15/100)*(5000/(6000+Inputs!$B$7*(1-(Inputs!$B$18+0)/100)))*(1+(Inputs!$B$23+0+B902)/100)*(1+(IF(Skills!A10="BLAST",Inputs!$B$16+((C890=TRUE)*(F890-Calc!F21)),Inputs!$B$17+((C892=TRUE)*(F892-Calc!F23))))/100)*((1+(((C882=TRUE)*F882*MIN(1,Skills!T13*(Skills!J13/100)*B900))+((C887=TRUE)*F887*IF(AND(Inputs!$B$4&lt;&gt;"pvp",Inputs!$B$35&gt;0),(((S887-1)*(Skills!T18*(1+Inputs!$B$33/100))+MIN((Skills!T18*(1+Inputs!$B$33/100)),MAX(0,Inputs!$B$35-((S887-1)*Skills!D18))))/Inputs!$B$35),IF(Inputs!$B$4="pvp",MIN((Skills!T18*(1+Inputs!$B$33/100)),15)/15,(Skills!T18*(1+Inputs!$B$33/100))/Skills!D18)))+0)/100)*I879)</f>
        <v/>
      </c>
      <c r="L879">
        <f>K879*(MIN(Inputs!$B$21+((C891=TRUE)*(F891-Calc!F22)),Inputs!$B$22+((C893=TRUE)*(F893-Calc!F24)))/100+(Inputs!$B$22+((C893=TRUE)*(F893-Calc!F24)))/100)/2</f>
        <v/>
      </c>
      <c r="M879">
        <f>L879*(1+(Inputs!$B$9+0+B901)/100)</f>
        <v/>
      </c>
      <c r="N879">
        <f>L879*(1-MIN((Inputs!$B$8+0+B896),100)/100)+M879*(MIN((Inputs!$B$8+0+B896),100)/100)</f>
        <v/>
      </c>
      <c r="O879">
        <f>IF(C879,H879*N879*IF(AND(Inputs!$B$4&lt;&gt;"pvp",Inputs!$B$35&gt;0),((Skills!G10*((R879-1)*IF(Skills!H10&gt;0,Skills!I10/Skills!H10,1)+IF(Skills!H10&gt;0,MIN(Skills!I10,MAX(0,Inputs!$B$35-((R879-1)*IF(Inputs!$B$4="pvp",15,MAX(0.1,Skills!D10-IF(Skills!E10=TRUE,Inputs!$B$31,0))))))/Skills!H10,1)))/Inputs!$B$35),G879*Q879)*IF(Inputs!$B$4="pvp",1,(1-Summary!$B$55)*(1)+Summary!$B$55*(MIN(Skills!R10,Inputs!$B$37))),0)</f>
        <v/>
      </c>
      <c r="P879">
        <f>IF(B904=0,0,O879/B904)</f>
        <v/>
      </c>
      <c r="Q879">
        <f>IFERROR(1/IF(Inputs!$B$4="pvp",15,MAX(0.1,Skills!D10-IF(Skills!E10=TRUE,Inputs!$B$31,0))),0)</f>
        <v/>
      </c>
      <c r="R879">
        <f>IF(AND(Inputs!$B$4&lt;&gt;"pvp",Inputs!$B$35&gt;0),(INT(Inputs!$B$35/IF(Inputs!$B$4="pvp",15,MAX(0.1,Skills!D10-IF(Skills!E10=TRUE,Inputs!$B$31,0))))+1),0)</f>
        <v/>
      </c>
      <c r="S879">
        <f>IFERROR(O879/N879,0)</f>
        <v/>
      </c>
    </row>
    <row r="880">
      <c r="A880">
        <f>Skills!A11</f>
        <v/>
      </c>
      <c r="B880">
        <f>Skills!B11</f>
        <v/>
      </c>
      <c r="C880">
        <f>Inputs!$B$3&gt;=63</f>
        <v/>
      </c>
      <c r="D880">
        <f>IF(Skills!C11=1,60+Inputs!$B$24+Inputs!$B$28,IF(Skills!C11=2,90+Inputs!$B$25+Inputs!$B$28,IF(Skills!C11=3,120+Inputs!$B$26+Inputs!$B$28,MAX(0,(Inputs!$B$3-100)*3)+Inputs!$B$27+Inputs!$B$28)))</f>
        <v/>
      </c>
      <c r="E880">
        <f>INDEX(FactorTable!$B$2:$Y$301, MATCH(ROUND(MIN(300,MAX(1,D880)),0), FactorTable!$A$2:$A$301,0), Skills!M11+1)</f>
        <v/>
      </c>
      <c r="F880">
        <f>IF(Skills!N11=TRUE,(Skills!L11/10)*(E880/1000),Skills!L11/10)+Skills!O11</f>
        <v/>
      </c>
      <c r="G880">
        <f>Skills!G11*IF(Skills!H11&gt;0,Skills!I11/Skills!H11,1)</f>
        <v/>
      </c>
      <c r="H880">
        <f>1-(1-Skills!J11/100)^Skills!K11</f>
        <v/>
      </c>
      <c r="I880" t="inlineStr">
        <is>
          <t>1</t>
        </is>
      </c>
      <c r="J880">
        <f>(Inputs!$B$5*(1+(Inputs!$B$6+1)/100))*(F880/100)</f>
        <v/>
      </c>
      <c r="K880">
        <f>J880*(1+((Inputs!$B$11*(1+Inputs!$B$12/100))*0.01+Inputs!$B$13*0.0025)/100)*(1+Inputs!$B$14/100)*(1+IF(Inputs!$B$4="pvp",0,(1-Summary!$B$55)*(Inputs!$B$19+0+Skills!P11)+Summary!$B$55*(Inputs!$B$20+Skills!Q11))/100)*(1+Inputs!$B$15/100)*(5000/(6000+Inputs!$B$7*(1-(Inputs!$B$18+0)/100)))*(1+(Inputs!$B$23+0+B902)/100)*(1+1.5*IF(C881=TRUE,F881,0)/100)*(1+(IF(Skills!A11="BLAST",Inputs!$B$16+((C890=TRUE)*(F890-Calc!F21)),Inputs!$B$17+((C892=TRUE)*(F892-Calc!F23))))/100)*((1+(((C882=TRUE)*F882*MIN(1,Skills!T13*(Skills!J13/100)*B900))+((C887=TRUE)*F887*IF(AND(Inputs!$B$4&lt;&gt;"pvp",Inputs!$B$35&gt;0),(((S887-1)*(Skills!T18*(1+Inputs!$B$33/100))+MIN((Skills!T18*(1+Inputs!$B$33/100)),MAX(0,Inputs!$B$35-((S887-1)*Skills!D18))))/Inputs!$B$35),IF(Inputs!$B$4="pvp",MIN((Skills!T18*(1+Inputs!$B$33/100)),15)/15,(Skills!T18*(1+Inputs!$B$33/100))/Skills!D18)))+0)/100)*I880)</f>
        <v/>
      </c>
      <c r="L880">
        <f>K880*(MIN(Inputs!$B$21+((C891=TRUE)*(F891-Calc!F22)),Inputs!$B$22+((C893=TRUE)*(F893-Calc!F24)))/100+(Inputs!$B$22+((C893=TRUE)*(F893-Calc!F24)))/100)/2</f>
        <v/>
      </c>
      <c r="M880">
        <f>L880*(1+(Inputs!$B$9+0+B901)/100)</f>
        <v/>
      </c>
      <c r="N880">
        <f>L880*(1-MIN((Inputs!$B$8+0+B896),100)/100)+M880*(MIN((Inputs!$B$8+0+B896),100)/100)</f>
        <v/>
      </c>
      <c r="O880">
        <f>IF(C880,H880*N880*IF(AND(Inputs!$B$4&lt;&gt;"pvp",Inputs!$B$35&gt;0),((Skills!G11*((R880-1)*IF(Skills!H11&gt;0,Skills!I11/Skills!H11,1)+IF(Skills!H11&gt;0,MIN(Skills!I11,MAX(0,Inputs!$B$35-((R880-1)*IF(Inputs!$B$4="pvp",15,MAX(0.1,Skills!D11-IF(Skills!E11=TRUE,Inputs!$B$31,0))))))/Skills!H11,1)))/Inputs!$B$35),G880*Q880)*IF(Inputs!$B$4="pvp",1,(1-Summary!$B$55)*(1)+Summary!$B$55*(MIN(Skills!R11,Inputs!$B$37))),0)</f>
        <v/>
      </c>
      <c r="P880">
        <f>IF(B904=0,0,O880/B904)</f>
        <v/>
      </c>
      <c r="Q880">
        <f>IFERROR(1/IF(Inputs!$B$4="pvp",15,MAX(0.1,Skills!D11-IF(Skills!E11=TRUE,Inputs!$B$31,0))),0)</f>
        <v/>
      </c>
      <c r="R880">
        <f>IF(AND(Inputs!$B$4&lt;&gt;"pvp",Inputs!$B$35&gt;0),(INT(Inputs!$B$35/IF(Inputs!$B$4="pvp",15,MAX(0.1,Skills!D11-IF(Skills!E11=TRUE,Inputs!$B$31,0))))+1),0)</f>
        <v/>
      </c>
      <c r="S880">
        <f>IFERROR(O880/N880,0)</f>
        <v/>
      </c>
    </row>
    <row r="881">
      <c r="A881">
        <f>Skills!A12</f>
        <v/>
      </c>
      <c r="B881">
        <f>Skills!B12</f>
        <v/>
      </c>
      <c r="C881">
        <f>Inputs!$B$3&gt;=100</f>
        <v/>
      </c>
      <c r="D881">
        <f>IF(Skills!C12=1,60+Inputs!$B$24+Inputs!$B$28,IF(Skills!C12=2,90+Inputs!$B$25+Inputs!$B$28,IF(Skills!C12=3,120+Inputs!$B$26+Inputs!$B$28,MAX(0,(Inputs!$B$3-100)*3)+Inputs!$B$27+Inputs!$B$28)))</f>
        <v/>
      </c>
      <c r="E881">
        <f>INDEX(FactorTable!$B$2:$Y$301, MATCH(ROUND(MIN(300,MAX(1,D881)),0), FactorTable!$A$2:$A$301,0), Skills!M12+1)</f>
        <v/>
      </c>
      <c r="F881">
        <f>IF(Skills!N12=TRUE,(Skills!L12/10)*(E881/1000),Skills!L12/10)+Skills!O12</f>
        <v/>
      </c>
      <c r="G881" t="inlineStr"/>
      <c r="H881" t="inlineStr"/>
      <c r="I881" t="inlineStr">
        <is>
          <t>1</t>
        </is>
      </c>
      <c r="J881" t="inlineStr"/>
      <c r="K881" t="inlineStr"/>
      <c r="L881" t="inlineStr"/>
      <c r="M881" t="inlineStr"/>
      <c r="N881" t="inlineStr"/>
      <c r="O881" t="inlineStr"/>
      <c r="P881" t="inlineStr"/>
      <c r="Q881" t="inlineStr"/>
      <c r="R881" t="inlineStr"/>
      <c r="S881" t="inlineStr"/>
    </row>
    <row r="882">
      <c r="A882">
        <f>Skills!A13</f>
        <v/>
      </c>
      <c r="B882">
        <f>Skills!B13</f>
        <v/>
      </c>
      <c r="C882">
        <f>Inputs!$B$3&gt;=45</f>
        <v/>
      </c>
      <c r="D882">
        <f>IF(Skills!C13=1,60+Inputs!$B$24+Inputs!$B$28,IF(Skills!C13=2,90+Inputs!$B$25+Inputs!$B$28,IF(Skills!C13=3,120+Inputs!$B$26+Inputs!$B$28,MAX(0,(Inputs!$B$3-100)*3)+Inputs!$B$27+Inputs!$B$28)))</f>
        <v/>
      </c>
      <c r="E882">
        <f>INDEX(FactorTable!$B$2:$Y$301, MATCH(ROUND(MIN(300,MAX(1,D882)),0), FactorTable!$A$2:$A$301,0), Skills!M13+1)</f>
        <v/>
      </c>
      <c r="F882">
        <f>IF(Skills!N13=TRUE,(Skills!L13/10)*(E882/1000),Skills!L13/10)+Skills!O13</f>
        <v/>
      </c>
      <c r="G882">
        <f>Skills!G13*IF(Skills!H13&gt;0,Skills!I13/Skills!H13,1)</f>
        <v/>
      </c>
      <c r="H882">
        <f>1-(1-Skills!J13/100)^Skills!K13</f>
        <v/>
      </c>
      <c r="I882" t="inlineStr">
        <is>
          <t>1</t>
        </is>
      </c>
      <c r="J882" t="inlineStr"/>
      <c r="K882" t="inlineStr"/>
      <c r="L882" t="inlineStr"/>
      <c r="M882" t="inlineStr"/>
      <c r="N882" t="inlineStr"/>
      <c r="O882" t="n">
        <v>0</v>
      </c>
      <c r="P882">
        <f>IF(B904=0,0,O882/B904)</f>
        <v/>
      </c>
      <c r="Q882" t="n">
        <v>0</v>
      </c>
      <c r="R882" t="n">
        <v>0</v>
      </c>
      <c r="S882">
        <f>IFERROR(O882/N882,0)</f>
        <v/>
      </c>
    </row>
    <row r="883">
      <c r="A883">
        <f>Skills!A14</f>
        <v/>
      </c>
      <c r="B883">
        <f>Skills!B14</f>
        <v/>
      </c>
      <c r="C883">
        <f>Inputs!$B$3&gt;=110</f>
        <v/>
      </c>
      <c r="D883">
        <f>IF(Skills!C14=1,60+Inputs!$B$24+Inputs!$B$28,IF(Skills!C14=2,90+Inputs!$B$25+Inputs!$B$28,IF(Skills!C14=3,120+Inputs!$B$26+Inputs!$B$28,MAX(0,(Inputs!$B$3-100)*3)+Inputs!$B$27+Inputs!$B$28)))</f>
        <v/>
      </c>
      <c r="E883">
        <f>INDEX(FactorTable!$B$2:$Y$301, MATCH(ROUND(MIN(300,MAX(1,D883)),0), FactorTable!$A$2:$A$301,0), Skills!M14+1)</f>
        <v/>
      </c>
      <c r="F883">
        <f>IF(Skills!N14=TRUE,(Skills!L14/10)*(E883/1000),Skills!L14/10)+Skills!O14</f>
        <v/>
      </c>
      <c r="G883">
        <f>Skills!G14*IF(Skills!H14&gt;0,Skills!I14/Skills!H14,1)</f>
        <v/>
      </c>
      <c r="H883">
        <f>1-(1-Skills!J14/100)^Skills!K14</f>
        <v/>
      </c>
      <c r="I883" t="inlineStr">
        <is>
          <t>1</t>
        </is>
      </c>
      <c r="J883" t="inlineStr"/>
      <c r="K883" t="inlineStr"/>
      <c r="L883" t="inlineStr"/>
      <c r="M883" t="inlineStr"/>
      <c r="N883" t="inlineStr"/>
      <c r="O883" t="n">
        <v>0</v>
      </c>
      <c r="P883">
        <f>IF(B904=0,0,O883/B904)</f>
        <v/>
      </c>
      <c r="Q883" t="n">
        <v>0</v>
      </c>
      <c r="R883" t="n">
        <v>0</v>
      </c>
      <c r="S883">
        <f>IFERROR(O883/N883,0)</f>
        <v/>
      </c>
    </row>
    <row r="884">
      <c r="A884">
        <f>Skills!A15</f>
        <v/>
      </c>
      <c r="B884">
        <f>Skills!B15</f>
        <v/>
      </c>
      <c r="C884">
        <f>Inputs!$B$3&gt;=75</f>
        <v/>
      </c>
      <c r="D884">
        <f>IF(Skills!C15=1,60+Inputs!$B$24+Inputs!$B$28,IF(Skills!C15=2,90+Inputs!$B$25+Inputs!$B$28,IF(Skills!C15=3,120+Inputs!$B$26+Inputs!$B$28,MAX(0,(Inputs!$B$3-100)*3)+Inputs!$B$27+Inputs!$B$28)))</f>
        <v/>
      </c>
      <c r="E884">
        <f>INDEX(FactorTable!$B$2:$Y$301, MATCH(ROUND(MIN(300,MAX(1,D884)),0), FactorTable!$A$2:$A$301,0), Skills!M15+1)</f>
        <v/>
      </c>
      <c r="F884">
        <f>IF(Skills!N15=TRUE,(Skills!L15/10)*(E884/1000),Skills!L15/10)+Skills!O15</f>
        <v/>
      </c>
      <c r="G884">
        <f>Skills!G15*IF(Skills!H15&gt;0,Skills!I15/Skills!H15,1)</f>
        <v/>
      </c>
      <c r="H884">
        <f>1-(1-Skills!J15/100)^Skills!K15</f>
        <v/>
      </c>
      <c r="I884" t="inlineStr">
        <is>
          <t>1</t>
        </is>
      </c>
      <c r="J884" t="inlineStr"/>
      <c r="K884" t="inlineStr"/>
      <c r="L884" t="inlineStr"/>
      <c r="M884" t="inlineStr"/>
      <c r="N884" t="inlineStr"/>
      <c r="O884" t="n">
        <v>0</v>
      </c>
      <c r="P884">
        <f>IF(B904=0,0,O884/B904)</f>
        <v/>
      </c>
      <c r="Q884">
        <f>IFERROR(1/IF(Inputs!$B$4="pvp",15,MAX(0.1,Skills!D15-IF(Skills!E15=TRUE,Inputs!$B$31,0))),0)</f>
        <v/>
      </c>
      <c r="R884">
        <f>IF(AND(Inputs!$B$4&lt;&gt;"pvp",Inputs!$B$35&gt;0),(INT(Inputs!$B$35/IF(Inputs!$B$4="pvp",15,MAX(0.1,Skills!D15-IF(Skills!E15=TRUE,Inputs!$B$31,0))))+1),0)</f>
        <v/>
      </c>
      <c r="S884">
        <f>IFERROR(O884/N884,0)</f>
        <v/>
      </c>
    </row>
    <row r="885">
      <c r="A885">
        <f>Skills!A16</f>
        <v/>
      </c>
      <c r="B885">
        <f>Skills!B16</f>
        <v/>
      </c>
      <c r="C885">
        <f>Inputs!$B$3&gt;=105</f>
        <v/>
      </c>
      <c r="D885">
        <f>IF(Skills!C16=1,60+Inputs!$B$24+Inputs!$B$28,IF(Skills!C16=2,90+Inputs!$B$25+Inputs!$B$28,IF(Skills!C16=3,120+Inputs!$B$26+Inputs!$B$28,MAX(0,(Inputs!$B$3-100)*3)+Inputs!$B$27+Inputs!$B$28)))</f>
        <v/>
      </c>
      <c r="E885">
        <f>INDEX(FactorTable!$B$2:$Y$301, MATCH(ROUND(MIN(300,MAX(1,D885)),0), FactorTable!$A$2:$A$301,0), Skills!M16+1)</f>
        <v/>
      </c>
      <c r="F885">
        <f>IF(Skills!N16=TRUE,(Skills!L16/10)*(E885/1000),Skills!L16/10)+Skills!O16</f>
        <v/>
      </c>
      <c r="G885">
        <f>Skills!G16*IF(Skills!H16&gt;0,Skills!I16/Skills!H16,1)</f>
        <v/>
      </c>
      <c r="H885">
        <f>1-(1-Skills!J16/100)^Skills!K16</f>
        <v/>
      </c>
      <c r="I885" t="inlineStr">
        <is>
          <t>1</t>
        </is>
      </c>
      <c r="J885" t="inlineStr"/>
      <c r="K885" t="inlineStr"/>
      <c r="L885" t="inlineStr"/>
      <c r="M885" t="inlineStr"/>
      <c r="N885" t="inlineStr"/>
      <c r="O885" t="n">
        <v>0</v>
      </c>
      <c r="P885">
        <f>IF(B904=0,0,O885/B904)</f>
        <v/>
      </c>
      <c r="Q885">
        <f>IFERROR(1/IF(Inputs!$B$4="pvp",15,MAX(0.1,Skills!D16-IF(Skills!E16=TRUE,Inputs!$B$31,0))),0)</f>
        <v/>
      </c>
      <c r="R885">
        <f>IF(AND(Inputs!$B$4&lt;&gt;"pvp",Inputs!$B$35&gt;0),(INT(Inputs!$B$35/IF(Inputs!$B$4="pvp",15,MAX(0.1,Skills!D16-IF(Skills!E16=TRUE,Inputs!$B$31,0))))+1),0)</f>
        <v/>
      </c>
      <c r="S885">
        <f>IFERROR(O885/N885,0)</f>
        <v/>
      </c>
    </row>
    <row r="886">
      <c r="A886">
        <f>Skills!A17</f>
        <v/>
      </c>
      <c r="B886">
        <f>Skills!B17</f>
        <v/>
      </c>
      <c r="C886">
        <f>Inputs!$B$3&gt;=115</f>
        <v/>
      </c>
      <c r="D886">
        <f>IF(Skills!C17=1,60+Inputs!$B$24+Inputs!$B$28,IF(Skills!C17=2,90+Inputs!$B$25+Inputs!$B$28,IF(Skills!C17=3,120+Inputs!$B$26+Inputs!$B$28,MAX(0,(Inputs!$B$3-100)*3)+Inputs!$B$27+Inputs!$B$28)))</f>
        <v/>
      </c>
      <c r="E886">
        <f>INDEX(FactorTable!$B$2:$Y$301, MATCH(ROUND(MIN(300,MAX(1,D886)),0), FactorTable!$A$2:$A$301,0), Skills!M17+1)</f>
        <v/>
      </c>
      <c r="F886">
        <f>IF(Skills!N17=TRUE,(Skills!L17/10)*(E886/1000),Skills!L17/10)+Skills!O17</f>
        <v/>
      </c>
      <c r="G886">
        <f>Skills!G17*IF(Skills!H17&gt;0,Skills!I17/Skills!H17,1)</f>
        <v/>
      </c>
      <c r="H886">
        <f>1-(1-Skills!J17/100)^Skills!K17</f>
        <v/>
      </c>
      <c r="I886" t="inlineStr">
        <is>
          <t>1</t>
        </is>
      </c>
      <c r="J886" t="inlineStr"/>
      <c r="K886" t="inlineStr"/>
      <c r="L886" t="inlineStr"/>
      <c r="M886" t="inlineStr"/>
      <c r="N886" t="inlineStr"/>
      <c r="O886" t="n">
        <v>0</v>
      </c>
      <c r="P886">
        <f>IF(B904=0,0,O886/B904)</f>
        <v/>
      </c>
      <c r="Q886">
        <f>IFERROR(1/IF(Inputs!$B$4="pvp",15,MAX(0.1,Skills!D17-IF(Skills!E17=TRUE,Inputs!$B$31,0))),0)</f>
        <v/>
      </c>
      <c r="R886">
        <f>IF(AND(Inputs!$B$4&lt;&gt;"pvp",Inputs!$B$35&gt;0),(INT(Inputs!$B$35/IF(Inputs!$B$4="pvp",15,MAX(0.1,Skills!D17-IF(Skills!E17=TRUE,Inputs!$B$31,0))))+1),0)</f>
        <v/>
      </c>
      <c r="S886">
        <f>IFERROR(O886/N886,0)</f>
        <v/>
      </c>
    </row>
    <row r="887">
      <c r="A887">
        <f>Skills!A18</f>
        <v/>
      </c>
      <c r="B887">
        <f>Skills!B18</f>
        <v/>
      </c>
      <c r="C887">
        <f>Inputs!$B$3&gt;=74</f>
        <v/>
      </c>
      <c r="D887">
        <f>IF(Skills!C18=1,60+Inputs!$B$24+Inputs!$B$28,IF(Skills!C18=2,90+Inputs!$B$25+Inputs!$B$28,IF(Skills!C18=3,120+Inputs!$B$26+Inputs!$B$28,MAX(0,(Inputs!$B$3-100)*3)+Inputs!$B$27+Inputs!$B$28)))</f>
        <v/>
      </c>
      <c r="E887">
        <f>INDEX(FactorTable!$B$2:$Y$301, MATCH(ROUND(MIN(300,MAX(1,D887)),0), FactorTable!$A$2:$A$301,0), Skills!M18+1)</f>
        <v/>
      </c>
      <c r="F887">
        <f>IF(Skills!N18=TRUE,(Skills!L18/10)*(E887/1000),Skills!L18/10)+Skills!O18</f>
        <v/>
      </c>
      <c r="G887">
        <f>Skills!G18*IF(Skills!H18&gt;0,Skills!I18/Skills!H18,1)</f>
        <v/>
      </c>
      <c r="H887">
        <f>1-(1-Skills!J18/100)^Skills!K18</f>
        <v/>
      </c>
      <c r="I887" t="inlineStr">
        <is>
          <t>1</t>
        </is>
      </c>
      <c r="J887" t="inlineStr"/>
      <c r="K887" t="inlineStr"/>
      <c r="L887" t="inlineStr"/>
      <c r="M887" t="inlineStr"/>
      <c r="N887" t="inlineStr"/>
      <c r="O887" t="n">
        <v>0</v>
      </c>
      <c r="P887">
        <f>IF(B904=0,0,O887/B904)</f>
        <v/>
      </c>
      <c r="Q887">
        <f>IFERROR(1/IF(Inputs!$B$4="pvp",15,MAX(0.1,Skills!D18-IF(Skills!E18=TRUE,Inputs!$B$31,0))),0)</f>
        <v/>
      </c>
      <c r="R887">
        <f>IF(AND(Inputs!$B$4&lt;&gt;"pvp",Inputs!$B$35&gt;0),(INT(Inputs!$B$35/IF(Inputs!$B$4="pvp",15,MAX(0.1,Skills!D18-IF(Skills!E18=TRUE,Inputs!$B$31,0))))+1),0)</f>
        <v/>
      </c>
      <c r="S887">
        <f>IFERROR(O887/N887,0)</f>
        <v/>
      </c>
    </row>
    <row r="888">
      <c r="A888">
        <f>Skills!A19</f>
        <v/>
      </c>
      <c r="B888">
        <f>Skills!B19</f>
        <v/>
      </c>
      <c r="C888">
        <f>TRUE</f>
        <v/>
      </c>
      <c r="D888">
        <f>IF(Skills!C19=1,60+Inputs!$B$24+Inputs!$B$28,IF(Skills!C19=2,90+Inputs!$B$25+Inputs!$B$28,IF(Skills!C19=3,120+Inputs!$B$26+Inputs!$B$28,MAX(0,(Inputs!$B$3-100)*3)+Inputs!$B$27+Inputs!$B$28)))</f>
        <v/>
      </c>
      <c r="E888">
        <f>INDEX(FactorTable!$B$2:$Y$301, MATCH(ROUND(MIN(300,MAX(1,D888)),0), FactorTable!$A$2:$A$301,0), Skills!M19+1)</f>
        <v/>
      </c>
      <c r="F888">
        <f>IF(Skills!N19=TRUE,(Skills!L19/10)*(E888/1000),Skills!L19/10)+Skills!O19</f>
        <v/>
      </c>
      <c r="G888">
        <f>Skills!G19*IF(Skills!H19&gt;0,Skills!I19/Skills!H19,1)</f>
        <v/>
      </c>
      <c r="H888">
        <f>1-(1-Skills!J19/100)^Skills!K19</f>
        <v/>
      </c>
      <c r="I888" t="inlineStr">
        <is>
          <t>1</t>
        </is>
      </c>
      <c r="J888" t="inlineStr"/>
      <c r="K888" t="inlineStr"/>
      <c r="L888" t="inlineStr"/>
      <c r="M888" t="inlineStr"/>
      <c r="N888" t="inlineStr"/>
      <c r="O888" t="n">
        <v>0</v>
      </c>
      <c r="P888">
        <f>IF(B904=0,0,O888/B904)</f>
        <v/>
      </c>
      <c r="Q888">
        <f>IFERROR(1/IF(Inputs!$B$4="pvp",15,MAX(0.1,Skills!D19-IF(Skills!E19=TRUE,Inputs!$B$31,0))),0)</f>
        <v/>
      </c>
      <c r="R888">
        <f>IF(AND(Inputs!$B$4&lt;&gt;"pvp",Inputs!$B$35&gt;0),(INT(Inputs!$B$35/IF(Inputs!$B$4="pvp",15,MAX(0.1,Skills!D19-IF(Skills!E19=TRUE,Inputs!$B$31,0))))+1),0)</f>
        <v/>
      </c>
      <c r="S888">
        <f>IFERROR(O888/N888,0)</f>
        <v/>
      </c>
    </row>
    <row r="889">
      <c r="A889">
        <f>Skills!A20</f>
        <v/>
      </c>
      <c r="B889">
        <f>Skills!B20</f>
        <v/>
      </c>
      <c r="C889">
        <f>Inputs!$B$3&gt;=33</f>
        <v/>
      </c>
      <c r="D889">
        <f>IF(Skills!C20=1,60+Inputs!$B$24+Inputs!$B$28,IF(Skills!C20=2,90+Inputs!$B$25+Inputs!$B$28,IF(Skills!C20=3,120+Inputs!$B$26+Inputs!$B$28,MAX(0,(Inputs!$B$3-100)*3)+Inputs!$B$27+Inputs!$B$28)))</f>
        <v/>
      </c>
      <c r="E889">
        <f>INDEX(FactorTable!$B$2:$Y$301, MATCH(ROUND(MIN(300,MAX(1,D889)),0), FactorTable!$A$2:$A$301,0), Skills!M20+1)</f>
        <v/>
      </c>
      <c r="F889">
        <f>IF(Skills!N20=TRUE,(Skills!L20/10)*(E889/1000),Skills!L20/10)+Skills!O20</f>
        <v/>
      </c>
      <c r="G889">
        <f>Skills!G20*IF(Skills!H20&gt;0,Skills!I20/Skills!H20,1)</f>
        <v/>
      </c>
      <c r="H889">
        <f>1-(1-Skills!J20/100)^Skills!K20</f>
        <v/>
      </c>
      <c r="I889" t="inlineStr">
        <is>
          <t>1</t>
        </is>
      </c>
      <c r="J889" t="inlineStr"/>
      <c r="K889" t="inlineStr"/>
      <c r="L889" t="inlineStr"/>
      <c r="M889" t="inlineStr"/>
      <c r="N889" t="inlineStr"/>
      <c r="O889" t="n">
        <v>0</v>
      </c>
      <c r="P889">
        <f>IF(B904=0,0,O889/B904)</f>
        <v/>
      </c>
      <c r="Q889" t="n">
        <v>0</v>
      </c>
      <c r="R889" t="n">
        <v>0</v>
      </c>
      <c r="S889">
        <f>IFERROR(O889/N889,0)</f>
        <v/>
      </c>
    </row>
    <row r="890">
      <c r="A890">
        <f>Skills!A21</f>
        <v/>
      </c>
      <c r="B890">
        <f>Skills!B21</f>
        <v/>
      </c>
      <c r="C890">
        <f>Inputs!$B$3&gt;=38</f>
        <v/>
      </c>
      <c r="D890">
        <f>IF(Skills!C21=1,60+Inputs!$B$24+Inputs!$B$28,IF(Skills!C21=2,90+Inputs!$B$25+Inputs!$B$28,IF(Skills!C21=3,120+Inputs!$B$26+Inputs!$B$28,MAX(0,(Inputs!$B$3-100)*3)+Inputs!$B$27+Inputs!$B$28)))</f>
        <v/>
      </c>
      <c r="E890">
        <f>INDEX(FactorTable!$B$2:$Y$301, MATCH(ROUND(MIN(300,MAX(1,D890)),0), FactorTable!$A$2:$A$301,0), Skills!M21+1)</f>
        <v/>
      </c>
      <c r="F890">
        <f>IF(Skills!N21=TRUE,(Skills!L21/10)*(E890/1000),Skills!L21/10)+Skills!O21</f>
        <v/>
      </c>
      <c r="G890">
        <f>Skills!G21*IF(Skills!H21&gt;0,Skills!I21/Skills!H21,1)</f>
        <v/>
      </c>
      <c r="H890">
        <f>1-(1-Skills!J21/100)^Skills!K21</f>
        <v/>
      </c>
      <c r="I890" t="inlineStr">
        <is>
          <t>1</t>
        </is>
      </c>
      <c r="J890" t="inlineStr"/>
      <c r="K890" t="inlineStr"/>
      <c r="L890" t="inlineStr"/>
      <c r="M890" t="inlineStr"/>
      <c r="N890" t="inlineStr"/>
      <c r="O890" t="n">
        <v>0</v>
      </c>
      <c r="P890">
        <f>IF(B904=0,0,O890/B904)</f>
        <v/>
      </c>
      <c r="Q890" t="n">
        <v>0</v>
      </c>
      <c r="R890" t="n">
        <v>0</v>
      </c>
      <c r="S890">
        <f>IFERROR(O890/N890,0)</f>
        <v/>
      </c>
    </row>
    <row r="891">
      <c r="A891">
        <f>Skills!A22</f>
        <v/>
      </c>
      <c r="B891">
        <f>Skills!B22</f>
        <v/>
      </c>
      <c r="C891">
        <f>Inputs!$B$3&gt;=43</f>
        <v/>
      </c>
      <c r="D891">
        <f>IF(Skills!C22=1,60+Inputs!$B$24+Inputs!$B$28,IF(Skills!C22=2,90+Inputs!$B$25+Inputs!$B$28,IF(Skills!C22=3,120+Inputs!$B$26+Inputs!$B$28,MAX(0,(Inputs!$B$3-100)*3)+Inputs!$B$27+Inputs!$B$28)))</f>
        <v/>
      </c>
      <c r="E891">
        <f>INDEX(FactorTable!$B$2:$Y$301, MATCH(ROUND(MIN(300,MAX(1,D891)),0), FactorTable!$A$2:$A$301,0), Skills!M22+1)</f>
        <v/>
      </c>
      <c r="F891">
        <f>IF(Skills!N22=TRUE,(Skills!L22/10)*(E891/1000),Skills!L22/10)+Skills!O22</f>
        <v/>
      </c>
      <c r="G891">
        <f>Skills!G22*IF(Skills!H22&gt;0,Skills!I22/Skills!H22,1)</f>
        <v/>
      </c>
      <c r="H891">
        <f>1-(1-Skills!J22/100)^Skills!K22</f>
        <v/>
      </c>
      <c r="I891" t="inlineStr">
        <is>
          <t>1</t>
        </is>
      </c>
      <c r="J891" t="inlineStr"/>
      <c r="K891" t="inlineStr"/>
      <c r="L891" t="inlineStr"/>
      <c r="M891" t="inlineStr"/>
      <c r="N891" t="inlineStr"/>
      <c r="O891" t="n">
        <v>0</v>
      </c>
      <c r="P891">
        <f>IF(B904=0,0,O891/B904)</f>
        <v/>
      </c>
      <c r="Q891" t="n">
        <v>0</v>
      </c>
      <c r="R891" t="n">
        <v>0</v>
      </c>
      <c r="S891">
        <f>IFERROR(O891/N891,0)</f>
        <v/>
      </c>
    </row>
    <row r="892">
      <c r="A892">
        <f>Skills!A23</f>
        <v/>
      </c>
      <c r="B892">
        <f>Skills!B23</f>
        <v/>
      </c>
      <c r="C892">
        <f>Inputs!$B$3&gt;=120</f>
        <v/>
      </c>
      <c r="D892">
        <f>IF(Skills!C23=1,60+Inputs!$B$24+Inputs!$B$28,IF(Skills!C23=2,90+Inputs!$B$25+Inputs!$B$28,IF(Skills!C23=3,120+Inputs!$B$26+Inputs!$B$28,MAX(0,(Inputs!$B$3-100)*3)+Inputs!$B$27+Inputs!$B$28)))</f>
        <v/>
      </c>
      <c r="E892">
        <f>INDEX(FactorTable!$B$2:$Y$301, MATCH(ROUND(MIN(300,MAX(1,D892)),0), FactorTable!$A$2:$A$301,0), Skills!M23+1)</f>
        <v/>
      </c>
      <c r="F892">
        <f>IF(Skills!N23=TRUE,(Skills!L23/10)*(E892/1000),Skills!L23/10)+Skills!O23</f>
        <v/>
      </c>
      <c r="G892">
        <f>Skills!G23*IF(Skills!H23&gt;0,Skills!I23/Skills!H23,1)</f>
        <v/>
      </c>
      <c r="H892">
        <f>1-(1-Skills!J23/100)^Skills!K23</f>
        <v/>
      </c>
      <c r="I892" t="inlineStr">
        <is>
          <t>1</t>
        </is>
      </c>
      <c r="J892" t="inlineStr"/>
      <c r="K892" t="inlineStr"/>
      <c r="L892" t="inlineStr"/>
      <c r="M892" t="inlineStr"/>
      <c r="N892" t="inlineStr"/>
      <c r="O892" t="n">
        <v>0</v>
      </c>
      <c r="P892">
        <f>IF(B904=0,0,O892/B904)</f>
        <v/>
      </c>
      <c r="Q892" t="n">
        <v>0</v>
      </c>
      <c r="R892" t="n">
        <v>0</v>
      </c>
      <c r="S892">
        <f>IFERROR(O892/N892,0)</f>
        <v/>
      </c>
    </row>
    <row r="893">
      <c r="A893">
        <f>Skills!A24</f>
        <v/>
      </c>
      <c r="B893">
        <f>Skills!B24</f>
        <v/>
      </c>
      <c r="C893">
        <f>Inputs!$B$3&gt;=120</f>
        <v/>
      </c>
      <c r="D893">
        <f>IF(Skills!C24=1,60+Inputs!$B$24+Inputs!$B$28,IF(Skills!C24=2,90+Inputs!$B$25+Inputs!$B$28,IF(Skills!C24=3,120+Inputs!$B$26+Inputs!$B$28,MAX(0,(Inputs!$B$3-100)*3)+Inputs!$B$27+Inputs!$B$28)))</f>
        <v/>
      </c>
      <c r="E893">
        <f>INDEX(FactorTable!$B$2:$Y$301, MATCH(ROUND(MIN(300,MAX(1,D893)),0), FactorTable!$A$2:$A$301,0), Skills!M24+1)</f>
        <v/>
      </c>
      <c r="F893">
        <f>IF(Skills!N24=TRUE,(Skills!L24/10)*(E893/1000),Skills!L24/10)+Skills!O24</f>
        <v/>
      </c>
      <c r="G893">
        <f>Skills!G24*IF(Skills!H24&gt;0,Skills!I24/Skills!H24,1)</f>
        <v/>
      </c>
      <c r="H893">
        <f>1-(1-Skills!J24/100)^Skills!K24</f>
        <v/>
      </c>
      <c r="I893" t="inlineStr">
        <is>
          <t>1</t>
        </is>
      </c>
      <c r="J893" t="inlineStr"/>
      <c r="K893" t="inlineStr"/>
      <c r="L893" t="inlineStr"/>
      <c r="M893" t="inlineStr"/>
      <c r="N893" t="inlineStr"/>
      <c r="O893" t="n">
        <v>0</v>
      </c>
      <c r="P893">
        <f>IF(B904=0,0,O893/B904)</f>
        <v/>
      </c>
      <c r="Q893" t="n">
        <v>0</v>
      </c>
      <c r="R893" t="n">
        <v>0</v>
      </c>
      <c r="S893">
        <f>IFERROR(O893/N893,0)</f>
        <v/>
      </c>
    </row>
    <row r="895">
      <c r="A895" t="inlineStr">
        <is>
          <t>Attack% Bucket Multiplier</t>
        </is>
      </c>
      <c r="B895">
        <f>(1+(((C882=TRUE)*F882*MIN(1,Skills!T13*(Skills!J13/100)*B900))+((C887=TRUE)*F887*IF(AND(Inputs!$B$4&lt;&gt;"pvp",Inputs!$B$35&gt;0),(((S887-1)*(Skills!T18*(1+Inputs!$B$33/100))+MIN((Skills!T18*(1+Inputs!$B$33/100)),MAX(0,Inputs!$B$35-((S887-1)*Skills!D18))))/Inputs!$B$35),IF(Inputs!$B$4="pvp",MIN((Skills!T18*(1+Inputs!$B$33/100)),15)/15,(Skills!T18*(1+Inputs!$B$33/100))/Skills!D18)))+0)/100)</f>
        <v/>
      </c>
    </row>
    <row r="896">
      <c r="A896" t="inlineStr">
        <is>
          <t>Global Crit Rate Bonus %</t>
        </is>
      </c>
      <c r="B896" t="n">
        <v>0</v>
      </c>
    </row>
    <row r="897">
      <c r="A897" t="inlineStr">
        <is>
          <t>Attack Speed Buff Bonus %</t>
        </is>
      </c>
      <c r="B897">
        <f>((C888=TRUE)*F888*IF(AND(Inputs!$B$4&lt;&gt;"pvp",Inputs!$B$35&gt;0),(((S888-1)*(Skills!T19*(1+Inputs!$B$33/100))+MIN((Skills!T19*(1+Inputs!$B$33/100)),MAX(0,Inputs!$B$35-((S888-1)*Skills!D19))))/Inputs!$B$35),IF(Inputs!$B$4="pvp",MIN((Skills!T19*(1+Inputs!$B$33/100)),15)/15,(Skills!T19*(1+Inputs!$B$33/100))/Skills!D19)))</f>
        <v/>
      </c>
    </row>
    <row r="898">
      <c r="A898" t="inlineStr">
        <is>
          <t>Actions Per Second</t>
        </is>
      </c>
      <c r="B898">
        <f>1+MIN(150,150*(1-(1-(Inputs!$B$10+((C889=TRUE)*(F889-Calc!F20)))/150)*(1-B897/150)))/100</f>
        <v/>
      </c>
    </row>
    <row r="899">
      <c r="A899" t="inlineStr">
        <is>
          <t>Skill + Buff Cast Rate</t>
        </is>
      </c>
      <c r="B899">
        <f>IF(AND(Inputs!$B$4&lt;&gt;"pvp",Inputs!$B$35&gt;0),SUMPRODUCT((Skills!E2:E24=TRUE)*(C871:C893=TRUE)*R871:R893*Skills!F2:F24)/Inputs!$B$35,SUMPRODUCT((Skills!E2:E24=TRUE)*(C871:C893=TRUE)*Q871:Q893*Skills!F2:F24))</f>
        <v/>
      </c>
    </row>
    <row r="900">
      <c r="A900" t="inlineStr">
        <is>
          <t>Blast Casts Per Second</t>
        </is>
      </c>
      <c r="B900">
        <f>MAX(0,B898-B899)</f>
        <v/>
      </c>
    </row>
    <row r="901">
      <c r="A901" t="inlineStr">
        <is>
          <t>Global Critical Damage Bonus % (unused)</t>
        </is>
      </c>
      <c r="B901" t="n">
        <v>0</v>
      </c>
    </row>
    <row r="902">
      <c r="A902" t="inlineStr">
        <is>
          <t>Global Final Damage Bonus % (Divine Shield + Guardian + Divine Blessing + Greater Vessel of Light)</t>
        </is>
      </c>
      <c r="B902">
        <f>((C884=TRUE)*F884*IF(AND(Inputs!$B$4&lt;&gt;"pvp",Inputs!$B$35&gt;0),(((S884-1)*(Skills!T15*(1+Inputs!$B$33/100))+MIN((Skills!T15*(1+Inputs!$B$33/100)),MAX(0,Inputs!$B$35-((S884-1)*Skills!D15))))/Inputs!$B$35),IF(Inputs!$B$4="pvp",MIN((Skills!T15*(1+Inputs!$B$33/100)),15)/15,(Skills!T15*(1+Inputs!$B$33/100))/Skills!D15)))+((C885=TRUE)*F885*IF(AND(Inputs!$B$4&lt;&gt;"pvp",Inputs!$B$35&gt;0),(((S885-1)*(Skills!T16*(1+Inputs!$B$33/100))+MIN((Skills!T16*(1+Inputs!$B$33/100)),MAX(0,Inputs!$B$35-((S885-1)*Skills!D16))))/Inputs!$B$35),IF(Inputs!$B$4="pvp",MIN((Skills!T16*(1+Inputs!$B$33/100)),15)/15,(Skills!T16*(1+Inputs!$B$33/100))/Skills!D16)))+((C886=TRUE)*F886*IF(AND(Inputs!$B$4&lt;&gt;"pvp",Inputs!$B$35&gt;0),(((S886-1)*(Skills!T17*(1+Inputs!$B$33/100))+MIN((Skills!T17*(1+Inputs!$B$33/100)),MAX(0,Inputs!$B$35-((S886-1)*Skills!D17))))/Inputs!$B$35),IF(Inputs!$B$4="pvp",MIN((Skills!T17*(1+Inputs!$B$33/100)),15)/15,(Skills!T17*(1+Inputs!$B$33/100))/Skills!D17)))+((C883=TRUE)*F883*MIN(1,Skills!T13*(Skills!J13/100)*B900))</f>
        <v/>
      </c>
    </row>
    <row r="904">
      <c r="A904" s="5" t="inlineStr">
        <is>
          <t>TOTAL DPS</t>
        </is>
      </c>
      <c r="B904" s="5">
        <f>SUM(O871:O893)</f>
        <v/>
      </c>
    </row>
    <row r="907">
      <c r="A907" s="5" t="inlineStr">
        <is>
          <t>Stat: Skill Cooldown Decrease (seconds)</t>
        </is>
      </c>
    </row>
    <row r="908">
      <c r="A908" s="8" t="inlineStr">
        <is>
          <t>Key</t>
        </is>
      </c>
      <c r="B908" s="8" t="inlineStr">
        <is>
          <t>Name</t>
        </is>
      </c>
      <c r="C908" s="8" t="inlineStr">
        <is>
          <t>Unlocked</t>
        </is>
      </c>
      <c r="D908" s="8" t="inlineStr">
        <is>
          <t>InputLevel</t>
        </is>
      </c>
      <c r="E908" s="8" t="inlineStr">
        <is>
          <t>Factor</t>
        </is>
      </c>
      <c r="F908" s="8" t="inlineStr">
        <is>
          <t>CoefficientPercent</t>
        </is>
      </c>
      <c r="G908" s="8" t="inlineStr">
        <is>
          <t>EffectiveHits</t>
        </is>
      </c>
      <c r="H908" s="8" t="inlineStr">
        <is>
          <t>ProcProbability</t>
        </is>
      </c>
      <c r="I908" s="8" t="inlineStr">
        <is>
          <t>MapleHeroMultiplier</t>
        </is>
      </c>
      <c r="J908" s="8" t="inlineStr">
        <is>
          <t>BaseDamage</t>
        </is>
      </c>
      <c r="K908" s="8" t="inlineStr">
        <is>
          <t>BaseHitDamage</t>
        </is>
      </c>
      <c r="L908" s="8" t="inlineStr">
        <is>
          <t>NonCritAvg</t>
        </is>
      </c>
      <c r="M908" s="8" t="inlineStr">
        <is>
          <t>CritAvg</t>
        </is>
      </c>
      <c r="N908" s="8" t="inlineStr">
        <is>
          <t>ExpectedDamage(perHit)</t>
        </is>
      </c>
      <c r="O908" s="8" t="inlineStr">
        <is>
          <t>DPS</t>
        </is>
      </c>
      <c r="P908" s="8" t="inlineStr">
        <is>
          <t>% of Total</t>
        </is>
      </c>
      <c r="Q908" s="8" t="inlineStr">
        <is>
          <t>InvCooldown</t>
        </is>
      </c>
      <c r="R908" s="8" t="inlineStr">
        <is>
          <t>CastsInFight</t>
        </is>
      </c>
      <c r="S908" s="8" t="inlineStr">
        <is>
          <t>HitRate(perSec)</t>
        </is>
      </c>
      <c r="U908" t="inlineStr">
        <is>
          <t>helpers</t>
        </is>
      </c>
    </row>
    <row r="909">
      <c r="A909">
        <f>Skills!A2</f>
        <v/>
      </c>
      <c r="B909">
        <f>Skills!B2</f>
        <v/>
      </c>
      <c r="C909">
        <f>Inputs!$B$3&gt;=100</f>
        <v/>
      </c>
      <c r="D909" t="inlineStr"/>
      <c r="E909" t="inlineStr"/>
      <c r="F909">
        <f>U911+Skills!O2</f>
        <v/>
      </c>
      <c r="G909">
        <f>Skills!G2*IF(Skills!H2&gt;0,Skills!I2/Skills!H2,1)</f>
        <v/>
      </c>
      <c r="H909">
        <f>1-(1-Skills!J2/100)^Skills!K2</f>
        <v/>
      </c>
      <c r="I909" t="inlineStr">
        <is>
          <t>1</t>
        </is>
      </c>
      <c r="J909">
        <f>(Inputs!$B$5*(1+Inputs!$B$6/100))*(F909/100)</f>
        <v/>
      </c>
      <c r="K909">
        <f>J909*(1+((Inputs!$B$11*(1+Inputs!$B$12/100))*0.01+Inputs!$B$13*0.0025)/100)*(1+Inputs!$B$14/100)*(1+IF(Inputs!$B$4="pvp",0,(1-Summary!$B$55)*(Inputs!$B$19+0+Skills!P2)+Summary!$B$55*(Inputs!$B$20+Skills!Q2))/100)*(1+Inputs!$B$15/100)*(5000/(6000+Inputs!$B$7*(1-(Inputs!$B$18+0)/100)))*(1+(Inputs!$B$23+0+B940)/100)*(1+(IF(Skills!A2="BLAST",Inputs!$B$16+((C928=TRUE)*(F928-Calc!F21)),Inputs!$B$17+((C930=TRUE)*(F930-Calc!F23))))/100)*((1+(((C920=TRUE)*F920*MIN(1,Skills!T13*(Skills!J13/100)*B938))+((C925=TRUE)*F925*IF(AND(Inputs!$B$4&lt;&gt;"pvp",Inputs!$B$35&gt;0),(((S925-1)*(Skills!T18*(1+Inputs!$B$33/100))+MIN((Skills!T18*(1+Inputs!$B$33/100)),MAX(0,Inputs!$B$35-((S925-1)*Skills!D18))))/Inputs!$B$35),IF(Inputs!$B$4="pvp",MIN((Skills!T18*(1+Inputs!$B$33/100)),15)/15,(Skills!T18*(1+Inputs!$B$33/100))/Skills!D18)))+0)/100)*I909)</f>
        <v/>
      </c>
      <c r="L909">
        <f>K909*(MIN(Inputs!$B$21+((C929=TRUE)*(F929-Calc!F22)),Inputs!$B$22+((C931=TRUE)*(F931-Calc!F24)))/100+(Inputs!$B$22+((C931=TRUE)*(F931-Calc!F24)))/100)/2</f>
        <v/>
      </c>
      <c r="M909">
        <f>L909*(1+(Inputs!$B$9+0+B939)/100)</f>
        <v/>
      </c>
      <c r="N909">
        <f>L909*(1-MIN((Inputs!$B$8+0+B934),100)/100)+M909*(MIN((Inputs!$B$8+0+B934),100)/100)</f>
        <v/>
      </c>
      <c r="O909">
        <f>IF(C909,Skills!G2*N909*B938*IF(Inputs!$B$4="pvp",1,(1-Summary!$B$55)*(1)+Summary!$B$55*(MIN((6+Inputs!$B$32),Inputs!$B$37))),0)</f>
        <v/>
      </c>
      <c r="P909">
        <f>IF(B942=0,0,O909/B942)</f>
        <v/>
      </c>
      <c r="Q909" t="n">
        <v>0</v>
      </c>
      <c r="R909" t="n">
        <v>0</v>
      </c>
      <c r="S909">
        <f>IFERROR(O909/N909,0)</f>
        <v/>
      </c>
      <c r="U909">
        <f>MAX(0,(Inputs!$B$3-100)*3)+Inputs!$B$27+Inputs!$B$28</f>
        <v/>
      </c>
    </row>
    <row r="910">
      <c r="A910">
        <f>Skills!A3</f>
        <v/>
      </c>
      <c r="B910">
        <f>Skills!B3</f>
        <v/>
      </c>
      <c r="C910">
        <f>Inputs!$B$3&gt;=50</f>
        <v/>
      </c>
      <c r="D910">
        <f>IF(Skills!C3=1,60+Inputs!$B$24+Inputs!$B$28,IF(Skills!C3=2,90+Inputs!$B$25+Inputs!$B$28,IF(Skills!C3=3,120+Inputs!$B$26+Inputs!$B$28,MAX(0,(Inputs!$B$3-100)*3)+Inputs!$B$27+Inputs!$B$28)))</f>
        <v/>
      </c>
      <c r="E910">
        <f>INDEX(FactorTable!$B$2:$Y$301, MATCH(ROUND(MIN(300,MAX(1,D910)),0), FactorTable!$A$2:$A$301,0), Skills!M3+1)</f>
        <v/>
      </c>
      <c r="F910">
        <f>IF(Skills!N3=TRUE,(Skills!L3/10)*(E910/1000),Skills!L3/10)+Skills!O3</f>
        <v/>
      </c>
      <c r="G910" t="inlineStr"/>
      <c r="H910" t="inlineStr"/>
      <c r="I910" t="inlineStr">
        <is>
          <t>1</t>
        </is>
      </c>
      <c r="J910" t="inlineStr"/>
      <c r="K910" t="inlineStr"/>
      <c r="L910" t="inlineStr"/>
      <c r="M910" t="inlineStr"/>
      <c r="N910" t="inlineStr"/>
      <c r="O910" t="inlineStr"/>
      <c r="P910" t="inlineStr"/>
      <c r="Q910" t="inlineStr"/>
      <c r="R910" t="inlineStr"/>
      <c r="S910" t="inlineStr"/>
      <c r="U910">
        <f>INDEX(FactorTable!$B$2:$Y$301, MATCH(ROUND(MIN(300,MAX(1,U909)),0), FactorTable!$A$2:$A$301,0), 22)</f>
        <v/>
      </c>
    </row>
    <row r="911">
      <c r="A911">
        <f>Skills!A4</f>
        <v/>
      </c>
      <c r="B911">
        <f>Skills!B4</f>
        <v/>
      </c>
      <c r="C911">
        <f>Inputs!$B$3&gt;=35</f>
        <v/>
      </c>
      <c r="D911">
        <f>IF(Skills!C4=1,60+Inputs!$B$24+Inputs!$B$28,IF(Skills!C4=2,90+Inputs!$B$25+Inputs!$B$28,IF(Skills!C4=3,120+Inputs!$B$26+Inputs!$B$28,MAX(0,(Inputs!$B$3-100)*3)+Inputs!$B$27+Inputs!$B$28)))</f>
        <v/>
      </c>
      <c r="E911">
        <f>INDEX(FactorTable!$B$2:$Y$301, MATCH(ROUND(MIN(300,MAX(1,D911)),0), FactorTable!$A$2:$A$301,0), Skills!M4+1)</f>
        <v/>
      </c>
      <c r="F911">
        <f>IF(Skills!N4=TRUE,(Skills!L4/10)*(E911/1000),Skills!L4/10)+Skills!O4</f>
        <v/>
      </c>
      <c r="G911">
        <f>Skills!G4*IF(Skills!H4&gt;0,Skills!I4/Skills!H4,1)</f>
        <v/>
      </c>
      <c r="H911">
        <f>1-(1-Skills!J4/100)^Skills!K4</f>
        <v/>
      </c>
      <c r="I911" t="inlineStr">
        <is>
          <t>1</t>
        </is>
      </c>
      <c r="J911">
        <f>(Inputs!$B$5*(1+Inputs!$B$6/100))*(F911/100)</f>
        <v/>
      </c>
      <c r="K911">
        <f>J911*(1+((Inputs!$B$11*(1+Inputs!$B$12/100))*0.01+Inputs!$B$13*0.0025)/100)*(1+Inputs!$B$14/100)*(1+IF(Inputs!$B$4="pvp",0,(1-Summary!$B$55)*(Inputs!$B$19+0+Skills!P4)+Summary!$B$55*(Inputs!$B$20+Skills!Q4))/100)*(1+Inputs!$B$15/100)*(5000/(6000+Inputs!$B$7*(1-(Inputs!$B$18+0)/100)))*(1+(Inputs!$B$23+0+B940)/100)*(1+4.0*IF(C919=TRUE,F919,0)/100)*(1+(IF(Skills!A4="BLAST",Inputs!$B$16+((C928=TRUE)*(F928-Calc!F21)),Inputs!$B$17+((C930=TRUE)*(F930-Calc!F23))))/100)*((1+(((C920=TRUE)*F920*MIN(1,Skills!T13*(Skills!J13/100)*B938))+((C925=TRUE)*F925*IF(AND(Inputs!$B$4&lt;&gt;"pvp",Inputs!$B$35&gt;0),(((S925-1)*(Skills!T18*(1+Inputs!$B$33/100))+MIN((Skills!T18*(1+Inputs!$B$33/100)),MAX(0,Inputs!$B$35-((S925-1)*Skills!D18))))/Inputs!$B$35),IF(Inputs!$B$4="pvp",MIN((Skills!T18*(1+Inputs!$B$33/100)),15)/15,(Skills!T18*(1+Inputs!$B$33/100))/Skills!D18)))+0)/100)*I911)</f>
        <v/>
      </c>
      <c r="L911">
        <f>K911*(MIN(Inputs!$B$21+((C929=TRUE)*(F929-Calc!F22)),Inputs!$B$22+((C931=TRUE)*(F931-Calc!F24)))/100+(Inputs!$B$22+((C931=TRUE)*(F931-Calc!F24)))/100)/2</f>
        <v/>
      </c>
      <c r="M911">
        <f>L911*(1+(Inputs!$B$9+0+B939)/100)</f>
        <v/>
      </c>
      <c r="N911">
        <f>L911*(1-MIN((Inputs!$B$8+0+B934),100)/100)+M911*(MIN((Inputs!$B$8+0+B934),100)/100)</f>
        <v/>
      </c>
      <c r="O911">
        <f>IF(C911,H911*N911*IF(AND(Inputs!$B$4&lt;&gt;"pvp",Inputs!$B$35&gt;0),((Skills!G4*((R911-1)*IF(Skills!H4&gt;0,Skills!I4/Skills!H4,1)+IF(Skills!H4&gt;0,MIN(Skills!I4,MAX(0,Inputs!$B$35-((R911-1)*IF(Inputs!$B$4="pvp",15,MAX(0.1,Skills!D4-IF(Skills!E4=TRUE,(Inputs!$B$31+1),0))))))/Skills!H4,1)))/Inputs!$B$35),G911*Q911)*IF(Inputs!$B$4="pvp",1,(1-Summary!$B$55)*(1)+Summary!$B$55*(MIN(Skills!R4,Inputs!$B$37))),0)</f>
        <v/>
      </c>
      <c r="P911">
        <f>IF(B942=0,0,O911/B942)</f>
        <v/>
      </c>
      <c r="Q911">
        <f>IFERROR(1/IF(Inputs!$B$4="pvp",15,MAX(0.1,Skills!D4-IF(Skills!E4=TRUE,(Inputs!$B$31+1),0))),0)</f>
        <v/>
      </c>
      <c r="R911">
        <f>IF(AND(Inputs!$B$4&lt;&gt;"pvp",Inputs!$B$35&gt;0),(INT(Inputs!$B$35/IF(Inputs!$B$4="pvp",15,MAX(0.1,Skills!D4-IF(Skills!E4=TRUE,(Inputs!$B$31+1),0))))+1),0)</f>
        <v/>
      </c>
      <c r="S911">
        <f>IFERROR(O911/N911,0)</f>
        <v/>
      </c>
      <c r="U911">
        <f>290*U910/1000</f>
        <v/>
      </c>
    </row>
    <row r="912">
      <c r="A912">
        <f>Skills!A5</f>
        <v/>
      </c>
      <c r="B912">
        <f>Skills!B5</f>
        <v/>
      </c>
      <c r="C912">
        <f>Inputs!$B$3&gt;=66</f>
        <v/>
      </c>
      <c r="D912">
        <f>IF(Skills!C5=1,60+Inputs!$B$24+Inputs!$B$28,IF(Skills!C5=2,90+Inputs!$B$25+Inputs!$B$28,IF(Skills!C5=3,120+Inputs!$B$26+Inputs!$B$28,MAX(0,(Inputs!$B$3-100)*3)+Inputs!$B$27+Inputs!$B$28)))</f>
        <v/>
      </c>
      <c r="E912">
        <f>INDEX(FactorTable!$B$2:$Y$301, MATCH(ROUND(MIN(300,MAX(1,D912)),0), FactorTable!$A$2:$A$301,0), Skills!M5+1)</f>
        <v/>
      </c>
      <c r="F912">
        <f>IF(Skills!N5=TRUE,(Skills!L5/10)*(E912/1000),Skills!L5/10)+Skills!O5</f>
        <v/>
      </c>
      <c r="G912">
        <f>Skills!G5*IF(Skills!H5&gt;0,Skills!I5/Skills!H5,1)</f>
        <v/>
      </c>
      <c r="H912">
        <f>1-(1-Skills!J5/100)^Skills!K5</f>
        <v/>
      </c>
      <c r="I912" t="inlineStr">
        <is>
          <t>1</t>
        </is>
      </c>
      <c r="J912">
        <f>(Inputs!$B$5*(1+Inputs!$B$6/100))*(F912/100)</f>
        <v/>
      </c>
      <c r="K912">
        <f>J912*(1+((Inputs!$B$11*(1+Inputs!$B$12/100))*0.01+Inputs!$B$13*0.0025)/100)*(1+Inputs!$B$14/100)*(1+IF(Inputs!$B$4="pvp",0,(1-Summary!$B$55)*(Inputs!$B$19+0+Skills!P5)+Summary!$B$55*(Inputs!$B$20+Skills!Q5))/100)*(1+Inputs!$B$15/100)*(5000/(6000+Inputs!$B$7*(1-(Inputs!$B$18+0)/100)))*(1+(Inputs!$B$23+0+B940)/100)*(1+1.0*IF(C919=TRUE,F919,0)/100)*(1+(IF(Skills!A5="BLAST",Inputs!$B$16+((C928=TRUE)*(F928-Calc!F21)),Inputs!$B$17+((C930=TRUE)*(F930-Calc!F23))))/100)*((1+(((C920=TRUE)*F920*MIN(1,Skills!T13*(Skills!J13/100)*B938))+((C925=TRUE)*F925*IF(AND(Inputs!$B$4&lt;&gt;"pvp",Inputs!$B$35&gt;0),(((S925-1)*(Skills!T18*(1+Inputs!$B$33/100))+MIN((Skills!T18*(1+Inputs!$B$33/100)),MAX(0,Inputs!$B$35-((S925-1)*Skills!D18))))/Inputs!$B$35),IF(Inputs!$B$4="pvp",MIN((Skills!T18*(1+Inputs!$B$33/100)),15)/15,(Skills!T18*(1+Inputs!$B$33/100))/Skills!D18)))+0)/100)*I912)</f>
        <v/>
      </c>
      <c r="L912">
        <f>K912*(MIN(Inputs!$B$21+((C929=TRUE)*(F929-Calc!F22)),Inputs!$B$22+((C931=TRUE)*(F931-Calc!F24)))/100+(Inputs!$B$22+((C931=TRUE)*(F931-Calc!F24)))/100)/2</f>
        <v/>
      </c>
      <c r="M912">
        <f>L912*(1+(Inputs!$B$9+0+B939)/100)</f>
        <v/>
      </c>
      <c r="N912">
        <f>L912*(1-MIN((Inputs!$B$8+0+B934),100)/100)+M912*(MIN((Inputs!$B$8+0+B934),100)/100)</f>
        <v/>
      </c>
      <c r="O912">
        <f>IF(C912,H912*N912*IF(AND(Inputs!$B$4&lt;&gt;"pvp",Inputs!$B$35&gt;0),((Skills!G5*((R912-1)*IF(Skills!H5&gt;0,Skills!I5/Skills!H5,1)+IF(Skills!H5&gt;0,MIN(Skills!I5,MAX(0,Inputs!$B$35-((R912-1)*IF(Inputs!$B$4="pvp",15,MAX(0.1,Skills!D5-IF(Skills!E5=TRUE,(Inputs!$B$31+1),0))))))/Skills!H5,1)))/Inputs!$B$35),G912*Q912)*IF(Inputs!$B$4="pvp",1,(1-Summary!$B$55)*(1)+Summary!$B$55*(MIN(Skills!R5,Inputs!$B$37))),0)</f>
        <v/>
      </c>
      <c r="P912">
        <f>IF(B942=0,0,O912/B942)</f>
        <v/>
      </c>
      <c r="Q912">
        <f>IFERROR(1/IF(Inputs!$B$4="pvp",15,MAX(0.1,Skills!D5-IF(Skills!E5=TRUE,(Inputs!$B$31+1),0))),0)</f>
        <v/>
      </c>
      <c r="R912">
        <f>IF(AND(Inputs!$B$4&lt;&gt;"pvp",Inputs!$B$35&gt;0),(INT(Inputs!$B$35/IF(Inputs!$B$4="pvp",15,MAX(0.1,Skills!D5-IF(Skills!E5=TRUE,(Inputs!$B$31+1),0))))+1),0)</f>
        <v/>
      </c>
      <c r="S912">
        <f>IFERROR(O912/N912,0)</f>
        <v/>
      </c>
    </row>
    <row r="913">
      <c r="A913">
        <f>Skills!A6</f>
        <v/>
      </c>
      <c r="B913">
        <f>Skills!B6</f>
        <v/>
      </c>
      <c r="C913">
        <f>Inputs!$B$3&gt;=103</f>
        <v/>
      </c>
      <c r="D913">
        <f>IF(Skills!C6=1,60+Inputs!$B$24+Inputs!$B$28,IF(Skills!C6=2,90+Inputs!$B$25+Inputs!$B$28,IF(Skills!C6=3,120+Inputs!$B$26+Inputs!$B$28,MAX(0,(Inputs!$B$3-100)*3)+Inputs!$B$27+Inputs!$B$28)))</f>
        <v/>
      </c>
      <c r="E913">
        <f>INDEX(FactorTable!$B$2:$Y$301, MATCH(ROUND(MIN(300,MAX(1,D913)),0), FactorTable!$A$2:$A$301,0), Skills!M6+1)</f>
        <v/>
      </c>
      <c r="F913">
        <f>IF(Skills!N6=TRUE,(Skills!L6/10)*(E913/1000),Skills!L6/10)+Skills!O6</f>
        <v/>
      </c>
      <c r="G913">
        <f>Skills!G6*IF(Skills!H6&gt;0,Skills!I6/Skills!H6,1)</f>
        <v/>
      </c>
      <c r="H913">
        <f>1-(1-Skills!J6/100)^Skills!K6</f>
        <v/>
      </c>
      <c r="I913" t="inlineStr">
        <is>
          <t>1</t>
        </is>
      </c>
      <c r="J913">
        <f>(Inputs!$B$5*(1+Inputs!$B$6/100))*(F913/100)</f>
        <v/>
      </c>
      <c r="K913">
        <f>J913*(1+((Inputs!$B$11*(1+Inputs!$B$12/100))*0.01+Inputs!$B$13*0.0025)/100)*(1+Inputs!$B$14/100)*(1+IF(Inputs!$B$4="pvp",0,(1-Summary!$B$55)*(Inputs!$B$19+0+Skills!P6)+Summary!$B$55*(Inputs!$B$20+Skills!Q6))/100)*(1+Inputs!$B$15/100)*(5000/(6000+Inputs!$B$7*(1-(Inputs!$B$18+0)/100)))*(1+(Inputs!$B$23+0+B940)/100)*(1+(IF(Skills!A6="BLAST",Inputs!$B$16+((C928=TRUE)*(F928-Calc!F21)),Inputs!$B$17+((C930=TRUE)*(F930-Calc!F23))))/100)*((1+(((C920=TRUE)*F920*MIN(1,Skills!T13*(Skills!J13/100)*B938))+((C925=TRUE)*F925*IF(AND(Inputs!$B$4&lt;&gt;"pvp",Inputs!$B$35&gt;0),(((S925-1)*(Skills!T18*(1+Inputs!$B$33/100))+MIN((Skills!T18*(1+Inputs!$B$33/100)),MAX(0,Inputs!$B$35-((S925-1)*Skills!D18))))/Inputs!$B$35),IF(Inputs!$B$4="pvp",MIN((Skills!T18*(1+Inputs!$B$33/100)),15)/15,(Skills!T18*(1+Inputs!$B$33/100))/Skills!D18)))+0)/100)*I913)</f>
        <v/>
      </c>
      <c r="L913">
        <f>K913*(MIN(Inputs!$B$21+((C929=TRUE)*(F929-Calc!F22)),Inputs!$B$22+((C931=TRUE)*(F931-Calc!F24)))/100+(Inputs!$B$22+((C931=TRUE)*(F931-Calc!F24)))/100)/2</f>
        <v/>
      </c>
      <c r="M913">
        <f>L913*(1+(Inputs!$B$9+0+B939)/100)</f>
        <v/>
      </c>
      <c r="N913">
        <f>L913*(1-MIN((Inputs!$B$8+0+B934),100)/100)+M913*(MIN((Inputs!$B$8+0+B934),100)/100)</f>
        <v/>
      </c>
      <c r="O913">
        <f>IF(C913,H913*N913*IF(AND(Inputs!$B$4&lt;&gt;"pvp",Inputs!$B$35&gt;0),((Skills!G6*((R913-1)*IF(Skills!H6&gt;0,Skills!I6/Skills!H6,1)+IF(Skills!H6&gt;0,MIN(Skills!I6,MAX(0,Inputs!$B$35-((R913-1)*IF(Inputs!$B$4="pvp",15,MAX(0.1,Skills!D6-IF(Skills!E6=TRUE,(Inputs!$B$31+1),0))))))/Skills!H6,1)))/Inputs!$B$35),G913*Q913)*IF(Inputs!$B$4="pvp",1,(1-Summary!$B$55)*(1)+Summary!$B$55*(MIN(Skills!R6,Inputs!$B$37))),0)</f>
        <v/>
      </c>
      <c r="P913">
        <f>IF(B942=0,0,O913/B942)</f>
        <v/>
      </c>
      <c r="Q913">
        <f>IFERROR(1/IF(Inputs!$B$4="pvp",15,MAX(0.1,Skills!D6-IF(Skills!E6=TRUE,(Inputs!$B$31+1),0))),0)</f>
        <v/>
      </c>
      <c r="R913">
        <f>IF(AND(Inputs!$B$4&lt;&gt;"pvp",Inputs!$B$35&gt;0),(INT(Inputs!$B$35/IF(Inputs!$B$4="pvp",15,MAX(0.1,Skills!D6-IF(Skills!E6=TRUE,(Inputs!$B$31+1),0))))+1),0)</f>
        <v/>
      </c>
      <c r="S913">
        <f>IFERROR(O913/N913,0)</f>
        <v/>
      </c>
    </row>
    <row r="914">
      <c r="A914">
        <f>Skills!A7</f>
        <v/>
      </c>
      <c r="B914">
        <f>Skills!B7</f>
        <v/>
      </c>
      <c r="C914">
        <f>Inputs!$B$3&gt;=107</f>
        <v/>
      </c>
      <c r="D914">
        <f>IF(Skills!C7=1,60+Inputs!$B$24+Inputs!$B$28,IF(Skills!C7=2,90+Inputs!$B$25+Inputs!$B$28,IF(Skills!C7=3,120+Inputs!$B$26+Inputs!$B$28,MAX(0,(Inputs!$B$3-100)*3)+Inputs!$B$27+Inputs!$B$28)))</f>
        <v/>
      </c>
      <c r="E914">
        <f>INDEX(FactorTable!$B$2:$Y$301, MATCH(ROUND(MIN(300,MAX(1,D914)),0), FactorTable!$A$2:$A$301,0), Skills!M7+1)</f>
        <v/>
      </c>
      <c r="F914">
        <f>IF(Skills!N7=TRUE,(Skills!L7/10)*(E914/1000),Skills!L7/10)+Skills!O7</f>
        <v/>
      </c>
      <c r="G914">
        <f>Skills!G7*IF(Skills!H7&gt;0,Skills!I7/Skills!H7,1)</f>
        <v/>
      </c>
      <c r="H914">
        <f>1-(1-Skills!J7/100)^Skills!K7</f>
        <v/>
      </c>
      <c r="I914" t="inlineStr">
        <is>
          <t>1</t>
        </is>
      </c>
      <c r="J914">
        <f>(Inputs!$B$5*(1+Inputs!$B$6/100))*(F914/100)</f>
        <v/>
      </c>
      <c r="K914">
        <f>J914*(1+((Inputs!$B$11*(1+Inputs!$B$12/100))*0.01+Inputs!$B$13*0.0025)/100)*(1+Inputs!$B$14/100)*(1+IF(Inputs!$B$4="pvp",0,(1-Summary!$B$55)*(Inputs!$B$19+0+Skills!P7)+Summary!$B$55*(Inputs!$B$20+Skills!Q7))/100)*(1+Inputs!$B$15/100)*(5000/(6000+Inputs!$B$7*(1-(Inputs!$B$18+0)/100)))*(1+(Inputs!$B$23+0+B940)/100)*(1+(IF(Skills!A7="BLAST",Inputs!$B$16+((C928=TRUE)*(F928-Calc!F21)),Inputs!$B$17+((C930=TRUE)*(F930-Calc!F23))))/100)*((1+(((C920=TRUE)*F920*MIN(1,Skills!T13*(Skills!J13/100)*B938))+((C925=TRUE)*F925*IF(AND(Inputs!$B$4&lt;&gt;"pvp",Inputs!$B$35&gt;0),(((S925-1)*(Skills!T18*(1+Inputs!$B$33/100))+MIN((Skills!T18*(1+Inputs!$B$33/100)),MAX(0,Inputs!$B$35-((S925-1)*Skills!D18))))/Inputs!$B$35),IF(Inputs!$B$4="pvp",MIN((Skills!T18*(1+Inputs!$B$33/100)),15)/15,(Skills!T18*(1+Inputs!$B$33/100))/Skills!D18)))+0)/100)*I914)</f>
        <v/>
      </c>
      <c r="L914">
        <f>K914*(MIN(Inputs!$B$21+((C929=TRUE)*(F929-Calc!F22)),Inputs!$B$22+((C931=TRUE)*(F931-Calc!F24)))/100+(Inputs!$B$22+((C931=TRUE)*(F931-Calc!F24)))/100)/2</f>
        <v/>
      </c>
      <c r="M914">
        <f>L914*(1+(Inputs!$B$9+0+B939)/100)</f>
        <v/>
      </c>
      <c r="N914">
        <f>L914*(1-MIN((Inputs!$B$8+0+B934),100)/100)+M914*(MIN((Inputs!$B$8+0+B934),100)/100)</f>
        <v/>
      </c>
      <c r="O914">
        <f>IF(C914,H914*N914*IF(AND(Inputs!$B$4&lt;&gt;"pvp",Inputs!$B$35&gt;0),((Skills!G7*((R914-1)*IF(Skills!H7&gt;0,Skills!I7/Skills!H7,1)+IF(Skills!H7&gt;0,MIN(Skills!I7,MAX(0,Inputs!$B$35-((R914-1)*IF(Inputs!$B$4="pvp",15,MAX(0.1,Skills!D7-IF(Skills!E7=TRUE,(Inputs!$B$31+1),0))))))/Skills!H7,1)))/Inputs!$B$35),G914*Q914)*IF(Inputs!$B$4="pvp",1,(1-Summary!$B$55)*(1)+Summary!$B$55*(MIN(Skills!R7,Inputs!$B$37))),0)</f>
        <v/>
      </c>
      <c r="P914">
        <f>IF(B942=0,0,O914/B942)</f>
        <v/>
      </c>
      <c r="Q914">
        <f>IFERROR(1/IF(Inputs!$B$4="pvp",15,MAX(0.1,Skills!D7-IF(Skills!E7=TRUE,(Inputs!$B$31+1),0))),0)</f>
        <v/>
      </c>
      <c r="R914">
        <f>IF(AND(Inputs!$B$4&lt;&gt;"pvp",Inputs!$B$35&gt;0),(INT(Inputs!$B$35/IF(Inputs!$B$4="pvp",15,MAX(0.1,Skills!D7-IF(Skills!E7=TRUE,(Inputs!$B$31+1),0))))+1),0)</f>
        <v/>
      </c>
      <c r="S914">
        <f>IFERROR(O914/N914,0)</f>
        <v/>
      </c>
    </row>
    <row r="915">
      <c r="A915">
        <f>Skills!A8</f>
        <v/>
      </c>
      <c r="B915">
        <f>Skills!B8</f>
        <v/>
      </c>
      <c r="C915">
        <f>Inputs!$B$3&gt;=107</f>
        <v/>
      </c>
      <c r="D915">
        <f>IF(Skills!C8=1,60+Inputs!$B$24+Inputs!$B$28,IF(Skills!C8=2,90+Inputs!$B$25+Inputs!$B$28,IF(Skills!C8=3,120+Inputs!$B$26+Inputs!$B$28,MAX(0,(Inputs!$B$3-100)*3)+Inputs!$B$27+Inputs!$B$28)))</f>
        <v/>
      </c>
      <c r="E915">
        <f>INDEX(FactorTable!$B$2:$Y$301, MATCH(ROUND(MIN(300,MAX(1,D915)),0), FactorTable!$A$2:$A$301,0), Skills!M8+1)</f>
        <v/>
      </c>
      <c r="F915">
        <f>IF(Skills!N8=TRUE,(Skills!L8/10)*(E915/1000),Skills!L8/10)+Skills!O8</f>
        <v/>
      </c>
      <c r="G915">
        <f>Skills!G8*IF(Skills!H8&gt;0,Skills!I8/Skills!H8,1)</f>
        <v/>
      </c>
      <c r="H915">
        <f>1-(1-Skills!J8/100)^Skills!K8</f>
        <v/>
      </c>
      <c r="I915" t="inlineStr">
        <is>
          <t>1</t>
        </is>
      </c>
      <c r="J915">
        <f>(Inputs!$B$5*(1+Inputs!$B$6/100))*(F915/100)</f>
        <v/>
      </c>
      <c r="K915">
        <f>J915*(1+((Inputs!$B$11*(1+Inputs!$B$12/100))*0.01+Inputs!$B$13*0.0025)/100)*(1+Inputs!$B$14/100)*(1+IF(Inputs!$B$4="pvp",0,(1-Summary!$B$55)*(Inputs!$B$19+0+Skills!P8)+Summary!$B$55*(Inputs!$B$20+Skills!Q8))/100)*(1+Inputs!$B$15/100)*(5000/(6000+Inputs!$B$7*(1-(Inputs!$B$18+0)/100)))*(1+(Inputs!$B$23+0+B940)/100)*(1+(IF(Skills!A8="BLAST",Inputs!$B$16+((C928=TRUE)*(F928-Calc!F21)),Inputs!$B$17+((C930=TRUE)*(F930-Calc!F23))))/100)*((1+(((C920=TRUE)*F920*MIN(1,Skills!T13*(Skills!J13/100)*B938))+((C925=TRUE)*F925*IF(AND(Inputs!$B$4&lt;&gt;"pvp",Inputs!$B$35&gt;0),(((S925-1)*(Skills!T18*(1+Inputs!$B$33/100))+MIN((Skills!T18*(1+Inputs!$B$33/100)),MAX(0,Inputs!$B$35-((S925-1)*Skills!D18))))/Inputs!$B$35),IF(Inputs!$B$4="pvp",MIN((Skills!T18*(1+Inputs!$B$33/100)),15)/15,(Skills!T18*(1+Inputs!$B$33/100))/Skills!D18)))+0)/100)*I915)</f>
        <v/>
      </c>
      <c r="L915">
        <f>K915*(MIN(Inputs!$B$21+((C929=TRUE)*(F929-Calc!F22)),Inputs!$B$22+((C931=TRUE)*(F931-Calc!F24)))/100+(Inputs!$B$22+((C931=TRUE)*(F931-Calc!F24)))/100)/2</f>
        <v/>
      </c>
      <c r="M915">
        <f>L915*(1+(Inputs!$B$9+0+B939)/100)</f>
        <v/>
      </c>
      <c r="N915">
        <f>L915*(1-MIN((Inputs!$B$8+0+B934),100)/100)+M915*(MIN((Inputs!$B$8+0+B934),100)/100)</f>
        <v/>
      </c>
      <c r="O915">
        <f>IF(C915,H915*N915*IF(AND(Inputs!$B$4&lt;&gt;"pvp",Inputs!$B$35&gt;0),((Skills!G8*((R915-1)*IF(Skills!H8&gt;0,Skills!I8/Skills!H8,1)+IF(Skills!H8&gt;0,MIN(Skills!I8,MAX(0,Inputs!$B$35-((R915-1)*IF(Inputs!$B$4="pvp",15,MAX(0.1,Skills!D8-IF(Skills!E8=TRUE,(Inputs!$B$31+1),0))))))/Skills!H8,1)))/Inputs!$B$35),G915*Q915)*IF(Inputs!$B$4="pvp",1,(1-Summary!$B$55)*(1)+Summary!$B$55*(MIN(Skills!R8,Inputs!$B$37))),0)</f>
        <v/>
      </c>
      <c r="P915">
        <f>IF(B942=0,0,O915/B942)</f>
        <v/>
      </c>
      <c r="Q915">
        <f>IFERROR(1/IF(Inputs!$B$4="pvp",15,MAX(0.1,Skills!D8-IF(Skills!E8=TRUE,(Inputs!$B$31+1),0))),0)</f>
        <v/>
      </c>
      <c r="R915">
        <f>IF(AND(Inputs!$B$4&lt;&gt;"pvp",Inputs!$B$35&gt;0),(INT(Inputs!$B$35/IF(Inputs!$B$4="pvp",15,MAX(0.1,Skills!D8-IF(Skills!E8=TRUE,(Inputs!$B$31+1),0))))+1),0)</f>
        <v/>
      </c>
      <c r="S915">
        <f>IFERROR(O915/N915,0)</f>
        <v/>
      </c>
    </row>
    <row r="916">
      <c r="A916">
        <f>Skills!A9</f>
        <v/>
      </c>
      <c r="B916">
        <f>Skills!B9</f>
        <v/>
      </c>
      <c r="C916">
        <f>Inputs!$B$3&gt;=125</f>
        <v/>
      </c>
      <c r="D916">
        <f>IF(Skills!C9=1,60+Inputs!$B$24+Inputs!$B$28,IF(Skills!C9=2,90+Inputs!$B$25+Inputs!$B$28,IF(Skills!C9=3,120+Inputs!$B$26+Inputs!$B$28,MAX(0,(Inputs!$B$3-100)*3)+Inputs!$B$27+Inputs!$B$28)))</f>
        <v/>
      </c>
      <c r="E916">
        <f>INDEX(FactorTable!$B$2:$Y$301, MATCH(ROUND(MIN(300,MAX(1,D916)),0), FactorTable!$A$2:$A$301,0), Skills!M9+1)</f>
        <v/>
      </c>
      <c r="F916">
        <f>IF(Skills!N9=TRUE,(Skills!L9/10)*(E916/1000),Skills!L9/10)+Skills!O9</f>
        <v/>
      </c>
      <c r="G916">
        <f>Skills!G9*IF(Skills!H9&gt;0,Skills!I9/Skills!H9,1)</f>
        <v/>
      </c>
      <c r="H916">
        <f>1-(1-Skills!J9/100)^Skills!K9</f>
        <v/>
      </c>
      <c r="I916" t="inlineStr">
        <is>
          <t>1</t>
        </is>
      </c>
      <c r="J916">
        <f>(Inputs!$B$5*(1+Inputs!$B$6/100))*(F916/100)</f>
        <v/>
      </c>
      <c r="K916">
        <f>J916*(1+((Inputs!$B$11*(1+Inputs!$B$12/100))*0.01+Inputs!$B$13*0.0025)/100)*(1+Inputs!$B$14/100)*(1+IF(Inputs!$B$4="pvp",0,(1-Summary!$B$55)*(Inputs!$B$19+0+Skills!P9)+Summary!$B$55*(Inputs!$B$20+Skills!Q9))/100)*(1+Inputs!$B$15/100)*(5000/(6000+Inputs!$B$7*(1-(Inputs!$B$18+0)/100)))*(1+(Inputs!$B$23+0+B940)/100)*(1+(IF(Skills!A9="BLAST",Inputs!$B$16+((C928=TRUE)*(F928-Calc!F21)),Inputs!$B$17+((C930=TRUE)*(F930-Calc!F23))))/100)*((1+(((C920=TRUE)*F920*MIN(1,Skills!T13*(Skills!J13/100)*B938))+((C925=TRUE)*F925*IF(AND(Inputs!$B$4&lt;&gt;"pvp",Inputs!$B$35&gt;0),(((S925-1)*(Skills!T18*(1+Inputs!$B$33/100))+MIN((Skills!T18*(1+Inputs!$B$33/100)),MAX(0,Inputs!$B$35-((S925-1)*Skills!D18))))/Inputs!$B$35),IF(Inputs!$B$4="pvp",MIN((Skills!T18*(1+Inputs!$B$33/100)),15)/15,(Skills!T18*(1+Inputs!$B$33/100))/Skills!D18)))+0)/100)*I916)</f>
        <v/>
      </c>
      <c r="L916">
        <f>K916*(MIN(Inputs!$B$21+((C929=TRUE)*(F929-Calc!F22)),Inputs!$B$22+((C931=TRUE)*(F931-Calc!F24)))/100+(Inputs!$B$22+((C931=TRUE)*(F931-Calc!F24)))/100)/2</f>
        <v/>
      </c>
      <c r="M916">
        <f>L916*(1+(Inputs!$B$9+0+B939)/100)</f>
        <v/>
      </c>
      <c r="N916">
        <f>L916*(1-MIN((Inputs!$B$8+0+B934),100)/100)+M916*(MIN((Inputs!$B$8+0+B934),100)/100)</f>
        <v/>
      </c>
      <c r="O916">
        <f>IF(C916,H916*N916*IF(AND(Inputs!$B$4&lt;&gt;"pvp",Inputs!$B$35&gt;0),((Skills!G9*((R916-1)*IF(Skills!H9&gt;0,Skills!I9/Skills!H9,1)+IF(Skills!H9&gt;0,MIN(Skills!I9,MAX(0,Inputs!$B$35-((R916-1)*IF(Inputs!$B$4="pvp",15,MAX(0.1,Skills!D9-IF(Skills!E9=TRUE,(Inputs!$B$31+1),0))))))/Skills!H9,1)))/Inputs!$B$35),G916*Q916)*IF(Inputs!$B$4="pvp",1,(1-Summary!$B$55)*(1)+Summary!$B$55*(MIN(Skills!R9,Inputs!$B$37))),0)</f>
        <v/>
      </c>
      <c r="P916">
        <f>IF(B942=0,0,O916/B942)</f>
        <v/>
      </c>
      <c r="Q916">
        <f>IFERROR(1/IF(Inputs!$B$4="pvp",15,MAX(0.1,Skills!D9-IF(Skills!E9=TRUE,(Inputs!$B$31+1),0))),0)</f>
        <v/>
      </c>
      <c r="R916">
        <f>IF(AND(Inputs!$B$4&lt;&gt;"pvp",Inputs!$B$35&gt;0),(INT(Inputs!$B$35/IF(Inputs!$B$4="pvp",15,MAX(0.1,Skills!D9-IF(Skills!E9=TRUE,(Inputs!$B$31+1),0))))+1),0)</f>
        <v/>
      </c>
      <c r="S916">
        <f>IFERROR(O916/N916,0)</f>
        <v/>
      </c>
    </row>
    <row r="917">
      <c r="A917">
        <f>Skills!A10</f>
        <v/>
      </c>
      <c r="B917">
        <f>Skills!B10</f>
        <v/>
      </c>
      <c r="C917">
        <f>Inputs!$B$3&gt;=117</f>
        <v/>
      </c>
      <c r="D917">
        <f>IF(Skills!C10=1,60+Inputs!$B$24+Inputs!$B$28,IF(Skills!C10=2,90+Inputs!$B$25+Inputs!$B$28,IF(Skills!C10=3,120+Inputs!$B$26+Inputs!$B$28,MAX(0,(Inputs!$B$3-100)*3)+Inputs!$B$27+Inputs!$B$28)))</f>
        <v/>
      </c>
      <c r="E917">
        <f>INDEX(FactorTable!$B$2:$Y$301, MATCH(ROUND(MIN(300,MAX(1,D917)),0), FactorTable!$A$2:$A$301,0), Skills!M10+1)</f>
        <v/>
      </c>
      <c r="F917">
        <f>IF(Skills!N10=TRUE,(Skills!L10/10)*(E917/1000),Skills!L10/10)+Skills!O10</f>
        <v/>
      </c>
      <c r="G917">
        <f>Skills!G10*IF(Skills!H10&gt;0,Skills!I10/Skills!H10,1)</f>
        <v/>
      </c>
      <c r="H917">
        <f>1-(1-Skills!J10/100)^Skills!K10</f>
        <v/>
      </c>
      <c r="I917" t="inlineStr">
        <is>
          <t>1</t>
        </is>
      </c>
      <c r="J917">
        <f>(Inputs!$B$5*(1+Inputs!$B$6/100))*(F917/100)</f>
        <v/>
      </c>
      <c r="K917">
        <f>J917*(1+((Inputs!$B$11*(1+Inputs!$B$12/100))*0.01+Inputs!$B$13*0.0025)/100)*(1+Inputs!$B$14/100)*(1+IF(Inputs!$B$4="pvp",0,(1-Summary!$B$55)*(Inputs!$B$19+0+Skills!P10)+Summary!$B$55*(Inputs!$B$20+Skills!Q10))/100)*(1+Inputs!$B$15/100)*(5000/(6000+Inputs!$B$7*(1-(Inputs!$B$18+0)/100)))*(1+(Inputs!$B$23+0+B940)/100)*(1+(IF(Skills!A10="BLAST",Inputs!$B$16+((C928=TRUE)*(F928-Calc!F21)),Inputs!$B$17+((C930=TRUE)*(F930-Calc!F23))))/100)*((1+(((C920=TRUE)*F920*MIN(1,Skills!T13*(Skills!J13/100)*B938))+((C925=TRUE)*F925*IF(AND(Inputs!$B$4&lt;&gt;"pvp",Inputs!$B$35&gt;0),(((S925-1)*(Skills!T18*(1+Inputs!$B$33/100))+MIN((Skills!T18*(1+Inputs!$B$33/100)),MAX(0,Inputs!$B$35-((S925-1)*Skills!D18))))/Inputs!$B$35),IF(Inputs!$B$4="pvp",MIN((Skills!T18*(1+Inputs!$B$33/100)),15)/15,(Skills!T18*(1+Inputs!$B$33/100))/Skills!D18)))+0)/100)*I917)</f>
        <v/>
      </c>
      <c r="L917">
        <f>K917*(MIN(Inputs!$B$21+((C929=TRUE)*(F929-Calc!F22)),Inputs!$B$22+((C931=TRUE)*(F931-Calc!F24)))/100+(Inputs!$B$22+((C931=TRUE)*(F931-Calc!F24)))/100)/2</f>
        <v/>
      </c>
      <c r="M917">
        <f>L917*(1+(Inputs!$B$9+0+B939)/100)</f>
        <v/>
      </c>
      <c r="N917">
        <f>L917*(1-MIN((Inputs!$B$8+0+B934),100)/100)+M917*(MIN((Inputs!$B$8+0+B934),100)/100)</f>
        <v/>
      </c>
      <c r="O917">
        <f>IF(C917,H917*N917*IF(AND(Inputs!$B$4&lt;&gt;"pvp",Inputs!$B$35&gt;0),((Skills!G10*((R917-1)*IF(Skills!H10&gt;0,Skills!I10/Skills!H10,1)+IF(Skills!H10&gt;0,MIN(Skills!I10,MAX(0,Inputs!$B$35-((R917-1)*IF(Inputs!$B$4="pvp",15,MAX(0.1,Skills!D10-IF(Skills!E10=TRUE,(Inputs!$B$31+1),0))))))/Skills!H10,1)))/Inputs!$B$35),G917*Q917)*IF(Inputs!$B$4="pvp",1,(1-Summary!$B$55)*(1)+Summary!$B$55*(MIN(Skills!R10,Inputs!$B$37))),0)</f>
        <v/>
      </c>
      <c r="P917">
        <f>IF(B942=0,0,O917/B942)</f>
        <v/>
      </c>
      <c r="Q917">
        <f>IFERROR(1/IF(Inputs!$B$4="pvp",15,MAX(0.1,Skills!D10-IF(Skills!E10=TRUE,(Inputs!$B$31+1),0))),0)</f>
        <v/>
      </c>
      <c r="R917">
        <f>IF(AND(Inputs!$B$4&lt;&gt;"pvp",Inputs!$B$35&gt;0),(INT(Inputs!$B$35/IF(Inputs!$B$4="pvp",15,MAX(0.1,Skills!D10-IF(Skills!E10=TRUE,(Inputs!$B$31+1),0))))+1),0)</f>
        <v/>
      </c>
      <c r="S917">
        <f>IFERROR(O917/N917,0)</f>
        <v/>
      </c>
    </row>
    <row r="918">
      <c r="A918">
        <f>Skills!A11</f>
        <v/>
      </c>
      <c r="B918">
        <f>Skills!B11</f>
        <v/>
      </c>
      <c r="C918">
        <f>Inputs!$B$3&gt;=63</f>
        <v/>
      </c>
      <c r="D918">
        <f>IF(Skills!C11=1,60+Inputs!$B$24+Inputs!$B$28,IF(Skills!C11=2,90+Inputs!$B$25+Inputs!$B$28,IF(Skills!C11=3,120+Inputs!$B$26+Inputs!$B$28,MAX(0,(Inputs!$B$3-100)*3)+Inputs!$B$27+Inputs!$B$28)))</f>
        <v/>
      </c>
      <c r="E918">
        <f>INDEX(FactorTable!$B$2:$Y$301, MATCH(ROUND(MIN(300,MAX(1,D918)),0), FactorTable!$A$2:$A$301,0), Skills!M11+1)</f>
        <v/>
      </c>
      <c r="F918">
        <f>IF(Skills!N11=TRUE,(Skills!L11/10)*(E918/1000),Skills!L11/10)+Skills!O11</f>
        <v/>
      </c>
      <c r="G918">
        <f>Skills!G11*IF(Skills!H11&gt;0,Skills!I11/Skills!H11,1)</f>
        <v/>
      </c>
      <c r="H918">
        <f>1-(1-Skills!J11/100)^Skills!K11</f>
        <v/>
      </c>
      <c r="I918" t="inlineStr">
        <is>
          <t>1</t>
        </is>
      </c>
      <c r="J918">
        <f>(Inputs!$B$5*(1+Inputs!$B$6/100))*(F918/100)</f>
        <v/>
      </c>
      <c r="K918">
        <f>J918*(1+((Inputs!$B$11*(1+Inputs!$B$12/100))*0.01+Inputs!$B$13*0.0025)/100)*(1+Inputs!$B$14/100)*(1+IF(Inputs!$B$4="pvp",0,(1-Summary!$B$55)*(Inputs!$B$19+0+Skills!P11)+Summary!$B$55*(Inputs!$B$20+Skills!Q11))/100)*(1+Inputs!$B$15/100)*(5000/(6000+Inputs!$B$7*(1-(Inputs!$B$18+0)/100)))*(1+(Inputs!$B$23+0+B940)/100)*(1+1.5*IF(C919=TRUE,F919,0)/100)*(1+(IF(Skills!A11="BLAST",Inputs!$B$16+((C928=TRUE)*(F928-Calc!F21)),Inputs!$B$17+((C930=TRUE)*(F930-Calc!F23))))/100)*((1+(((C920=TRUE)*F920*MIN(1,Skills!T13*(Skills!J13/100)*B938))+((C925=TRUE)*F925*IF(AND(Inputs!$B$4&lt;&gt;"pvp",Inputs!$B$35&gt;0),(((S925-1)*(Skills!T18*(1+Inputs!$B$33/100))+MIN((Skills!T18*(1+Inputs!$B$33/100)),MAX(0,Inputs!$B$35-((S925-1)*Skills!D18))))/Inputs!$B$35),IF(Inputs!$B$4="pvp",MIN((Skills!T18*(1+Inputs!$B$33/100)),15)/15,(Skills!T18*(1+Inputs!$B$33/100))/Skills!D18)))+0)/100)*I918)</f>
        <v/>
      </c>
      <c r="L918">
        <f>K918*(MIN(Inputs!$B$21+((C929=TRUE)*(F929-Calc!F22)),Inputs!$B$22+((C931=TRUE)*(F931-Calc!F24)))/100+(Inputs!$B$22+((C931=TRUE)*(F931-Calc!F24)))/100)/2</f>
        <v/>
      </c>
      <c r="M918">
        <f>L918*(1+(Inputs!$B$9+0+B939)/100)</f>
        <v/>
      </c>
      <c r="N918">
        <f>L918*(1-MIN((Inputs!$B$8+0+B934),100)/100)+M918*(MIN((Inputs!$B$8+0+B934),100)/100)</f>
        <v/>
      </c>
      <c r="O918">
        <f>IF(C918,H918*N918*IF(AND(Inputs!$B$4&lt;&gt;"pvp",Inputs!$B$35&gt;0),((Skills!G11*((R918-1)*IF(Skills!H11&gt;0,Skills!I11/Skills!H11,1)+IF(Skills!H11&gt;0,MIN(Skills!I11,MAX(0,Inputs!$B$35-((R918-1)*IF(Inputs!$B$4="pvp",15,MAX(0.1,Skills!D11-IF(Skills!E11=TRUE,(Inputs!$B$31+1),0))))))/Skills!H11,1)))/Inputs!$B$35),G918*Q918)*IF(Inputs!$B$4="pvp",1,(1-Summary!$B$55)*(1)+Summary!$B$55*(MIN(Skills!R11,Inputs!$B$37))),0)</f>
        <v/>
      </c>
      <c r="P918">
        <f>IF(B942=0,0,O918/B942)</f>
        <v/>
      </c>
      <c r="Q918">
        <f>IFERROR(1/IF(Inputs!$B$4="pvp",15,MAX(0.1,Skills!D11-IF(Skills!E11=TRUE,(Inputs!$B$31+1),0))),0)</f>
        <v/>
      </c>
      <c r="R918">
        <f>IF(AND(Inputs!$B$4&lt;&gt;"pvp",Inputs!$B$35&gt;0),(INT(Inputs!$B$35/IF(Inputs!$B$4="pvp",15,MAX(0.1,Skills!D11-IF(Skills!E11=TRUE,(Inputs!$B$31+1),0))))+1),0)</f>
        <v/>
      </c>
      <c r="S918">
        <f>IFERROR(O918/N918,0)</f>
        <v/>
      </c>
    </row>
    <row r="919">
      <c r="A919">
        <f>Skills!A12</f>
        <v/>
      </c>
      <c r="B919">
        <f>Skills!B12</f>
        <v/>
      </c>
      <c r="C919">
        <f>Inputs!$B$3&gt;=100</f>
        <v/>
      </c>
      <c r="D919">
        <f>IF(Skills!C12=1,60+Inputs!$B$24+Inputs!$B$28,IF(Skills!C12=2,90+Inputs!$B$25+Inputs!$B$28,IF(Skills!C12=3,120+Inputs!$B$26+Inputs!$B$28,MAX(0,(Inputs!$B$3-100)*3)+Inputs!$B$27+Inputs!$B$28)))</f>
        <v/>
      </c>
      <c r="E919">
        <f>INDEX(FactorTable!$B$2:$Y$301, MATCH(ROUND(MIN(300,MAX(1,D919)),0), FactorTable!$A$2:$A$301,0), Skills!M12+1)</f>
        <v/>
      </c>
      <c r="F919">
        <f>IF(Skills!N12=TRUE,(Skills!L12/10)*(E919/1000),Skills!L12/10)+Skills!O12</f>
        <v/>
      </c>
      <c r="G919" t="inlineStr"/>
      <c r="H919" t="inlineStr"/>
      <c r="I919" t="inlineStr">
        <is>
          <t>1</t>
        </is>
      </c>
      <c r="J919" t="inlineStr"/>
      <c r="K919" t="inlineStr"/>
      <c r="L919" t="inlineStr"/>
      <c r="M919" t="inlineStr"/>
      <c r="N919" t="inlineStr"/>
      <c r="O919" t="inlineStr"/>
      <c r="P919" t="inlineStr"/>
      <c r="Q919" t="inlineStr"/>
      <c r="R919" t="inlineStr"/>
      <c r="S919" t="inlineStr"/>
    </row>
    <row r="920">
      <c r="A920">
        <f>Skills!A13</f>
        <v/>
      </c>
      <c r="B920">
        <f>Skills!B13</f>
        <v/>
      </c>
      <c r="C920">
        <f>Inputs!$B$3&gt;=45</f>
        <v/>
      </c>
      <c r="D920">
        <f>IF(Skills!C13=1,60+Inputs!$B$24+Inputs!$B$28,IF(Skills!C13=2,90+Inputs!$B$25+Inputs!$B$28,IF(Skills!C13=3,120+Inputs!$B$26+Inputs!$B$28,MAX(0,(Inputs!$B$3-100)*3)+Inputs!$B$27+Inputs!$B$28)))</f>
        <v/>
      </c>
      <c r="E920">
        <f>INDEX(FactorTable!$B$2:$Y$301, MATCH(ROUND(MIN(300,MAX(1,D920)),0), FactorTable!$A$2:$A$301,0), Skills!M13+1)</f>
        <v/>
      </c>
      <c r="F920">
        <f>IF(Skills!N13=TRUE,(Skills!L13/10)*(E920/1000),Skills!L13/10)+Skills!O13</f>
        <v/>
      </c>
      <c r="G920">
        <f>Skills!G13*IF(Skills!H13&gt;0,Skills!I13/Skills!H13,1)</f>
        <v/>
      </c>
      <c r="H920">
        <f>1-(1-Skills!J13/100)^Skills!K13</f>
        <v/>
      </c>
      <c r="I920" t="inlineStr">
        <is>
          <t>1</t>
        </is>
      </c>
      <c r="J920" t="inlineStr"/>
      <c r="K920" t="inlineStr"/>
      <c r="L920" t="inlineStr"/>
      <c r="M920" t="inlineStr"/>
      <c r="N920" t="inlineStr"/>
      <c r="O920" t="n">
        <v>0</v>
      </c>
      <c r="P920">
        <f>IF(B942=0,0,O920/B942)</f>
        <v/>
      </c>
      <c r="Q920" t="n">
        <v>0</v>
      </c>
      <c r="R920" t="n">
        <v>0</v>
      </c>
      <c r="S920">
        <f>IFERROR(O920/N920,0)</f>
        <v/>
      </c>
    </row>
    <row r="921">
      <c r="A921">
        <f>Skills!A14</f>
        <v/>
      </c>
      <c r="B921">
        <f>Skills!B14</f>
        <v/>
      </c>
      <c r="C921">
        <f>Inputs!$B$3&gt;=110</f>
        <v/>
      </c>
      <c r="D921">
        <f>IF(Skills!C14=1,60+Inputs!$B$24+Inputs!$B$28,IF(Skills!C14=2,90+Inputs!$B$25+Inputs!$B$28,IF(Skills!C14=3,120+Inputs!$B$26+Inputs!$B$28,MAX(0,(Inputs!$B$3-100)*3)+Inputs!$B$27+Inputs!$B$28)))</f>
        <v/>
      </c>
      <c r="E921">
        <f>INDEX(FactorTable!$B$2:$Y$301, MATCH(ROUND(MIN(300,MAX(1,D921)),0), FactorTable!$A$2:$A$301,0), Skills!M14+1)</f>
        <v/>
      </c>
      <c r="F921">
        <f>IF(Skills!N14=TRUE,(Skills!L14/10)*(E921/1000),Skills!L14/10)+Skills!O14</f>
        <v/>
      </c>
      <c r="G921">
        <f>Skills!G14*IF(Skills!H14&gt;0,Skills!I14/Skills!H14,1)</f>
        <v/>
      </c>
      <c r="H921">
        <f>1-(1-Skills!J14/100)^Skills!K14</f>
        <v/>
      </c>
      <c r="I921" t="inlineStr">
        <is>
          <t>1</t>
        </is>
      </c>
      <c r="J921" t="inlineStr"/>
      <c r="K921" t="inlineStr"/>
      <c r="L921" t="inlineStr"/>
      <c r="M921" t="inlineStr"/>
      <c r="N921" t="inlineStr"/>
      <c r="O921" t="n">
        <v>0</v>
      </c>
      <c r="P921">
        <f>IF(B942=0,0,O921/B942)</f>
        <v/>
      </c>
      <c r="Q921" t="n">
        <v>0</v>
      </c>
      <c r="R921" t="n">
        <v>0</v>
      </c>
      <c r="S921">
        <f>IFERROR(O921/N921,0)</f>
        <v/>
      </c>
    </row>
    <row r="922">
      <c r="A922">
        <f>Skills!A15</f>
        <v/>
      </c>
      <c r="B922">
        <f>Skills!B15</f>
        <v/>
      </c>
      <c r="C922">
        <f>Inputs!$B$3&gt;=75</f>
        <v/>
      </c>
      <c r="D922">
        <f>IF(Skills!C15=1,60+Inputs!$B$24+Inputs!$B$28,IF(Skills!C15=2,90+Inputs!$B$25+Inputs!$B$28,IF(Skills!C15=3,120+Inputs!$B$26+Inputs!$B$28,MAX(0,(Inputs!$B$3-100)*3)+Inputs!$B$27+Inputs!$B$28)))</f>
        <v/>
      </c>
      <c r="E922">
        <f>INDEX(FactorTable!$B$2:$Y$301, MATCH(ROUND(MIN(300,MAX(1,D922)),0), FactorTable!$A$2:$A$301,0), Skills!M15+1)</f>
        <v/>
      </c>
      <c r="F922">
        <f>IF(Skills!N15=TRUE,(Skills!L15/10)*(E922/1000),Skills!L15/10)+Skills!O15</f>
        <v/>
      </c>
      <c r="G922">
        <f>Skills!G15*IF(Skills!H15&gt;0,Skills!I15/Skills!H15,1)</f>
        <v/>
      </c>
      <c r="H922">
        <f>1-(1-Skills!J15/100)^Skills!K15</f>
        <v/>
      </c>
      <c r="I922" t="inlineStr">
        <is>
          <t>1</t>
        </is>
      </c>
      <c r="J922" t="inlineStr"/>
      <c r="K922" t="inlineStr"/>
      <c r="L922" t="inlineStr"/>
      <c r="M922" t="inlineStr"/>
      <c r="N922" t="inlineStr"/>
      <c r="O922" t="n">
        <v>0</v>
      </c>
      <c r="P922">
        <f>IF(B942=0,0,O922/B942)</f>
        <v/>
      </c>
      <c r="Q922">
        <f>IFERROR(1/IF(Inputs!$B$4="pvp",15,MAX(0.1,Skills!D15-IF(Skills!E15=TRUE,(Inputs!$B$31+1),0))),0)</f>
        <v/>
      </c>
      <c r="R922">
        <f>IF(AND(Inputs!$B$4&lt;&gt;"pvp",Inputs!$B$35&gt;0),(INT(Inputs!$B$35/IF(Inputs!$B$4="pvp",15,MAX(0.1,Skills!D15-IF(Skills!E15=TRUE,(Inputs!$B$31+1),0))))+1),0)</f>
        <v/>
      </c>
      <c r="S922">
        <f>IFERROR(O922/N922,0)</f>
        <v/>
      </c>
    </row>
    <row r="923">
      <c r="A923">
        <f>Skills!A16</f>
        <v/>
      </c>
      <c r="B923">
        <f>Skills!B16</f>
        <v/>
      </c>
      <c r="C923">
        <f>Inputs!$B$3&gt;=105</f>
        <v/>
      </c>
      <c r="D923">
        <f>IF(Skills!C16=1,60+Inputs!$B$24+Inputs!$B$28,IF(Skills!C16=2,90+Inputs!$B$25+Inputs!$B$28,IF(Skills!C16=3,120+Inputs!$B$26+Inputs!$B$28,MAX(0,(Inputs!$B$3-100)*3)+Inputs!$B$27+Inputs!$B$28)))</f>
        <v/>
      </c>
      <c r="E923">
        <f>INDEX(FactorTable!$B$2:$Y$301, MATCH(ROUND(MIN(300,MAX(1,D923)),0), FactorTable!$A$2:$A$301,0), Skills!M16+1)</f>
        <v/>
      </c>
      <c r="F923">
        <f>IF(Skills!N16=TRUE,(Skills!L16/10)*(E923/1000),Skills!L16/10)+Skills!O16</f>
        <v/>
      </c>
      <c r="G923">
        <f>Skills!G16*IF(Skills!H16&gt;0,Skills!I16/Skills!H16,1)</f>
        <v/>
      </c>
      <c r="H923">
        <f>1-(1-Skills!J16/100)^Skills!K16</f>
        <v/>
      </c>
      <c r="I923" t="inlineStr">
        <is>
          <t>1</t>
        </is>
      </c>
      <c r="J923" t="inlineStr"/>
      <c r="K923" t="inlineStr"/>
      <c r="L923" t="inlineStr"/>
      <c r="M923" t="inlineStr"/>
      <c r="N923" t="inlineStr"/>
      <c r="O923" t="n">
        <v>0</v>
      </c>
      <c r="P923">
        <f>IF(B942=0,0,O923/B942)</f>
        <v/>
      </c>
      <c r="Q923">
        <f>IFERROR(1/IF(Inputs!$B$4="pvp",15,MAX(0.1,Skills!D16-IF(Skills!E16=TRUE,(Inputs!$B$31+1),0))),0)</f>
        <v/>
      </c>
      <c r="R923">
        <f>IF(AND(Inputs!$B$4&lt;&gt;"pvp",Inputs!$B$35&gt;0),(INT(Inputs!$B$35/IF(Inputs!$B$4="pvp",15,MAX(0.1,Skills!D16-IF(Skills!E16=TRUE,(Inputs!$B$31+1),0))))+1),0)</f>
        <v/>
      </c>
      <c r="S923">
        <f>IFERROR(O923/N923,0)</f>
        <v/>
      </c>
    </row>
    <row r="924">
      <c r="A924">
        <f>Skills!A17</f>
        <v/>
      </c>
      <c r="B924">
        <f>Skills!B17</f>
        <v/>
      </c>
      <c r="C924">
        <f>Inputs!$B$3&gt;=115</f>
        <v/>
      </c>
      <c r="D924">
        <f>IF(Skills!C17=1,60+Inputs!$B$24+Inputs!$B$28,IF(Skills!C17=2,90+Inputs!$B$25+Inputs!$B$28,IF(Skills!C17=3,120+Inputs!$B$26+Inputs!$B$28,MAX(0,(Inputs!$B$3-100)*3)+Inputs!$B$27+Inputs!$B$28)))</f>
        <v/>
      </c>
      <c r="E924">
        <f>INDEX(FactorTable!$B$2:$Y$301, MATCH(ROUND(MIN(300,MAX(1,D924)),0), FactorTable!$A$2:$A$301,0), Skills!M17+1)</f>
        <v/>
      </c>
      <c r="F924">
        <f>IF(Skills!N17=TRUE,(Skills!L17/10)*(E924/1000),Skills!L17/10)+Skills!O17</f>
        <v/>
      </c>
      <c r="G924">
        <f>Skills!G17*IF(Skills!H17&gt;0,Skills!I17/Skills!H17,1)</f>
        <v/>
      </c>
      <c r="H924">
        <f>1-(1-Skills!J17/100)^Skills!K17</f>
        <v/>
      </c>
      <c r="I924" t="inlineStr">
        <is>
          <t>1</t>
        </is>
      </c>
      <c r="J924" t="inlineStr"/>
      <c r="K924" t="inlineStr"/>
      <c r="L924" t="inlineStr"/>
      <c r="M924" t="inlineStr"/>
      <c r="N924" t="inlineStr"/>
      <c r="O924" t="n">
        <v>0</v>
      </c>
      <c r="P924">
        <f>IF(B942=0,0,O924/B942)</f>
        <v/>
      </c>
      <c r="Q924">
        <f>IFERROR(1/IF(Inputs!$B$4="pvp",15,MAX(0.1,Skills!D17-IF(Skills!E17=TRUE,(Inputs!$B$31+1),0))),0)</f>
        <v/>
      </c>
      <c r="R924">
        <f>IF(AND(Inputs!$B$4&lt;&gt;"pvp",Inputs!$B$35&gt;0),(INT(Inputs!$B$35/IF(Inputs!$B$4="pvp",15,MAX(0.1,Skills!D17-IF(Skills!E17=TRUE,(Inputs!$B$31+1),0))))+1),0)</f>
        <v/>
      </c>
      <c r="S924">
        <f>IFERROR(O924/N924,0)</f>
        <v/>
      </c>
    </row>
    <row r="925">
      <c r="A925">
        <f>Skills!A18</f>
        <v/>
      </c>
      <c r="B925">
        <f>Skills!B18</f>
        <v/>
      </c>
      <c r="C925">
        <f>Inputs!$B$3&gt;=74</f>
        <v/>
      </c>
      <c r="D925">
        <f>IF(Skills!C18=1,60+Inputs!$B$24+Inputs!$B$28,IF(Skills!C18=2,90+Inputs!$B$25+Inputs!$B$28,IF(Skills!C18=3,120+Inputs!$B$26+Inputs!$B$28,MAX(0,(Inputs!$B$3-100)*3)+Inputs!$B$27+Inputs!$B$28)))</f>
        <v/>
      </c>
      <c r="E925">
        <f>INDEX(FactorTable!$B$2:$Y$301, MATCH(ROUND(MIN(300,MAX(1,D925)),0), FactorTable!$A$2:$A$301,0), Skills!M18+1)</f>
        <v/>
      </c>
      <c r="F925">
        <f>IF(Skills!N18=TRUE,(Skills!L18/10)*(E925/1000),Skills!L18/10)+Skills!O18</f>
        <v/>
      </c>
      <c r="G925">
        <f>Skills!G18*IF(Skills!H18&gt;0,Skills!I18/Skills!H18,1)</f>
        <v/>
      </c>
      <c r="H925">
        <f>1-(1-Skills!J18/100)^Skills!K18</f>
        <v/>
      </c>
      <c r="I925" t="inlineStr">
        <is>
          <t>1</t>
        </is>
      </c>
      <c r="J925" t="inlineStr"/>
      <c r="K925" t="inlineStr"/>
      <c r="L925" t="inlineStr"/>
      <c r="M925" t="inlineStr"/>
      <c r="N925" t="inlineStr"/>
      <c r="O925" t="n">
        <v>0</v>
      </c>
      <c r="P925">
        <f>IF(B942=0,0,O925/B942)</f>
        <v/>
      </c>
      <c r="Q925">
        <f>IFERROR(1/IF(Inputs!$B$4="pvp",15,MAX(0.1,Skills!D18-IF(Skills!E18=TRUE,(Inputs!$B$31+1),0))),0)</f>
        <v/>
      </c>
      <c r="R925">
        <f>IF(AND(Inputs!$B$4&lt;&gt;"pvp",Inputs!$B$35&gt;0),(INT(Inputs!$B$35/IF(Inputs!$B$4="pvp",15,MAX(0.1,Skills!D18-IF(Skills!E18=TRUE,(Inputs!$B$31+1),0))))+1),0)</f>
        <v/>
      </c>
      <c r="S925">
        <f>IFERROR(O925/N925,0)</f>
        <v/>
      </c>
    </row>
    <row r="926">
      <c r="A926">
        <f>Skills!A19</f>
        <v/>
      </c>
      <c r="B926">
        <f>Skills!B19</f>
        <v/>
      </c>
      <c r="C926">
        <f>TRUE</f>
        <v/>
      </c>
      <c r="D926">
        <f>IF(Skills!C19=1,60+Inputs!$B$24+Inputs!$B$28,IF(Skills!C19=2,90+Inputs!$B$25+Inputs!$B$28,IF(Skills!C19=3,120+Inputs!$B$26+Inputs!$B$28,MAX(0,(Inputs!$B$3-100)*3)+Inputs!$B$27+Inputs!$B$28)))</f>
        <v/>
      </c>
      <c r="E926">
        <f>INDEX(FactorTable!$B$2:$Y$301, MATCH(ROUND(MIN(300,MAX(1,D926)),0), FactorTable!$A$2:$A$301,0), Skills!M19+1)</f>
        <v/>
      </c>
      <c r="F926">
        <f>IF(Skills!N19=TRUE,(Skills!L19/10)*(E926/1000),Skills!L19/10)+Skills!O19</f>
        <v/>
      </c>
      <c r="G926">
        <f>Skills!G19*IF(Skills!H19&gt;0,Skills!I19/Skills!H19,1)</f>
        <v/>
      </c>
      <c r="H926">
        <f>1-(1-Skills!J19/100)^Skills!K19</f>
        <v/>
      </c>
      <c r="I926" t="inlineStr">
        <is>
          <t>1</t>
        </is>
      </c>
      <c r="J926" t="inlineStr"/>
      <c r="K926" t="inlineStr"/>
      <c r="L926" t="inlineStr"/>
      <c r="M926" t="inlineStr"/>
      <c r="N926" t="inlineStr"/>
      <c r="O926" t="n">
        <v>0</v>
      </c>
      <c r="P926">
        <f>IF(B942=0,0,O926/B942)</f>
        <v/>
      </c>
      <c r="Q926">
        <f>IFERROR(1/IF(Inputs!$B$4="pvp",15,MAX(0.1,Skills!D19-IF(Skills!E19=TRUE,(Inputs!$B$31+1),0))),0)</f>
        <v/>
      </c>
      <c r="R926">
        <f>IF(AND(Inputs!$B$4&lt;&gt;"pvp",Inputs!$B$35&gt;0),(INT(Inputs!$B$35/IF(Inputs!$B$4="pvp",15,MAX(0.1,Skills!D19-IF(Skills!E19=TRUE,(Inputs!$B$31+1),0))))+1),0)</f>
        <v/>
      </c>
      <c r="S926">
        <f>IFERROR(O926/N926,0)</f>
        <v/>
      </c>
    </row>
    <row r="927">
      <c r="A927">
        <f>Skills!A20</f>
        <v/>
      </c>
      <c r="B927">
        <f>Skills!B20</f>
        <v/>
      </c>
      <c r="C927">
        <f>Inputs!$B$3&gt;=33</f>
        <v/>
      </c>
      <c r="D927">
        <f>IF(Skills!C20=1,60+Inputs!$B$24+Inputs!$B$28,IF(Skills!C20=2,90+Inputs!$B$25+Inputs!$B$28,IF(Skills!C20=3,120+Inputs!$B$26+Inputs!$B$28,MAX(0,(Inputs!$B$3-100)*3)+Inputs!$B$27+Inputs!$B$28)))</f>
        <v/>
      </c>
      <c r="E927">
        <f>INDEX(FactorTable!$B$2:$Y$301, MATCH(ROUND(MIN(300,MAX(1,D927)),0), FactorTable!$A$2:$A$301,0), Skills!M20+1)</f>
        <v/>
      </c>
      <c r="F927">
        <f>IF(Skills!N20=TRUE,(Skills!L20/10)*(E927/1000),Skills!L20/10)+Skills!O20</f>
        <v/>
      </c>
      <c r="G927">
        <f>Skills!G20*IF(Skills!H20&gt;0,Skills!I20/Skills!H20,1)</f>
        <v/>
      </c>
      <c r="H927">
        <f>1-(1-Skills!J20/100)^Skills!K20</f>
        <v/>
      </c>
      <c r="I927" t="inlineStr">
        <is>
          <t>1</t>
        </is>
      </c>
      <c r="J927" t="inlineStr"/>
      <c r="K927" t="inlineStr"/>
      <c r="L927" t="inlineStr"/>
      <c r="M927" t="inlineStr"/>
      <c r="N927" t="inlineStr"/>
      <c r="O927" t="n">
        <v>0</v>
      </c>
      <c r="P927">
        <f>IF(B942=0,0,O927/B942)</f>
        <v/>
      </c>
      <c r="Q927" t="n">
        <v>0</v>
      </c>
      <c r="R927" t="n">
        <v>0</v>
      </c>
      <c r="S927">
        <f>IFERROR(O927/N927,0)</f>
        <v/>
      </c>
    </row>
    <row r="928">
      <c r="A928">
        <f>Skills!A21</f>
        <v/>
      </c>
      <c r="B928">
        <f>Skills!B21</f>
        <v/>
      </c>
      <c r="C928">
        <f>Inputs!$B$3&gt;=38</f>
        <v/>
      </c>
      <c r="D928">
        <f>IF(Skills!C21=1,60+Inputs!$B$24+Inputs!$B$28,IF(Skills!C21=2,90+Inputs!$B$25+Inputs!$B$28,IF(Skills!C21=3,120+Inputs!$B$26+Inputs!$B$28,MAX(0,(Inputs!$B$3-100)*3)+Inputs!$B$27+Inputs!$B$28)))</f>
        <v/>
      </c>
      <c r="E928">
        <f>INDEX(FactorTable!$B$2:$Y$301, MATCH(ROUND(MIN(300,MAX(1,D928)),0), FactorTable!$A$2:$A$301,0), Skills!M21+1)</f>
        <v/>
      </c>
      <c r="F928">
        <f>IF(Skills!N21=TRUE,(Skills!L21/10)*(E928/1000),Skills!L21/10)+Skills!O21</f>
        <v/>
      </c>
      <c r="G928">
        <f>Skills!G21*IF(Skills!H21&gt;0,Skills!I21/Skills!H21,1)</f>
        <v/>
      </c>
      <c r="H928">
        <f>1-(1-Skills!J21/100)^Skills!K21</f>
        <v/>
      </c>
      <c r="I928" t="inlineStr">
        <is>
          <t>1</t>
        </is>
      </c>
      <c r="J928" t="inlineStr"/>
      <c r="K928" t="inlineStr"/>
      <c r="L928" t="inlineStr"/>
      <c r="M928" t="inlineStr"/>
      <c r="N928" t="inlineStr"/>
      <c r="O928" t="n">
        <v>0</v>
      </c>
      <c r="P928">
        <f>IF(B942=0,0,O928/B942)</f>
        <v/>
      </c>
      <c r="Q928" t="n">
        <v>0</v>
      </c>
      <c r="R928" t="n">
        <v>0</v>
      </c>
      <c r="S928">
        <f>IFERROR(O928/N928,0)</f>
        <v/>
      </c>
    </row>
    <row r="929">
      <c r="A929">
        <f>Skills!A22</f>
        <v/>
      </c>
      <c r="B929">
        <f>Skills!B22</f>
        <v/>
      </c>
      <c r="C929">
        <f>Inputs!$B$3&gt;=43</f>
        <v/>
      </c>
      <c r="D929">
        <f>IF(Skills!C22=1,60+Inputs!$B$24+Inputs!$B$28,IF(Skills!C22=2,90+Inputs!$B$25+Inputs!$B$28,IF(Skills!C22=3,120+Inputs!$B$26+Inputs!$B$28,MAX(0,(Inputs!$B$3-100)*3)+Inputs!$B$27+Inputs!$B$28)))</f>
        <v/>
      </c>
      <c r="E929">
        <f>INDEX(FactorTable!$B$2:$Y$301, MATCH(ROUND(MIN(300,MAX(1,D929)),0), FactorTable!$A$2:$A$301,0), Skills!M22+1)</f>
        <v/>
      </c>
      <c r="F929">
        <f>IF(Skills!N22=TRUE,(Skills!L22/10)*(E929/1000),Skills!L22/10)+Skills!O22</f>
        <v/>
      </c>
      <c r="G929">
        <f>Skills!G22*IF(Skills!H22&gt;0,Skills!I22/Skills!H22,1)</f>
        <v/>
      </c>
      <c r="H929">
        <f>1-(1-Skills!J22/100)^Skills!K22</f>
        <v/>
      </c>
      <c r="I929" t="inlineStr">
        <is>
          <t>1</t>
        </is>
      </c>
      <c r="J929" t="inlineStr"/>
      <c r="K929" t="inlineStr"/>
      <c r="L929" t="inlineStr"/>
      <c r="M929" t="inlineStr"/>
      <c r="N929" t="inlineStr"/>
      <c r="O929" t="n">
        <v>0</v>
      </c>
      <c r="P929">
        <f>IF(B942=0,0,O929/B942)</f>
        <v/>
      </c>
      <c r="Q929" t="n">
        <v>0</v>
      </c>
      <c r="R929" t="n">
        <v>0</v>
      </c>
      <c r="S929">
        <f>IFERROR(O929/N929,0)</f>
        <v/>
      </c>
    </row>
    <row r="930">
      <c r="A930">
        <f>Skills!A23</f>
        <v/>
      </c>
      <c r="B930">
        <f>Skills!B23</f>
        <v/>
      </c>
      <c r="C930">
        <f>Inputs!$B$3&gt;=120</f>
        <v/>
      </c>
      <c r="D930">
        <f>IF(Skills!C23=1,60+Inputs!$B$24+Inputs!$B$28,IF(Skills!C23=2,90+Inputs!$B$25+Inputs!$B$28,IF(Skills!C23=3,120+Inputs!$B$26+Inputs!$B$28,MAX(0,(Inputs!$B$3-100)*3)+Inputs!$B$27+Inputs!$B$28)))</f>
        <v/>
      </c>
      <c r="E930">
        <f>INDEX(FactorTable!$B$2:$Y$301, MATCH(ROUND(MIN(300,MAX(1,D930)),0), FactorTable!$A$2:$A$301,0), Skills!M23+1)</f>
        <v/>
      </c>
      <c r="F930">
        <f>IF(Skills!N23=TRUE,(Skills!L23/10)*(E930/1000),Skills!L23/10)+Skills!O23</f>
        <v/>
      </c>
      <c r="G930">
        <f>Skills!G23*IF(Skills!H23&gt;0,Skills!I23/Skills!H23,1)</f>
        <v/>
      </c>
      <c r="H930">
        <f>1-(1-Skills!J23/100)^Skills!K23</f>
        <v/>
      </c>
      <c r="I930" t="inlineStr">
        <is>
          <t>1</t>
        </is>
      </c>
      <c r="J930" t="inlineStr"/>
      <c r="K930" t="inlineStr"/>
      <c r="L930" t="inlineStr"/>
      <c r="M930" t="inlineStr"/>
      <c r="N930" t="inlineStr"/>
      <c r="O930" t="n">
        <v>0</v>
      </c>
      <c r="P930">
        <f>IF(B942=0,0,O930/B942)</f>
        <v/>
      </c>
      <c r="Q930" t="n">
        <v>0</v>
      </c>
      <c r="R930" t="n">
        <v>0</v>
      </c>
      <c r="S930">
        <f>IFERROR(O930/N930,0)</f>
        <v/>
      </c>
    </row>
    <row r="931">
      <c r="A931">
        <f>Skills!A24</f>
        <v/>
      </c>
      <c r="B931">
        <f>Skills!B24</f>
        <v/>
      </c>
      <c r="C931">
        <f>Inputs!$B$3&gt;=120</f>
        <v/>
      </c>
      <c r="D931">
        <f>IF(Skills!C24=1,60+Inputs!$B$24+Inputs!$B$28,IF(Skills!C24=2,90+Inputs!$B$25+Inputs!$B$28,IF(Skills!C24=3,120+Inputs!$B$26+Inputs!$B$28,MAX(0,(Inputs!$B$3-100)*3)+Inputs!$B$27+Inputs!$B$28)))</f>
        <v/>
      </c>
      <c r="E931">
        <f>INDEX(FactorTable!$B$2:$Y$301, MATCH(ROUND(MIN(300,MAX(1,D931)),0), FactorTable!$A$2:$A$301,0), Skills!M24+1)</f>
        <v/>
      </c>
      <c r="F931">
        <f>IF(Skills!N24=TRUE,(Skills!L24/10)*(E931/1000),Skills!L24/10)+Skills!O24</f>
        <v/>
      </c>
      <c r="G931">
        <f>Skills!G24*IF(Skills!H24&gt;0,Skills!I24/Skills!H24,1)</f>
        <v/>
      </c>
      <c r="H931">
        <f>1-(1-Skills!J24/100)^Skills!K24</f>
        <v/>
      </c>
      <c r="I931" t="inlineStr">
        <is>
          <t>1</t>
        </is>
      </c>
      <c r="J931" t="inlineStr"/>
      <c r="K931" t="inlineStr"/>
      <c r="L931" t="inlineStr"/>
      <c r="M931" t="inlineStr"/>
      <c r="N931" t="inlineStr"/>
      <c r="O931" t="n">
        <v>0</v>
      </c>
      <c r="P931">
        <f>IF(B942=0,0,O931/B942)</f>
        <v/>
      </c>
      <c r="Q931" t="n">
        <v>0</v>
      </c>
      <c r="R931" t="n">
        <v>0</v>
      </c>
      <c r="S931">
        <f>IFERROR(O931/N931,0)</f>
        <v/>
      </c>
    </row>
    <row r="933">
      <c r="A933" t="inlineStr">
        <is>
          <t>Attack% Bucket Multiplier</t>
        </is>
      </c>
      <c r="B933">
        <f>(1+(((C920=TRUE)*F920*MIN(1,Skills!T13*(Skills!J13/100)*B938))+((C925=TRUE)*F925*IF(AND(Inputs!$B$4&lt;&gt;"pvp",Inputs!$B$35&gt;0),(((S925-1)*(Skills!T18*(1+Inputs!$B$33/100))+MIN((Skills!T18*(1+Inputs!$B$33/100)),MAX(0,Inputs!$B$35-((S925-1)*Skills!D18))))/Inputs!$B$35),IF(Inputs!$B$4="pvp",MIN((Skills!T18*(1+Inputs!$B$33/100)),15)/15,(Skills!T18*(1+Inputs!$B$33/100))/Skills!D18)))+0)/100)</f>
        <v/>
      </c>
    </row>
    <row r="934">
      <c r="A934" t="inlineStr">
        <is>
          <t>Global Crit Rate Bonus %</t>
        </is>
      </c>
      <c r="B934" t="n">
        <v>0</v>
      </c>
    </row>
    <row r="935">
      <c r="A935" t="inlineStr">
        <is>
          <t>Attack Speed Buff Bonus %</t>
        </is>
      </c>
      <c r="B935">
        <f>((C926=TRUE)*F926*IF(AND(Inputs!$B$4&lt;&gt;"pvp",Inputs!$B$35&gt;0),(((S926-1)*(Skills!T19*(1+Inputs!$B$33/100))+MIN((Skills!T19*(1+Inputs!$B$33/100)),MAX(0,Inputs!$B$35-((S926-1)*Skills!D19))))/Inputs!$B$35),IF(Inputs!$B$4="pvp",MIN((Skills!T19*(1+Inputs!$B$33/100)),15)/15,(Skills!T19*(1+Inputs!$B$33/100))/Skills!D19)))</f>
        <v/>
      </c>
    </row>
    <row r="936">
      <c r="A936" t="inlineStr">
        <is>
          <t>Actions Per Second</t>
        </is>
      </c>
      <c r="B936">
        <f>1+MIN(150,150*(1-(1-(Inputs!$B$10+((C927=TRUE)*(F927-Calc!F20)))/150)*(1-B935/150)))/100</f>
        <v/>
      </c>
    </row>
    <row r="937">
      <c r="A937" t="inlineStr">
        <is>
          <t>Skill + Buff Cast Rate</t>
        </is>
      </c>
      <c r="B937">
        <f>IF(AND(Inputs!$B$4&lt;&gt;"pvp",Inputs!$B$35&gt;0),SUMPRODUCT((Skills!E2:E24=TRUE)*(C909:C931=TRUE)*R909:R931*Skills!F2:F24)/Inputs!$B$35,SUMPRODUCT((Skills!E2:E24=TRUE)*(C909:C931=TRUE)*Q909:Q931*Skills!F2:F24))</f>
        <v/>
      </c>
    </row>
    <row r="938">
      <c r="A938" t="inlineStr">
        <is>
          <t>Blast Casts Per Second</t>
        </is>
      </c>
      <c r="B938">
        <f>MAX(0,B936-B937)</f>
        <v/>
      </c>
    </row>
    <row r="939">
      <c r="A939" t="inlineStr">
        <is>
          <t>Global Critical Damage Bonus % (unused)</t>
        </is>
      </c>
      <c r="B939" t="n">
        <v>0</v>
      </c>
    </row>
    <row r="940">
      <c r="A940" t="inlineStr">
        <is>
          <t>Global Final Damage Bonus % (Divine Shield + Guardian + Divine Blessing + Greater Vessel of Light)</t>
        </is>
      </c>
      <c r="B940">
        <f>((C922=TRUE)*F922*IF(AND(Inputs!$B$4&lt;&gt;"pvp",Inputs!$B$35&gt;0),(((S922-1)*(Skills!T15*(1+Inputs!$B$33/100))+MIN((Skills!T15*(1+Inputs!$B$33/100)),MAX(0,Inputs!$B$35-((S922-1)*Skills!D15))))/Inputs!$B$35),IF(Inputs!$B$4="pvp",MIN((Skills!T15*(1+Inputs!$B$33/100)),15)/15,(Skills!T15*(1+Inputs!$B$33/100))/Skills!D15)))+((C923=TRUE)*F923*IF(AND(Inputs!$B$4&lt;&gt;"pvp",Inputs!$B$35&gt;0),(((S923-1)*(Skills!T16*(1+Inputs!$B$33/100))+MIN((Skills!T16*(1+Inputs!$B$33/100)),MAX(0,Inputs!$B$35-((S923-1)*Skills!D16))))/Inputs!$B$35),IF(Inputs!$B$4="pvp",MIN((Skills!T16*(1+Inputs!$B$33/100)),15)/15,(Skills!T16*(1+Inputs!$B$33/100))/Skills!D16)))+((C924=TRUE)*F924*IF(AND(Inputs!$B$4&lt;&gt;"pvp",Inputs!$B$35&gt;0),(((S924-1)*(Skills!T17*(1+Inputs!$B$33/100))+MIN((Skills!T17*(1+Inputs!$B$33/100)),MAX(0,Inputs!$B$35-((S924-1)*Skills!D17))))/Inputs!$B$35),IF(Inputs!$B$4="pvp",MIN((Skills!T17*(1+Inputs!$B$33/100)),15)/15,(Skills!T17*(1+Inputs!$B$33/100))/Skills!D17)))+((C921=TRUE)*F921*MIN(1,Skills!T13*(Skills!J13/100)*B938))</f>
        <v/>
      </c>
    </row>
    <row r="942">
      <c r="A942" s="5" t="inlineStr">
        <is>
          <t>TOTAL DPS</t>
        </is>
      </c>
      <c r="B942" s="5">
        <f>SUM(O909:O931)</f>
        <v/>
      </c>
    </row>
    <row r="945">
      <c r="A945" s="5" t="inlineStr">
        <is>
          <t>Stat: Basic Attack Target Increase (flat)</t>
        </is>
      </c>
    </row>
    <row r="946">
      <c r="A946" s="8" t="inlineStr">
        <is>
          <t>Key</t>
        </is>
      </c>
      <c r="B946" s="8" t="inlineStr">
        <is>
          <t>Name</t>
        </is>
      </c>
      <c r="C946" s="8" t="inlineStr">
        <is>
          <t>Unlocked</t>
        </is>
      </c>
      <c r="D946" s="8" t="inlineStr">
        <is>
          <t>InputLevel</t>
        </is>
      </c>
      <c r="E946" s="8" t="inlineStr">
        <is>
          <t>Factor</t>
        </is>
      </c>
      <c r="F946" s="8" t="inlineStr">
        <is>
          <t>CoefficientPercent</t>
        </is>
      </c>
      <c r="G946" s="8" t="inlineStr">
        <is>
          <t>EffectiveHits</t>
        </is>
      </c>
      <c r="H946" s="8" t="inlineStr">
        <is>
          <t>ProcProbability</t>
        </is>
      </c>
      <c r="I946" s="8" t="inlineStr">
        <is>
          <t>MapleHeroMultiplier</t>
        </is>
      </c>
      <c r="J946" s="8" t="inlineStr">
        <is>
          <t>BaseDamage</t>
        </is>
      </c>
      <c r="K946" s="8" t="inlineStr">
        <is>
          <t>BaseHitDamage</t>
        </is>
      </c>
      <c r="L946" s="8" t="inlineStr">
        <is>
          <t>NonCritAvg</t>
        </is>
      </c>
      <c r="M946" s="8" t="inlineStr">
        <is>
          <t>CritAvg</t>
        </is>
      </c>
      <c r="N946" s="8" t="inlineStr">
        <is>
          <t>ExpectedDamage(perHit)</t>
        </is>
      </c>
      <c r="O946" s="8" t="inlineStr">
        <is>
          <t>DPS</t>
        </is>
      </c>
      <c r="P946" s="8" t="inlineStr">
        <is>
          <t>% of Total</t>
        </is>
      </c>
      <c r="Q946" s="8" t="inlineStr">
        <is>
          <t>InvCooldown</t>
        </is>
      </c>
      <c r="R946" s="8" t="inlineStr">
        <is>
          <t>CastsInFight</t>
        </is>
      </c>
      <c r="S946" s="8" t="inlineStr">
        <is>
          <t>HitRate(perSec)</t>
        </is>
      </c>
      <c r="U946" t="inlineStr">
        <is>
          <t>helpers</t>
        </is>
      </c>
    </row>
    <row r="947">
      <c r="A947">
        <f>Skills!A2</f>
        <v/>
      </c>
      <c r="B947">
        <f>Skills!B2</f>
        <v/>
      </c>
      <c r="C947">
        <f>Inputs!$B$3&gt;=100</f>
        <v/>
      </c>
      <c r="D947" t="inlineStr"/>
      <c r="E947" t="inlineStr"/>
      <c r="F947">
        <f>U949+Skills!O2</f>
        <v/>
      </c>
      <c r="G947">
        <f>Skills!G2*IF(Skills!H2&gt;0,Skills!I2/Skills!H2,1)</f>
        <v/>
      </c>
      <c r="H947">
        <f>1-(1-Skills!J2/100)^Skills!K2</f>
        <v/>
      </c>
      <c r="I947" t="inlineStr">
        <is>
          <t>1</t>
        </is>
      </c>
      <c r="J947">
        <f>(Inputs!$B$5*(1+Inputs!$B$6/100))*(F947/100)</f>
        <v/>
      </c>
      <c r="K947">
        <f>J947*(1+((Inputs!$B$11*(1+Inputs!$B$12/100))*0.01+Inputs!$B$13*0.0025)/100)*(1+Inputs!$B$14/100)*(1+IF(Inputs!$B$4="pvp",0,(1-Summary!$B$55)*(Inputs!$B$19+0+Skills!P2)+Summary!$B$55*(Inputs!$B$20+Skills!Q2))/100)*(1+Inputs!$B$15/100)*(5000/(6000+Inputs!$B$7*(1-(Inputs!$B$18+0)/100)))*(1+(Inputs!$B$23+0+B978)/100)*(1+(IF(Skills!A2="BLAST",Inputs!$B$16+((C966=TRUE)*(F966-Calc!F21)),Inputs!$B$17+((C968=TRUE)*(F968-Calc!F23))))/100)*((1+(((C958=TRUE)*F958*MIN(1,Skills!T13*(Skills!J13/100)*B976))+((C963=TRUE)*F963*IF(AND(Inputs!$B$4&lt;&gt;"pvp",Inputs!$B$35&gt;0),(((S963-1)*(Skills!T18*(1+Inputs!$B$33/100))+MIN((Skills!T18*(1+Inputs!$B$33/100)),MAX(0,Inputs!$B$35-((S963-1)*Skills!D18))))/Inputs!$B$35),IF(Inputs!$B$4="pvp",MIN((Skills!T18*(1+Inputs!$B$33/100)),15)/15,(Skills!T18*(1+Inputs!$B$33/100))/Skills!D18)))+0)/100)*I947)</f>
        <v/>
      </c>
      <c r="L947">
        <f>K947*(MIN(Inputs!$B$21+((C967=TRUE)*(F967-Calc!F22)),Inputs!$B$22+((C969=TRUE)*(F969-Calc!F24)))/100+(Inputs!$B$22+((C969=TRUE)*(F969-Calc!F24)))/100)/2</f>
        <v/>
      </c>
      <c r="M947">
        <f>L947*(1+(Inputs!$B$9+0+B977)/100)</f>
        <v/>
      </c>
      <c r="N947">
        <f>L947*(1-MIN((Inputs!$B$8+0+B972),100)/100)+M947*(MIN((Inputs!$B$8+0+B972),100)/100)</f>
        <v/>
      </c>
      <c r="O947">
        <f>IF(C947,Skills!G2*N947*B976*IF(Inputs!$B$4="pvp",1,(1-Summary!$B$55)*(1)+Summary!$B$55*(MIN((6+(Inputs!$B$32+1)),Inputs!$B$37))),0)</f>
        <v/>
      </c>
      <c r="P947">
        <f>IF(B980=0,0,O947/B980)</f>
        <v/>
      </c>
      <c r="Q947" t="n">
        <v>0</v>
      </c>
      <c r="R947" t="n">
        <v>0</v>
      </c>
      <c r="S947">
        <f>IFERROR(O947/N947,0)</f>
        <v/>
      </c>
      <c r="U947">
        <f>MAX(0,(Inputs!$B$3-100)*3)+Inputs!$B$27+Inputs!$B$28</f>
        <v/>
      </c>
    </row>
    <row r="948">
      <c r="A948">
        <f>Skills!A3</f>
        <v/>
      </c>
      <c r="B948">
        <f>Skills!B3</f>
        <v/>
      </c>
      <c r="C948">
        <f>Inputs!$B$3&gt;=50</f>
        <v/>
      </c>
      <c r="D948">
        <f>IF(Skills!C3=1,60+Inputs!$B$24+Inputs!$B$28,IF(Skills!C3=2,90+Inputs!$B$25+Inputs!$B$28,IF(Skills!C3=3,120+Inputs!$B$26+Inputs!$B$28,MAX(0,(Inputs!$B$3-100)*3)+Inputs!$B$27+Inputs!$B$28)))</f>
        <v/>
      </c>
      <c r="E948">
        <f>INDEX(FactorTable!$B$2:$Y$301, MATCH(ROUND(MIN(300,MAX(1,D948)),0), FactorTable!$A$2:$A$301,0), Skills!M3+1)</f>
        <v/>
      </c>
      <c r="F948">
        <f>IF(Skills!N3=TRUE,(Skills!L3/10)*(E948/1000),Skills!L3/10)+Skills!O3</f>
        <v/>
      </c>
      <c r="G948" t="inlineStr"/>
      <c r="H948" t="inlineStr"/>
      <c r="I948" t="inlineStr">
        <is>
          <t>1</t>
        </is>
      </c>
      <c r="J948" t="inlineStr"/>
      <c r="K948" t="inlineStr"/>
      <c r="L948" t="inlineStr"/>
      <c r="M948" t="inlineStr"/>
      <c r="N948" t="inlineStr"/>
      <c r="O948" t="inlineStr"/>
      <c r="P948" t="inlineStr"/>
      <c r="Q948" t="inlineStr"/>
      <c r="R948" t="inlineStr"/>
      <c r="S948" t="inlineStr"/>
      <c r="U948">
        <f>INDEX(FactorTable!$B$2:$Y$301, MATCH(ROUND(MIN(300,MAX(1,U947)),0), FactorTable!$A$2:$A$301,0), 22)</f>
        <v/>
      </c>
    </row>
    <row r="949">
      <c r="A949">
        <f>Skills!A4</f>
        <v/>
      </c>
      <c r="B949">
        <f>Skills!B4</f>
        <v/>
      </c>
      <c r="C949">
        <f>Inputs!$B$3&gt;=35</f>
        <v/>
      </c>
      <c r="D949">
        <f>IF(Skills!C4=1,60+Inputs!$B$24+Inputs!$B$28,IF(Skills!C4=2,90+Inputs!$B$25+Inputs!$B$28,IF(Skills!C4=3,120+Inputs!$B$26+Inputs!$B$28,MAX(0,(Inputs!$B$3-100)*3)+Inputs!$B$27+Inputs!$B$28)))</f>
        <v/>
      </c>
      <c r="E949">
        <f>INDEX(FactorTable!$B$2:$Y$301, MATCH(ROUND(MIN(300,MAX(1,D949)),0), FactorTable!$A$2:$A$301,0), Skills!M4+1)</f>
        <v/>
      </c>
      <c r="F949">
        <f>IF(Skills!N4=TRUE,(Skills!L4/10)*(E949/1000),Skills!L4/10)+Skills!O4</f>
        <v/>
      </c>
      <c r="G949">
        <f>Skills!G4*IF(Skills!H4&gt;0,Skills!I4/Skills!H4,1)</f>
        <v/>
      </c>
      <c r="H949">
        <f>1-(1-Skills!J4/100)^Skills!K4</f>
        <v/>
      </c>
      <c r="I949" t="inlineStr">
        <is>
          <t>1</t>
        </is>
      </c>
      <c r="J949">
        <f>(Inputs!$B$5*(1+Inputs!$B$6/100))*(F949/100)</f>
        <v/>
      </c>
      <c r="K949">
        <f>J949*(1+((Inputs!$B$11*(1+Inputs!$B$12/100))*0.01+Inputs!$B$13*0.0025)/100)*(1+Inputs!$B$14/100)*(1+IF(Inputs!$B$4="pvp",0,(1-Summary!$B$55)*(Inputs!$B$19+0+Skills!P4)+Summary!$B$55*(Inputs!$B$20+Skills!Q4))/100)*(1+Inputs!$B$15/100)*(5000/(6000+Inputs!$B$7*(1-(Inputs!$B$18+0)/100)))*(1+(Inputs!$B$23+0+B978)/100)*(1+4.0*IF(C957=TRUE,F957,0)/100)*(1+(IF(Skills!A4="BLAST",Inputs!$B$16+((C966=TRUE)*(F966-Calc!F21)),Inputs!$B$17+((C968=TRUE)*(F968-Calc!F23))))/100)*((1+(((C958=TRUE)*F958*MIN(1,Skills!T13*(Skills!J13/100)*B976))+((C963=TRUE)*F963*IF(AND(Inputs!$B$4&lt;&gt;"pvp",Inputs!$B$35&gt;0),(((S963-1)*(Skills!T18*(1+Inputs!$B$33/100))+MIN((Skills!T18*(1+Inputs!$B$33/100)),MAX(0,Inputs!$B$35-((S963-1)*Skills!D18))))/Inputs!$B$35),IF(Inputs!$B$4="pvp",MIN((Skills!T18*(1+Inputs!$B$33/100)),15)/15,(Skills!T18*(1+Inputs!$B$33/100))/Skills!D18)))+0)/100)*I949)</f>
        <v/>
      </c>
      <c r="L949">
        <f>K949*(MIN(Inputs!$B$21+((C967=TRUE)*(F967-Calc!F22)),Inputs!$B$22+((C969=TRUE)*(F969-Calc!F24)))/100+(Inputs!$B$22+((C969=TRUE)*(F969-Calc!F24)))/100)/2</f>
        <v/>
      </c>
      <c r="M949">
        <f>L949*(1+(Inputs!$B$9+0+B977)/100)</f>
        <v/>
      </c>
      <c r="N949">
        <f>L949*(1-MIN((Inputs!$B$8+0+B972),100)/100)+M949*(MIN((Inputs!$B$8+0+B972),100)/100)</f>
        <v/>
      </c>
      <c r="O949">
        <f>IF(C949,H949*N949*IF(AND(Inputs!$B$4&lt;&gt;"pvp",Inputs!$B$35&gt;0),((Skills!G4*((R949-1)*IF(Skills!H4&gt;0,Skills!I4/Skills!H4,1)+IF(Skills!H4&gt;0,MIN(Skills!I4,MAX(0,Inputs!$B$35-((R949-1)*IF(Inputs!$B$4="pvp",15,MAX(0.1,Skills!D4-IF(Skills!E4=TRUE,Inputs!$B$31,0))))))/Skills!H4,1)))/Inputs!$B$35),G949*Q949)*IF(Inputs!$B$4="pvp",1,(1-Summary!$B$55)*(1)+Summary!$B$55*(MIN(Skills!R4,Inputs!$B$37))),0)</f>
        <v/>
      </c>
      <c r="P949">
        <f>IF(B980=0,0,O949/B980)</f>
        <v/>
      </c>
      <c r="Q949">
        <f>IFERROR(1/IF(Inputs!$B$4="pvp",15,MAX(0.1,Skills!D4-IF(Skills!E4=TRUE,Inputs!$B$31,0))),0)</f>
        <v/>
      </c>
      <c r="R949">
        <f>IF(AND(Inputs!$B$4&lt;&gt;"pvp",Inputs!$B$35&gt;0),(INT(Inputs!$B$35/IF(Inputs!$B$4="pvp",15,MAX(0.1,Skills!D4-IF(Skills!E4=TRUE,Inputs!$B$31,0))))+1),0)</f>
        <v/>
      </c>
      <c r="S949">
        <f>IFERROR(O949/N949,0)</f>
        <v/>
      </c>
      <c r="U949">
        <f>290*U948/1000</f>
        <v/>
      </c>
    </row>
    <row r="950">
      <c r="A950">
        <f>Skills!A5</f>
        <v/>
      </c>
      <c r="B950">
        <f>Skills!B5</f>
        <v/>
      </c>
      <c r="C950">
        <f>Inputs!$B$3&gt;=66</f>
        <v/>
      </c>
      <c r="D950">
        <f>IF(Skills!C5=1,60+Inputs!$B$24+Inputs!$B$28,IF(Skills!C5=2,90+Inputs!$B$25+Inputs!$B$28,IF(Skills!C5=3,120+Inputs!$B$26+Inputs!$B$28,MAX(0,(Inputs!$B$3-100)*3)+Inputs!$B$27+Inputs!$B$28)))</f>
        <v/>
      </c>
      <c r="E950">
        <f>INDEX(FactorTable!$B$2:$Y$301, MATCH(ROUND(MIN(300,MAX(1,D950)),0), FactorTable!$A$2:$A$301,0), Skills!M5+1)</f>
        <v/>
      </c>
      <c r="F950">
        <f>IF(Skills!N5=TRUE,(Skills!L5/10)*(E950/1000),Skills!L5/10)+Skills!O5</f>
        <v/>
      </c>
      <c r="G950">
        <f>Skills!G5*IF(Skills!H5&gt;0,Skills!I5/Skills!H5,1)</f>
        <v/>
      </c>
      <c r="H950">
        <f>1-(1-Skills!J5/100)^Skills!K5</f>
        <v/>
      </c>
      <c r="I950" t="inlineStr">
        <is>
          <t>1</t>
        </is>
      </c>
      <c r="J950">
        <f>(Inputs!$B$5*(1+Inputs!$B$6/100))*(F950/100)</f>
        <v/>
      </c>
      <c r="K950">
        <f>J950*(1+((Inputs!$B$11*(1+Inputs!$B$12/100))*0.01+Inputs!$B$13*0.0025)/100)*(1+Inputs!$B$14/100)*(1+IF(Inputs!$B$4="pvp",0,(1-Summary!$B$55)*(Inputs!$B$19+0+Skills!P5)+Summary!$B$55*(Inputs!$B$20+Skills!Q5))/100)*(1+Inputs!$B$15/100)*(5000/(6000+Inputs!$B$7*(1-(Inputs!$B$18+0)/100)))*(1+(Inputs!$B$23+0+B978)/100)*(1+1.0*IF(C957=TRUE,F957,0)/100)*(1+(IF(Skills!A5="BLAST",Inputs!$B$16+((C966=TRUE)*(F966-Calc!F21)),Inputs!$B$17+((C968=TRUE)*(F968-Calc!F23))))/100)*((1+(((C958=TRUE)*F958*MIN(1,Skills!T13*(Skills!J13/100)*B976))+((C963=TRUE)*F963*IF(AND(Inputs!$B$4&lt;&gt;"pvp",Inputs!$B$35&gt;0),(((S963-1)*(Skills!T18*(1+Inputs!$B$33/100))+MIN((Skills!T18*(1+Inputs!$B$33/100)),MAX(0,Inputs!$B$35-((S963-1)*Skills!D18))))/Inputs!$B$35),IF(Inputs!$B$4="pvp",MIN((Skills!T18*(1+Inputs!$B$33/100)),15)/15,(Skills!T18*(1+Inputs!$B$33/100))/Skills!D18)))+0)/100)*I950)</f>
        <v/>
      </c>
      <c r="L950">
        <f>K950*(MIN(Inputs!$B$21+((C967=TRUE)*(F967-Calc!F22)),Inputs!$B$22+((C969=TRUE)*(F969-Calc!F24)))/100+(Inputs!$B$22+((C969=TRUE)*(F969-Calc!F24)))/100)/2</f>
        <v/>
      </c>
      <c r="M950">
        <f>L950*(1+(Inputs!$B$9+0+B977)/100)</f>
        <v/>
      </c>
      <c r="N950">
        <f>L950*(1-MIN((Inputs!$B$8+0+B972),100)/100)+M950*(MIN((Inputs!$B$8+0+B972),100)/100)</f>
        <v/>
      </c>
      <c r="O950">
        <f>IF(C950,H950*N950*IF(AND(Inputs!$B$4&lt;&gt;"pvp",Inputs!$B$35&gt;0),((Skills!G5*((R950-1)*IF(Skills!H5&gt;0,Skills!I5/Skills!H5,1)+IF(Skills!H5&gt;0,MIN(Skills!I5,MAX(0,Inputs!$B$35-((R950-1)*IF(Inputs!$B$4="pvp",15,MAX(0.1,Skills!D5-IF(Skills!E5=TRUE,Inputs!$B$31,0))))))/Skills!H5,1)))/Inputs!$B$35),G950*Q950)*IF(Inputs!$B$4="pvp",1,(1-Summary!$B$55)*(1)+Summary!$B$55*(MIN(Skills!R5,Inputs!$B$37))),0)</f>
        <v/>
      </c>
      <c r="P950">
        <f>IF(B980=0,0,O950/B980)</f>
        <v/>
      </c>
      <c r="Q950">
        <f>IFERROR(1/IF(Inputs!$B$4="pvp",15,MAX(0.1,Skills!D5-IF(Skills!E5=TRUE,Inputs!$B$31,0))),0)</f>
        <v/>
      </c>
      <c r="R950">
        <f>IF(AND(Inputs!$B$4&lt;&gt;"pvp",Inputs!$B$35&gt;0),(INT(Inputs!$B$35/IF(Inputs!$B$4="pvp",15,MAX(0.1,Skills!D5-IF(Skills!E5=TRUE,Inputs!$B$31,0))))+1),0)</f>
        <v/>
      </c>
      <c r="S950">
        <f>IFERROR(O950/N950,0)</f>
        <v/>
      </c>
    </row>
    <row r="951">
      <c r="A951">
        <f>Skills!A6</f>
        <v/>
      </c>
      <c r="B951">
        <f>Skills!B6</f>
        <v/>
      </c>
      <c r="C951">
        <f>Inputs!$B$3&gt;=103</f>
        <v/>
      </c>
      <c r="D951">
        <f>IF(Skills!C6=1,60+Inputs!$B$24+Inputs!$B$28,IF(Skills!C6=2,90+Inputs!$B$25+Inputs!$B$28,IF(Skills!C6=3,120+Inputs!$B$26+Inputs!$B$28,MAX(0,(Inputs!$B$3-100)*3)+Inputs!$B$27+Inputs!$B$28)))</f>
        <v/>
      </c>
      <c r="E951">
        <f>INDEX(FactorTable!$B$2:$Y$301, MATCH(ROUND(MIN(300,MAX(1,D951)),0), FactorTable!$A$2:$A$301,0), Skills!M6+1)</f>
        <v/>
      </c>
      <c r="F951">
        <f>IF(Skills!N6=TRUE,(Skills!L6/10)*(E951/1000),Skills!L6/10)+Skills!O6</f>
        <v/>
      </c>
      <c r="G951">
        <f>Skills!G6*IF(Skills!H6&gt;0,Skills!I6/Skills!H6,1)</f>
        <v/>
      </c>
      <c r="H951">
        <f>1-(1-Skills!J6/100)^Skills!K6</f>
        <v/>
      </c>
      <c r="I951" t="inlineStr">
        <is>
          <t>1</t>
        </is>
      </c>
      <c r="J951">
        <f>(Inputs!$B$5*(1+Inputs!$B$6/100))*(F951/100)</f>
        <v/>
      </c>
      <c r="K951">
        <f>J951*(1+((Inputs!$B$11*(1+Inputs!$B$12/100))*0.01+Inputs!$B$13*0.0025)/100)*(1+Inputs!$B$14/100)*(1+IF(Inputs!$B$4="pvp",0,(1-Summary!$B$55)*(Inputs!$B$19+0+Skills!P6)+Summary!$B$55*(Inputs!$B$20+Skills!Q6))/100)*(1+Inputs!$B$15/100)*(5000/(6000+Inputs!$B$7*(1-(Inputs!$B$18+0)/100)))*(1+(Inputs!$B$23+0+B978)/100)*(1+(IF(Skills!A6="BLAST",Inputs!$B$16+((C966=TRUE)*(F966-Calc!F21)),Inputs!$B$17+((C968=TRUE)*(F968-Calc!F23))))/100)*((1+(((C958=TRUE)*F958*MIN(1,Skills!T13*(Skills!J13/100)*B976))+((C963=TRUE)*F963*IF(AND(Inputs!$B$4&lt;&gt;"pvp",Inputs!$B$35&gt;0),(((S963-1)*(Skills!T18*(1+Inputs!$B$33/100))+MIN((Skills!T18*(1+Inputs!$B$33/100)),MAX(0,Inputs!$B$35-((S963-1)*Skills!D18))))/Inputs!$B$35),IF(Inputs!$B$4="pvp",MIN((Skills!T18*(1+Inputs!$B$33/100)),15)/15,(Skills!T18*(1+Inputs!$B$33/100))/Skills!D18)))+0)/100)*I951)</f>
        <v/>
      </c>
      <c r="L951">
        <f>K951*(MIN(Inputs!$B$21+((C967=TRUE)*(F967-Calc!F22)),Inputs!$B$22+((C969=TRUE)*(F969-Calc!F24)))/100+(Inputs!$B$22+((C969=TRUE)*(F969-Calc!F24)))/100)/2</f>
        <v/>
      </c>
      <c r="M951">
        <f>L951*(1+(Inputs!$B$9+0+B977)/100)</f>
        <v/>
      </c>
      <c r="N951">
        <f>L951*(1-MIN((Inputs!$B$8+0+B972),100)/100)+M951*(MIN((Inputs!$B$8+0+B972),100)/100)</f>
        <v/>
      </c>
      <c r="O951">
        <f>IF(C951,H951*N951*IF(AND(Inputs!$B$4&lt;&gt;"pvp",Inputs!$B$35&gt;0),((Skills!G6*((R951-1)*IF(Skills!H6&gt;0,Skills!I6/Skills!H6,1)+IF(Skills!H6&gt;0,MIN(Skills!I6,MAX(0,Inputs!$B$35-((R951-1)*IF(Inputs!$B$4="pvp",15,MAX(0.1,Skills!D6-IF(Skills!E6=TRUE,Inputs!$B$31,0))))))/Skills!H6,1)))/Inputs!$B$35),G951*Q951)*IF(Inputs!$B$4="pvp",1,(1-Summary!$B$55)*(1)+Summary!$B$55*(MIN(Skills!R6,Inputs!$B$37))),0)</f>
        <v/>
      </c>
      <c r="P951">
        <f>IF(B980=0,0,O951/B980)</f>
        <v/>
      </c>
      <c r="Q951">
        <f>IFERROR(1/IF(Inputs!$B$4="pvp",15,MAX(0.1,Skills!D6-IF(Skills!E6=TRUE,Inputs!$B$31,0))),0)</f>
        <v/>
      </c>
      <c r="R951">
        <f>IF(AND(Inputs!$B$4&lt;&gt;"pvp",Inputs!$B$35&gt;0),(INT(Inputs!$B$35/IF(Inputs!$B$4="pvp",15,MAX(0.1,Skills!D6-IF(Skills!E6=TRUE,Inputs!$B$31,0))))+1),0)</f>
        <v/>
      </c>
      <c r="S951">
        <f>IFERROR(O951/N951,0)</f>
        <v/>
      </c>
    </row>
    <row r="952">
      <c r="A952">
        <f>Skills!A7</f>
        <v/>
      </c>
      <c r="B952">
        <f>Skills!B7</f>
        <v/>
      </c>
      <c r="C952">
        <f>Inputs!$B$3&gt;=107</f>
        <v/>
      </c>
      <c r="D952">
        <f>IF(Skills!C7=1,60+Inputs!$B$24+Inputs!$B$28,IF(Skills!C7=2,90+Inputs!$B$25+Inputs!$B$28,IF(Skills!C7=3,120+Inputs!$B$26+Inputs!$B$28,MAX(0,(Inputs!$B$3-100)*3)+Inputs!$B$27+Inputs!$B$28)))</f>
        <v/>
      </c>
      <c r="E952">
        <f>INDEX(FactorTable!$B$2:$Y$301, MATCH(ROUND(MIN(300,MAX(1,D952)),0), FactorTable!$A$2:$A$301,0), Skills!M7+1)</f>
        <v/>
      </c>
      <c r="F952">
        <f>IF(Skills!N7=TRUE,(Skills!L7/10)*(E952/1000),Skills!L7/10)+Skills!O7</f>
        <v/>
      </c>
      <c r="G952">
        <f>Skills!G7*IF(Skills!H7&gt;0,Skills!I7/Skills!H7,1)</f>
        <v/>
      </c>
      <c r="H952">
        <f>1-(1-Skills!J7/100)^Skills!K7</f>
        <v/>
      </c>
      <c r="I952" t="inlineStr">
        <is>
          <t>1</t>
        </is>
      </c>
      <c r="J952">
        <f>(Inputs!$B$5*(1+Inputs!$B$6/100))*(F952/100)</f>
        <v/>
      </c>
      <c r="K952">
        <f>J952*(1+((Inputs!$B$11*(1+Inputs!$B$12/100))*0.01+Inputs!$B$13*0.0025)/100)*(1+Inputs!$B$14/100)*(1+IF(Inputs!$B$4="pvp",0,(1-Summary!$B$55)*(Inputs!$B$19+0+Skills!P7)+Summary!$B$55*(Inputs!$B$20+Skills!Q7))/100)*(1+Inputs!$B$15/100)*(5000/(6000+Inputs!$B$7*(1-(Inputs!$B$18+0)/100)))*(1+(Inputs!$B$23+0+B978)/100)*(1+(IF(Skills!A7="BLAST",Inputs!$B$16+((C966=TRUE)*(F966-Calc!F21)),Inputs!$B$17+((C968=TRUE)*(F968-Calc!F23))))/100)*((1+(((C958=TRUE)*F958*MIN(1,Skills!T13*(Skills!J13/100)*B976))+((C963=TRUE)*F963*IF(AND(Inputs!$B$4&lt;&gt;"pvp",Inputs!$B$35&gt;0),(((S963-1)*(Skills!T18*(1+Inputs!$B$33/100))+MIN((Skills!T18*(1+Inputs!$B$33/100)),MAX(0,Inputs!$B$35-((S963-1)*Skills!D18))))/Inputs!$B$35),IF(Inputs!$B$4="pvp",MIN((Skills!T18*(1+Inputs!$B$33/100)),15)/15,(Skills!T18*(1+Inputs!$B$33/100))/Skills!D18)))+0)/100)*I952)</f>
        <v/>
      </c>
      <c r="L952">
        <f>K952*(MIN(Inputs!$B$21+((C967=TRUE)*(F967-Calc!F22)),Inputs!$B$22+((C969=TRUE)*(F969-Calc!F24)))/100+(Inputs!$B$22+((C969=TRUE)*(F969-Calc!F24)))/100)/2</f>
        <v/>
      </c>
      <c r="M952">
        <f>L952*(1+(Inputs!$B$9+0+B977)/100)</f>
        <v/>
      </c>
      <c r="N952">
        <f>L952*(1-MIN((Inputs!$B$8+0+B972),100)/100)+M952*(MIN((Inputs!$B$8+0+B972),100)/100)</f>
        <v/>
      </c>
      <c r="O952">
        <f>IF(C952,H952*N952*IF(AND(Inputs!$B$4&lt;&gt;"pvp",Inputs!$B$35&gt;0),((Skills!G7*((R952-1)*IF(Skills!H7&gt;0,Skills!I7/Skills!H7,1)+IF(Skills!H7&gt;0,MIN(Skills!I7,MAX(0,Inputs!$B$35-((R952-1)*IF(Inputs!$B$4="pvp",15,MAX(0.1,Skills!D7-IF(Skills!E7=TRUE,Inputs!$B$31,0))))))/Skills!H7,1)))/Inputs!$B$35),G952*Q952)*IF(Inputs!$B$4="pvp",1,(1-Summary!$B$55)*(1)+Summary!$B$55*(MIN(Skills!R7,Inputs!$B$37))),0)</f>
        <v/>
      </c>
      <c r="P952">
        <f>IF(B980=0,0,O952/B980)</f>
        <v/>
      </c>
      <c r="Q952">
        <f>IFERROR(1/IF(Inputs!$B$4="pvp",15,MAX(0.1,Skills!D7-IF(Skills!E7=TRUE,Inputs!$B$31,0))),0)</f>
        <v/>
      </c>
      <c r="R952">
        <f>IF(AND(Inputs!$B$4&lt;&gt;"pvp",Inputs!$B$35&gt;0),(INT(Inputs!$B$35/IF(Inputs!$B$4="pvp",15,MAX(0.1,Skills!D7-IF(Skills!E7=TRUE,Inputs!$B$31,0))))+1),0)</f>
        <v/>
      </c>
      <c r="S952">
        <f>IFERROR(O952/N952,0)</f>
        <v/>
      </c>
    </row>
    <row r="953">
      <c r="A953">
        <f>Skills!A8</f>
        <v/>
      </c>
      <c r="B953">
        <f>Skills!B8</f>
        <v/>
      </c>
      <c r="C953">
        <f>Inputs!$B$3&gt;=107</f>
        <v/>
      </c>
      <c r="D953">
        <f>IF(Skills!C8=1,60+Inputs!$B$24+Inputs!$B$28,IF(Skills!C8=2,90+Inputs!$B$25+Inputs!$B$28,IF(Skills!C8=3,120+Inputs!$B$26+Inputs!$B$28,MAX(0,(Inputs!$B$3-100)*3)+Inputs!$B$27+Inputs!$B$28)))</f>
        <v/>
      </c>
      <c r="E953">
        <f>INDEX(FactorTable!$B$2:$Y$301, MATCH(ROUND(MIN(300,MAX(1,D953)),0), FactorTable!$A$2:$A$301,0), Skills!M8+1)</f>
        <v/>
      </c>
      <c r="F953">
        <f>IF(Skills!N8=TRUE,(Skills!L8/10)*(E953/1000),Skills!L8/10)+Skills!O8</f>
        <v/>
      </c>
      <c r="G953">
        <f>Skills!G8*IF(Skills!H8&gt;0,Skills!I8/Skills!H8,1)</f>
        <v/>
      </c>
      <c r="H953">
        <f>1-(1-Skills!J8/100)^Skills!K8</f>
        <v/>
      </c>
      <c r="I953" t="inlineStr">
        <is>
          <t>1</t>
        </is>
      </c>
      <c r="J953">
        <f>(Inputs!$B$5*(1+Inputs!$B$6/100))*(F953/100)</f>
        <v/>
      </c>
      <c r="K953">
        <f>J953*(1+((Inputs!$B$11*(1+Inputs!$B$12/100))*0.01+Inputs!$B$13*0.0025)/100)*(1+Inputs!$B$14/100)*(1+IF(Inputs!$B$4="pvp",0,(1-Summary!$B$55)*(Inputs!$B$19+0+Skills!P8)+Summary!$B$55*(Inputs!$B$20+Skills!Q8))/100)*(1+Inputs!$B$15/100)*(5000/(6000+Inputs!$B$7*(1-(Inputs!$B$18+0)/100)))*(1+(Inputs!$B$23+0+B978)/100)*(1+(IF(Skills!A8="BLAST",Inputs!$B$16+((C966=TRUE)*(F966-Calc!F21)),Inputs!$B$17+((C968=TRUE)*(F968-Calc!F23))))/100)*((1+(((C958=TRUE)*F958*MIN(1,Skills!T13*(Skills!J13/100)*B976))+((C963=TRUE)*F963*IF(AND(Inputs!$B$4&lt;&gt;"pvp",Inputs!$B$35&gt;0),(((S963-1)*(Skills!T18*(1+Inputs!$B$33/100))+MIN((Skills!T18*(1+Inputs!$B$33/100)),MAX(0,Inputs!$B$35-((S963-1)*Skills!D18))))/Inputs!$B$35),IF(Inputs!$B$4="pvp",MIN((Skills!T18*(1+Inputs!$B$33/100)),15)/15,(Skills!T18*(1+Inputs!$B$33/100))/Skills!D18)))+0)/100)*I953)</f>
        <v/>
      </c>
      <c r="L953">
        <f>K953*(MIN(Inputs!$B$21+((C967=TRUE)*(F967-Calc!F22)),Inputs!$B$22+((C969=TRUE)*(F969-Calc!F24)))/100+(Inputs!$B$22+((C969=TRUE)*(F969-Calc!F24)))/100)/2</f>
        <v/>
      </c>
      <c r="M953">
        <f>L953*(1+(Inputs!$B$9+0+B977)/100)</f>
        <v/>
      </c>
      <c r="N953">
        <f>L953*(1-MIN((Inputs!$B$8+0+B972),100)/100)+M953*(MIN((Inputs!$B$8+0+B972),100)/100)</f>
        <v/>
      </c>
      <c r="O953">
        <f>IF(C953,H953*N953*IF(AND(Inputs!$B$4&lt;&gt;"pvp",Inputs!$B$35&gt;0),((Skills!G8*((R953-1)*IF(Skills!H8&gt;0,Skills!I8/Skills!H8,1)+IF(Skills!H8&gt;0,MIN(Skills!I8,MAX(0,Inputs!$B$35-((R953-1)*IF(Inputs!$B$4="pvp",15,MAX(0.1,Skills!D8-IF(Skills!E8=TRUE,Inputs!$B$31,0))))))/Skills!H8,1)))/Inputs!$B$35),G953*Q953)*IF(Inputs!$B$4="pvp",1,(1-Summary!$B$55)*(1)+Summary!$B$55*(MIN(Skills!R8,Inputs!$B$37))),0)</f>
        <v/>
      </c>
      <c r="P953">
        <f>IF(B980=0,0,O953/B980)</f>
        <v/>
      </c>
      <c r="Q953">
        <f>IFERROR(1/IF(Inputs!$B$4="pvp",15,MAX(0.1,Skills!D8-IF(Skills!E8=TRUE,Inputs!$B$31,0))),0)</f>
        <v/>
      </c>
      <c r="R953">
        <f>IF(AND(Inputs!$B$4&lt;&gt;"pvp",Inputs!$B$35&gt;0),(INT(Inputs!$B$35/IF(Inputs!$B$4="pvp",15,MAX(0.1,Skills!D8-IF(Skills!E8=TRUE,Inputs!$B$31,0))))+1),0)</f>
        <v/>
      </c>
      <c r="S953">
        <f>IFERROR(O953/N953,0)</f>
        <v/>
      </c>
    </row>
    <row r="954">
      <c r="A954">
        <f>Skills!A9</f>
        <v/>
      </c>
      <c r="B954">
        <f>Skills!B9</f>
        <v/>
      </c>
      <c r="C954">
        <f>Inputs!$B$3&gt;=125</f>
        <v/>
      </c>
      <c r="D954">
        <f>IF(Skills!C9=1,60+Inputs!$B$24+Inputs!$B$28,IF(Skills!C9=2,90+Inputs!$B$25+Inputs!$B$28,IF(Skills!C9=3,120+Inputs!$B$26+Inputs!$B$28,MAX(0,(Inputs!$B$3-100)*3)+Inputs!$B$27+Inputs!$B$28)))</f>
        <v/>
      </c>
      <c r="E954">
        <f>INDEX(FactorTable!$B$2:$Y$301, MATCH(ROUND(MIN(300,MAX(1,D954)),0), FactorTable!$A$2:$A$301,0), Skills!M9+1)</f>
        <v/>
      </c>
      <c r="F954">
        <f>IF(Skills!N9=TRUE,(Skills!L9/10)*(E954/1000),Skills!L9/10)+Skills!O9</f>
        <v/>
      </c>
      <c r="G954">
        <f>Skills!G9*IF(Skills!H9&gt;0,Skills!I9/Skills!H9,1)</f>
        <v/>
      </c>
      <c r="H954">
        <f>1-(1-Skills!J9/100)^Skills!K9</f>
        <v/>
      </c>
      <c r="I954" t="inlineStr">
        <is>
          <t>1</t>
        </is>
      </c>
      <c r="J954">
        <f>(Inputs!$B$5*(1+Inputs!$B$6/100))*(F954/100)</f>
        <v/>
      </c>
      <c r="K954">
        <f>J954*(1+((Inputs!$B$11*(1+Inputs!$B$12/100))*0.01+Inputs!$B$13*0.0025)/100)*(1+Inputs!$B$14/100)*(1+IF(Inputs!$B$4="pvp",0,(1-Summary!$B$55)*(Inputs!$B$19+0+Skills!P9)+Summary!$B$55*(Inputs!$B$20+Skills!Q9))/100)*(1+Inputs!$B$15/100)*(5000/(6000+Inputs!$B$7*(1-(Inputs!$B$18+0)/100)))*(1+(Inputs!$B$23+0+B978)/100)*(1+(IF(Skills!A9="BLAST",Inputs!$B$16+((C966=TRUE)*(F966-Calc!F21)),Inputs!$B$17+((C968=TRUE)*(F968-Calc!F23))))/100)*((1+(((C958=TRUE)*F958*MIN(1,Skills!T13*(Skills!J13/100)*B976))+((C963=TRUE)*F963*IF(AND(Inputs!$B$4&lt;&gt;"pvp",Inputs!$B$35&gt;0),(((S963-1)*(Skills!T18*(1+Inputs!$B$33/100))+MIN((Skills!T18*(1+Inputs!$B$33/100)),MAX(0,Inputs!$B$35-((S963-1)*Skills!D18))))/Inputs!$B$35),IF(Inputs!$B$4="pvp",MIN((Skills!T18*(1+Inputs!$B$33/100)),15)/15,(Skills!T18*(1+Inputs!$B$33/100))/Skills!D18)))+0)/100)*I954)</f>
        <v/>
      </c>
      <c r="L954">
        <f>K954*(MIN(Inputs!$B$21+((C967=TRUE)*(F967-Calc!F22)),Inputs!$B$22+((C969=TRUE)*(F969-Calc!F24)))/100+(Inputs!$B$22+((C969=TRUE)*(F969-Calc!F24)))/100)/2</f>
        <v/>
      </c>
      <c r="M954">
        <f>L954*(1+(Inputs!$B$9+0+B977)/100)</f>
        <v/>
      </c>
      <c r="N954">
        <f>L954*(1-MIN((Inputs!$B$8+0+B972),100)/100)+M954*(MIN((Inputs!$B$8+0+B972),100)/100)</f>
        <v/>
      </c>
      <c r="O954">
        <f>IF(C954,H954*N954*IF(AND(Inputs!$B$4&lt;&gt;"pvp",Inputs!$B$35&gt;0),((Skills!G9*((R954-1)*IF(Skills!H9&gt;0,Skills!I9/Skills!H9,1)+IF(Skills!H9&gt;0,MIN(Skills!I9,MAX(0,Inputs!$B$35-((R954-1)*IF(Inputs!$B$4="pvp",15,MAX(0.1,Skills!D9-IF(Skills!E9=TRUE,Inputs!$B$31,0))))))/Skills!H9,1)))/Inputs!$B$35),G954*Q954)*IF(Inputs!$B$4="pvp",1,(1-Summary!$B$55)*(1)+Summary!$B$55*(MIN(Skills!R9,Inputs!$B$37))),0)</f>
        <v/>
      </c>
      <c r="P954">
        <f>IF(B980=0,0,O954/B980)</f>
        <v/>
      </c>
      <c r="Q954">
        <f>IFERROR(1/IF(Inputs!$B$4="pvp",15,MAX(0.1,Skills!D9-IF(Skills!E9=TRUE,Inputs!$B$31,0))),0)</f>
        <v/>
      </c>
      <c r="R954">
        <f>IF(AND(Inputs!$B$4&lt;&gt;"pvp",Inputs!$B$35&gt;0),(INT(Inputs!$B$35/IF(Inputs!$B$4="pvp",15,MAX(0.1,Skills!D9-IF(Skills!E9=TRUE,Inputs!$B$31,0))))+1),0)</f>
        <v/>
      </c>
      <c r="S954">
        <f>IFERROR(O954/N954,0)</f>
        <v/>
      </c>
    </row>
    <row r="955">
      <c r="A955">
        <f>Skills!A10</f>
        <v/>
      </c>
      <c r="B955">
        <f>Skills!B10</f>
        <v/>
      </c>
      <c r="C955">
        <f>Inputs!$B$3&gt;=117</f>
        <v/>
      </c>
      <c r="D955">
        <f>IF(Skills!C10=1,60+Inputs!$B$24+Inputs!$B$28,IF(Skills!C10=2,90+Inputs!$B$25+Inputs!$B$28,IF(Skills!C10=3,120+Inputs!$B$26+Inputs!$B$28,MAX(0,(Inputs!$B$3-100)*3)+Inputs!$B$27+Inputs!$B$28)))</f>
        <v/>
      </c>
      <c r="E955">
        <f>INDEX(FactorTable!$B$2:$Y$301, MATCH(ROUND(MIN(300,MAX(1,D955)),0), FactorTable!$A$2:$A$301,0), Skills!M10+1)</f>
        <v/>
      </c>
      <c r="F955">
        <f>IF(Skills!N10=TRUE,(Skills!L10/10)*(E955/1000),Skills!L10/10)+Skills!O10</f>
        <v/>
      </c>
      <c r="G955">
        <f>Skills!G10*IF(Skills!H10&gt;0,Skills!I10/Skills!H10,1)</f>
        <v/>
      </c>
      <c r="H955">
        <f>1-(1-Skills!J10/100)^Skills!K10</f>
        <v/>
      </c>
      <c r="I955" t="inlineStr">
        <is>
          <t>1</t>
        </is>
      </c>
      <c r="J955">
        <f>(Inputs!$B$5*(1+Inputs!$B$6/100))*(F955/100)</f>
        <v/>
      </c>
      <c r="K955">
        <f>J955*(1+((Inputs!$B$11*(1+Inputs!$B$12/100))*0.01+Inputs!$B$13*0.0025)/100)*(1+Inputs!$B$14/100)*(1+IF(Inputs!$B$4="pvp",0,(1-Summary!$B$55)*(Inputs!$B$19+0+Skills!P10)+Summary!$B$55*(Inputs!$B$20+Skills!Q10))/100)*(1+Inputs!$B$15/100)*(5000/(6000+Inputs!$B$7*(1-(Inputs!$B$18+0)/100)))*(1+(Inputs!$B$23+0+B978)/100)*(1+(IF(Skills!A10="BLAST",Inputs!$B$16+((C966=TRUE)*(F966-Calc!F21)),Inputs!$B$17+((C968=TRUE)*(F968-Calc!F23))))/100)*((1+(((C958=TRUE)*F958*MIN(1,Skills!T13*(Skills!J13/100)*B976))+((C963=TRUE)*F963*IF(AND(Inputs!$B$4&lt;&gt;"pvp",Inputs!$B$35&gt;0),(((S963-1)*(Skills!T18*(1+Inputs!$B$33/100))+MIN((Skills!T18*(1+Inputs!$B$33/100)),MAX(0,Inputs!$B$35-((S963-1)*Skills!D18))))/Inputs!$B$35),IF(Inputs!$B$4="pvp",MIN((Skills!T18*(1+Inputs!$B$33/100)),15)/15,(Skills!T18*(1+Inputs!$B$33/100))/Skills!D18)))+0)/100)*I955)</f>
        <v/>
      </c>
      <c r="L955">
        <f>K955*(MIN(Inputs!$B$21+((C967=TRUE)*(F967-Calc!F22)),Inputs!$B$22+((C969=TRUE)*(F969-Calc!F24)))/100+(Inputs!$B$22+((C969=TRUE)*(F969-Calc!F24)))/100)/2</f>
        <v/>
      </c>
      <c r="M955">
        <f>L955*(1+(Inputs!$B$9+0+B977)/100)</f>
        <v/>
      </c>
      <c r="N955">
        <f>L955*(1-MIN((Inputs!$B$8+0+B972),100)/100)+M955*(MIN((Inputs!$B$8+0+B972),100)/100)</f>
        <v/>
      </c>
      <c r="O955">
        <f>IF(C955,H955*N955*IF(AND(Inputs!$B$4&lt;&gt;"pvp",Inputs!$B$35&gt;0),((Skills!G10*((R955-1)*IF(Skills!H10&gt;0,Skills!I10/Skills!H10,1)+IF(Skills!H10&gt;0,MIN(Skills!I10,MAX(0,Inputs!$B$35-((R955-1)*IF(Inputs!$B$4="pvp",15,MAX(0.1,Skills!D10-IF(Skills!E10=TRUE,Inputs!$B$31,0))))))/Skills!H10,1)))/Inputs!$B$35),G955*Q955)*IF(Inputs!$B$4="pvp",1,(1-Summary!$B$55)*(1)+Summary!$B$55*(MIN(Skills!R10,Inputs!$B$37))),0)</f>
        <v/>
      </c>
      <c r="P955">
        <f>IF(B980=0,0,O955/B980)</f>
        <v/>
      </c>
      <c r="Q955">
        <f>IFERROR(1/IF(Inputs!$B$4="pvp",15,MAX(0.1,Skills!D10-IF(Skills!E10=TRUE,Inputs!$B$31,0))),0)</f>
        <v/>
      </c>
      <c r="R955">
        <f>IF(AND(Inputs!$B$4&lt;&gt;"pvp",Inputs!$B$35&gt;0),(INT(Inputs!$B$35/IF(Inputs!$B$4="pvp",15,MAX(0.1,Skills!D10-IF(Skills!E10=TRUE,Inputs!$B$31,0))))+1),0)</f>
        <v/>
      </c>
      <c r="S955">
        <f>IFERROR(O955/N955,0)</f>
        <v/>
      </c>
    </row>
    <row r="956">
      <c r="A956">
        <f>Skills!A11</f>
        <v/>
      </c>
      <c r="B956">
        <f>Skills!B11</f>
        <v/>
      </c>
      <c r="C956">
        <f>Inputs!$B$3&gt;=63</f>
        <v/>
      </c>
      <c r="D956">
        <f>IF(Skills!C11=1,60+Inputs!$B$24+Inputs!$B$28,IF(Skills!C11=2,90+Inputs!$B$25+Inputs!$B$28,IF(Skills!C11=3,120+Inputs!$B$26+Inputs!$B$28,MAX(0,(Inputs!$B$3-100)*3)+Inputs!$B$27+Inputs!$B$28)))</f>
        <v/>
      </c>
      <c r="E956">
        <f>INDEX(FactorTable!$B$2:$Y$301, MATCH(ROUND(MIN(300,MAX(1,D956)),0), FactorTable!$A$2:$A$301,0), Skills!M11+1)</f>
        <v/>
      </c>
      <c r="F956">
        <f>IF(Skills!N11=TRUE,(Skills!L11/10)*(E956/1000),Skills!L11/10)+Skills!O11</f>
        <v/>
      </c>
      <c r="G956">
        <f>Skills!G11*IF(Skills!H11&gt;0,Skills!I11/Skills!H11,1)</f>
        <v/>
      </c>
      <c r="H956">
        <f>1-(1-Skills!J11/100)^Skills!K11</f>
        <v/>
      </c>
      <c r="I956" t="inlineStr">
        <is>
          <t>1</t>
        </is>
      </c>
      <c r="J956">
        <f>(Inputs!$B$5*(1+Inputs!$B$6/100))*(F956/100)</f>
        <v/>
      </c>
      <c r="K956">
        <f>J956*(1+((Inputs!$B$11*(1+Inputs!$B$12/100))*0.01+Inputs!$B$13*0.0025)/100)*(1+Inputs!$B$14/100)*(1+IF(Inputs!$B$4="pvp",0,(1-Summary!$B$55)*(Inputs!$B$19+0+Skills!P11)+Summary!$B$55*(Inputs!$B$20+Skills!Q11))/100)*(1+Inputs!$B$15/100)*(5000/(6000+Inputs!$B$7*(1-(Inputs!$B$18+0)/100)))*(1+(Inputs!$B$23+0+B978)/100)*(1+1.5*IF(C957=TRUE,F957,0)/100)*(1+(IF(Skills!A11="BLAST",Inputs!$B$16+((C966=TRUE)*(F966-Calc!F21)),Inputs!$B$17+((C968=TRUE)*(F968-Calc!F23))))/100)*((1+(((C958=TRUE)*F958*MIN(1,Skills!T13*(Skills!J13/100)*B976))+((C963=TRUE)*F963*IF(AND(Inputs!$B$4&lt;&gt;"pvp",Inputs!$B$35&gt;0),(((S963-1)*(Skills!T18*(1+Inputs!$B$33/100))+MIN((Skills!T18*(1+Inputs!$B$33/100)),MAX(0,Inputs!$B$35-((S963-1)*Skills!D18))))/Inputs!$B$35),IF(Inputs!$B$4="pvp",MIN((Skills!T18*(1+Inputs!$B$33/100)),15)/15,(Skills!T18*(1+Inputs!$B$33/100))/Skills!D18)))+0)/100)*I956)</f>
        <v/>
      </c>
      <c r="L956">
        <f>K956*(MIN(Inputs!$B$21+((C967=TRUE)*(F967-Calc!F22)),Inputs!$B$22+((C969=TRUE)*(F969-Calc!F24)))/100+(Inputs!$B$22+((C969=TRUE)*(F969-Calc!F24)))/100)/2</f>
        <v/>
      </c>
      <c r="M956">
        <f>L956*(1+(Inputs!$B$9+0+B977)/100)</f>
        <v/>
      </c>
      <c r="N956">
        <f>L956*(1-MIN((Inputs!$B$8+0+B972),100)/100)+M956*(MIN((Inputs!$B$8+0+B972),100)/100)</f>
        <v/>
      </c>
      <c r="O956">
        <f>IF(C956,H956*N956*IF(AND(Inputs!$B$4&lt;&gt;"pvp",Inputs!$B$35&gt;0),((Skills!G11*((R956-1)*IF(Skills!H11&gt;0,Skills!I11/Skills!H11,1)+IF(Skills!H11&gt;0,MIN(Skills!I11,MAX(0,Inputs!$B$35-((R956-1)*IF(Inputs!$B$4="pvp",15,MAX(0.1,Skills!D11-IF(Skills!E11=TRUE,Inputs!$B$31,0))))))/Skills!H11,1)))/Inputs!$B$35),G956*Q956)*IF(Inputs!$B$4="pvp",1,(1-Summary!$B$55)*(1)+Summary!$B$55*(MIN(Skills!R11,Inputs!$B$37))),0)</f>
        <v/>
      </c>
      <c r="P956">
        <f>IF(B980=0,0,O956/B980)</f>
        <v/>
      </c>
      <c r="Q956">
        <f>IFERROR(1/IF(Inputs!$B$4="pvp",15,MAX(0.1,Skills!D11-IF(Skills!E11=TRUE,Inputs!$B$31,0))),0)</f>
        <v/>
      </c>
      <c r="R956">
        <f>IF(AND(Inputs!$B$4&lt;&gt;"pvp",Inputs!$B$35&gt;0),(INT(Inputs!$B$35/IF(Inputs!$B$4="pvp",15,MAX(0.1,Skills!D11-IF(Skills!E11=TRUE,Inputs!$B$31,0))))+1),0)</f>
        <v/>
      </c>
      <c r="S956">
        <f>IFERROR(O956/N956,0)</f>
        <v/>
      </c>
    </row>
    <row r="957">
      <c r="A957">
        <f>Skills!A12</f>
        <v/>
      </c>
      <c r="B957">
        <f>Skills!B12</f>
        <v/>
      </c>
      <c r="C957">
        <f>Inputs!$B$3&gt;=100</f>
        <v/>
      </c>
      <c r="D957">
        <f>IF(Skills!C12=1,60+Inputs!$B$24+Inputs!$B$28,IF(Skills!C12=2,90+Inputs!$B$25+Inputs!$B$28,IF(Skills!C12=3,120+Inputs!$B$26+Inputs!$B$28,MAX(0,(Inputs!$B$3-100)*3)+Inputs!$B$27+Inputs!$B$28)))</f>
        <v/>
      </c>
      <c r="E957">
        <f>INDEX(FactorTable!$B$2:$Y$301, MATCH(ROUND(MIN(300,MAX(1,D957)),0), FactorTable!$A$2:$A$301,0), Skills!M12+1)</f>
        <v/>
      </c>
      <c r="F957">
        <f>IF(Skills!N12=TRUE,(Skills!L12/10)*(E957/1000),Skills!L12/10)+Skills!O12</f>
        <v/>
      </c>
      <c r="G957" t="inlineStr"/>
      <c r="H957" t="inlineStr"/>
      <c r="I957" t="inlineStr">
        <is>
          <t>1</t>
        </is>
      </c>
      <c r="J957" t="inlineStr"/>
      <c r="K957" t="inlineStr"/>
      <c r="L957" t="inlineStr"/>
      <c r="M957" t="inlineStr"/>
      <c r="N957" t="inlineStr"/>
      <c r="O957" t="inlineStr"/>
      <c r="P957" t="inlineStr"/>
      <c r="Q957" t="inlineStr"/>
      <c r="R957" t="inlineStr"/>
      <c r="S957" t="inlineStr"/>
    </row>
    <row r="958">
      <c r="A958">
        <f>Skills!A13</f>
        <v/>
      </c>
      <c r="B958">
        <f>Skills!B13</f>
        <v/>
      </c>
      <c r="C958">
        <f>Inputs!$B$3&gt;=45</f>
        <v/>
      </c>
      <c r="D958">
        <f>IF(Skills!C13=1,60+Inputs!$B$24+Inputs!$B$28,IF(Skills!C13=2,90+Inputs!$B$25+Inputs!$B$28,IF(Skills!C13=3,120+Inputs!$B$26+Inputs!$B$28,MAX(0,(Inputs!$B$3-100)*3)+Inputs!$B$27+Inputs!$B$28)))</f>
        <v/>
      </c>
      <c r="E958">
        <f>INDEX(FactorTable!$B$2:$Y$301, MATCH(ROUND(MIN(300,MAX(1,D958)),0), FactorTable!$A$2:$A$301,0), Skills!M13+1)</f>
        <v/>
      </c>
      <c r="F958">
        <f>IF(Skills!N13=TRUE,(Skills!L13/10)*(E958/1000),Skills!L13/10)+Skills!O13</f>
        <v/>
      </c>
      <c r="G958">
        <f>Skills!G13*IF(Skills!H13&gt;0,Skills!I13/Skills!H13,1)</f>
        <v/>
      </c>
      <c r="H958">
        <f>1-(1-Skills!J13/100)^Skills!K13</f>
        <v/>
      </c>
      <c r="I958" t="inlineStr">
        <is>
          <t>1</t>
        </is>
      </c>
      <c r="J958" t="inlineStr"/>
      <c r="K958" t="inlineStr"/>
      <c r="L958" t="inlineStr"/>
      <c r="M958" t="inlineStr"/>
      <c r="N958" t="inlineStr"/>
      <c r="O958" t="n">
        <v>0</v>
      </c>
      <c r="P958">
        <f>IF(B980=0,0,O958/B980)</f>
        <v/>
      </c>
      <c r="Q958" t="n">
        <v>0</v>
      </c>
      <c r="R958" t="n">
        <v>0</v>
      </c>
      <c r="S958">
        <f>IFERROR(O958/N958,0)</f>
        <v/>
      </c>
    </row>
    <row r="959">
      <c r="A959">
        <f>Skills!A14</f>
        <v/>
      </c>
      <c r="B959">
        <f>Skills!B14</f>
        <v/>
      </c>
      <c r="C959">
        <f>Inputs!$B$3&gt;=110</f>
        <v/>
      </c>
      <c r="D959">
        <f>IF(Skills!C14=1,60+Inputs!$B$24+Inputs!$B$28,IF(Skills!C14=2,90+Inputs!$B$25+Inputs!$B$28,IF(Skills!C14=3,120+Inputs!$B$26+Inputs!$B$28,MAX(0,(Inputs!$B$3-100)*3)+Inputs!$B$27+Inputs!$B$28)))</f>
        <v/>
      </c>
      <c r="E959">
        <f>INDEX(FactorTable!$B$2:$Y$301, MATCH(ROUND(MIN(300,MAX(1,D959)),0), FactorTable!$A$2:$A$301,0), Skills!M14+1)</f>
        <v/>
      </c>
      <c r="F959">
        <f>IF(Skills!N14=TRUE,(Skills!L14/10)*(E959/1000),Skills!L14/10)+Skills!O14</f>
        <v/>
      </c>
      <c r="G959">
        <f>Skills!G14*IF(Skills!H14&gt;0,Skills!I14/Skills!H14,1)</f>
        <v/>
      </c>
      <c r="H959">
        <f>1-(1-Skills!J14/100)^Skills!K14</f>
        <v/>
      </c>
      <c r="I959" t="inlineStr">
        <is>
          <t>1</t>
        </is>
      </c>
      <c r="J959" t="inlineStr"/>
      <c r="K959" t="inlineStr"/>
      <c r="L959" t="inlineStr"/>
      <c r="M959" t="inlineStr"/>
      <c r="N959" t="inlineStr"/>
      <c r="O959" t="n">
        <v>0</v>
      </c>
      <c r="P959">
        <f>IF(B980=0,0,O959/B980)</f>
        <v/>
      </c>
      <c r="Q959" t="n">
        <v>0</v>
      </c>
      <c r="R959" t="n">
        <v>0</v>
      </c>
      <c r="S959">
        <f>IFERROR(O959/N959,0)</f>
        <v/>
      </c>
    </row>
    <row r="960">
      <c r="A960">
        <f>Skills!A15</f>
        <v/>
      </c>
      <c r="B960">
        <f>Skills!B15</f>
        <v/>
      </c>
      <c r="C960">
        <f>Inputs!$B$3&gt;=75</f>
        <v/>
      </c>
      <c r="D960">
        <f>IF(Skills!C15=1,60+Inputs!$B$24+Inputs!$B$28,IF(Skills!C15=2,90+Inputs!$B$25+Inputs!$B$28,IF(Skills!C15=3,120+Inputs!$B$26+Inputs!$B$28,MAX(0,(Inputs!$B$3-100)*3)+Inputs!$B$27+Inputs!$B$28)))</f>
        <v/>
      </c>
      <c r="E960">
        <f>INDEX(FactorTable!$B$2:$Y$301, MATCH(ROUND(MIN(300,MAX(1,D960)),0), FactorTable!$A$2:$A$301,0), Skills!M15+1)</f>
        <v/>
      </c>
      <c r="F960">
        <f>IF(Skills!N15=TRUE,(Skills!L15/10)*(E960/1000),Skills!L15/10)+Skills!O15</f>
        <v/>
      </c>
      <c r="G960">
        <f>Skills!G15*IF(Skills!H15&gt;0,Skills!I15/Skills!H15,1)</f>
        <v/>
      </c>
      <c r="H960">
        <f>1-(1-Skills!J15/100)^Skills!K15</f>
        <v/>
      </c>
      <c r="I960" t="inlineStr">
        <is>
          <t>1</t>
        </is>
      </c>
      <c r="J960" t="inlineStr"/>
      <c r="K960" t="inlineStr"/>
      <c r="L960" t="inlineStr"/>
      <c r="M960" t="inlineStr"/>
      <c r="N960" t="inlineStr"/>
      <c r="O960" t="n">
        <v>0</v>
      </c>
      <c r="P960">
        <f>IF(B980=0,0,O960/B980)</f>
        <v/>
      </c>
      <c r="Q960">
        <f>IFERROR(1/IF(Inputs!$B$4="pvp",15,MAX(0.1,Skills!D15-IF(Skills!E15=TRUE,Inputs!$B$31,0))),0)</f>
        <v/>
      </c>
      <c r="R960">
        <f>IF(AND(Inputs!$B$4&lt;&gt;"pvp",Inputs!$B$35&gt;0),(INT(Inputs!$B$35/IF(Inputs!$B$4="pvp",15,MAX(0.1,Skills!D15-IF(Skills!E15=TRUE,Inputs!$B$31,0))))+1),0)</f>
        <v/>
      </c>
      <c r="S960">
        <f>IFERROR(O960/N960,0)</f>
        <v/>
      </c>
    </row>
    <row r="961">
      <c r="A961">
        <f>Skills!A16</f>
        <v/>
      </c>
      <c r="B961">
        <f>Skills!B16</f>
        <v/>
      </c>
      <c r="C961">
        <f>Inputs!$B$3&gt;=105</f>
        <v/>
      </c>
      <c r="D961">
        <f>IF(Skills!C16=1,60+Inputs!$B$24+Inputs!$B$28,IF(Skills!C16=2,90+Inputs!$B$25+Inputs!$B$28,IF(Skills!C16=3,120+Inputs!$B$26+Inputs!$B$28,MAX(0,(Inputs!$B$3-100)*3)+Inputs!$B$27+Inputs!$B$28)))</f>
        <v/>
      </c>
      <c r="E961">
        <f>INDEX(FactorTable!$B$2:$Y$301, MATCH(ROUND(MIN(300,MAX(1,D961)),0), FactorTable!$A$2:$A$301,0), Skills!M16+1)</f>
        <v/>
      </c>
      <c r="F961">
        <f>IF(Skills!N16=TRUE,(Skills!L16/10)*(E961/1000),Skills!L16/10)+Skills!O16</f>
        <v/>
      </c>
      <c r="G961">
        <f>Skills!G16*IF(Skills!H16&gt;0,Skills!I16/Skills!H16,1)</f>
        <v/>
      </c>
      <c r="H961">
        <f>1-(1-Skills!J16/100)^Skills!K16</f>
        <v/>
      </c>
      <c r="I961" t="inlineStr">
        <is>
          <t>1</t>
        </is>
      </c>
      <c r="J961" t="inlineStr"/>
      <c r="K961" t="inlineStr"/>
      <c r="L961" t="inlineStr"/>
      <c r="M961" t="inlineStr"/>
      <c r="N961" t="inlineStr"/>
      <c r="O961" t="n">
        <v>0</v>
      </c>
      <c r="P961">
        <f>IF(B980=0,0,O961/B980)</f>
        <v/>
      </c>
      <c r="Q961">
        <f>IFERROR(1/IF(Inputs!$B$4="pvp",15,MAX(0.1,Skills!D16-IF(Skills!E16=TRUE,Inputs!$B$31,0))),0)</f>
        <v/>
      </c>
      <c r="R961">
        <f>IF(AND(Inputs!$B$4&lt;&gt;"pvp",Inputs!$B$35&gt;0),(INT(Inputs!$B$35/IF(Inputs!$B$4="pvp",15,MAX(0.1,Skills!D16-IF(Skills!E16=TRUE,Inputs!$B$31,0))))+1),0)</f>
        <v/>
      </c>
      <c r="S961">
        <f>IFERROR(O961/N961,0)</f>
        <v/>
      </c>
    </row>
    <row r="962">
      <c r="A962">
        <f>Skills!A17</f>
        <v/>
      </c>
      <c r="B962">
        <f>Skills!B17</f>
        <v/>
      </c>
      <c r="C962">
        <f>Inputs!$B$3&gt;=115</f>
        <v/>
      </c>
      <c r="D962">
        <f>IF(Skills!C17=1,60+Inputs!$B$24+Inputs!$B$28,IF(Skills!C17=2,90+Inputs!$B$25+Inputs!$B$28,IF(Skills!C17=3,120+Inputs!$B$26+Inputs!$B$28,MAX(0,(Inputs!$B$3-100)*3)+Inputs!$B$27+Inputs!$B$28)))</f>
        <v/>
      </c>
      <c r="E962">
        <f>INDEX(FactorTable!$B$2:$Y$301, MATCH(ROUND(MIN(300,MAX(1,D962)),0), FactorTable!$A$2:$A$301,0), Skills!M17+1)</f>
        <v/>
      </c>
      <c r="F962">
        <f>IF(Skills!N17=TRUE,(Skills!L17/10)*(E962/1000),Skills!L17/10)+Skills!O17</f>
        <v/>
      </c>
      <c r="G962">
        <f>Skills!G17*IF(Skills!H17&gt;0,Skills!I17/Skills!H17,1)</f>
        <v/>
      </c>
      <c r="H962">
        <f>1-(1-Skills!J17/100)^Skills!K17</f>
        <v/>
      </c>
      <c r="I962" t="inlineStr">
        <is>
          <t>1</t>
        </is>
      </c>
      <c r="J962" t="inlineStr"/>
      <c r="K962" t="inlineStr"/>
      <c r="L962" t="inlineStr"/>
      <c r="M962" t="inlineStr"/>
      <c r="N962" t="inlineStr"/>
      <c r="O962" t="n">
        <v>0</v>
      </c>
      <c r="P962">
        <f>IF(B980=0,0,O962/B980)</f>
        <v/>
      </c>
      <c r="Q962">
        <f>IFERROR(1/IF(Inputs!$B$4="pvp",15,MAX(0.1,Skills!D17-IF(Skills!E17=TRUE,Inputs!$B$31,0))),0)</f>
        <v/>
      </c>
      <c r="R962">
        <f>IF(AND(Inputs!$B$4&lt;&gt;"pvp",Inputs!$B$35&gt;0),(INT(Inputs!$B$35/IF(Inputs!$B$4="pvp",15,MAX(0.1,Skills!D17-IF(Skills!E17=TRUE,Inputs!$B$31,0))))+1),0)</f>
        <v/>
      </c>
      <c r="S962">
        <f>IFERROR(O962/N962,0)</f>
        <v/>
      </c>
    </row>
    <row r="963">
      <c r="A963">
        <f>Skills!A18</f>
        <v/>
      </c>
      <c r="B963">
        <f>Skills!B18</f>
        <v/>
      </c>
      <c r="C963">
        <f>Inputs!$B$3&gt;=74</f>
        <v/>
      </c>
      <c r="D963">
        <f>IF(Skills!C18=1,60+Inputs!$B$24+Inputs!$B$28,IF(Skills!C18=2,90+Inputs!$B$25+Inputs!$B$28,IF(Skills!C18=3,120+Inputs!$B$26+Inputs!$B$28,MAX(0,(Inputs!$B$3-100)*3)+Inputs!$B$27+Inputs!$B$28)))</f>
        <v/>
      </c>
      <c r="E963">
        <f>INDEX(FactorTable!$B$2:$Y$301, MATCH(ROUND(MIN(300,MAX(1,D963)),0), FactorTable!$A$2:$A$301,0), Skills!M18+1)</f>
        <v/>
      </c>
      <c r="F963">
        <f>IF(Skills!N18=TRUE,(Skills!L18/10)*(E963/1000),Skills!L18/10)+Skills!O18</f>
        <v/>
      </c>
      <c r="G963">
        <f>Skills!G18*IF(Skills!H18&gt;0,Skills!I18/Skills!H18,1)</f>
        <v/>
      </c>
      <c r="H963">
        <f>1-(1-Skills!J18/100)^Skills!K18</f>
        <v/>
      </c>
      <c r="I963" t="inlineStr">
        <is>
          <t>1</t>
        </is>
      </c>
      <c r="J963" t="inlineStr"/>
      <c r="K963" t="inlineStr"/>
      <c r="L963" t="inlineStr"/>
      <c r="M963" t="inlineStr"/>
      <c r="N963" t="inlineStr"/>
      <c r="O963" t="n">
        <v>0</v>
      </c>
      <c r="P963">
        <f>IF(B980=0,0,O963/B980)</f>
        <v/>
      </c>
      <c r="Q963">
        <f>IFERROR(1/IF(Inputs!$B$4="pvp",15,MAX(0.1,Skills!D18-IF(Skills!E18=TRUE,Inputs!$B$31,0))),0)</f>
        <v/>
      </c>
      <c r="R963">
        <f>IF(AND(Inputs!$B$4&lt;&gt;"pvp",Inputs!$B$35&gt;0),(INT(Inputs!$B$35/IF(Inputs!$B$4="pvp",15,MAX(0.1,Skills!D18-IF(Skills!E18=TRUE,Inputs!$B$31,0))))+1),0)</f>
        <v/>
      </c>
      <c r="S963">
        <f>IFERROR(O963/N963,0)</f>
        <v/>
      </c>
    </row>
    <row r="964">
      <c r="A964">
        <f>Skills!A19</f>
        <v/>
      </c>
      <c r="B964">
        <f>Skills!B19</f>
        <v/>
      </c>
      <c r="C964">
        <f>TRUE</f>
        <v/>
      </c>
      <c r="D964">
        <f>IF(Skills!C19=1,60+Inputs!$B$24+Inputs!$B$28,IF(Skills!C19=2,90+Inputs!$B$25+Inputs!$B$28,IF(Skills!C19=3,120+Inputs!$B$26+Inputs!$B$28,MAX(0,(Inputs!$B$3-100)*3)+Inputs!$B$27+Inputs!$B$28)))</f>
        <v/>
      </c>
      <c r="E964">
        <f>INDEX(FactorTable!$B$2:$Y$301, MATCH(ROUND(MIN(300,MAX(1,D964)),0), FactorTable!$A$2:$A$301,0), Skills!M19+1)</f>
        <v/>
      </c>
      <c r="F964">
        <f>IF(Skills!N19=TRUE,(Skills!L19/10)*(E964/1000),Skills!L19/10)+Skills!O19</f>
        <v/>
      </c>
      <c r="G964">
        <f>Skills!G19*IF(Skills!H19&gt;0,Skills!I19/Skills!H19,1)</f>
        <v/>
      </c>
      <c r="H964">
        <f>1-(1-Skills!J19/100)^Skills!K19</f>
        <v/>
      </c>
      <c r="I964" t="inlineStr">
        <is>
          <t>1</t>
        </is>
      </c>
      <c r="J964" t="inlineStr"/>
      <c r="K964" t="inlineStr"/>
      <c r="L964" t="inlineStr"/>
      <c r="M964" t="inlineStr"/>
      <c r="N964" t="inlineStr"/>
      <c r="O964" t="n">
        <v>0</v>
      </c>
      <c r="P964">
        <f>IF(B980=0,0,O964/B980)</f>
        <v/>
      </c>
      <c r="Q964">
        <f>IFERROR(1/IF(Inputs!$B$4="pvp",15,MAX(0.1,Skills!D19-IF(Skills!E19=TRUE,Inputs!$B$31,0))),0)</f>
        <v/>
      </c>
      <c r="R964">
        <f>IF(AND(Inputs!$B$4&lt;&gt;"pvp",Inputs!$B$35&gt;0),(INT(Inputs!$B$35/IF(Inputs!$B$4="pvp",15,MAX(0.1,Skills!D19-IF(Skills!E19=TRUE,Inputs!$B$31,0))))+1),0)</f>
        <v/>
      </c>
      <c r="S964">
        <f>IFERROR(O964/N964,0)</f>
        <v/>
      </c>
    </row>
    <row r="965">
      <c r="A965">
        <f>Skills!A20</f>
        <v/>
      </c>
      <c r="B965">
        <f>Skills!B20</f>
        <v/>
      </c>
      <c r="C965">
        <f>Inputs!$B$3&gt;=33</f>
        <v/>
      </c>
      <c r="D965">
        <f>IF(Skills!C20=1,60+Inputs!$B$24+Inputs!$B$28,IF(Skills!C20=2,90+Inputs!$B$25+Inputs!$B$28,IF(Skills!C20=3,120+Inputs!$B$26+Inputs!$B$28,MAX(0,(Inputs!$B$3-100)*3)+Inputs!$B$27+Inputs!$B$28)))</f>
        <v/>
      </c>
      <c r="E965">
        <f>INDEX(FactorTable!$B$2:$Y$301, MATCH(ROUND(MIN(300,MAX(1,D965)),0), FactorTable!$A$2:$A$301,0), Skills!M20+1)</f>
        <v/>
      </c>
      <c r="F965">
        <f>IF(Skills!N20=TRUE,(Skills!L20/10)*(E965/1000),Skills!L20/10)+Skills!O20</f>
        <v/>
      </c>
      <c r="G965">
        <f>Skills!G20*IF(Skills!H20&gt;0,Skills!I20/Skills!H20,1)</f>
        <v/>
      </c>
      <c r="H965">
        <f>1-(1-Skills!J20/100)^Skills!K20</f>
        <v/>
      </c>
      <c r="I965" t="inlineStr">
        <is>
          <t>1</t>
        </is>
      </c>
      <c r="J965" t="inlineStr"/>
      <c r="K965" t="inlineStr"/>
      <c r="L965" t="inlineStr"/>
      <c r="M965" t="inlineStr"/>
      <c r="N965" t="inlineStr"/>
      <c r="O965" t="n">
        <v>0</v>
      </c>
      <c r="P965">
        <f>IF(B980=0,0,O965/B980)</f>
        <v/>
      </c>
      <c r="Q965" t="n">
        <v>0</v>
      </c>
      <c r="R965" t="n">
        <v>0</v>
      </c>
      <c r="S965">
        <f>IFERROR(O965/N965,0)</f>
        <v/>
      </c>
    </row>
    <row r="966">
      <c r="A966">
        <f>Skills!A21</f>
        <v/>
      </c>
      <c r="B966">
        <f>Skills!B21</f>
        <v/>
      </c>
      <c r="C966">
        <f>Inputs!$B$3&gt;=38</f>
        <v/>
      </c>
      <c r="D966">
        <f>IF(Skills!C21=1,60+Inputs!$B$24+Inputs!$B$28,IF(Skills!C21=2,90+Inputs!$B$25+Inputs!$B$28,IF(Skills!C21=3,120+Inputs!$B$26+Inputs!$B$28,MAX(0,(Inputs!$B$3-100)*3)+Inputs!$B$27+Inputs!$B$28)))</f>
        <v/>
      </c>
      <c r="E966">
        <f>INDEX(FactorTable!$B$2:$Y$301, MATCH(ROUND(MIN(300,MAX(1,D966)),0), FactorTable!$A$2:$A$301,0), Skills!M21+1)</f>
        <v/>
      </c>
      <c r="F966">
        <f>IF(Skills!N21=TRUE,(Skills!L21/10)*(E966/1000),Skills!L21/10)+Skills!O21</f>
        <v/>
      </c>
      <c r="G966">
        <f>Skills!G21*IF(Skills!H21&gt;0,Skills!I21/Skills!H21,1)</f>
        <v/>
      </c>
      <c r="H966">
        <f>1-(1-Skills!J21/100)^Skills!K21</f>
        <v/>
      </c>
      <c r="I966" t="inlineStr">
        <is>
          <t>1</t>
        </is>
      </c>
      <c r="J966" t="inlineStr"/>
      <c r="K966" t="inlineStr"/>
      <c r="L966" t="inlineStr"/>
      <c r="M966" t="inlineStr"/>
      <c r="N966" t="inlineStr"/>
      <c r="O966" t="n">
        <v>0</v>
      </c>
      <c r="P966">
        <f>IF(B980=0,0,O966/B980)</f>
        <v/>
      </c>
      <c r="Q966" t="n">
        <v>0</v>
      </c>
      <c r="R966" t="n">
        <v>0</v>
      </c>
      <c r="S966">
        <f>IFERROR(O966/N966,0)</f>
        <v/>
      </c>
    </row>
    <row r="967">
      <c r="A967">
        <f>Skills!A22</f>
        <v/>
      </c>
      <c r="B967">
        <f>Skills!B22</f>
        <v/>
      </c>
      <c r="C967">
        <f>Inputs!$B$3&gt;=43</f>
        <v/>
      </c>
      <c r="D967">
        <f>IF(Skills!C22=1,60+Inputs!$B$24+Inputs!$B$28,IF(Skills!C22=2,90+Inputs!$B$25+Inputs!$B$28,IF(Skills!C22=3,120+Inputs!$B$26+Inputs!$B$28,MAX(0,(Inputs!$B$3-100)*3)+Inputs!$B$27+Inputs!$B$28)))</f>
        <v/>
      </c>
      <c r="E967">
        <f>INDEX(FactorTable!$B$2:$Y$301, MATCH(ROUND(MIN(300,MAX(1,D967)),0), FactorTable!$A$2:$A$301,0), Skills!M22+1)</f>
        <v/>
      </c>
      <c r="F967">
        <f>IF(Skills!N22=TRUE,(Skills!L22/10)*(E967/1000),Skills!L22/10)+Skills!O22</f>
        <v/>
      </c>
      <c r="G967">
        <f>Skills!G22*IF(Skills!H22&gt;0,Skills!I22/Skills!H22,1)</f>
        <v/>
      </c>
      <c r="H967">
        <f>1-(1-Skills!J22/100)^Skills!K22</f>
        <v/>
      </c>
      <c r="I967" t="inlineStr">
        <is>
          <t>1</t>
        </is>
      </c>
      <c r="J967" t="inlineStr"/>
      <c r="K967" t="inlineStr"/>
      <c r="L967" t="inlineStr"/>
      <c r="M967" t="inlineStr"/>
      <c r="N967" t="inlineStr"/>
      <c r="O967" t="n">
        <v>0</v>
      </c>
      <c r="P967">
        <f>IF(B980=0,0,O967/B980)</f>
        <v/>
      </c>
      <c r="Q967" t="n">
        <v>0</v>
      </c>
      <c r="R967" t="n">
        <v>0</v>
      </c>
      <c r="S967">
        <f>IFERROR(O967/N967,0)</f>
        <v/>
      </c>
    </row>
    <row r="968">
      <c r="A968">
        <f>Skills!A23</f>
        <v/>
      </c>
      <c r="B968">
        <f>Skills!B23</f>
        <v/>
      </c>
      <c r="C968">
        <f>Inputs!$B$3&gt;=120</f>
        <v/>
      </c>
      <c r="D968">
        <f>IF(Skills!C23=1,60+Inputs!$B$24+Inputs!$B$28,IF(Skills!C23=2,90+Inputs!$B$25+Inputs!$B$28,IF(Skills!C23=3,120+Inputs!$B$26+Inputs!$B$28,MAX(0,(Inputs!$B$3-100)*3)+Inputs!$B$27+Inputs!$B$28)))</f>
        <v/>
      </c>
      <c r="E968">
        <f>INDEX(FactorTable!$B$2:$Y$301, MATCH(ROUND(MIN(300,MAX(1,D968)),0), FactorTable!$A$2:$A$301,0), Skills!M23+1)</f>
        <v/>
      </c>
      <c r="F968">
        <f>IF(Skills!N23=TRUE,(Skills!L23/10)*(E968/1000),Skills!L23/10)+Skills!O23</f>
        <v/>
      </c>
      <c r="G968">
        <f>Skills!G23*IF(Skills!H23&gt;0,Skills!I23/Skills!H23,1)</f>
        <v/>
      </c>
      <c r="H968">
        <f>1-(1-Skills!J23/100)^Skills!K23</f>
        <v/>
      </c>
      <c r="I968" t="inlineStr">
        <is>
          <t>1</t>
        </is>
      </c>
      <c r="J968" t="inlineStr"/>
      <c r="K968" t="inlineStr"/>
      <c r="L968" t="inlineStr"/>
      <c r="M968" t="inlineStr"/>
      <c r="N968" t="inlineStr"/>
      <c r="O968" t="n">
        <v>0</v>
      </c>
      <c r="P968">
        <f>IF(B980=0,0,O968/B980)</f>
        <v/>
      </c>
      <c r="Q968" t="n">
        <v>0</v>
      </c>
      <c r="R968" t="n">
        <v>0</v>
      </c>
      <c r="S968">
        <f>IFERROR(O968/N968,0)</f>
        <v/>
      </c>
    </row>
    <row r="969">
      <c r="A969">
        <f>Skills!A24</f>
        <v/>
      </c>
      <c r="B969">
        <f>Skills!B24</f>
        <v/>
      </c>
      <c r="C969">
        <f>Inputs!$B$3&gt;=120</f>
        <v/>
      </c>
      <c r="D969">
        <f>IF(Skills!C24=1,60+Inputs!$B$24+Inputs!$B$28,IF(Skills!C24=2,90+Inputs!$B$25+Inputs!$B$28,IF(Skills!C24=3,120+Inputs!$B$26+Inputs!$B$28,MAX(0,(Inputs!$B$3-100)*3)+Inputs!$B$27+Inputs!$B$28)))</f>
        <v/>
      </c>
      <c r="E969">
        <f>INDEX(FactorTable!$B$2:$Y$301, MATCH(ROUND(MIN(300,MAX(1,D969)),0), FactorTable!$A$2:$A$301,0), Skills!M24+1)</f>
        <v/>
      </c>
      <c r="F969">
        <f>IF(Skills!N24=TRUE,(Skills!L24/10)*(E969/1000),Skills!L24/10)+Skills!O24</f>
        <v/>
      </c>
      <c r="G969">
        <f>Skills!G24*IF(Skills!H24&gt;0,Skills!I24/Skills!H24,1)</f>
        <v/>
      </c>
      <c r="H969">
        <f>1-(1-Skills!J24/100)^Skills!K24</f>
        <v/>
      </c>
      <c r="I969" t="inlineStr">
        <is>
          <t>1</t>
        </is>
      </c>
      <c r="J969" t="inlineStr"/>
      <c r="K969" t="inlineStr"/>
      <c r="L969" t="inlineStr"/>
      <c r="M969" t="inlineStr"/>
      <c r="N969" t="inlineStr"/>
      <c r="O969" t="n">
        <v>0</v>
      </c>
      <c r="P969">
        <f>IF(B980=0,0,O969/B980)</f>
        <v/>
      </c>
      <c r="Q969" t="n">
        <v>0</v>
      </c>
      <c r="R969" t="n">
        <v>0</v>
      </c>
      <c r="S969">
        <f>IFERROR(O969/N969,0)</f>
        <v/>
      </c>
    </row>
    <row r="971">
      <c r="A971" t="inlineStr">
        <is>
          <t>Attack% Bucket Multiplier</t>
        </is>
      </c>
      <c r="B971">
        <f>(1+(((C958=TRUE)*F958*MIN(1,Skills!T13*(Skills!J13/100)*B976))+((C963=TRUE)*F963*IF(AND(Inputs!$B$4&lt;&gt;"pvp",Inputs!$B$35&gt;0),(((S963-1)*(Skills!T18*(1+Inputs!$B$33/100))+MIN((Skills!T18*(1+Inputs!$B$33/100)),MAX(0,Inputs!$B$35-((S963-1)*Skills!D18))))/Inputs!$B$35),IF(Inputs!$B$4="pvp",MIN((Skills!T18*(1+Inputs!$B$33/100)),15)/15,(Skills!T18*(1+Inputs!$B$33/100))/Skills!D18)))+0)/100)</f>
        <v/>
      </c>
    </row>
    <row r="972">
      <c r="A972" t="inlineStr">
        <is>
          <t>Global Crit Rate Bonus %</t>
        </is>
      </c>
      <c r="B972" t="n">
        <v>0</v>
      </c>
    </row>
    <row r="973">
      <c r="A973" t="inlineStr">
        <is>
          <t>Attack Speed Buff Bonus %</t>
        </is>
      </c>
      <c r="B973">
        <f>((C964=TRUE)*F964*IF(AND(Inputs!$B$4&lt;&gt;"pvp",Inputs!$B$35&gt;0),(((S964-1)*(Skills!T19*(1+Inputs!$B$33/100))+MIN((Skills!T19*(1+Inputs!$B$33/100)),MAX(0,Inputs!$B$35-((S964-1)*Skills!D19))))/Inputs!$B$35),IF(Inputs!$B$4="pvp",MIN((Skills!T19*(1+Inputs!$B$33/100)),15)/15,(Skills!T19*(1+Inputs!$B$33/100))/Skills!D19)))</f>
        <v/>
      </c>
    </row>
    <row r="974">
      <c r="A974" t="inlineStr">
        <is>
          <t>Actions Per Second</t>
        </is>
      </c>
      <c r="B974">
        <f>1+MIN(150,150*(1-(1-(Inputs!$B$10+((C965=TRUE)*(F965-Calc!F20)))/150)*(1-B973/150)))/100</f>
        <v/>
      </c>
    </row>
    <row r="975">
      <c r="A975" t="inlineStr">
        <is>
          <t>Skill + Buff Cast Rate</t>
        </is>
      </c>
      <c r="B975">
        <f>IF(AND(Inputs!$B$4&lt;&gt;"pvp",Inputs!$B$35&gt;0),SUMPRODUCT((Skills!E2:E24=TRUE)*(C947:C969=TRUE)*R947:R969*Skills!F2:F24)/Inputs!$B$35,SUMPRODUCT((Skills!E2:E24=TRUE)*(C947:C969=TRUE)*Q947:Q969*Skills!F2:F24))</f>
        <v/>
      </c>
    </row>
    <row r="976">
      <c r="A976" t="inlineStr">
        <is>
          <t>Blast Casts Per Second</t>
        </is>
      </c>
      <c r="B976">
        <f>MAX(0,B974-B975)</f>
        <v/>
      </c>
    </row>
    <row r="977">
      <c r="A977" t="inlineStr">
        <is>
          <t>Global Critical Damage Bonus % (unused)</t>
        </is>
      </c>
      <c r="B977" t="n">
        <v>0</v>
      </c>
    </row>
    <row r="978">
      <c r="A978" t="inlineStr">
        <is>
          <t>Global Final Damage Bonus % (Divine Shield + Guardian + Divine Blessing + Greater Vessel of Light)</t>
        </is>
      </c>
      <c r="B978">
        <f>((C960=TRUE)*F960*IF(AND(Inputs!$B$4&lt;&gt;"pvp",Inputs!$B$35&gt;0),(((S960-1)*(Skills!T15*(1+Inputs!$B$33/100))+MIN((Skills!T15*(1+Inputs!$B$33/100)),MAX(0,Inputs!$B$35-((S960-1)*Skills!D15))))/Inputs!$B$35),IF(Inputs!$B$4="pvp",MIN((Skills!T15*(1+Inputs!$B$33/100)),15)/15,(Skills!T15*(1+Inputs!$B$33/100))/Skills!D15)))+((C961=TRUE)*F961*IF(AND(Inputs!$B$4&lt;&gt;"pvp",Inputs!$B$35&gt;0),(((S961-1)*(Skills!T16*(1+Inputs!$B$33/100))+MIN((Skills!T16*(1+Inputs!$B$33/100)),MAX(0,Inputs!$B$35-((S961-1)*Skills!D16))))/Inputs!$B$35),IF(Inputs!$B$4="pvp",MIN((Skills!T16*(1+Inputs!$B$33/100)),15)/15,(Skills!T16*(1+Inputs!$B$33/100))/Skills!D16)))+((C962=TRUE)*F962*IF(AND(Inputs!$B$4&lt;&gt;"pvp",Inputs!$B$35&gt;0),(((S962-1)*(Skills!T17*(1+Inputs!$B$33/100))+MIN((Skills!T17*(1+Inputs!$B$33/100)),MAX(0,Inputs!$B$35-((S962-1)*Skills!D17))))/Inputs!$B$35),IF(Inputs!$B$4="pvp",MIN((Skills!T17*(1+Inputs!$B$33/100)),15)/15,(Skills!T17*(1+Inputs!$B$33/100))/Skills!D17)))+((C959=TRUE)*F959*MIN(1,Skills!T13*(Skills!J13/100)*B976))</f>
        <v/>
      </c>
    </row>
    <row r="980">
      <c r="A980" s="5" t="inlineStr">
        <is>
          <t>TOTAL DPS</t>
        </is>
      </c>
      <c r="B980" s="5">
        <f>SUM(O947:O969)</f>
        <v/>
      </c>
    </row>
    <row r="983">
      <c r="A983" s="5" t="inlineStr">
        <is>
          <t>Stat: Buff Duration Increase %</t>
        </is>
      </c>
    </row>
    <row r="984">
      <c r="A984" s="8" t="inlineStr">
        <is>
          <t>Key</t>
        </is>
      </c>
      <c r="B984" s="8" t="inlineStr">
        <is>
          <t>Name</t>
        </is>
      </c>
      <c r="C984" s="8" t="inlineStr">
        <is>
          <t>Unlocked</t>
        </is>
      </c>
      <c r="D984" s="8" t="inlineStr">
        <is>
          <t>InputLevel</t>
        </is>
      </c>
      <c r="E984" s="8" t="inlineStr">
        <is>
          <t>Factor</t>
        </is>
      </c>
      <c r="F984" s="8" t="inlineStr">
        <is>
          <t>CoefficientPercent</t>
        </is>
      </c>
      <c r="G984" s="8" t="inlineStr">
        <is>
          <t>EffectiveHits</t>
        </is>
      </c>
      <c r="H984" s="8" t="inlineStr">
        <is>
          <t>ProcProbability</t>
        </is>
      </c>
      <c r="I984" s="8" t="inlineStr">
        <is>
          <t>MapleHeroMultiplier</t>
        </is>
      </c>
      <c r="J984" s="8" t="inlineStr">
        <is>
          <t>BaseDamage</t>
        </is>
      </c>
      <c r="K984" s="8" t="inlineStr">
        <is>
          <t>BaseHitDamage</t>
        </is>
      </c>
      <c r="L984" s="8" t="inlineStr">
        <is>
          <t>NonCritAvg</t>
        </is>
      </c>
      <c r="M984" s="8" t="inlineStr">
        <is>
          <t>CritAvg</t>
        </is>
      </c>
      <c r="N984" s="8" t="inlineStr">
        <is>
          <t>ExpectedDamage(perHit)</t>
        </is>
      </c>
      <c r="O984" s="8" t="inlineStr">
        <is>
          <t>DPS</t>
        </is>
      </c>
      <c r="P984" s="8" t="inlineStr">
        <is>
          <t>% of Total</t>
        </is>
      </c>
      <c r="Q984" s="8" t="inlineStr">
        <is>
          <t>InvCooldown</t>
        </is>
      </c>
      <c r="R984" s="8" t="inlineStr">
        <is>
          <t>CastsInFight</t>
        </is>
      </c>
      <c r="S984" s="8" t="inlineStr">
        <is>
          <t>HitRate(perSec)</t>
        </is>
      </c>
      <c r="U984" t="inlineStr">
        <is>
          <t>helpers</t>
        </is>
      </c>
    </row>
    <row r="985">
      <c r="A985">
        <f>Skills!A2</f>
        <v/>
      </c>
      <c r="B985">
        <f>Skills!B2</f>
        <v/>
      </c>
      <c r="C985">
        <f>Inputs!$B$3&gt;=100</f>
        <v/>
      </c>
      <c r="D985" t="inlineStr"/>
      <c r="E985" t="inlineStr"/>
      <c r="F985">
        <f>U987+Skills!O2</f>
        <v/>
      </c>
      <c r="G985">
        <f>Skills!G2*IF(Skills!H2&gt;0,Skills!I2/Skills!H2,1)</f>
        <v/>
      </c>
      <c r="H985">
        <f>1-(1-Skills!J2/100)^Skills!K2</f>
        <v/>
      </c>
      <c r="I985" t="inlineStr">
        <is>
          <t>1</t>
        </is>
      </c>
      <c r="J985">
        <f>(Inputs!$B$5*(1+Inputs!$B$6/100))*(F985/100)</f>
        <v/>
      </c>
      <c r="K985">
        <f>J985*(1+((Inputs!$B$11*(1+Inputs!$B$12/100))*0.01+Inputs!$B$13*0.0025)/100)*(1+Inputs!$B$14/100)*(1+IF(Inputs!$B$4="pvp",0,(1-Summary!$B$55)*(Inputs!$B$19+0+Skills!P2)+Summary!$B$55*(Inputs!$B$20+Skills!Q2))/100)*(1+Inputs!$B$15/100)*(5000/(6000+Inputs!$B$7*(1-(Inputs!$B$18+0)/100)))*(1+(Inputs!$B$23+0+B1016)/100)*(1+(IF(Skills!A2="BLAST",Inputs!$B$16+((C1004=TRUE)*(F1004-Calc!F21)),Inputs!$B$17+((C1006=TRUE)*(F1006-Calc!F23))))/100)*((1+(((C996=TRUE)*F996*MIN(1,Skills!T13*(Skills!J13/100)*B1014))+((C1001=TRUE)*F1001*IF(AND(Inputs!$B$4&lt;&gt;"pvp",Inputs!$B$35&gt;0),(((S1001-1)*(Skills!T18*(1+(Inputs!$B$33+1)/100))+MIN((Skills!T18*(1+(Inputs!$B$33+1)/100)),MAX(0,Inputs!$B$35-((S1001-1)*Skills!D18))))/Inputs!$B$35),IF(Inputs!$B$4="pvp",MIN((Skills!T18*(1+(Inputs!$B$33+1)/100)),15)/15,(Skills!T18*(1+(Inputs!$B$33+1)/100))/Skills!D18)))+0)/100)*I985)</f>
        <v/>
      </c>
      <c r="L985">
        <f>K985*(MIN(Inputs!$B$21+((C1005=TRUE)*(F1005-Calc!F22)),Inputs!$B$22+((C1007=TRUE)*(F1007-Calc!F24)))/100+(Inputs!$B$22+((C1007=TRUE)*(F1007-Calc!F24)))/100)/2</f>
        <v/>
      </c>
      <c r="M985">
        <f>L985*(1+(Inputs!$B$9+0+B1015)/100)</f>
        <v/>
      </c>
      <c r="N985">
        <f>L985*(1-MIN((Inputs!$B$8+0+B1010),100)/100)+M985*(MIN((Inputs!$B$8+0+B1010),100)/100)</f>
        <v/>
      </c>
      <c r="O985">
        <f>IF(C985,Skills!G2*N985*B1014*IF(Inputs!$B$4="pvp",1,(1-Summary!$B$55)*(1)+Summary!$B$55*(MIN((6+Inputs!$B$32),Inputs!$B$37))),0)</f>
        <v/>
      </c>
      <c r="P985">
        <f>IF(B1018=0,0,O985/B1018)</f>
        <v/>
      </c>
      <c r="Q985" t="n">
        <v>0</v>
      </c>
      <c r="R985" t="n">
        <v>0</v>
      </c>
      <c r="S985">
        <f>IFERROR(O985/N985,0)</f>
        <v/>
      </c>
      <c r="U985">
        <f>MAX(0,(Inputs!$B$3-100)*3)+Inputs!$B$27+Inputs!$B$28</f>
        <v/>
      </c>
    </row>
    <row r="986">
      <c r="A986">
        <f>Skills!A3</f>
        <v/>
      </c>
      <c r="B986">
        <f>Skills!B3</f>
        <v/>
      </c>
      <c r="C986">
        <f>Inputs!$B$3&gt;=50</f>
        <v/>
      </c>
      <c r="D986">
        <f>IF(Skills!C3=1,60+Inputs!$B$24+Inputs!$B$28,IF(Skills!C3=2,90+Inputs!$B$25+Inputs!$B$28,IF(Skills!C3=3,120+Inputs!$B$26+Inputs!$B$28,MAX(0,(Inputs!$B$3-100)*3)+Inputs!$B$27+Inputs!$B$28)))</f>
        <v/>
      </c>
      <c r="E986">
        <f>INDEX(FactorTable!$B$2:$Y$301, MATCH(ROUND(MIN(300,MAX(1,D986)),0), FactorTable!$A$2:$A$301,0), Skills!M3+1)</f>
        <v/>
      </c>
      <c r="F986">
        <f>IF(Skills!N3=TRUE,(Skills!L3/10)*(E986/1000),Skills!L3/10)+Skills!O3</f>
        <v/>
      </c>
      <c r="G986" t="inlineStr"/>
      <c r="H986" t="inlineStr"/>
      <c r="I986" t="inlineStr">
        <is>
          <t>1</t>
        </is>
      </c>
      <c r="J986" t="inlineStr"/>
      <c r="K986" t="inlineStr"/>
      <c r="L986" t="inlineStr"/>
      <c r="M986" t="inlineStr"/>
      <c r="N986" t="inlineStr"/>
      <c r="O986" t="inlineStr"/>
      <c r="P986" t="inlineStr"/>
      <c r="Q986" t="inlineStr"/>
      <c r="R986" t="inlineStr"/>
      <c r="S986" t="inlineStr"/>
      <c r="U986">
        <f>INDEX(FactorTable!$B$2:$Y$301, MATCH(ROUND(MIN(300,MAX(1,U985)),0), FactorTable!$A$2:$A$301,0), 22)</f>
        <v/>
      </c>
    </row>
    <row r="987">
      <c r="A987">
        <f>Skills!A4</f>
        <v/>
      </c>
      <c r="B987">
        <f>Skills!B4</f>
        <v/>
      </c>
      <c r="C987">
        <f>Inputs!$B$3&gt;=35</f>
        <v/>
      </c>
      <c r="D987">
        <f>IF(Skills!C4=1,60+Inputs!$B$24+Inputs!$B$28,IF(Skills!C4=2,90+Inputs!$B$25+Inputs!$B$28,IF(Skills!C4=3,120+Inputs!$B$26+Inputs!$B$28,MAX(0,(Inputs!$B$3-100)*3)+Inputs!$B$27+Inputs!$B$28)))</f>
        <v/>
      </c>
      <c r="E987">
        <f>INDEX(FactorTable!$B$2:$Y$301, MATCH(ROUND(MIN(300,MAX(1,D987)),0), FactorTable!$A$2:$A$301,0), Skills!M4+1)</f>
        <v/>
      </c>
      <c r="F987">
        <f>IF(Skills!N4=TRUE,(Skills!L4/10)*(E987/1000),Skills!L4/10)+Skills!O4</f>
        <v/>
      </c>
      <c r="G987">
        <f>Skills!G4*IF(Skills!H4&gt;0,Skills!I4/Skills!H4,1)</f>
        <v/>
      </c>
      <c r="H987">
        <f>1-(1-Skills!J4/100)^Skills!K4</f>
        <v/>
      </c>
      <c r="I987" t="inlineStr">
        <is>
          <t>1</t>
        </is>
      </c>
      <c r="J987">
        <f>(Inputs!$B$5*(1+Inputs!$B$6/100))*(F987/100)</f>
        <v/>
      </c>
      <c r="K987">
        <f>J987*(1+((Inputs!$B$11*(1+Inputs!$B$12/100))*0.01+Inputs!$B$13*0.0025)/100)*(1+Inputs!$B$14/100)*(1+IF(Inputs!$B$4="pvp",0,(1-Summary!$B$55)*(Inputs!$B$19+0+Skills!P4)+Summary!$B$55*(Inputs!$B$20+Skills!Q4))/100)*(1+Inputs!$B$15/100)*(5000/(6000+Inputs!$B$7*(1-(Inputs!$B$18+0)/100)))*(1+(Inputs!$B$23+0+B1016)/100)*(1+4.0*IF(C995=TRUE,F995,0)/100)*(1+(IF(Skills!A4="BLAST",Inputs!$B$16+((C1004=TRUE)*(F1004-Calc!F21)),Inputs!$B$17+((C1006=TRUE)*(F1006-Calc!F23))))/100)*((1+(((C996=TRUE)*F996*MIN(1,Skills!T13*(Skills!J13/100)*B1014))+((C1001=TRUE)*F1001*IF(AND(Inputs!$B$4&lt;&gt;"pvp",Inputs!$B$35&gt;0),(((S1001-1)*(Skills!T18*(1+(Inputs!$B$33+1)/100))+MIN((Skills!T18*(1+(Inputs!$B$33+1)/100)),MAX(0,Inputs!$B$35-((S1001-1)*Skills!D18))))/Inputs!$B$35),IF(Inputs!$B$4="pvp",MIN((Skills!T18*(1+(Inputs!$B$33+1)/100)),15)/15,(Skills!T18*(1+(Inputs!$B$33+1)/100))/Skills!D18)))+0)/100)*I987)</f>
        <v/>
      </c>
      <c r="L987">
        <f>K987*(MIN(Inputs!$B$21+((C1005=TRUE)*(F1005-Calc!F22)),Inputs!$B$22+((C1007=TRUE)*(F1007-Calc!F24)))/100+(Inputs!$B$22+((C1007=TRUE)*(F1007-Calc!F24)))/100)/2</f>
        <v/>
      </c>
      <c r="M987">
        <f>L987*(1+(Inputs!$B$9+0+B1015)/100)</f>
        <v/>
      </c>
      <c r="N987">
        <f>L987*(1-MIN((Inputs!$B$8+0+B1010),100)/100)+M987*(MIN((Inputs!$B$8+0+B1010),100)/100)</f>
        <v/>
      </c>
      <c r="O987">
        <f>IF(C987,H987*N987*IF(AND(Inputs!$B$4&lt;&gt;"pvp",Inputs!$B$35&gt;0),((Skills!G4*((R987-1)*IF(Skills!H4&gt;0,Skills!I4/Skills!H4,1)+IF(Skills!H4&gt;0,MIN(Skills!I4,MAX(0,Inputs!$B$35-((R987-1)*IF(Inputs!$B$4="pvp",15,MAX(0.1,Skills!D4-IF(Skills!E4=TRUE,Inputs!$B$31,0))))))/Skills!H4,1)))/Inputs!$B$35),G987*Q987)*IF(Inputs!$B$4="pvp",1,(1-Summary!$B$55)*(1)+Summary!$B$55*(MIN(Skills!R4,Inputs!$B$37))),0)</f>
        <v/>
      </c>
      <c r="P987">
        <f>IF(B1018=0,0,O987/B1018)</f>
        <v/>
      </c>
      <c r="Q987">
        <f>IFERROR(1/IF(Inputs!$B$4="pvp",15,MAX(0.1,Skills!D4-IF(Skills!E4=TRUE,Inputs!$B$31,0))),0)</f>
        <v/>
      </c>
      <c r="R987">
        <f>IF(AND(Inputs!$B$4&lt;&gt;"pvp",Inputs!$B$35&gt;0),(INT(Inputs!$B$35/IF(Inputs!$B$4="pvp",15,MAX(0.1,Skills!D4-IF(Skills!E4=TRUE,Inputs!$B$31,0))))+1),0)</f>
        <v/>
      </c>
      <c r="S987">
        <f>IFERROR(O987/N987,0)</f>
        <v/>
      </c>
      <c r="U987">
        <f>290*U986/1000</f>
        <v/>
      </c>
    </row>
    <row r="988">
      <c r="A988">
        <f>Skills!A5</f>
        <v/>
      </c>
      <c r="B988">
        <f>Skills!B5</f>
        <v/>
      </c>
      <c r="C988">
        <f>Inputs!$B$3&gt;=66</f>
        <v/>
      </c>
      <c r="D988">
        <f>IF(Skills!C5=1,60+Inputs!$B$24+Inputs!$B$28,IF(Skills!C5=2,90+Inputs!$B$25+Inputs!$B$28,IF(Skills!C5=3,120+Inputs!$B$26+Inputs!$B$28,MAX(0,(Inputs!$B$3-100)*3)+Inputs!$B$27+Inputs!$B$28)))</f>
        <v/>
      </c>
      <c r="E988">
        <f>INDEX(FactorTable!$B$2:$Y$301, MATCH(ROUND(MIN(300,MAX(1,D988)),0), FactorTable!$A$2:$A$301,0), Skills!M5+1)</f>
        <v/>
      </c>
      <c r="F988">
        <f>IF(Skills!N5=TRUE,(Skills!L5/10)*(E988/1000),Skills!L5/10)+Skills!O5</f>
        <v/>
      </c>
      <c r="G988">
        <f>Skills!G5*IF(Skills!H5&gt;0,Skills!I5/Skills!H5,1)</f>
        <v/>
      </c>
      <c r="H988">
        <f>1-(1-Skills!J5/100)^Skills!K5</f>
        <v/>
      </c>
      <c r="I988" t="inlineStr">
        <is>
          <t>1</t>
        </is>
      </c>
      <c r="J988">
        <f>(Inputs!$B$5*(1+Inputs!$B$6/100))*(F988/100)</f>
        <v/>
      </c>
      <c r="K988">
        <f>J988*(1+((Inputs!$B$11*(1+Inputs!$B$12/100))*0.01+Inputs!$B$13*0.0025)/100)*(1+Inputs!$B$14/100)*(1+IF(Inputs!$B$4="pvp",0,(1-Summary!$B$55)*(Inputs!$B$19+0+Skills!P5)+Summary!$B$55*(Inputs!$B$20+Skills!Q5))/100)*(1+Inputs!$B$15/100)*(5000/(6000+Inputs!$B$7*(1-(Inputs!$B$18+0)/100)))*(1+(Inputs!$B$23+0+B1016)/100)*(1+1.0*IF(C995=TRUE,F995,0)/100)*(1+(IF(Skills!A5="BLAST",Inputs!$B$16+((C1004=TRUE)*(F1004-Calc!F21)),Inputs!$B$17+((C1006=TRUE)*(F1006-Calc!F23))))/100)*((1+(((C996=TRUE)*F996*MIN(1,Skills!T13*(Skills!J13/100)*B1014))+((C1001=TRUE)*F1001*IF(AND(Inputs!$B$4&lt;&gt;"pvp",Inputs!$B$35&gt;0),(((S1001-1)*(Skills!T18*(1+(Inputs!$B$33+1)/100))+MIN((Skills!T18*(1+(Inputs!$B$33+1)/100)),MAX(0,Inputs!$B$35-((S1001-1)*Skills!D18))))/Inputs!$B$35),IF(Inputs!$B$4="pvp",MIN((Skills!T18*(1+(Inputs!$B$33+1)/100)),15)/15,(Skills!T18*(1+(Inputs!$B$33+1)/100))/Skills!D18)))+0)/100)*I988)</f>
        <v/>
      </c>
      <c r="L988">
        <f>K988*(MIN(Inputs!$B$21+((C1005=TRUE)*(F1005-Calc!F22)),Inputs!$B$22+((C1007=TRUE)*(F1007-Calc!F24)))/100+(Inputs!$B$22+((C1007=TRUE)*(F1007-Calc!F24)))/100)/2</f>
        <v/>
      </c>
      <c r="M988">
        <f>L988*(1+(Inputs!$B$9+0+B1015)/100)</f>
        <v/>
      </c>
      <c r="N988">
        <f>L988*(1-MIN((Inputs!$B$8+0+B1010),100)/100)+M988*(MIN((Inputs!$B$8+0+B1010),100)/100)</f>
        <v/>
      </c>
      <c r="O988">
        <f>IF(C988,H988*N988*IF(AND(Inputs!$B$4&lt;&gt;"pvp",Inputs!$B$35&gt;0),((Skills!G5*((R988-1)*IF(Skills!H5&gt;0,Skills!I5/Skills!H5,1)+IF(Skills!H5&gt;0,MIN(Skills!I5,MAX(0,Inputs!$B$35-((R988-1)*IF(Inputs!$B$4="pvp",15,MAX(0.1,Skills!D5-IF(Skills!E5=TRUE,Inputs!$B$31,0))))))/Skills!H5,1)))/Inputs!$B$35),G988*Q988)*IF(Inputs!$B$4="pvp",1,(1-Summary!$B$55)*(1)+Summary!$B$55*(MIN(Skills!R5,Inputs!$B$37))),0)</f>
        <v/>
      </c>
      <c r="P988">
        <f>IF(B1018=0,0,O988/B1018)</f>
        <v/>
      </c>
      <c r="Q988">
        <f>IFERROR(1/IF(Inputs!$B$4="pvp",15,MAX(0.1,Skills!D5-IF(Skills!E5=TRUE,Inputs!$B$31,0))),0)</f>
        <v/>
      </c>
      <c r="R988">
        <f>IF(AND(Inputs!$B$4&lt;&gt;"pvp",Inputs!$B$35&gt;0),(INT(Inputs!$B$35/IF(Inputs!$B$4="pvp",15,MAX(0.1,Skills!D5-IF(Skills!E5=TRUE,Inputs!$B$31,0))))+1),0)</f>
        <v/>
      </c>
      <c r="S988">
        <f>IFERROR(O988/N988,0)</f>
        <v/>
      </c>
    </row>
    <row r="989">
      <c r="A989">
        <f>Skills!A6</f>
        <v/>
      </c>
      <c r="B989">
        <f>Skills!B6</f>
        <v/>
      </c>
      <c r="C989">
        <f>Inputs!$B$3&gt;=103</f>
        <v/>
      </c>
      <c r="D989">
        <f>IF(Skills!C6=1,60+Inputs!$B$24+Inputs!$B$28,IF(Skills!C6=2,90+Inputs!$B$25+Inputs!$B$28,IF(Skills!C6=3,120+Inputs!$B$26+Inputs!$B$28,MAX(0,(Inputs!$B$3-100)*3)+Inputs!$B$27+Inputs!$B$28)))</f>
        <v/>
      </c>
      <c r="E989">
        <f>INDEX(FactorTable!$B$2:$Y$301, MATCH(ROUND(MIN(300,MAX(1,D989)),0), FactorTable!$A$2:$A$301,0), Skills!M6+1)</f>
        <v/>
      </c>
      <c r="F989">
        <f>IF(Skills!N6=TRUE,(Skills!L6/10)*(E989/1000),Skills!L6/10)+Skills!O6</f>
        <v/>
      </c>
      <c r="G989">
        <f>Skills!G6*IF(Skills!H6&gt;0,Skills!I6/Skills!H6,1)</f>
        <v/>
      </c>
      <c r="H989">
        <f>1-(1-Skills!J6/100)^Skills!K6</f>
        <v/>
      </c>
      <c r="I989" t="inlineStr">
        <is>
          <t>1</t>
        </is>
      </c>
      <c r="J989">
        <f>(Inputs!$B$5*(1+Inputs!$B$6/100))*(F989/100)</f>
        <v/>
      </c>
      <c r="K989">
        <f>J989*(1+((Inputs!$B$11*(1+Inputs!$B$12/100))*0.01+Inputs!$B$13*0.0025)/100)*(1+Inputs!$B$14/100)*(1+IF(Inputs!$B$4="pvp",0,(1-Summary!$B$55)*(Inputs!$B$19+0+Skills!P6)+Summary!$B$55*(Inputs!$B$20+Skills!Q6))/100)*(1+Inputs!$B$15/100)*(5000/(6000+Inputs!$B$7*(1-(Inputs!$B$18+0)/100)))*(1+(Inputs!$B$23+0+B1016)/100)*(1+(IF(Skills!A6="BLAST",Inputs!$B$16+((C1004=TRUE)*(F1004-Calc!F21)),Inputs!$B$17+((C1006=TRUE)*(F1006-Calc!F23))))/100)*((1+(((C996=TRUE)*F996*MIN(1,Skills!T13*(Skills!J13/100)*B1014))+((C1001=TRUE)*F1001*IF(AND(Inputs!$B$4&lt;&gt;"pvp",Inputs!$B$35&gt;0),(((S1001-1)*(Skills!T18*(1+(Inputs!$B$33+1)/100))+MIN((Skills!T18*(1+(Inputs!$B$33+1)/100)),MAX(0,Inputs!$B$35-((S1001-1)*Skills!D18))))/Inputs!$B$35),IF(Inputs!$B$4="pvp",MIN((Skills!T18*(1+(Inputs!$B$33+1)/100)),15)/15,(Skills!T18*(1+(Inputs!$B$33+1)/100))/Skills!D18)))+0)/100)*I989)</f>
        <v/>
      </c>
      <c r="L989">
        <f>K989*(MIN(Inputs!$B$21+((C1005=TRUE)*(F1005-Calc!F22)),Inputs!$B$22+((C1007=TRUE)*(F1007-Calc!F24)))/100+(Inputs!$B$22+((C1007=TRUE)*(F1007-Calc!F24)))/100)/2</f>
        <v/>
      </c>
      <c r="M989">
        <f>L989*(1+(Inputs!$B$9+0+B1015)/100)</f>
        <v/>
      </c>
      <c r="N989">
        <f>L989*(1-MIN((Inputs!$B$8+0+B1010),100)/100)+M989*(MIN((Inputs!$B$8+0+B1010),100)/100)</f>
        <v/>
      </c>
      <c r="O989">
        <f>IF(C989,H989*N989*IF(AND(Inputs!$B$4&lt;&gt;"pvp",Inputs!$B$35&gt;0),((Skills!G6*((R989-1)*IF(Skills!H6&gt;0,Skills!I6/Skills!H6,1)+IF(Skills!H6&gt;0,MIN(Skills!I6,MAX(0,Inputs!$B$35-((R989-1)*IF(Inputs!$B$4="pvp",15,MAX(0.1,Skills!D6-IF(Skills!E6=TRUE,Inputs!$B$31,0))))))/Skills!H6,1)))/Inputs!$B$35),G989*Q989)*IF(Inputs!$B$4="pvp",1,(1-Summary!$B$55)*(1)+Summary!$B$55*(MIN(Skills!R6,Inputs!$B$37))),0)</f>
        <v/>
      </c>
      <c r="P989">
        <f>IF(B1018=0,0,O989/B1018)</f>
        <v/>
      </c>
      <c r="Q989">
        <f>IFERROR(1/IF(Inputs!$B$4="pvp",15,MAX(0.1,Skills!D6-IF(Skills!E6=TRUE,Inputs!$B$31,0))),0)</f>
        <v/>
      </c>
      <c r="R989">
        <f>IF(AND(Inputs!$B$4&lt;&gt;"pvp",Inputs!$B$35&gt;0),(INT(Inputs!$B$35/IF(Inputs!$B$4="pvp",15,MAX(0.1,Skills!D6-IF(Skills!E6=TRUE,Inputs!$B$31,0))))+1),0)</f>
        <v/>
      </c>
      <c r="S989">
        <f>IFERROR(O989/N989,0)</f>
        <v/>
      </c>
    </row>
    <row r="990">
      <c r="A990">
        <f>Skills!A7</f>
        <v/>
      </c>
      <c r="B990">
        <f>Skills!B7</f>
        <v/>
      </c>
      <c r="C990">
        <f>Inputs!$B$3&gt;=107</f>
        <v/>
      </c>
      <c r="D990">
        <f>IF(Skills!C7=1,60+Inputs!$B$24+Inputs!$B$28,IF(Skills!C7=2,90+Inputs!$B$25+Inputs!$B$28,IF(Skills!C7=3,120+Inputs!$B$26+Inputs!$B$28,MAX(0,(Inputs!$B$3-100)*3)+Inputs!$B$27+Inputs!$B$28)))</f>
        <v/>
      </c>
      <c r="E990">
        <f>INDEX(FactorTable!$B$2:$Y$301, MATCH(ROUND(MIN(300,MAX(1,D990)),0), FactorTable!$A$2:$A$301,0), Skills!M7+1)</f>
        <v/>
      </c>
      <c r="F990">
        <f>IF(Skills!N7=TRUE,(Skills!L7/10)*(E990/1000),Skills!L7/10)+Skills!O7</f>
        <v/>
      </c>
      <c r="G990">
        <f>Skills!G7*IF(Skills!H7&gt;0,Skills!I7/Skills!H7,1)</f>
        <v/>
      </c>
      <c r="H990">
        <f>1-(1-Skills!J7/100)^Skills!K7</f>
        <v/>
      </c>
      <c r="I990" t="inlineStr">
        <is>
          <t>1</t>
        </is>
      </c>
      <c r="J990">
        <f>(Inputs!$B$5*(1+Inputs!$B$6/100))*(F990/100)</f>
        <v/>
      </c>
      <c r="K990">
        <f>J990*(1+((Inputs!$B$11*(1+Inputs!$B$12/100))*0.01+Inputs!$B$13*0.0025)/100)*(1+Inputs!$B$14/100)*(1+IF(Inputs!$B$4="pvp",0,(1-Summary!$B$55)*(Inputs!$B$19+0+Skills!P7)+Summary!$B$55*(Inputs!$B$20+Skills!Q7))/100)*(1+Inputs!$B$15/100)*(5000/(6000+Inputs!$B$7*(1-(Inputs!$B$18+0)/100)))*(1+(Inputs!$B$23+0+B1016)/100)*(1+(IF(Skills!A7="BLAST",Inputs!$B$16+((C1004=TRUE)*(F1004-Calc!F21)),Inputs!$B$17+((C1006=TRUE)*(F1006-Calc!F23))))/100)*((1+(((C996=TRUE)*F996*MIN(1,Skills!T13*(Skills!J13/100)*B1014))+((C1001=TRUE)*F1001*IF(AND(Inputs!$B$4&lt;&gt;"pvp",Inputs!$B$35&gt;0),(((S1001-1)*(Skills!T18*(1+(Inputs!$B$33+1)/100))+MIN((Skills!T18*(1+(Inputs!$B$33+1)/100)),MAX(0,Inputs!$B$35-((S1001-1)*Skills!D18))))/Inputs!$B$35),IF(Inputs!$B$4="pvp",MIN((Skills!T18*(1+(Inputs!$B$33+1)/100)),15)/15,(Skills!T18*(1+(Inputs!$B$33+1)/100))/Skills!D18)))+0)/100)*I990)</f>
        <v/>
      </c>
      <c r="L990">
        <f>K990*(MIN(Inputs!$B$21+((C1005=TRUE)*(F1005-Calc!F22)),Inputs!$B$22+((C1007=TRUE)*(F1007-Calc!F24)))/100+(Inputs!$B$22+((C1007=TRUE)*(F1007-Calc!F24)))/100)/2</f>
        <v/>
      </c>
      <c r="M990">
        <f>L990*(1+(Inputs!$B$9+0+B1015)/100)</f>
        <v/>
      </c>
      <c r="N990">
        <f>L990*(1-MIN((Inputs!$B$8+0+B1010),100)/100)+M990*(MIN((Inputs!$B$8+0+B1010),100)/100)</f>
        <v/>
      </c>
      <c r="O990">
        <f>IF(C990,H990*N990*IF(AND(Inputs!$B$4&lt;&gt;"pvp",Inputs!$B$35&gt;0),((Skills!G7*((R990-1)*IF(Skills!H7&gt;0,Skills!I7/Skills!H7,1)+IF(Skills!H7&gt;0,MIN(Skills!I7,MAX(0,Inputs!$B$35-((R990-1)*IF(Inputs!$B$4="pvp",15,MAX(0.1,Skills!D7-IF(Skills!E7=TRUE,Inputs!$B$31,0))))))/Skills!H7,1)))/Inputs!$B$35),G990*Q990)*IF(Inputs!$B$4="pvp",1,(1-Summary!$B$55)*(1)+Summary!$B$55*(MIN(Skills!R7,Inputs!$B$37))),0)</f>
        <v/>
      </c>
      <c r="P990">
        <f>IF(B1018=0,0,O990/B1018)</f>
        <v/>
      </c>
      <c r="Q990">
        <f>IFERROR(1/IF(Inputs!$B$4="pvp",15,MAX(0.1,Skills!D7-IF(Skills!E7=TRUE,Inputs!$B$31,0))),0)</f>
        <v/>
      </c>
      <c r="R990">
        <f>IF(AND(Inputs!$B$4&lt;&gt;"pvp",Inputs!$B$35&gt;0),(INT(Inputs!$B$35/IF(Inputs!$B$4="pvp",15,MAX(0.1,Skills!D7-IF(Skills!E7=TRUE,Inputs!$B$31,0))))+1),0)</f>
        <v/>
      </c>
      <c r="S990">
        <f>IFERROR(O990/N990,0)</f>
        <v/>
      </c>
    </row>
    <row r="991">
      <c r="A991">
        <f>Skills!A8</f>
        <v/>
      </c>
      <c r="B991">
        <f>Skills!B8</f>
        <v/>
      </c>
      <c r="C991">
        <f>Inputs!$B$3&gt;=107</f>
        <v/>
      </c>
      <c r="D991">
        <f>IF(Skills!C8=1,60+Inputs!$B$24+Inputs!$B$28,IF(Skills!C8=2,90+Inputs!$B$25+Inputs!$B$28,IF(Skills!C8=3,120+Inputs!$B$26+Inputs!$B$28,MAX(0,(Inputs!$B$3-100)*3)+Inputs!$B$27+Inputs!$B$28)))</f>
        <v/>
      </c>
      <c r="E991">
        <f>INDEX(FactorTable!$B$2:$Y$301, MATCH(ROUND(MIN(300,MAX(1,D991)),0), FactorTable!$A$2:$A$301,0), Skills!M8+1)</f>
        <v/>
      </c>
      <c r="F991">
        <f>IF(Skills!N8=TRUE,(Skills!L8/10)*(E991/1000),Skills!L8/10)+Skills!O8</f>
        <v/>
      </c>
      <c r="G991">
        <f>Skills!G8*IF(Skills!H8&gt;0,Skills!I8/Skills!H8,1)</f>
        <v/>
      </c>
      <c r="H991">
        <f>1-(1-Skills!J8/100)^Skills!K8</f>
        <v/>
      </c>
      <c r="I991" t="inlineStr">
        <is>
          <t>1</t>
        </is>
      </c>
      <c r="J991">
        <f>(Inputs!$B$5*(1+Inputs!$B$6/100))*(F991/100)</f>
        <v/>
      </c>
      <c r="K991">
        <f>J991*(1+((Inputs!$B$11*(1+Inputs!$B$12/100))*0.01+Inputs!$B$13*0.0025)/100)*(1+Inputs!$B$14/100)*(1+IF(Inputs!$B$4="pvp",0,(1-Summary!$B$55)*(Inputs!$B$19+0+Skills!P8)+Summary!$B$55*(Inputs!$B$20+Skills!Q8))/100)*(1+Inputs!$B$15/100)*(5000/(6000+Inputs!$B$7*(1-(Inputs!$B$18+0)/100)))*(1+(Inputs!$B$23+0+B1016)/100)*(1+(IF(Skills!A8="BLAST",Inputs!$B$16+((C1004=TRUE)*(F1004-Calc!F21)),Inputs!$B$17+((C1006=TRUE)*(F1006-Calc!F23))))/100)*((1+(((C996=TRUE)*F996*MIN(1,Skills!T13*(Skills!J13/100)*B1014))+((C1001=TRUE)*F1001*IF(AND(Inputs!$B$4&lt;&gt;"pvp",Inputs!$B$35&gt;0),(((S1001-1)*(Skills!T18*(1+(Inputs!$B$33+1)/100))+MIN((Skills!T18*(1+(Inputs!$B$33+1)/100)),MAX(0,Inputs!$B$35-((S1001-1)*Skills!D18))))/Inputs!$B$35),IF(Inputs!$B$4="pvp",MIN((Skills!T18*(1+(Inputs!$B$33+1)/100)),15)/15,(Skills!T18*(1+(Inputs!$B$33+1)/100))/Skills!D18)))+0)/100)*I991)</f>
        <v/>
      </c>
      <c r="L991">
        <f>K991*(MIN(Inputs!$B$21+((C1005=TRUE)*(F1005-Calc!F22)),Inputs!$B$22+((C1007=TRUE)*(F1007-Calc!F24)))/100+(Inputs!$B$22+((C1007=TRUE)*(F1007-Calc!F24)))/100)/2</f>
        <v/>
      </c>
      <c r="M991">
        <f>L991*(1+(Inputs!$B$9+0+B1015)/100)</f>
        <v/>
      </c>
      <c r="N991">
        <f>L991*(1-MIN((Inputs!$B$8+0+B1010),100)/100)+M991*(MIN((Inputs!$B$8+0+B1010),100)/100)</f>
        <v/>
      </c>
      <c r="O991">
        <f>IF(C991,H991*N991*IF(AND(Inputs!$B$4&lt;&gt;"pvp",Inputs!$B$35&gt;0),((Skills!G8*((R991-1)*IF(Skills!H8&gt;0,Skills!I8/Skills!H8,1)+IF(Skills!H8&gt;0,MIN(Skills!I8,MAX(0,Inputs!$B$35-((R991-1)*IF(Inputs!$B$4="pvp",15,MAX(0.1,Skills!D8-IF(Skills!E8=TRUE,Inputs!$B$31,0))))))/Skills!H8,1)))/Inputs!$B$35),G991*Q991)*IF(Inputs!$B$4="pvp",1,(1-Summary!$B$55)*(1)+Summary!$B$55*(MIN(Skills!R8,Inputs!$B$37))),0)</f>
        <v/>
      </c>
      <c r="P991">
        <f>IF(B1018=0,0,O991/B1018)</f>
        <v/>
      </c>
      <c r="Q991">
        <f>IFERROR(1/IF(Inputs!$B$4="pvp",15,MAX(0.1,Skills!D8-IF(Skills!E8=TRUE,Inputs!$B$31,0))),0)</f>
        <v/>
      </c>
      <c r="R991">
        <f>IF(AND(Inputs!$B$4&lt;&gt;"pvp",Inputs!$B$35&gt;0),(INT(Inputs!$B$35/IF(Inputs!$B$4="pvp",15,MAX(0.1,Skills!D8-IF(Skills!E8=TRUE,Inputs!$B$31,0))))+1),0)</f>
        <v/>
      </c>
      <c r="S991">
        <f>IFERROR(O991/N991,0)</f>
        <v/>
      </c>
    </row>
    <row r="992">
      <c r="A992">
        <f>Skills!A9</f>
        <v/>
      </c>
      <c r="B992">
        <f>Skills!B9</f>
        <v/>
      </c>
      <c r="C992">
        <f>Inputs!$B$3&gt;=125</f>
        <v/>
      </c>
      <c r="D992">
        <f>IF(Skills!C9=1,60+Inputs!$B$24+Inputs!$B$28,IF(Skills!C9=2,90+Inputs!$B$25+Inputs!$B$28,IF(Skills!C9=3,120+Inputs!$B$26+Inputs!$B$28,MAX(0,(Inputs!$B$3-100)*3)+Inputs!$B$27+Inputs!$B$28)))</f>
        <v/>
      </c>
      <c r="E992">
        <f>INDEX(FactorTable!$B$2:$Y$301, MATCH(ROUND(MIN(300,MAX(1,D992)),0), FactorTable!$A$2:$A$301,0), Skills!M9+1)</f>
        <v/>
      </c>
      <c r="F992">
        <f>IF(Skills!N9=TRUE,(Skills!L9/10)*(E992/1000),Skills!L9/10)+Skills!O9</f>
        <v/>
      </c>
      <c r="G992">
        <f>Skills!G9*IF(Skills!H9&gt;0,Skills!I9/Skills!H9,1)</f>
        <v/>
      </c>
      <c r="H992">
        <f>1-(1-Skills!J9/100)^Skills!K9</f>
        <v/>
      </c>
      <c r="I992" t="inlineStr">
        <is>
          <t>1</t>
        </is>
      </c>
      <c r="J992">
        <f>(Inputs!$B$5*(1+Inputs!$B$6/100))*(F992/100)</f>
        <v/>
      </c>
      <c r="K992">
        <f>J992*(1+((Inputs!$B$11*(1+Inputs!$B$12/100))*0.01+Inputs!$B$13*0.0025)/100)*(1+Inputs!$B$14/100)*(1+IF(Inputs!$B$4="pvp",0,(1-Summary!$B$55)*(Inputs!$B$19+0+Skills!P9)+Summary!$B$55*(Inputs!$B$20+Skills!Q9))/100)*(1+Inputs!$B$15/100)*(5000/(6000+Inputs!$B$7*(1-(Inputs!$B$18+0)/100)))*(1+(Inputs!$B$23+0+B1016)/100)*(1+(IF(Skills!A9="BLAST",Inputs!$B$16+((C1004=TRUE)*(F1004-Calc!F21)),Inputs!$B$17+((C1006=TRUE)*(F1006-Calc!F23))))/100)*((1+(((C996=TRUE)*F996*MIN(1,Skills!T13*(Skills!J13/100)*B1014))+((C1001=TRUE)*F1001*IF(AND(Inputs!$B$4&lt;&gt;"pvp",Inputs!$B$35&gt;0),(((S1001-1)*(Skills!T18*(1+(Inputs!$B$33+1)/100))+MIN((Skills!T18*(1+(Inputs!$B$33+1)/100)),MAX(0,Inputs!$B$35-((S1001-1)*Skills!D18))))/Inputs!$B$35),IF(Inputs!$B$4="pvp",MIN((Skills!T18*(1+(Inputs!$B$33+1)/100)),15)/15,(Skills!T18*(1+(Inputs!$B$33+1)/100))/Skills!D18)))+0)/100)*I992)</f>
        <v/>
      </c>
      <c r="L992">
        <f>K992*(MIN(Inputs!$B$21+((C1005=TRUE)*(F1005-Calc!F22)),Inputs!$B$22+((C1007=TRUE)*(F1007-Calc!F24)))/100+(Inputs!$B$22+((C1007=TRUE)*(F1007-Calc!F24)))/100)/2</f>
        <v/>
      </c>
      <c r="M992">
        <f>L992*(1+(Inputs!$B$9+0+B1015)/100)</f>
        <v/>
      </c>
      <c r="N992">
        <f>L992*(1-MIN((Inputs!$B$8+0+B1010),100)/100)+M992*(MIN((Inputs!$B$8+0+B1010),100)/100)</f>
        <v/>
      </c>
      <c r="O992">
        <f>IF(C992,H992*N992*IF(AND(Inputs!$B$4&lt;&gt;"pvp",Inputs!$B$35&gt;0),((Skills!G9*((R992-1)*IF(Skills!H9&gt;0,Skills!I9/Skills!H9,1)+IF(Skills!H9&gt;0,MIN(Skills!I9,MAX(0,Inputs!$B$35-((R992-1)*IF(Inputs!$B$4="pvp",15,MAX(0.1,Skills!D9-IF(Skills!E9=TRUE,Inputs!$B$31,0))))))/Skills!H9,1)))/Inputs!$B$35),G992*Q992)*IF(Inputs!$B$4="pvp",1,(1-Summary!$B$55)*(1)+Summary!$B$55*(MIN(Skills!R9,Inputs!$B$37))),0)</f>
        <v/>
      </c>
      <c r="P992">
        <f>IF(B1018=0,0,O992/B1018)</f>
        <v/>
      </c>
      <c r="Q992">
        <f>IFERROR(1/IF(Inputs!$B$4="pvp",15,MAX(0.1,Skills!D9-IF(Skills!E9=TRUE,Inputs!$B$31,0))),0)</f>
        <v/>
      </c>
      <c r="R992">
        <f>IF(AND(Inputs!$B$4&lt;&gt;"pvp",Inputs!$B$35&gt;0),(INT(Inputs!$B$35/IF(Inputs!$B$4="pvp",15,MAX(0.1,Skills!D9-IF(Skills!E9=TRUE,Inputs!$B$31,0))))+1),0)</f>
        <v/>
      </c>
      <c r="S992">
        <f>IFERROR(O992/N992,0)</f>
        <v/>
      </c>
    </row>
    <row r="993">
      <c r="A993">
        <f>Skills!A10</f>
        <v/>
      </c>
      <c r="B993">
        <f>Skills!B10</f>
        <v/>
      </c>
      <c r="C993">
        <f>Inputs!$B$3&gt;=117</f>
        <v/>
      </c>
      <c r="D993">
        <f>IF(Skills!C10=1,60+Inputs!$B$24+Inputs!$B$28,IF(Skills!C10=2,90+Inputs!$B$25+Inputs!$B$28,IF(Skills!C10=3,120+Inputs!$B$26+Inputs!$B$28,MAX(0,(Inputs!$B$3-100)*3)+Inputs!$B$27+Inputs!$B$28)))</f>
        <v/>
      </c>
      <c r="E993">
        <f>INDEX(FactorTable!$B$2:$Y$301, MATCH(ROUND(MIN(300,MAX(1,D993)),0), FactorTable!$A$2:$A$301,0), Skills!M10+1)</f>
        <v/>
      </c>
      <c r="F993">
        <f>IF(Skills!N10=TRUE,(Skills!L10/10)*(E993/1000),Skills!L10/10)+Skills!O10</f>
        <v/>
      </c>
      <c r="G993">
        <f>Skills!G10*IF(Skills!H10&gt;0,Skills!I10/Skills!H10,1)</f>
        <v/>
      </c>
      <c r="H993">
        <f>1-(1-Skills!J10/100)^Skills!K10</f>
        <v/>
      </c>
      <c r="I993" t="inlineStr">
        <is>
          <t>1</t>
        </is>
      </c>
      <c r="J993">
        <f>(Inputs!$B$5*(1+Inputs!$B$6/100))*(F993/100)</f>
        <v/>
      </c>
      <c r="K993">
        <f>J993*(1+((Inputs!$B$11*(1+Inputs!$B$12/100))*0.01+Inputs!$B$13*0.0025)/100)*(1+Inputs!$B$14/100)*(1+IF(Inputs!$B$4="pvp",0,(1-Summary!$B$55)*(Inputs!$B$19+0+Skills!P10)+Summary!$B$55*(Inputs!$B$20+Skills!Q10))/100)*(1+Inputs!$B$15/100)*(5000/(6000+Inputs!$B$7*(1-(Inputs!$B$18+0)/100)))*(1+(Inputs!$B$23+0+B1016)/100)*(1+(IF(Skills!A10="BLAST",Inputs!$B$16+((C1004=TRUE)*(F1004-Calc!F21)),Inputs!$B$17+((C1006=TRUE)*(F1006-Calc!F23))))/100)*((1+(((C996=TRUE)*F996*MIN(1,Skills!T13*(Skills!J13/100)*B1014))+((C1001=TRUE)*F1001*IF(AND(Inputs!$B$4&lt;&gt;"pvp",Inputs!$B$35&gt;0),(((S1001-1)*(Skills!T18*(1+(Inputs!$B$33+1)/100))+MIN((Skills!T18*(1+(Inputs!$B$33+1)/100)),MAX(0,Inputs!$B$35-((S1001-1)*Skills!D18))))/Inputs!$B$35),IF(Inputs!$B$4="pvp",MIN((Skills!T18*(1+(Inputs!$B$33+1)/100)),15)/15,(Skills!T18*(1+(Inputs!$B$33+1)/100))/Skills!D18)))+0)/100)*I993)</f>
        <v/>
      </c>
      <c r="L993">
        <f>K993*(MIN(Inputs!$B$21+((C1005=TRUE)*(F1005-Calc!F22)),Inputs!$B$22+((C1007=TRUE)*(F1007-Calc!F24)))/100+(Inputs!$B$22+((C1007=TRUE)*(F1007-Calc!F24)))/100)/2</f>
        <v/>
      </c>
      <c r="M993">
        <f>L993*(1+(Inputs!$B$9+0+B1015)/100)</f>
        <v/>
      </c>
      <c r="N993">
        <f>L993*(1-MIN((Inputs!$B$8+0+B1010),100)/100)+M993*(MIN((Inputs!$B$8+0+B1010),100)/100)</f>
        <v/>
      </c>
      <c r="O993">
        <f>IF(C993,H993*N993*IF(AND(Inputs!$B$4&lt;&gt;"pvp",Inputs!$B$35&gt;0),((Skills!G10*((R993-1)*IF(Skills!H10&gt;0,Skills!I10/Skills!H10,1)+IF(Skills!H10&gt;0,MIN(Skills!I10,MAX(0,Inputs!$B$35-((R993-1)*IF(Inputs!$B$4="pvp",15,MAX(0.1,Skills!D10-IF(Skills!E10=TRUE,Inputs!$B$31,0))))))/Skills!H10,1)))/Inputs!$B$35),G993*Q993)*IF(Inputs!$B$4="pvp",1,(1-Summary!$B$55)*(1)+Summary!$B$55*(MIN(Skills!R10,Inputs!$B$37))),0)</f>
        <v/>
      </c>
      <c r="P993">
        <f>IF(B1018=0,0,O993/B1018)</f>
        <v/>
      </c>
      <c r="Q993">
        <f>IFERROR(1/IF(Inputs!$B$4="pvp",15,MAX(0.1,Skills!D10-IF(Skills!E10=TRUE,Inputs!$B$31,0))),0)</f>
        <v/>
      </c>
      <c r="R993">
        <f>IF(AND(Inputs!$B$4&lt;&gt;"pvp",Inputs!$B$35&gt;0),(INT(Inputs!$B$35/IF(Inputs!$B$4="pvp",15,MAX(0.1,Skills!D10-IF(Skills!E10=TRUE,Inputs!$B$31,0))))+1),0)</f>
        <v/>
      </c>
      <c r="S993">
        <f>IFERROR(O993/N993,0)</f>
        <v/>
      </c>
    </row>
    <row r="994">
      <c r="A994">
        <f>Skills!A11</f>
        <v/>
      </c>
      <c r="B994">
        <f>Skills!B11</f>
        <v/>
      </c>
      <c r="C994">
        <f>Inputs!$B$3&gt;=63</f>
        <v/>
      </c>
      <c r="D994">
        <f>IF(Skills!C11=1,60+Inputs!$B$24+Inputs!$B$28,IF(Skills!C11=2,90+Inputs!$B$25+Inputs!$B$28,IF(Skills!C11=3,120+Inputs!$B$26+Inputs!$B$28,MAX(0,(Inputs!$B$3-100)*3)+Inputs!$B$27+Inputs!$B$28)))</f>
        <v/>
      </c>
      <c r="E994">
        <f>INDEX(FactorTable!$B$2:$Y$301, MATCH(ROUND(MIN(300,MAX(1,D994)),0), FactorTable!$A$2:$A$301,0), Skills!M11+1)</f>
        <v/>
      </c>
      <c r="F994">
        <f>IF(Skills!N11=TRUE,(Skills!L11/10)*(E994/1000),Skills!L11/10)+Skills!O11</f>
        <v/>
      </c>
      <c r="G994">
        <f>Skills!G11*IF(Skills!H11&gt;0,Skills!I11/Skills!H11,1)</f>
        <v/>
      </c>
      <c r="H994">
        <f>1-(1-Skills!J11/100)^Skills!K11</f>
        <v/>
      </c>
      <c r="I994" t="inlineStr">
        <is>
          <t>1</t>
        </is>
      </c>
      <c r="J994">
        <f>(Inputs!$B$5*(1+Inputs!$B$6/100))*(F994/100)</f>
        <v/>
      </c>
      <c r="K994">
        <f>J994*(1+((Inputs!$B$11*(1+Inputs!$B$12/100))*0.01+Inputs!$B$13*0.0025)/100)*(1+Inputs!$B$14/100)*(1+IF(Inputs!$B$4="pvp",0,(1-Summary!$B$55)*(Inputs!$B$19+0+Skills!P11)+Summary!$B$55*(Inputs!$B$20+Skills!Q11))/100)*(1+Inputs!$B$15/100)*(5000/(6000+Inputs!$B$7*(1-(Inputs!$B$18+0)/100)))*(1+(Inputs!$B$23+0+B1016)/100)*(1+1.5*IF(C995=TRUE,F995,0)/100)*(1+(IF(Skills!A11="BLAST",Inputs!$B$16+((C1004=TRUE)*(F1004-Calc!F21)),Inputs!$B$17+((C1006=TRUE)*(F1006-Calc!F23))))/100)*((1+(((C996=TRUE)*F996*MIN(1,Skills!T13*(Skills!J13/100)*B1014))+((C1001=TRUE)*F1001*IF(AND(Inputs!$B$4&lt;&gt;"pvp",Inputs!$B$35&gt;0),(((S1001-1)*(Skills!T18*(1+(Inputs!$B$33+1)/100))+MIN((Skills!T18*(1+(Inputs!$B$33+1)/100)),MAX(0,Inputs!$B$35-((S1001-1)*Skills!D18))))/Inputs!$B$35),IF(Inputs!$B$4="pvp",MIN((Skills!T18*(1+(Inputs!$B$33+1)/100)),15)/15,(Skills!T18*(1+(Inputs!$B$33+1)/100))/Skills!D18)))+0)/100)*I994)</f>
        <v/>
      </c>
      <c r="L994">
        <f>K994*(MIN(Inputs!$B$21+((C1005=TRUE)*(F1005-Calc!F22)),Inputs!$B$22+((C1007=TRUE)*(F1007-Calc!F24)))/100+(Inputs!$B$22+((C1007=TRUE)*(F1007-Calc!F24)))/100)/2</f>
        <v/>
      </c>
      <c r="M994">
        <f>L994*(1+(Inputs!$B$9+0+B1015)/100)</f>
        <v/>
      </c>
      <c r="N994">
        <f>L994*(1-MIN((Inputs!$B$8+0+B1010),100)/100)+M994*(MIN((Inputs!$B$8+0+B1010),100)/100)</f>
        <v/>
      </c>
      <c r="O994">
        <f>IF(C994,H994*N994*IF(AND(Inputs!$B$4&lt;&gt;"pvp",Inputs!$B$35&gt;0),((Skills!G11*((R994-1)*IF(Skills!H11&gt;0,Skills!I11/Skills!H11,1)+IF(Skills!H11&gt;0,MIN(Skills!I11,MAX(0,Inputs!$B$35-((R994-1)*IF(Inputs!$B$4="pvp",15,MAX(0.1,Skills!D11-IF(Skills!E11=TRUE,Inputs!$B$31,0))))))/Skills!H11,1)))/Inputs!$B$35),G994*Q994)*IF(Inputs!$B$4="pvp",1,(1-Summary!$B$55)*(1)+Summary!$B$55*(MIN(Skills!R11,Inputs!$B$37))),0)</f>
        <v/>
      </c>
      <c r="P994">
        <f>IF(B1018=0,0,O994/B1018)</f>
        <v/>
      </c>
      <c r="Q994">
        <f>IFERROR(1/IF(Inputs!$B$4="pvp",15,MAX(0.1,Skills!D11-IF(Skills!E11=TRUE,Inputs!$B$31,0))),0)</f>
        <v/>
      </c>
      <c r="R994">
        <f>IF(AND(Inputs!$B$4&lt;&gt;"pvp",Inputs!$B$35&gt;0),(INT(Inputs!$B$35/IF(Inputs!$B$4="pvp",15,MAX(0.1,Skills!D11-IF(Skills!E11=TRUE,Inputs!$B$31,0))))+1),0)</f>
        <v/>
      </c>
      <c r="S994">
        <f>IFERROR(O994/N994,0)</f>
        <v/>
      </c>
    </row>
    <row r="995">
      <c r="A995">
        <f>Skills!A12</f>
        <v/>
      </c>
      <c r="B995">
        <f>Skills!B12</f>
        <v/>
      </c>
      <c r="C995">
        <f>Inputs!$B$3&gt;=100</f>
        <v/>
      </c>
      <c r="D995">
        <f>IF(Skills!C12=1,60+Inputs!$B$24+Inputs!$B$28,IF(Skills!C12=2,90+Inputs!$B$25+Inputs!$B$28,IF(Skills!C12=3,120+Inputs!$B$26+Inputs!$B$28,MAX(0,(Inputs!$B$3-100)*3)+Inputs!$B$27+Inputs!$B$28)))</f>
        <v/>
      </c>
      <c r="E995">
        <f>INDEX(FactorTable!$B$2:$Y$301, MATCH(ROUND(MIN(300,MAX(1,D995)),0), FactorTable!$A$2:$A$301,0), Skills!M12+1)</f>
        <v/>
      </c>
      <c r="F995">
        <f>IF(Skills!N12=TRUE,(Skills!L12/10)*(E995/1000),Skills!L12/10)+Skills!O12</f>
        <v/>
      </c>
      <c r="G995" t="inlineStr"/>
      <c r="H995" t="inlineStr"/>
      <c r="I995" t="inlineStr">
        <is>
          <t>1</t>
        </is>
      </c>
      <c r="J995" t="inlineStr"/>
      <c r="K995" t="inlineStr"/>
      <c r="L995" t="inlineStr"/>
      <c r="M995" t="inlineStr"/>
      <c r="N995" t="inlineStr"/>
      <c r="O995" t="inlineStr"/>
      <c r="P995" t="inlineStr"/>
      <c r="Q995" t="inlineStr"/>
      <c r="R995" t="inlineStr"/>
      <c r="S995" t="inlineStr"/>
    </row>
    <row r="996">
      <c r="A996">
        <f>Skills!A13</f>
        <v/>
      </c>
      <c r="B996">
        <f>Skills!B13</f>
        <v/>
      </c>
      <c r="C996">
        <f>Inputs!$B$3&gt;=45</f>
        <v/>
      </c>
      <c r="D996">
        <f>IF(Skills!C13=1,60+Inputs!$B$24+Inputs!$B$28,IF(Skills!C13=2,90+Inputs!$B$25+Inputs!$B$28,IF(Skills!C13=3,120+Inputs!$B$26+Inputs!$B$28,MAX(0,(Inputs!$B$3-100)*3)+Inputs!$B$27+Inputs!$B$28)))</f>
        <v/>
      </c>
      <c r="E996">
        <f>INDEX(FactorTable!$B$2:$Y$301, MATCH(ROUND(MIN(300,MAX(1,D996)),0), FactorTable!$A$2:$A$301,0), Skills!M13+1)</f>
        <v/>
      </c>
      <c r="F996">
        <f>IF(Skills!N13=TRUE,(Skills!L13/10)*(E996/1000),Skills!L13/10)+Skills!O13</f>
        <v/>
      </c>
      <c r="G996">
        <f>Skills!G13*IF(Skills!H13&gt;0,Skills!I13/Skills!H13,1)</f>
        <v/>
      </c>
      <c r="H996">
        <f>1-(1-Skills!J13/100)^Skills!K13</f>
        <v/>
      </c>
      <c r="I996" t="inlineStr">
        <is>
          <t>1</t>
        </is>
      </c>
      <c r="J996" t="inlineStr"/>
      <c r="K996" t="inlineStr"/>
      <c r="L996" t="inlineStr"/>
      <c r="M996" t="inlineStr"/>
      <c r="N996" t="inlineStr"/>
      <c r="O996" t="n">
        <v>0</v>
      </c>
      <c r="P996">
        <f>IF(B1018=0,0,O996/B1018)</f>
        <v/>
      </c>
      <c r="Q996" t="n">
        <v>0</v>
      </c>
      <c r="R996" t="n">
        <v>0</v>
      </c>
      <c r="S996">
        <f>IFERROR(O996/N996,0)</f>
        <v/>
      </c>
    </row>
    <row r="997">
      <c r="A997">
        <f>Skills!A14</f>
        <v/>
      </c>
      <c r="B997">
        <f>Skills!B14</f>
        <v/>
      </c>
      <c r="C997">
        <f>Inputs!$B$3&gt;=110</f>
        <v/>
      </c>
      <c r="D997">
        <f>IF(Skills!C14=1,60+Inputs!$B$24+Inputs!$B$28,IF(Skills!C14=2,90+Inputs!$B$25+Inputs!$B$28,IF(Skills!C14=3,120+Inputs!$B$26+Inputs!$B$28,MAX(0,(Inputs!$B$3-100)*3)+Inputs!$B$27+Inputs!$B$28)))</f>
        <v/>
      </c>
      <c r="E997">
        <f>INDEX(FactorTable!$B$2:$Y$301, MATCH(ROUND(MIN(300,MAX(1,D997)),0), FactorTable!$A$2:$A$301,0), Skills!M14+1)</f>
        <v/>
      </c>
      <c r="F997">
        <f>IF(Skills!N14=TRUE,(Skills!L14/10)*(E997/1000),Skills!L14/10)+Skills!O14</f>
        <v/>
      </c>
      <c r="G997">
        <f>Skills!G14*IF(Skills!H14&gt;0,Skills!I14/Skills!H14,1)</f>
        <v/>
      </c>
      <c r="H997">
        <f>1-(1-Skills!J14/100)^Skills!K14</f>
        <v/>
      </c>
      <c r="I997" t="inlineStr">
        <is>
          <t>1</t>
        </is>
      </c>
      <c r="J997" t="inlineStr"/>
      <c r="K997" t="inlineStr"/>
      <c r="L997" t="inlineStr"/>
      <c r="M997" t="inlineStr"/>
      <c r="N997" t="inlineStr"/>
      <c r="O997" t="n">
        <v>0</v>
      </c>
      <c r="P997">
        <f>IF(B1018=0,0,O997/B1018)</f>
        <v/>
      </c>
      <c r="Q997" t="n">
        <v>0</v>
      </c>
      <c r="R997" t="n">
        <v>0</v>
      </c>
      <c r="S997">
        <f>IFERROR(O997/N997,0)</f>
        <v/>
      </c>
    </row>
    <row r="998">
      <c r="A998">
        <f>Skills!A15</f>
        <v/>
      </c>
      <c r="B998">
        <f>Skills!B15</f>
        <v/>
      </c>
      <c r="C998">
        <f>Inputs!$B$3&gt;=75</f>
        <v/>
      </c>
      <c r="D998">
        <f>IF(Skills!C15=1,60+Inputs!$B$24+Inputs!$B$28,IF(Skills!C15=2,90+Inputs!$B$25+Inputs!$B$28,IF(Skills!C15=3,120+Inputs!$B$26+Inputs!$B$28,MAX(0,(Inputs!$B$3-100)*3)+Inputs!$B$27+Inputs!$B$28)))</f>
        <v/>
      </c>
      <c r="E998">
        <f>INDEX(FactorTable!$B$2:$Y$301, MATCH(ROUND(MIN(300,MAX(1,D998)),0), FactorTable!$A$2:$A$301,0), Skills!M15+1)</f>
        <v/>
      </c>
      <c r="F998">
        <f>IF(Skills!N15=TRUE,(Skills!L15/10)*(E998/1000),Skills!L15/10)+Skills!O15</f>
        <v/>
      </c>
      <c r="G998">
        <f>Skills!G15*IF(Skills!H15&gt;0,Skills!I15/Skills!H15,1)</f>
        <v/>
      </c>
      <c r="H998">
        <f>1-(1-Skills!J15/100)^Skills!K15</f>
        <v/>
      </c>
      <c r="I998" t="inlineStr">
        <is>
          <t>1</t>
        </is>
      </c>
      <c r="J998" t="inlineStr"/>
      <c r="K998" t="inlineStr"/>
      <c r="L998" t="inlineStr"/>
      <c r="M998" t="inlineStr"/>
      <c r="N998" t="inlineStr"/>
      <c r="O998" t="n">
        <v>0</v>
      </c>
      <c r="P998">
        <f>IF(B1018=0,0,O998/B1018)</f>
        <v/>
      </c>
      <c r="Q998">
        <f>IFERROR(1/IF(Inputs!$B$4="pvp",15,MAX(0.1,Skills!D15-IF(Skills!E15=TRUE,Inputs!$B$31,0))),0)</f>
        <v/>
      </c>
      <c r="R998">
        <f>IF(AND(Inputs!$B$4&lt;&gt;"pvp",Inputs!$B$35&gt;0),(INT(Inputs!$B$35/IF(Inputs!$B$4="pvp",15,MAX(0.1,Skills!D15-IF(Skills!E15=TRUE,Inputs!$B$31,0))))+1),0)</f>
        <v/>
      </c>
      <c r="S998">
        <f>IFERROR(O998/N998,0)</f>
        <v/>
      </c>
    </row>
    <row r="999">
      <c r="A999">
        <f>Skills!A16</f>
        <v/>
      </c>
      <c r="B999">
        <f>Skills!B16</f>
        <v/>
      </c>
      <c r="C999">
        <f>Inputs!$B$3&gt;=105</f>
        <v/>
      </c>
      <c r="D999">
        <f>IF(Skills!C16=1,60+Inputs!$B$24+Inputs!$B$28,IF(Skills!C16=2,90+Inputs!$B$25+Inputs!$B$28,IF(Skills!C16=3,120+Inputs!$B$26+Inputs!$B$28,MAX(0,(Inputs!$B$3-100)*3)+Inputs!$B$27+Inputs!$B$28)))</f>
        <v/>
      </c>
      <c r="E999">
        <f>INDEX(FactorTable!$B$2:$Y$301, MATCH(ROUND(MIN(300,MAX(1,D999)),0), FactorTable!$A$2:$A$301,0), Skills!M16+1)</f>
        <v/>
      </c>
      <c r="F999">
        <f>IF(Skills!N16=TRUE,(Skills!L16/10)*(E999/1000),Skills!L16/10)+Skills!O16</f>
        <v/>
      </c>
      <c r="G999">
        <f>Skills!G16*IF(Skills!H16&gt;0,Skills!I16/Skills!H16,1)</f>
        <v/>
      </c>
      <c r="H999">
        <f>1-(1-Skills!J16/100)^Skills!K16</f>
        <v/>
      </c>
      <c r="I999" t="inlineStr">
        <is>
          <t>1</t>
        </is>
      </c>
      <c r="J999" t="inlineStr"/>
      <c r="K999" t="inlineStr"/>
      <c r="L999" t="inlineStr"/>
      <c r="M999" t="inlineStr"/>
      <c r="N999" t="inlineStr"/>
      <c r="O999" t="n">
        <v>0</v>
      </c>
      <c r="P999">
        <f>IF(B1018=0,0,O999/B1018)</f>
        <v/>
      </c>
      <c r="Q999">
        <f>IFERROR(1/IF(Inputs!$B$4="pvp",15,MAX(0.1,Skills!D16-IF(Skills!E16=TRUE,Inputs!$B$31,0))),0)</f>
        <v/>
      </c>
      <c r="R999">
        <f>IF(AND(Inputs!$B$4&lt;&gt;"pvp",Inputs!$B$35&gt;0),(INT(Inputs!$B$35/IF(Inputs!$B$4="pvp",15,MAX(0.1,Skills!D16-IF(Skills!E16=TRUE,Inputs!$B$31,0))))+1),0)</f>
        <v/>
      </c>
      <c r="S999">
        <f>IFERROR(O999/N999,0)</f>
        <v/>
      </c>
    </row>
    <row r="1000">
      <c r="A1000">
        <f>Skills!A17</f>
        <v/>
      </c>
      <c r="B1000">
        <f>Skills!B17</f>
        <v/>
      </c>
      <c r="C1000">
        <f>Inputs!$B$3&gt;=115</f>
        <v/>
      </c>
      <c r="D1000">
        <f>IF(Skills!C17=1,60+Inputs!$B$24+Inputs!$B$28,IF(Skills!C17=2,90+Inputs!$B$25+Inputs!$B$28,IF(Skills!C17=3,120+Inputs!$B$26+Inputs!$B$28,MAX(0,(Inputs!$B$3-100)*3)+Inputs!$B$27+Inputs!$B$28)))</f>
        <v/>
      </c>
      <c r="E1000">
        <f>INDEX(FactorTable!$B$2:$Y$301, MATCH(ROUND(MIN(300,MAX(1,D1000)),0), FactorTable!$A$2:$A$301,0), Skills!M17+1)</f>
        <v/>
      </c>
      <c r="F1000">
        <f>IF(Skills!N17=TRUE,(Skills!L17/10)*(E1000/1000),Skills!L17/10)+Skills!O17</f>
        <v/>
      </c>
      <c r="G1000">
        <f>Skills!G17*IF(Skills!H17&gt;0,Skills!I17/Skills!H17,1)</f>
        <v/>
      </c>
      <c r="H1000">
        <f>1-(1-Skills!J17/100)^Skills!K17</f>
        <v/>
      </c>
      <c r="I1000" t="inlineStr">
        <is>
          <t>1</t>
        </is>
      </c>
      <c r="J1000" t="inlineStr"/>
      <c r="K1000" t="inlineStr"/>
      <c r="L1000" t="inlineStr"/>
      <c r="M1000" t="inlineStr"/>
      <c r="N1000" t="inlineStr"/>
      <c r="O1000" t="n">
        <v>0</v>
      </c>
      <c r="P1000">
        <f>IF(B1018=0,0,O1000/B1018)</f>
        <v/>
      </c>
      <c r="Q1000">
        <f>IFERROR(1/IF(Inputs!$B$4="pvp",15,MAX(0.1,Skills!D17-IF(Skills!E17=TRUE,Inputs!$B$31,0))),0)</f>
        <v/>
      </c>
      <c r="R1000">
        <f>IF(AND(Inputs!$B$4&lt;&gt;"pvp",Inputs!$B$35&gt;0),(INT(Inputs!$B$35/IF(Inputs!$B$4="pvp",15,MAX(0.1,Skills!D17-IF(Skills!E17=TRUE,Inputs!$B$31,0))))+1),0)</f>
        <v/>
      </c>
      <c r="S1000">
        <f>IFERROR(O1000/N1000,0)</f>
        <v/>
      </c>
    </row>
    <row r="1001">
      <c r="A1001">
        <f>Skills!A18</f>
        <v/>
      </c>
      <c r="B1001">
        <f>Skills!B18</f>
        <v/>
      </c>
      <c r="C1001">
        <f>Inputs!$B$3&gt;=74</f>
        <v/>
      </c>
      <c r="D1001">
        <f>IF(Skills!C18=1,60+Inputs!$B$24+Inputs!$B$28,IF(Skills!C18=2,90+Inputs!$B$25+Inputs!$B$28,IF(Skills!C18=3,120+Inputs!$B$26+Inputs!$B$28,MAX(0,(Inputs!$B$3-100)*3)+Inputs!$B$27+Inputs!$B$28)))</f>
        <v/>
      </c>
      <c r="E1001">
        <f>INDEX(FactorTable!$B$2:$Y$301, MATCH(ROUND(MIN(300,MAX(1,D1001)),0), FactorTable!$A$2:$A$301,0), Skills!M18+1)</f>
        <v/>
      </c>
      <c r="F1001">
        <f>IF(Skills!N18=TRUE,(Skills!L18/10)*(E1001/1000),Skills!L18/10)+Skills!O18</f>
        <v/>
      </c>
      <c r="G1001">
        <f>Skills!G18*IF(Skills!H18&gt;0,Skills!I18/Skills!H18,1)</f>
        <v/>
      </c>
      <c r="H1001">
        <f>1-(1-Skills!J18/100)^Skills!K18</f>
        <v/>
      </c>
      <c r="I1001" t="inlineStr">
        <is>
          <t>1</t>
        </is>
      </c>
      <c r="J1001" t="inlineStr"/>
      <c r="K1001" t="inlineStr"/>
      <c r="L1001" t="inlineStr"/>
      <c r="M1001" t="inlineStr"/>
      <c r="N1001" t="inlineStr"/>
      <c r="O1001" t="n">
        <v>0</v>
      </c>
      <c r="P1001">
        <f>IF(B1018=0,0,O1001/B1018)</f>
        <v/>
      </c>
      <c r="Q1001">
        <f>IFERROR(1/IF(Inputs!$B$4="pvp",15,MAX(0.1,Skills!D18-IF(Skills!E18=TRUE,Inputs!$B$31,0))),0)</f>
        <v/>
      </c>
      <c r="R1001">
        <f>IF(AND(Inputs!$B$4&lt;&gt;"pvp",Inputs!$B$35&gt;0),(INT(Inputs!$B$35/IF(Inputs!$B$4="pvp",15,MAX(0.1,Skills!D18-IF(Skills!E18=TRUE,Inputs!$B$31,0))))+1),0)</f>
        <v/>
      </c>
      <c r="S1001">
        <f>IFERROR(O1001/N1001,0)</f>
        <v/>
      </c>
    </row>
    <row r="1002">
      <c r="A1002">
        <f>Skills!A19</f>
        <v/>
      </c>
      <c r="B1002">
        <f>Skills!B19</f>
        <v/>
      </c>
      <c r="C1002">
        <f>TRUE</f>
        <v/>
      </c>
      <c r="D1002">
        <f>IF(Skills!C19=1,60+Inputs!$B$24+Inputs!$B$28,IF(Skills!C19=2,90+Inputs!$B$25+Inputs!$B$28,IF(Skills!C19=3,120+Inputs!$B$26+Inputs!$B$28,MAX(0,(Inputs!$B$3-100)*3)+Inputs!$B$27+Inputs!$B$28)))</f>
        <v/>
      </c>
      <c r="E1002">
        <f>INDEX(FactorTable!$B$2:$Y$301, MATCH(ROUND(MIN(300,MAX(1,D1002)),0), FactorTable!$A$2:$A$301,0), Skills!M19+1)</f>
        <v/>
      </c>
      <c r="F1002">
        <f>IF(Skills!N19=TRUE,(Skills!L19/10)*(E1002/1000),Skills!L19/10)+Skills!O19</f>
        <v/>
      </c>
      <c r="G1002">
        <f>Skills!G19*IF(Skills!H19&gt;0,Skills!I19/Skills!H19,1)</f>
        <v/>
      </c>
      <c r="H1002">
        <f>1-(1-Skills!J19/100)^Skills!K19</f>
        <v/>
      </c>
      <c r="I1002" t="inlineStr">
        <is>
          <t>1</t>
        </is>
      </c>
      <c r="J1002" t="inlineStr"/>
      <c r="K1002" t="inlineStr"/>
      <c r="L1002" t="inlineStr"/>
      <c r="M1002" t="inlineStr"/>
      <c r="N1002" t="inlineStr"/>
      <c r="O1002" t="n">
        <v>0</v>
      </c>
      <c r="P1002">
        <f>IF(B1018=0,0,O1002/B1018)</f>
        <v/>
      </c>
      <c r="Q1002">
        <f>IFERROR(1/IF(Inputs!$B$4="pvp",15,MAX(0.1,Skills!D19-IF(Skills!E19=TRUE,Inputs!$B$31,0))),0)</f>
        <v/>
      </c>
      <c r="R1002">
        <f>IF(AND(Inputs!$B$4&lt;&gt;"pvp",Inputs!$B$35&gt;0),(INT(Inputs!$B$35/IF(Inputs!$B$4="pvp",15,MAX(0.1,Skills!D19-IF(Skills!E19=TRUE,Inputs!$B$31,0))))+1),0)</f>
        <v/>
      </c>
      <c r="S1002">
        <f>IFERROR(O1002/N1002,0)</f>
        <v/>
      </c>
    </row>
    <row r="1003">
      <c r="A1003">
        <f>Skills!A20</f>
        <v/>
      </c>
      <c r="B1003">
        <f>Skills!B20</f>
        <v/>
      </c>
      <c r="C1003">
        <f>Inputs!$B$3&gt;=33</f>
        <v/>
      </c>
      <c r="D1003">
        <f>IF(Skills!C20=1,60+Inputs!$B$24+Inputs!$B$28,IF(Skills!C20=2,90+Inputs!$B$25+Inputs!$B$28,IF(Skills!C20=3,120+Inputs!$B$26+Inputs!$B$28,MAX(0,(Inputs!$B$3-100)*3)+Inputs!$B$27+Inputs!$B$28)))</f>
        <v/>
      </c>
      <c r="E1003">
        <f>INDEX(FactorTable!$B$2:$Y$301, MATCH(ROUND(MIN(300,MAX(1,D1003)),0), FactorTable!$A$2:$A$301,0), Skills!M20+1)</f>
        <v/>
      </c>
      <c r="F1003">
        <f>IF(Skills!N20=TRUE,(Skills!L20/10)*(E1003/1000),Skills!L20/10)+Skills!O20</f>
        <v/>
      </c>
      <c r="G1003">
        <f>Skills!G20*IF(Skills!H20&gt;0,Skills!I20/Skills!H20,1)</f>
        <v/>
      </c>
      <c r="H1003">
        <f>1-(1-Skills!J20/100)^Skills!K20</f>
        <v/>
      </c>
      <c r="I1003" t="inlineStr">
        <is>
          <t>1</t>
        </is>
      </c>
      <c r="J1003" t="inlineStr"/>
      <c r="K1003" t="inlineStr"/>
      <c r="L1003" t="inlineStr"/>
      <c r="M1003" t="inlineStr"/>
      <c r="N1003" t="inlineStr"/>
      <c r="O1003" t="n">
        <v>0</v>
      </c>
      <c r="P1003">
        <f>IF(B1018=0,0,O1003/B1018)</f>
        <v/>
      </c>
      <c r="Q1003" t="n">
        <v>0</v>
      </c>
      <c r="R1003" t="n">
        <v>0</v>
      </c>
      <c r="S1003">
        <f>IFERROR(O1003/N1003,0)</f>
        <v/>
      </c>
    </row>
    <row r="1004">
      <c r="A1004">
        <f>Skills!A21</f>
        <v/>
      </c>
      <c r="B1004">
        <f>Skills!B21</f>
        <v/>
      </c>
      <c r="C1004">
        <f>Inputs!$B$3&gt;=38</f>
        <v/>
      </c>
      <c r="D1004">
        <f>IF(Skills!C21=1,60+Inputs!$B$24+Inputs!$B$28,IF(Skills!C21=2,90+Inputs!$B$25+Inputs!$B$28,IF(Skills!C21=3,120+Inputs!$B$26+Inputs!$B$28,MAX(0,(Inputs!$B$3-100)*3)+Inputs!$B$27+Inputs!$B$28)))</f>
        <v/>
      </c>
      <c r="E1004">
        <f>INDEX(FactorTable!$B$2:$Y$301, MATCH(ROUND(MIN(300,MAX(1,D1004)),0), FactorTable!$A$2:$A$301,0), Skills!M21+1)</f>
        <v/>
      </c>
      <c r="F1004">
        <f>IF(Skills!N21=TRUE,(Skills!L21/10)*(E1004/1000),Skills!L21/10)+Skills!O21</f>
        <v/>
      </c>
      <c r="G1004">
        <f>Skills!G21*IF(Skills!H21&gt;0,Skills!I21/Skills!H21,1)</f>
        <v/>
      </c>
      <c r="H1004">
        <f>1-(1-Skills!J21/100)^Skills!K21</f>
        <v/>
      </c>
      <c r="I1004" t="inlineStr">
        <is>
          <t>1</t>
        </is>
      </c>
      <c r="J1004" t="inlineStr"/>
      <c r="K1004" t="inlineStr"/>
      <c r="L1004" t="inlineStr"/>
      <c r="M1004" t="inlineStr"/>
      <c r="N1004" t="inlineStr"/>
      <c r="O1004" t="n">
        <v>0</v>
      </c>
      <c r="P1004">
        <f>IF(B1018=0,0,O1004/B1018)</f>
        <v/>
      </c>
      <c r="Q1004" t="n">
        <v>0</v>
      </c>
      <c r="R1004" t="n">
        <v>0</v>
      </c>
      <c r="S1004">
        <f>IFERROR(O1004/N1004,0)</f>
        <v/>
      </c>
    </row>
    <row r="1005">
      <c r="A1005">
        <f>Skills!A22</f>
        <v/>
      </c>
      <c r="B1005">
        <f>Skills!B22</f>
        <v/>
      </c>
      <c r="C1005">
        <f>Inputs!$B$3&gt;=43</f>
        <v/>
      </c>
      <c r="D1005">
        <f>IF(Skills!C22=1,60+Inputs!$B$24+Inputs!$B$28,IF(Skills!C22=2,90+Inputs!$B$25+Inputs!$B$28,IF(Skills!C22=3,120+Inputs!$B$26+Inputs!$B$28,MAX(0,(Inputs!$B$3-100)*3)+Inputs!$B$27+Inputs!$B$28)))</f>
        <v/>
      </c>
      <c r="E1005">
        <f>INDEX(FactorTable!$B$2:$Y$301, MATCH(ROUND(MIN(300,MAX(1,D1005)),0), FactorTable!$A$2:$A$301,0), Skills!M22+1)</f>
        <v/>
      </c>
      <c r="F1005">
        <f>IF(Skills!N22=TRUE,(Skills!L22/10)*(E1005/1000),Skills!L22/10)+Skills!O22</f>
        <v/>
      </c>
      <c r="G1005">
        <f>Skills!G22*IF(Skills!H22&gt;0,Skills!I22/Skills!H22,1)</f>
        <v/>
      </c>
      <c r="H1005">
        <f>1-(1-Skills!J22/100)^Skills!K22</f>
        <v/>
      </c>
      <c r="I1005" t="inlineStr">
        <is>
          <t>1</t>
        </is>
      </c>
      <c r="J1005" t="inlineStr"/>
      <c r="K1005" t="inlineStr"/>
      <c r="L1005" t="inlineStr"/>
      <c r="M1005" t="inlineStr"/>
      <c r="N1005" t="inlineStr"/>
      <c r="O1005" t="n">
        <v>0</v>
      </c>
      <c r="P1005">
        <f>IF(B1018=0,0,O1005/B1018)</f>
        <v/>
      </c>
      <c r="Q1005" t="n">
        <v>0</v>
      </c>
      <c r="R1005" t="n">
        <v>0</v>
      </c>
      <c r="S1005">
        <f>IFERROR(O1005/N1005,0)</f>
        <v/>
      </c>
    </row>
    <row r="1006">
      <c r="A1006">
        <f>Skills!A23</f>
        <v/>
      </c>
      <c r="B1006">
        <f>Skills!B23</f>
        <v/>
      </c>
      <c r="C1006">
        <f>Inputs!$B$3&gt;=120</f>
        <v/>
      </c>
      <c r="D1006">
        <f>IF(Skills!C23=1,60+Inputs!$B$24+Inputs!$B$28,IF(Skills!C23=2,90+Inputs!$B$25+Inputs!$B$28,IF(Skills!C23=3,120+Inputs!$B$26+Inputs!$B$28,MAX(0,(Inputs!$B$3-100)*3)+Inputs!$B$27+Inputs!$B$28)))</f>
        <v/>
      </c>
      <c r="E1006">
        <f>INDEX(FactorTable!$B$2:$Y$301, MATCH(ROUND(MIN(300,MAX(1,D1006)),0), FactorTable!$A$2:$A$301,0), Skills!M23+1)</f>
        <v/>
      </c>
      <c r="F1006">
        <f>IF(Skills!N23=TRUE,(Skills!L23/10)*(E1006/1000),Skills!L23/10)+Skills!O23</f>
        <v/>
      </c>
      <c r="G1006">
        <f>Skills!G23*IF(Skills!H23&gt;0,Skills!I23/Skills!H23,1)</f>
        <v/>
      </c>
      <c r="H1006">
        <f>1-(1-Skills!J23/100)^Skills!K23</f>
        <v/>
      </c>
      <c r="I1006" t="inlineStr">
        <is>
          <t>1</t>
        </is>
      </c>
      <c r="J1006" t="inlineStr"/>
      <c r="K1006" t="inlineStr"/>
      <c r="L1006" t="inlineStr"/>
      <c r="M1006" t="inlineStr"/>
      <c r="N1006" t="inlineStr"/>
      <c r="O1006" t="n">
        <v>0</v>
      </c>
      <c r="P1006">
        <f>IF(B1018=0,0,O1006/B1018)</f>
        <v/>
      </c>
      <c r="Q1006" t="n">
        <v>0</v>
      </c>
      <c r="R1006" t="n">
        <v>0</v>
      </c>
      <c r="S1006">
        <f>IFERROR(O1006/N1006,0)</f>
        <v/>
      </c>
    </row>
    <row r="1007">
      <c r="A1007">
        <f>Skills!A24</f>
        <v/>
      </c>
      <c r="B1007">
        <f>Skills!B24</f>
        <v/>
      </c>
      <c r="C1007">
        <f>Inputs!$B$3&gt;=120</f>
        <v/>
      </c>
      <c r="D1007">
        <f>IF(Skills!C24=1,60+Inputs!$B$24+Inputs!$B$28,IF(Skills!C24=2,90+Inputs!$B$25+Inputs!$B$28,IF(Skills!C24=3,120+Inputs!$B$26+Inputs!$B$28,MAX(0,(Inputs!$B$3-100)*3)+Inputs!$B$27+Inputs!$B$28)))</f>
        <v/>
      </c>
      <c r="E1007">
        <f>INDEX(FactorTable!$B$2:$Y$301, MATCH(ROUND(MIN(300,MAX(1,D1007)),0), FactorTable!$A$2:$A$301,0), Skills!M24+1)</f>
        <v/>
      </c>
      <c r="F1007">
        <f>IF(Skills!N24=TRUE,(Skills!L24/10)*(E1007/1000),Skills!L24/10)+Skills!O24</f>
        <v/>
      </c>
      <c r="G1007">
        <f>Skills!G24*IF(Skills!H24&gt;0,Skills!I24/Skills!H24,1)</f>
        <v/>
      </c>
      <c r="H1007">
        <f>1-(1-Skills!J24/100)^Skills!K24</f>
        <v/>
      </c>
      <c r="I1007" t="inlineStr">
        <is>
          <t>1</t>
        </is>
      </c>
      <c r="J1007" t="inlineStr"/>
      <c r="K1007" t="inlineStr"/>
      <c r="L1007" t="inlineStr"/>
      <c r="M1007" t="inlineStr"/>
      <c r="N1007" t="inlineStr"/>
      <c r="O1007" t="n">
        <v>0</v>
      </c>
      <c r="P1007">
        <f>IF(B1018=0,0,O1007/B1018)</f>
        <v/>
      </c>
      <c r="Q1007" t="n">
        <v>0</v>
      </c>
      <c r="R1007" t="n">
        <v>0</v>
      </c>
      <c r="S1007">
        <f>IFERROR(O1007/N1007,0)</f>
        <v/>
      </c>
    </row>
    <row r="1009">
      <c r="A1009" t="inlineStr">
        <is>
          <t>Attack% Bucket Multiplier</t>
        </is>
      </c>
      <c r="B1009">
        <f>(1+(((C996=TRUE)*F996*MIN(1,Skills!T13*(Skills!J13/100)*B1014))+((C1001=TRUE)*F1001*IF(AND(Inputs!$B$4&lt;&gt;"pvp",Inputs!$B$35&gt;0),(((S1001-1)*(Skills!T18*(1+(Inputs!$B$33+1)/100))+MIN((Skills!T18*(1+(Inputs!$B$33+1)/100)),MAX(0,Inputs!$B$35-((S1001-1)*Skills!D18))))/Inputs!$B$35),IF(Inputs!$B$4="pvp",MIN((Skills!T18*(1+(Inputs!$B$33+1)/100)),15)/15,(Skills!T18*(1+(Inputs!$B$33+1)/100))/Skills!D18)))+0)/100)</f>
        <v/>
      </c>
    </row>
    <row r="1010">
      <c r="A1010" t="inlineStr">
        <is>
          <t>Global Crit Rate Bonus %</t>
        </is>
      </c>
      <c r="B1010" t="n">
        <v>0</v>
      </c>
    </row>
    <row r="1011">
      <c r="A1011" t="inlineStr">
        <is>
          <t>Attack Speed Buff Bonus %</t>
        </is>
      </c>
      <c r="B1011">
        <f>((C1002=TRUE)*F1002*IF(AND(Inputs!$B$4&lt;&gt;"pvp",Inputs!$B$35&gt;0),(((S1002-1)*(Skills!T19*(1+(Inputs!$B$33+1)/100))+MIN((Skills!T19*(1+(Inputs!$B$33+1)/100)),MAX(0,Inputs!$B$35-((S1002-1)*Skills!D19))))/Inputs!$B$35),IF(Inputs!$B$4="pvp",MIN((Skills!T19*(1+(Inputs!$B$33+1)/100)),15)/15,(Skills!T19*(1+(Inputs!$B$33+1)/100))/Skills!D19)))</f>
        <v/>
      </c>
    </row>
    <row r="1012">
      <c r="A1012" t="inlineStr">
        <is>
          <t>Actions Per Second</t>
        </is>
      </c>
      <c r="B1012">
        <f>1+MIN(150,150*(1-(1-(Inputs!$B$10+((C1003=TRUE)*(F1003-Calc!F20)))/150)*(1-B1011/150)))/100</f>
        <v/>
      </c>
    </row>
    <row r="1013">
      <c r="A1013" t="inlineStr">
        <is>
          <t>Skill + Buff Cast Rate</t>
        </is>
      </c>
      <c r="B1013">
        <f>IF(AND(Inputs!$B$4&lt;&gt;"pvp",Inputs!$B$35&gt;0),SUMPRODUCT((Skills!E2:E24=TRUE)*(C985:C1007=TRUE)*R985:R1007*Skills!F2:F24)/Inputs!$B$35,SUMPRODUCT((Skills!E2:E24=TRUE)*(C985:C1007=TRUE)*Q985:Q1007*Skills!F2:F24))</f>
        <v/>
      </c>
    </row>
    <row r="1014">
      <c r="A1014" t="inlineStr">
        <is>
          <t>Blast Casts Per Second</t>
        </is>
      </c>
      <c r="B1014">
        <f>MAX(0,B1012-B1013)</f>
        <v/>
      </c>
    </row>
    <row r="1015">
      <c r="A1015" t="inlineStr">
        <is>
          <t>Global Critical Damage Bonus % (unused)</t>
        </is>
      </c>
      <c r="B1015" t="n">
        <v>0</v>
      </c>
    </row>
    <row r="1016">
      <c r="A1016" t="inlineStr">
        <is>
          <t>Global Final Damage Bonus % (Divine Shield + Guardian + Divine Blessing + Greater Vessel of Light)</t>
        </is>
      </c>
      <c r="B1016">
        <f>((C998=TRUE)*F998*IF(AND(Inputs!$B$4&lt;&gt;"pvp",Inputs!$B$35&gt;0),(((S998-1)*(Skills!T15*(1+(Inputs!$B$33+1)/100))+MIN((Skills!T15*(1+(Inputs!$B$33+1)/100)),MAX(0,Inputs!$B$35-((S998-1)*Skills!D15))))/Inputs!$B$35),IF(Inputs!$B$4="pvp",MIN((Skills!T15*(1+(Inputs!$B$33+1)/100)),15)/15,(Skills!T15*(1+(Inputs!$B$33+1)/100))/Skills!D15)))+((C999=TRUE)*F999*IF(AND(Inputs!$B$4&lt;&gt;"pvp",Inputs!$B$35&gt;0),(((S999-1)*(Skills!T16*(1+(Inputs!$B$33+1)/100))+MIN((Skills!T16*(1+(Inputs!$B$33+1)/100)),MAX(0,Inputs!$B$35-((S999-1)*Skills!D16))))/Inputs!$B$35),IF(Inputs!$B$4="pvp",MIN((Skills!T16*(1+(Inputs!$B$33+1)/100)),15)/15,(Skills!T16*(1+(Inputs!$B$33+1)/100))/Skills!D16)))+((C1000=TRUE)*F1000*IF(AND(Inputs!$B$4&lt;&gt;"pvp",Inputs!$B$35&gt;0),(((S1000-1)*(Skills!T17*(1+(Inputs!$B$33+1)/100))+MIN((Skills!T17*(1+(Inputs!$B$33+1)/100)),MAX(0,Inputs!$B$35-((S1000-1)*Skills!D17))))/Inputs!$B$35),IF(Inputs!$B$4="pvp",MIN((Skills!T17*(1+(Inputs!$B$33+1)/100)),15)/15,(Skills!T17*(1+(Inputs!$B$33+1)/100))/Skills!D17)))+((C997=TRUE)*F997*MIN(1,Skills!T13*(Skills!J13/100)*B1014))</f>
        <v/>
      </c>
    </row>
    <row r="1018">
      <c r="A1018" s="5" t="inlineStr">
        <is>
          <t>TOTAL DPS</t>
        </is>
      </c>
      <c r="B1018" s="5">
        <f>SUM(O985:O1007)</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70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6" customWidth="1" min="3" max="3"/>
    <col width="26" customWidth="1" min="4" max="4"/>
    <col width="9" customWidth="1" min="5" max="5"/>
    <col width="9" customWidth="1" min="6" max="6"/>
    <col width="8" customWidth="1" min="7" max="7"/>
    <col width="13" customWidth="1" min="8" max="8"/>
    <col width="2" customWidth="1" min="9" max="9"/>
    <col width="26" customWidth="1" min="10" max="10"/>
    <col width="13" customWidth="1" min="11" max="11"/>
    <col width="2" customWidth="1" min="12" max="12"/>
    <col width="12" customWidth="1" min="13" max="13"/>
    <col width="10" customWidth="1" min="14" max="14"/>
    <col width="9" customWidth="1" min="15" max="15"/>
    <col width="2" customWidth="1" min="16" max="16"/>
    <col width="14" customWidth="1" min="17" max="17"/>
  </cols>
  <sheetData>
    <row r="1">
      <c r="A1" s="8" t="inlineStr">
        <is>
          <t>Slot</t>
        </is>
      </c>
      <c r="B1" s="8" t="inlineStr">
        <is>
          <t>Rarity</t>
        </is>
      </c>
      <c r="C1" s="8" t="inlineStr">
        <is>
          <t>Line</t>
        </is>
      </c>
      <c r="D1" s="8" t="inlineStr">
        <is>
          <t>Stat</t>
        </is>
      </c>
      <c r="E1" s="8" t="inlineStr">
        <is>
          <t>Value</t>
        </is>
      </c>
      <c r="F1" s="8" t="inlineStr">
        <is>
          <t>Weight</t>
        </is>
      </c>
      <c r="G1" s="8" t="inlineStr">
        <is>
          <t>Prime</t>
        </is>
      </c>
      <c r="H1" s="8" t="inlineStr">
        <is>
          <t>DPSPerUnit</t>
        </is>
      </c>
      <c r="J1" s="10" t="inlineStr">
        <is>
          <t>Stat</t>
        </is>
      </c>
      <c r="K1" s="10" t="inlineStr">
        <is>
          <t>DPSPerUnit</t>
        </is>
      </c>
      <c r="M1" s="10" t="inlineStr">
        <is>
          <t>Rarity</t>
        </is>
      </c>
      <c r="N1" s="10" t="inlineStr">
        <is>
          <t>Rate</t>
        </is>
      </c>
      <c r="O1" s="10" t="inlineStr">
        <is>
          <t>MaxPity</t>
        </is>
      </c>
      <c r="Q1" s="10" t="inlineStr">
        <is>
          <t>SlotList</t>
        </is>
      </c>
    </row>
    <row r="2">
      <c r="A2" t="inlineStr">
        <is>
          <t>ALL</t>
        </is>
      </c>
      <c r="B2" t="inlineStr">
        <is>
          <t>normal</t>
        </is>
      </c>
      <c r="C2" t="n">
        <v>1</v>
      </c>
      <c r="D2" t="inlineStr">
        <is>
          <t>Critical Rate %</t>
        </is>
      </c>
      <c r="E2" t="n">
        <v>3</v>
      </c>
      <c r="F2" t="n">
        <v>2.5</v>
      </c>
      <c r="G2" t="b">
        <v>0</v>
      </c>
      <c r="H2">
        <f>IF(Inputs!$B$8&gt;=100,Sensitivity!H16,Sensitivity!H15)</f>
        <v/>
      </c>
      <c r="J2" t="inlineStr">
        <is>
          <t>(none)</t>
        </is>
      </c>
      <c r="K2" t="n">
        <v>0</v>
      </c>
      <c r="M2" t="inlineStr">
        <is>
          <t>normal</t>
        </is>
      </c>
      <c r="N2" t="n">
        <v>0.06</v>
      </c>
      <c r="O2" t="n">
        <v>30</v>
      </c>
      <c r="Q2" t="inlineStr">
        <is>
          <t>head</t>
        </is>
      </c>
    </row>
    <row r="3">
      <c r="A3" t="inlineStr">
        <is>
          <t>ALL</t>
        </is>
      </c>
      <c r="B3" t="inlineStr">
        <is>
          <t>normal</t>
        </is>
      </c>
      <c r="C3" t="n">
        <v>1</v>
      </c>
      <c r="D3" t="inlineStr">
        <is>
          <t>Attack Speed %</t>
        </is>
      </c>
      <c r="E3" t="n">
        <v>3</v>
      </c>
      <c r="F3" t="n">
        <v>2.5</v>
      </c>
      <c r="G3" t="b">
        <v>0</v>
      </c>
      <c r="H3">
        <f>Sensitivity!H17</f>
        <v/>
      </c>
      <c r="J3" t="inlineStr">
        <is>
          <t>All Skill Level</t>
        </is>
      </c>
      <c r="K3">
        <f>Sensitivity!H25</f>
        <v/>
      </c>
      <c r="M3" t="inlineStr">
        <is>
          <t>rare</t>
        </is>
      </c>
      <c r="N3" t="n">
        <v>0.03333</v>
      </c>
      <c r="O3" t="n">
        <v>60</v>
      </c>
      <c r="Q3" t="inlineStr">
        <is>
          <t>cape</t>
        </is>
      </c>
    </row>
    <row r="4">
      <c r="A4" t="inlineStr">
        <is>
          <t>ALL</t>
        </is>
      </c>
      <c r="B4" t="inlineStr">
        <is>
          <t>normal</t>
        </is>
      </c>
      <c r="C4" t="n">
        <v>1</v>
      </c>
      <c r="D4" t="inlineStr">
        <is>
          <t>Damage %</t>
        </is>
      </c>
      <c r="E4" t="n">
        <v>5</v>
      </c>
      <c r="F4" t="n">
        <v>4</v>
      </c>
      <c r="G4" t="b">
        <v>0</v>
      </c>
      <c r="H4">
        <f>Sensitivity!H8</f>
        <v/>
      </c>
      <c r="J4" t="inlineStr">
        <is>
          <t>Attack Speed %</t>
        </is>
      </c>
      <c r="K4">
        <f>Sensitivity!H17</f>
        <v/>
      </c>
      <c r="M4" t="inlineStr">
        <is>
          <t>epic</t>
        </is>
      </c>
      <c r="N4" t="n">
        <v>0.0167</v>
      </c>
      <c r="O4" t="n">
        <v>120</v>
      </c>
      <c r="Q4" t="inlineStr">
        <is>
          <t>chest</t>
        </is>
      </c>
    </row>
    <row r="5">
      <c r="A5" t="inlineStr">
        <is>
          <t>ALL</t>
        </is>
      </c>
      <c r="B5" t="inlineStr">
        <is>
          <t>normal</t>
        </is>
      </c>
      <c r="C5" t="n">
        <v>1</v>
      </c>
      <c r="D5" t="inlineStr">
        <is>
          <t>Min Damage Multiplier %</t>
        </is>
      </c>
      <c r="E5" t="n">
        <v>3</v>
      </c>
      <c r="F5" t="n">
        <v>4</v>
      </c>
      <c r="G5" t="b">
        <v>0</v>
      </c>
      <c r="H5">
        <f>Sensitivity!H13</f>
        <v/>
      </c>
      <c r="J5" t="inlineStr">
        <is>
          <t>Basic Attack Damage %</t>
        </is>
      </c>
      <c r="K5">
        <f>Sensitivity!H19</f>
        <v/>
      </c>
      <c r="M5" t="inlineStr">
        <is>
          <t>unique</t>
        </is>
      </c>
      <c r="N5" t="n">
        <v>0.006</v>
      </c>
      <c r="O5" t="n">
        <v>333</v>
      </c>
      <c r="Q5" t="inlineStr">
        <is>
          <t>shoulders</t>
        </is>
      </c>
    </row>
    <row r="6">
      <c r="A6" t="inlineStr">
        <is>
          <t>ALL</t>
        </is>
      </c>
      <c r="B6" t="inlineStr">
        <is>
          <t>normal</t>
        </is>
      </c>
      <c r="C6" t="n">
        <v>1</v>
      </c>
      <c r="D6" t="inlineStr">
        <is>
          <t>Max Damage Multiplier %</t>
        </is>
      </c>
      <c r="E6" t="n">
        <v>3</v>
      </c>
      <c r="F6" t="n">
        <v>4</v>
      </c>
      <c r="G6" t="b">
        <v>0</v>
      </c>
      <c r="H6">
        <f>Sensitivity!H14</f>
        <v/>
      </c>
      <c r="J6" t="inlineStr">
        <is>
          <t>Basic Attack Target Increase</t>
        </is>
      </c>
      <c r="K6">
        <f>Sensitivity!H29</f>
        <v/>
      </c>
      <c r="M6" t="inlineStr">
        <is>
          <t>legendary</t>
        </is>
      </c>
      <c r="N6" t="n">
        <v>0.0021</v>
      </c>
      <c r="O6" t="n">
        <v>714</v>
      </c>
      <c r="Q6" t="inlineStr">
        <is>
          <t>legs</t>
        </is>
      </c>
    </row>
    <row r="7">
      <c r="A7" t="inlineStr">
        <is>
          <t>ALL</t>
        </is>
      </c>
      <c r="B7" t="inlineStr">
        <is>
          <t>normal</t>
        </is>
      </c>
      <c r="C7" t="n">
        <v>1</v>
      </c>
      <c r="D7" t="inlineStr">
        <is>
          <t>Str %</t>
        </is>
      </c>
      <c r="E7" t="n">
        <v>3</v>
      </c>
      <c r="F7" t="n">
        <v>4.5</v>
      </c>
      <c r="G7" t="b">
        <v>0</v>
      </c>
      <c r="H7" t="inlineStr">
        <is>
          <t>0</t>
        </is>
      </c>
      <c r="J7" t="inlineStr">
        <is>
          <t>Buff Duration Increase %</t>
        </is>
      </c>
      <c r="K7">
        <f>Sensitivity!H30</f>
        <v/>
      </c>
      <c r="M7" t="inlineStr">
        <is>
          <t>mystic</t>
        </is>
      </c>
      <c r="N7" t="n">
        <v>0</v>
      </c>
      <c r="O7" t="n">
        <v>0</v>
      </c>
      <c r="Q7" t="inlineStr">
        <is>
          <t>belt</t>
        </is>
      </c>
    </row>
    <row r="8">
      <c r="A8" t="inlineStr">
        <is>
          <t>ALL</t>
        </is>
      </c>
      <c r="B8" t="inlineStr">
        <is>
          <t>normal</t>
        </is>
      </c>
      <c r="C8" t="n">
        <v>1</v>
      </c>
      <c r="D8" t="inlineStr">
        <is>
          <t>Dex %</t>
        </is>
      </c>
      <c r="E8" t="n">
        <v>3</v>
      </c>
      <c r="F8" t="n">
        <v>4.5</v>
      </c>
      <c r="G8" t="b">
        <v>0</v>
      </c>
      <c r="H8">
        <f>Sensitivity!H7</f>
        <v/>
      </c>
      <c r="J8" t="inlineStr">
        <is>
          <t>Companion Summoning Time Increase %</t>
        </is>
      </c>
      <c r="K8">
        <f>Sensitivity!H16</f>
        <v/>
      </c>
      <c r="Q8" t="inlineStr">
        <is>
          <t>gloves</t>
        </is>
      </c>
    </row>
    <row r="9">
      <c r="A9" t="inlineStr">
        <is>
          <t>ALL</t>
        </is>
      </c>
      <c r="B9" t="inlineStr">
        <is>
          <t>normal</t>
        </is>
      </c>
      <c r="C9" t="n">
        <v>1</v>
      </c>
      <c r="D9" t="inlineStr">
        <is>
          <t>Int %</t>
        </is>
      </c>
      <c r="E9" t="n">
        <v>3</v>
      </c>
      <c r="F9" t="n">
        <v>4.5</v>
      </c>
      <c r="G9" t="b">
        <v>0</v>
      </c>
      <c r="H9" t="inlineStr">
        <is>
          <t>0</t>
        </is>
      </c>
      <c r="J9" t="inlineStr">
        <is>
          <t>Critical Damage %</t>
        </is>
      </c>
      <c r="K9">
        <f>Sensitivity!H16</f>
        <v/>
      </c>
      <c r="Q9" t="inlineStr">
        <is>
          <t>boots</t>
        </is>
      </c>
    </row>
    <row r="10">
      <c r="A10" t="inlineStr">
        <is>
          <t>ALL</t>
        </is>
      </c>
      <c r="B10" t="inlineStr">
        <is>
          <t>normal</t>
        </is>
      </c>
      <c r="C10" t="n">
        <v>1</v>
      </c>
      <c r="D10" t="inlineStr">
        <is>
          <t>Luk %</t>
        </is>
      </c>
      <c r="E10" t="n">
        <v>3</v>
      </c>
      <c r="F10" t="n">
        <v>4.5</v>
      </c>
      <c r="G10" t="b">
        <v>0</v>
      </c>
      <c r="H10" t="inlineStr">
        <is>
          <t>0</t>
        </is>
      </c>
      <c r="J10" t="inlineStr">
        <is>
          <t>Critical Rate %</t>
        </is>
      </c>
      <c r="K10">
        <f>IF(Inputs!$B$8&gt;=100,Sensitivity!H16,Sensitivity!H15)</f>
        <v/>
      </c>
      <c r="Q10" t="inlineStr">
        <is>
          <t>ring</t>
        </is>
      </c>
    </row>
    <row r="11">
      <c r="A11" t="inlineStr">
        <is>
          <t>ALL</t>
        </is>
      </c>
      <c r="B11" t="inlineStr">
        <is>
          <t>normal</t>
        </is>
      </c>
      <c r="C11" t="n">
        <v>1</v>
      </c>
      <c r="D11" t="inlineStr">
        <is>
          <t>Defense %</t>
        </is>
      </c>
      <c r="E11" t="n">
        <v>3</v>
      </c>
      <c r="F11" t="n">
        <v>9</v>
      </c>
      <c r="G11" t="b">
        <v>0</v>
      </c>
      <c r="H11" t="inlineStr">
        <is>
          <t>0</t>
        </is>
      </c>
      <c r="J11" t="inlineStr">
        <is>
          <t>Damage %</t>
        </is>
      </c>
      <c r="K11">
        <f>Sensitivity!H8</f>
        <v/>
      </c>
      <c r="Q11" t="inlineStr">
        <is>
          <t>neck</t>
        </is>
      </c>
    </row>
    <row r="12">
      <c r="A12" t="inlineStr">
        <is>
          <t>ALL</t>
        </is>
      </c>
      <c r="B12" t="inlineStr">
        <is>
          <t>normal</t>
        </is>
      </c>
      <c r="C12" t="n">
        <v>1</v>
      </c>
      <c r="D12" t="inlineStr">
        <is>
          <t>Max HP %</t>
        </is>
      </c>
      <c r="E12" t="n">
        <v>6</v>
      </c>
      <c r="F12" t="n">
        <v>9</v>
      </c>
      <c r="G12" t="b">
        <v>0</v>
      </c>
      <c r="H12" t="inlineStr">
        <is>
          <t>0</t>
        </is>
      </c>
      <c r="J12" t="inlineStr">
        <is>
          <t>Defense %</t>
        </is>
      </c>
      <c r="K12" t="inlineStr">
        <is>
          <t>0</t>
        </is>
      </c>
      <c r="Q12" t="inlineStr">
        <is>
          <t>eye-accessory</t>
        </is>
      </c>
    </row>
    <row r="13">
      <c r="A13" t="inlineStr">
        <is>
          <t>ALL</t>
        </is>
      </c>
      <c r="B13" t="inlineStr">
        <is>
          <t>normal</t>
        </is>
      </c>
      <c r="C13" t="n">
        <v>1</v>
      </c>
      <c r="D13" t="inlineStr">
        <is>
          <t>Max MP %</t>
        </is>
      </c>
      <c r="E13" t="n">
        <v>3</v>
      </c>
      <c r="F13" t="n">
        <v>9</v>
      </c>
      <c r="G13" t="b">
        <v>0</v>
      </c>
      <c r="H13" t="inlineStr">
        <is>
          <t>0</t>
        </is>
      </c>
      <c r="J13" t="inlineStr">
        <is>
          <t>Defense Penetration</t>
        </is>
      </c>
      <c r="K13">
        <f>Sensitivity!H18</f>
        <v/>
      </c>
      <c r="Q13" t="inlineStr">
        <is>
          <t>ring2</t>
        </is>
      </c>
    </row>
    <row r="14">
      <c r="A14" t="inlineStr">
        <is>
          <t>ALL</t>
        </is>
      </c>
      <c r="B14" t="inlineStr">
        <is>
          <t>normal</t>
        </is>
      </c>
      <c r="C14" t="n">
        <v>1</v>
      </c>
      <c r="D14" t="inlineStr">
        <is>
          <t>Str</t>
        </is>
      </c>
      <c r="E14" t="n">
        <v>50</v>
      </c>
      <c r="F14" t="n">
        <v>9.5</v>
      </c>
      <c r="G14" t="b">
        <v>0</v>
      </c>
      <c r="H14" t="inlineStr">
        <is>
          <t>0</t>
        </is>
      </c>
      <c r="J14" t="inlineStr">
        <is>
          <t>Dex</t>
        </is>
      </c>
      <c r="K14">
        <f>Sensitivity!H7</f>
        <v/>
      </c>
      <c r="Q14" t="inlineStr">
        <is>
          <t>face</t>
        </is>
      </c>
    </row>
    <row r="15">
      <c r="A15" t="inlineStr">
        <is>
          <t>ALL</t>
        </is>
      </c>
      <c r="B15" t="inlineStr">
        <is>
          <t>normal</t>
        </is>
      </c>
      <c r="C15" t="n">
        <v>1</v>
      </c>
      <c r="D15" t="inlineStr">
        <is>
          <t>Dex</t>
        </is>
      </c>
      <c r="E15" t="n">
        <v>50</v>
      </c>
      <c r="F15" t="n">
        <v>9.5</v>
      </c>
      <c r="G15" t="b">
        <v>0</v>
      </c>
      <c r="H15">
        <f>Sensitivity!H7</f>
        <v/>
      </c>
      <c r="J15" t="inlineStr">
        <is>
          <t>Dex %</t>
        </is>
      </c>
      <c r="K15">
        <f>Sensitivity!H7</f>
        <v/>
      </c>
      <c r="Q15" t="inlineStr">
        <is>
          <t>earrings</t>
        </is>
      </c>
    </row>
    <row r="16">
      <c r="A16" t="inlineStr">
        <is>
          <t>ALL</t>
        </is>
      </c>
      <c r="B16" t="inlineStr">
        <is>
          <t>normal</t>
        </is>
      </c>
      <c r="C16" t="n">
        <v>1</v>
      </c>
      <c r="D16" t="inlineStr">
        <is>
          <t>Int</t>
        </is>
      </c>
      <c r="E16" t="n">
        <v>50</v>
      </c>
      <c r="F16" t="n">
        <v>9.5</v>
      </c>
      <c r="G16" t="b">
        <v>0</v>
      </c>
      <c r="H16" t="inlineStr">
        <is>
          <t>0</t>
        </is>
      </c>
      <c r="J16" t="inlineStr">
        <is>
          <t>Final Damage %</t>
        </is>
      </c>
      <c r="K16">
        <f>Sensitivity!H12</f>
        <v/>
      </c>
      <c r="Q16" t="inlineStr">
        <is>
          <t>pocket</t>
        </is>
      </c>
    </row>
    <row r="17">
      <c r="A17" t="inlineStr">
        <is>
          <t>ALL</t>
        </is>
      </c>
      <c r="B17" t="inlineStr">
        <is>
          <t>normal</t>
        </is>
      </c>
      <c r="C17" t="n">
        <v>1</v>
      </c>
      <c r="D17" t="inlineStr">
        <is>
          <t>Luk</t>
        </is>
      </c>
      <c r="E17" t="n">
        <v>50</v>
      </c>
      <c r="F17" t="n">
        <v>9.5</v>
      </c>
      <c r="G17" t="b">
        <v>0</v>
      </c>
      <c r="H17" t="inlineStr">
        <is>
          <t>0</t>
        </is>
      </c>
      <c r="J17" t="inlineStr">
        <is>
          <t>Int</t>
        </is>
      </c>
      <c r="K17" t="inlineStr">
        <is>
          <t>0</t>
        </is>
      </c>
    </row>
    <row r="18">
      <c r="A18" t="inlineStr">
        <is>
          <t>ALL</t>
        </is>
      </c>
      <c r="B18" t="inlineStr">
        <is>
          <t>normal</t>
        </is>
      </c>
      <c r="C18" t="n">
        <v>2</v>
      </c>
      <c r="D18" t="inlineStr">
        <is>
          <t>Critical Rate %</t>
        </is>
      </c>
      <c r="E18" t="n">
        <v>3</v>
      </c>
      <c r="F18" t="n">
        <v>2.5</v>
      </c>
      <c r="G18" t="b">
        <v>0</v>
      </c>
      <c r="H18">
        <f>IF(Inputs!$B$8&gt;=100,Sensitivity!H16,Sensitivity!H15)</f>
        <v/>
      </c>
      <c r="J18" t="inlineStr">
        <is>
          <t>Int %</t>
        </is>
      </c>
      <c r="K18" t="inlineStr">
        <is>
          <t>0</t>
        </is>
      </c>
    </row>
    <row r="19">
      <c r="A19" t="inlineStr">
        <is>
          <t>ALL</t>
        </is>
      </c>
      <c r="B19" t="inlineStr">
        <is>
          <t>normal</t>
        </is>
      </c>
      <c r="C19" t="n">
        <v>2</v>
      </c>
      <c r="D19" t="inlineStr">
        <is>
          <t>Attack Speed %</t>
        </is>
      </c>
      <c r="E19" t="n">
        <v>3</v>
      </c>
      <c r="F19" t="n">
        <v>2.5</v>
      </c>
      <c r="G19" t="b">
        <v>0</v>
      </c>
      <c r="H19">
        <f>Sensitivity!H17</f>
        <v/>
      </c>
      <c r="J19" t="inlineStr">
        <is>
          <t>Luk</t>
        </is>
      </c>
      <c r="K19" t="inlineStr">
        <is>
          <t>0</t>
        </is>
      </c>
    </row>
    <row r="20">
      <c r="A20" t="inlineStr">
        <is>
          <t>ALL</t>
        </is>
      </c>
      <c r="B20" t="inlineStr">
        <is>
          <t>normal</t>
        </is>
      </c>
      <c r="C20" t="n">
        <v>2</v>
      </c>
      <c r="D20" t="inlineStr">
        <is>
          <t>Damage %</t>
        </is>
      </c>
      <c r="E20" t="n">
        <v>5</v>
      </c>
      <c r="F20" t="n">
        <v>4</v>
      </c>
      <c r="G20" t="b">
        <v>0</v>
      </c>
      <c r="H20">
        <f>Sensitivity!H8</f>
        <v/>
      </c>
      <c r="J20" t="inlineStr">
        <is>
          <t>Luk %</t>
        </is>
      </c>
      <c r="K20" t="inlineStr">
        <is>
          <t>0</t>
        </is>
      </c>
    </row>
    <row r="21">
      <c r="A21" t="inlineStr">
        <is>
          <t>ALL</t>
        </is>
      </c>
      <c r="B21" t="inlineStr">
        <is>
          <t>normal</t>
        </is>
      </c>
      <c r="C21" t="n">
        <v>2</v>
      </c>
      <c r="D21" t="inlineStr">
        <is>
          <t>Min Damage Multiplier %</t>
        </is>
      </c>
      <c r="E21" t="n">
        <v>3</v>
      </c>
      <c r="F21" t="n">
        <v>4</v>
      </c>
      <c r="G21" t="b">
        <v>0</v>
      </c>
      <c r="H21">
        <f>Sensitivity!H13</f>
        <v/>
      </c>
      <c r="J21" t="inlineStr">
        <is>
          <t>Main Stat % per 4 Levels</t>
        </is>
      </c>
      <c r="K21">
        <f>Sensitivity!H6*INT(Inputs!$B$3/4)</f>
        <v/>
      </c>
    </row>
    <row r="22">
      <c r="A22" t="inlineStr">
        <is>
          <t>ALL</t>
        </is>
      </c>
      <c r="B22" t="inlineStr">
        <is>
          <t>normal</t>
        </is>
      </c>
      <c r="C22" t="n">
        <v>2</v>
      </c>
      <c r="D22" t="inlineStr">
        <is>
          <t>Max Damage Multiplier %</t>
        </is>
      </c>
      <c r="E22" t="n">
        <v>3</v>
      </c>
      <c r="F22" t="n">
        <v>4</v>
      </c>
      <c r="G22" t="b">
        <v>0</v>
      </c>
      <c r="H22">
        <f>Sensitivity!H14</f>
        <v/>
      </c>
      <c r="J22" t="inlineStr">
        <is>
          <t>Main Stat Per Level</t>
        </is>
      </c>
      <c r="K22">
        <f>Sensitivity!H5*Inputs!$B$3</f>
        <v/>
      </c>
    </row>
    <row r="23">
      <c r="A23" t="inlineStr">
        <is>
          <t>ALL</t>
        </is>
      </c>
      <c r="B23" t="inlineStr">
        <is>
          <t>normal</t>
        </is>
      </c>
      <c r="C23" t="n">
        <v>2</v>
      </c>
      <c r="D23" t="inlineStr">
        <is>
          <t>Str %</t>
        </is>
      </c>
      <c r="E23" t="n">
        <v>3</v>
      </c>
      <c r="F23" t="n">
        <v>4.5</v>
      </c>
      <c r="G23" t="b">
        <v>0</v>
      </c>
      <c r="H23" t="inlineStr">
        <is>
          <t>0</t>
        </is>
      </c>
      <c r="J23" t="inlineStr">
        <is>
          <t>Max Damage Multiplier %</t>
        </is>
      </c>
      <c r="K23">
        <f>Sensitivity!H14</f>
        <v/>
      </c>
    </row>
    <row r="24">
      <c r="A24" t="inlineStr">
        <is>
          <t>ALL</t>
        </is>
      </c>
      <c r="B24" t="inlineStr">
        <is>
          <t>normal</t>
        </is>
      </c>
      <c r="C24" t="n">
        <v>2</v>
      </c>
      <c r="D24" t="inlineStr">
        <is>
          <t>Dex %</t>
        </is>
      </c>
      <c r="E24" t="n">
        <v>3</v>
      </c>
      <c r="F24" t="n">
        <v>4.5</v>
      </c>
      <c r="G24" t="b">
        <v>0</v>
      </c>
      <c r="H24">
        <f>Sensitivity!H7</f>
        <v/>
      </c>
      <c r="J24" t="inlineStr">
        <is>
          <t>Max HP %</t>
        </is>
      </c>
      <c r="K24" t="inlineStr">
        <is>
          <t>0</t>
        </is>
      </c>
    </row>
    <row r="25">
      <c r="A25" t="inlineStr">
        <is>
          <t>ALL</t>
        </is>
      </c>
      <c r="B25" t="inlineStr">
        <is>
          <t>normal</t>
        </is>
      </c>
      <c r="C25" t="n">
        <v>2</v>
      </c>
      <c r="D25" t="inlineStr">
        <is>
          <t>Int %</t>
        </is>
      </c>
      <c r="E25" t="n">
        <v>3</v>
      </c>
      <c r="F25" t="n">
        <v>4.5</v>
      </c>
      <c r="G25" t="b">
        <v>0</v>
      </c>
      <c r="H25" t="inlineStr">
        <is>
          <t>0</t>
        </is>
      </c>
      <c r="J25" t="inlineStr">
        <is>
          <t>Max MP %</t>
        </is>
      </c>
      <c r="K25" t="inlineStr">
        <is>
          <t>0</t>
        </is>
      </c>
    </row>
    <row r="26">
      <c r="A26" t="inlineStr">
        <is>
          <t>ALL</t>
        </is>
      </c>
      <c r="B26" t="inlineStr">
        <is>
          <t>normal</t>
        </is>
      </c>
      <c r="C26" t="n">
        <v>2</v>
      </c>
      <c r="D26" t="inlineStr">
        <is>
          <t>Luk %</t>
        </is>
      </c>
      <c r="E26" t="n">
        <v>3</v>
      </c>
      <c r="F26" t="n">
        <v>4.5</v>
      </c>
      <c r="G26" t="b">
        <v>0</v>
      </c>
      <c r="H26" t="inlineStr">
        <is>
          <t>0</t>
        </is>
      </c>
      <c r="J26" t="inlineStr">
        <is>
          <t>Min Damage Multiplier %</t>
        </is>
      </c>
      <c r="K26">
        <f>Sensitivity!H13</f>
        <v/>
      </c>
    </row>
    <row r="27">
      <c r="A27" t="inlineStr">
        <is>
          <t>ALL</t>
        </is>
      </c>
      <c r="B27" t="inlineStr">
        <is>
          <t>normal</t>
        </is>
      </c>
      <c r="C27" t="n">
        <v>2</v>
      </c>
      <c r="D27" t="inlineStr">
        <is>
          <t>Defense %</t>
        </is>
      </c>
      <c r="E27" t="n">
        <v>3</v>
      </c>
      <c r="F27" t="n">
        <v>9</v>
      </c>
      <c r="G27" t="b">
        <v>0</v>
      </c>
      <c r="H27" t="inlineStr">
        <is>
          <t>0</t>
        </is>
      </c>
      <c r="J27" t="inlineStr">
        <is>
          <t>Skill Cooldown Decrease (seconds)</t>
        </is>
      </c>
      <c r="K27">
        <f>Sensitivity!H28</f>
        <v/>
      </c>
    </row>
    <row r="28">
      <c r="A28" t="inlineStr">
        <is>
          <t>ALL</t>
        </is>
      </c>
      <c r="B28" t="inlineStr">
        <is>
          <t>normal</t>
        </is>
      </c>
      <c r="C28" t="n">
        <v>2</v>
      </c>
      <c r="D28" t="inlineStr">
        <is>
          <t>Max HP %</t>
        </is>
      </c>
      <c r="E28" t="n">
        <v>6</v>
      </c>
      <c r="F28" t="n">
        <v>9</v>
      </c>
      <c r="G28" t="b">
        <v>0</v>
      </c>
      <c r="H28" t="inlineStr">
        <is>
          <t>0</t>
        </is>
      </c>
      <c r="J28" t="inlineStr">
        <is>
          <t>Skill Damage %</t>
        </is>
      </c>
      <c r="K28">
        <f>Sensitivity!H20</f>
        <v/>
      </c>
    </row>
    <row r="29">
      <c r="A29" t="inlineStr">
        <is>
          <t>ALL</t>
        </is>
      </c>
      <c r="B29" t="inlineStr">
        <is>
          <t>normal</t>
        </is>
      </c>
      <c r="C29" t="n">
        <v>2</v>
      </c>
      <c r="D29" t="inlineStr">
        <is>
          <t>Max MP %</t>
        </is>
      </c>
      <c r="E29" t="n">
        <v>3</v>
      </c>
      <c r="F29" t="n">
        <v>9</v>
      </c>
      <c r="G29" t="b">
        <v>0</v>
      </c>
      <c r="H29" t="inlineStr">
        <is>
          <t>0</t>
        </is>
      </c>
      <c r="J29" t="inlineStr">
        <is>
          <t>Str</t>
        </is>
      </c>
      <c r="K29" t="inlineStr">
        <is>
          <t>0</t>
        </is>
      </c>
    </row>
    <row r="30">
      <c r="A30" t="inlineStr">
        <is>
          <t>ALL</t>
        </is>
      </c>
      <c r="B30" t="inlineStr">
        <is>
          <t>normal</t>
        </is>
      </c>
      <c r="C30" t="n">
        <v>2</v>
      </c>
      <c r="D30" t="inlineStr">
        <is>
          <t>Str</t>
        </is>
      </c>
      <c r="E30" t="n">
        <v>50</v>
      </c>
      <c r="F30" t="n">
        <v>9.5</v>
      </c>
      <c r="G30" t="b">
        <v>0</v>
      </c>
      <c r="H30" t="inlineStr">
        <is>
          <t>0</t>
        </is>
      </c>
      <c r="J30" t="inlineStr">
        <is>
          <t>Str %</t>
        </is>
      </c>
      <c r="K30" t="inlineStr">
        <is>
          <t>0</t>
        </is>
      </c>
    </row>
    <row r="31">
      <c r="A31" t="inlineStr">
        <is>
          <t>ALL</t>
        </is>
      </c>
      <c r="B31" t="inlineStr">
        <is>
          <t>normal</t>
        </is>
      </c>
      <c r="C31" t="n">
        <v>2</v>
      </c>
      <c r="D31" t="inlineStr">
        <is>
          <t>Dex</t>
        </is>
      </c>
      <c r="E31" t="n">
        <v>50</v>
      </c>
      <c r="F31" t="n">
        <v>9.5</v>
      </c>
      <c r="G31" t="b">
        <v>0</v>
      </c>
      <c r="H31">
        <f>Sensitivity!H7</f>
        <v/>
      </c>
    </row>
    <row r="32">
      <c r="A32" t="inlineStr">
        <is>
          <t>ALL</t>
        </is>
      </c>
      <c r="B32" t="inlineStr">
        <is>
          <t>normal</t>
        </is>
      </c>
      <c r="C32" t="n">
        <v>2</v>
      </c>
      <c r="D32" t="inlineStr">
        <is>
          <t>Int</t>
        </is>
      </c>
      <c r="E32" t="n">
        <v>50</v>
      </c>
      <c r="F32" t="n">
        <v>9.5</v>
      </c>
      <c r="G32" t="b">
        <v>0</v>
      </c>
      <c r="H32" t="inlineStr">
        <is>
          <t>0</t>
        </is>
      </c>
    </row>
    <row r="33">
      <c r="A33" t="inlineStr">
        <is>
          <t>ALL</t>
        </is>
      </c>
      <c r="B33" t="inlineStr">
        <is>
          <t>normal</t>
        </is>
      </c>
      <c r="C33" t="n">
        <v>2</v>
      </c>
      <c r="D33" t="inlineStr">
        <is>
          <t>Luk</t>
        </is>
      </c>
      <c r="E33" t="n">
        <v>50</v>
      </c>
      <c r="F33" t="n">
        <v>9.5</v>
      </c>
      <c r="G33" t="b">
        <v>0</v>
      </c>
      <c r="H33" t="inlineStr">
        <is>
          <t>0</t>
        </is>
      </c>
    </row>
    <row r="34">
      <c r="A34" t="inlineStr">
        <is>
          <t>ALL</t>
        </is>
      </c>
      <c r="B34" t="inlineStr">
        <is>
          <t>normal</t>
        </is>
      </c>
      <c r="C34" t="n">
        <v>3</v>
      </c>
      <c r="D34" t="inlineStr">
        <is>
          <t>Critical Rate %</t>
        </is>
      </c>
      <c r="E34" t="n">
        <v>3</v>
      </c>
      <c r="F34" t="n">
        <v>2.5</v>
      </c>
      <c r="G34" t="b">
        <v>0</v>
      </c>
      <c r="H34">
        <f>IF(Inputs!$B$8&gt;=100,Sensitivity!H16,Sensitivity!H15)</f>
        <v/>
      </c>
    </row>
    <row r="35">
      <c r="A35" t="inlineStr">
        <is>
          <t>ALL</t>
        </is>
      </c>
      <c r="B35" t="inlineStr">
        <is>
          <t>normal</t>
        </is>
      </c>
      <c r="C35" t="n">
        <v>3</v>
      </c>
      <c r="D35" t="inlineStr">
        <is>
          <t>Attack Speed %</t>
        </is>
      </c>
      <c r="E35" t="n">
        <v>3</v>
      </c>
      <c r="F35" t="n">
        <v>2.5</v>
      </c>
      <c r="G35" t="b">
        <v>0</v>
      </c>
      <c r="H35">
        <f>Sensitivity!H17</f>
        <v/>
      </c>
    </row>
    <row r="36">
      <c r="A36" t="inlineStr">
        <is>
          <t>ALL</t>
        </is>
      </c>
      <c r="B36" t="inlineStr">
        <is>
          <t>normal</t>
        </is>
      </c>
      <c r="C36" t="n">
        <v>3</v>
      </c>
      <c r="D36" t="inlineStr">
        <is>
          <t>Damage %</t>
        </is>
      </c>
      <c r="E36" t="n">
        <v>5</v>
      </c>
      <c r="F36" t="n">
        <v>4</v>
      </c>
      <c r="G36" t="b">
        <v>0</v>
      </c>
      <c r="H36">
        <f>Sensitivity!H8</f>
        <v/>
      </c>
    </row>
    <row r="37">
      <c r="A37" t="inlineStr">
        <is>
          <t>ALL</t>
        </is>
      </c>
      <c r="B37" t="inlineStr">
        <is>
          <t>normal</t>
        </is>
      </c>
      <c r="C37" t="n">
        <v>3</v>
      </c>
      <c r="D37" t="inlineStr">
        <is>
          <t>Min Damage Multiplier %</t>
        </is>
      </c>
      <c r="E37" t="n">
        <v>3</v>
      </c>
      <c r="F37" t="n">
        <v>4</v>
      </c>
      <c r="G37" t="b">
        <v>0</v>
      </c>
      <c r="H37">
        <f>Sensitivity!H13</f>
        <v/>
      </c>
    </row>
    <row r="38">
      <c r="A38" t="inlineStr">
        <is>
          <t>ALL</t>
        </is>
      </c>
      <c r="B38" t="inlineStr">
        <is>
          <t>normal</t>
        </is>
      </c>
      <c r="C38" t="n">
        <v>3</v>
      </c>
      <c r="D38" t="inlineStr">
        <is>
          <t>Max Damage Multiplier %</t>
        </is>
      </c>
      <c r="E38" t="n">
        <v>3</v>
      </c>
      <c r="F38" t="n">
        <v>4</v>
      </c>
      <c r="G38" t="b">
        <v>0</v>
      </c>
      <c r="H38">
        <f>Sensitivity!H14</f>
        <v/>
      </c>
    </row>
    <row r="39">
      <c r="A39" t="inlineStr">
        <is>
          <t>ALL</t>
        </is>
      </c>
      <c r="B39" t="inlineStr">
        <is>
          <t>normal</t>
        </is>
      </c>
      <c r="C39" t="n">
        <v>3</v>
      </c>
      <c r="D39" t="inlineStr">
        <is>
          <t>Str %</t>
        </is>
      </c>
      <c r="E39" t="n">
        <v>3</v>
      </c>
      <c r="F39" t="n">
        <v>4.5</v>
      </c>
      <c r="G39" t="b">
        <v>0</v>
      </c>
      <c r="H39" t="inlineStr">
        <is>
          <t>0</t>
        </is>
      </c>
    </row>
    <row r="40">
      <c r="A40" t="inlineStr">
        <is>
          <t>ALL</t>
        </is>
      </c>
      <c r="B40" t="inlineStr">
        <is>
          <t>normal</t>
        </is>
      </c>
      <c r="C40" t="n">
        <v>3</v>
      </c>
      <c r="D40" t="inlineStr">
        <is>
          <t>Dex %</t>
        </is>
      </c>
      <c r="E40" t="n">
        <v>3</v>
      </c>
      <c r="F40" t="n">
        <v>4.5</v>
      </c>
      <c r="G40" t="b">
        <v>0</v>
      </c>
      <c r="H40">
        <f>Sensitivity!H7</f>
        <v/>
      </c>
    </row>
    <row r="41">
      <c r="A41" t="inlineStr">
        <is>
          <t>ALL</t>
        </is>
      </c>
      <c r="B41" t="inlineStr">
        <is>
          <t>normal</t>
        </is>
      </c>
      <c r="C41" t="n">
        <v>3</v>
      </c>
      <c r="D41" t="inlineStr">
        <is>
          <t>Int %</t>
        </is>
      </c>
      <c r="E41" t="n">
        <v>3</v>
      </c>
      <c r="F41" t="n">
        <v>4.5</v>
      </c>
      <c r="G41" t="b">
        <v>0</v>
      </c>
      <c r="H41" t="inlineStr">
        <is>
          <t>0</t>
        </is>
      </c>
    </row>
    <row r="42">
      <c r="A42" t="inlineStr">
        <is>
          <t>ALL</t>
        </is>
      </c>
      <c r="B42" t="inlineStr">
        <is>
          <t>normal</t>
        </is>
      </c>
      <c r="C42" t="n">
        <v>3</v>
      </c>
      <c r="D42" t="inlineStr">
        <is>
          <t>Luk %</t>
        </is>
      </c>
      <c r="E42" t="n">
        <v>3</v>
      </c>
      <c r="F42" t="n">
        <v>4.5</v>
      </c>
      <c r="G42" t="b">
        <v>0</v>
      </c>
      <c r="H42" t="inlineStr">
        <is>
          <t>0</t>
        </is>
      </c>
    </row>
    <row r="43">
      <c r="A43" t="inlineStr">
        <is>
          <t>ALL</t>
        </is>
      </c>
      <c r="B43" t="inlineStr">
        <is>
          <t>normal</t>
        </is>
      </c>
      <c r="C43" t="n">
        <v>3</v>
      </c>
      <c r="D43" t="inlineStr">
        <is>
          <t>Defense %</t>
        </is>
      </c>
      <c r="E43" t="n">
        <v>3</v>
      </c>
      <c r="F43" t="n">
        <v>9</v>
      </c>
      <c r="G43" t="b">
        <v>0</v>
      </c>
      <c r="H43" t="inlineStr">
        <is>
          <t>0</t>
        </is>
      </c>
    </row>
    <row r="44">
      <c r="A44" t="inlineStr">
        <is>
          <t>ALL</t>
        </is>
      </c>
      <c r="B44" t="inlineStr">
        <is>
          <t>normal</t>
        </is>
      </c>
      <c r="C44" t="n">
        <v>3</v>
      </c>
      <c r="D44" t="inlineStr">
        <is>
          <t>Max HP %</t>
        </is>
      </c>
      <c r="E44" t="n">
        <v>6</v>
      </c>
      <c r="F44" t="n">
        <v>9</v>
      </c>
      <c r="G44" t="b">
        <v>0</v>
      </c>
      <c r="H44" t="inlineStr">
        <is>
          <t>0</t>
        </is>
      </c>
    </row>
    <row r="45">
      <c r="A45" t="inlineStr">
        <is>
          <t>ALL</t>
        </is>
      </c>
      <c r="B45" t="inlineStr">
        <is>
          <t>normal</t>
        </is>
      </c>
      <c r="C45" t="n">
        <v>3</v>
      </c>
      <c r="D45" t="inlineStr">
        <is>
          <t>Max MP %</t>
        </is>
      </c>
      <c r="E45" t="n">
        <v>3</v>
      </c>
      <c r="F45" t="n">
        <v>9</v>
      </c>
      <c r="G45" t="b">
        <v>0</v>
      </c>
      <c r="H45" t="inlineStr">
        <is>
          <t>0</t>
        </is>
      </c>
    </row>
    <row r="46">
      <c r="A46" t="inlineStr">
        <is>
          <t>ALL</t>
        </is>
      </c>
      <c r="B46" t="inlineStr">
        <is>
          <t>normal</t>
        </is>
      </c>
      <c r="C46" t="n">
        <v>3</v>
      </c>
      <c r="D46" t="inlineStr">
        <is>
          <t>Str</t>
        </is>
      </c>
      <c r="E46" t="n">
        <v>50</v>
      </c>
      <c r="F46" t="n">
        <v>9.5</v>
      </c>
      <c r="G46" t="b">
        <v>0</v>
      </c>
      <c r="H46" t="inlineStr">
        <is>
          <t>0</t>
        </is>
      </c>
    </row>
    <row r="47">
      <c r="A47" t="inlineStr">
        <is>
          <t>ALL</t>
        </is>
      </c>
      <c r="B47" t="inlineStr">
        <is>
          <t>normal</t>
        </is>
      </c>
      <c r="C47" t="n">
        <v>3</v>
      </c>
      <c r="D47" t="inlineStr">
        <is>
          <t>Dex</t>
        </is>
      </c>
      <c r="E47" t="n">
        <v>50</v>
      </c>
      <c r="F47" t="n">
        <v>9.5</v>
      </c>
      <c r="G47" t="b">
        <v>0</v>
      </c>
      <c r="H47">
        <f>Sensitivity!H7</f>
        <v/>
      </c>
    </row>
    <row r="48">
      <c r="A48" t="inlineStr">
        <is>
          <t>ALL</t>
        </is>
      </c>
      <c r="B48" t="inlineStr">
        <is>
          <t>normal</t>
        </is>
      </c>
      <c r="C48" t="n">
        <v>3</v>
      </c>
      <c r="D48" t="inlineStr">
        <is>
          <t>Int</t>
        </is>
      </c>
      <c r="E48" t="n">
        <v>50</v>
      </c>
      <c r="F48" t="n">
        <v>9.5</v>
      </c>
      <c r="G48" t="b">
        <v>0</v>
      </c>
      <c r="H48" t="inlineStr">
        <is>
          <t>0</t>
        </is>
      </c>
    </row>
    <row r="49">
      <c r="A49" t="inlineStr">
        <is>
          <t>ALL</t>
        </is>
      </c>
      <c r="B49" t="inlineStr">
        <is>
          <t>normal</t>
        </is>
      </c>
      <c r="C49" t="n">
        <v>3</v>
      </c>
      <c r="D49" t="inlineStr">
        <is>
          <t>Luk</t>
        </is>
      </c>
      <c r="E49" t="n">
        <v>50</v>
      </c>
      <c r="F49" t="n">
        <v>9.5</v>
      </c>
      <c r="G49" t="b">
        <v>0</v>
      </c>
      <c r="H49" t="inlineStr">
        <is>
          <t>0</t>
        </is>
      </c>
    </row>
    <row r="50">
      <c r="A50" t="inlineStr">
        <is>
          <t>ALL</t>
        </is>
      </c>
      <c r="B50" t="inlineStr">
        <is>
          <t>rare</t>
        </is>
      </c>
      <c r="C50" t="n">
        <v>1</v>
      </c>
      <c r="D50" t="inlineStr">
        <is>
          <t>Critical Rate %</t>
        </is>
      </c>
      <c r="E50" t="n">
        <v>4.5</v>
      </c>
      <c r="F50" t="n">
        <v>2.5</v>
      </c>
      <c r="G50" t="b">
        <v>1</v>
      </c>
      <c r="H50">
        <f>IF(Inputs!$B$8&gt;=100,Sensitivity!H16,Sensitivity!H15)</f>
        <v/>
      </c>
    </row>
    <row r="51">
      <c r="A51" t="inlineStr">
        <is>
          <t>ALL</t>
        </is>
      </c>
      <c r="B51" t="inlineStr">
        <is>
          <t>rare</t>
        </is>
      </c>
      <c r="C51" t="n">
        <v>1</v>
      </c>
      <c r="D51" t="inlineStr">
        <is>
          <t>Attack Speed %</t>
        </is>
      </c>
      <c r="E51" t="n">
        <v>3.5</v>
      </c>
      <c r="F51" t="n">
        <v>2.5</v>
      </c>
      <c r="G51" t="b">
        <v>1</v>
      </c>
      <c r="H51">
        <f>Sensitivity!H17</f>
        <v/>
      </c>
    </row>
    <row r="52">
      <c r="A52" t="inlineStr">
        <is>
          <t>ALL</t>
        </is>
      </c>
      <c r="B52" t="inlineStr">
        <is>
          <t>rare</t>
        </is>
      </c>
      <c r="C52" t="n">
        <v>1</v>
      </c>
      <c r="D52" t="inlineStr">
        <is>
          <t>Damage %</t>
        </is>
      </c>
      <c r="E52" t="n">
        <v>8</v>
      </c>
      <c r="F52" t="n">
        <v>4</v>
      </c>
      <c r="G52" t="b">
        <v>1</v>
      </c>
      <c r="H52">
        <f>Sensitivity!H8</f>
        <v/>
      </c>
    </row>
    <row r="53">
      <c r="A53" t="inlineStr">
        <is>
          <t>ALL</t>
        </is>
      </c>
      <c r="B53" t="inlineStr">
        <is>
          <t>rare</t>
        </is>
      </c>
      <c r="C53" t="n">
        <v>1</v>
      </c>
      <c r="D53" t="inlineStr">
        <is>
          <t>Min Damage Multiplier %</t>
        </is>
      </c>
      <c r="E53" t="n">
        <v>6</v>
      </c>
      <c r="F53" t="n">
        <v>4</v>
      </c>
      <c r="G53" t="b">
        <v>1</v>
      </c>
      <c r="H53">
        <f>Sensitivity!H13</f>
        <v/>
      </c>
    </row>
    <row r="54">
      <c r="A54" t="inlineStr">
        <is>
          <t>ALL</t>
        </is>
      </c>
      <c r="B54" t="inlineStr">
        <is>
          <t>rare</t>
        </is>
      </c>
      <c r="C54" t="n">
        <v>1</v>
      </c>
      <c r="D54" t="inlineStr">
        <is>
          <t>Max Damage Multiplier %</t>
        </is>
      </c>
      <c r="E54" t="n">
        <v>6</v>
      </c>
      <c r="F54" t="n">
        <v>4</v>
      </c>
      <c r="G54" t="b">
        <v>1</v>
      </c>
      <c r="H54">
        <f>Sensitivity!H14</f>
        <v/>
      </c>
    </row>
    <row r="55">
      <c r="A55" t="inlineStr">
        <is>
          <t>ALL</t>
        </is>
      </c>
      <c r="B55" t="inlineStr">
        <is>
          <t>rare</t>
        </is>
      </c>
      <c r="C55" t="n">
        <v>1</v>
      </c>
      <c r="D55" t="inlineStr">
        <is>
          <t>Str %</t>
        </is>
      </c>
      <c r="E55" t="n">
        <v>4.5</v>
      </c>
      <c r="F55" t="n">
        <v>4.5</v>
      </c>
      <c r="G55" t="b">
        <v>1</v>
      </c>
      <c r="H55" t="inlineStr">
        <is>
          <t>0</t>
        </is>
      </c>
    </row>
    <row r="56">
      <c r="A56" t="inlineStr">
        <is>
          <t>ALL</t>
        </is>
      </c>
      <c r="B56" t="inlineStr">
        <is>
          <t>rare</t>
        </is>
      </c>
      <c r="C56" t="n">
        <v>1</v>
      </c>
      <c r="D56" t="inlineStr">
        <is>
          <t>Dex %</t>
        </is>
      </c>
      <c r="E56" t="n">
        <v>4.5</v>
      </c>
      <c r="F56" t="n">
        <v>4.5</v>
      </c>
      <c r="G56" t="b">
        <v>1</v>
      </c>
      <c r="H56">
        <f>Sensitivity!H7</f>
        <v/>
      </c>
    </row>
    <row r="57">
      <c r="A57" t="inlineStr">
        <is>
          <t>ALL</t>
        </is>
      </c>
      <c r="B57" t="inlineStr">
        <is>
          <t>rare</t>
        </is>
      </c>
      <c r="C57" t="n">
        <v>1</v>
      </c>
      <c r="D57" t="inlineStr">
        <is>
          <t>Int %</t>
        </is>
      </c>
      <c r="E57" t="n">
        <v>4.5</v>
      </c>
      <c r="F57" t="n">
        <v>4.5</v>
      </c>
      <c r="G57" t="b">
        <v>1</v>
      </c>
      <c r="H57" t="inlineStr">
        <is>
          <t>0</t>
        </is>
      </c>
    </row>
    <row r="58">
      <c r="A58" t="inlineStr">
        <is>
          <t>ALL</t>
        </is>
      </c>
      <c r="B58" t="inlineStr">
        <is>
          <t>rare</t>
        </is>
      </c>
      <c r="C58" t="n">
        <v>1</v>
      </c>
      <c r="D58" t="inlineStr">
        <is>
          <t>Luk %</t>
        </is>
      </c>
      <c r="E58" t="n">
        <v>4.5</v>
      </c>
      <c r="F58" t="n">
        <v>4.5</v>
      </c>
      <c r="G58" t="b">
        <v>1</v>
      </c>
      <c r="H58" t="inlineStr">
        <is>
          <t>0</t>
        </is>
      </c>
    </row>
    <row r="59">
      <c r="A59" t="inlineStr">
        <is>
          <t>ALL</t>
        </is>
      </c>
      <c r="B59" t="inlineStr">
        <is>
          <t>rare</t>
        </is>
      </c>
      <c r="C59" t="n">
        <v>1</v>
      </c>
      <c r="D59" t="inlineStr">
        <is>
          <t>Defense %</t>
        </is>
      </c>
      <c r="E59" t="n">
        <v>4.5</v>
      </c>
      <c r="F59" t="n">
        <v>9</v>
      </c>
      <c r="G59" t="b">
        <v>1</v>
      </c>
      <c r="H59" t="inlineStr">
        <is>
          <t>0</t>
        </is>
      </c>
    </row>
    <row r="60">
      <c r="A60" t="inlineStr">
        <is>
          <t>ALL</t>
        </is>
      </c>
      <c r="B60" t="inlineStr">
        <is>
          <t>rare</t>
        </is>
      </c>
      <c r="C60" t="n">
        <v>1</v>
      </c>
      <c r="D60" t="inlineStr">
        <is>
          <t>Max HP %</t>
        </is>
      </c>
      <c r="E60" t="n">
        <v>9</v>
      </c>
      <c r="F60" t="n">
        <v>9</v>
      </c>
      <c r="G60" t="b">
        <v>1</v>
      </c>
      <c r="H60" t="inlineStr">
        <is>
          <t>0</t>
        </is>
      </c>
    </row>
    <row r="61">
      <c r="A61" t="inlineStr">
        <is>
          <t>ALL</t>
        </is>
      </c>
      <c r="B61" t="inlineStr">
        <is>
          <t>rare</t>
        </is>
      </c>
      <c r="C61" t="n">
        <v>1</v>
      </c>
      <c r="D61" t="inlineStr">
        <is>
          <t>Max MP %</t>
        </is>
      </c>
      <c r="E61" t="n">
        <v>4.5</v>
      </c>
      <c r="F61" t="n">
        <v>9</v>
      </c>
      <c r="G61" t="b">
        <v>1</v>
      </c>
      <c r="H61" t="inlineStr">
        <is>
          <t>0</t>
        </is>
      </c>
    </row>
    <row r="62">
      <c r="A62" t="inlineStr">
        <is>
          <t>ALL</t>
        </is>
      </c>
      <c r="B62" t="inlineStr">
        <is>
          <t>rare</t>
        </is>
      </c>
      <c r="C62" t="n">
        <v>1</v>
      </c>
      <c r="D62" t="inlineStr">
        <is>
          <t>Str</t>
        </is>
      </c>
      <c r="E62" t="n">
        <v>100</v>
      </c>
      <c r="F62" t="n">
        <v>9.5</v>
      </c>
      <c r="G62" t="b">
        <v>1</v>
      </c>
      <c r="H62" t="inlineStr">
        <is>
          <t>0</t>
        </is>
      </c>
    </row>
    <row r="63">
      <c r="A63" t="inlineStr">
        <is>
          <t>ALL</t>
        </is>
      </c>
      <c r="B63" t="inlineStr">
        <is>
          <t>rare</t>
        </is>
      </c>
      <c r="C63" t="n">
        <v>1</v>
      </c>
      <c r="D63" t="inlineStr">
        <is>
          <t>Dex</t>
        </is>
      </c>
      <c r="E63" t="n">
        <v>100</v>
      </c>
      <c r="F63" t="n">
        <v>9.5</v>
      </c>
      <c r="G63" t="b">
        <v>1</v>
      </c>
      <c r="H63">
        <f>Sensitivity!H7</f>
        <v/>
      </c>
    </row>
    <row r="64">
      <c r="A64" t="inlineStr">
        <is>
          <t>ALL</t>
        </is>
      </c>
      <c r="B64" t="inlineStr">
        <is>
          <t>rare</t>
        </is>
      </c>
      <c r="C64" t="n">
        <v>1</v>
      </c>
      <c r="D64" t="inlineStr">
        <is>
          <t>Int</t>
        </is>
      </c>
      <c r="E64" t="n">
        <v>100</v>
      </c>
      <c r="F64" t="n">
        <v>9.5</v>
      </c>
      <c r="G64" t="b">
        <v>1</v>
      </c>
      <c r="H64" t="inlineStr">
        <is>
          <t>0</t>
        </is>
      </c>
    </row>
    <row r="65">
      <c r="A65" t="inlineStr">
        <is>
          <t>ALL</t>
        </is>
      </c>
      <c r="B65" t="inlineStr">
        <is>
          <t>rare</t>
        </is>
      </c>
      <c r="C65" t="n">
        <v>1</v>
      </c>
      <c r="D65" t="inlineStr">
        <is>
          <t>Luk</t>
        </is>
      </c>
      <c r="E65" t="n">
        <v>100</v>
      </c>
      <c r="F65" t="n">
        <v>9.5</v>
      </c>
      <c r="G65" t="b">
        <v>1</v>
      </c>
      <c r="H65" t="inlineStr">
        <is>
          <t>0</t>
        </is>
      </c>
    </row>
    <row r="66">
      <c r="A66" t="inlineStr">
        <is>
          <t>ALL</t>
        </is>
      </c>
      <c r="B66" t="inlineStr">
        <is>
          <t>rare</t>
        </is>
      </c>
      <c r="C66" t="n">
        <v>2</v>
      </c>
      <c r="D66" t="inlineStr">
        <is>
          <t>Critical Rate %</t>
        </is>
      </c>
      <c r="E66" t="n">
        <v>3</v>
      </c>
      <c r="F66" t="n">
        <v>1.9</v>
      </c>
      <c r="G66" t="b">
        <v>0</v>
      </c>
      <c r="H66">
        <f>IF(Inputs!$B$8&gt;=100,Sensitivity!H16,Sensitivity!H15)</f>
        <v/>
      </c>
    </row>
    <row r="67">
      <c r="A67" t="inlineStr">
        <is>
          <t>ALL</t>
        </is>
      </c>
      <c r="B67" t="inlineStr">
        <is>
          <t>rare</t>
        </is>
      </c>
      <c r="C67" t="n">
        <v>2</v>
      </c>
      <c r="D67" t="inlineStr">
        <is>
          <t>Critical Rate %</t>
        </is>
      </c>
      <c r="E67" t="n">
        <v>4.5</v>
      </c>
      <c r="F67" t="n">
        <v>0.6</v>
      </c>
      <c r="G67" t="b">
        <v>1</v>
      </c>
      <c r="H67">
        <f>IF(Inputs!$B$8&gt;=100,Sensitivity!H16,Sensitivity!H15)</f>
        <v/>
      </c>
    </row>
    <row r="68">
      <c r="A68" t="inlineStr">
        <is>
          <t>ALL</t>
        </is>
      </c>
      <c r="B68" t="inlineStr">
        <is>
          <t>rare</t>
        </is>
      </c>
      <c r="C68" t="n">
        <v>2</v>
      </c>
      <c r="D68" t="inlineStr">
        <is>
          <t>Attack Speed %</t>
        </is>
      </c>
      <c r="E68" t="n">
        <v>3</v>
      </c>
      <c r="F68" t="n">
        <v>1.9</v>
      </c>
      <c r="G68" t="b">
        <v>0</v>
      </c>
      <c r="H68">
        <f>Sensitivity!H17</f>
        <v/>
      </c>
    </row>
    <row r="69">
      <c r="A69" t="inlineStr">
        <is>
          <t>ALL</t>
        </is>
      </c>
      <c r="B69" t="inlineStr">
        <is>
          <t>rare</t>
        </is>
      </c>
      <c r="C69" t="n">
        <v>2</v>
      </c>
      <c r="D69" t="inlineStr">
        <is>
          <t>Attack Speed %</t>
        </is>
      </c>
      <c r="E69" t="n">
        <v>3.5</v>
      </c>
      <c r="F69" t="n">
        <v>0.6</v>
      </c>
      <c r="G69" t="b">
        <v>1</v>
      </c>
      <c r="H69">
        <f>Sensitivity!H17</f>
        <v/>
      </c>
    </row>
    <row r="70">
      <c r="A70" t="inlineStr">
        <is>
          <t>ALL</t>
        </is>
      </c>
      <c r="B70" t="inlineStr">
        <is>
          <t>rare</t>
        </is>
      </c>
      <c r="C70" t="n">
        <v>2</v>
      </c>
      <c r="D70" t="inlineStr">
        <is>
          <t>Damage %</t>
        </is>
      </c>
      <c r="E70" t="n">
        <v>5</v>
      </c>
      <c r="F70" t="n">
        <v>3.04</v>
      </c>
      <c r="G70" t="b">
        <v>0</v>
      </c>
      <c r="H70">
        <f>Sensitivity!H8</f>
        <v/>
      </c>
    </row>
    <row r="71">
      <c r="A71" t="inlineStr">
        <is>
          <t>ALL</t>
        </is>
      </c>
      <c r="B71" t="inlineStr">
        <is>
          <t>rare</t>
        </is>
      </c>
      <c r="C71" t="n">
        <v>2</v>
      </c>
      <c r="D71" t="inlineStr">
        <is>
          <t>Damage %</t>
        </is>
      </c>
      <c r="E71" t="n">
        <v>8</v>
      </c>
      <c r="F71" t="n">
        <v>0.96</v>
      </c>
      <c r="G71" t="b">
        <v>1</v>
      </c>
      <c r="H71">
        <f>Sensitivity!H8</f>
        <v/>
      </c>
    </row>
    <row r="72">
      <c r="A72" t="inlineStr">
        <is>
          <t>ALL</t>
        </is>
      </c>
      <c r="B72" t="inlineStr">
        <is>
          <t>rare</t>
        </is>
      </c>
      <c r="C72" t="n">
        <v>2</v>
      </c>
      <c r="D72" t="inlineStr">
        <is>
          <t>Min Damage Multiplier %</t>
        </is>
      </c>
      <c r="E72" t="n">
        <v>3</v>
      </c>
      <c r="F72" t="n">
        <v>3.04</v>
      </c>
      <c r="G72" t="b">
        <v>0</v>
      </c>
      <c r="H72">
        <f>Sensitivity!H13</f>
        <v/>
      </c>
    </row>
    <row r="73">
      <c r="A73" t="inlineStr">
        <is>
          <t>ALL</t>
        </is>
      </c>
      <c r="B73" t="inlineStr">
        <is>
          <t>rare</t>
        </is>
      </c>
      <c r="C73" t="n">
        <v>2</v>
      </c>
      <c r="D73" t="inlineStr">
        <is>
          <t>Min Damage Multiplier %</t>
        </is>
      </c>
      <c r="E73" t="n">
        <v>6</v>
      </c>
      <c r="F73" t="n">
        <v>0.96</v>
      </c>
      <c r="G73" t="b">
        <v>1</v>
      </c>
      <c r="H73">
        <f>Sensitivity!H13</f>
        <v/>
      </c>
    </row>
    <row r="74">
      <c r="A74" t="inlineStr">
        <is>
          <t>ALL</t>
        </is>
      </c>
      <c r="B74" t="inlineStr">
        <is>
          <t>rare</t>
        </is>
      </c>
      <c r="C74" t="n">
        <v>2</v>
      </c>
      <c r="D74" t="inlineStr">
        <is>
          <t>Max Damage Multiplier %</t>
        </is>
      </c>
      <c r="E74" t="n">
        <v>3</v>
      </c>
      <c r="F74" t="n">
        <v>3.04</v>
      </c>
      <c r="G74" t="b">
        <v>0</v>
      </c>
      <c r="H74">
        <f>Sensitivity!H14</f>
        <v/>
      </c>
    </row>
    <row r="75">
      <c r="A75" t="inlineStr">
        <is>
          <t>ALL</t>
        </is>
      </c>
      <c r="B75" t="inlineStr">
        <is>
          <t>rare</t>
        </is>
      </c>
      <c r="C75" t="n">
        <v>2</v>
      </c>
      <c r="D75" t="inlineStr">
        <is>
          <t>Max Damage Multiplier %</t>
        </is>
      </c>
      <c r="E75" t="n">
        <v>6</v>
      </c>
      <c r="F75" t="n">
        <v>0.96</v>
      </c>
      <c r="G75" t="b">
        <v>1</v>
      </c>
      <c r="H75">
        <f>Sensitivity!H14</f>
        <v/>
      </c>
    </row>
    <row r="76">
      <c r="A76" t="inlineStr">
        <is>
          <t>ALL</t>
        </is>
      </c>
      <c r="B76" t="inlineStr">
        <is>
          <t>rare</t>
        </is>
      </c>
      <c r="C76" t="n">
        <v>2</v>
      </c>
      <c r="D76" t="inlineStr">
        <is>
          <t>Str %</t>
        </is>
      </c>
      <c r="E76" t="n">
        <v>3</v>
      </c>
      <c r="F76" t="n">
        <v>3.42</v>
      </c>
      <c r="G76" t="b">
        <v>0</v>
      </c>
      <c r="H76" t="inlineStr">
        <is>
          <t>0</t>
        </is>
      </c>
    </row>
    <row r="77">
      <c r="A77" t="inlineStr">
        <is>
          <t>ALL</t>
        </is>
      </c>
      <c r="B77" t="inlineStr">
        <is>
          <t>rare</t>
        </is>
      </c>
      <c r="C77" t="n">
        <v>2</v>
      </c>
      <c r="D77" t="inlineStr">
        <is>
          <t>Str %</t>
        </is>
      </c>
      <c r="E77" t="n">
        <v>4.5</v>
      </c>
      <c r="F77" t="n">
        <v>1.08</v>
      </c>
      <c r="G77" t="b">
        <v>1</v>
      </c>
      <c r="H77" t="inlineStr">
        <is>
          <t>0</t>
        </is>
      </c>
    </row>
    <row r="78">
      <c r="A78" t="inlineStr">
        <is>
          <t>ALL</t>
        </is>
      </c>
      <c r="B78" t="inlineStr">
        <is>
          <t>rare</t>
        </is>
      </c>
      <c r="C78" t="n">
        <v>2</v>
      </c>
      <c r="D78" t="inlineStr">
        <is>
          <t>Dex %</t>
        </is>
      </c>
      <c r="E78" t="n">
        <v>3</v>
      </c>
      <c r="F78" t="n">
        <v>3.42</v>
      </c>
      <c r="G78" t="b">
        <v>0</v>
      </c>
      <c r="H78">
        <f>Sensitivity!H7</f>
        <v/>
      </c>
    </row>
    <row r="79">
      <c r="A79" t="inlineStr">
        <is>
          <t>ALL</t>
        </is>
      </c>
      <c r="B79" t="inlineStr">
        <is>
          <t>rare</t>
        </is>
      </c>
      <c r="C79" t="n">
        <v>2</v>
      </c>
      <c r="D79" t="inlineStr">
        <is>
          <t>Dex %</t>
        </is>
      </c>
      <c r="E79" t="n">
        <v>4.5</v>
      </c>
      <c r="F79" t="n">
        <v>1.08</v>
      </c>
      <c r="G79" t="b">
        <v>1</v>
      </c>
      <c r="H79">
        <f>Sensitivity!H7</f>
        <v/>
      </c>
    </row>
    <row r="80">
      <c r="A80" t="inlineStr">
        <is>
          <t>ALL</t>
        </is>
      </c>
      <c r="B80" t="inlineStr">
        <is>
          <t>rare</t>
        </is>
      </c>
      <c r="C80" t="n">
        <v>2</v>
      </c>
      <c r="D80" t="inlineStr">
        <is>
          <t>Int %</t>
        </is>
      </c>
      <c r="E80" t="n">
        <v>3</v>
      </c>
      <c r="F80" t="n">
        <v>3.42</v>
      </c>
      <c r="G80" t="b">
        <v>0</v>
      </c>
      <c r="H80" t="inlineStr">
        <is>
          <t>0</t>
        </is>
      </c>
    </row>
    <row r="81">
      <c r="A81" t="inlineStr">
        <is>
          <t>ALL</t>
        </is>
      </c>
      <c r="B81" t="inlineStr">
        <is>
          <t>rare</t>
        </is>
      </c>
      <c r="C81" t="n">
        <v>2</v>
      </c>
      <c r="D81" t="inlineStr">
        <is>
          <t>Int %</t>
        </is>
      </c>
      <c r="E81" t="n">
        <v>4.5</v>
      </c>
      <c r="F81" t="n">
        <v>1.08</v>
      </c>
      <c r="G81" t="b">
        <v>1</v>
      </c>
      <c r="H81" t="inlineStr">
        <is>
          <t>0</t>
        </is>
      </c>
    </row>
    <row r="82">
      <c r="A82" t="inlineStr">
        <is>
          <t>ALL</t>
        </is>
      </c>
      <c r="B82" t="inlineStr">
        <is>
          <t>rare</t>
        </is>
      </c>
      <c r="C82" t="n">
        <v>2</v>
      </c>
      <c r="D82" t="inlineStr">
        <is>
          <t>Luk %</t>
        </is>
      </c>
      <c r="E82" t="n">
        <v>3</v>
      </c>
      <c r="F82" t="n">
        <v>3.42</v>
      </c>
      <c r="G82" t="b">
        <v>0</v>
      </c>
      <c r="H82" t="inlineStr">
        <is>
          <t>0</t>
        </is>
      </c>
    </row>
    <row r="83">
      <c r="A83" t="inlineStr">
        <is>
          <t>ALL</t>
        </is>
      </c>
      <c r="B83" t="inlineStr">
        <is>
          <t>rare</t>
        </is>
      </c>
      <c r="C83" t="n">
        <v>2</v>
      </c>
      <c r="D83" t="inlineStr">
        <is>
          <t>Luk %</t>
        </is>
      </c>
      <c r="E83" t="n">
        <v>4.5</v>
      </c>
      <c r="F83" t="n">
        <v>1.08</v>
      </c>
      <c r="G83" t="b">
        <v>1</v>
      </c>
      <c r="H83" t="inlineStr">
        <is>
          <t>0</t>
        </is>
      </c>
    </row>
    <row r="84">
      <c r="A84" t="inlineStr">
        <is>
          <t>ALL</t>
        </is>
      </c>
      <c r="B84" t="inlineStr">
        <is>
          <t>rare</t>
        </is>
      </c>
      <c r="C84" t="n">
        <v>2</v>
      </c>
      <c r="D84" t="inlineStr">
        <is>
          <t>Defense %</t>
        </is>
      </c>
      <c r="E84" t="n">
        <v>3</v>
      </c>
      <c r="F84" t="n">
        <v>6.84</v>
      </c>
      <c r="G84" t="b">
        <v>0</v>
      </c>
      <c r="H84" t="inlineStr">
        <is>
          <t>0</t>
        </is>
      </c>
    </row>
    <row r="85">
      <c r="A85" t="inlineStr">
        <is>
          <t>ALL</t>
        </is>
      </c>
      <c r="B85" t="inlineStr">
        <is>
          <t>rare</t>
        </is>
      </c>
      <c r="C85" t="n">
        <v>2</v>
      </c>
      <c r="D85" t="inlineStr">
        <is>
          <t>Defense %</t>
        </is>
      </c>
      <c r="E85" t="n">
        <v>4.5</v>
      </c>
      <c r="F85" t="n">
        <v>2.16</v>
      </c>
      <c r="G85" t="b">
        <v>1</v>
      </c>
      <c r="H85" t="inlineStr">
        <is>
          <t>0</t>
        </is>
      </c>
    </row>
    <row r="86">
      <c r="A86" t="inlineStr">
        <is>
          <t>ALL</t>
        </is>
      </c>
      <c r="B86" t="inlineStr">
        <is>
          <t>rare</t>
        </is>
      </c>
      <c r="C86" t="n">
        <v>2</v>
      </c>
      <c r="D86" t="inlineStr">
        <is>
          <t>Max HP %</t>
        </is>
      </c>
      <c r="E86" t="n">
        <v>6</v>
      </c>
      <c r="F86" t="n">
        <v>6.84</v>
      </c>
      <c r="G86" t="b">
        <v>0</v>
      </c>
      <c r="H86" t="inlineStr">
        <is>
          <t>0</t>
        </is>
      </c>
    </row>
    <row r="87">
      <c r="A87" t="inlineStr">
        <is>
          <t>ALL</t>
        </is>
      </c>
      <c r="B87" t="inlineStr">
        <is>
          <t>rare</t>
        </is>
      </c>
      <c r="C87" t="n">
        <v>2</v>
      </c>
      <c r="D87" t="inlineStr">
        <is>
          <t>Max HP %</t>
        </is>
      </c>
      <c r="E87" t="n">
        <v>9</v>
      </c>
      <c r="F87" t="n">
        <v>2.16</v>
      </c>
      <c r="G87" t="b">
        <v>1</v>
      </c>
      <c r="H87" t="inlineStr">
        <is>
          <t>0</t>
        </is>
      </c>
    </row>
    <row r="88">
      <c r="A88" t="inlineStr">
        <is>
          <t>ALL</t>
        </is>
      </c>
      <c r="B88" t="inlineStr">
        <is>
          <t>rare</t>
        </is>
      </c>
      <c r="C88" t="n">
        <v>2</v>
      </c>
      <c r="D88" t="inlineStr">
        <is>
          <t>Max MP %</t>
        </is>
      </c>
      <c r="E88" t="n">
        <v>3</v>
      </c>
      <c r="F88" t="n">
        <v>6.84</v>
      </c>
      <c r="G88" t="b">
        <v>0</v>
      </c>
      <c r="H88" t="inlineStr">
        <is>
          <t>0</t>
        </is>
      </c>
    </row>
    <row r="89">
      <c r="A89" t="inlineStr">
        <is>
          <t>ALL</t>
        </is>
      </c>
      <c r="B89" t="inlineStr">
        <is>
          <t>rare</t>
        </is>
      </c>
      <c r="C89" t="n">
        <v>2</v>
      </c>
      <c r="D89" t="inlineStr">
        <is>
          <t>Max MP %</t>
        </is>
      </c>
      <c r="E89" t="n">
        <v>4.5</v>
      </c>
      <c r="F89" t="n">
        <v>2.16</v>
      </c>
      <c r="G89" t="b">
        <v>1</v>
      </c>
      <c r="H89" t="inlineStr">
        <is>
          <t>0</t>
        </is>
      </c>
    </row>
    <row r="90">
      <c r="A90" t="inlineStr">
        <is>
          <t>ALL</t>
        </is>
      </c>
      <c r="B90" t="inlineStr">
        <is>
          <t>rare</t>
        </is>
      </c>
      <c r="C90" t="n">
        <v>2</v>
      </c>
      <c r="D90" t="inlineStr">
        <is>
          <t>Str</t>
        </is>
      </c>
      <c r="E90" t="n">
        <v>50</v>
      </c>
      <c r="F90" t="n">
        <v>7.22</v>
      </c>
      <c r="G90" t="b">
        <v>0</v>
      </c>
      <c r="H90" t="inlineStr">
        <is>
          <t>0</t>
        </is>
      </c>
    </row>
    <row r="91">
      <c r="A91" t="inlineStr">
        <is>
          <t>ALL</t>
        </is>
      </c>
      <c r="B91" t="inlineStr">
        <is>
          <t>rare</t>
        </is>
      </c>
      <c r="C91" t="n">
        <v>2</v>
      </c>
      <c r="D91" t="inlineStr">
        <is>
          <t>Str</t>
        </is>
      </c>
      <c r="E91" t="n">
        <v>100</v>
      </c>
      <c r="F91" t="n">
        <v>2.28</v>
      </c>
      <c r="G91" t="b">
        <v>1</v>
      </c>
      <c r="H91" t="inlineStr">
        <is>
          <t>0</t>
        </is>
      </c>
    </row>
    <row r="92">
      <c r="A92" t="inlineStr">
        <is>
          <t>ALL</t>
        </is>
      </c>
      <c r="B92" t="inlineStr">
        <is>
          <t>rare</t>
        </is>
      </c>
      <c r="C92" t="n">
        <v>2</v>
      </c>
      <c r="D92" t="inlineStr">
        <is>
          <t>Dex</t>
        </is>
      </c>
      <c r="E92" t="n">
        <v>50</v>
      </c>
      <c r="F92" t="n">
        <v>7.22</v>
      </c>
      <c r="G92" t="b">
        <v>0</v>
      </c>
      <c r="H92">
        <f>Sensitivity!H7</f>
        <v/>
      </c>
    </row>
    <row r="93">
      <c r="A93" t="inlineStr">
        <is>
          <t>ALL</t>
        </is>
      </c>
      <c r="B93" t="inlineStr">
        <is>
          <t>rare</t>
        </is>
      </c>
      <c r="C93" t="n">
        <v>2</v>
      </c>
      <c r="D93" t="inlineStr">
        <is>
          <t>Dex</t>
        </is>
      </c>
      <c r="E93" t="n">
        <v>100</v>
      </c>
      <c r="F93" t="n">
        <v>2.28</v>
      </c>
      <c r="G93" t="b">
        <v>1</v>
      </c>
      <c r="H93">
        <f>Sensitivity!H7</f>
        <v/>
      </c>
    </row>
    <row r="94">
      <c r="A94" t="inlineStr">
        <is>
          <t>ALL</t>
        </is>
      </c>
      <c r="B94" t="inlineStr">
        <is>
          <t>rare</t>
        </is>
      </c>
      <c r="C94" t="n">
        <v>2</v>
      </c>
      <c r="D94" t="inlineStr">
        <is>
          <t>Int</t>
        </is>
      </c>
      <c r="E94" t="n">
        <v>50</v>
      </c>
      <c r="F94" t="n">
        <v>7.22</v>
      </c>
      <c r="G94" t="b">
        <v>0</v>
      </c>
      <c r="H94" t="inlineStr">
        <is>
          <t>0</t>
        </is>
      </c>
    </row>
    <row r="95">
      <c r="A95" t="inlineStr">
        <is>
          <t>ALL</t>
        </is>
      </c>
      <c r="B95" t="inlineStr">
        <is>
          <t>rare</t>
        </is>
      </c>
      <c r="C95" t="n">
        <v>2</v>
      </c>
      <c r="D95" t="inlineStr">
        <is>
          <t>Int</t>
        </is>
      </c>
      <c r="E95" t="n">
        <v>100</v>
      </c>
      <c r="F95" t="n">
        <v>2.28</v>
      </c>
      <c r="G95" t="b">
        <v>1</v>
      </c>
      <c r="H95" t="inlineStr">
        <is>
          <t>0</t>
        </is>
      </c>
    </row>
    <row r="96">
      <c r="A96" t="inlineStr">
        <is>
          <t>ALL</t>
        </is>
      </c>
      <c r="B96" t="inlineStr">
        <is>
          <t>rare</t>
        </is>
      </c>
      <c r="C96" t="n">
        <v>2</v>
      </c>
      <c r="D96" t="inlineStr">
        <is>
          <t>Luk</t>
        </is>
      </c>
      <c r="E96" t="n">
        <v>50</v>
      </c>
      <c r="F96" t="n">
        <v>7.22</v>
      </c>
      <c r="G96" t="b">
        <v>0</v>
      </c>
      <c r="H96" t="inlineStr">
        <is>
          <t>0</t>
        </is>
      </c>
    </row>
    <row r="97">
      <c r="A97" t="inlineStr">
        <is>
          <t>ALL</t>
        </is>
      </c>
      <c r="B97" t="inlineStr">
        <is>
          <t>rare</t>
        </is>
      </c>
      <c r="C97" t="n">
        <v>2</v>
      </c>
      <c r="D97" t="inlineStr">
        <is>
          <t>Luk</t>
        </is>
      </c>
      <c r="E97" t="n">
        <v>100</v>
      </c>
      <c r="F97" t="n">
        <v>2.28</v>
      </c>
      <c r="G97" t="b">
        <v>1</v>
      </c>
      <c r="H97" t="inlineStr">
        <is>
          <t>0</t>
        </is>
      </c>
    </row>
    <row r="98">
      <c r="A98" t="inlineStr">
        <is>
          <t>ALL</t>
        </is>
      </c>
      <c r="B98" t="inlineStr">
        <is>
          <t>rare</t>
        </is>
      </c>
      <c r="C98" t="n">
        <v>3</v>
      </c>
      <c r="D98" t="inlineStr">
        <is>
          <t>Critical Rate %</t>
        </is>
      </c>
      <c r="E98" t="n">
        <v>3</v>
      </c>
      <c r="F98" t="n">
        <v>2.3</v>
      </c>
      <c r="G98" t="b">
        <v>0</v>
      </c>
      <c r="H98">
        <f>IF(Inputs!$B$8&gt;=100,Sensitivity!H16,Sensitivity!H15)</f>
        <v/>
      </c>
    </row>
    <row r="99">
      <c r="A99" t="inlineStr">
        <is>
          <t>ALL</t>
        </is>
      </c>
      <c r="B99" t="inlineStr">
        <is>
          <t>rare</t>
        </is>
      </c>
      <c r="C99" t="n">
        <v>3</v>
      </c>
      <c r="D99" t="inlineStr">
        <is>
          <t>Critical Rate %</t>
        </is>
      </c>
      <c r="E99" t="n">
        <v>4.5</v>
      </c>
      <c r="F99" t="n">
        <v>0.2</v>
      </c>
      <c r="G99" t="b">
        <v>1</v>
      </c>
      <c r="H99">
        <f>IF(Inputs!$B$8&gt;=100,Sensitivity!H16,Sensitivity!H15)</f>
        <v/>
      </c>
    </row>
    <row r="100">
      <c r="A100" t="inlineStr">
        <is>
          <t>ALL</t>
        </is>
      </c>
      <c r="B100" t="inlineStr">
        <is>
          <t>rare</t>
        </is>
      </c>
      <c r="C100" t="n">
        <v>3</v>
      </c>
      <c r="D100" t="inlineStr">
        <is>
          <t>Attack Speed %</t>
        </is>
      </c>
      <c r="E100" t="n">
        <v>3</v>
      </c>
      <c r="F100" t="n">
        <v>2.3</v>
      </c>
      <c r="G100" t="b">
        <v>0</v>
      </c>
      <c r="H100">
        <f>Sensitivity!H17</f>
        <v/>
      </c>
    </row>
    <row r="101">
      <c r="A101" t="inlineStr">
        <is>
          <t>ALL</t>
        </is>
      </c>
      <c r="B101" t="inlineStr">
        <is>
          <t>rare</t>
        </is>
      </c>
      <c r="C101" t="n">
        <v>3</v>
      </c>
      <c r="D101" t="inlineStr">
        <is>
          <t>Attack Speed %</t>
        </is>
      </c>
      <c r="E101" t="n">
        <v>3.5</v>
      </c>
      <c r="F101" t="n">
        <v>0.2</v>
      </c>
      <c r="G101" t="b">
        <v>1</v>
      </c>
      <c r="H101">
        <f>Sensitivity!H17</f>
        <v/>
      </c>
    </row>
    <row r="102">
      <c r="A102" t="inlineStr">
        <is>
          <t>ALL</t>
        </is>
      </c>
      <c r="B102" t="inlineStr">
        <is>
          <t>rare</t>
        </is>
      </c>
      <c r="C102" t="n">
        <v>3</v>
      </c>
      <c r="D102" t="inlineStr">
        <is>
          <t>Damage %</t>
        </is>
      </c>
      <c r="E102" t="n">
        <v>5</v>
      </c>
      <c r="F102" t="n">
        <v>3.68</v>
      </c>
      <c r="G102" t="b">
        <v>0</v>
      </c>
      <c r="H102">
        <f>Sensitivity!H8</f>
        <v/>
      </c>
    </row>
    <row r="103">
      <c r="A103" t="inlineStr">
        <is>
          <t>ALL</t>
        </is>
      </c>
      <c r="B103" t="inlineStr">
        <is>
          <t>rare</t>
        </is>
      </c>
      <c r="C103" t="n">
        <v>3</v>
      </c>
      <c r="D103" t="inlineStr">
        <is>
          <t>Damage %</t>
        </is>
      </c>
      <c r="E103" t="n">
        <v>8</v>
      </c>
      <c r="F103" t="n">
        <v>0.32</v>
      </c>
      <c r="G103" t="b">
        <v>1</v>
      </c>
      <c r="H103">
        <f>Sensitivity!H8</f>
        <v/>
      </c>
    </row>
    <row r="104">
      <c r="A104" t="inlineStr">
        <is>
          <t>ALL</t>
        </is>
      </c>
      <c r="B104" t="inlineStr">
        <is>
          <t>rare</t>
        </is>
      </c>
      <c r="C104" t="n">
        <v>3</v>
      </c>
      <c r="D104" t="inlineStr">
        <is>
          <t>Min Damage Multiplier %</t>
        </is>
      </c>
      <c r="E104" t="n">
        <v>3</v>
      </c>
      <c r="F104" t="n">
        <v>3.68</v>
      </c>
      <c r="G104" t="b">
        <v>0</v>
      </c>
      <c r="H104">
        <f>Sensitivity!H13</f>
        <v/>
      </c>
    </row>
    <row r="105">
      <c r="A105" t="inlineStr">
        <is>
          <t>ALL</t>
        </is>
      </c>
      <c r="B105" t="inlineStr">
        <is>
          <t>rare</t>
        </is>
      </c>
      <c r="C105" t="n">
        <v>3</v>
      </c>
      <c r="D105" t="inlineStr">
        <is>
          <t>Min Damage Multiplier %</t>
        </is>
      </c>
      <c r="E105" t="n">
        <v>6</v>
      </c>
      <c r="F105" t="n">
        <v>0.32</v>
      </c>
      <c r="G105" t="b">
        <v>1</v>
      </c>
      <c r="H105">
        <f>Sensitivity!H13</f>
        <v/>
      </c>
    </row>
    <row r="106">
      <c r="A106" t="inlineStr">
        <is>
          <t>ALL</t>
        </is>
      </c>
      <c r="B106" t="inlineStr">
        <is>
          <t>rare</t>
        </is>
      </c>
      <c r="C106" t="n">
        <v>3</v>
      </c>
      <c r="D106" t="inlineStr">
        <is>
          <t>Max Damage Multiplier %</t>
        </is>
      </c>
      <c r="E106" t="n">
        <v>3</v>
      </c>
      <c r="F106" t="n">
        <v>3.68</v>
      </c>
      <c r="G106" t="b">
        <v>0</v>
      </c>
      <c r="H106">
        <f>Sensitivity!H14</f>
        <v/>
      </c>
    </row>
    <row r="107">
      <c r="A107" t="inlineStr">
        <is>
          <t>ALL</t>
        </is>
      </c>
      <c r="B107" t="inlineStr">
        <is>
          <t>rare</t>
        </is>
      </c>
      <c r="C107" t="n">
        <v>3</v>
      </c>
      <c r="D107" t="inlineStr">
        <is>
          <t>Max Damage Multiplier %</t>
        </is>
      </c>
      <c r="E107" t="n">
        <v>6</v>
      </c>
      <c r="F107" t="n">
        <v>0.32</v>
      </c>
      <c r="G107" t="b">
        <v>1</v>
      </c>
      <c r="H107">
        <f>Sensitivity!H14</f>
        <v/>
      </c>
    </row>
    <row r="108">
      <c r="A108" t="inlineStr">
        <is>
          <t>ALL</t>
        </is>
      </c>
      <c r="B108" t="inlineStr">
        <is>
          <t>rare</t>
        </is>
      </c>
      <c r="C108" t="n">
        <v>3</v>
      </c>
      <c r="D108" t="inlineStr">
        <is>
          <t>Str %</t>
        </is>
      </c>
      <c r="E108" t="n">
        <v>3</v>
      </c>
      <c r="F108" t="n">
        <v>4.14</v>
      </c>
      <c r="G108" t="b">
        <v>0</v>
      </c>
      <c r="H108" t="inlineStr">
        <is>
          <t>0</t>
        </is>
      </c>
    </row>
    <row r="109">
      <c r="A109" t="inlineStr">
        <is>
          <t>ALL</t>
        </is>
      </c>
      <c r="B109" t="inlineStr">
        <is>
          <t>rare</t>
        </is>
      </c>
      <c r="C109" t="n">
        <v>3</v>
      </c>
      <c r="D109" t="inlineStr">
        <is>
          <t>Str %</t>
        </is>
      </c>
      <c r="E109" t="n">
        <v>4.5</v>
      </c>
      <c r="F109" t="n">
        <v>0.36</v>
      </c>
      <c r="G109" t="b">
        <v>1</v>
      </c>
      <c r="H109" t="inlineStr">
        <is>
          <t>0</t>
        </is>
      </c>
    </row>
    <row r="110">
      <c r="A110" t="inlineStr">
        <is>
          <t>ALL</t>
        </is>
      </c>
      <c r="B110" t="inlineStr">
        <is>
          <t>rare</t>
        </is>
      </c>
      <c r="C110" t="n">
        <v>3</v>
      </c>
      <c r="D110" t="inlineStr">
        <is>
          <t>Dex %</t>
        </is>
      </c>
      <c r="E110" t="n">
        <v>3</v>
      </c>
      <c r="F110" t="n">
        <v>4.14</v>
      </c>
      <c r="G110" t="b">
        <v>0</v>
      </c>
      <c r="H110">
        <f>Sensitivity!H7</f>
        <v/>
      </c>
    </row>
    <row r="111">
      <c r="A111" t="inlineStr">
        <is>
          <t>ALL</t>
        </is>
      </c>
      <c r="B111" t="inlineStr">
        <is>
          <t>rare</t>
        </is>
      </c>
      <c r="C111" t="n">
        <v>3</v>
      </c>
      <c r="D111" t="inlineStr">
        <is>
          <t>Dex %</t>
        </is>
      </c>
      <c r="E111" t="n">
        <v>4.5</v>
      </c>
      <c r="F111" t="n">
        <v>0.36</v>
      </c>
      <c r="G111" t="b">
        <v>1</v>
      </c>
      <c r="H111">
        <f>Sensitivity!H7</f>
        <v/>
      </c>
    </row>
    <row r="112">
      <c r="A112" t="inlineStr">
        <is>
          <t>ALL</t>
        </is>
      </c>
      <c r="B112" t="inlineStr">
        <is>
          <t>rare</t>
        </is>
      </c>
      <c r="C112" t="n">
        <v>3</v>
      </c>
      <c r="D112" t="inlineStr">
        <is>
          <t>Int %</t>
        </is>
      </c>
      <c r="E112" t="n">
        <v>3</v>
      </c>
      <c r="F112" t="n">
        <v>4.14</v>
      </c>
      <c r="G112" t="b">
        <v>0</v>
      </c>
      <c r="H112" t="inlineStr">
        <is>
          <t>0</t>
        </is>
      </c>
    </row>
    <row r="113">
      <c r="A113" t="inlineStr">
        <is>
          <t>ALL</t>
        </is>
      </c>
      <c r="B113" t="inlineStr">
        <is>
          <t>rare</t>
        </is>
      </c>
      <c r="C113" t="n">
        <v>3</v>
      </c>
      <c r="D113" t="inlineStr">
        <is>
          <t>Int %</t>
        </is>
      </c>
      <c r="E113" t="n">
        <v>4.5</v>
      </c>
      <c r="F113" t="n">
        <v>0.36</v>
      </c>
      <c r="G113" t="b">
        <v>1</v>
      </c>
      <c r="H113" t="inlineStr">
        <is>
          <t>0</t>
        </is>
      </c>
    </row>
    <row r="114">
      <c r="A114" t="inlineStr">
        <is>
          <t>ALL</t>
        </is>
      </c>
      <c r="B114" t="inlineStr">
        <is>
          <t>rare</t>
        </is>
      </c>
      <c r="C114" t="n">
        <v>3</v>
      </c>
      <c r="D114" t="inlineStr">
        <is>
          <t>Luk %</t>
        </is>
      </c>
      <c r="E114" t="n">
        <v>3</v>
      </c>
      <c r="F114" t="n">
        <v>4.14</v>
      </c>
      <c r="G114" t="b">
        <v>0</v>
      </c>
      <c r="H114" t="inlineStr">
        <is>
          <t>0</t>
        </is>
      </c>
    </row>
    <row r="115">
      <c r="A115" t="inlineStr">
        <is>
          <t>ALL</t>
        </is>
      </c>
      <c r="B115" t="inlineStr">
        <is>
          <t>rare</t>
        </is>
      </c>
      <c r="C115" t="n">
        <v>3</v>
      </c>
      <c r="D115" t="inlineStr">
        <is>
          <t>Luk %</t>
        </is>
      </c>
      <c r="E115" t="n">
        <v>4.5</v>
      </c>
      <c r="F115" t="n">
        <v>0.36</v>
      </c>
      <c r="G115" t="b">
        <v>1</v>
      </c>
      <c r="H115" t="inlineStr">
        <is>
          <t>0</t>
        </is>
      </c>
    </row>
    <row r="116">
      <c r="A116" t="inlineStr">
        <is>
          <t>ALL</t>
        </is>
      </c>
      <c r="B116" t="inlineStr">
        <is>
          <t>rare</t>
        </is>
      </c>
      <c r="C116" t="n">
        <v>3</v>
      </c>
      <c r="D116" t="inlineStr">
        <is>
          <t>Defense %</t>
        </is>
      </c>
      <c r="E116" t="n">
        <v>3</v>
      </c>
      <c r="F116" t="n">
        <v>8.279999999999999</v>
      </c>
      <c r="G116" t="b">
        <v>0</v>
      </c>
      <c r="H116" t="inlineStr">
        <is>
          <t>0</t>
        </is>
      </c>
    </row>
    <row r="117">
      <c r="A117" t="inlineStr">
        <is>
          <t>ALL</t>
        </is>
      </c>
      <c r="B117" t="inlineStr">
        <is>
          <t>rare</t>
        </is>
      </c>
      <c r="C117" t="n">
        <v>3</v>
      </c>
      <c r="D117" t="inlineStr">
        <is>
          <t>Defense %</t>
        </is>
      </c>
      <c r="E117" t="n">
        <v>4.5</v>
      </c>
      <c r="F117" t="n">
        <v>0.72</v>
      </c>
      <c r="G117" t="b">
        <v>1</v>
      </c>
      <c r="H117" t="inlineStr">
        <is>
          <t>0</t>
        </is>
      </c>
    </row>
    <row r="118">
      <c r="A118" t="inlineStr">
        <is>
          <t>ALL</t>
        </is>
      </c>
      <c r="B118" t="inlineStr">
        <is>
          <t>rare</t>
        </is>
      </c>
      <c r="C118" t="n">
        <v>3</v>
      </c>
      <c r="D118" t="inlineStr">
        <is>
          <t>Max HP %</t>
        </is>
      </c>
      <c r="E118" t="n">
        <v>6</v>
      </c>
      <c r="F118" t="n">
        <v>8.279999999999999</v>
      </c>
      <c r="G118" t="b">
        <v>0</v>
      </c>
      <c r="H118" t="inlineStr">
        <is>
          <t>0</t>
        </is>
      </c>
    </row>
    <row r="119">
      <c r="A119" t="inlineStr">
        <is>
          <t>ALL</t>
        </is>
      </c>
      <c r="B119" t="inlineStr">
        <is>
          <t>rare</t>
        </is>
      </c>
      <c r="C119" t="n">
        <v>3</v>
      </c>
      <c r="D119" t="inlineStr">
        <is>
          <t>Max HP %</t>
        </is>
      </c>
      <c r="E119" t="n">
        <v>9</v>
      </c>
      <c r="F119" t="n">
        <v>0.72</v>
      </c>
      <c r="G119" t="b">
        <v>1</v>
      </c>
      <c r="H119" t="inlineStr">
        <is>
          <t>0</t>
        </is>
      </c>
    </row>
    <row r="120">
      <c r="A120" t="inlineStr">
        <is>
          <t>ALL</t>
        </is>
      </c>
      <c r="B120" t="inlineStr">
        <is>
          <t>rare</t>
        </is>
      </c>
      <c r="C120" t="n">
        <v>3</v>
      </c>
      <c r="D120" t="inlineStr">
        <is>
          <t>Max MP %</t>
        </is>
      </c>
      <c r="E120" t="n">
        <v>3</v>
      </c>
      <c r="F120" t="n">
        <v>8.279999999999999</v>
      </c>
      <c r="G120" t="b">
        <v>0</v>
      </c>
      <c r="H120" t="inlineStr">
        <is>
          <t>0</t>
        </is>
      </c>
    </row>
    <row r="121">
      <c r="A121" t="inlineStr">
        <is>
          <t>ALL</t>
        </is>
      </c>
      <c r="B121" t="inlineStr">
        <is>
          <t>rare</t>
        </is>
      </c>
      <c r="C121" t="n">
        <v>3</v>
      </c>
      <c r="D121" t="inlineStr">
        <is>
          <t>Max MP %</t>
        </is>
      </c>
      <c r="E121" t="n">
        <v>4.5</v>
      </c>
      <c r="F121" t="n">
        <v>0.72</v>
      </c>
      <c r="G121" t="b">
        <v>1</v>
      </c>
      <c r="H121" t="inlineStr">
        <is>
          <t>0</t>
        </is>
      </c>
    </row>
    <row r="122">
      <c r="A122" t="inlineStr">
        <is>
          <t>ALL</t>
        </is>
      </c>
      <c r="B122" t="inlineStr">
        <is>
          <t>rare</t>
        </is>
      </c>
      <c r="C122" t="n">
        <v>3</v>
      </c>
      <c r="D122" t="inlineStr">
        <is>
          <t>Str</t>
        </is>
      </c>
      <c r="E122" t="n">
        <v>50</v>
      </c>
      <c r="F122" t="n">
        <v>8.74</v>
      </c>
      <c r="G122" t="b">
        <v>0</v>
      </c>
      <c r="H122" t="inlineStr">
        <is>
          <t>0</t>
        </is>
      </c>
    </row>
    <row r="123">
      <c r="A123" t="inlineStr">
        <is>
          <t>ALL</t>
        </is>
      </c>
      <c r="B123" t="inlineStr">
        <is>
          <t>rare</t>
        </is>
      </c>
      <c r="C123" t="n">
        <v>3</v>
      </c>
      <c r="D123" t="inlineStr">
        <is>
          <t>Str</t>
        </is>
      </c>
      <c r="E123" t="n">
        <v>100</v>
      </c>
      <c r="F123" t="n">
        <v>0.76</v>
      </c>
      <c r="G123" t="b">
        <v>1</v>
      </c>
      <c r="H123" t="inlineStr">
        <is>
          <t>0</t>
        </is>
      </c>
    </row>
    <row r="124">
      <c r="A124" t="inlineStr">
        <is>
          <t>ALL</t>
        </is>
      </c>
      <c r="B124" t="inlineStr">
        <is>
          <t>rare</t>
        </is>
      </c>
      <c r="C124" t="n">
        <v>3</v>
      </c>
      <c r="D124" t="inlineStr">
        <is>
          <t>Dex</t>
        </is>
      </c>
      <c r="E124" t="n">
        <v>50</v>
      </c>
      <c r="F124" t="n">
        <v>8.74</v>
      </c>
      <c r="G124" t="b">
        <v>0</v>
      </c>
      <c r="H124">
        <f>Sensitivity!H7</f>
        <v/>
      </c>
    </row>
    <row r="125">
      <c r="A125" t="inlineStr">
        <is>
          <t>ALL</t>
        </is>
      </c>
      <c r="B125" t="inlineStr">
        <is>
          <t>rare</t>
        </is>
      </c>
      <c r="C125" t="n">
        <v>3</v>
      </c>
      <c r="D125" t="inlineStr">
        <is>
          <t>Dex</t>
        </is>
      </c>
      <c r="E125" t="n">
        <v>100</v>
      </c>
      <c r="F125" t="n">
        <v>0.76</v>
      </c>
      <c r="G125" t="b">
        <v>1</v>
      </c>
      <c r="H125">
        <f>Sensitivity!H7</f>
        <v/>
      </c>
    </row>
    <row r="126">
      <c r="A126" t="inlineStr">
        <is>
          <t>ALL</t>
        </is>
      </c>
      <c r="B126" t="inlineStr">
        <is>
          <t>rare</t>
        </is>
      </c>
      <c r="C126" t="n">
        <v>3</v>
      </c>
      <c r="D126" t="inlineStr">
        <is>
          <t>Int</t>
        </is>
      </c>
      <c r="E126" t="n">
        <v>50</v>
      </c>
      <c r="F126" t="n">
        <v>8.74</v>
      </c>
      <c r="G126" t="b">
        <v>0</v>
      </c>
      <c r="H126" t="inlineStr">
        <is>
          <t>0</t>
        </is>
      </c>
    </row>
    <row r="127">
      <c r="A127" t="inlineStr">
        <is>
          <t>ALL</t>
        </is>
      </c>
      <c r="B127" t="inlineStr">
        <is>
          <t>rare</t>
        </is>
      </c>
      <c r="C127" t="n">
        <v>3</v>
      </c>
      <c r="D127" t="inlineStr">
        <is>
          <t>Int</t>
        </is>
      </c>
      <c r="E127" t="n">
        <v>100</v>
      </c>
      <c r="F127" t="n">
        <v>0.76</v>
      </c>
      <c r="G127" t="b">
        <v>1</v>
      </c>
      <c r="H127" t="inlineStr">
        <is>
          <t>0</t>
        </is>
      </c>
    </row>
    <row r="128">
      <c r="A128" t="inlineStr">
        <is>
          <t>ALL</t>
        </is>
      </c>
      <c r="B128" t="inlineStr">
        <is>
          <t>rare</t>
        </is>
      </c>
      <c r="C128" t="n">
        <v>3</v>
      </c>
      <c r="D128" t="inlineStr">
        <is>
          <t>Luk</t>
        </is>
      </c>
      <c r="E128" t="n">
        <v>50</v>
      </c>
      <c r="F128" t="n">
        <v>8.74</v>
      </c>
      <c r="G128" t="b">
        <v>0</v>
      </c>
      <c r="H128" t="inlineStr">
        <is>
          <t>0</t>
        </is>
      </c>
    </row>
    <row r="129">
      <c r="A129" t="inlineStr">
        <is>
          <t>ALL</t>
        </is>
      </c>
      <c r="B129" t="inlineStr">
        <is>
          <t>rare</t>
        </is>
      </c>
      <c r="C129" t="n">
        <v>3</v>
      </c>
      <c r="D129" t="inlineStr">
        <is>
          <t>Luk</t>
        </is>
      </c>
      <c r="E129" t="n">
        <v>100</v>
      </c>
      <c r="F129" t="n">
        <v>0.76</v>
      </c>
      <c r="G129" t="b">
        <v>1</v>
      </c>
      <c r="H129" t="inlineStr">
        <is>
          <t>0</t>
        </is>
      </c>
    </row>
    <row r="130">
      <c r="A130" t="inlineStr">
        <is>
          <t>ALL</t>
        </is>
      </c>
      <c r="B130" t="inlineStr">
        <is>
          <t>epic</t>
        </is>
      </c>
      <c r="C130" t="n">
        <v>1</v>
      </c>
      <c r="D130" t="inlineStr">
        <is>
          <t>Critical Rate %</t>
        </is>
      </c>
      <c r="E130" t="n">
        <v>6</v>
      </c>
      <c r="F130" t="n">
        <v>2.5</v>
      </c>
      <c r="G130" t="b">
        <v>1</v>
      </c>
      <c r="H130">
        <f>IF(Inputs!$B$8&gt;=100,Sensitivity!H16,Sensitivity!H15)</f>
        <v/>
      </c>
    </row>
    <row r="131">
      <c r="A131" t="inlineStr">
        <is>
          <t>ALL</t>
        </is>
      </c>
      <c r="B131" t="inlineStr">
        <is>
          <t>epic</t>
        </is>
      </c>
      <c r="C131" t="n">
        <v>1</v>
      </c>
      <c r="D131" t="inlineStr">
        <is>
          <t>Attack Speed %</t>
        </is>
      </c>
      <c r="E131" t="n">
        <v>4</v>
      </c>
      <c r="F131" t="n">
        <v>2.5</v>
      </c>
      <c r="G131" t="b">
        <v>1</v>
      </c>
      <c r="H131">
        <f>Sensitivity!H17</f>
        <v/>
      </c>
    </row>
    <row r="132">
      <c r="A132" t="inlineStr">
        <is>
          <t>ALL</t>
        </is>
      </c>
      <c r="B132" t="inlineStr">
        <is>
          <t>epic</t>
        </is>
      </c>
      <c r="C132" t="n">
        <v>1</v>
      </c>
      <c r="D132" t="inlineStr">
        <is>
          <t>Damage %</t>
        </is>
      </c>
      <c r="E132" t="n">
        <v>12</v>
      </c>
      <c r="F132" t="n">
        <v>4</v>
      </c>
      <c r="G132" t="b">
        <v>1</v>
      </c>
      <c r="H132">
        <f>Sensitivity!H8</f>
        <v/>
      </c>
    </row>
    <row r="133">
      <c r="A133" t="inlineStr">
        <is>
          <t>ALL</t>
        </is>
      </c>
      <c r="B133" t="inlineStr">
        <is>
          <t>epic</t>
        </is>
      </c>
      <c r="C133" t="n">
        <v>1</v>
      </c>
      <c r="D133" t="inlineStr">
        <is>
          <t>Min Damage Multiplier %</t>
        </is>
      </c>
      <c r="E133" t="n">
        <v>8</v>
      </c>
      <c r="F133" t="n">
        <v>4</v>
      </c>
      <c r="G133" t="b">
        <v>1</v>
      </c>
      <c r="H133">
        <f>Sensitivity!H13</f>
        <v/>
      </c>
    </row>
    <row r="134">
      <c r="A134" t="inlineStr">
        <is>
          <t>ALL</t>
        </is>
      </c>
      <c r="B134" t="inlineStr">
        <is>
          <t>epic</t>
        </is>
      </c>
      <c r="C134" t="n">
        <v>1</v>
      </c>
      <c r="D134" t="inlineStr">
        <is>
          <t>Max Damage Multiplier %</t>
        </is>
      </c>
      <c r="E134" t="n">
        <v>8</v>
      </c>
      <c r="F134" t="n">
        <v>4</v>
      </c>
      <c r="G134" t="b">
        <v>1</v>
      </c>
      <c r="H134">
        <f>Sensitivity!H14</f>
        <v/>
      </c>
    </row>
    <row r="135">
      <c r="A135" t="inlineStr">
        <is>
          <t>ALL</t>
        </is>
      </c>
      <c r="B135" t="inlineStr">
        <is>
          <t>epic</t>
        </is>
      </c>
      <c r="C135" t="n">
        <v>1</v>
      </c>
      <c r="D135" t="inlineStr">
        <is>
          <t>Str %</t>
        </is>
      </c>
      <c r="E135" t="n">
        <v>6</v>
      </c>
      <c r="F135" t="n">
        <v>4.5</v>
      </c>
      <c r="G135" t="b">
        <v>1</v>
      </c>
      <c r="H135" t="inlineStr">
        <is>
          <t>0</t>
        </is>
      </c>
    </row>
    <row r="136">
      <c r="A136" t="inlineStr">
        <is>
          <t>ALL</t>
        </is>
      </c>
      <c r="B136" t="inlineStr">
        <is>
          <t>epic</t>
        </is>
      </c>
      <c r="C136" t="n">
        <v>1</v>
      </c>
      <c r="D136" t="inlineStr">
        <is>
          <t>Dex %</t>
        </is>
      </c>
      <c r="E136" t="n">
        <v>6</v>
      </c>
      <c r="F136" t="n">
        <v>4.5</v>
      </c>
      <c r="G136" t="b">
        <v>1</v>
      </c>
      <c r="H136">
        <f>Sensitivity!H7</f>
        <v/>
      </c>
    </row>
    <row r="137">
      <c r="A137" t="inlineStr">
        <is>
          <t>ALL</t>
        </is>
      </c>
      <c r="B137" t="inlineStr">
        <is>
          <t>epic</t>
        </is>
      </c>
      <c r="C137" t="n">
        <v>1</v>
      </c>
      <c r="D137" t="inlineStr">
        <is>
          <t>Int %</t>
        </is>
      </c>
      <c r="E137" t="n">
        <v>6</v>
      </c>
      <c r="F137" t="n">
        <v>4.5</v>
      </c>
      <c r="G137" t="b">
        <v>1</v>
      </c>
      <c r="H137" t="inlineStr">
        <is>
          <t>0</t>
        </is>
      </c>
    </row>
    <row r="138">
      <c r="A138" t="inlineStr">
        <is>
          <t>ALL</t>
        </is>
      </c>
      <c r="B138" t="inlineStr">
        <is>
          <t>epic</t>
        </is>
      </c>
      <c r="C138" t="n">
        <v>1</v>
      </c>
      <c r="D138" t="inlineStr">
        <is>
          <t>Luk %</t>
        </is>
      </c>
      <c r="E138" t="n">
        <v>6</v>
      </c>
      <c r="F138" t="n">
        <v>4.5</v>
      </c>
      <c r="G138" t="b">
        <v>1</v>
      </c>
      <c r="H138" t="inlineStr">
        <is>
          <t>0</t>
        </is>
      </c>
    </row>
    <row r="139">
      <c r="A139" t="inlineStr">
        <is>
          <t>ALL</t>
        </is>
      </c>
      <c r="B139" t="inlineStr">
        <is>
          <t>epic</t>
        </is>
      </c>
      <c r="C139" t="n">
        <v>1</v>
      </c>
      <c r="D139" t="inlineStr">
        <is>
          <t>Defense %</t>
        </is>
      </c>
      <c r="E139" t="n">
        <v>6</v>
      </c>
      <c r="F139" t="n">
        <v>9</v>
      </c>
      <c r="G139" t="b">
        <v>1</v>
      </c>
      <c r="H139" t="inlineStr">
        <is>
          <t>0</t>
        </is>
      </c>
    </row>
    <row r="140">
      <c r="A140" t="inlineStr">
        <is>
          <t>ALL</t>
        </is>
      </c>
      <c r="B140" t="inlineStr">
        <is>
          <t>epic</t>
        </is>
      </c>
      <c r="C140" t="n">
        <v>1</v>
      </c>
      <c r="D140" t="inlineStr">
        <is>
          <t>Max HP %</t>
        </is>
      </c>
      <c r="E140" t="n">
        <v>12</v>
      </c>
      <c r="F140" t="n">
        <v>9</v>
      </c>
      <c r="G140" t="b">
        <v>1</v>
      </c>
      <c r="H140" t="inlineStr">
        <is>
          <t>0</t>
        </is>
      </c>
    </row>
    <row r="141">
      <c r="A141" t="inlineStr">
        <is>
          <t>ALL</t>
        </is>
      </c>
      <c r="B141" t="inlineStr">
        <is>
          <t>epic</t>
        </is>
      </c>
      <c r="C141" t="n">
        <v>1</v>
      </c>
      <c r="D141" t="inlineStr">
        <is>
          <t>Max MP %</t>
        </is>
      </c>
      <c r="E141" t="n">
        <v>6</v>
      </c>
      <c r="F141" t="n">
        <v>9</v>
      </c>
      <c r="G141" t="b">
        <v>1</v>
      </c>
      <c r="H141" t="inlineStr">
        <is>
          <t>0</t>
        </is>
      </c>
    </row>
    <row r="142">
      <c r="A142" t="inlineStr">
        <is>
          <t>ALL</t>
        </is>
      </c>
      <c r="B142" t="inlineStr">
        <is>
          <t>epic</t>
        </is>
      </c>
      <c r="C142" t="n">
        <v>1</v>
      </c>
      <c r="D142" t="inlineStr">
        <is>
          <t>Str</t>
        </is>
      </c>
      <c r="E142" t="n">
        <v>200</v>
      </c>
      <c r="F142" t="n">
        <v>9.25</v>
      </c>
      <c r="G142" t="b">
        <v>1</v>
      </c>
      <c r="H142" t="inlineStr">
        <is>
          <t>0</t>
        </is>
      </c>
    </row>
    <row r="143">
      <c r="A143" t="inlineStr">
        <is>
          <t>ALL</t>
        </is>
      </c>
      <c r="B143" t="inlineStr">
        <is>
          <t>epic</t>
        </is>
      </c>
      <c r="C143" t="n">
        <v>1</v>
      </c>
      <c r="D143" t="inlineStr">
        <is>
          <t>Dex</t>
        </is>
      </c>
      <c r="E143" t="n">
        <v>200</v>
      </c>
      <c r="F143" t="n">
        <v>9.25</v>
      </c>
      <c r="G143" t="b">
        <v>1</v>
      </c>
      <c r="H143">
        <f>Sensitivity!H7</f>
        <v/>
      </c>
    </row>
    <row r="144">
      <c r="A144" t="inlineStr">
        <is>
          <t>ALL</t>
        </is>
      </c>
      <c r="B144" t="inlineStr">
        <is>
          <t>epic</t>
        </is>
      </c>
      <c r="C144" t="n">
        <v>1</v>
      </c>
      <c r="D144" t="inlineStr">
        <is>
          <t>Int</t>
        </is>
      </c>
      <c r="E144" t="n">
        <v>200</v>
      </c>
      <c r="F144" t="n">
        <v>9.25</v>
      </c>
      <c r="G144" t="b">
        <v>1</v>
      </c>
      <c r="H144" t="inlineStr">
        <is>
          <t>0</t>
        </is>
      </c>
    </row>
    <row r="145">
      <c r="A145" t="inlineStr">
        <is>
          <t>ALL</t>
        </is>
      </c>
      <c r="B145" t="inlineStr">
        <is>
          <t>epic</t>
        </is>
      </c>
      <c r="C145" t="n">
        <v>1</v>
      </c>
      <c r="D145" t="inlineStr">
        <is>
          <t>Luk</t>
        </is>
      </c>
      <c r="E145" t="n">
        <v>200</v>
      </c>
      <c r="F145" t="n">
        <v>9.25</v>
      </c>
      <c r="G145" t="b">
        <v>1</v>
      </c>
      <c r="H145" t="inlineStr">
        <is>
          <t>0</t>
        </is>
      </c>
    </row>
    <row r="146">
      <c r="A146" t="inlineStr">
        <is>
          <t>ALL</t>
        </is>
      </c>
      <c r="B146" t="inlineStr">
        <is>
          <t>epic</t>
        </is>
      </c>
      <c r="C146" t="n">
        <v>2</v>
      </c>
      <c r="D146" t="inlineStr">
        <is>
          <t>Critical Rate %</t>
        </is>
      </c>
      <c r="E146" t="n">
        <v>4.5</v>
      </c>
      <c r="F146" t="n">
        <v>1.9</v>
      </c>
      <c r="G146" t="b">
        <v>0</v>
      </c>
      <c r="H146">
        <f>IF(Inputs!$B$8&gt;=100,Sensitivity!H16,Sensitivity!H15)</f>
        <v/>
      </c>
    </row>
    <row r="147">
      <c r="A147" t="inlineStr">
        <is>
          <t>ALL</t>
        </is>
      </c>
      <c r="B147" t="inlineStr">
        <is>
          <t>epic</t>
        </is>
      </c>
      <c r="C147" t="n">
        <v>2</v>
      </c>
      <c r="D147" t="inlineStr">
        <is>
          <t>Critical Rate %</t>
        </is>
      </c>
      <c r="E147" t="n">
        <v>6</v>
      </c>
      <c r="F147" t="n">
        <v>0.6</v>
      </c>
      <c r="G147" t="b">
        <v>1</v>
      </c>
      <c r="H147">
        <f>IF(Inputs!$B$8&gt;=100,Sensitivity!H16,Sensitivity!H15)</f>
        <v/>
      </c>
    </row>
    <row r="148">
      <c r="A148" t="inlineStr">
        <is>
          <t>ALL</t>
        </is>
      </c>
      <c r="B148" t="inlineStr">
        <is>
          <t>epic</t>
        </is>
      </c>
      <c r="C148" t="n">
        <v>2</v>
      </c>
      <c r="D148" t="inlineStr">
        <is>
          <t>Attack Speed %</t>
        </is>
      </c>
      <c r="E148" t="n">
        <v>3.5</v>
      </c>
      <c r="F148" t="n">
        <v>1.9</v>
      </c>
      <c r="G148" t="b">
        <v>0</v>
      </c>
      <c r="H148">
        <f>Sensitivity!H17</f>
        <v/>
      </c>
    </row>
    <row r="149">
      <c r="A149" t="inlineStr">
        <is>
          <t>ALL</t>
        </is>
      </c>
      <c r="B149" t="inlineStr">
        <is>
          <t>epic</t>
        </is>
      </c>
      <c r="C149" t="n">
        <v>2</v>
      </c>
      <c r="D149" t="inlineStr">
        <is>
          <t>Attack Speed %</t>
        </is>
      </c>
      <c r="E149" t="n">
        <v>4</v>
      </c>
      <c r="F149" t="n">
        <v>0.6</v>
      </c>
      <c r="G149" t="b">
        <v>1</v>
      </c>
      <c r="H149">
        <f>Sensitivity!H17</f>
        <v/>
      </c>
    </row>
    <row r="150">
      <c r="A150" t="inlineStr">
        <is>
          <t>ALL</t>
        </is>
      </c>
      <c r="B150" t="inlineStr">
        <is>
          <t>epic</t>
        </is>
      </c>
      <c r="C150" t="n">
        <v>2</v>
      </c>
      <c r="D150" t="inlineStr">
        <is>
          <t>Damage %</t>
        </is>
      </c>
      <c r="E150" t="n">
        <v>8</v>
      </c>
      <c r="F150" t="n">
        <v>3.04</v>
      </c>
      <c r="G150" t="b">
        <v>0</v>
      </c>
      <c r="H150">
        <f>Sensitivity!H8</f>
        <v/>
      </c>
    </row>
    <row r="151">
      <c r="A151" t="inlineStr">
        <is>
          <t>ALL</t>
        </is>
      </c>
      <c r="B151" t="inlineStr">
        <is>
          <t>epic</t>
        </is>
      </c>
      <c r="C151" t="n">
        <v>2</v>
      </c>
      <c r="D151" t="inlineStr">
        <is>
          <t>Damage %</t>
        </is>
      </c>
      <c r="E151" t="n">
        <v>12</v>
      </c>
      <c r="F151" t="n">
        <v>0.96</v>
      </c>
      <c r="G151" t="b">
        <v>1</v>
      </c>
      <c r="H151">
        <f>Sensitivity!H8</f>
        <v/>
      </c>
    </row>
    <row r="152">
      <c r="A152" t="inlineStr">
        <is>
          <t>ALL</t>
        </is>
      </c>
      <c r="B152" t="inlineStr">
        <is>
          <t>epic</t>
        </is>
      </c>
      <c r="C152" t="n">
        <v>2</v>
      </c>
      <c r="D152" t="inlineStr">
        <is>
          <t>Min Damage Multiplier %</t>
        </is>
      </c>
      <c r="E152" t="n">
        <v>6</v>
      </c>
      <c r="F152" t="n">
        <v>3.04</v>
      </c>
      <c r="G152" t="b">
        <v>0</v>
      </c>
      <c r="H152">
        <f>Sensitivity!H13</f>
        <v/>
      </c>
    </row>
    <row r="153">
      <c r="A153" t="inlineStr">
        <is>
          <t>ALL</t>
        </is>
      </c>
      <c r="B153" t="inlineStr">
        <is>
          <t>epic</t>
        </is>
      </c>
      <c r="C153" t="n">
        <v>2</v>
      </c>
      <c r="D153" t="inlineStr">
        <is>
          <t>Min Damage Multiplier %</t>
        </is>
      </c>
      <c r="E153" t="n">
        <v>8</v>
      </c>
      <c r="F153" t="n">
        <v>0.96</v>
      </c>
      <c r="G153" t="b">
        <v>1</v>
      </c>
      <c r="H153">
        <f>Sensitivity!H13</f>
        <v/>
      </c>
    </row>
    <row r="154">
      <c r="A154" t="inlineStr">
        <is>
          <t>ALL</t>
        </is>
      </c>
      <c r="B154" t="inlineStr">
        <is>
          <t>epic</t>
        </is>
      </c>
      <c r="C154" t="n">
        <v>2</v>
      </c>
      <c r="D154" t="inlineStr">
        <is>
          <t>Max Damage Multiplier %</t>
        </is>
      </c>
      <c r="E154" t="n">
        <v>6</v>
      </c>
      <c r="F154" t="n">
        <v>3.04</v>
      </c>
      <c r="G154" t="b">
        <v>0</v>
      </c>
      <c r="H154">
        <f>Sensitivity!H14</f>
        <v/>
      </c>
    </row>
    <row r="155">
      <c r="A155" t="inlineStr">
        <is>
          <t>ALL</t>
        </is>
      </c>
      <c r="B155" t="inlineStr">
        <is>
          <t>epic</t>
        </is>
      </c>
      <c r="C155" t="n">
        <v>2</v>
      </c>
      <c r="D155" t="inlineStr">
        <is>
          <t>Max Damage Multiplier %</t>
        </is>
      </c>
      <c r="E155" t="n">
        <v>8</v>
      </c>
      <c r="F155" t="n">
        <v>0.96</v>
      </c>
      <c r="G155" t="b">
        <v>1</v>
      </c>
      <c r="H155">
        <f>Sensitivity!H14</f>
        <v/>
      </c>
    </row>
    <row r="156">
      <c r="A156" t="inlineStr">
        <is>
          <t>ALL</t>
        </is>
      </c>
      <c r="B156" t="inlineStr">
        <is>
          <t>epic</t>
        </is>
      </c>
      <c r="C156" t="n">
        <v>2</v>
      </c>
      <c r="D156" t="inlineStr">
        <is>
          <t>Str %</t>
        </is>
      </c>
      <c r="E156" t="n">
        <v>4.5</v>
      </c>
      <c r="F156" t="n">
        <v>3.42</v>
      </c>
      <c r="G156" t="b">
        <v>0</v>
      </c>
      <c r="H156" t="inlineStr">
        <is>
          <t>0</t>
        </is>
      </c>
    </row>
    <row r="157">
      <c r="A157" t="inlineStr">
        <is>
          <t>ALL</t>
        </is>
      </c>
      <c r="B157" t="inlineStr">
        <is>
          <t>epic</t>
        </is>
      </c>
      <c r="C157" t="n">
        <v>2</v>
      </c>
      <c r="D157" t="inlineStr">
        <is>
          <t>Str %</t>
        </is>
      </c>
      <c r="E157" t="n">
        <v>6</v>
      </c>
      <c r="F157" t="n">
        <v>1.08</v>
      </c>
      <c r="G157" t="b">
        <v>1</v>
      </c>
      <c r="H157" t="inlineStr">
        <is>
          <t>0</t>
        </is>
      </c>
    </row>
    <row r="158">
      <c r="A158" t="inlineStr">
        <is>
          <t>ALL</t>
        </is>
      </c>
      <c r="B158" t="inlineStr">
        <is>
          <t>epic</t>
        </is>
      </c>
      <c r="C158" t="n">
        <v>2</v>
      </c>
      <c r="D158" t="inlineStr">
        <is>
          <t>Dex %</t>
        </is>
      </c>
      <c r="E158" t="n">
        <v>4.5</v>
      </c>
      <c r="F158" t="n">
        <v>3.42</v>
      </c>
      <c r="G158" t="b">
        <v>0</v>
      </c>
      <c r="H158">
        <f>Sensitivity!H7</f>
        <v/>
      </c>
    </row>
    <row r="159">
      <c r="A159" t="inlineStr">
        <is>
          <t>ALL</t>
        </is>
      </c>
      <c r="B159" t="inlineStr">
        <is>
          <t>epic</t>
        </is>
      </c>
      <c r="C159" t="n">
        <v>2</v>
      </c>
      <c r="D159" t="inlineStr">
        <is>
          <t>Dex %</t>
        </is>
      </c>
      <c r="E159" t="n">
        <v>6</v>
      </c>
      <c r="F159" t="n">
        <v>1.08</v>
      </c>
      <c r="G159" t="b">
        <v>1</v>
      </c>
      <c r="H159">
        <f>Sensitivity!H7</f>
        <v/>
      </c>
    </row>
    <row r="160">
      <c r="A160" t="inlineStr">
        <is>
          <t>ALL</t>
        </is>
      </c>
      <c r="B160" t="inlineStr">
        <is>
          <t>epic</t>
        </is>
      </c>
      <c r="C160" t="n">
        <v>2</v>
      </c>
      <c r="D160" t="inlineStr">
        <is>
          <t>Int %</t>
        </is>
      </c>
      <c r="E160" t="n">
        <v>4.5</v>
      </c>
      <c r="F160" t="n">
        <v>3.42</v>
      </c>
      <c r="G160" t="b">
        <v>0</v>
      </c>
      <c r="H160" t="inlineStr">
        <is>
          <t>0</t>
        </is>
      </c>
    </row>
    <row r="161">
      <c r="A161" t="inlineStr">
        <is>
          <t>ALL</t>
        </is>
      </c>
      <c r="B161" t="inlineStr">
        <is>
          <t>epic</t>
        </is>
      </c>
      <c r="C161" t="n">
        <v>2</v>
      </c>
      <c r="D161" t="inlineStr">
        <is>
          <t>Int %</t>
        </is>
      </c>
      <c r="E161" t="n">
        <v>6</v>
      </c>
      <c r="F161" t="n">
        <v>1.08</v>
      </c>
      <c r="G161" t="b">
        <v>1</v>
      </c>
      <c r="H161" t="inlineStr">
        <is>
          <t>0</t>
        </is>
      </c>
    </row>
    <row r="162">
      <c r="A162" t="inlineStr">
        <is>
          <t>ALL</t>
        </is>
      </c>
      <c r="B162" t="inlineStr">
        <is>
          <t>epic</t>
        </is>
      </c>
      <c r="C162" t="n">
        <v>2</v>
      </c>
      <c r="D162" t="inlineStr">
        <is>
          <t>Luk %</t>
        </is>
      </c>
      <c r="E162" t="n">
        <v>4.5</v>
      </c>
      <c r="F162" t="n">
        <v>3.42</v>
      </c>
      <c r="G162" t="b">
        <v>0</v>
      </c>
      <c r="H162" t="inlineStr">
        <is>
          <t>0</t>
        </is>
      </c>
    </row>
    <row r="163">
      <c r="A163" t="inlineStr">
        <is>
          <t>ALL</t>
        </is>
      </c>
      <c r="B163" t="inlineStr">
        <is>
          <t>epic</t>
        </is>
      </c>
      <c r="C163" t="n">
        <v>2</v>
      </c>
      <c r="D163" t="inlineStr">
        <is>
          <t>Luk %</t>
        </is>
      </c>
      <c r="E163" t="n">
        <v>6</v>
      </c>
      <c r="F163" t="n">
        <v>1.08</v>
      </c>
      <c r="G163" t="b">
        <v>1</v>
      </c>
      <c r="H163" t="inlineStr">
        <is>
          <t>0</t>
        </is>
      </c>
    </row>
    <row r="164">
      <c r="A164" t="inlineStr">
        <is>
          <t>ALL</t>
        </is>
      </c>
      <c r="B164" t="inlineStr">
        <is>
          <t>epic</t>
        </is>
      </c>
      <c r="C164" t="n">
        <v>2</v>
      </c>
      <c r="D164" t="inlineStr">
        <is>
          <t>Defense %</t>
        </is>
      </c>
      <c r="E164" t="n">
        <v>4.5</v>
      </c>
      <c r="F164" t="n">
        <v>6.84</v>
      </c>
      <c r="G164" t="b">
        <v>0</v>
      </c>
      <c r="H164" t="inlineStr">
        <is>
          <t>0</t>
        </is>
      </c>
    </row>
    <row r="165">
      <c r="A165" t="inlineStr">
        <is>
          <t>ALL</t>
        </is>
      </c>
      <c r="B165" t="inlineStr">
        <is>
          <t>epic</t>
        </is>
      </c>
      <c r="C165" t="n">
        <v>2</v>
      </c>
      <c r="D165" t="inlineStr">
        <is>
          <t>Defense %</t>
        </is>
      </c>
      <c r="E165" t="n">
        <v>6</v>
      </c>
      <c r="F165" t="n">
        <v>2.16</v>
      </c>
      <c r="G165" t="b">
        <v>1</v>
      </c>
      <c r="H165" t="inlineStr">
        <is>
          <t>0</t>
        </is>
      </c>
    </row>
    <row r="166">
      <c r="A166" t="inlineStr">
        <is>
          <t>ALL</t>
        </is>
      </c>
      <c r="B166" t="inlineStr">
        <is>
          <t>epic</t>
        </is>
      </c>
      <c r="C166" t="n">
        <v>2</v>
      </c>
      <c r="D166" t="inlineStr">
        <is>
          <t>Max HP %</t>
        </is>
      </c>
      <c r="E166" t="n">
        <v>9</v>
      </c>
      <c r="F166" t="n">
        <v>6.84</v>
      </c>
      <c r="G166" t="b">
        <v>0</v>
      </c>
      <c r="H166" t="inlineStr">
        <is>
          <t>0</t>
        </is>
      </c>
    </row>
    <row r="167">
      <c r="A167" t="inlineStr">
        <is>
          <t>ALL</t>
        </is>
      </c>
      <c r="B167" t="inlineStr">
        <is>
          <t>epic</t>
        </is>
      </c>
      <c r="C167" t="n">
        <v>2</v>
      </c>
      <c r="D167" t="inlineStr">
        <is>
          <t>Max HP %</t>
        </is>
      </c>
      <c r="E167" t="n">
        <v>12</v>
      </c>
      <c r="F167" t="n">
        <v>2.16</v>
      </c>
      <c r="G167" t="b">
        <v>1</v>
      </c>
      <c r="H167" t="inlineStr">
        <is>
          <t>0</t>
        </is>
      </c>
    </row>
    <row r="168">
      <c r="A168" t="inlineStr">
        <is>
          <t>ALL</t>
        </is>
      </c>
      <c r="B168" t="inlineStr">
        <is>
          <t>epic</t>
        </is>
      </c>
      <c r="C168" t="n">
        <v>2</v>
      </c>
      <c r="D168" t="inlineStr">
        <is>
          <t>Max MP %</t>
        </is>
      </c>
      <c r="E168" t="n">
        <v>4.5</v>
      </c>
      <c r="F168" t="n">
        <v>6.84</v>
      </c>
      <c r="G168" t="b">
        <v>0</v>
      </c>
      <c r="H168" t="inlineStr">
        <is>
          <t>0</t>
        </is>
      </c>
    </row>
    <row r="169">
      <c r="A169" t="inlineStr">
        <is>
          <t>ALL</t>
        </is>
      </c>
      <c r="B169" t="inlineStr">
        <is>
          <t>epic</t>
        </is>
      </c>
      <c r="C169" t="n">
        <v>2</v>
      </c>
      <c r="D169" t="inlineStr">
        <is>
          <t>Max MP %</t>
        </is>
      </c>
      <c r="E169" t="n">
        <v>6</v>
      </c>
      <c r="F169" t="n">
        <v>2.16</v>
      </c>
      <c r="G169" t="b">
        <v>1</v>
      </c>
      <c r="H169" t="inlineStr">
        <is>
          <t>0</t>
        </is>
      </c>
    </row>
    <row r="170">
      <c r="A170" t="inlineStr">
        <is>
          <t>ALL</t>
        </is>
      </c>
      <c r="B170" t="inlineStr">
        <is>
          <t>epic</t>
        </is>
      </c>
      <c r="C170" t="n">
        <v>2</v>
      </c>
      <c r="D170" t="inlineStr">
        <is>
          <t>Str</t>
        </is>
      </c>
      <c r="E170" t="n">
        <v>100</v>
      </c>
      <c r="F170" t="n">
        <v>7.22</v>
      </c>
      <c r="G170" t="b">
        <v>0</v>
      </c>
      <c r="H170" t="inlineStr">
        <is>
          <t>0</t>
        </is>
      </c>
    </row>
    <row r="171">
      <c r="A171" t="inlineStr">
        <is>
          <t>ALL</t>
        </is>
      </c>
      <c r="B171" t="inlineStr">
        <is>
          <t>epic</t>
        </is>
      </c>
      <c r="C171" t="n">
        <v>2</v>
      </c>
      <c r="D171" t="inlineStr">
        <is>
          <t>Str</t>
        </is>
      </c>
      <c r="E171" t="n">
        <v>200</v>
      </c>
      <c r="F171" t="n">
        <v>2.22</v>
      </c>
      <c r="G171" t="b">
        <v>1</v>
      </c>
      <c r="H171" t="inlineStr">
        <is>
          <t>0</t>
        </is>
      </c>
    </row>
    <row r="172">
      <c r="A172" t="inlineStr">
        <is>
          <t>ALL</t>
        </is>
      </c>
      <c r="B172" t="inlineStr">
        <is>
          <t>epic</t>
        </is>
      </c>
      <c r="C172" t="n">
        <v>2</v>
      </c>
      <c r="D172" t="inlineStr">
        <is>
          <t>Dex</t>
        </is>
      </c>
      <c r="E172" t="n">
        <v>100</v>
      </c>
      <c r="F172" t="n">
        <v>7.22</v>
      </c>
      <c r="G172" t="b">
        <v>0</v>
      </c>
      <c r="H172">
        <f>Sensitivity!H7</f>
        <v/>
      </c>
    </row>
    <row r="173">
      <c r="A173" t="inlineStr">
        <is>
          <t>ALL</t>
        </is>
      </c>
      <c r="B173" t="inlineStr">
        <is>
          <t>epic</t>
        </is>
      </c>
      <c r="C173" t="n">
        <v>2</v>
      </c>
      <c r="D173" t="inlineStr">
        <is>
          <t>Dex</t>
        </is>
      </c>
      <c r="E173" t="n">
        <v>200</v>
      </c>
      <c r="F173" t="n">
        <v>2.22</v>
      </c>
      <c r="G173" t="b">
        <v>1</v>
      </c>
      <c r="H173">
        <f>Sensitivity!H7</f>
        <v/>
      </c>
    </row>
    <row r="174">
      <c r="A174" t="inlineStr">
        <is>
          <t>ALL</t>
        </is>
      </c>
      <c r="B174" t="inlineStr">
        <is>
          <t>epic</t>
        </is>
      </c>
      <c r="C174" t="n">
        <v>2</v>
      </c>
      <c r="D174" t="inlineStr">
        <is>
          <t>Int</t>
        </is>
      </c>
      <c r="E174" t="n">
        <v>100</v>
      </c>
      <c r="F174" t="n">
        <v>7.22</v>
      </c>
      <c r="G174" t="b">
        <v>0</v>
      </c>
      <c r="H174" t="inlineStr">
        <is>
          <t>0</t>
        </is>
      </c>
    </row>
    <row r="175">
      <c r="A175" t="inlineStr">
        <is>
          <t>ALL</t>
        </is>
      </c>
      <c r="B175" t="inlineStr">
        <is>
          <t>epic</t>
        </is>
      </c>
      <c r="C175" t="n">
        <v>2</v>
      </c>
      <c r="D175" t="inlineStr">
        <is>
          <t>Int</t>
        </is>
      </c>
      <c r="E175" t="n">
        <v>200</v>
      </c>
      <c r="F175" t="n">
        <v>2.22</v>
      </c>
      <c r="G175" t="b">
        <v>1</v>
      </c>
      <c r="H175" t="inlineStr">
        <is>
          <t>0</t>
        </is>
      </c>
    </row>
    <row r="176">
      <c r="A176" t="inlineStr">
        <is>
          <t>ALL</t>
        </is>
      </c>
      <c r="B176" t="inlineStr">
        <is>
          <t>epic</t>
        </is>
      </c>
      <c r="C176" t="n">
        <v>2</v>
      </c>
      <c r="D176" t="inlineStr">
        <is>
          <t>Luk</t>
        </is>
      </c>
      <c r="E176" t="n">
        <v>100</v>
      </c>
      <c r="F176" t="n">
        <v>7.22</v>
      </c>
      <c r="G176" t="b">
        <v>0</v>
      </c>
      <c r="H176" t="inlineStr">
        <is>
          <t>0</t>
        </is>
      </c>
    </row>
    <row r="177">
      <c r="A177" t="inlineStr">
        <is>
          <t>ALL</t>
        </is>
      </c>
      <c r="B177" t="inlineStr">
        <is>
          <t>epic</t>
        </is>
      </c>
      <c r="C177" t="n">
        <v>2</v>
      </c>
      <c r="D177" t="inlineStr">
        <is>
          <t>Luk</t>
        </is>
      </c>
      <c r="E177" t="n">
        <v>200</v>
      </c>
      <c r="F177" t="n">
        <v>2.22</v>
      </c>
      <c r="G177" t="b">
        <v>1</v>
      </c>
      <c r="H177" t="inlineStr">
        <is>
          <t>0</t>
        </is>
      </c>
    </row>
    <row r="178">
      <c r="A178" t="inlineStr">
        <is>
          <t>ALL</t>
        </is>
      </c>
      <c r="B178" t="inlineStr">
        <is>
          <t>epic</t>
        </is>
      </c>
      <c r="C178" t="n">
        <v>3</v>
      </c>
      <c r="D178" t="inlineStr">
        <is>
          <t>Critical Rate %</t>
        </is>
      </c>
      <c r="E178" t="n">
        <v>4.5</v>
      </c>
      <c r="F178" t="n">
        <v>2.3</v>
      </c>
      <c r="G178" t="b">
        <v>0</v>
      </c>
      <c r="H178">
        <f>IF(Inputs!$B$8&gt;=100,Sensitivity!H16,Sensitivity!H15)</f>
        <v/>
      </c>
    </row>
    <row r="179">
      <c r="A179" t="inlineStr">
        <is>
          <t>ALL</t>
        </is>
      </c>
      <c r="B179" t="inlineStr">
        <is>
          <t>epic</t>
        </is>
      </c>
      <c r="C179" t="n">
        <v>3</v>
      </c>
      <c r="D179" t="inlineStr">
        <is>
          <t>Critical Rate %</t>
        </is>
      </c>
      <c r="E179" t="n">
        <v>6</v>
      </c>
      <c r="F179" t="n">
        <v>0.2</v>
      </c>
      <c r="G179" t="b">
        <v>1</v>
      </c>
      <c r="H179">
        <f>IF(Inputs!$B$8&gt;=100,Sensitivity!H16,Sensitivity!H15)</f>
        <v/>
      </c>
    </row>
    <row r="180">
      <c r="A180" t="inlineStr">
        <is>
          <t>ALL</t>
        </is>
      </c>
      <c r="B180" t="inlineStr">
        <is>
          <t>epic</t>
        </is>
      </c>
      <c r="C180" t="n">
        <v>3</v>
      </c>
      <c r="D180" t="inlineStr">
        <is>
          <t>Attack Speed %</t>
        </is>
      </c>
      <c r="E180" t="n">
        <v>3.5</v>
      </c>
      <c r="F180" t="n">
        <v>2.3</v>
      </c>
      <c r="G180" t="b">
        <v>0</v>
      </c>
      <c r="H180">
        <f>Sensitivity!H17</f>
        <v/>
      </c>
    </row>
    <row r="181">
      <c r="A181" t="inlineStr">
        <is>
          <t>ALL</t>
        </is>
      </c>
      <c r="B181" t="inlineStr">
        <is>
          <t>epic</t>
        </is>
      </c>
      <c r="C181" t="n">
        <v>3</v>
      </c>
      <c r="D181" t="inlineStr">
        <is>
          <t>Attack Speed %</t>
        </is>
      </c>
      <c r="E181" t="n">
        <v>4</v>
      </c>
      <c r="F181" t="n">
        <v>0.2</v>
      </c>
      <c r="G181" t="b">
        <v>1</v>
      </c>
      <c r="H181">
        <f>Sensitivity!H17</f>
        <v/>
      </c>
    </row>
    <row r="182">
      <c r="A182" t="inlineStr">
        <is>
          <t>ALL</t>
        </is>
      </c>
      <c r="B182" t="inlineStr">
        <is>
          <t>epic</t>
        </is>
      </c>
      <c r="C182" t="n">
        <v>3</v>
      </c>
      <c r="D182" t="inlineStr">
        <is>
          <t>Damage %</t>
        </is>
      </c>
      <c r="E182" t="n">
        <v>8</v>
      </c>
      <c r="F182" t="n">
        <v>3.68</v>
      </c>
      <c r="G182" t="b">
        <v>0</v>
      </c>
      <c r="H182">
        <f>Sensitivity!H8</f>
        <v/>
      </c>
    </row>
    <row r="183">
      <c r="A183" t="inlineStr">
        <is>
          <t>ALL</t>
        </is>
      </c>
      <c r="B183" t="inlineStr">
        <is>
          <t>epic</t>
        </is>
      </c>
      <c r="C183" t="n">
        <v>3</v>
      </c>
      <c r="D183" t="inlineStr">
        <is>
          <t>Damage %</t>
        </is>
      </c>
      <c r="E183" t="n">
        <v>12</v>
      </c>
      <c r="F183" t="n">
        <v>0.32</v>
      </c>
      <c r="G183" t="b">
        <v>1</v>
      </c>
      <c r="H183">
        <f>Sensitivity!H8</f>
        <v/>
      </c>
    </row>
    <row r="184">
      <c r="A184" t="inlineStr">
        <is>
          <t>ALL</t>
        </is>
      </c>
      <c r="B184" t="inlineStr">
        <is>
          <t>epic</t>
        </is>
      </c>
      <c r="C184" t="n">
        <v>3</v>
      </c>
      <c r="D184" t="inlineStr">
        <is>
          <t>Min Damage Multiplier %</t>
        </is>
      </c>
      <c r="E184" t="n">
        <v>6</v>
      </c>
      <c r="F184" t="n">
        <v>3.68</v>
      </c>
      <c r="G184" t="b">
        <v>0</v>
      </c>
      <c r="H184">
        <f>Sensitivity!H13</f>
        <v/>
      </c>
    </row>
    <row r="185">
      <c r="A185" t="inlineStr">
        <is>
          <t>ALL</t>
        </is>
      </c>
      <c r="B185" t="inlineStr">
        <is>
          <t>epic</t>
        </is>
      </c>
      <c r="C185" t="n">
        <v>3</v>
      </c>
      <c r="D185" t="inlineStr">
        <is>
          <t>Min Damage Multiplier %</t>
        </is>
      </c>
      <c r="E185" t="n">
        <v>8</v>
      </c>
      <c r="F185" t="n">
        <v>0.32</v>
      </c>
      <c r="G185" t="b">
        <v>1</v>
      </c>
      <c r="H185">
        <f>Sensitivity!H13</f>
        <v/>
      </c>
    </row>
    <row r="186">
      <c r="A186" t="inlineStr">
        <is>
          <t>ALL</t>
        </is>
      </c>
      <c r="B186" t="inlineStr">
        <is>
          <t>epic</t>
        </is>
      </c>
      <c r="C186" t="n">
        <v>3</v>
      </c>
      <c r="D186" t="inlineStr">
        <is>
          <t>Max Damage Multiplier %</t>
        </is>
      </c>
      <c r="E186" t="n">
        <v>6</v>
      </c>
      <c r="F186" t="n">
        <v>3.68</v>
      </c>
      <c r="G186" t="b">
        <v>0</v>
      </c>
      <c r="H186">
        <f>Sensitivity!H14</f>
        <v/>
      </c>
    </row>
    <row r="187">
      <c r="A187" t="inlineStr">
        <is>
          <t>ALL</t>
        </is>
      </c>
      <c r="B187" t="inlineStr">
        <is>
          <t>epic</t>
        </is>
      </c>
      <c r="C187" t="n">
        <v>3</v>
      </c>
      <c r="D187" t="inlineStr">
        <is>
          <t>Max Damage Multiplier %</t>
        </is>
      </c>
      <c r="E187" t="n">
        <v>8</v>
      </c>
      <c r="F187" t="n">
        <v>0.32</v>
      </c>
      <c r="G187" t="b">
        <v>1</v>
      </c>
      <c r="H187">
        <f>Sensitivity!H14</f>
        <v/>
      </c>
    </row>
    <row r="188">
      <c r="A188" t="inlineStr">
        <is>
          <t>ALL</t>
        </is>
      </c>
      <c r="B188" t="inlineStr">
        <is>
          <t>epic</t>
        </is>
      </c>
      <c r="C188" t="n">
        <v>3</v>
      </c>
      <c r="D188" t="inlineStr">
        <is>
          <t>Str %</t>
        </is>
      </c>
      <c r="E188" t="n">
        <v>4.5</v>
      </c>
      <c r="F188" t="n">
        <v>4.14</v>
      </c>
      <c r="G188" t="b">
        <v>0</v>
      </c>
      <c r="H188" t="inlineStr">
        <is>
          <t>0</t>
        </is>
      </c>
    </row>
    <row r="189">
      <c r="A189" t="inlineStr">
        <is>
          <t>ALL</t>
        </is>
      </c>
      <c r="B189" t="inlineStr">
        <is>
          <t>epic</t>
        </is>
      </c>
      <c r="C189" t="n">
        <v>3</v>
      </c>
      <c r="D189" t="inlineStr">
        <is>
          <t>Str %</t>
        </is>
      </c>
      <c r="E189" t="n">
        <v>6</v>
      </c>
      <c r="F189" t="n">
        <v>0.36</v>
      </c>
      <c r="G189" t="b">
        <v>1</v>
      </c>
      <c r="H189" t="inlineStr">
        <is>
          <t>0</t>
        </is>
      </c>
    </row>
    <row r="190">
      <c r="A190" t="inlineStr">
        <is>
          <t>ALL</t>
        </is>
      </c>
      <c r="B190" t="inlineStr">
        <is>
          <t>epic</t>
        </is>
      </c>
      <c r="C190" t="n">
        <v>3</v>
      </c>
      <c r="D190" t="inlineStr">
        <is>
          <t>Dex %</t>
        </is>
      </c>
      <c r="E190" t="n">
        <v>4.5</v>
      </c>
      <c r="F190" t="n">
        <v>4.14</v>
      </c>
      <c r="G190" t="b">
        <v>0</v>
      </c>
      <c r="H190">
        <f>Sensitivity!H7</f>
        <v/>
      </c>
    </row>
    <row r="191">
      <c r="A191" t="inlineStr">
        <is>
          <t>ALL</t>
        </is>
      </c>
      <c r="B191" t="inlineStr">
        <is>
          <t>epic</t>
        </is>
      </c>
      <c r="C191" t="n">
        <v>3</v>
      </c>
      <c r="D191" t="inlineStr">
        <is>
          <t>Dex %</t>
        </is>
      </c>
      <c r="E191" t="n">
        <v>6</v>
      </c>
      <c r="F191" t="n">
        <v>0.36</v>
      </c>
      <c r="G191" t="b">
        <v>1</v>
      </c>
      <c r="H191">
        <f>Sensitivity!H7</f>
        <v/>
      </c>
    </row>
    <row r="192">
      <c r="A192" t="inlineStr">
        <is>
          <t>ALL</t>
        </is>
      </c>
      <c r="B192" t="inlineStr">
        <is>
          <t>epic</t>
        </is>
      </c>
      <c r="C192" t="n">
        <v>3</v>
      </c>
      <c r="D192" t="inlineStr">
        <is>
          <t>Int %</t>
        </is>
      </c>
      <c r="E192" t="n">
        <v>4.5</v>
      </c>
      <c r="F192" t="n">
        <v>4.14</v>
      </c>
      <c r="G192" t="b">
        <v>0</v>
      </c>
      <c r="H192" t="inlineStr">
        <is>
          <t>0</t>
        </is>
      </c>
    </row>
    <row r="193">
      <c r="A193" t="inlineStr">
        <is>
          <t>ALL</t>
        </is>
      </c>
      <c r="B193" t="inlineStr">
        <is>
          <t>epic</t>
        </is>
      </c>
      <c r="C193" t="n">
        <v>3</v>
      </c>
      <c r="D193" t="inlineStr">
        <is>
          <t>Int %</t>
        </is>
      </c>
      <c r="E193" t="n">
        <v>6</v>
      </c>
      <c r="F193" t="n">
        <v>0.36</v>
      </c>
      <c r="G193" t="b">
        <v>1</v>
      </c>
      <c r="H193" t="inlineStr">
        <is>
          <t>0</t>
        </is>
      </c>
    </row>
    <row r="194">
      <c r="A194" t="inlineStr">
        <is>
          <t>ALL</t>
        </is>
      </c>
      <c r="B194" t="inlineStr">
        <is>
          <t>epic</t>
        </is>
      </c>
      <c r="C194" t="n">
        <v>3</v>
      </c>
      <c r="D194" t="inlineStr">
        <is>
          <t>Luk %</t>
        </is>
      </c>
      <c r="E194" t="n">
        <v>4.5</v>
      </c>
      <c r="F194" t="n">
        <v>4.14</v>
      </c>
      <c r="G194" t="b">
        <v>0</v>
      </c>
      <c r="H194" t="inlineStr">
        <is>
          <t>0</t>
        </is>
      </c>
    </row>
    <row r="195">
      <c r="A195" t="inlineStr">
        <is>
          <t>ALL</t>
        </is>
      </c>
      <c r="B195" t="inlineStr">
        <is>
          <t>epic</t>
        </is>
      </c>
      <c r="C195" t="n">
        <v>3</v>
      </c>
      <c r="D195" t="inlineStr">
        <is>
          <t>Luk %</t>
        </is>
      </c>
      <c r="E195" t="n">
        <v>6</v>
      </c>
      <c r="F195" t="n">
        <v>0.36</v>
      </c>
      <c r="G195" t="b">
        <v>1</v>
      </c>
      <c r="H195" t="inlineStr">
        <is>
          <t>0</t>
        </is>
      </c>
    </row>
    <row r="196">
      <c r="A196" t="inlineStr">
        <is>
          <t>ALL</t>
        </is>
      </c>
      <c r="B196" t="inlineStr">
        <is>
          <t>epic</t>
        </is>
      </c>
      <c r="C196" t="n">
        <v>3</v>
      </c>
      <c r="D196" t="inlineStr">
        <is>
          <t>Defense %</t>
        </is>
      </c>
      <c r="E196" t="n">
        <v>4.5</v>
      </c>
      <c r="F196" t="n">
        <v>8.279999999999999</v>
      </c>
      <c r="G196" t="b">
        <v>0</v>
      </c>
      <c r="H196" t="inlineStr">
        <is>
          <t>0</t>
        </is>
      </c>
    </row>
    <row r="197">
      <c r="A197" t="inlineStr">
        <is>
          <t>ALL</t>
        </is>
      </c>
      <c r="B197" t="inlineStr">
        <is>
          <t>epic</t>
        </is>
      </c>
      <c r="C197" t="n">
        <v>3</v>
      </c>
      <c r="D197" t="inlineStr">
        <is>
          <t>Defense %</t>
        </is>
      </c>
      <c r="E197" t="n">
        <v>6</v>
      </c>
      <c r="F197" t="n">
        <v>0.72</v>
      </c>
      <c r="G197" t="b">
        <v>1</v>
      </c>
      <c r="H197" t="inlineStr">
        <is>
          <t>0</t>
        </is>
      </c>
    </row>
    <row r="198">
      <c r="A198" t="inlineStr">
        <is>
          <t>ALL</t>
        </is>
      </c>
      <c r="B198" t="inlineStr">
        <is>
          <t>epic</t>
        </is>
      </c>
      <c r="C198" t="n">
        <v>3</v>
      </c>
      <c r="D198" t="inlineStr">
        <is>
          <t>Max HP %</t>
        </is>
      </c>
      <c r="E198" t="n">
        <v>9</v>
      </c>
      <c r="F198" t="n">
        <v>8.279999999999999</v>
      </c>
      <c r="G198" t="b">
        <v>0</v>
      </c>
      <c r="H198" t="inlineStr">
        <is>
          <t>0</t>
        </is>
      </c>
    </row>
    <row r="199">
      <c r="A199" t="inlineStr">
        <is>
          <t>ALL</t>
        </is>
      </c>
      <c r="B199" t="inlineStr">
        <is>
          <t>epic</t>
        </is>
      </c>
      <c r="C199" t="n">
        <v>3</v>
      </c>
      <c r="D199" t="inlineStr">
        <is>
          <t>Max HP %</t>
        </is>
      </c>
      <c r="E199" t="n">
        <v>12</v>
      </c>
      <c r="F199" t="n">
        <v>0.72</v>
      </c>
      <c r="G199" t="b">
        <v>1</v>
      </c>
      <c r="H199" t="inlineStr">
        <is>
          <t>0</t>
        </is>
      </c>
    </row>
    <row r="200">
      <c r="A200" t="inlineStr">
        <is>
          <t>ALL</t>
        </is>
      </c>
      <c r="B200" t="inlineStr">
        <is>
          <t>epic</t>
        </is>
      </c>
      <c r="C200" t="n">
        <v>3</v>
      </c>
      <c r="D200" t="inlineStr">
        <is>
          <t>Max MP %</t>
        </is>
      </c>
      <c r="E200" t="n">
        <v>4.5</v>
      </c>
      <c r="F200" t="n">
        <v>8.279999999999999</v>
      </c>
      <c r="G200" t="b">
        <v>0</v>
      </c>
      <c r="H200" t="inlineStr">
        <is>
          <t>0</t>
        </is>
      </c>
    </row>
    <row r="201">
      <c r="A201" t="inlineStr">
        <is>
          <t>ALL</t>
        </is>
      </c>
      <c r="B201" t="inlineStr">
        <is>
          <t>epic</t>
        </is>
      </c>
      <c r="C201" t="n">
        <v>3</v>
      </c>
      <c r="D201" t="inlineStr">
        <is>
          <t>Max MP %</t>
        </is>
      </c>
      <c r="E201" t="n">
        <v>6</v>
      </c>
      <c r="F201" t="n">
        <v>0.72</v>
      </c>
      <c r="G201" t="b">
        <v>1</v>
      </c>
      <c r="H201" t="inlineStr">
        <is>
          <t>0</t>
        </is>
      </c>
    </row>
    <row r="202">
      <c r="A202" t="inlineStr">
        <is>
          <t>ALL</t>
        </is>
      </c>
      <c r="B202" t="inlineStr">
        <is>
          <t>epic</t>
        </is>
      </c>
      <c r="C202" t="n">
        <v>3</v>
      </c>
      <c r="D202" t="inlineStr">
        <is>
          <t>Str</t>
        </is>
      </c>
      <c r="E202" t="n">
        <v>100</v>
      </c>
      <c r="F202" t="n">
        <v>8.74</v>
      </c>
      <c r="G202" t="b">
        <v>0</v>
      </c>
      <c r="H202" t="inlineStr">
        <is>
          <t>0</t>
        </is>
      </c>
    </row>
    <row r="203">
      <c r="A203" t="inlineStr">
        <is>
          <t>ALL</t>
        </is>
      </c>
      <c r="B203" t="inlineStr">
        <is>
          <t>epic</t>
        </is>
      </c>
      <c r="C203" t="n">
        <v>3</v>
      </c>
      <c r="D203" t="inlineStr">
        <is>
          <t>Str</t>
        </is>
      </c>
      <c r="E203" t="n">
        <v>200</v>
      </c>
      <c r="F203" t="n">
        <v>0.74</v>
      </c>
      <c r="G203" t="b">
        <v>1</v>
      </c>
      <c r="H203" t="inlineStr">
        <is>
          <t>0</t>
        </is>
      </c>
    </row>
    <row r="204">
      <c r="A204" t="inlineStr">
        <is>
          <t>ALL</t>
        </is>
      </c>
      <c r="B204" t="inlineStr">
        <is>
          <t>epic</t>
        </is>
      </c>
      <c r="C204" t="n">
        <v>3</v>
      </c>
      <c r="D204" t="inlineStr">
        <is>
          <t>Dex</t>
        </is>
      </c>
      <c r="E204" t="n">
        <v>100</v>
      </c>
      <c r="F204" t="n">
        <v>8.74</v>
      </c>
      <c r="G204" t="b">
        <v>0</v>
      </c>
      <c r="H204">
        <f>Sensitivity!H7</f>
        <v/>
      </c>
    </row>
    <row r="205">
      <c r="A205" t="inlineStr">
        <is>
          <t>ALL</t>
        </is>
      </c>
      <c r="B205" t="inlineStr">
        <is>
          <t>epic</t>
        </is>
      </c>
      <c r="C205" t="n">
        <v>3</v>
      </c>
      <c r="D205" t="inlineStr">
        <is>
          <t>Dex</t>
        </is>
      </c>
      <c r="E205" t="n">
        <v>200</v>
      </c>
      <c r="F205" t="n">
        <v>0.74</v>
      </c>
      <c r="G205" t="b">
        <v>1</v>
      </c>
      <c r="H205">
        <f>Sensitivity!H7</f>
        <v/>
      </c>
    </row>
    <row r="206">
      <c r="A206" t="inlineStr">
        <is>
          <t>ALL</t>
        </is>
      </c>
      <c r="B206" t="inlineStr">
        <is>
          <t>epic</t>
        </is>
      </c>
      <c r="C206" t="n">
        <v>3</v>
      </c>
      <c r="D206" t="inlineStr">
        <is>
          <t>Int</t>
        </is>
      </c>
      <c r="E206" t="n">
        <v>100</v>
      </c>
      <c r="F206" t="n">
        <v>8.74</v>
      </c>
      <c r="G206" t="b">
        <v>0</v>
      </c>
      <c r="H206" t="inlineStr">
        <is>
          <t>0</t>
        </is>
      </c>
    </row>
    <row r="207">
      <c r="A207" t="inlineStr">
        <is>
          <t>ALL</t>
        </is>
      </c>
      <c r="B207" t="inlineStr">
        <is>
          <t>epic</t>
        </is>
      </c>
      <c r="C207" t="n">
        <v>3</v>
      </c>
      <c r="D207" t="inlineStr">
        <is>
          <t>Int</t>
        </is>
      </c>
      <c r="E207" t="n">
        <v>200</v>
      </c>
      <c r="F207" t="n">
        <v>0.74</v>
      </c>
      <c r="G207" t="b">
        <v>1</v>
      </c>
      <c r="H207" t="inlineStr">
        <is>
          <t>0</t>
        </is>
      </c>
    </row>
    <row r="208">
      <c r="A208" t="inlineStr">
        <is>
          <t>ALL</t>
        </is>
      </c>
      <c r="B208" t="inlineStr">
        <is>
          <t>epic</t>
        </is>
      </c>
      <c r="C208" t="n">
        <v>3</v>
      </c>
      <c r="D208" t="inlineStr">
        <is>
          <t>Luk</t>
        </is>
      </c>
      <c r="E208" t="n">
        <v>100</v>
      </c>
      <c r="F208" t="n">
        <v>8.74</v>
      </c>
      <c r="G208" t="b">
        <v>0</v>
      </c>
      <c r="H208" t="inlineStr">
        <is>
          <t>0</t>
        </is>
      </c>
    </row>
    <row r="209">
      <c r="A209" t="inlineStr">
        <is>
          <t>ALL</t>
        </is>
      </c>
      <c r="B209" t="inlineStr">
        <is>
          <t>epic</t>
        </is>
      </c>
      <c r="C209" t="n">
        <v>3</v>
      </c>
      <c r="D209" t="inlineStr">
        <is>
          <t>Luk</t>
        </is>
      </c>
      <c r="E209" t="n">
        <v>200</v>
      </c>
      <c r="F209" t="n">
        <v>0.74</v>
      </c>
      <c r="G209" t="b">
        <v>1</v>
      </c>
      <c r="H209" t="inlineStr">
        <is>
          <t>0</t>
        </is>
      </c>
    </row>
    <row r="210">
      <c r="A210" t="inlineStr">
        <is>
          <t>ALL</t>
        </is>
      </c>
      <c r="B210" t="inlineStr">
        <is>
          <t>unique</t>
        </is>
      </c>
      <c r="C210" t="n">
        <v>1</v>
      </c>
      <c r="D210" t="inlineStr">
        <is>
          <t>Critical Rate %</t>
        </is>
      </c>
      <c r="E210" t="n">
        <v>9</v>
      </c>
      <c r="F210" t="n">
        <v>2.5</v>
      </c>
      <c r="G210" t="b">
        <v>1</v>
      </c>
      <c r="H210">
        <f>IF(Inputs!$B$8&gt;=100,Sensitivity!H16,Sensitivity!H15)</f>
        <v/>
      </c>
    </row>
    <row r="211">
      <c r="A211" t="inlineStr">
        <is>
          <t>ALL</t>
        </is>
      </c>
      <c r="B211" t="inlineStr">
        <is>
          <t>unique</t>
        </is>
      </c>
      <c r="C211" t="n">
        <v>1</v>
      </c>
      <c r="D211" t="inlineStr">
        <is>
          <t>Attack Speed %</t>
        </is>
      </c>
      <c r="E211" t="n">
        <v>5</v>
      </c>
      <c r="F211" t="n">
        <v>2.5</v>
      </c>
      <c r="G211" t="b">
        <v>1</v>
      </c>
      <c r="H211">
        <f>Sensitivity!H17</f>
        <v/>
      </c>
    </row>
    <row r="212">
      <c r="A212" t="inlineStr">
        <is>
          <t>ALL</t>
        </is>
      </c>
      <c r="B212" t="inlineStr">
        <is>
          <t>unique</t>
        </is>
      </c>
      <c r="C212" t="n">
        <v>1</v>
      </c>
      <c r="D212" t="inlineStr">
        <is>
          <t>Damage %</t>
        </is>
      </c>
      <c r="E212" t="n">
        <v>18</v>
      </c>
      <c r="F212" t="n">
        <v>4</v>
      </c>
      <c r="G212" t="b">
        <v>1</v>
      </c>
      <c r="H212">
        <f>Sensitivity!H8</f>
        <v/>
      </c>
    </row>
    <row r="213">
      <c r="A213" t="inlineStr">
        <is>
          <t>ALL</t>
        </is>
      </c>
      <c r="B213" t="inlineStr">
        <is>
          <t>unique</t>
        </is>
      </c>
      <c r="C213" t="n">
        <v>1</v>
      </c>
      <c r="D213" t="inlineStr">
        <is>
          <t>Min Damage Multiplier %</t>
        </is>
      </c>
      <c r="E213" t="n">
        <v>10</v>
      </c>
      <c r="F213" t="n">
        <v>4</v>
      </c>
      <c r="G213" t="b">
        <v>1</v>
      </c>
      <c r="H213">
        <f>Sensitivity!H13</f>
        <v/>
      </c>
    </row>
    <row r="214">
      <c r="A214" t="inlineStr">
        <is>
          <t>ALL</t>
        </is>
      </c>
      <c r="B214" t="inlineStr">
        <is>
          <t>unique</t>
        </is>
      </c>
      <c r="C214" t="n">
        <v>1</v>
      </c>
      <c r="D214" t="inlineStr">
        <is>
          <t>Max Damage Multiplier %</t>
        </is>
      </c>
      <c r="E214" t="n">
        <v>10</v>
      </c>
      <c r="F214" t="n">
        <v>4</v>
      </c>
      <c r="G214" t="b">
        <v>1</v>
      </c>
      <c r="H214">
        <f>Sensitivity!H14</f>
        <v/>
      </c>
    </row>
    <row r="215">
      <c r="A215" t="inlineStr">
        <is>
          <t>ALL</t>
        </is>
      </c>
      <c r="B215" t="inlineStr">
        <is>
          <t>unique</t>
        </is>
      </c>
      <c r="C215" t="n">
        <v>1</v>
      </c>
      <c r="D215" t="inlineStr">
        <is>
          <t>Str %</t>
        </is>
      </c>
      <c r="E215" t="n">
        <v>9</v>
      </c>
      <c r="F215" t="n">
        <v>4.5</v>
      </c>
      <c r="G215" t="b">
        <v>1</v>
      </c>
      <c r="H215" t="inlineStr">
        <is>
          <t>0</t>
        </is>
      </c>
    </row>
    <row r="216">
      <c r="A216" t="inlineStr">
        <is>
          <t>ALL</t>
        </is>
      </c>
      <c r="B216" t="inlineStr">
        <is>
          <t>unique</t>
        </is>
      </c>
      <c r="C216" t="n">
        <v>1</v>
      </c>
      <c r="D216" t="inlineStr">
        <is>
          <t>Dex %</t>
        </is>
      </c>
      <c r="E216" t="n">
        <v>9</v>
      </c>
      <c r="F216" t="n">
        <v>4.5</v>
      </c>
      <c r="G216" t="b">
        <v>1</v>
      </c>
      <c r="H216">
        <f>Sensitivity!H7</f>
        <v/>
      </c>
    </row>
    <row r="217">
      <c r="A217" t="inlineStr">
        <is>
          <t>ALL</t>
        </is>
      </c>
      <c r="B217" t="inlineStr">
        <is>
          <t>unique</t>
        </is>
      </c>
      <c r="C217" t="n">
        <v>1</v>
      </c>
      <c r="D217" t="inlineStr">
        <is>
          <t>Int %</t>
        </is>
      </c>
      <c r="E217" t="n">
        <v>9</v>
      </c>
      <c r="F217" t="n">
        <v>4.5</v>
      </c>
      <c r="G217" t="b">
        <v>1</v>
      </c>
      <c r="H217" t="inlineStr">
        <is>
          <t>0</t>
        </is>
      </c>
    </row>
    <row r="218">
      <c r="A218" t="inlineStr">
        <is>
          <t>ALL</t>
        </is>
      </c>
      <c r="B218" t="inlineStr">
        <is>
          <t>unique</t>
        </is>
      </c>
      <c r="C218" t="n">
        <v>1</v>
      </c>
      <c r="D218" t="inlineStr">
        <is>
          <t>Luk %</t>
        </is>
      </c>
      <c r="E218" t="n">
        <v>9</v>
      </c>
      <c r="F218" t="n">
        <v>4.5</v>
      </c>
      <c r="G218" t="b">
        <v>1</v>
      </c>
      <c r="H218" t="inlineStr">
        <is>
          <t>0</t>
        </is>
      </c>
    </row>
    <row r="219">
      <c r="A219" t="inlineStr">
        <is>
          <t>ALL</t>
        </is>
      </c>
      <c r="B219" t="inlineStr">
        <is>
          <t>unique</t>
        </is>
      </c>
      <c r="C219" t="n">
        <v>1</v>
      </c>
      <c r="D219" t="inlineStr">
        <is>
          <t>Defense %</t>
        </is>
      </c>
      <c r="E219" t="n">
        <v>9</v>
      </c>
      <c r="F219" t="n">
        <v>9</v>
      </c>
      <c r="G219" t="b">
        <v>1</v>
      </c>
      <c r="H219" t="inlineStr">
        <is>
          <t>0</t>
        </is>
      </c>
    </row>
    <row r="220">
      <c r="A220" t="inlineStr">
        <is>
          <t>ALL</t>
        </is>
      </c>
      <c r="B220" t="inlineStr">
        <is>
          <t>unique</t>
        </is>
      </c>
      <c r="C220" t="n">
        <v>1</v>
      </c>
      <c r="D220" t="inlineStr">
        <is>
          <t>Max HP %</t>
        </is>
      </c>
      <c r="E220" t="n">
        <v>15</v>
      </c>
      <c r="F220" t="n">
        <v>9</v>
      </c>
      <c r="G220" t="b">
        <v>1</v>
      </c>
      <c r="H220" t="inlineStr">
        <is>
          <t>0</t>
        </is>
      </c>
    </row>
    <row r="221">
      <c r="A221" t="inlineStr">
        <is>
          <t>ALL</t>
        </is>
      </c>
      <c r="B221" t="inlineStr">
        <is>
          <t>unique</t>
        </is>
      </c>
      <c r="C221" t="n">
        <v>1</v>
      </c>
      <c r="D221" t="inlineStr">
        <is>
          <t>Max MP %</t>
        </is>
      </c>
      <c r="E221" t="n">
        <v>9</v>
      </c>
      <c r="F221" t="n">
        <v>9</v>
      </c>
      <c r="G221" t="b">
        <v>1</v>
      </c>
      <c r="H221" t="inlineStr">
        <is>
          <t>0</t>
        </is>
      </c>
    </row>
    <row r="222">
      <c r="A222" t="inlineStr">
        <is>
          <t>ALL</t>
        </is>
      </c>
      <c r="B222" t="inlineStr">
        <is>
          <t>unique</t>
        </is>
      </c>
      <c r="C222" t="n">
        <v>1</v>
      </c>
      <c r="D222" t="inlineStr">
        <is>
          <t>Str</t>
        </is>
      </c>
      <c r="E222" t="n">
        <v>400</v>
      </c>
      <c r="F222" t="n">
        <v>9.25</v>
      </c>
      <c r="G222" t="b">
        <v>1</v>
      </c>
      <c r="H222" t="inlineStr">
        <is>
          <t>0</t>
        </is>
      </c>
    </row>
    <row r="223">
      <c r="A223" t="inlineStr">
        <is>
          <t>ALL</t>
        </is>
      </c>
      <c r="B223" t="inlineStr">
        <is>
          <t>unique</t>
        </is>
      </c>
      <c r="C223" t="n">
        <v>1</v>
      </c>
      <c r="D223" t="inlineStr">
        <is>
          <t>Dex</t>
        </is>
      </c>
      <c r="E223" t="n">
        <v>400</v>
      </c>
      <c r="F223" t="n">
        <v>9.25</v>
      </c>
      <c r="G223" t="b">
        <v>1</v>
      </c>
      <c r="H223">
        <f>Sensitivity!H7</f>
        <v/>
      </c>
    </row>
    <row r="224">
      <c r="A224" t="inlineStr">
        <is>
          <t>ALL</t>
        </is>
      </c>
      <c r="B224" t="inlineStr">
        <is>
          <t>unique</t>
        </is>
      </c>
      <c r="C224" t="n">
        <v>1</v>
      </c>
      <c r="D224" t="inlineStr">
        <is>
          <t>Int</t>
        </is>
      </c>
      <c r="E224" t="n">
        <v>400</v>
      </c>
      <c r="F224" t="n">
        <v>9.25</v>
      </c>
      <c r="G224" t="b">
        <v>1</v>
      </c>
      <c r="H224" t="inlineStr">
        <is>
          <t>0</t>
        </is>
      </c>
    </row>
    <row r="225">
      <c r="A225" t="inlineStr">
        <is>
          <t>ALL</t>
        </is>
      </c>
      <c r="B225" t="inlineStr">
        <is>
          <t>unique</t>
        </is>
      </c>
      <c r="C225" t="n">
        <v>1</v>
      </c>
      <c r="D225" t="inlineStr">
        <is>
          <t>Luk</t>
        </is>
      </c>
      <c r="E225" t="n">
        <v>400</v>
      </c>
      <c r="F225" t="n">
        <v>9.25</v>
      </c>
      <c r="G225" t="b">
        <v>1</v>
      </c>
      <c r="H225" t="inlineStr">
        <is>
          <t>0</t>
        </is>
      </c>
    </row>
    <row r="226">
      <c r="A226" t="inlineStr">
        <is>
          <t>ALL</t>
        </is>
      </c>
      <c r="B226" t="inlineStr">
        <is>
          <t>unique</t>
        </is>
      </c>
      <c r="C226" t="n">
        <v>2</v>
      </c>
      <c r="D226" t="inlineStr">
        <is>
          <t>Critical Rate %</t>
        </is>
      </c>
      <c r="E226" t="n">
        <v>6</v>
      </c>
      <c r="F226" t="n">
        <v>1.9</v>
      </c>
      <c r="G226" t="b">
        <v>0</v>
      </c>
      <c r="H226">
        <f>IF(Inputs!$B$8&gt;=100,Sensitivity!H16,Sensitivity!H15)</f>
        <v/>
      </c>
    </row>
    <row r="227">
      <c r="A227" t="inlineStr">
        <is>
          <t>ALL</t>
        </is>
      </c>
      <c r="B227" t="inlineStr">
        <is>
          <t>unique</t>
        </is>
      </c>
      <c r="C227" t="n">
        <v>2</v>
      </c>
      <c r="D227" t="inlineStr">
        <is>
          <t>Critical Rate %</t>
        </is>
      </c>
      <c r="E227" t="n">
        <v>9</v>
      </c>
      <c r="F227" t="n">
        <v>0.6</v>
      </c>
      <c r="G227" t="b">
        <v>1</v>
      </c>
      <c r="H227">
        <f>IF(Inputs!$B$8&gt;=100,Sensitivity!H16,Sensitivity!H15)</f>
        <v/>
      </c>
    </row>
    <row r="228">
      <c r="A228" t="inlineStr">
        <is>
          <t>ALL</t>
        </is>
      </c>
      <c r="B228" t="inlineStr">
        <is>
          <t>unique</t>
        </is>
      </c>
      <c r="C228" t="n">
        <v>2</v>
      </c>
      <c r="D228" t="inlineStr">
        <is>
          <t>Attack Speed %</t>
        </is>
      </c>
      <c r="E228" t="n">
        <v>4</v>
      </c>
      <c r="F228" t="n">
        <v>1.9</v>
      </c>
      <c r="G228" t="b">
        <v>0</v>
      </c>
      <c r="H228">
        <f>Sensitivity!H17</f>
        <v/>
      </c>
    </row>
    <row r="229">
      <c r="A229" t="inlineStr">
        <is>
          <t>ALL</t>
        </is>
      </c>
      <c r="B229" t="inlineStr">
        <is>
          <t>unique</t>
        </is>
      </c>
      <c r="C229" t="n">
        <v>2</v>
      </c>
      <c r="D229" t="inlineStr">
        <is>
          <t>Attack Speed %</t>
        </is>
      </c>
      <c r="E229" t="n">
        <v>5</v>
      </c>
      <c r="F229" t="n">
        <v>0.6</v>
      </c>
      <c r="G229" t="b">
        <v>1</v>
      </c>
      <c r="H229">
        <f>Sensitivity!H17</f>
        <v/>
      </c>
    </row>
    <row r="230">
      <c r="A230" t="inlineStr">
        <is>
          <t>ALL</t>
        </is>
      </c>
      <c r="B230" t="inlineStr">
        <is>
          <t>unique</t>
        </is>
      </c>
      <c r="C230" t="n">
        <v>2</v>
      </c>
      <c r="D230" t="inlineStr">
        <is>
          <t>Damage %</t>
        </is>
      </c>
      <c r="E230" t="n">
        <v>12</v>
      </c>
      <c r="F230" t="n">
        <v>3.04</v>
      </c>
      <c r="G230" t="b">
        <v>0</v>
      </c>
      <c r="H230">
        <f>Sensitivity!H8</f>
        <v/>
      </c>
    </row>
    <row r="231">
      <c r="A231" t="inlineStr">
        <is>
          <t>ALL</t>
        </is>
      </c>
      <c r="B231" t="inlineStr">
        <is>
          <t>unique</t>
        </is>
      </c>
      <c r="C231" t="n">
        <v>2</v>
      </c>
      <c r="D231" t="inlineStr">
        <is>
          <t>Damage %</t>
        </is>
      </c>
      <c r="E231" t="n">
        <v>18</v>
      </c>
      <c r="F231" t="n">
        <v>0.96</v>
      </c>
      <c r="G231" t="b">
        <v>1</v>
      </c>
      <c r="H231">
        <f>Sensitivity!H8</f>
        <v/>
      </c>
    </row>
    <row r="232">
      <c r="A232" t="inlineStr">
        <is>
          <t>ALL</t>
        </is>
      </c>
      <c r="B232" t="inlineStr">
        <is>
          <t>unique</t>
        </is>
      </c>
      <c r="C232" t="n">
        <v>2</v>
      </c>
      <c r="D232" t="inlineStr">
        <is>
          <t>Min Damage Multiplier %</t>
        </is>
      </c>
      <c r="E232" t="n">
        <v>8</v>
      </c>
      <c r="F232" t="n">
        <v>3.04</v>
      </c>
      <c r="G232" t="b">
        <v>0</v>
      </c>
      <c r="H232">
        <f>Sensitivity!H13</f>
        <v/>
      </c>
    </row>
    <row r="233">
      <c r="A233" t="inlineStr">
        <is>
          <t>ALL</t>
        </is>
      </c>
      <c r="B233" t="inlineStr">
        <is>
          <t>unique</t>
        </is>
      </c>
      <c r="C233" t="n">
        <v>2</v>
      </c>
      <c r="D233" t="inlineStr">
        <is>
          <t>Min Damage Multiplier %</t>
        </is>
      </c>
      <c r="E233" t="n">
        <v>10</v>
      </c>
      <c r="F233" t="n">
        <v>0.96</v>
      </c>
      <c r="G233" t="b">
        <v>1</v>
      </c>
      <c r="H233">
        <f>Sensitivity!H13</f>
        <v/>
      </c>
    </row>
    <row r="234">
      <c r="A234" t="inlineStr">
        <is>
          <t>ALL</t>
        </is>
      </c>
      <c r="B234" t="inlineStr">
        <is>
          <t>unique</t>
        </is>
      </c>
      <c r="C234" t="n">
        <v>2</v>
      </c>
      <c r="D234" t="inlineStr">
        <is>
          <t>Max Damage Multiplier %</t>
        </is>
      </c>
      <c r="E234" t="n">
        <v>8</v>
      </c>
      <c r="F234" t="n">
        <v>3.04</v>
      </c>
      <c r="G234" t="b">
        <v>0</v>
      </c>
      <c r="H234">
        <f>Sensitivity!H14</f>
        <v/>
      </c>
    </row>
    <row r="235">
      <c r="A235" t="inlineStr">
        <is>
          <t>ALL</t>
        </is>
      </c>
      <c r="B235" t="inlineStr">
        <is>
          <t>unique</t>
        </is>
      </c>
      <c r="C235" t="n">
        <v>2</v>
      </c>
      <c r="D235" t="inlineStr">
        <is>
          <t>Max Damage Multiplier %</t>
        </is>
      </c>
      <c r="E235" t="n">
        <v>10</v>
      </c>
      <c r="F235" t="n">
        <v>0.96</v>
      </c>
      <c r="G235" t="b">
        <v>1</v>
      </c>
      <c r="H235">
        <f>Sensitivity!H14</f>
        <v/>
      </c>
    </row>
    <row r="236">
      <c r="A236" t="inlineStr">
        <is>
          <t>ALL</t>
        </is>
      </c>
      <c r="B236" t="inlineStr">
        <is>
          <t>unique</t>
        </is>
      </c>
      <c r="C236" t="n">
        <v>2</v>
      </c>
      <c r="D236" t="inlineStr">
        <is>
          <t>Str %</t>
        </is>
      </c>
      <c r="E236" t="n">
        <v>6</v>
      </c>
      <c r="F236" t="n">
        <v>3.42</v>
      </c>
      <c r="G236" t="b">
        <v>0</v>
      </c>
      <c r="H236" t="inlineStr">
        <is>
          <t>0</t>
        </is>
      </c>
    </row>
    <row r="237">
      <c r="A237" t="inlineStr">
        <is>
          <t>ALL</t>
        </is>
      </c>
      <c r="B237" t="inlineStr">
        <is>
          <t>unique</t>
        </is>
      </c>
      <c r="C237" t="n">
        <v>2</v>
      </c>
      <c r="D237" t="inlineStr">
        <is>
          <t>Str %</t>
        </is>
      </c>
      <c r="E237" t="n">
        <v>9</v>
      </c>
      <c r="F237" t="n">
        <v>1.08</v>
      </c>
      <c r="G237" t="b">
        <v>1</v>
      </c>
      <c r="H237" t="inlineStr">
        <is>
          <t>0</t>
        </is>
      </c>
    </row>
    <row r="238">
      <c r="A238" t="inlineStr">
        <is>
          <t>ALL</t>
        </is>
      </c>
      <c r="B238" t="inlineStr">
        <is>
          <t>unique</t>
        </is>
      </c>
      <c r="C238" t="n">
        <v>2</v>
      </c>
      <c r="D238" t="inlineStr">
        <is>
          <t>Dex %</t>
        </is>
      </c>
      <c r="E238" t="n">
        <v>6</v>
      </c>
      <c r="F238" t="n">
        <v>3.42</v>
      </c>
      <c r="G238" t="b">
        <v>0</v>
      </c>
      <c r="H238">
        <f>Sensitivity!H7</f>
        <v/>
      </c>
    </row>
    <row r="239">
      <c r="A239" t="inlineStr">
        <is>
          <t>ALL</t>
        </is>
      </c>
      <c r="B239" t="inlineStr">
        <is>
          <t>unique</t>
        </is>
      </c>
      <c r="C239" t="n">
        <v>2</v>
      </c>
      <c r="D239" t="inlineStr">
        <is>
          <t>Dex %</t>
        </is>
      </c>
      <c r="E239" t="n">
        <v>9</v>
      </c>
      <c r="F239" t="n">
        <v>1.08</v>
      </c>
      <c r="G239" t="b">
        <v>1</v>
      </c>
      <c r="H239">
        <f>Sensitivity!H7</f>
        <v/>
      </c>
    </row>
    <row r="240">
      <c r="A240" t="inlineStr">
        <is>
          <t>ALL</t>
        </is>
      </c>
      <c r="B240" t="inlineStr">
        <is>
          <t>unique</t>
        </is>
      </c>
      <c r="C240" t="n">
        <v>2</v>
      </c>
      <c r="D240" t="inlineStr">
        <is>
          <t>Int %</t>
        </is>
      </c>
      <c r="E240" t="n">
        <v>6</v>
      </c>
      <c r="F240" t="n">
        <v>3.42</v>
      </c>
      <c r="G240" t="b">
        <v>0</v>
      </c>
      <c r="H240" t="inlineStr">
        <is>
          <t>0</t>
        </is>
      </c>
    </row>
    <row r="241">
      <c r="A241" t="inlineStr">
        <is>
          <t>ALL</t>
        </is>
      </c>
      <c r="B241" t="inlineStr">
        <is>
          <t>unique</t>
        </is>
      </c>
      <c r="C241" t="n">
        <v>2</v>
      </c>
      <c r="D241" t="inlineStr">
        <is>
          <t>Int %</t>
        </is>
      </c>
      <c r="E241" t="n">
        <v>9</v>
      </c>
      <c r="F241" t="n">
        <v>1.08</v>
      </c>
      <c r="G241" t="b">
        <v>1</v>
      </c>
      <c r="H241" t="inlineStr">
        <is>
          <t>0</t>
        </is>
      </c>
    </row>
    <row r="242">
      <c r="A242" t="inlineStr">
        <is>
          <t>ALL</t>
        </is>
      </c>
      <c r="B242" t="inlineStr">
        <is>
          <t>unique</t>
        </is>
      </c>
      <c r="C242" t="n">
        <v>2</v>
      </c>
      <c r="D242" t="inlineStr">
        <is>
          <t>Luk %</t>
        </is>
      </c>
      <c r="E242" t="n">
        <v>6</v>
      </c>
      <c r="F242" t="n">
        <v>3.42</v>
      </c>
      <c r="G242" t="b">
        <v>0</v>
      </c>
      <c r="H242" t="inlineStr">
        <is>
          <t>0</t>
        </is>
      </c>
    </row>
    <row r="243">
      <c r="A243" t="inlineStr">
        <is>
          <t>ALL</t>
        </is>
      </c>
      <c r="B243" t="inlineStr">
        <is>
          <t>unique</t>
        </is>
      </c>
      <c r="C243" t="n">
        <v>2</v>
      </c>
      <c r="D243" t="inlineStr">
        <is>
          <t>Luk %</t>
        </is>
      </c>
      <c r="E243" t="n">
        <v>9</v>
      </c>
      <c r="F243" t="n">
        <v>1.08</v>
      </c>
      <c r="G243" t="b">
        <v>1</v>
      </c>
      <c r="H243" t="inlineStr">
        <is>
          <t>0</t>
        </is>
      </c>
    </row>
    <row r="244">
      <c r="A244" t="inlineStr">
        <is>
          <t>ALL</t>
        </is>
      </c>
      <c r="B244" t="inlineStr">
        <is>
          <t>unique</t>
        </is>
      </c>
      <c r="C244" t="n">
        <v>2</v>
      </c>
      <c r="D244" t="inlineStr">
        <is>
          <t>Defense %</t>
        </is>
      </c>
      <c r="E244" t="n">
        <v>6</v>
      </c>
      <c r="F244" t="n">
        <v>6.84</v>
      </c>
      <c r="G244" t="b">
        <v>0</v>
      </c>
      <c r="H244" t="inlineStr">
        <is>
          <t>0</t>
        </is>
      </c>
    </row>
    <row r="245">
      <c r="A245" t="inlineStr">
        <is>
          <t>ALL</t>
        </is>
      </c>
      <c r="B245" t="inlineStr">
        <is>
          <t>unique</t>
        </is>
      </c>
      <c r="C245" t="n">
        <v>2</v>
      </c>
      <c r="D245" t="inlineStr">
        <is>
          <t>Defense %</t>
        </is>
      </c>
      <c r="E245" t="n">
        <v>9</v>
      </c>
      <c r="F245" t="n">
        <v>2.16</v>
      </c>
      <c r="G245" t="b">
        <v>1</v>
      </c>
      <c r="H245" t="inlineStr">
        <is>
          <t>0</t>
        </is>
      </c>
    </row>
    <row r="246">
      <c r="A246" t="inlineStr">
        <is>
          <t>ALL</t>
        </is>
      </c>
      <c r="B246" t="inlineStr">
        <is>
          <t>unique</t>
        </is>
      </c>
      <c r="C246" t="n">
        <v>2</v>
      </c>
      <c r="D246" t="inlineStr">
        <is>
          <t>Max HP %</t>
        </is>
      </c>
      <c r="E246" t="n">
        <v>12</v>
      </c>
      <c r="F246" t="n">
        <v>6.84</v>
      </c>
      <c r="G246" t="b">
        <v>0</v>
      </c>
      <c r="H246" t="inlineStr">
        <is>
          <t>0</t>
        </is>
      </c>
    </row>
    <row r="247">
      <c r="A247" t="inlineStr">
        <is>
          <t>ALL</t>
        </is>
      </c>
      <c r="B247" t="inlineStr">
        <is>
          <t>unique</t>
        </is>
      </c>
      <c r="C247" t="n">
        <v>2</v>
      </c>
      <c r="D247" t="inlineStr">
        <is>
          <t>Max HP %</t>
        </is>
      </c>
      <c r="E247" t="n">
        <v>15</v>
      </c>
      <c r="F247" t="n">
        <v>2.16</v>
      </c>
      <c r="G247" t="b">
        <v>1</v>
      </c>
      <c r="H247" t="inlineStr">
        <is>
          <t>0</t>
        </is>
      </c>
    </row>
    <row r="248">
      <c r="A248" t="inlineStr">
        <is>
          <t>ALL</t>
        </is>
      </c>
      <c r="B248" t="inlineStr">
        <is>
          <t>unique</t>
        </is>
      </c>
      <c r="C248" t="n">
        <v>2</v>
      </c>
      <c r="D248" t="inlineStr">
        <is>
          <t>Max MP %</t>
        </is>
      </c>
      <c r="E248" t="n">
        <v>6</v>
      </c>
      <c r="F248" t="n">
        <v>6.84</v>
      </c>
      <c r="G248" t="b">
        <v>0</v>
      </c>
      <c r="H248" t="inlineStr">
        <is>
          <t>0</t>
        </is>
      </c>
    </row>
    <row r="249">
      <c r="A249" t="inlineStr">
        <is>
          <t>ALL</t>
        </is>
      </c>
      <c r="B249" t="inlineStr">
        <is>
          <t>unique</t>
        </is>
      </c>
      <c r="C249" t="n">
        <v>2</v>
      </c>
      <c r="D249" t="inlineStr">
        <is>
          <t>Max MP %</t>
        </is>
      </c>
      <c r="E249" t="n">
        <v>9</v>
      </c>
      <c r="F249" t="n">
        <v>2.16</v>
      </c>
      <c r="G249" t="b">
        <v>1</v>
      </c>
      <c r="H249" t="inlineStr">
        <is>
          <t>0</t>
        </is>
      </c>
    </row>
    <row r="250">
      <c r="A250" t="inlineStr">
        <is>
          <t>ALL</t>
        </is>
      </c>
      <c r="B250" t="inlineStr">
        <is>
          <t>unique</t>
        </is>
      </c>
      <c r="C250" t="n">
        <v>2</v>
      </c>
      <c r="D250" t="inlineStr">
        <is>
          <t>Str</t>
        </is>
      </c>
      <c r="E250" t="n">
        <v>200</v>
      </c>
      <c r="F250" t="n">
        <v>7.03</v>
      </c>
      <c r="G250" t="b">
        <v>0</v>
      </c>
      <c r="H250" t="inlineStr">
        <is>
          <t>0</t>
        </is>
      </c>
    </row>
    <row r="251">
      <c r="A251" t="inlineStr">
        <is>
          <t>ALL</t>
        </is>
      </c>
      <c r="B251" t="inlineStr">
        <is>
          <t>unique</t>
        </is>
      </c>
      <c r="C251" t="n">
        <v>2</v>
      </c>
      <c r="D251" t="inlineStr">
        <is>
          <t>Str</t>
        </is>
      </c>
      <c r="E251" t="n">
        <v>400</v>
      </c>
      <c r="F251" t="n">
        <v>2.22</v>
      </c>
      <c r="G251" t="b">
        <v>1</v>
      </c>
      <c r="H251" t="inlineStr">
        <is>
          <t>0</t>
        </is>
      </c>
    </row>
    <row r="252">
      <c r="A252" t="inlineStr">
        <is>
          <t>ALL</t>
        </is>
      </c>
      <c r="B252" t="inlineStr">
        <is>
          <t>unique</t>
        </is>
      </c>
      <c r="C252" t="n">
        <v>2</v>
      </c>
      <c r="D252" t="inlineStr">
        <is>
          <t>Dex</t>
        </is>
      </c>
      <c r="E252" t="n">
        <v>200</v>
      </c>
      <c r="F252" t="n">
        <v>7.03</v>
      </c>
      <c r="G252" t="b">
        <v>0</v>
      </c>
      <c r="H252">
        <f>Sensitivity!H7</f>
        <v/>
      </c>
    </row>
    <row r="253">
      <c r="A253" t="inlineStr">
        <is>
          <t>ALL</t>
        </is>
      </c>
      <c r="B253" t="inlineStr">
        <is>
          <t>unique</t>
        </is>
      </c>
      <c r="C253" t="n">
        <v>2</v>
      </c>
      <c r="D253" t="inlineStr">
        <is>
          <t>Dex</t>
        </is>
      </c>
      <c r="E253" t="n">
        <v>400</v>
      </c>
      <c r="F253" t="n">
        <v>2.22</v>
      </c>
      <c r="G253" t="b">
        <v>1</v>
      </c>
      <c r="H253">
        <f>Sensitivity!H7</f>
        <v/>
      </c>
    </row>
    <row r="254">
      <c r="A254" t="inlineStr">
        <is>
          <t>ALL</t>
        </is>
      </c>
      <c r="B254" t="inlineStr">
        <is>
          <t>unique</t>
        </is>
      </c>
      <c r="C254" t="n">
        <v>2</v>
      </c>
      <c r="D254" t="inlineStr">
        <is>
          <t>Int</t>
        </is>
      </c>
      <c r="E254" t="n">
        <v>200</v>
      </c>
      <c r="F254" t="n">
        <v>7.03</v>
      </c>
      <c r="G254" t="b">
        <v>0</v>
      </c>
      <c r="H254" t="inlineStr">
        <is>
          <t>0</t>
        </is>
      </c>
    </row>
    <row r="255">
      <c r="A255" t="inlineStr">
        <is>
          <t>ALL</t>
        </is>
      </c>
      <c r="B255" t="inlineStr">
        <is>
          <t>unique</t>
        </is>
      </c>
      <c r="C255" t="n">
        <v>2</v>
      </c>
      <c r="D255" t="inlineStr">
        <is>
          <t>Int</t>
        </is>
      </c>
      <c r="E255" t="n">
        <v>400</v>
      </c>
      <c r="F255" t="n">
        <v>2.22</v>
      </c>
      <c r="G255" t="b">
        <v>1</v>
      </c>
      <c r="H255" t="inlineStr">
        <is>
          <t>0</t>
        </is>
      </c>
    </row>
    <row r="256">
      <c r="A256" t="inlineStr">
        <is>
          <t>ALL</t>
        </is>
      </c>
      <c r="B256" t="inlineStr">
        <is>
          <t>unique</t>
        </is>
      </c>
      <c r="C256" t="n">
        <v>2</v>
      </c>
      <c r="D256" t="inlineStr">
        <is>
          <t>Luk</t>
        </is>
      </c>
      <c r="E256" t="n">
        <v>200</v>
      </c>
      <c r="F256" t="n">
        <v>7.03</v>
      </c>
      <c r="G256" t="b">
        <v>0</v>
      </c>
      <c r="H256" t="inlineStr">
        <is>
          <t>0</t>
        </is>
      </c>
    </row>
    <row r="257">
      <c r="A257" t="inlineStr">
        <is>
          <t>ALL</t>
        </is>
      </c>
      <c r="B257" t="inlineStr">
        <is>
          <t>unique</t>
        </is>
      </c>
      <c r="C257" t="n">
        <v>2</v>
      </c>
      <c r="D257" t="inlineStr">
        <is>
          <t>Luk</t>
        </is>
      </c>
      <c r="E257" t="n">
        <v>400</v>
      </c>
      <c r="F257" t="n">
        <v>2.22</v>
      </c>
      <c r="G257" t="b">
        <v>1</v>
      </c>
      <c r="H257" t="inlineStr">
        <is>
          <t>0</t>
        </is>
      </c>
    </row>
    <row r="258">
      <c r="A258" t="inlineStr">
        <is>
          <t>ALL</t>
        </is>
      </c>
      <c r="B258" t="inlineStr">
        <is>
          <t>unique</t>
        </is>
      </c>
      <c r="C258" t="n">
        <v>3</v>
      </c>
      <c r="D258" t="inlineStr">
        <is>
          <t>Critical Rate %</t>
        </is>
      </c>
      <c r="E258" t="n">
        <v>6</v>
      </c>
      <c r="F258" t="n">
        <v>2.3</v>
      </c>
      <c r="G258" t="b">
        <v>0</v>
      </c>
      <c r="H258">
        <f>IF(Inputs!$B$8&gt;=100,Sensitivity!H16,Sensitivity!H15)</f>
        <v/>
      </c>
    </row>
    <row r="259">
      <c r="A259" t="inlineStr">
        <is>
          <t>ALL</t>
        </is>
      </c>
      <c r="B259" t="inlineStr">
        <is>
          <t>unique</t>
        </is>
      </c>
      <c r="C259" t="n">
        <v>3</v>
      </c>
      <c r="D259" t="inlineStr">
        <is>
          <t>Critical Rate %</t>
        </is>
      </c>
      <c r="E259" t="n">
        <v>9</v>
      </c>
      <c r="F259" t="n">
        <v>0.2</v>
      </c>
      <c r="G259" t="b">
        <v>1</v>
      </c>
      <c r="H259">
        <f>IF(Inputs!$B$8&gt;=100,Sensitivity!H16,Sensitivity!H15)</f>
        <v/>
      </c>
    </row>
    <row r="260">
      <c r="A260" t="inlineStr">
        <is>
          <t>ALL</t>
        </is>
      </c>
      <c r="B260" t="inlineStr">
        <is>
          <t>unique</t>
        </is>
      </c>
      <c r="C260" t="n">
        <v>3</v>
      </c>
      <c r="D260" t="inlineStr">
        <is>
          <t>Attack Speed %</t>
        </is>
      </c>
      <c r="E260" t="n">
        <v>4</v>
      </c>
      <c r="F260" t="n">
        <v>2.3</v>
      </c>
      <c r="G260" t="b">
        <v>0</v>
      </c>
      <c r="H260">
        <f>Sensitivity!H17</f>
        <v/>
      </c>
    </row>
    <row r="261">
      <c r="A261" t="inlineStr">
        <is>
          <t>ALL</t>
        </is>
      </c>
      <c r="B261" t="inlineStr">
        <is>
          <t>unique</t>
        </is>
      </c>
      <c r="C261" t="n">
        <v>3</v>
      </c>
      <c r="D261" t="inlineStr">
        <is>
          <t>Attack Speed %</t>
        </is>
      </c>
      <c r="E261" t="n">
        <v>5</v>
      </c>
      <c r="F261" t="n">
        <v>0.2</v>
      </c>
      <c r="G261" t="b">
        <v>1</v>
      </c>
      <c r="H261">
        <f>Sensitivity!H17</f>
        <v/>
      </c>
    </row>
    <row r="262">
      <c r="A262" t="inlineStr">
        <is>
          <t>ALL</t>
        </is>
      </c>
      <c r="B262" t="inlineStr">
        <is>
          <t>unique</t>
        </is>
      </c>
      <c r="C262" t="n">
        <v>3</v>
      </c>
      <c r="D262" t="inlineStr">
        <is>
          <t>Damage %</t>
        </is>
      </c>
      <c r="E262" t="n">
        <v>12</v>
      </c>
      <c r="F262" t="n">
        <v>3.68</v>
      </c>
      <c r="G262" t="b">
        <v>0</v>
      </c>
      <c r="H262">
        <f>Sensitivity!H8</f>
        <v/>
      </c>
    </row>
    <row r="263">
      <c r="A263" t="inlineStr">
        <is>
          <t>ALL</t>
        </is>
      </c>
      <c r="B263" t="inlineStr">
        <is>
          <t>unique</t>
        </is>
      </c>
      <c r="C263" t="n">
        <v>3</v>
      </c>
      <c r="D263" t="inlineStr">
        <is>
          <t>Damage %</t>
        </is>
      </c>
      <c r="E263" t="n">
        <v>18</v>
      </c>
      <c r="F263" t="n">
        <v>0.32</v>
      </c>
      <c r="G263" t="b">
        <v>1</v>
      </c>
      <c r="H263">
        <f>Sensitivity!H8</f>
        <v/>
      </c>
    </row>
    <row r="264">
      <c r="A264" t="inlineStr">
        <is>
          <t>ALL</t>
        </is>
      </c>
      <c r="B264" t="inlineStr">
        <is>
          <t>unique</t>
        </is>
      </c>
      <c r="C264" t="n">
        <v>3</v>
      </c>
      <c r="D264" t="inlineStr">
        <is>
          <t>Min Damage Multiplier %</t>
        </is>
      </c>
      <c r="E264" t="n">
        <v>8</v>
      </c>
      <c r="F264" t="n">
        <v>3.68</v>
      </c>
      <c r="G264" t="b">
        <v>0</v>
      </c>
      <c r="H264">
        <f>Sensitivity!H13</f>
        <v/>
      </c>
    </row>
    <row r="265">
      <c r="A265" t="inlineStr">
        <is>
          <t>ALL</t>
        </is>
      </c>
      <c r="B265" t="inlineStr">
        <is>
          <t>unique</t>
        </is>
      </c>
      <c r="C265" t="n">
        <v>3</v>
      </c>
      <c r="D265" t="inlineStr">
        <is>
          <t>Min Damage Multiplier %</t>
        </is>
      </c>
      <c r="E265" t="n">
        <v>10</v>
      </c>
      <c r="F265" t="n">
        <v>0.32</v>
      </c>
      <c r="G265" t="b">
        <v>1</v>
      </c>
      <c r="H265">
        <f>Sensitivity!H13</f>
        <v/>
      </c>
    </row>
    <row r="266">
      <c r="A266" t="inlineStr">
        <is>
          <t>ALL</t>
        </is>
      </c>
      <c r="B266" t="inlineStr">
        <is>
          <t>unique</t>
        </is>
      </c>
      <c r="C266" t="n">
        <v>3</v>
      </c>
      <c r="D266" t="inlineStr">
        <is>
          <t>Max Damage Multiplier %</t>
        </is>
      </c>
      <c r="E266" t="n">
        <v>8</v>
      </c>
      <c r="F266" t="n">
        <v>3.68</v>
      </c>
      <c r="G266" t="b">
        <v>0</v>
      </c>
      <c r="H266">
        <f>Sensitivity!H14</f>
        <v/>
      </c>
    </row>
    <row r="267">
      <c r="A267" t="inlineStr">
        <is>
          <t>ALL</t>
        </is>
      </c>
      <c r="B267" t="inlineStr">
        <is>
          <t>unique</t>
        </is>
      </c>
      <c r="C267" t="n">
        <v>3</v>
      </c>
      <c r="D267" t="inlineStr">
        <is>
          <t>Max Damage Multiplier %</t>
        </is>
      </c>
      <c r="E267" t="n">
        <v>10</v>
      </c>
      <c r="F267" t="n">
        <v>0.32</v>
      </c>
      <c r="G267" t="b">
        <v>1</v>
      </c>
      <c r="H267">
        <f>Sensitivity!H14</f>
        <v/>
      </c>
    </row>
    <row r="268">
      <c r="A268" t="inlineStr">
        <is>
          <t>ALL</t>
        </is>
      </c>
      <c r="B268" t="inlineStr">
        <is>
          <t>unique</t>
        </is>
      </c>
      <c r="C268" t="n">
        <v>3</v>
      </c>
      <c r="D268" t="inlineStr">
        <is>
          <t>Str %</t>
        </is>
      </c>
      <c r="E268" t="n">
        <v>6</v>
      </c>
      <c r="F268" t="n">
        <v>4.14</v>
      </c>
      <c r="G268" t="b">
        <v>0</v>
      </c>
      <c r="H268" t="inlineStr">
        <is>
          <t>0</t>
        </is>
      </c>
    </row>
    <row r="269">
      <c r="A269" t="inlineStr">
        <is>
          <t>ALL</t>
        </is>
      </c>
      <c r="B269" t="inlineStr">
        <is>
          <t>unique</t>
        </is>
      </c>
      <c r="C269" t="n">
        <v>3</v>
      </c>
      <c r="D269" t="inlineStr">
        <is>
          <t>Str %</t>
        </is>
      </c>
      <c r="E269" t="n">
        <v>9</v>
      </c>
      <c r="F269" t="n">
        <v>0.36</v>
      </c>
      <c r="G269" t="b">
        <v>1</v>
      </c>
      <c r="H269" t="inlineStr">
        <is>
          <t>0</t>
        </is>
      </c>
    </row>
    <row r="270">
      <c r="A270" t="inlineStr">
        <is>
          <t>ALL</t>
        </is>
      </c>
      <c r="B270" t="inlineStr">
        <is>
          <t>unique</t>
        </is>
      </c>
      <c r="C270" t="n">
        <v>3</v>
      </c>
      <c r="D270" t="inlineStr">
        <is>
          <t>Dex %</t>
        </is>
      </c>
      <c r="E270" t="n">
        <v>6</v>
      </c>
      <c r="F270" t="n">
        <v>4.14</v>
      </c>
      <c r="G270" t="b">
        <v>0</v>
      </c>
      <c r="H270">
        <f>Sensitivity!H7</f>
        <v/>
      </c>
    </row>
    <row r="271">
      <c r="A271" t="inlineStr">
        <is>
          <t>ALL</t>
        </is>
      </c>
      <c r="B271" t="inlineStr">
        <is>
          <t>unique</t>
        </is>
      </c>
      <c r="C271" t="n">
        <v>3</v>
      </c>
      <c r="D271" t="inlineStr">
        <is>
          <t>Dex %</t>
        </is>
      </c>
      <c r="E271" t="n">
        <v>9</v>
      </c>
      <c r="F271" t="n">
        <v>0.36</v>
      </c>
      <c r="G271" t="b">
        <v>1</v>
      </c>
      <c r="H271">
        <f>Sensitivity!H7</f>
        <v/>
      </c>
    </row>
    <row r="272">
      <c r="A272" t="inlineStr">
        <is>
          <t>ALL</t>
        </is>
      </c>
      <c r="B272" t="inlineStr">
        <is>
          <t>unique</t>
        </is>
      </c>
      <c r="C272" t="n">
        <v>3</v>
      </c>
      <c r="D272" t="inlineStr">
        <is>
          <t>Int %</t>
        </is>
      </c>
      <c r="E272" t="n">
        <v>6</v>
      </c>
      <c r="F272" t="n">
        <v>4.14</v>
      </c>
      <c r="G272" t="b">
        <v>0</v>
      </c>
      <c r="H272" t="inlineStr">
        <is>
          <t>0</t>
        </is>
      </c>
    </row>
    <row r="273">
      <c r="A273" t="inlineStr">
        <is>
          <t>ALL</t>
        </is>
      </c>
      <c r="B273" t="inlineStr">
        <is>
          <t>unique</t>
        </is>
      </c>
      <c r="C273" t="n">
        <v>3</v>
      </c>
      <c r="D273" t="inlineStr">
        <is>
          <t>Int %</t>
        </is>
      </c>
      <c r="E273" t="n">
        <v>9</v>
      </c>
      <c r="F273" t="n">
        <v>0.36</v>
      </c>
      <c r="G273" t="b">
        <v>1</v>
      </c>
      <c r="H273" t="inlineStr">
        <is>
          <t>0</t>
        </is>
      </c>
    </row>
    <row r="274">
      <c r="A274" t="inlineStr">
        <is>
          <t>ALL</t>
        </is>
      </c>
      <c r="B274" t="inlineStr">
        <is>
          <t>unique</t>
        </is>
      </c>
      <c r="C274" t="n">
        <v>3</v>
      </c>
      <c r="D274" t="inlineStr">
        <is>
          <t>Luk %</t>
        </is>
      </c>
      <c r="E274" t="n">
        <v>6</v>
      </c>
      <c r="F274" t="n">
        <v>4.14</v>
      </c>
      <c r="G274" t="b">
        <v>0</v>
      </c>
      <c r="H274" t="inlineStr">
        <is>
          <t>0</t>
        </is>
      </c>
    </row>
    <row r="275">
      <c r="A275" t="inlineStr">
        <is>
          <t>ALL</t>
        </is>
      </c>
      <c r="B275" t="inlineStr">
        <is>
          <t>unique</t>
        </is>
      </c>
      <c r="C275" t="n">
        <v>3</v>
      </c>
      <c r="D275" t="inlineStr">
        <is>
          <t>Luk %</t>
        </is>
      </c>
      <c r="E275" t="n">
        <v>9</v>
      </c>
      <c r="F275" t="n">
        <v>0.36</v>
      </c>
      <c r="G275" t="b">
        <v>1</v>
      </c>
      <c r="H275" t="inlineStr">
        <is>
          <t>0</t>
        </is>
      </c>
    </row>
    <row r="276">
      <c r="A276" t="inlineStr">
        <is>
          <t>ALL</t>
        </is>
      </c>
      <c r="B276" t="inlineStr">
        <is>
          <t>unique</t>
        </is>
      </c>
      <c r="C276" t="n">
        <v>3</v>
      </c>
      <c r="D276" t="inlineStr">
        <is>
          <t>Defense %</t>
        </is>
      </c>
      <c r="E276" t="n">
        <v>6</v>
      </c>
      <c r="F276" t="n">
        <v>8.279999999999999</v>
      </c>
      <c r="G276" t="b">
        <v>0</v>
      </c>
      <c r="H276" t="inlineStr">
        <is>
          <t>0</t>
        </is>
      </c>
    </row>
    <row r="277">
      <c r="A277" t="inlineStr">
        <is>
          <t>ALL</t>
        </is>
      </c>
      <c r="B277" t="inlineStr">
        <is>
          <t>unique</t>
        </is>
      </c>
      <c r="C277" t="n">
        <v>3</v>
      </c>
      <c r="D277" t="inlineStr">
        <is>
          <t>Defense %</t>
        </is>
      </c>
      <c r="E277" t="n">
        <v>9</v>
      </c>
      <c r="F277" t="n">
        <v>0.72</v>
      </c>
      <c r="G277" t="b">
        <v>1</v>
      </c>
      <c r="H277" t="inlineStr">
        <is>
          <t>0</t>
        </is>
      </c>
    </row>
    <row r="278">
      <c r="A278" t="inlineStr">
        <is>
          <t>ALL</t>
        </is>
      </c>
      <c r="B278" t="inlineStr">
        <is>
          <t>unique</t>
        </is>
      </c>
      <c r="C278" t="n">
        <v>3</v>
      </c>
      <c r="D278" t="inlineStr">
        <is>
          <t>Max HP %</t>
        </is>
      </c>
      <c r="E278" t="n">
        <v>12</v>
      </c>
      <c r="F278" t="n">
        <v>8.279999999999999</v>
      </c>
      <c r="G278" t="b">
        <v>0</v>
      </c>
      <c r="H278" t="inlineStr">
        <is>
          <t>0</t>
        </is>
      </c>
    </row>
    <row r="279">
      <c r="A279" t="inlineStr">
        <is>
          <t>ALL</t>
        </is>
      </c>
      <c r="B279" t="inlineStr">
        <is>
          <t>unique</t>
        </is>
      </c>
      <c r="C279" t="n">
        <v>3</v>
      </c>
      <c r="D279" t="inlineStr">
        <is>
          <t>Max HP %</t>
        </is>
      </c>
      <c r="E279" t="n">
        <v>15</v>
      </c>
      <c r="F279" t="n">
        <v>0.72</v>
      </c>
      <c r="G279" t="b">
        <v>1</v>
      </c>
      <c r="H279" t="inlineStr">
        <is>
          <t>0</t>
        </is>
      </c>
    </row>
    <row r="280">
      <c r="A280" t="inlineStr">
        <is>
          <t>ALL</t>
        </is>
      </c>
      <c r="B280" t="inlineStr">
        <is>
          <t>unique</t>
        </is>
      </c>
      <c r="C280" t="n">
        <v>3</v>
      </c>
      <c r="D280" t="inlineStr">
        <is>
          <t>Max MP %</t>
        </is>
      </c>
      <c r="E280" t="n">
        <v>6</v>
      </c>
      <c r="F280" t="n">
        <v>8.279999999999999</v>
      </c>
      <c r="G280" t="b">
        <v>0</v>
      </c>
      <c r="H280" t="inlineStr">
        <is>
          <t>0</t>
        </is>
      </c>
    </row>
    <row r="281">
      <c r="A281" t="inlineStr">
        <is>
          <t>ALL</t>
        </is>
      </c>
      <c r="B281" t="inlineStr">
        <is>
          <t>unique</t>
        </is>
      </c>
      <c r="C281" t="n">
        <v>3</v>
      </c>
      <c r="D281" t="inlineStr">
        <is>
          <t>Max MP %</t>
        </is>
      </c>
      <c r="E281" t="n">
        <v>9</v>
      </c>
      <c r="F281" t="n">
        <v>0.72</v>
      </c>
      <c r="G281" t="b">
        <v>1</v>
      </c>
      <c r="H281" t="inlineStr">
        <is>
          <t>0</t>
        </is>
      </c>
    </row>
    <row r="282">
      <c r="A282" t="inlineStr">
        <is>
          <t>ALL</t>
        </is>
      </c>
      <c r="B282" t="inlineStr">
        <is>
          <t>unique</t>
        </is>
      </c>
      <c r="C282" t="n">
        <v>3</v>
      </c>
      <c r="D282" t="inlineStr">
        <is>
          <t>Str</t>
        </is>
      </c>
      <c r="E282" t="n">
        <v>200</v>
      </c>
      <c r="F282" t="n">
        <v>8.51</v>
      </c>
      <c r="G282" t="b">
        <v>0</v>
      </c>
      <c r="H282" t="inlineStr">
        <is>
          <t>0</t>
        </is>
      </c>
    </row>
    <row r="283">
      <c r="A283" t="inlineStr">
        <is>
          <t>ALL</t>
        </is>
      </c>
      <c r="B283" t="inlineStr">
        <is>
          <t>unique</t>
        </is>
      </c>
      <c r="C283" t="n">
        <v>3</v>
      </c>
      <c r="D283" t="inlineStr">
        <is>
          <t>Str</t>
        </is>
      </c>
      <c r="E283" t="n">
        <v>400</v>
      </c>
      <c r="F283" t="n">
        <v>0.74</v>
      </c>
      <c r="G283" t="b">
        <v>1</v>
      </c>
      <c r="H283" t="inlineStr">
        <is>
          <t>0</t>
        </is>
      </c>
    </row>
    <row r="284">
      <c r="A284" t="inlineStr">
        <is>
          <t>ALL</t>
        </is>
      </c>
      <c r="B284" t="inlineStr">
        <is>
          <t>unique</t>
        </is>
      </c>
      <c r="C284" t="n">
        <v>3</v>
      </c>
      <c r="D284" t="inlineStr">
        <is>
          <t>Dex</t>
        </is>
      </c>
      <c r="E284" t="n">
        <v>200</v>
      </c>
      <c r="F284" t="n">
        <v>8.51</v>
      </c>
      <c r="G284" t="b">
        <v>0</v>
      </c>
      <c r="H284">
        <f>Sensitivity!H7</f>
        <v/>
      </c>
    </row>
    <row r="285">
      <c r="A285" t="inlineStr">
        <is>
          <t>ALL</t>
        </is>
      </c>
      <c r="B285" t="inlineStr">
        <is>
          <t>unique</t>
        </is>
      </c>
      <c r="C285" t="n">
        <v>3</v>
      </c>
      <c r="D285" t="inlineStr">
        <is>
          <t>Dex</t>
        </is>
      </c>
      <c r="E285" t="n">
        <v>400</v>
      </c>
      <c r="F285" t="n">
        <v>0.74</v>
      </c>
      <c r="G285" t="b">
        <v>1</v>
      </c>
      <c r="H285">
        <f>Sensitivity!H7</f>
        <v/>
      </c>
    </row>
    <row r="286">
      <c r="A286" t="inlineStr">
        <is>
          <t>ALL</t>
        </is>
      </c>
      <c r="B286" t="inlineStr">
        <is>
          <t>unique</t>
        </is>
      </c>
      <c r="C286" t="n">
        <v>3</v>
      </c>
      <c r="D286" t="inlineStr">
        <is>
          <t>Int</t>
        </is>
      </c>
      <c r="E286" t="n">
        <v>200</v>
      </c>
      <c r="F286" t="n">
        <v>8.51</v>
      </c>
      <c r="G286" t="b">
        <v>0</v>
      </c>
      <c r="H286" t="inlineStr">
        <is>
          <t>0</t>
        </is>
      </c>
    </row>
    <row r="287">
      <c r="A287" t="inlineStr">
        <is>
          <t>ALL</t>
        </is>
      </c>
      <c r="B287" t="inlineStr">
        <is>
          <t>unique</t>
        </is>
      </c>
      <c r="C287" t="n">
        <v>3</v>
      </c>
      <c r="D287" t="inlineStr">
        <is>
          <t>Int</t>
        </is>
      </c>
      <c r="E287" t="n">
        <v>400</v>
      </c>
      <c r="F287" t="n">
        <v>0.74</v>
      </c>
      <c r="G287" t="b">
        <v>1</v>
      </c>
      <c r="H287" t="inlineStr">
        <is>
          <t>0</t>
        </is>
      </c>
    </row>
    <row r="288">
      <c r="A288" t="inlineStr">
        <is>
          <t>ALL</t>
        </is>
      </c>
      <c r="B288" t="inlineStr">
        <is>
          <t>unique</t>
        </is>
      </c>
      <c r="C288" t="n">
        <v>3</v>
      </c>
      <c r="D288" t="inlineStr">
        <is>
          <t>Luk</t>
        </is>
      </c>
      <c r="E288" t="n">
        <v>200</v>
      </c>
      <c r="F288" t="n">
        <v>8.51</v>
      </c>
      <c r="G288" t="b">
        <v>0</v>
      </c>
      <c r="H288" t="inlineStr">
        <is>
          <t>0</t>
        </is>
      </c>
    </row>
    <row r="289">
      <c r="A289" t="inlineStr">
        <is>
          <t>ALL</t>
        </is>
      </c>
      <c r="B289" t="inlineStr">
        <is>
          <t>unique</t>
        </is>
      </c>
      <c r="C289" t="n">
        <v>3</v>
      </c>
      <c r="D289" t="inlineStr">
        <is>
          <t>Luk</t>
        </is>
      </c>
      <c r="E289" t="n">
        <v>400</v>
      </c>
      <c r="F289" t="n">
        <v>0.74</v>
      </c>
      <c r="G289" t="b">
        <v>1</v>
      </c>
      <c r="H289" t="inlineStr">
        <is>
          <t>0</t>
        </is>
      </c>
    </row>
    <row r="290">
      <c r="A290" t="inlineStr">
        <is>
          <t>ALL</t>
        </is>
      </c>
      <c r="B290" t="inlineStr">
        <is>
          <t>legendary</t>
        </is>
      </c>
      <c r="C290" t="n">
        <v>1</v>
      </c>
      <c r="D290" t="inlineStr">
        <is>
          <t>Critical Rate %</t>
        </is>
      </c>
      <c r="E290" t="n">
        <v>12</v>
      </c>
      <c r="F290" t="n">
        <v>2.5</v>
      </c>
      <c r="G290" t="b">
        <v>0</v>
      </c>
      <c r="H290">
        <f>IF(Inputs!$B$8&gt;=100,Sensitivity!H16,Sensitivity!H15)</f>
        <v/>
      </c>
    </row>
    <row r="291">
      <c r="A291" t="inlineStr">
        <is>
          <t>ALL</t>
        </is>
      </c>
      <c r="B291" t="inlineStr">
        <is>
          <t>legendary</t>
        </is>
      </c>
      <c r="C291" t="n">
        <v>1</v>
      </c>
      <c r="D291" t="inlineStr">
        <is>
          <t>Attack Speed %</t>
        </is>
      </c>
      <c r="E291" t="n">
        <v>7</v>
      </c>
      <c r="F291" t="n">
        <v>2.5</v>
      </c>
      <c r="G291" t="b">
        <v>0</v>
      </c>
      <c r="H291">
        <f>Sensitivity!H17</f>
        <v/>
      </c>
    </row>
    <row r="292">
      <c r="A292" t="inlineStr">
        <is>
          <t>ALL</t>
        </is>
      </c>
      <c r="B292" t="inlineStr">
        <is>
          <t>legendary</t>
        </is>
      </c>
      <c r="C292" t="n">
        <v>1</v>
      </c>
      <c r="D292" t="inlineStr">
        <is>
          <t>Damage %</t>
        </is>
      </c>
      <c r="E292" t="n">
        <v>25</v>
      </c>
      <c r="F292" t="n">
        <v>4</v>
      </c>
      <c r="G292" t="b">
        <v>0</v>
      </c>
      <c r="H292">
        <f>Sensitivity!H8</f>
        <v/>
      </c>
    </row>
    <row r="293">
      <c r="A293" t="inlineStr">
        <is>
          <t>ALL</t>
        </is>
      </c>
      <c r="B293" t="inlineStr">
        <is>
          <t>legendary</t>
        </is>
      </c>
      <c r="C293" t="n">
        <v>1</v>
      </c>
      <c r="D293" t="inlineStr">
        <is>
          <t>Min Damage Multiplier %</t>
        </is>
      </c>
      <c r="E293" t="n">
        <v>15</v>
      </c>
      <c r="F293" t="n">
        <v>4</v>
      </c>
      <c r="G293" t="b">
        <v>0</v>
      </c>
      <c r="H293">
        <f>Sensitivity!H13</f>
        <v/>
      </c>
    </row>
    <row r="294">
      <c r="A294" t="inlineStr">
        <is>
          <t>ALL</t>
        </is>
      </c>
      <c r="B294" t="inlineStr">
        <is>
          <t>legendary</t>
        </is>
      </c>
      <c r="C294" t="n">
        <v>1</v>
      </c>
      <c r="D294" t="inlineStr">
        <is>
          <t>Max Damage Multiplier %</t>
        </is>
      </c>
      <c r="E294" t="n">
        <v>15</v>
      </c>
      <c r="F294" t="n">
        <v>4</v>
      </c>
      <c r="G294" t="b">
        <v>0</v>
      </c>
      <c r="H294">
        <f>Sensitivity!H14</f>
        <v/>
      </c>
    </row>
    <row r="295">
      <c r="A295" t="inlineStr">
        <is>
          <t>ALL</t>
        </is>
      </c>
      <c r="B295" t="inlineStr">
        <is>
          <t>legendary</t>
        </is>
      </c>
      <c r="C295" t="n">
        <v>1</v>
      </c>
      <c r="D295" t="inlineStr">
        <is>
          <t>Str %</t>
        </is>
      </c>
      <c r="E295" t="n">
        <v>12</v>
      </c>
      <c r="F295" t="n">
        <v>4.5</v>
      </c>
      <c r="G295" t="b">
        <v>0</v>
      </c>
      <c r="H295" t="inlineStr">
        <is>
          <t>0</t>
        </is>
      </c>
    </row>
    <row r="296">
      <c r="A296" t="inlineStr">
        <is>
          <t>ALL</t>
        </is>
      </c>
      <c r="B296" t="inlineStr">
        <is>
          <t>legendary</t>
        </is>
      </c>
      <c r="C296" t="n">
        <v>1</v>
      </c>
      <c r="D296" t="inlineStr">
        <is>
          <t>Dex %</t>
        </is>
      </c>
      <c r="E296" t="n">
        <v>12</v>
      </c>
      <c r="F296" t="n">
        <v>4.5</v>
      </c>
      <c r="G296" t="b">
        <v>0</v>
      </c>
      <c r="H296">
        <f>Sensitivity!H7</f>
        <v/>
      </c>
    </row>
    <row r="297">
      <c r="A297" t="inlineStr">
        <is>
          <t>ALL</t>
        </is>
      </c>
      <c r="B297" t="inlineStr">
        <is>
          <t>legendary</t>
        </is>
      </c>
      <c r="C297" t="n">
        <v>1</v>
      </c>
      <c r="D297" t="inlineStr">
        <is>
          <t>Int %</t>
        </is>
      </c>
      <c r="E297" t="n">
        <v>12</v>
      </c>
      <c r="F297" t="n">
        <v>4.5</v>
      </c>
      <c r="G297" t="b">
        <v>0</v>
      </c>
      <c r="H297" t="inlineStr">
        <is>
          <t>0</t>
        </is>
      </c>
    </row>
    <row r="298">
      <c r="A298" t="inlineStr">
        <is>
          <t>ALL</t>
        </is>
      </c>
      <c r="B298" t="inlineStr">
        <is>
          <t>legendary</t>
        </is>
      </c>
      <c r="C298" t="n">
        <v>1</v>
      </c>
      <c r="D298" t="inlineStr">
        <is>
          <t>Luk %</t>
        </is>
      </c>
      <c r="E298" t="n">
        <v>12</v>
      </c>
      <c r="F298" t="n">
        <v>4.5</v>
      </c>
      <c r="G298" t="b">
        <v>0</v>
      </c>
      <c r="H298" t="inlineStr">
        <is>
          <t>0</t>
        </is>
      </c>
    </row>
    <row r="299">
      <c r="A299" t="inlineStr">
        <is>
          <t>ALL</t>
        </is>
      </c>
      <c r="B299" t="inlineStr">
        <is>
          <t>legendary</t>
        </is>
      </c>
      <c r="C299" t="n">
        <v>1</v>
      </c>
      <c r="D299" t="inlineStr">
        <is>
          <t>Defense %</t>
        </is>
      </c>
      <c r="E299" t="n">
        <v>12</v>
      </c>
      <c r="F299" t="n">
        <v>9</v>
      </c>
      <c r="G299" t="b">
        <v>0</v>
      </c>
      <c r="H299" t="inlineStr">
        <is>
          <t>0</t>
        </is>
      </c>
    </row>
    <row r="300">
      <c r="A300" t="inlineStr">
        <is>
          <t>ALL</t>
        </is>
      </c>
      <c r="B300" t="inlineStr">
        <is>
          <t>legendary</t>
        </is>
      </c>
      <c r="C300" t="n">
        <v>1</v>
      </c>
      <c r="D300" t="inlineStr">
        <is>
          <t>Max HP %</t>
        </is>
      </c>
      <c r="E300" t="n">
        <v>20</v>
      </c>
      <c r="F300" t="n">
        <v>9</v>
      </c>
      <c r="G300" t="b">
        <v>0</v>
      </c>
      <c r="H300" t="inlineStr">
        <is>
          <t>0</t>
        </is>
      </c>
    </row>
    <row r="301">
      <c r="A301" t="inlineStr">
        <is>
          <t>ALL</t>
        </is>
      </c>
      <c r="B301" t="inlineStr">
        <is>
          <t>legendary</t>
        </is>
      </c>
      <c r="C301" t="n">
        <v>1</v>
      </c>
      <c r="D301" t="inlineStr">
        <is>
          <t>Max MP %</t>
        </is>
      </c>
      <c r="E301" t="n">
        <v>12</v>
      </c>
      <c r="F301" t="n">
        <v>9</v>
      </c>
      <c r="G301" t="b">
        <v>0</v>
      </c>
      <c r="H301" t="inlineStr">
        <is>
          <t>0</t>
        </is>
      </c>
    </row>
    <row r="302">
      <c r="A302" t="inlineStr">
        <is>
          <t>ALL</t>
        </is>
      </c>
      <c r="B302" t="inlineStr">
        <is>
          <t>legendary</t>
        </is>
      </c>
      <c r="C302" t="n">
        <v>1</v>
      </c>
      <c r="D302" t="inlineStr">
        <is>
          <t>Str</t>
        </is>
      </c>
      <c r="E302" t="n">
        <v>600</v>
      </c>
      <c r="F302" t="n">
        <v>9.25</v>
      </c>
      <c r="G302" t="b">
        <v>0</v>
      </c>
      <c r="H302" t="inlineStr">
        <is>
          <t>0</t>
        </is>
      </c>
    </row>
    <row r="303">
      <c r="A303" t="inlineStr">
        <is>
          <t>ALL</t>
        </is>
      </c>
      <c r="B303" t="inlineStr">
        <is>
          <t>legendary</t>
        </is>
      </c>
      <c r="C303" t="n">
        <v>1</v>
      </c>
      <c r="D303" t="inlineStr">
        <is>
          <t>Dex</t>
        </is>
      </c>
      <c r="E303" t="n">
        <v>600</v>
      </c>
      <c r="F303" t="n">
        <v>9.25</v>
      </c>
      <c r="G303" t="b">
        <v>0</v>
      </c>
      <c r="H303">
        <f>Sensitivity!H7</f>
        <v/>
      </c>
    </row>
    <row r="304">
      <c r="A304" t="inlineStr">
        <is>
          <t>ALL</t>
        </is>
      </c>
      <c r="B304" t="inlineStr">
        <is>
          <t>legendary</t>
        </is>
      </c>
      <c r="C304" t="n">
        <v>1</v>
      </c>
      <c r="D304" t="inlineStr">
        <is>
          <t>Int</t>
        </is>
      </c>
      <c r="E304" t="n">
        <v>600</v>
      </c>
      <c r="F304" t="n">
        <v>9.25</v>
      </c>
      <c r="G304" t="b">
        <v>0</v>
      </c>
      <c r="H304" t="inlineStr">
        <is>
          <t>0</t>
        </is>
      </c>
    </row>
    <row r="305">
      <c r="A305" t="inlineStr">
        <is>
          <t>ALL</t>
        </is>
      </c>
      <c r="B305" t="inlineStr">
        <is>
          <t>legendary</t>
        </is>
      </c>
      <c r="C305" t="n">
        <v>1</v>
      </c>
      <c r="D305" t="inlineStr">
        <is>
          <t>Luk</t>
        </is>
      </c>
      <c r="E305" t="n">
        <v>600</v>
      </c>
      <c r="F305" t="n">
        <v>9.25</v>
      </c>
      <c r="G305" t="b">
        <v>0</v>
      </c>
      <c r="H305" t="inlineStr">
        <is>
          <t>0</t>
        </is>
      </c>
    </row>
    <row r="306">
      <c r="A306" t="inlineStr">
        <is>
          <t>ALL</t>
        </is>
      </c>
      <c r="B306" t="inlineStr">
        <is>
          <t>legendary</t>
        </is>
      </c>
      <c r="C306" t="n">
        <v>2</v>
      </c>
      <c r="D306" t="inlineStr">
        <is>
          <t>Critical Rate %</t>
        </is>
      </c>
      <c r="E306" t="n">
        <v>9</v>
      </c>
      <c r="F306" t="n">
        <v>1.9</v>
      </c>
      <c r="G306" t="b">
        <v>0</v>
      </c>
      <c r="H306">
        <f>IF(Inputs!$B$8&gt;=100,Sensitivity!H16,Sensitivity!H15)</f>
        <v/>
      </c>
    </row>
    <row r="307">
      <c r="A307" t="inlineStr">
        <is>
          <t>ALL</t>
        </is>
      </c>
      <c r="B307" t="inlineStr">
        <is>
          <t>legendary</t>
        </is>
      </c>
      <c r="C307" t="n">
        <v>2</v>
      </c>
      <c r="D307" t="inlineStr">
        <is>
          <t>Critical Rate %</t>
        </is>
      </c>
      <c r="E307" t="n">
        <v>12</v>
      </c>
      <c r="F307" t="n">
        <v>0.6</v>
      </c>
      <c r="G307" t="b">
        <v>1</v>
      </c>
      <c r="H307">
        <f>IF(Inputs!$B$8&gt;=100,Sensitivity!H16,Sensitivity!H15)</f>
        <v/>
      </c>
    </row>
    <row r="308">
      <c r="A308" t="inlineStr">
        <is>
          <t>ALL</t>
        </is>
      </c>
      <c r="B308" t="inlineStr">
        <is>
          <t>legendary</t>
        </is>
      </c>
      <c r="C308" t="n">
        <v>2</v>
      </c>
      <c r="D308" t="inlineStr">
        <is>
          <t>Attack Speed %</t>
        </is>
      </c>
      <c r="E308" t="n">
        <v>5</v>
      </c>
      <c r="F308" t="n">
        <v>1.9</v>
      </c>
      <c r="G308" t="b">
        <v>0</v>
      </c>
      <c r="H308">
        <f>Sensitivity!H17</f>
        <v/>
      </c>
    </row>
    <row r="309">
      <c r="A309" t="inlineStr">
        <is>
          <t>ALL</t>
        </is>
      </c>
      <c r="B309" t="inlineStr">
        <is>
          <t>legendary</t>
        </is>
      </c>
      <c r="C309" t="n">
        <v>2</v>
      </c>
      <c r="D309" t="inlineStr">
        <is>
          <t>Attack Speed %</t>
        </is>
      </c>
      <c r="E309" t="n">
        <v>7</v>
      </c>
      <c r="F309" t="n">
        <v>0.6</v>
      </c>
      <c r="G309" t="b">
        <v>1</v>
      </c>
      <c r="H309">
        <f>Sensitivity!H17</f>
        <v/>
      </c>
    </row>
    <row r="310">
      <c r="A310" t="inlineStr">
        <is>
          <t>ALL</t>
        </is>
      </c>
      <c r="B310" t="inlineStr">
        <is>
          <t>legendary</t>
        </is>
      </c>
      <c r="C310" t="n">
        <v>2</v>
      </c>
      <c r="D310" t="inlineStr">
        <is>
          <t>Damage %</t>
        </is>
      </c>
      <c r="E310" t="n">
        <v>18</v>
      </c>
      <c r="F310" t="n">
        <v>3.04</v>
      </c>
      <c r="G310" t="b">
        <v>0</v>
      </c>
      <c r="H310">
        <f>Sensitivity!H8</f>
        <v/>
      </c>
    </row>
    <row r="311">
      <c r="A311" t="inlineStr">
        <is>
          <t>ALL</t>
        </is>
      </c>
      <c r="B311" t="inlineStr">
        <is>
          <t>legendary</t>
        </is>
      </c>
      <c r="C311" t="n">
        <v>2</v>
      </c>
      <c r="D311" t="inlineStr">
        <is>
          <t>Damage %</t>
        </is>
      </c>
      <c r="E311" t="n">
        <v>25</v>
      </c>
      <c r="F311" t="n">
        <v>0.96</v>
      </c>
      <c r="G311" t="b">
        <v>1</v>
      </c>
      <c r="H311">
        <f>Sensitivity!H8</f>
        <v/>
      </c>
    </row>
    <row r="312">
      <c r="A312" t="inlineStr">
        <is>
          <t>ALL</t>
        </is>
      </c>
      <c r="B312" t="inlineStr">
        <is>
          <t>legendary</t>
        </is>
      </c>
      <c r="C312" t="n">
        <v>2</v>
      </c>
      <c r="D312" t="inlineStr">
        <is>
          <t>Min Damage Multiplier %</t>
        </is>
      </c>
      <c r="E312" t="n">
        <v>10</v>
      </c>
      <c r="F312" t="n">
        <v>3.04</v>
      </c>
      <c r="G312" t="b">
        <v>0</v>
      </c>
      <c r="H312">
        <f>Sensitivity!H13</f>
        <v/>
      </c>
    </row>
    <row r="313">
      <c r="A313" t="inlineStr">
        <is>
          <t>ALL</t>
        </is>
      </c>
      <c r="B313" t="inlineStr">
        <is>
          <t>legendary</t>
        </is>
      </c>
      <c r="C313" t="n">
        <v>2</v>
      </c>
      <c r="D313" t="inlineStr">
        <is>
          <t>Min Damage Multiplier %</t>
        </is>
      </c>
      <c r="E313" t="n">
        <v>15</v>
      </c>
      <c r="F313" t="n">
        <v>0.96</v>
      </c>
      <c r="G313" t="b">
        <v>1</v>
      </c>
      <c r="H313">
        <f>Sensitivity!H13</f>
        <v/>
      </c>
    </row>
    <row r="314">
      <c r="A314" t="inlineStr">
        <is>
          <t>ALL</t>
        </is>
      </c>
      <c r="B314" t="inlineStr">
        <is>
          <t>legendary</t>
        </is>
      </c>
      <c r="C314" t="n">
        <v>2</v>
      </c>
      <c r="D314" t="inlineStr">
        <is>
          <t>Max Damage Multiplier %</t>
        </is>
      </c>
      <c r="E314" t="n">
        <v>10</v>
      </c>
      <c r="F314" t="n">
        <v>3.04</v>
      </c>
      <c r="G314" t="b">
        <v>0</v>
      </c>
      <c r="H314">
        <f>Sensitivity!H14</f>
        <v/>
      </c>
    </row>
    <row r="315">
      <c r="A315" t="inlineStr">
        <is>
          <t>ALL</t>
        </is>
      </c>
      <c r="B315" t="inlineStr">
        <is>
          <t>legendary</t>
        </is>
      </c>
      <c r="C315" t="n">
        <v>2</v>
      </c>
      <c r="D315" t="inlineStr">
        <is>
          <t>Max Damage Multiplier %</t>
        </is>
      </c>
      <c r="E315" t="n">
        <v>15</v>
      </c>
      <c r="F315" t="n">
        <v>0.96</v>
      </c>
      <c r="G315" t="b">
        <v>1</v>
      </c>
      <c r="H315">
        <f>Sensitivity!H14</f>
        <v/>
      </c>
    </row>
    <row r="316">
      <c r="A316" t="inlineStr">
        <is>
          <t>ALL</t>
        </is>
      </c>
      <c r="B316" t="inlineStr">
        <is>
          <t>legendary</t>
        </is>
      </c>
      <c r="C316" t="n">
        <v>2</v>
      </c>
      <c r="D316" t="inlineStr">
        <is>
          <t>Str %</t>
        </is>
      </c>
      <c r="E316" t="n">
        <v>9</v>
      </c>
      <c r="F316" t="n">
        <v>3.42</v>
      </c>
      <c r="G316" t="b">
        <v>0</v>
      </c>
      <c r="H316" t="inlineStr">
        <is>
          <t>0</t>
        </is>
      </c>
    </row>
    <row r="317">
      <c r="A317" t="inlineStr">
        <is>
          <t>ALL</t>
        </is>
      </c>
      <c r="B317" t="inlineStr">
        <is>
          <t>legendary</t>
        </is>
      </c>
      <c r="C317" t="n">
        <v>2</v>
      </c>
      <c r="D317" t="inlineStr">
        <is>
          <t>Str %</t>
        </is>
      </c>
      <c r="E317" t="n">
        <v>12</v>
      </c>
      <c r="F317" t="n">
        <v>1.08</v>
      </c>
      <c r="G317" t="b">
        <v>1</v>
      </c>
      <c r="H317" t="inlineStr">
        <is>
          <t>0</t>
        </is>
      </c>
    </row>
    <row r="318">
      <c r="A318" t="inlineStr">
        <is>
          <t>ALL</t>
        </is>
      </c>
      <c r="B318" t="inlineStr">
        <is>
          <t>legendary</t>
        </is>
      </c>
      <c r="C318" t="n">
        <v>2</v>
      </c>
      <c r="D318" t="inlineStr">
        <is>
          <t>Dex %</t>
        </is>
      </c>
      <c r="E318" t="n">
        <v>9</v>
      </c>
      <c r="F318" t="n">
        <v>3.42</v>
      </c>
      <c r="G318" t="b">
        <v>0</v>
      </c>
      <c r="H318">
        <f>Sensitivity!H7</f>
        <v/>
      </c>
    </row>
    <row r="319">
      <c r="A319" t="inlineStr">
        <is>
          <t>ALL</t>
        </is>
      </c>
      <c r="B319" t="inlineStr">
        <is>
          <t>legendary</t>
        </is>
      </c>
      <c r="C319" t="n">
        <v>2</v>
      </c>
      <c r="D319" t="inlineStr">
        <is>
          <t>Dex %</t>
        </is>
      </c>
      <c r="E319" t="n">
        <v>12</v>
      </c>
      <c r="F319" t="n">
        <v>1.08</v>
      </c>
      <c r="G319" t="b">
        <v>1</v>
      </c>
      <c r="H319">
        <f>Sensitivity!H7</f>
        <v/>
      </c>
    </row>
    <row r="320">
      <c r="A320" t="inlineStr">
        <is>
          <t>ALL</t>
        </is>
      </c>
      <c r="B320" t="inlineStr">
        <is>
          <t>legendary</t>
        </is>
      </c>
      <c r="C320" t="n">
        <v>2</v>
      </c>
      <c r="D320" t="inlineStr">
        <is>
          <t>Int %</t>
        </is>
      </c>
      <c r="E320" t="n">
        <v>9</v>
      </c>
      <c r="F320" t="n">
        <v>3.42</v>
      </c>
      <c r="G320" t="b">
        <v>0</v>
      </c>
      <c r="H320" t="inlineStr">
        <is>
          <t>0</t>
        </is>
      </c>
    </row>
    <row r="321">
      <c r="A321" t="inlineStr">
        <is>
          <t>ALL</t>
        </is>
      </c>
      <c r="B321" t="inlineStr">
        <is>
          <t>legendary</t>
        </is>
      </c>
      <c r="C321" t="n">
        <v>2</v>
      </c>
      <c r="D321" t="inlineStr">
        <is>
          <t>Int %</t>
        </is>
      </c>
      <c r="E321" t="n">
        <v>12</v>
      </c>
      <c r="F321" t="n">
        <v>1.08</v>
      </c>
      <c r="G321" t="b">
        <v>1</v>
      </c>
      <c r="H321" t="inlineStr">
        <is>
          <t>0</t>
        </is>
      </c>
    </row>
    <row r="322">
      <c r="A322" t="inlineStr">
        <is>
          <t>ALL</t>
        </is>
      </c>
      <c r="B322" t="inlineStr">
        <is>
          <t>legendary</t>
        </is>
      </c>
      <c r="C322" t="n">
        <v>2</v>
      </c>
      <c r="D322" t="inlineStr">
        <is>
          <t>Luk %</t>
        </is>
      </c>
      <c r="E322" t="n">
        <v>9</v>
      </c>
      <c r="F322" t="n">
        <v>3.42</v>
      </c>
      <c r="G322" t="b">
        <v>0</v>
      </c>
      <c r="H322" t="inlineStr">
        <is>
          <t>0</t>
        </is>
      </c>
    </row>
    <row r="323">
      <c r="A323" t="inlineStr">
        <is>
          <t>ALL</t>
        </is>
      </c>
      <c r="B323" t="inlineStr">
        <is>
          <t>legendary</t>
        </is>
      </c>
      <c r="C323" t="n">
        <v>2</v>
      </c>
      <c r="D323" t="inlineStr">
        <is>
          <t>Luk %</t>
        </is>
      </c>
      <c r="E323" t="n">
        <v>12</v>
      </c>
      <c r="F323" t="n">
        <v>1.08</v>
      </c>
      <c r="G323" t="b">
        <v>1</v>
      </c>
      <c r="H323" t="inlineStr">
        <is>
          <t>0</t>
        </is>
      </c>
    </row>
    <row r="324">
      <c r="A324" t="inlineStr">
        <is>
          <t>ALL</t>
        </is>
      </c>
      <c r="B324" t="inlineStr">
        <is>
          <t>legendary</t>
        </is>
      </c>
      <c r="C324" t="n">
        <v>2</v>
      </c>
      <c r="D324" t="inlineStr">
        <is>
          <t>Defense %</t>
        </is>
      </c>
      <c r="E324" t="n">
        <v>9</v>
      </c>
      <c r="F324" t="n">
        <v>6.84</v>
      </c>
      <c r="G324" t="b">
        <v>0</v>
      </c>
      <c r="H324" t="inlineStr">
        <is>
          <t>0</t>
        </is>
      </c>
    </row>
    <row r="325">
      <c r="A325" t="inlineStr">
        <is>
          <t>ALL</t>
        </is>
      </c>
      <c r="B325" t="inlineStr">
        <is>
          <t>legendary</t>
        </is>
      </c>
      <c r="C325" t="n">
        <v>2</v>
      </c>
      <c r="D325" t="inlineStr">
        <is>
          <t>Defense %</t>
        </is>
      </c>
      <c r="E325" t="n">
        <v>12</v>
      </c>
      <c r="F325" t="n">
        <v>2.16</v>
      </c>
      <c r="G325" t="b">
        <v>1</v>
      </c>
      <c r="H325" t="inlineStr">
        <is>
          <t>0</t>
        </is>
      </c>
    </row>
    <row r="326">
      <c r="A326" t="inlineStr">
        <is>
          <t>ALL</t>
        </is>
      </c>
      <c r="B326" t="inlineStr">
        <is>
          <t>legendary</t>
        </is>
      </c>
      <c r="C326" t="n">
        <v>2</v>
      </c>
      <c r="D326" t="inlineStr">
        <is>
          <t>Max HP %</t>
        </is>
      </c>
      <c r="E326" t="n">
        <v>15</v>
      </c>
      <c r="F326" t="n">
        <v>6.84</v>
      </c>
      <c r="G326" t="b">
        <v>0</v>
      </c>
      <c r="H326" t="inlineStr">
        <is>
          <t>0</t>
        </is>
      </c>
    </row>
    <row r="327">
      <c r="A327" t="inlineStr">
        <is>
          <t>ALL</t>
        </is>
      </c>
      <c r="B327" t="inlineStr">
        <is>
          <t>legendary</t>
        </is>
      </c>
      <c r="C327" t="n">
        <v>2</v>
      </c>
      <c r="D327" t="inlineStr">
        <is>
          <t>Max HP %</t>
        </is>
      </c>
      <c r="E327" t="n">
        <v>20</v>
      </c>
      <c r="F327" t="n">
        <v>2.16</v>
      </c>
      <c r="G327" t="b">
        <v>1</v>
      </c>
      <c r="H327" t="inlineStr">
        <is>
          <t>0</t>
        </is>
      </c>
    </row>
    <row r="328">
      <c r="A328" t="inlineStr">
        <is>
          <t>ALL</t>
        </is>
      </c>
      <c r="B328" t="inlineStr">
        <is>
          <t>legendary</t>
        </is>
      </c>
      <c r="C328" t="n">
        <v>2</v>
      </c>
      <c r="D328" t="inlineStr">
        <is>
          <t>Max MP %</t>
        </is>
      </c>
      <c r="E328" t="n">
        <v>9</v>
      </c>
      <c r="F328" t="n">
        <v>6.84</v>
      </c>
      <c r="G328" t="b">
        <v>0</v>
      </c>
      <c r="H328" t="inlineStr">
        <is>
          <t>0</t>
        </is>
      </c>
    </row>
    <row r="329">
      <c r="A329" t="inlineStr">
        <is>
          <t>ALL</t>
        </is>
      </c>
      <c r="B329" t="inlineStr">
        <is>
          <t>legendary</t>
        </is>
      </c>
      <c r="C329" t="n">
        <v>2</v>
      </c>
      <c r="D329" t="inlineStr">
        <is>
          <t>Max MP %</t>
        </is>
      </c>
      <c r="E329" t="n">
        <v>12</v>
      </c>
      <c r="F329" t="n">
        <v>2.16</v>
      </c>
      <c r="G329" t="b">
        <v>1</v>
      </c>
      <c r="H329" t="inlineStr">
        <is>
          <t>0</t>
        </is>
      </c>
    </row>
    <row r="330">
      <c r="A330" t="inlineStr">
        <is>
          <t>ALL</t>
        </is>
      </c>
      <c r="B330" t="inlineStr">
        <is>
          <t>legendary</t>
        </is>
      </c>
      <c r="C330" t="n">
        <v>2</v>
      </c>
      <c r="D330" t="inlineStr">
        <is>
          <t>Str</t>
        </is>
      </c>
      <c r="E330" t="n">
        <v>400</v>
      </c>
      <c r="F330" t="n">
        <v>7.03</v>
      </c>
      <c r="G330" t="b">
        <v>0</v>
      </c>
      <c r="H330" t="inlineStr">
        <is>
          <t>0</t>
        </is>
      </c>
    </row>
    <row r="331">
      <c r="A331" t="inlineStr">
        <is>
          <t>ALL</t>
        </is>
      </c>
      <c r="B331" t="inlineStr">
        <is>
          <t>legendary</t>
        </is>
      </c>
      <c r="C331" t="n">
        <v>2</v>
      </c>
      <c r="D331" t="inlineStr">
        <is>
          <t>Str</t>
        </is>
      </c>
      <c r="E331" t="n">
        <v>600</v>
      </c>
      <c r="F331" t="n">
        <v>2.22</v>
      </c>
      <c r="G331" t="b">
        <v>1</v>
      </c>
      <c r="H331" t="inlineStr">
        <is>
          <t>0</t>
        </is>
      </c>
    </row>
    <row r="332">
      <c r="A332" t="inlineStr">
        <is>
          <t>ALL</t>
        </is>
      </c>
      <c r="B332" t="inlineStr">
        <is>
          <t>legendary</t>
        </is>
      </c>
      <c r="C332" t="n">
        <v>2</v>
      </c>
      <c r="D332" t="inlineStr">
        <is>
          <t>Dex</t>
        </is>
      </c>
      <c r="E332" t="n">
        <v>400</v>
      </c>
      <c r="F332" t="n">
        <v>7.03</v>
      </c>
      <c r="G332" t="b">
        <v>0</v>
      </c>
      <c r="H332">
        <f>Sensitivity!H7</f>
        <v/>
      </c>
    </row>
    <row r="333">
      <c r="A333" t="inlineStr">
        <is>
          <t>ALL</t>
        </is>
      </c>
      <c r="B333" t="inlineStr">
        <is>
          <t>legendary</t>
        </is>
      </c>
      <c r="C333" t="n">
        <v>2</v>
      </c>
      <c r="D333" t="inlineStr">
        <is>
          <t>Dex</t>
        </is>
      </c>
      <c r="E333" t="n">
        <v>600</v>
      </c>
      <c r="F333" t="n">
        <v>2.22</v>
      </c>
      <c r="G333" t="b">
        <v>1</v>
      </c>
      <c r="H333">
        <f>Sensitivity!H7</f>
        <v/>
      </c>
    </row>
    <row r="334">
      <c r="A334" t="inlineStr">
        <is>
          <t>ALL</t>
        </is>
      </c>
      <c r="B334" t="inlineStr">
        <is>
          <t>legendary</t>
        </is>
      </c>
      <c r="C334" t="n">
        <v>2</v>
      </c>
      <c r="D334" t="inlineStr">
        <is>
          <t>Int</t>
        </is>
      </c>
      <c r="E334" t="n">
        <v>400</v>
      </c>
      <c r="F334" t="n">
        <v>7.03</v>
      </c>
      <c r="G334" t="b">
        <v>0</v>
      </c>
      <c r="H334" t="inlineStr">
        <is>
          <t>0</t>
        </is>
      </c>
    </row>
    <row r="335">
      <c r="A335" t="inlineStr">
        <is>
          <t>ALL</t>
        </is>
      </c>
      <c r="B335" t="inlineStr">
        <is>
          <t>legendary</t>
        </is>
      </c>
      <c r="C335" t="n">
        <v>2</v>
      </c>
      <c r="D335" t="inlineStr">
        <is>
          <t>Int</t>
        </is>
      </c>
      <c r="E335" t="n">
        <v>600</v>
      </c>
      <c r="F335" t="n">
        <v>2.22</v>
      </c>
      <c r="G335" t="b">
        <v>1</v>
      </c>
      <c r="H335" t="inlineStr">
        <is>
          <t>0</t>
        </is>
      </c>
    </row>
    <row r="336">
      <c r="A336" t="inlineStr">
        <is>
          <t>ALL</t>
        </is>
      </c>
      <c r="B336" t="inlineStr">
        <is>
          <t>legendary</t>
        </is>
      </c>
      <c r="C336" t="n">
        <v>2</v>
      </c>
      <c r="D336" t="inlineStr">
        <is>
          <t>Luk</t>
        </is>
      </c>
      <c r="E336" t="n">
        <v>400</v>
      </c>
      <c r="F336" t="n">
        <v>7.03</v>
      </c>
      <c r="G336" t="b">
        <v>0</v>
      </c>
      <c r="H336" t="inlineStr">
        <is>
          <t>0</t>
        </is>
      </c>
    </row>
    <row r="337">
      <c r="A337" t="inlineStr">
        <is>
          <t>ALL</t>
        </is>
      </c>
      <c r="B337" t="inlineStr">
        <is>
          <t>legendary</t>
        </is>
      </c>
      <c r="C337" t="n">
        <v>2</v>
      </c>
      <c r="D337" t="inlineStr">
        <is>
          <t>Luk</t>
        </is>
      </c>
      <c r="E337" t="n">
        <v>600</v>
      </c>
      <c r="F337" t="n">
        <v>2.22</v>
      </c>
      <c r="G337" t="b">
        <v>1</v>
      </c>
      <c r="H337" t="inlineStr">
        <is>
          <t>0</t>
        </is>
      </c>
    </row>
    <row r="338">
      <c r="A338" t="inlineStr">
        <is>
          <t>ALL</t>
        </is>
      </c>
      <c r="B338" t="inlineStr">
        <is>
          <t>legendary</t>
        </is>
      </c>
      <c r="C338" t="n">
        <v>3</v>
      </c>
      <c r="D338" t="inlineStr">
        <is>
          <t>Critical Rate %</t>
        </is>
      </c>
      <c r="E338" t="n">
        <v>9</v>
      </c>
      <c r="F338" t="n">
        <v>2.3</v>
      </c>
      <c r="G338" t="b">
        <v>0</v>
      </c>
      <c r="H338">
        <f>IF(Inputs!$B$8&gt;=100,Sensitivity!H16,Sensitivity!H15)</f>
        <v/>
      </c>
    </row>
    <row r="339">
      <c r="A339" t="inlineStr">
        <is>
          <t>ALL</t>
        </is>
      </c>
      <c r="B339" t="inlineStr">
        <is>
          <t>legendary</t>
        </is>
      </c>
      <c r="C339" t="n">
        <v>3</v>
      </c>
      <c r="D339" t="inlineStr">
        <is>
          <t>Critical Rate %</t>
        </is>
      </c>
      <c r="E339" t="n">
        <v>12</v>
      </c>
      <c r="F339" t="n">
        <v>0.2</v>
      </c>
      <c r="G339" t="b">
        <v>1</v>
      </c>
      <c r="H339">
        <f>IF(Inputs!$B$8&gt;=100,Sensitivity!H16,Sensitivity!H15)</f>
        <v/>
      </c>
    </row>
    <row r="340">
      <c r="A340" t="inlineStr">
        <is>
          <t>ALL</t>
        </is>
      </c>
      <c r="B340" t="inlineStr">
        <is>
          <t>legendary</t>
        </is>
      </c>
      <c r="C340" t="n">
        <v>3</v>
      </c>
      <c r="D340" t="inlineStr">
        <is>
          <t>Attack Speed %</t>
        </is>
      </c>
      <c r="E340" t="n">
        <v>5</v>
      </c>
      <c r="F340" t="n">
        <v>2.3</v>
      </c>
      <c r="G340" t="b">
        <v>0</v>
      </c>
      <c r="H340">
        <f>Sensitivity!H17</f>
        <v/>
      </c>
    </row>
    <row r="341">
      <c r="A341" t="inlineStr">
        <is>
          <t>ALL</t>
        </is>
      </c>
      <c r="B341" t="inlineStr">
        <is>
          <t>legendary</t>
        </is>
      </c>
      <c r="C341" t="n">
        <v>3</v>
      </c>
      <c r="D341" t="inlineStr">
        <is>
          <t>Attack Speed %</t>
        </is>
      </c>
      <c r="E341" t="n">
        <v>7</v>
      </c>
      <c r="F341" t="n">
        <v>0.2</v>
      </c>
      <c r="G341" t="b">
        <v>1</v>
      </c>
      <c r="H341">
        <f>Sensitivity!H17</f>
        <v/>
      </c>
    </row>
    <row r="342">
      <c r="A342" t="inlineStr">
        <is>
          <t>ALL</t>
        </is>
      </c>
      <c r="B342" t="inlineStr">
        <is>
          <t>legendary</t>
        </is>
      </c>
      <c r="C342" t="n">
        <v>3</v>
      </c>
      <c r="D342" t="inlineStr">
        <is>
          <t>Damage %</t>
        </is>
      </c>
      <c r="E342" t="n">
        <v>18</v>
      </c>
      <c r="F342" t="n">
        <v>3.68</v>
      </c>
      <c r="G342" t="b">
        <v>0</v>
      </c>
      <c r="H342">
        <f>Sensitivity!H8</f>
        <v/>
      </c>
    </row>
    <row r="343">
      <c r="A343" t="inlineStr">
        <is>
          <t>ALL</t>
        </is>
      </c>
      <c r="B343" t="inlineStr">
        <is>
          <t>legendary</t>
        </is>
      </c>
      <c r="C343" t="n">
        <v>3</v>
      </c>
      <c r="D343" t="inlineStr">
        <is>
          <t>Damage %</t>
        </is>
      </c>
      <c r="E343" t="n">
        <v>25</v>
      </c>
      <c r="F343" t="n">
        <v>0.32</v>
      </c>
      <c r="G343" t="b">
        <v>1</v>
      </c>
      <c r="H343">
        <f>Sensitivity!H8</f>
        <v/>
      </c>
    </row>
    <row r="344">
      <c r="A344" t="inlineStr">
        <is>
          <t>ALL</t>
        </is>
      </c>
      <c r="B344" t="inlineStr">
        <is>
          <t>legendary</t>
        </is>
      </c>
      <c r="C344" t="n">
        <v>3</v>
      </c>
      <c r="D344" t="inlineStr">
        <is>
          <t>Min Damage Multiplier %</t>
        </is>
      </c>
      <c r="E344" t="n">
        <v>10</v>
      </c>
      <c r="F344" t="n">
        <v>3.68</v>
      </c>
      <c r="G344" t="b">
        <v>0</v>
      </c>
      <c r="H344">
        <f>Sensitivity!H13</f>
        <v/>
      </c>
    </row>
    <row r="345">
      <c r="A345" t="inlineStr">
        <is>
          <t>ALL</t>
        </is>
      </c>
      <c r="B345" t="inlineStr">
        <is>
          <t>legendary</t>
        </is>
      </c>
      <c r="C345" t="n">
        <v>3</v>
      </c>
      <c r="D345" t="inlineStr">
        <is>
          <t>Min Damage Multiplier %</t>
        </is>
      </c>
      <c r="E345" t="n">
        <v>15</v>
      </c>
      <c r="F345" t="n">
        <v>0.32</v>
      </c>
      <c r="G345" t="b">
        <v>1</v>
      </c>
      <c r="H345">
        <f>Sensitivity!H13</f>
        <v/>
      </c>
    </row>
    <row r="346">
      <c r="A346" t="inlineStr">
        <is>
          <t>ALL</t>
        </is>
      </c>
      <c r="B346" t="inlineStr">
        <is>
          <t>legendary</t>
        </is>
      </c>
      <c r="C346" t="n">
        <v>3</v>
      </c>
      <c r="D346" t="inlineStr">
        <is>
          <t>Max Damage Multiplier %</t>
        </is>
      </c>
      <c r="E346" t="n">
        <v>10</v>
      </c>
      <c r="F346" t="n">
        <v>3.68</v>
      </c>
      <c r="G346" t="b">
        <v>0</v>
      </c>
      <c r="H346">
        <f>Sensitivity!H14</f>
        <v/>
      </c>
    </row>
    <row r="347">
      <c r="A347" t="inlineStr">
        <is>
          <t>ALL</t>
        </is>
      </c>
      <c r="B347" t="inlineStr">
        <is>
          <t>legendary</t>
        </is>
      </c>
      <c r="C347" t="n">
        <v>3</v>
      </c>
      <c r="D347" t="inlineStr">
        <is>
          <t>Max Damage Multiplier %</t>
        </is>
      </c>
      <c r="E347" t="n">
        <v>15</v>
      </c>
      <c r="F347" t="n">
        <v>0.32</v>
      </c>
      <c r="G347" t="b">
        <v>1</v>
      </c>
      <c r="H347">
        <f>Sensitivity!H14</f>
        <v/>
      </c>
    </row>
    <row r="348">
      <c r="A348" t="inlineStr">
        <is>
          <t>ALL</t>
        </is>
      </c>
      <c r="B348" t="inlineStr">
        <is>
          <t>legendary</t>
        </is>
      </c>
      <c r="C348" t="n">
        <v>3</v>
      </c>
      <c r="D348" t="inlineStr">
        <is>
          <t>Str %</t>
        </is>
      </c>
      <c r="E348" t="n">
        <v>9</v>
      </c>
      <c r="F348" t="n">
        <v>4.14</v>
      </c>
      <c r="G348" t="b">
        <v>0</v>
      </c>
      <c r="H348" t="inlineStr">
        <is>
          <t>0</t>
        </is>
      </c>
    </row>
    <row r="349">
      <c r="A349" t="inlineStr">
        <is>
          <t>ALL</t>
        </is>
      </c>
      <c r="B349" t="inlineStr">
        <is>
          <t>legendary</t>
        </is>
      </c>
      <c r="C349" t="n">
        <v>3</v>
      </c>
      <c r="D349" t="inlineStr">
        <is>
          <t>Str %</t>
        </is>
      </c>
      <c r="E349" t="n">
        <v>12</v>
      </c>
      <c r="F349" t="n">
        <v>0.36</v>
      </c>
      <c r="G349" t="b">
        <v>1</v>
      </c>
      <c r="H349" t="inlineStr">
        <is>
          <t>0</t>
        </is>
      </c>
    </row>
    <row r="350">
      <c r="A350" t="inlineStr">
        <is>
          <t>ALL</t>
        </is>
      </c>
      <c r="B350" t="inlineStr">
        <is>
          <t>legendary</t>
        </is>
      </c>
      <c r="C350" t="n">
        <v>3</v>
      </c>
      <c r="D350" t="inlineStr">
        <is>
          <t>Dex %</t>
        </is>
      </c>
      <c r="E350" t="n">
        <v>9</v>
      </c>
      <c r="F350" t="n">
        <v>4.14</v>
      </c>
      <c r="G350" t="b">
        <v>0</v>
      </c>
      <c r="H350">
        <f>Sensitivity!H7</f>
        <v/>
      </c>
    </row>
    <row r="351">
      <c r="A351" t="inlineStr">
        <is>
          <t>ALL</t>
        </is>
      </c>
      <c r="B351" t="inlineStr">
        <is>
          <t>legendary</t>
        </is>
      </c>
      <c r="C351" t="n">
        <v>3</v>
      </c>
      <c r="D351" t="inlineStr">
        <is>
          <t>Dex %</t>
        </is>
      </c>
      <c r="E351" t="n">
        <v>12</v>
      </c>
      <c r="F351" t="n">
        <v>0.36</v>
      </c>
      <c r="G351" t="b">
        <v>1</v>
      </c>
      <c r="H351">
        <f>Sensitivity!H7</f>
        <v/>
      </c>
    </row>
    <row r="352">
      <c r="A352" t="inlineStr">
        <is>
          <t>ALL</t>
        </is>
      </c>
      <c r="B352" t="inlineStr">
        <is>
          <t>legendary</t>
        </is>
      </c>
      <c r="C352" t="n">
        <v>3</v>
      </c>
      <c r="D352" t="inlineStr">
        <is>
          <t>Int %</t>
        </is>
      </c>
      <c r="E352" t="n">
        <v>9</v>
      </c>
      <c r="F352" t="n">
        <v>4.14</v>
      </c>
      <c r="G352" t="b">
        <v>0</v>
      </c>
      <c r="H352" t="inlineStr">
        <is>
          <t>0</t>
        </is>
      </c>
    </row>
    <row r="353">
      <c r="A353" t="inlineStr">
        <is>
          <t>ALL</t>
        </is>
      </c>
      <c r="B353" t="inlineStr">
        <is>
          <t>legendary</t>
        </is>
      </c>
      <c r="C353" t="n">
        <v>3</v>
      </c>
      <c r="D353" t="inlineStr">
        <is>
          <t>Int %</t>
        </is>
      </c>
      <c r="E353" t="n">
        <v>12</v>
      </c>
      <c r="F353" t="n">
        <v>0.36</v>
      </c>
      <c r="G353" t="b">
        <v>1</v>
      </c>
      <c r="H353" t="inlineStr">
        <is>
          <t>0</t>
        </is>
      </c>
    </row>
    <row r="354">
      <c r="A354" t="inlineStr">
        <is>
          <t>ALL</t>
        </is>
      </c>
      <c r="B354" t="inlineStr">
        <is>
          <t>legendary</t>
        </is>
      </c>
      <c r="C354" t="n">
        <v>3</v>
      </c>
      <c r="D354" t="inlineStr">
        <is>
          <t>Luk %</t>
        </is>
      </c>
      <c r="E354" t="n">
        <v>9</v>
      </c>
      <c r="F354" t="n">
        <v>4.14</v>
      </c>
      <c r="G354" t="b">
        <v>0</v>
      </c>
      <c r="H354" t="inlineStr">
        <is>
          <t>0</t>
        </is>
      </c>
    </row>
    <row r="355">
      <c r="A355" t="inlineStr">
        <is>
          <t>ALL</t>
        </is>
      </c>
      <c r="B355" t="inlineStr">
        <is>
          <t>legendary</t>
        </is>
      </c>
      <c r="C355" t="n">
        <v>3</v>
      </c>
      <c r="D355" t="inlineStr">
        <is>
          <t>Luk %</t>
        </is>
      </c>
      <c r="E355" t="n">
        <v>12</v>
      </c>
      <c r="F355" t="n">
        <v>0.36</v>
      </c>
      <c r="G355" t="b">
        <v>1</v>
      </c>
      <c r="H355" t="inlineStr">
        <is>
          <t>0</t>
        </is>
      </c>
    </row>
    <row r="356">
      <c r="A356" t="inlineStr">
        <is>
          <t>ALL</t>
        </is>
      </c>
      <c r="B356" t="inlineStr">
        <is>
          <t>legendary</t>
        </is>
      </c>
      <c r="C356" t="n">
        <v>3</v>
      </c>
      <c r="D356" t="inlineStr">
        <is>
          <t>Defense %</t>
        </is>
      </c>
      <c r="E356" t="n">
        <v>9</v>
      </c>
      <c r="F356" t="n">
        <v>8.279999999999999</v>
      </c>
      <c r="G356" t="b">
        <v>0</v>
      </c>
      <c r="H356" t="inlineStr">
        <is>
          <t>0</t>
        </is>
      </c>
    </row>
    <row r="357">
      <c r="A357" t="inlineStr">
        <is>
          <t>ALL</t>
        </is>
      </c>
      <c r="B357" t="inlineStr">
        <is>
          <t>legendary</t>
        </is>
      </c>
      <c r="C357" t="n">
        <v>3</v>
      </c>
      <c r="D357" t="inlineStr">
        <is>
          <t>Defense %</t>
        </is>
      </c>
      <c r="E357" t="n">
        <v>12</v>
      </c>
      <c r="F357" t="n">
        <v>0.72</v>
      </c>
      <c r="G357" t="b">
        <v>1</v>
      </c>
      <c r="H357" t="inlineStr">
        <is>
          <t>0</t>
        </is>
      </c>
    </row>
    <row r="358">
      <c r="A358" t="inlineStr">
        <is>
          <t>ALL</t>
        </is>
      </c>
      <c r="B358" t="inlineStr">
        <is>
          <t>legendary</t>
        </is>
      </c>
      <c r="C358" t="n">
        <v>3</v>
      </c>
      <c r="D358" t="inlineStr">
        <is>
          <t>Max HP %</t>
        </is>
      </c>
      <c r="E358" t="n">
        <v>15</v>
      </c>
      <c r="F358" t="n">
        <v>8.279999999999999</v>
      </c>
      <c r="G358" t="b">
        <v>0</v>
      </c>
      <c r="H358" t="inlineStr">
        <is>
          <t>0</t>
        </is>
      </c>
    </row>
    <row r="359">
      <c r="A359" t="inlineStr">
        <is>
          <t>ALL</t>
        </is>
      </c>
      <c r="B359" t="inlineStr">
        <is>
          <t>legendary</t>
        </is>
      </c>
      <c r="C359" t="n">
        <v>3</v>
      </c>
      <c r="D359" t="inlineStr">
        <is>
          <t>Max HP %</t>
        </is>
      </c>
      <c r="E359" t="n">
        <v>20</v>
      </c>
      <c r="F359" t="n">
        <v>0.72</v>
      </c>
      <c r="G359" t="b">
        <v>1</v>
      </c>
      <c r="H359" t="inlineStr">
        <is>
          <t>0</t>
        </is>
      </c>
    </row>
    <row r="360">
      <c r="A360" t="inlineStr">
        <is>
          <t>ALL</t>
        </is>
      </c>
      <c r="B360" t="inlineStr">
        <is>
          <t>legendary</t>
        </is>
      </c>
      <c r="C360" t="n">
        <v>3</v>
      </c>
      <c r="D360" t="inlineStr">
        <is>
          <t>Max MP %</t>
        </is>
      </c>
      <c r="E360" t="n">
        <v>9</v>
      </c>
      <c r="F360" t="n">
        <v>8.279999999999999</v>
      </c>
      <c r="G360" t="b">
        <v>0</v>
      </c>
      <c r="H360" t="inlineStr">
        <is>
          <t>0</t>
        </is>
      </c>
    </row>
    <row r="361">
      <c r="A361" t="inlineStr">
        <is>
          <t>ALL</t>
        </is>
      </c>
      <c r="B361" t="inlineStr">
        <is>
          <t>legendary</t>
        </is>
      </c>
      <c r="C361" t="n">
        <v>3</v>
      </c>
      <c r="D361" t="inlineStr">
        <is>
          <t>Max MP %</t>
        </is>
      </c>
      <c r="E361" t="n">
        <v>12</v>
      </c>
      <c r="F361" t="n">
        <v>0.72</v>
      </c>
      <c r="G361" t="b">
        <v>1</v>
      </c>
      <c r="H361" t="inlineStr">
        <is>
          <t>0</t>
        </is>
      </c>
    </row>
    <row r="362">
      <c r="A362" t="inlineStr">
        <is>
          <t>ALL</t>
        </is>
      </c>
      <c r="B362" t="inlineStr">
        <is>
          <t>legendary</t>
        </is>
      </c>
      <c r="C362" t="n">
        <v>3</v>
      </c>
      <c r="D362" t="inlineStr">
        <is>
          <t>Str</t>
        </is>
      </c>
      <c r="E362" t="n">
        <v>400</v>
      </c>
      <c r="F362" t="n">
        <v>8.51</v>
      </c>
      <c r="G362" t="b">
        <v>0</v>
      </c>
      <c r="H362" t="inlineStr">
        <is>
          <t>0</t>
        </is>
      </c>
    </row>
    <row r="363">
      <c r="A363" t="inlineStr">
        <is>
          <t>ALL</t>
        </is>
      </c>
      <c r="B363" t="inlineStr">
        <is>
          <t>legendary</t>
        </is>
      </c>
      <c r="C363" t="n">
        <v>3</v>
      </c>
      <c r="D363" t="inlineStr">
        <is>
          <t>Str</t>
        </is>
      </c>
      <c r="E363" t="n">
        <v>600</v>
      </c>
      <c r="F363" t="n">
        <v>0.74</v>
      </c>
      <c r="G363" t="b">
        <v>1</v>
      </c>
      <c r="H363" t="inlineStr">
        <is>
          <t>0</t>
        </is>
      </c>
    </row>
    <row r="364">
      <c r="A364" t="inlineStr">
        <is>
          <t>ALL</t>
        </is>
      </c>
      <c r="B364" t="inlineStr">
        <is>
          <t>legendary</t>
        </is>
      </c>
      <c r="C364" t="n">
        <v>3</v>
      </c>
      <c r="D364" t="inlineStr">
        <is>
          <t>Dex</t>
        </is>
      </c>
      <c r="E364" t="n">
        <v>400</v>
      </c>
      <c r="F364" t="n">
        <v>8.51</v>
      </c>
      <c r="G364" t="b">
        <v>0</v>
      </c>
      <c r="H364">
        <f>Sensitivity!H7</f>
        <v/>
      </c>
    </row>
    <row r="365">
      <c r="A365" t="inlineStr">
        <is>
          <t>ALL</t>
        </is>
      </c>
      <c r="B365" t="inlineStr">
        <is>
          <t>legendary</t>
        </is>
      </c>
      <c r="C365" t="n">
        <v>3</v>
      </c>
      <c r="D365" t="inlineStr">
        <is>
          <t>Dex</t>
        </is>
      </c>
      <c r="E365" t="n">
        <v>600</v>
      </c>
      <c r="F365" t="n">
        <v>0.74</v>
      </c>
      <c r="G365" t="b">
        <v>1</v>
      </c>
      <c r="H365">
        <f>Sensitivity!H7</f>
        <v/>
      </c>
    </row>
    <row r="366">
      <c r="A366" t="inlineStr">
        <is>
          <t>ALL</t>
        </is>
      </c>
      <c r="B366" t="inlineStr">
        <is>
          <t>legendary</t>
        </is>
      </c>
      <c r="C366" t="n">
        <v>3</v>
      </c>
      <c r="D366" t="inlineStr">
        <is>
          <t>Int</t>
        </is>
      </c>
      <c r="E366" t="n">
        <v>400</v>
      </c>
      <c r="F366" t="n">
        <v>8.51</v>
      </c>
      <c r="G366" t="b">
        <v>0</v>
      </c>
      <c r="H366" t="inlineStr">
        <is>
          <t>0</t>
        </is>
      </c>
    </row>
    <row r="367">
      <c r="A367" t="inlineStr">
        <is>
          <t>ALL</t>
        </is>
      </c>
      <c r="B367" t="inlineStr">
        <is>
          <t>legendary</t>
        </is>
      </c>
      <c r="C367" t="n">
        <v>3</v>
      </c>
      <c r="D367" t="inlineStr">
        <is>
          <t>Int</t>
        </is>
      </c>
      <c r="E367" t="n">
        <v>600</v>
      </c>
      <c r="F367" t="n">
        <v>0.74</v>
      </c>
      <c r="G367" t="b">
        <v>1</v>
      </c>
      <c r="H367" t="inlineStr">
        <is>
          <t>0</t>
        </is>
      </c>
    </row>
    <row r="368">
      <c r="A368" t="inlineStr">
        <is>
          <t>ALL</t>
        </is>
      </c>
      <c r="B368" t="inlineStr">
        <is>
          <t>legendary</t>
        </is>
      </c>
      <c r="C368" t="n">
        <v>3</v>
      </c>
      <c r="D368" t="inlineStr">
        <is>
          <t>Luk</t>
        </is>
      </c>
      <c r="E368" t="n">
        <v>400</v>
      </c>
      <c r="F368" t="n">
        <v>8.51</v>
      </c>
      <c r="G368" t="b">
        <v>0</v>
      </c>
      <c r="H368" t="inlineStr">
        <is>
          <t>0</t>
        </is>
      </c>
    </row>
    <row r="369">
      <c r="A369" t="inlineStr">
        <is>
          <t>ALL</t>
        </is>
      </c>
      <c r="B369" t="inlineStr">
        <is>
          <t>legendary</t>
        </is>
      </c>
      <c r="C369" t="n">
        <v>3</v>
      </c>
      <c r="D369" t="inlineStr">
        <is>
          <t>Luk</t>
        </is>
      </c>
      <c r="E369" t="n">
        <v>600</v>
      </c>
      <c r="F369" t="n">
        <v>0.74</v>
      </c>
      <c r="G369" t="b">
        <v>1</v>
      </c>
      <c r="H369" t="inlineStr">
        <is>
          <t>0</t>
        </is>
      </c>
    </row>
    <row r="370">
      <c r="A370" t="inlineStr">
        <is>
          <t>ALL</t>
        </is>
      </c>
      <c r="B370" t="inlineStr">
        <is>
          <t>mystic</t>
        </is>
      </c>
      <c r="C370" t="n">
        <v>1</v>
      </c>
      <c r="D370" t="inlineStr">
        <is>
          <t>Critical Rate %</t>
        </is>
      </c>
      <c r="E370" t="n">
        <v>15</v>
      </c>
      <c r="F370" t="n">
        <v>2.5</v>
      </c>
      <c r="G370" t="b">
        <v>0</v>
      </c>
      <c r="H370">
        <f>IF(Inputs!$B$8&gt;=100,Sensitivity!H16,Sensitivity!H15)</f>
        <v/>
      </c>
    </row>
    <row r="371">
      <c r="A371" t="inlineStr">
        <is>
          <t>ALL</t>
        </is>
      </c>
      <c r="B371" t="inlineStr">
        <is>
          <t>mystic</t>
        </is>
      </c>
      <c r="C371" t="n">
        <v>1</v>
      </c>
      <c r="D371" t="inlineStr">
        <is>
          <t>Attack Speed %</t>
        </is>
      </c>
      <c r="E371" t="n">
        <v>10</v>
      </c>
      <c r="F371" t="n">
        <v>2.5</v>
      </c>
      <c r="G371" t="b">
        <v>0</v>
      </c>
      <c r="H371">
        <f>Sensitivity!H17</f>
        <v/>
      </c>
    </row>
    <row r="372">
      <c r="A372" t="inlineStr">
        <is>
          <t>ALL</t>
        </is>
      </c>
      <c r="B372" t="inlineStr">
        <is>
          <t>mystic</t>
        </is>
      </c>
      <c r="C372" t="n">
        <v>1</v>
      </c>
      <c r="D372" t="inlineStr">
        <is>
          <t>Damage %</t>
        </is>
      </c>
      <c r="E372" t="n">
        <v>35</v>
      </c>
      <c r="F372" t="n">
        <v>4</v>
      </c>
      <c r="G372" t="b">
        <v>0</v>
      </c>
      <c r="H372">
        <f>Sensitivity!H8</f>
        <v/>
      </c>
    </row>
    <row r="373">
      <c r="A373" t="inlineStr">
        <is>
          <t>ALL</t>
        </is>
      </c>
      <c r="B373" t="inlineStr">
        <is>
          <t>mystic</t>
        </is>
      </c>
      <c r="C373" t="n">
        <v>1</v>
      </c>
      <c r="D373" t="inlineStr">
        <is>
          <t>Min Damage Multiplier %</t>
        </is>
      </c>
      <c r="E373" t="n">
        <v>25</v>
      </c>
      <c r="F373" t="n">
        <v>4</v>
      </c>
      <c r="G373" t="b">
        <v>0</v>
      </c>
      <c r="H373">
        <f>Sensitivity!H13</f>
        <v/>
      </c>
    </row>
    <row r="374">
      <c r="A374" t="inlineStr">
        <is>
          <t>ALL</t>
        </is>
      </c>
      <c r="B374" t="inlineStr">
        <is>
          <t>mystic</t>
        </is>
      </c>
      <c r="C374" t="n">
        <v>1</v>
      </c>
      <c r="D374" t="inlineStr">
        <is>
          <t>Max Damage Multiplier %</t>
        </is>
      </c>
      <c r="E374" t="n">
        <v>25</v>
      </c>
      <c r="F374" t="n">
        <v>4</v>
      </c>
      <c r="G374" t="b">
        <v>0</v>
      </c>
      <c r="H374">
        <f>Sensitivity!H14</f>
        <v/>
      </c>
    </row>
    <row r="375">
      <c r="A375" t="inlineStr">
        <is>
          <t>ALL</t>
        </is>
      </c>
      <c r="B375" t="inlineStr">
        <is>
          <t>mystic</t>
        </is>
      </c>
      <c r="C375" t="n">
        <v>1</v>
      </c>
      <c r="D375" t="inlineStr">
        <is>
          <t>Str %</t>
        </is>
      </c>
      <c r="E375" t="n">
        <v>15</v>
      </c>
      <c r="F375" t="n">
        <v>4.5</v>
      </c>
      <c r="G375" t="b">
        <v>0</v>
      </c>
      <c r="H375" t="inlineStr">
        <is>
          <t>0</t>
        </is>
      </c>
    </row>
    <row r="376">
      <c r="A376" t="inlineStr">
        <is>
          <t>ALL</t>
        </is>
      </c>
      <c r="B376" t="inlineStr">
        <is>
          <t>mystic</t>
        </is>
      </c>
      <c r="C376" t="n">
        <v>1</v>
      </c>
      <c r="D376" t="inlineStr">
        <is>
          <t>Dex %</t>
        </is>
      </c>
      <c r="E376" t="n">
        <v>15</v>
      </c>
      <c r="F376" t="n">
        <v>4.5</v>
      </c>
      <c r="G376" t="b">
        <v>0</v>
      </c>
      <c r="H376">
        <f>Sensitivity!H7</f>
        <v/>
      </c>
    </row>
    <row r="377">
      <c r="A377" t="inlineStr">
        <is>
          <t>ALL</t>
        </is>
      </c>
      <c r="B377" t="inlineStr">
        <is>
          <t>mystic</t>
        </is>
      </c>
      <c r="C377" t="n">
        <v>1</v>
      </c>
      <c r="D377" t="inlineStr">
        <is>
          <t>Int %</t>
        </is>
      </c>
      <c r="E377" t="n">
        <v>15</v>
      </c>
      <c r="F377" t="n">
        <v>4.5</v>
      </c>
      <c r="G377" t="b">
        <v>0</v>
      </c>
      <c r="H377" t="inlineStr">
        <is>
          <t>0</t>
        </is>
      </c>
    </row>
    <row r="378">
      <c r="A378" t="inlineStr">
        <is>
          <t>ALL</t>
        </is>
      </c>
      <c r="B378" t="inlineStr">
        <is>
          <t>mystic</t>
        </is>
      </c>
      <c r="C378" t="n">
        <v>1</v>
      </c>
      <c r="D378" t="inlineStr">
        <is>
          <t>Luk %</t>
        </is>
      </c>
      <c r="E378" t="n">
        <v>15</v>
      </c>
      <c r="F378" t="n">
        <v>4.5</v>
      </c>
      <c r="G378" t="b">
        <v>0</v>
      </c>
      <c r="H378" t="inlineStr">
        <is>
          <t>0</t>
        </is>
      </c>
    </row>
    <row r="379">
      <c r="A379" t="inlineStr">
        <is>
          <t>ALL</t>
        </is>
      </c>
      <c r="B379" t="inlineStr">
        <is>
          <t>mystic</t>
        </is>
      </c>
      <c r="C379" t="n">
        <v>1</v>
      </c>
      <c r="D379" t="inlineStr">
        <is>
          <t>Defense %</t>
        </is>
      </c>
      <c r="E379" t="n">
        <v>15</v>
      </c>
      <c r="F379" t="n">
        <v>9</v>
      </c>
      <c r="G379" t="b">
        <v>0</v>
      </c>
      <c r="H379" t="inlineStr">
        <is>
          <t>0</t>
        </is>
      </c>
    </row>
    <row r="380">
      <c r="A380" t="inlineStr">
        <is>
          <t>ALL</t>
        </is>
      </c>
      <c r="B380" t="inlineStr">
        <is>
          <t>mystic</t>
        </is>
      </c>
      <c r="C380" t="n">
        <v>1</v>
      </c>
      <c r="D380" t="inlineStr">
        <is>
          <t>Max HP %</t>
        </is>
      </c>
      <c r="E380" t="n">
        <v>25</v>
      </c>
      <c r="F380" t="n">
        <v>9</v>
      </c>
      <c r="G380" t="b">
        <v>0</v>
      </c>
      <c r="H380" t="inlineStr">
        <is>
          <t>0</t>
        </is>
      </c>
    </row>
    <row r="381">
      <c r="A381" t="inlineStr">
        <is>
          <t>ALL</t>
        </is>
      </c>
      <c r="B381" t="inlineStr">
        <is>
          <t>mystic</t>
        </is>
      </c>
      <c r="C381" t="n">
        <v>1</v>
      </c>
      <c r="D381" t="inlineStr">
        <is>
          <t>Max MP %</t>
        </is>
      </c>
      <c r="E381" t="n">
        <v>15</v>
      </c>
      <c r="F381" t="n">
        <v>9</v>
      </c>
      <c r="G381" t="b">
        <v>0</v>
      </c>
      <c r="H381" t="inlineStr">
        <is>
          <t>0</t>
        </is>
      </c>
    </row>
    <row r="382">
      <c r="A382" t="inlineStr">
        <is>
          <t>ALL</t>
        </is>
      </c>
      <c r="B382" t="inlineStr">
        <is>
          <t>mystic</t>
        </is>
      </c>
      <c r="C382" t="n">
        <v>1</v>
      </c>
      <c r="D382" t="inlineStr">
        <is>
          <t>Str</t>
        </is>
      </c>
      <c r="E382" t="n">
        <v>1000</v>
      </c>
      <c r="F382" t="n">
        <v>9.25</v>
      </c>
      <c r="G382" t="b">
        <v>0</v>
      </c>
      <c r="H382" t="inlineStr">
        <is>
          <t>0</t>
        </is>
      </c>
    </row>
    <row r="383">
      <c r="A383" t="inlineStr">
        <is>
          <t>ALL</t>
        </is>
      </c>
      <c r="B383" t="inlineStr">
        <is>
          <t>mystic</t>
        </is>
      </c>
      <c r="C383" t="n">
        <v>1</v>
      </c>
      <c r="D383" t="inlineStr">
        <is>
          <t>Dex</t>
        </is>
      </c>
      <c r="E383" t="n">
        <v>1000</v>
      </c>
      <c r="F383" t="n">
        <v>9.25</v>
      </c>
      <c r="G383" t="b">
        <v>0</v>
      </c>
      <c r="H383">
        <f>Sensitivity!H7</f>
        <v/>
      </c>
    </row>
    <row r="384">
      <c r="A384" t="inlineStr">
        <is>
          <t>ALL</t>
        </is>
      </c>
      <c r="B384" t="inlineStr">
        <is>
          <t>mystic</t>
        </is>
      </c>
      <c r="C384" t="n">
        <v>1</v>
      </c>
      <c r="D384" t="inlineStr">
        <is>
          <t>Int</t>
        </is>
      </c>
      <c r="E384" t="n">
        <v>1000</v>
      </c>
      <c r="F384" t="n">
        <v>9.25</v>
      </c>
      <c r="G384" t="b">
        <v>0</v>
      </c>
      <c r="H384" t="inlineStr">
        <is>
          <t>0</t>
        </is>
      </c>
    </row>
    <row r="385">
      <c r="A385" t="inlineStr">
        <is>
          <t>ALL</t>
        </is>
      </c>
      <c r="B385" t="inlineStr">
        <is>
          <t>mystic</t>
        </is>
      </c>
      <c r="C385" t="n">
        <v>1</v>
      </c>
      <c r="D385" t="inlineStr">
        <is>
          <t>Luk</t>
        </is>
      </c>
      <c r="E385" t="n">
        <v>1000</v>
      </c>
      <c r="F385" t="n">
        <v>9.25</v>
      </c>
      <c r="G385" t="b">
        <v>0</v>
      </c>
      <c r="H385" t="inlineStr">
        <is>
          <t>0</t>
        </is>
      </c>
    </row>
    <row r="386">
      <c r="A386" t="inlineStr">
        <is>
          <t>ALL</t>
        </is>
      </c>
      <c r="B386" t="inlineStr">
        <is>
          <t>mystic</t>
        </is>
      </c>
      <c r="C386" t="n">
        <v>2</v>
      </c>
      <c r="D386" t="inlineStr">
        <is>
          <t>Critical Rate %</t>
        </is>
      </c>
      <c r="E386" t="n">
        <v>12</v>
      </c>
      <c r="F386" t="n">
        <v>1.9</v>
      </c>
      <c r="G386" t="b">
        <v>0</v>
      </c>
      <c r="H386">
        <f>IF(Inputs!$B$8&gt;=100,Sensitivity!H16,Sensitivity!H15)</f>
        <v/>
      </c>
    </row>
    <row r="387">
      <c r="A387" t="inlineStr">
        <is>
          <t>ALL</t>
        </is>
      </c>
      <c r="B387" t="inlineStr">
        <is>
          <t>mystic</t>
        </is>
      </c>
      <c r="C387" t="n">
        <v>2</v>
      </c>
      <c r="D387" t="inlineStr">
        <is>
          <t>Critical Rate %</t>
        </is>
      </c>
      <c r="E387" t="n">
        <v>15</v>
      </c>
      <c r="F387" t="n">
        <v>0.6</v>
      </c>
      <c r="G387" t="b">
        <v>1</v>
      </c>
      <c r="H387">
        <f>IF(Inputs!$B$8&gt;=100,Sensitivity!H16,Sensitivity!H15)</f>
        <v/>
      </c>
    </row>
    <row r="388">
      <c r="A388" t="inlineStr">
        <is>
          <t>ALL</t>
        </is>
      </c>
      <c r="B388" t="inlineStr">
        <is>
          <t>mystic</t>
        </is>
      </c>
      <c r="C388" t="n">
        <v>2</v>
      </c>
      <c r="D388" t="inlineStr">
        <is>
          <t>Attack Speed %</t>
        </is>
      </c>
      <c r="E388" t="n">
        <v>7</v>
      </c>
      <c r="F388" t="n">
        <v>1.9</v>
      </c>
      <c r="G388" t="b">
        <v>0</v>
      </c>
      <c r="H388">
        <f>Sensitivity!H17</f>
        <v/>
      </c>
    </row>
    <row r="389">
      <c r="A389" t="inlineStr">
        <is>
          <t>ALL</t>
        </is>
      </c>
      <c r="B389" t="inlineStr">
        <is>
          <t>mystic</t>
        </is>
      </c>
      <c r="C389" t="n">
        <v>2</v>
      </c>
      <c r="D389" t="inlineStr">
        <is>
          <t>Attack Speed %</t>
        </is>
      </c>
      <c r="E389" t="n">
        <v>10</v>
      </c>
      <c r="F389" t="n">
        <v>0.6</v>
      </c>
      <c r="G389" t="b">
        <v>1</v>
      </c>
      <c r="H389">
        <f>Sensitivity!H17</f>
        <v/>
      </c>
    </row>
    <row r="390">
      <c r="A390" t="inlineStr">
        <is>
          <t>ALL</t>
        </is>
      </c>
      <c r="B390" t="inlineStr">
        <is>
          <t>mystic</t>
        </is>
      </c>
      <c r="C390" t="n">
        <v>2</v>
      </c>
      <c r="D390" t="inlineStr">
        <is>
          <t>Damage %</t>
        </is>
      </c>
      <c r="E390" t="n">
        <v>25</v>
      </c>
      <c r="F390" t="n">
        <v>3.04</v>
      </c>
      <c r="G390" t="b">
        <v>0</v>
      </c>
      <c r="H390">
        <f>Sensitivity!H8</f>
        <v/>
      </c>
    </row>
    <row r="391">
      <c r="A391" t="inlineStr">
        <is>
          <t>ALL</t>
        </is>
      </c>
      <c r="B391" t="inlineStr">
        <is>
          <t>mystic</t>
        </is>
      </c>
      <c r="C391" t="n">
        <v>2</v>
      </c>
      <c r="D391" t="inlineStr">
        <is>
          <t>Damage %</t>
        </is>
      </c>
      <c r="E391" t="n">
        <v>35</v>
      </c>
      <c r="F391" t="n">
        <v>0.96</v>
      </c>
      <c r="G391" t="b">
        <v>1</v>
      </c>
      <c r="H391">
        <f>Sensitivity!H8</f>
        <v/>
      </c>
    </row>
    <row r="392">
      <c r="A392" t="inlineStr">
        <is>
          <t>ALL</t>
        </is>
      </c>
      <c r="B392" t="inlineStr">
        <is>
          <t>mystic</t>
        </is>
      </c>
      <c r="C392" t="n">
        <v>2</v>
      </c>
      <c r="D392" t="inlineStr">
        <is>
          <t>Min Damage Multiplier %</t>
        </is>
      </c>
      <c r="E392" t="n">
        <v>15</v>
      </c>
      <c r="F392" t="n">
        <v>3.04</v>
      </c>
      <c r="G392" t="b">
        <v>0</v>
      </c>
      <c r="H392">
        <f>Sensitivity!H13</f>
        <v/>
      </c>
    </row>
    <row r="393">
      <c r="A393" t="inlineStr">
        <is>
          <t>ALL</t>
        </is>
      </c>
      <c r="B393" t="inlineStr">
        <is>
          <t>mystic</t>
        </is>
      </c>
      <c r="C393" t="n">
        <v>2</v>
      </c>
      <c r="D393" t="inlineStr">
        <is>
          <t>Min Damage Multiplier %</t>
        </is>
      </c>
      <c r="E393" t="n">
        <v>25</v>
      </c>
      <c r="F393" t="n">
        <v>0.96</v>
      </c>
      <c r="G393" t="b">
        <v>1</v>
      </c>
      <c r="H393">
        <f>Sensitivity!H13</f>
        <v/>
      </c>
    </row>
    <row r="394">
      <c r="A394" t="inlineStr">
        <is>
          <t>ALL</t>
        </is>
      </c>
      <c r="B394" t="inlineStr">
        <is>
          <t>mystic</t>
        </is>
      </c>
      <c r="C394" t="n">
        <v>2</v>
      </c>
      <c r="D394" t="inlineStr">
        <is>
          <t>Max Damage Multiplier %</t>
        </is>
      </c>
      <c r="E394" t="n">
        <v>15</v>
      </c>
      <c r="F394" t="n">
        <v>3.04</v>
      </c>
      <c r="G394" t="b">
        <v>0</v>
      </c>
      <c r="H394">
        <f>Sensitivity!H14</f>
        <v/>
      </c>
    </row>
    <row r="395">
      <c r="A395" t="inlineStr">
        <is>
          <t>ALL</t>
        </is>
      </c>
      <c r="B395" t="inlineStr">
        <is>
          <t>mystic</t>
        </is>
      </c>
      <c r="C395" t="n">
        <v>2</v>
      </c>
      <c r="D395" t="inlineStr">
        <is>
          <t>Max Damage Multiplier %</t>
        </is>
      </c>
      <c r="E395" t="n">
        <v>25</v>
      </c>
      <c r="F395" t="n">
        <v>0.96</v>
      </c>
      <c r="G395" t="b">
        <v>1</v>
      </c>
      <c r="H395">
        <f>Sensitivity!H14</f>
        <v/>
      </c>
    </row>
    <row r="396">
      <c r="A396" t="inlineStr">
        <is>
          <t>ALL</t>
        </is>
      </c>
      <c r="B396" t="inlineStr">
        <is>
          <t>mystic</t>
        </is>
      </c>
      <c r="C396" t="n">
        <v>2</v>
      </c>
      <c r="D396" t="inlineStr">
        <is>
          <t>Str %</t>
        </is>
      </c>
      <c r="E396" t="n">
        <v>12</v>
      </c>
      <c r="F396" t="n">
        <v>3.42</v>
      </c>
      <c r="G396" t="b">
        <v>0</v>
      </c>
      <c r="H396" t="inlineStr">
        <is>
          <t>0</t>
        </is>
      </c>
    </row>
    <row r="397">
      <c r="A397" t="inlineStr">
        <is>
          <t>ALL</t>
        </is>
      </c>
      <c r="B397" t="inlineStr">
        <is>
          <t>mystic</t>
        </is>
      </c>
      <c r="C397" t="n">
        <v>2</v>
      </c>
      <c r="D397" t="inlineStr">
        <is>
          <t>Str %</t>
        </is>
      </c>
      <c r="E397" t="n">
        <v>15</v>
      </c>
      <c r="F397" t="n">
        <v>1.08</v>
      </c>
      <c r="G397" t="b">
        <v>1</v>
      </c>
      <c r="H397" t="inlineStr">
        <is>
          <t>0</t>
        </is>
      </c>
    </row>
    <row r="398">
      <c r="A398" t="inlineStr">
        <is>
          <t>ALL</t>
        </is>
      </c>
      <c r="B398" t="inlineStr">
        <is>
          <t>mystic</t>
        </is>
      </c>
      <c r="C398" t="n">
        <v>2</v>
      </c>
      <c r="D398" t="inlineStr">
        <is>
          <t>Dex %</t>
        </is>
      </c>
      <c r="E398" t="n">
        <v>12</v>
      </c>
      <c r="F398" t="n">
        <v>3.42</v>
      </c>
      <c r="G398" t="b">
        <v>0</v>
      </c>
      <c r="H398">
        <f>Sensitivity!H7</f>
        <v/>
      </c>
    </row>
    <row r="399">
      <c r="A399" t="inlineStr">
        <is>
          <t>ALL</t>
        </is>
      </c>
      <c r="B399" t="inlineStr">
        <is>
          <t>mystic</t>
        </is>
      </c>
      <c r="C399" t="n">
        <v>2</v>
      </c>
      <c r="D399" t="inlineStr">
        <is>
          <t>Dex %</t>
        </is>
      </c>
      <c r="E399" t="n">
        <v>15</v>
      </c>
      <c r="F399" t="n">
        <v>1.08</v>
      </c>
      <c r="G399" t="b">
        <v>1</v>
      </c>
      <c r="H399">
        <f>Sensitivity!H7</f>
        <v/>
      </c>
    </row>
    <row r="400">
      <c r="A400" t="inlineStr">
        <is>
          <t>ALL</t>
        </is>
      </c>
      <c r="B400" t="inlineStr">
        <is>
          <t>mystic</t>
        </is>
      </c>
      <c r="C400" t="n">
        <v>2</v>
      </c>
      <c r="D400" t="inlineStr">
        <is>
          <t>Int %</t>
        </is>
      </c>
      <c r="E400" t="n">
        <v>12</v>
      </c>
      <c r="F400" t="n">
        <v>3.42</v>
      </c>
      <c r="G400" t="b">
        <v>0</v>
      </c>
      <c r="H400" t="inlineStr">
        <is>
          <t>0</t>
        </is>
      </c>
    </row>
    <row r="401">
      <c r="A401" t="inlineStr">
        <is>
          <t>ALL</t>
        </is>
      </c>
      <c r="B401" t="inlineStr">
        <is>
          <t>mystic</t>
        </is>
      </c>
      <c r="C401" t="n">
        <v>2</v>
      </c>
      <c r="D401" t="inlineStr">
        <is>
          <t>Int %</t>
        </is>
      </c>
      <c r="E401" t="n">
        <v>15</v>
      </c>
      <c r="F401" t="n">
        <v>1.08</v>
      </c>
      <c r="G401" t="b">
        <v>1</v>
      </c>
      <c r="H401" t="inlineStr">
        <is>
          <t>0</t>
        </is>
      </c>
    </row>
    <row r="402">
      <c r="A402" t="inlineStr">
        <is>
          <t>ALL</t>
        </is>
      </c>
      <c r="B402" t="inlineStr">
        <is>
          <t>mystic</t>
        </is>
      </c>
      <c r="C402" t="n">
        <v>2</v>
      </c>
      <c r="D402" t="inlineStr">
        <is>
          <t>Luk %</t>
        </is>
      </c>
      <c r="E402" t="n">
        <v>12</v>
      </c>
      <c r="F402" t="n">
        <v>3.42</v>
      </c>
      <c r="G402" t="b">
        <v>0</v>
      </c>
      <c r="H402" t="inlineStr">
        <is>
          <t>0</t>
        </is>
      </c>
    </row>
    <row r="403">
      <c r="A403" t="inlineStr">
        <is>
          <t>ALL</t>
        </is>
      </c>
      <c r="B403" t="inlineStr">
        <is>
          <t>mystic</t>
        </is>
      </c>
      <c r="C403" t="n">
        <v>2</v>
      </c>
      <c r="D403" t="inlineStr">
        <is>
          <t>Luk %</t>
        </is>
      </c>
      <c r="E403" t="n">
        <v>15</v>
      </c>
      <c r="F403" t="n">
        <v>1.08</v>
      </c>
      <c r="G403" t="b">
        <v>1</v>
      </c>
      <c r="H403" t="inlineStr">
        <is>
          <t>0</t>
        </is>
      </c>
    </row>
    <row r="404">
      <c r="A404" t="inlineStr">
        <is>
          <t>ALL</t>
        </is>
      </c>
      <c r="B404" t="inlineStr">
        <is>
          <t>mystic</t>
        </is>
      </c>
      <c r="C404" t="n">
        <v>2</v>
      </c>
      <c r="D404" t="inlineStr">
        <is>
          <t>Defense %</t>
        </is>
      </c>
      <c r="E404" t="n">
        <v>12</v>
      </c>
      <c r="F404" t="n">
        <v>6.84</v>
      </c>
      <c r="G404" t="b">
        <v>0</v>
      </c>
      <c r="H404" t="inlineStr">
        <is>
          <t>0</t>
        </is>
      </c>
    </row>
    <row r="405">
      <c r="A405" t="inlineStr">
        <is>
          <t>ALL</t>
        </is>
      </c>
      <c r="B405" t="inlineStr">
        <is>
          <t>mystic</t>
        </is>
      </c>
      <c r="C405" t="n">
        <v>2</v>
      </c>
      <c r="D405" t="inlineStr">
        <is>
          <t>Defense %</t>
        </is>
      </c>
      <c r="E405" t="n">
        <v>15</v>
      </c>
      <c r="F405" t="n">
        <v>2.16</v>
      </c>
      <c r="G405" t="b">
        <v>1</v>
      </c>
      <c r="H405" t="inlineStr">
        <is>
          <t>0</t>
        </is>
      </c>
    </row>
    <row r="406">
      <c r="A406" t="inlineStr">
        <is>
          <t>ALL</t>
        </is>
      </c>
      <c r="B406" t="inlineStr">
        <is>
          <t>mystic</t>
        </is>
      </c>
      <c r="C406" t="n">
        <v>2</v>
      </c>
      <c r="D406" t="inlineStr">
        <is>
          <t>Max HP %</t>
        </is>
      </c>
      <c r="E406" t="n">
        <v>20</v>
      </c>
      <c r="F406" t="n">
        <v>6.84</v>
      </c>
      <c r="G406" t="b">
        <v>0</v>
      </c>
      <c r="H406" t="inlineStr">
        <is>
          <t>0</t>
        </is>
      </c>
    </row>
    <row r="407">
      <c r="A407" t="inlineStr">
        <is>
          <t>ALL</t>
        </is>
      </c>
      <c r="B407" t="inlineStr">
        <is>
          <t>mystic</t>
        </is>
      </c>
      <c r="C407" t="n">
        <v>2</v>
      </c>
      <c r="D407" t="inlineStr">
        <is>
          <t>Max HP %</t>
        </is>
      </c>
      <c r="E407" t="n">
        <v>25</v>
      </c>
      <c r="F407" t="n">
        <v>2.16</v>
      </c>
      <c r="G407" t="b">
        <v>1</v>
      </c>
      <c r="H407" t="inlineStr">
        <is>
          <t>0</t>
        </is>
      </c>
    </row>
    <row r="408">
      <c r="A408" t="inlineStr">
        <is>
          <t>ALL</t>
        </is>
      </c>
      <c r="B408" t="inlineStr">
        <is>
          <t>mystic</t>
        </is>
      </c>
      <c r="C408" t="n">
        <v>2</v>
      </c>
      <c r="D408" t="inlineStr">
        <is>
          <t>Max MP %</t>
        </is>
      </c>
      <c r="E408" t="n">
        <v>12</v>
      </c>
      <c r="F408" t="n">
        <v>6.84</v>
      </c>
      <c r="G408" t="b">
        <v>0</v>
      </c>
      <c r="H408" t="inlineStr">
        <is>
          <t>0</t>
        </is>
      </c>
    </row>
    <row r="409">
      <c r="A409" t="inlineStr">
        <is>
          <t>ALL</t>
        </is>
      </c>
      <c r="B409" t="inlineStr">
        <is>
          <t>mystic</t>
        </is>
      </c>
      <c r="C409" t="n">
        <v>2</v>
      </c>
      <c r="D409" t="inlineStr">
        <is>
          <t>Max MP %</t>
        </is>
      </c>
      <c r="E409" t="n">
        <v>15</v>
      </c>
      <c r="F409" t="n">
        <v>2.16</v>
      </c>
      <c r="G409" t="b">
        <v>1</v>
      </c>
      <c r="H409" t="inlineStr">
        <is>
          <t>0</t>
        </is>
      </c>
    </row>
    <row r="410">
      <c r="A410" t="inlineStr">
        <is>
          <t>ALL</t>
        </is>
      </c>
      <c r="B410" t="inlineStr">
        <is>
          <t>mystic</t>
        </is>
      </c>
      <c r="C410" t="n">
        <v>2</v>
      </c>
      <c r="D410" t="inlineStr">
        <is>
          <t>Str</t>
        </is>
      </c>
      <c r="E410" t="n">
        <v>600</v>
      </c>
      <c r="F410" t="n">
        <v>7.03</v>
      </c>
      <c r="G410" t="b">
        <v>0</v>
      </c>
      <c r="H410" t="inlineStr">
        <is>
          <t>0</t>
        </is>
      </c>
    </row>
    <row r="411">
      <c r="A411" t="inlineStr">
        <is>
          <t>ALL</t>
        </is>
      </c>
      <c r="B411" t="inlineStr">
        <is>
          <t>mystic</t>
        </is>
      </c>
      <c r="C411" t="n">
        <v>2</v>
      </c>
      <c r="D411" t="inlineStr">
        <is>
          <t>Str</t>
        </is>
      </c>
      <c r="E411" t="n">
        <v>1000</v>
      </c>
      <c r="F411" t="n">
        <v>2.22</v>
      </c>
      <c r="G411" t="b">
        <v>1</v>
      </c>
      <c r="H411" t="inlineStr">
        <is>
          <t>0</t>
        </is>
      </c>
    </row>
    <row r="412">
      <c r="A412" t="inlineStr">
        <is>
          <t>ALL</t>
        </is>
      </c>
      <c r="B412" t="inlineStr">
        <is>
          <t>mystic</t>
        </is>
      </c>
      <c r="C412" t="n">
        <v>2</v>
      </c>
      <c r="D412" t="inlineStr">
        <is>
          <t>Dex</t>
        </is>
      </c>
      <c r="E412" t="n">
        <v>600</v>
      </c>
      <c r="F412" t="n">
        <v>7.03</v>
      </c>
      <c r="G412" t="b">
        <v>0</v>
      </c>
      <c r="H412">
        <f>Sensitivity!H7</f>
        <v/>
      </c>
    </row>
    <row r="413">
      <c r="A413" t="inlineStr">
        <is>
          <t>ALL</t>
        </is>
      </c>
      <c r="B413" t="inlineStr">
        <is>
          <t>mystic</t>
        </is>
      </c>
      <c r="C413" t="n">
        <v>2</v>
      </c>
      <c r="D413" t="inlineStr">
        <is>
          <t>Dex</t>
        </is>
      </c>
      <c r="E413" t="n">
        <v>1000</v>
      </c>
      <c r="F413" t="n">
        <v>2.22</v>
      </c>
      <c r="G413" t="b">
        <v>1</v>
      </c>
      <c r="H413">
        <f>Sensitivity!H7</f>
        <v/>
      </c>
    </row>
    <row r="414">
      <c r="A414" t="inlineStr">
        <is>
          <t>ALL</t>
        </is>
      </c>
      <c r="B414" t="inlineStr">
        <is>
          <t>mystic</t>
        </is>
      </c>
      <c r="C414" t="n">
        <v>2</v>
      </c>
      <c r="D414" t="inlineStr">
        <is>
          <t>Int</t>
        </is>
      </c>
      <c r="E414" t="n">
        <v>600</v>
      </c>
      <c r="F414" t="n">
        <v>7.03</v>
      </c>
      <c r="G414" t="b">
        <v>0</v>
      </c>
      <c r="H414" t="inlineStr">
        <is>
          <t>0</t>
        </is>
      </c>
    </row>
    <row r="415">
      <c r="A415" t="inlineStr">
        <is>
          <t>ALL</t>
        </is>
      </c>
      <c r="B415" t="inlineStr">
        <is>
          <t>mystic</t>
        </is>
      </c>
      <c r="C415" t="n">
        <v>2</v>
      </c>
      <c r="D415" t="inlineStr">
        <is>
          <t>Int</t>
        </is>
      </c>
      <c r="E415" t="n">
        <v>1000</v>
      </c>
      <c r="F415" t="n">
        <v>2.22</v>
      </c>
      <c r="G415" t="b">
        <v>1</v>
      </c>
      <c r="H415" t="inlineStr">
        <is>
          <t>0</t>
        </is>
      </c>
    </row>
    <row r="416">
      <c r="A416" t="inlineStr">
        <is>
          <t>ALL</t>
        </is>
      </c>
      <c r="B416" t="inlineStr">
        <is>
          <t>mystic</t>
        </is>
      </c>
      <c r="C416" t="n">
        <v>2</v>
      </c>
      <c r="D416" t="inlineStr">
        <is>
          <t>Luk</t>
        </is>
      </c>
      <c r="E416" t="n">
        <v>600</v>
      </c>
      <c r="F416" t="n">
        <v>7.03</v>
      </c>
      <c r="G416" t="b">
        <v>0</v>
      </c>
      <c r="H416" t="inlineStr">
        <is>
          <t>0</t>
        </is>
      </c>
    </row>
    <row r="417">
      <c r="A417" t="inlineStr">
        <is>
          <t>ALL</t>
        </is>
      </c>
      <c r="B417" t="inlineStr">
        <is>
          <t>mystic</t>
        </is>
      </c>
      <c r="C417" t="n">
        <v>2</v>
      </c>
      <c r="D417" t="inlineStr">
        <is>
          <t>Luk</t>
        </is>
      </c>
      <c r="E417" t="n">
        <v>1000</v>
      </c>
      <c r="F417" t="n">
        <v>2.22</v>
      </c>
      <c r="G417" t="b">
        <v>1</v>
      </c>
      <c r="H417" t="inlineStr">
        <is>
          <t>0</t>
        </is>
      </c>
    </row>
    <row r="418">
      <c r="A418" t="inlineStr">
        <is>
          <t>ALL</t>
        </is>
      </c>
      <c r="B418" t="inlineStr">
        <is>
          <t>mystic</t>
        </is>
      </c>
      <c r="C418" t="n">
        <v>3</v>
      </c>
      <c r="D418" t="inlineStr">
        <is>
          <t>Critical Rate %</t>
        </is>
      </c>
      <c r="E418" t="n">
        <v>12</v>
      </c>
      <c r="F418" t="n">
        <v>2.3</v>
      </c>
      <c r="G418" t="b">
        <v>0</v>
      </c>
      <c r="H418">
        <f>IF(Inputs!$B$8&gt;=100,Sensitivity!H16,Sensitivity!H15)</f>
        <v/>
      </c>
    </row>
    <row r="419">
      <c r="A419" t="inlineStr">
        <is>
          <t>ALL</t>
        </is>
      </c>
      <c r="B419" t="inlineStr">
        <is>
          <t>mystic</t>
        </is>
      </c>
      <c r="C419" t="n">
        <v>3</v>
      </c>
      <c r="D419" t="inlineStr">
        <is>
          <t>Critical Rate %</t>
        </is>
      </c>
      <c r="E419" t="n">
        <v>15</v>
      </c>
      <c r="F419" t="n">
        <v>0.2</v>
      </c>
      <c r="G419" t="b">
        <v>1</v>
      </c>
      <c r="H419">
        <f>IF(Inputs!$B$8&gt;=100,Sensitivity!H16,Sensitivity!H15)</f>
        <v/>
      </c>
    </row>
    <row r="420">
      <c r="A420" t="inlineStr">
        <is>
          <t>ALL</t>
        </is>
      </c>
      <c r="B420" t="inlineStr">
        <is>
          <t>mystic</t>
        </is>
      </c>
      <c r="C420" t="n">
        <v>3</v>
      </c>
      <c r="D420" t="inlineStr">
        <is>
          <t>Attack Speed %</t>
        </is>
      </c>
      <c r="E420" t="n">
        <v>7</v>
      </c>
      <c r="F420" t="n">
        <v>2.3</v>
      </c>
      <c r="G420" t="b">
        <v>0</v>
      </c>
      <c r="H420">
        <f>Sensitivity!H17</f>
        <v/>
      </c>
    </row>
    <row r="421">
      <c r="A421" t="inlineStr">
        <is>
          <t>ALL</t>
        </is>
      </c>
      <c r="B421" t="inlineStr">
        <is>
          <t>mystic</t>
        </is>
      </c>
      <c r="C421" t="n">
        <v>3</v>
      </c>
      <c r="D421" t="inlineStr">
        <is>
          <t>Attack Speed %</t>
        </is>
      </c>
      <c r="E421" t="n">
        <v>10</v>
      </c>
      <c r="F421" t="n">
        <v>0.2</v>
      </c>
      <c r="G421" t="b">
        <v>1</v>
      </c>
      <c r="H421">
        <f>Sensitivity!H17</f>
        <v/>
      </c>
    </row>
    <row r="422">
      <c r="A422" t="inlineStr">
        <is>
          <t>ALL</t>
        </is>
      </c>
      <c r="B422" t="inlineStr">
        <is>
          <t>mystic</t>
        </is>
      </c>
      <c r="C422" t="n">
        <v>3</v>
      </c>
      <c r="D422" t="inlineStr">
        <is>
          <t>Damage %</t>
        </is>
      </c>
      <c r="E422" t="n">
        <v>25</v>
      </c>
      <c r="F422" t="n">
        <v>3.68</v>
      </c>
      <c r="G422" t="b">
        <v>0</v>
      </c>
      <c r="H422">
        <f>Sensitivity!H8</f>
        <v/>
      </c>
    </row>
    <row r="423">
      <c r="A423" t="inlineStr">
        <is>
          <t>ALL</t>
        </is>
      </c>
      <c r="B423" t="inlineStr">
        <is>
          <t>mystic</t>
        </is>
      </c>
      <c r="C423" t="n">
        <v>3</v>
      </c>
      <c r="D423" t="inlineStr">
        <is>
          <t>Damage %</t>
        </is>
      </c>
      <c r="E423" t="n">
        <v>35</v>
      </c>
      <c r="F423" t="n">
        <v>0.32</v>
      </c>
      <c r="G423" t="b">
        <v>1</v>
      </c>
      <c r="H423">
        <f>Sensitivity!H8</f>
        <v/>
      </c>
    </row>
    <row r="424">
      <c r="A424" t="inlineStr">
        <is>
          <t>ALL</t>
        </is>
      </c>
      <c r="B424" t="inlineStr">
        <is>
          <t>mystic</t>
        </is>
      </c>
      <c r="C424" t="n">
        <v>3</v>
      </c>
      <c r="D424" t="inlineStr">
        <is>
          <t>Min Damage Multiplier %</t>
        </is>
      </c>
      <c r="E424" t="n">
        <v>15</v>
      </c>
      <c r="F424" t="n">
        <v>3.68</v>
      </c>
      <c r="G424" t="b">
        <v>0</v>
      </c>
      <c r="H424">
        <f>Sensitivity!H13</f>
        <v/>
      </c>
    </row>
    <row r="425">
      <c r="A425" t="inlineStr">
        <is>
          <t>ALL</t>
        </is>
      </c>
      <c r="B425" t="inlineStr">
        <is>
          <t>mystic</t>
        </is>
      </c>
      <c r="C425" t="n">
        <v>3</v>
      </c>
      <c r="D425" t="inlineStr">
        <is>
          <t>Min Damage Multiplier %</t>
        </is>
      </c>
      <c r="E425" t="n">
        <v>25</v>
      </c>
      <c r="F425" t="n">
        <v>0.32</v>
      </c>
      <c r="G425" t="b">
        <v>1</v>
      </c>
      <c r="H425">
        <f>Sensitivity!H13</f>
        <v/>
      </c>
    </row>
    <row r="426">
      <c r="A426" t="inlineStr">
        <is>
          <t>ALL</t>
        </is>
      </c>
      <c r="B426" t="inlineStr">
        <is>
          <t>mystic</t>
        </is>
      </c>
      <c r="C426" t="n">
        <v>3</v>
      </c>
      <c r="D426" t="inlineStr">
        <is>
          <t>Max Damage Multiplier %</t>
        </is>
      </c>
      <c r="E426" t="n">
        <v>15</v>
      </c>
      <c r="F426" t="n">
        <v>3.68</v>
      </c>
      <c r="G426" t="b">
        <v>0</v>
      </c>
      <c r="H426">
        <f>Sensitivity!H14</f>
        <v/>
      </c>
    </row>
    <row r="427">
      <c r="A427" t="inlineStr">
        <is>
          <t>ALL</t>
        </is>
      </c>
      <c r="B427" t="inlineStr">
        <is>
          <t>mystic</t>
        </is>
      </c>
      <c r="C427" t="n">
        <v>3</v>
      </c>
      <c r="D427" t="inlineStr">
        <is>
          <t>Max Damage Multiplier %</t>
        </is>
      </c>
      <c r="E427" t="n">
        <v>25</v>
      </c>
      <c r="F427" t="n">
        <v>0.32</v>
      </c>
      <c r="G427" t="b">
        <v>1</v>
      </c>
      <c r="H427">
        <f>Sensitivity!H14</f>
        <v/>
      </c>
    </row>
    <row r="428">
      <c r="A428" t="inlineStr">
        <is>
          <t>ALL</t>
        </is>
      </c>
      <c r="B428" t="inlineStr">
        <is>
          <t>mystic</t>
        </is>
      </c>
      <c r="C428" t="n">
        <v>3</v>
      </c>
      <c r="D428" t="inlineStr">
        <is>
          <t>Str %</t>
        </is>
      </c>
      <c r="E428" t="n">
        <v>12</v>
      </c>
      <c r="F428" t="n">
        <v>4.14</v>
      </c>
      <c r="G428" t="b">
        <v>0</v>
      </c>
      <c r="H428" t="inlineStr">
        <is>
          <t>0</t>
        </is>
      </c>
    </row>
    <row r="429">
      <c r="A429" t="inlineStr">
        <is>
          <t>ALL</t>
        </is>
      </c>
      <c r="B429" t="inlineStr">
        <is>
          <t>mystic</t>
        </is>
      </c>
      <c r="C429" t="n">
        <v>3</v>
      </c>
      <c r="D429" t="inlineStr">
        <is>
          <t>Str %</t>
        </is>
      </c>
      <c r="E429" t="n">
        <v>15</v>
      </c>
      <c r="F429" t="n">
        <v>0.36</v>
      </c>
      <c r="G429" t="b">
        <v>1</v>
      </c>
      <c r="H429" t="inlineStr">
        <is>
          <t>0</t>
        </is>
      </c>
    </row>
    <row r="430">
      <c r="A430" t="inlineStr">
        <is>
          <t>ALL</t>
        </is>
      </c>
      <c r="B430" t="inlineStr">
        <is>
          <t>mystic</t>
        </is>
      </c>
      <c r="C430" t="n">
        <v>3</v>
      </c>
      <c r="D430" t="inlineStr">
        <is>
          <t>Dex %</t>
        </is>
      </c>
      <c r="E430" t="n">
        <v>12</v>
      </c>
      <c r="F430" t="n">
        <v>4.14</v>
      </c>
      <c r="G430" t="b">
        <v>0</v>
      </c>
      <c r="H430">
        <f>Sensitivity!H7</f>
        <v/>
      </c>
    </row>
    <row r="431">
      <c r="A431" t="inlineStr">
        <is>
          <t>ALL</t>
        </is>
      </c>
      <c r="B431" t="inlineStr">
        <is>
          <t>mystic</t>
        </is>
      </c>
      <c r="C431" t="n">
        <v>3</v>
      </c>
      <c r="D431" t="inlineStr">
        <is>
          <t>Dex %</t>
        </is>
      </c>
      <c r="E431" t="n">
        <v>15</v>
      </c>
      <c r="F431" t="n">
        <v>0.36</v>
      </c>
      <c r="G431" t="b">
        <v>1</v>
      </c>
      <c r="H431">
        <f>Sensitivity!H7</f>
        <v/>
      </c>
    </row>
    <row r="432">
      <c r="A432" t="inlineStr">
        <is>
          <t>ALL</t>
        </is>
      </c>
      <c r="B432" t="inlineStr">
        <is>
          <t>mystic</t>
        </is>
      </c>
      <c r="C432" t="n">
        <v>3</v>
      </c>
      <c r="D432" t="inlineStr">
        <is>
          <t>Int %</t>
        </is>
      </c>
      <c r="E432" t="n">
        <v>12</v>
      </c>
      <c r="F432" t="n">
        <v>4.14</v>
      </c>
      <c r="G432" t="b">
        <v>0</v>
      </c>
      <c r="H432" t="inlineStr">
        <is>
          <t>0</t>
        </is>
      </c>
    </row>
    <row r="433">
      <c r="A433" t="inlineStr">
        <is>
          <t>ALL</t>
        </is>
      </c>
      <c r="B433" t="inlineStr">
        <is>
          <t>mystic</t>
        </is>
      </c>
      <c r="C433" t="n">
        <v>3</v>
      </c>
      <c r="D433" t="inlineStr">
        <is>
          <t>Int %</t>
        </is>
      </c>
      <c r="E433" t="n">
        <v>15</v>
      </c>
      <c r="F433" t="n">
        <v>0.36</v>
      </c>
      <c r="G433" t="b">
        <v>1</v>
      </c>
      <c r="H433" t="inlineStr">
        <is>
          <t>0</t>
        </is>
      </c>
    </row>
    <row r="434">
      <c r="A434" t="inlineStr">
        <is>
          <t>ALL</t>
        </is>
      </c>
      <c r="B434" t="inlineStr">
        <is>
          <t>mystic</t>
        </is>
      </c>
      <c r="C434" t="n">
        <v>3</v>
      </c>
      <c r="D434" t="inlineStr">
        <is>
          <t>Luk %</t>
        </is>
      </c>
      <c r="E434" t="n">
        <v>12</v>
      </c>
      <c r="F434" t="n">
        <v>4.14</v>
      </c>
      <c r="G434" t="b">
        <v>0</v>
      </c>
      <c r="H434" t="inlineStr">
        <is>
          <t>0</t>
        </is>
      </c>
    </row>
    <row r="435">
      <c r="A435" t="inlineStr">
        <is>
          <t>ALL</t>
        </is>
      </c>
      <c r="B435" t="inlineStr">
        <is>
          <t>mystic</t>
        </is>
      </c>
      <c r="C435" t="n">
        <v>3</v>
      </c>
      <c r="D435" t="inlineStr">
        <is>
          <t>Luk %</t>
        </is>
      </c>
      <c r="E435" t="n">
        <v>15</v>
      </c>
      <c r="F435" t="n">
        <v>0.36</v>
      </c>
      <c r="G435" t="b">
        <v>1</v>
      </c>
      <c r="H435" t="inlineStr">
        <is>
          <t>0</t>
        </is>
      </c>
    </row>
    <row r="436">
      <c r="A436" t="inlineStr">
        <is>
          <t>ALL</t>
        </is>
      </c>
      <c r="B436" t="inlineStr">
        <is>
          <t>mystic</t>
        </is>
      </c>
      <c r="C436" t="n">
        <v>3</v>
      </c>
      <c r="D436" t="inlineStr">
        <is>
          <t>Defense %</t>
        </is>
      </c>
      <c r="E436" t="n">
        <v>12</v>
      </c>
      <c r="F436" t="n">
        <v>8.279999999999999</v>
      </c>
      <c r="G436" t="b">
        <v>0</v>
      </c>
      <c r="H436" t="inlineStr">
        <is>
          <t>0</t>
        </is>
      </c>
    </row>
    <row r="437">
      <c r="A437" t="inlineStr">
        <is>
          <t>ALL</t>
        </is>
      </c>
      <c r="B437" t="inlineStr">
        <is>
          <t>mystic</t>
        </is>
      </c>
      <c r="C437" t="n">
        <v>3</v>
      </c>
      <c r="D437" t="inlineStr">
        <is>
          <t>Defense %</t>
        </is>
      </c>
      <c r="E437" t="n">
        <v>15</v>
      </c>
      <c r="F437" t="n">
        <v>0.72</v>
      </c>
      <c r="G437" t="b">
        <v>1</v>
      </c>
      <c r="H437" t="inlineStr">
        <is>
          <t>0</t>
        </is>
      </c>
    </row>
    <row r="438">
      <c r="A438" t="inlineStr">
        <is>
          <t>ALL</t>
        </is>
      </c>
      <c r="B438" t="inlineStr">
        <is>
          <t>mystic</t>
        </is>
      </c>
      <c r="C438" t="n">
        <v>3</v>
      </c>
      <c r="D438" t="inlineStr">
        <is>
          <t>Max HP %</t>
        </is>
      </c>
      <c r="E438" t="n">
        <v>20</v>
      </c>
      <c r="F438" t="n">
        <v>8.279999999999999</v>
      </c>
      <c r="G438" t="b">
        <v>0</v>
      </c>
      <c r="H438" t="inlineStr">
        <is>
          <t>0</t>
        </is>
      </c>
    </row>
    <row r="439">
      <c r="A439" t="inlineStr">
        <is>
          <t>ALL</t>
        </is>
      </c>
      <c r="B439" t="inlineStr">
        <is>
          <t>mystic</t>
        </is>
      </c>
      <c r="C439" t="n">
        <v>3</v>
      </c>
      <c r="D439" t="inlineStr">
        <is>
          <t>Max HP %</t>
        </is>
      </c>
      <c r="E439" t="n">
        <v>25</v>
      </c>
      <c r="F439" t="n">
        <v>0.72</v>
      </c>
      <c r="G439" t="b">
        <v>1</v>
      </c>
      <c r="H439" t="inlineStr">
        <is>
          <t>0</t>
        </is>
      </c>
    </row>
    <row r="440">
      <c r="A440" t="inlineStr">
        <is>
          <t>ALL</t>
        </is>
      </c>
      <c r="B440" t="inlineStr">
        <is>
          <t>mystic</t>
        </is>
      </c>
      <c r="C440" t="n">
        <v>3</v>
      </c>
      <c r="D440" t="inlineStr">
        <is>
          <t>Max MP %</t>
        </is>
      </c>
      <c r="E440" t="n">
        <v>12</v>
      </c>
      <c r="F440" t="n">
        <v>8.279999999999999</v>
      </c>
      <c r="G440" t="b">
        <v>0</v>
      </c>
      <c r="H440" t="inlineStr">
        <is>
          <t>0</t>
        </is>
      </c>
    </row>
    <row r="441">
      <c r="A441" t="inlineStr">
        <is>
          <t>ALL</t>
        </is>
      </c>
      <c r="B441" t="inlineStr">
        <is>
          <t>mystic</t>
        </is>
      </c>
      <c r="C441" t="n">
        <v>3</v>
      </c>
      <c r="D441" t="inlineStr">
        <is>
          <t>Max MP %</t>
        </is>
      </c>
      <c r="E441" t="n">
        <v>15</v>
      </c>
      <c r="F441" t="n">
        <v>0.72</v>
      </c>
      <c r="G441" t="b">
        <v>1</v>
      </c>
      <c r="H441" t="inlineStr">
        <is>
          <t>0</t>
        </is>
      </c>
    </row>
    <row r="442">
      <c r="A442" t="inlineStr">
        <is>
          <t>ALL</t>
        </is>
      </c>
      <c r="B442" t="inlineStr">
        <is>
          <t>mystic</t>
        </is>
      </c>
      <c r="C442" t="n">
        <v>3</v>
      </c>
      <c r="D442" t="inlineStr">
        <is>
          <t>Str</t>
        </is>
      </c>
      <c r="E442" t="n">
        <v>600</v>
      </c>
      <c r="F442" t="n">
        <v>8.51</v>
      </c>
      <c r="G442" t="b">
        <v>0</v>
      </c>
      <c r="H442" t="inlineStr">
        <is>
          <t>0</t>
        </is>
      </c>
    </row>
    <row r="443">
      <c r="A443" t="inlineStr">
        <is>
          <t>ALL</t>
        </is>
      </c>
      <c r="B443" t="inlineStr">
        <is>
          <t>mystic</t>
        </is>
      </c>
      <c r="C443" t="n">
        <v>3</v>
      </c>
      <c r="D443" t="inlineStr">
        <is>
          <t>Str</t>
        </is>
      </c>
      <c r="E443" t="n">
        <v>1000</v>
      </c>
      <c r="F443" t="n">
        <v>0.74</v>
      </c>
      <c r="G443" t="b">
        <v>1</v>
      </c>
      <c r="H443" t="inlineStr">
        <is>
          <t>0</t>
        </is>
      </c>
    </row>
    <row r="444">
      <c r="A444" t="inlineStr">
        <is>
          <t>ALL</t>
        </is>
      </c>
      <c r="B444" t="inlineStr">
        <is>
          <t>mystic</t>
        </is>
      </c>
      <c r="C444" t="n">
        <v>3</v>
      </c>
      <c r="D444" t="inlineStr">
        <is>
          <t>Dex</t>
        </is>
      </c>
      <c r="E444" t="n">
        <v>600</v>
      </c>
      <c r="F444" t="n">
        <v>8.51</v>
      </c>
      <c r="G444" t="b">
        <v>0</v>
      </c>
      <c r="H444">
        <f>Sensitivity!H7</f>
        <v/>
      </c>
    </row>
    <row r="445">
      <c r="A445" t="inlineStr">
        <is>
          <t>ALL</t>
        </is>
      </c>
      <c r="B445" t="inlineStr">
        <is>
          <t>mystic</t>
        </is>
      </c>
      <c r="C445" t="n">
        <v>3</v>
      </c>
      <c r="D445" t="inlineStr">
        <is>
          <t>Dex</t>
        </is>
      </c>
      <c r="E445" t="n">
        <v>1000</v>
      </c>
      <c r="F445" t="n">
        <v>0.74</v>
      </c>
      <c r="G445" t="b">
        <v>1</v>
      </c>
      <c r="H445">
        <f>Sensitivity!H7</f>
        <v/>
      </c>
    </row>
    <row r="446">
      <c r="A446" t="inlineStr">
        <is>
          <t>ALL</t>
        </is>
      </c>
      <c r="B446" t="inlineStr">
        <is>
          <t>mystic</t>
        </is>
      </c>
      <c r="C446" t="n">
        <v>3</v>
      </c>
      <c r="D446" t="inlineStr">
        <is>
          <t>Int</t>
        </is>
      </c>
      <c r="E446" t="n">
        <v>600</v>
      </c>
      <c r="F446" t="n">
        <v>8.51</v>
      </c>
      <c r="G446" t="b">
        <v>0</v>
      </c>
      <c r="H446" t="inlineStr">
        <is>
          <t>0</t>
        </is>
      </c>
    </row>
    <row r="447">
      <c r="A447" t="inlineStr">
        <is>
          <t>ALL</t>
        </is>
      </c>
      <c r="B447" t="inlineStr">
        <is>
          <t>mystic</t>
        </is>
      </c>
      <c r="C447" t="n">
        <v>3</v>
      </c>
      <c r="D447" t="inlineStr">
        <is>
          <t>Int</t>
        </is>
      </c>
      <c r="E447" t="n">
        <v>1000</v>
      </c>
      <c r="F447" t="n">
        <v>0.74</v>
      </c>
      <c r="G447" t="b">
        <v>1</v>
      </c>
      <c r="H447" t="inlineStr">
        <is>
          <t>0</t>
        </is>
      </c>
    </row>
    <row r="448">
      <c r="A448" t="inlineStr">
        <is>
          <t>ALL</t>
        </is>
      </c>
      <c r="B448" t="inlineStr">
        <is>
          <t>mystic</t>
        </is>
      </c>
      <c r="C448" t="n">
        <v>3</v>
      </c>
      <c r="D448" t="inlineStr">
        <is>
          <t>Luk</t>
        </is>
      </c>
      <c r="E448" t="n">
        <v>600</v>
      </c>
      <c r="F448" t="n">
        <v>8.51</v>
      </c>
      <c r="G448" t="b">
        <v>0</v>
      </c>
      <c r="H448" t="inlineStr">
        <is>
          <t>0</t>
        </is>
      </c>
    </row>
    <row r="449">
      <c r="A449" t="inlineStr">
        <is>
          <t>ALL</t>
        </is>
      </c>
      <c r="B449" t="inlineStr">
        <is>
          <t>mystic</t>
        </is>
      </c>
      <c r="C449" t="n">
        <v>3</v>
      </c>
      <c r="D449" t="inlineStr">
        <is>
          <t>Luk</t>
        </is>
      </c>
      <c r="E449" t="n">
        <v>1000</v>
      </c>
      <c r="F449" t="n">
        <v>0.74</v>
      </c>
      <c r="G449" t="b">
        <v>1</v>
      </c>
      <c r="H449" t="inlineStr">
        <is>
          <t>0</t>
        </is>
      </c>
    </row>
    <row r="450">
      <c r="A450" t="inlineStr">
        <is>
          <t>head</t>
        </is>
      </c>
      <c r="B450" t="inlineStr">
        <is>
          <t>epic</t>
        </is>
      </c>
      <c r="C450" t="n">
        <v>1</v>
      </c>
      <c r="D450" t="inlineStr">
        <is>
          <t>Skill Cooldown Decrease (seconds)</t>
        </is>
      </c>
      <c r="E450" t="n">
        <v>0.5</v>
      </c>
      <c r="F450" t="n">
        <v>1</v>
      </c>
      <c r="G450" t="b">
        <v>1</v>
      </c>
      <c r="H450">
        <f>Sensitivity!H28</f>
        <v/>
      </c>
    </row>
    <row r="451">
      <c r="A451" t="inlineStr">
        <is>
          <t>head</t>
        </is>
      </c>
      <c r="B451" t="inlineStr">
        <is>
          <t>epic</t>
        </is>
      </c>
      <c r="C451" t="n">
        <v>2</v>
      </c>
      <c r="D451" t="inlineStr">
        <is>
          <t>Skill Cooldown Decrease (seconds)</t>
        </is>
      </c>
      <c r="E451" t="n">
        <v>0.5</v>
      </c>
      <c r="F451" t="n">
        <v>0.24</v>
      </c>
      <c r="G451" t="b">
        <v>1</v>
      </c>
      <c r="H451">
        <f>Sensitivity!H28</f>
        <v/>
      </c>
    </row>
    <row r="452">
      <c r="A452" t="inlineStr">
        <is>
          <t>head</t>
        </is>
      </c>
      <c r="B452" t="inlineStr">
        <is>
          <t>epic</t>
        </is>
      </c>
      <c r="C452" t="n">
        <v>3</v>
      </c>
      <c r="D452" t="inlineStr">
        <is>
          <t>Skill Cooldown Decrease (seconds)</t>
        </is>
      </c>
      <c r="E452" t="n">
        <v>0.5</v>
      </c>
      <c r="F452" t="n">
        <v>0.08</v>
      </c>
      <c r="G452" t="b">
        <v>1</v>
      </c>
      <c r="H452">
        <f>Sensitivity!H28</f>
        <v/>
      </c>
    </row>
    <row r="453">
      <c r="A453" t="inlineStr">
        <is>
          <t>head</t>
        </is>
      </c>
      <c r="B453" t="inlineStr">
        <is>
          <t>unique</t>
        </is>
      </c>
      <c r="C453" t="n">
        <v>1</v>
      </c>
      <c r="D453" t="inlineStr">
        <is>
          <t>Skill Cooldown Decrease (seconds)</t>
        </is>
      </c>
      <c r="E453" t="n">
        <v>1</v>
      </c>
      <c r="F453" t="n">
        <v>1</v>
      </c>
      <c r="G453" t="b">
        <v>1</v>
      </c>
      <c r="H453">
        <f>Sensitivity!H28</f>
        <v/>
      </c>
    </row>
    <row r="454">
      <c r="A454" t="inlineStr">
        <is>
          <t>head</t>
        </is>
      </c>
      <c r="B454" t="inlineStr">
        <is>
          <t>unique</t>
        </is>
      </c>
      <c r="C454" t="n">
        <v>2</v>
      </c>
      <c r="D454" t="inlineStr">
        <is>
          <t>Skill Cooldown Decrease (seconds)</t>
        </is>
      </c>
      <c r="E454" t="n">
        <v>1</v>
      </c>
      <c r="F454" t="n">
        <v>0.24</v>
      </c>
      <c r="G454" t="b">
        <v>1</v>
      </c>
      <c r="H454">
        <f>Sensitivity!H28</f>
        <v/>
      </c>
    </row>
    <row r="455">
      <c r="A455" t="inlineStr">
        <is>
          <t>head</t>
        </is>
      </c>
      <c r="B455" t="inlineStr">
        <is>
          <t>unique</t>
        </is>
      </c>
      <c r="C455" t="n">
        <v>2</v>
      </c>
      <c r="D455" t="inlineStr">
        <is>
          <t>Skill Cooldown Decrease (seconds)</t>
        </is>
      </c>
      <c r="E455" t="n">
        <v>0.5</v>
      </c>
      <c r="F455" t="n">
        <v>0.76</v>
      </c>
      <c r="G455" t="b">
        <v>0</v>
      </c>
      <c r="H455">
        <f>Sensitivity!H28</f>
        <v/>
      </c>
    </row>
    <row r="456">
      <c r="A456" t="inlineStr">
        <is>
          <t>head</t>
        </is>
      </c>
      <c r="B456" t="inlineStr">
        <is>
          <t>unique</t>
        </is>
      </c>
      <c r="C456" t="n">
        <v>3</v>
      </c>
      <c r="D456" t="inlineStr">
        <is>
          <t>Skill Cooldown Decrease (seconds)</t>
        </is>
      </c>
      <c r="E456" t="n">
        <v>1</v>
      </c>
      <c r="F456" t="n">
        <v>0.08</v>
      </c>
      <c r="G456" t="b">
        <v>1</v>
      </c>
      <c r="H456">
        <f>Sensitivity!H28</f>
        <v/>
      </c>
    </row>
    <row r="457">
      <c r="A457" t="inlineStr">
        <is>
          <t>head</t>
        </is>
      </c>
      <c r="B457" t="inlineStr">
        <is>
          <t>unique</t>
        </is>
      </c>
      <c r="C457" t="n">
        <v>3</v>
      </c>
      <c r="D457" t="inlineStr">
        <is>
          <t>Skill Cooldown Decrease (seconds)</t>
        </is>
      </c>
      <c r="E457" t="n">
        <v>0.5</v>
      </c>
      <c r="F457" t="n">
        <v>0.92</v>
      </c>
      <c r="G457" t="b">
        <v>0</v>
      </c>
      <c r="H457">
        <f>Sensitivity!H28</f>
        <v/>
      </c>
    </row>
    <row r="458">
      <c r="A458" t="inlineStr">
        <is>
          <t>head</t>
        </is>
      </c>
      <c r="B458" t="inlineStr">
        <is>
          <t>legendary</t>
        </is>
      </c>
      <c r="C458" t="n">
        <v>1</v>
      </c>
      <c r="D458" t="inlineStr">
        <is>
          <t>Skill Cooldown Decrease (seconds)</t>
        </is>
      </c>
      <c r="E458" t="n">
        <v>1.5</v>
      </c>
      <c r="F458" t="n">
        <v>1</v>
      </c>
      <c r="G458" t="b">
        <v>1</v>
      </c>
      <c r="H458">
        <f>Sensitivity!H28</f>
        <v/>
      </c>
    </row>
    <row r="459">
      <c r="A459" t="inlineStr">
        <is>
          <t>head</t>
        </is>
      </c>
      <c r="B459" t="inlineStr">
        <is>
          <t>legendary</t>
        </is>
      </c>
      <c r="C459" t="n">
        <v>2</v>
      </c>
      <c r="D459" t="inlineStr">
        <is>
          <t>Skill Cooldown Decrease (seconds)</t>
        </is>
      </c>
      <c r="E459" t="n">
        <v>1.5</v>
      </c>
      <c r="F459" t="n">
        <v>0.24</v>
      </c>
      <c r="G459" t="b">
        <v>1</v>
      </c>
      <c r="H459">
        <f>Sensitivity!H28</f>
        <v/>
      </c>
    </row>
    <row r="460">
      <c r="A460" t="inlineStr">
        <is>
          <t>head</t>
        </is>
      </c>
      <c r="B460" t="inlineStr">
        <is>
          <t>legendary</t>
        </is>
      </c>
      <c r="C460" t="n">
        <v>2</v>
      </c>
      <c r="D460" t="inlineStr">
        <is>
          <t>Skill Cooldown Decrease (seconds)</t>
        </is>
      </c>
      <c r="E460" t="n">
        <v>1</v>
      </c>
      <c r="F460" t="n">
        <v>0.76</v>
      </c>
      <c r="G460" t="b">
        <v>0</v>
      </c>
      <c r="H460">
        <f>Sensitivity!H28</f>
        <v/>
      </c>
    </row>
    <row r="461">
      <c r="A461" t="inlineStr">
        <is>
          <t>head</t>
        </is>
      </c>
      <c r="B461" t="inlineStr">
        <is>
          <t>legendary</t>
        </is>
      </c>
      <c r="C461" t="n">
        <v>3</v>
      </c>
      <c r="D461" t="inlineStr">
        <is>
          <t>Skill Cooldown Decrease (seconds)</t>
        </is>
      </c>
      <c r="E461" t="n">
        <v>1.5</v>
      </c>
      <c r="F461" t="n">
        <v>0.08</v>
      </c>
      <c r="G461" t="b">
        <v>1</v>
      </c>
      <c r="H461">
        <f>Sensitivity!H28</f>
        <v/>
      </c>
    </row>
    <row r="462">
      <c r="A462" t="inlineStr">
        <is>
          <t>head</t>
        </is>
      </c>
      <c r="B462" t="inlineStr">
        <is>
          <t>legendary</t>
        </is>
      </c>
      <c r="C462" t="n">
        <v>3</v>
      </c>
      <c r="D462" t="inlineStr">
        <is>
          <t>Skill Cooldown Decrease (seconds)</t>
        </is>
      </c>
      <c r="E462" t="n">
        <v>1</v>
      </c>
      <c r="F462" t="n">
        <v>0.92</v>
      </c>
      <c r="G462" t="b">
        <v>0</v>
      </c>
      <c r="H462">
        <f>Sensitivity!H28</f>
        <v/>
      </c>
    </row>
    <row r="463">
      <c r="A463" t="inlineStr">
        <is>
          <t>head</t>
        </is>
      </c>
      <c r="B463" t="inlineStr">
        <is>
          <t>mystic</t>
        </is>
      </c>
      <c r="C463" t="n">
        <v>1</v>
      </c>
      <c r="D463" t="inlineStr">
        <is>
          <t>Skill Cooldown Decrease (seconds)</t>
        </is>
      </c>
      <c r="E463" t="n">
        <v>2</v>
      </c>
      <c r="F463" t="n">
        <v>1</v>
      </c>
      <c r="G463" t="b">
        <v>1</v>
      </c>
      <c r="H463">
        <f>Sensitivity!H28</f>
        <v/>
      </c>
    </row>
    <row r="464">
      <c r="A464" t="inlineStr">
        <is>
          <t>head</t>
        </is>
      </c>
      <c r="B464" t="inlineStr">
        <is>
          <t>mystic</t>
        </is>
      </c>
      <c r="C464" t="n">
        <v>2</v>
      </c>
      <c r="D464" t="inlineStr">
        <is>
          <t>Skill Cooldown Decrease (seconds)</t>
        </is>
      </c>
      <c r="E464" t="n">
        <v>2</v>
      </c>
      <c r="F464" t="n">
        <v>0.24</v>
      </c>
      <c r="G464" t="b">
        <v>1</v>
      </c>
      <c r="H464">
        <f>Sensitivity!H28</f>
        <v/>
      </c>
    </row>
    <row r="465">
      <c r="A465" t="inlineStr">
        <is>
          <t>head</t>
        </is>
      </c>
      <c r="B465" t="inlineStr">
        <is>
          <t>mystic</t>
        </is>
      </c>
      <c r="C465" t="n">
        <v>2</v>
      </c>
      <c r="D465" t="inlineStr">
        <is>
          <t>Skill Cooldown Decrease (seconds)</t>
        </is>
      </c>
      <c r="E465" t="n">
        <v>1.5</v>
      </c>
      <c r="F465" t="n">
        <v>0.76</v>
      </c>
      <c r="G465" t="b">
        <v>0</v>
      </c>
      <c r="H465">
        <f>Sensitivity!H28</f>
        <v/>
      </c>
    </row>
    <row r="466">
      <c r="A466" t="inlineStr">
        <is>
          <t>head</t>
        </is>
      </c>
      <c r="B466" t="inlineStr">
        <is>
          <t>mystic</t>
        </is>
      </c>
      <c r="C466" t="n">
        <v>3</v>
      </c>
      <c r="D466" t="inlineStr">
        <is>
          <t>Skill Cooldown Decrease (seconds)</t>
        </is>
      </c>
      <c r="E466" t="n">
        <v>2</v>
      </c>
      <c r="F466" t="n">
        <v>0.08</v>
      </c>
      <c r="G466" t="b">
        <v>1</v>
      </c>
      <c r="H466">
        <f>Sensitivity!H28</f>
        <v/>
      </c>
    </row>
    <row r="467">
      <c r="A467" t="inlineStr">
        <is>
          <t>head</t>
        </is>
      </c>
      <c r="B467" t="inlineStr">
        <is>
          <t>mystic</t>
        </is>
      </c>
      <c r="C467" t="n">
        <v>3</v>
      </c>
      <c r="D467" t="inlineStr">
        <is>
          <t>Skill Cooldown Decrease (seconds)</t>
        </is>
      </c>
      <c r="E467" t="n">
        <v>1.5</v>
      </c>
      <c r="F467" t="n">
        <v>0.92</v>
      </c>
      <c r="G467" t="b">
        <v>0</v>
      </c>
      <c r="H467">
        <f>Sensitivity!H28</f>
        <v/>
      </c>
    </row>
    <row r="468">
      <c r="A468" t="inlineStr">
        <is>
          <t>cape</t>
        </is>
      </c>
      <c r="B468" t="inlineStr">
        <is>
          <t>epic</t>
        </is>
      </c>
      <c r="C468" t="n">
        <v>1</v>
      </c>
      <c r="D468" t="inlineStr">
        <is>
          <t>Final Damage %</t>
        </is>
      </c>
      <c r="E468" t="n">
        <v>3</v>
      </c>
      <c r="F468" t="n">
        <v>1</v>
      </c>
      <c r="G468" t="b">
        <v>1</v>
      </c>
      <c r="H468">
        <f>Sensitivity!H12</f>
        <v/>
      </c>
    </row>
    <row r="469">
      <c r="A469" t="inlineStr">
        <is>
          <t>cape</t>
        </is>
      </c>
      <c r="B469" t="inlineStr">
        <is>
          <t>epic</t>
        </is>
      </c>
      <c r="C469" t="n">
        <v>2</v>
      </c>
      <c r="D469" t="inlineStr">
        <is>
          <t>Final Damage %</t>
        </is>
      </c>
      <c r="E469" t="n">
        <v>3</v>
      </c>
      <c r="F469" t="n">
        <v>0.24</v>
      </c>
      <c r="G469" t="b">
        <v>1</v>
      </c>
      <c r="H469">
        <f>Sensitivity!H12</f>
        <v/>
      </c>
    </row>
    <row r="470">
      <c r="A470" t="inlineStr">
        <is>
          <t>cape</t>
        </is>
      </c>
      <c r="B470" t="inlineStr">
        <is>
          <t>epic</t>
        </is>
      </c>
      <c r="C470" t="n">
        <v>3</v>
      </c>
      <c r="D470" t="inlineStr">
        <is>
          <t>Final Damage %</t>
        </is>
      </c>
      <c r="E470" t="n">
        <v>3</v>
      </c>
      <c r="F470" t="n">
        <v>0.08</v>
      </c>
      <c r="G470" t="b">
        <v>1</v>
      </c>
      <c r="H470">
        <f>Sensitivity!H12</f>
        <v/>
      </c>
    </row>
    <row r="471">
      <c r="A471" t="inlineStr">
        <is>
          <t>cape</t>
        </is>
      </c>
      <c r="B471" t="inlineStr">
        <is>
          <t>unique</t>
        </is>
      </c>
      <c r="C471" t="n">
        <v>1</v>
      </c>
      <c r="D471" t="inlineStr">
        <is>
          <t>Final Damage %</t>
        </is>
      </c>
      <c r="E471" t="n">
        <v>5</v>
      </c>
      <c r="F471" t="n">
        <v>1</v>
      </c>
      <c r="G471" t="b">
        <v>1</v>
      </c>
      <c r="H471">
        <f>Sensitivity!H12</f>
        <v/>
      </c>
    </row>
    <row r="472">
      <c r="A472" t="inlineStr">
        <is>
          <t>cape</t>
        </is>
      </c>
      <c r="B472" t="inlineStr">
        <is>
          <t>unique</t>
        </is>
      </c>
      <c r="C472" t="n">
        <v>2</v>
      </c>
      <c r="D472" t="inlineStr">
        <is>
          <t>Final Damage %</t>
        </is>
      </c>
      <c r="E472" t="n">
        <v>5</v>
      </c>
      <c r="F472" t="n">
        <v>0.24</v>
      </c>
      <c r="G472" t="b">
        <v>1</v>
      </c>
      <c r="H472">
        <f>Sensitivity!H12</f>
        <v/>
      </c>
    </row>
    <row r="473">
      <c r="A473" t="inlineStr">
        <is>
          <t>cape</t>
        </is>
      </c>
      <c r="B473" t="inlineStr">
        <is>
          <t>unique</t>
        </is>
      </c>
      <c r="C473" t="n">
        <v>2</v>
      </c>
      <c r="D473" t="inlineStr">
        <is>
          <t>Final Damage %</t>
        </is>
      </c>
      <c r="E473" t="n">
        <v>3</v>
      </c>
      <c r="F473" t="n">
        <v>0.76</v>
      </c>
      <c r="G473" t="b">
        <v>0</v>
      </c>
      <c r="H473">
        <f>Sensitivity!H12</f>
        <v/>
      </c>
    </row>
    <row r="474">
      <c r="A474" t="inlineStr">
        <is>
          <t>cape</t>
        </is>
      </c>
      <c r="B474" t="inlineStr">
        <is>
          <t>unique</t>
        </is>
      </c>
      <c r="C474" t="n">
        <v>3</v>
      </c>
      <c r="D474" t="inlineStr">
        <is>
          <t>Final Damage %</t>
        </is>
      </c>
      <c r="E474" t="n">
        <v>5</v>
      </c>
      <c r="F474" t="n">
        <v>0.08</v>
      </c>
      <c r="G474" t="b">
        <v>1</v>
      </c>
      <c r="H474">
        <f>Sensitivity!H12</f>
        <v/>
      </c>
    </row>
    <row r="475">
      <c r="A475" t="inlineStr">
        <is>
          <t>cape</t>
        </is>
      </c>
      <c r="B475" t="inlineStr">
        <is>
          <t>unique</t>
        </is>
      </c>
      <c r="C475" t="n">
        <v>3</v>
      </c>
      <c r="D475" t="inlineStr">
        <is>
          <t>Final Damage %</t>
        </is>
      </c>
      <c r="E475" t="n">
        <v>3</v>
      </c>
      <c r="F475" t="n">
        <v>0.92</v>
      </c>
      <c r="G475" t="b">
        <v>0</v>
      </c>
      <c r="H475">
        <f>Sensitivity!H12</f>
        <v/>
      </c>
    </row>
    <row r="476">
      <c r="A476" t="inlineStr">
        <is>
          <t>cape</t>
        </is>
      </c>
      <c r="B476" t="inlineStr">
        <is>
          <t>legendary</t>
        </is>
      </c>
      <c r="C476" t="n">
        <v>1</v>
      </c>
      <c r="D476" t="inlineStr">
        <is>
          <t>Final Damage %</t>
        </is>
      </c>
      <c r="E476" t="n">
        <v>8</v>
      </c>
      <c r="F476" t="n">
        <v>1</v>
      </c>
      <c r="G476" t="b">
        <v>1</v>
      </c>
      <c r="H476">
        <f>Sensitivity!H12</f>
        <v/>
      </c>
    </row>
    <row r="477">
      <c r="A477" t="inlineStr">
        <is>
          <t>cape</t>
        </is>
      </c>
      <c r="B477" t="inlineStr">
        <is>
          <t>legendary</t>
        </is>
      </c>
      <c r="C477" t="n">
        <v>2</v>
      </c>
      <c r="D477" t="inlineStr">
        <is>
          <t>Final Damage %</t>
        </is>
      </c>
      <c r="E477" t="n">
        <v>8</v>
      </c>
      <c r="F477" t="n">
        <v>0.24</v>
      </c>
      <c r="G477" t="b">
        <v>1</v>
      </c>
      <c r="H477">
        <f>Sensitivity!H12</f>
        <v/>
      </c>
    </row>
    <row r="478">
      <c r="A478" t="inlineStr">
        <is>
          <t>cape</t>
        </is>
      </c>
      <c r="B478" t="inlineStr">
        <is>
          <t>legendary</t>
        </is>
      </c>
      <c r="C478" t="n">
        <v>2</v>
      </c>
      <c r="D478" t="inlineStr">
        <is>
          <t>Final Damage %</t>
        </is>
      </c>
      <c r="E478" t="n">
        <v>5</v>
      </c>
      <c r="F478" t="n">
        <v>0.76</v>
      </c>
      <c r="G478" t="b">
        <v>0</v>
      </c>
      <c r="H478">
        <f>Sensitivity!H12</f>
        <v/>
      </c>
    </row>
    <row r="479">
      <c r="A479" t="inlineStr">
        <is>
          <t>cape</t>
        </is>
      </c>
      <c r="B479" t="inlineStr">
        <is>
          <t>legendary</t>
        </is>
      </c>
      <c r="C479" t="n">
        <v>3</v>
      </c>
      <c r="D479" t="inlineStr">
        <is>
          <t>Final Damage %</t>
        </is>
      </c>
      <c r="E479" t="n">
        <v>8</v>
      </c>
      <c r="F479" t="n">
        <v>0.08</v>
      </c>
      <c r="G479" t="b">
        <v>1</v>
      </c>
      <c r="H479">
        <f>Sensitivity!H12</f>
        <v/>
      </c>
    </row>
    <row r="480">
      <c r="A480" t="inlineStr">
        <is>
          <t>cape</t>
        </is>
      </c>
      <c r="B480" t="inlineStr">
        <is>
          <t>legendary</t>
        </is>
      </c>
      <c r="C480" t="n">
        <v>3</v>
      </c>
      <c r="D480" t="inlineStr">
        <is>
          <t>Final Damage %</t>
        </is>
      </c>
      <c r="E480" t="n">
        <v>5</v>
      </c>
      <c r="F480" t="n">
        <v>0.92</v>
      </c>
      <c r="G480" t="b">
        <v>0</v>
      </c>
      <c r="H480">
        <f>Sensitivity!H12</f>
        <v/>
      </c>
    </row>
    <row r="481">
      <c r="A481" t="inlineStr">
        <is>
          <t>cape</t>
        </is>
      </c>
      <c r="B481" t="inlineStr">
        <is>
          <t>mystic</t>
        </is>
      </c>
      <c r="C481" t="n">
        <v>1</v>
      </c>
      <c r="D481" t="inlineStr">
        <is>
          <t>Final Damage %</t>
        </is>
      </c>
      <c r="E481" t="n">
        <v>12</v>
      </c>
      <c r="F481" t="n">
        <v>1</v>
      </c>
      <c r="G481" t="b">
        <v>1</v>
      </c>
      <c r="H481">
        <f>Sensitivity!H12</f>
        <v/>
      </c>
    </row>
    <row r="482">
      <c r="A482" t="inlineStr">
        <is>
          <t>cape</t>
        </is>
      </c>
      <c r="B482" t="inlineStr">
        <is>
          <t>mystic</t>
        </is>
      </c>
      <c r="C482" t="n">
        <v>2</v>
      </c>
      <c r="D482" t="inlineStr">
        <is>
          <t>Final Damage %</t>
        </is>
      </c>
      <c r="E482" t="n">
        <v>12</v>
      </c>
      <c r="F482" t="n">
        <v>0.24</v>
      </c>
      <c r="G482" t="b">
        <v>1</v>
      </c>
      <c r="H482">
        <f>Sensitivity!H12</f>
        <v/>
      </c>
    </row>
    <row r="483">
      <c r="A483" t="inlineStr">
        <is>
          <t>cape</t>
        </is>
      </c>
      <c r="B483" t="inlineStr">
        <is>
          <t>mystic</t>
        </is>
      </c>
      <c r="C483" t="n">
        <v>2</v>
      </c>
      <c r="D483" t="inlineStr">
        <is>
          <t>Final Damage %</t>
        </is>
      </c>
      <c r="E483" t="n">
        <v>8</v>
      </c>
      <c r="F483" t="n">
        <v>0.76</v>
      </c>
      <c r="G483" t="b">
        <v>0</v>
      </c>
      <c r="H483">
        <f>Sensitivity!H12</f>
        <v/>
      </c>
    </row>
    <row r="484">
      <c r="A484" t="inlineStr">
        <is>
          <t>cape</t>
        </is>
      </c>
      <c r="B484" t="inlineStr">
        <is>
          <t>mystic</t>
        </is>
      </c>
      <c r="C484" t="n">
        <v>3</v>
      </c>
      <c r="D484" t="inlineStr">
        <is>
          <t>Final Damage %</t>
        </is>
      </c>
      <c r="E484" t="n">
        <v>12</v>
      </c>
      <c r="F484" t="n">
        <v>0.08</v>
      </c>
      <c r="G484" t="b">
        <v>1</v>
      </c>
      <c r="H484">
        <f>Sensitivity!H12</f>
        <v/>
      </c>
    </row>
    <row r="485">
      <c r="A485" t="inlineStr">
        <is>
          <t>cape</t>
        </is>
      </c>
      <c r="B485" t="inlineStr">
        <is>
          <t>mystic</t>
        </is>
      </c>
      <c r="C485" t="n">
        <v>3</v>
      </c>
      <c r="D485" t="inlineStr">
        <is>
          <t>Final Damage %</t>
        </is>
      </c>
      <c r="E485" t="n">
        <v>8</v>
      </c>
      <c r="F485" t="n">
        <v>0.92</v>
      </c>
      <c r="G485" t="b">
        <v>0</v>
      </c>
      <c r="H485">
        <f>Sensitivity!H12</f>
        <v/>
      </c>
    </row>
    <row r="486">
      <c r="A486" t="inlineStr">
        <is>
          <t>chest</t>
        </is>
      </c>
      <c r="B486" t="inlineStr">
        <is>
          <t>unique</t>
        </is>
      </c>
      <c r="C486" t="n">
        <v>1</v>
      </c>
      <c r="D486" t="inlineStr">
        <is>
          <t>Basic Attack Target Increase</t>
        </is>
      </c>
      <c r="E486" t="n">
        <v>1</v>
      </c>
      <c r="F486" t="n">
        <v>1</v>
      </c>
      <c r="G486" t="b">
        <v>1</v>
      </c>
      <c r="H486">
        <f>Sensitivity!H29</f>
        <v/>
      </c>
    </row>
    <row r="487">
      <c r="A487" t="inlineStr">
        <is>
          <t>chest</t>
        </is>
      </c>
      <c r="B487" t="inlineStr">
        <is>
          <t>unique</t>
        </is>
      </c>
      <c r="C487" t="n">
        <v>2</v>
      </c>
      <c r="D487" t="inlineStr">
        <is>
          <t>Basic Attack Target Increase</t>
        </is>
      </c>
      <c r="E487" t="n">
        <v>1</v>
      </c>
      <c r="F487" t="n">
        <v>0.24</v>
      </c>
      <c r="G487" t="b">
        <v>1</v>
      </c>
      <c r="H487">
        <f>Sensitivity!H29</f>
        <v/>
      </c>
    </row>
    <row r="488">
      <c r="A488" t="inlineStr">
        <is>
          <t>chest</t>
        </is>
      </c>
      <c r="B488" t="inlineStr">
        <is>
          <t>unique</t>
        </is>
      </c>
      <c r="C488" t="n">
        <v>3</v>
      </c>
      <c r="D488" t="inlineStr">
        <is>
          <t>Basic Attack Target Increase</t>
        </is>
      </c>
      <c r="E488" t="n">
        <v>1</v>
      </c>
      <c r="F488" t="n">
        <v>0.08</v>
      </c>
      <c r="G488" t="b">
        <v>1</v>
      </c>
      <c r="H488">
        <f>Sensitivity!H29</f>
        <v/>
      </c>
    </row>
    <row r="489">
      <c r="A489" t="inlineStr">
        <is>
          <t>chest</t>
        </is>
      </c>
      <c r="B489" t="inlineStr">
        <is>
          <t>legendary</t>
        </is>
      </c>
      <c r="C489" t="n">
        <v>1</v>
      </c>
      <c r="D489" t="inlineStr">
        <is>
          <t>Basic Attack Target Increase</t>
        </is>
      </c>
      <c r="E489" t="n">
        <v>2</v>
      </c>
      <c r="F489" t="n">
        <v>1</v>
      </c>
      <c r="G489" t="b">
        <v>1</v>
      </c>
      <c r="H489">
        <f>Sensitivity!H29</f>
        <v/>
      </c>
    </row>
    <row r="490">
      <c r="A490" t="inlineStr">
        <is>
          <t>chest</t>
        </is>
      </c>
      <c r="B490" t="inlineStr">
        <is>
          <t>legendary</t>
        </is>
      </c>
      <c r="C490" t="n">
        <v>2</v>
      </c>
      <c r="D490" t="inlineStr">
        <is>
          <t>Basic Attack Target Increase</t>
        </is>
      </c>
      <c r="E490" t="n">
        <v>2</v>
      </c>
      <c r="F490" t="n">
        <v>0.24</v>
      </c>
      <c r="G490" t="b">
        <v>1</v>
      </c>
      <c r="H490">
        <f>Sensitivity!H29</f>
        <v/>
      </c>
    </row>
    <row r="491">
      <c r="A491" t="inlineStr">
        <is>
          <t>chest</t>
        </is>
      </c>
      <c r="B491" t="inlineStr">
        <is>
          <t>legendary</t>
        </is>
      </c>
      <c r="C491" t="n">
        <v>2</v>
      </c>
      <c r="D491" t="inlineStr">
        <is>
          <t>Basic Attack Target Increase</t>
        </is>
      </c>
      <c r="E491" t="n">
        <v>1</v>
      </c>
      <c r="F491" t="n">
        <v>0.76</v>
      </c>
      <c r="G491" t="b">
        <v>0</v>
      </c>
      <c r="H491">
        <f>Sensitivity!H29</f>
        <v/>
      </c>
    </row>
    <row r="492">
      <c r="A492" t="inlineStr">
        <is>
          <t>chest</t>
        </is>
      </c>
      <c r="B492" t="inlineStr">
        <is>
          <t>legendary</t>
        </is>
      </c>
      <c r="C492" t="n">
        <v>3</v>
      </c>
      <c r="D492" t="inlineStr">
        <is>
          <t>Basic Attack Target Increase</t>
        </is>
      </c>
      <c r="E492" t="n">
        <v>2</v>
      </c>
      <c r="F492" t="n">
        <v>0.08</v>
      </c>
      <c r="G492" t="b">
        <v>1</v>
      </c>
      <c r="H492">
        <f>Sensitivity!H29</f>
        <v/>
      </c>
    </row>
    <row r="493">
      <c r="A493" t="inlineStr">
        <is>
          <t>chest</t>
        </is>
      </c>
      <c r="B493" t="inlineStr">
        <is>
          <t>legendary</t>
        </is>
      </c>
      <c r="C493" t="n">
        <v>3</v>
      </c>
      <c r="D493" t="inlineStr">
        <is>
          <t>Basic Attack Target Increase</t>
        </is>
      </c>
      <c r="E493" t="n">
        <v>1</v>
      </c>
      <c r="F493" t="n">
        <v>0.92</v>
      </c>
      <c r="G493" t="b">
        <v>0</v>
      </c>
      <c r="H493">
        <f>Sensitivity!H29</f>
        <v/>
      </c>
    </row>
    <row r="494">
      <c r="A494" t="inlineStr">
        <is>
          <t>chest</t>
        </is>
      </c>
      <c r="B494" t="inlineStr">
        <is>
          <t>mystic</t>
        </is>
      </c>
      <c r="C494" t="n">
        <v>1</v>
      </c>
      <c r="D494" t="inlineStr">
        <is>
          <t>Basic Attack Target Increase</t>
        </is>
      </c>
      <c r="E494" t="n">
        <v>3</v>
      </c>
      <c r="F494" t="n">
        <v>1</v>
      </c>
      <c r="G494" t="b">
        <v>1</v>
      </c>
      <c r="H494">
        <f>Sensitivity!H29</f>
        <v/>
      </c>
    </row>
    <row r="495">
      <c r="A495" t="inlineStr">
        <is>
          <t>chest</t>
        </is>
      </c>
      <c r="B495" t="inlineStr">
        <is>
          <t>mystic</t>
        </is>
      </c>
      <c r="C495" t="n">
        <v>2</v>
      </c>
      <c r="D495" t="inlineStr">
        <is>
          <t>Basic Attack Target Increase</t>
        </is>
      </c>
      <c r="E495" t="n">
        <v>3</v>
      </c>
      <c r="F495" t="n">
        <v>0.24</v>
      </c>
      <c r="G495" t="b">
        <v>1</v>
      </c>
      <c r="H495">
        <f>Sensitivity!H29</f>
        <v/>
      </c>
    </row>
    <row r="496">
      <c r="A496" t="inlineStr">
        <is>
          <t>chest</t>
        </is>
      </c>
      <c r="B496" t="inlineStr">
        <is>
          <t>mystic</t>
        </is>
      </c>
      <c r="C496" t="n">
        <v>2</v>
      </c>
      <c r="D496" t="inlineStr">
        <is>
          <t>Basic Attack Target Increase</t>
        </is>
      </c>
      <c r="E496" t="n">
        <v>2</v>
      </c>
      <c r="F496" t="n">
        <v>0.76</v>
      </c>
      <c r="G496" t="b">
        <v>0</v>
      </c>
      <c r="H496">
        <f>Sensitivity!H29</f>
        <v/>
      </c>
    </row>
    <row r="497">
      <c r="A497" t="inlineStr">
        <is>
          <t>chest</t>
        </is>
      </c>
      <c r="B497" t="inlineStr">
        <is>
          <t>mystic</t>
        </is>
      </c>
      <c r="C497" t="n">
        <v>3</v>
      </c>
      <c r="D497" t="inlineStr">
        <is>
          <t>Basic Attack Target Increase</t>
        </is>
      </c>
      <c r="E497" t="n">
        <v>3</v>
      </c>
      <c r="F497" t="n">
        <v>0.08</v>
      </c>
      <c r="G497" t="b">
        <v>1</v>
      </c>
      <c r="H497">
        <f>Sensitivity!H29</f>
        <v/>
      </c>
    </row>
    <row r="498">
      <c r="A498" t="inlineStr">
        <is>
          <t>chest</t>
        </is>
      </c>
      <c r="B498" t="inlineStr">
        <is>
          <t>mystic</t>
        </is>
      </c>
      <c r="C498" t="n">
        <v>3</v>
      </c>
      <c r="D498" t="inlineStr">
        <is>
          <t>Basic Attack Target Increase</t>
        </is>
      </c>
      <c r="E498" t="n">
        <v>2</v>
      </c>
      <c r="F498" t="n">
        <v>0.92</v>
      </c>
      <c r="G498" t="b">
        <v>0</v>
      </c>
      <c r="H498">
        <f>Sensitivity!H29</f>
        <v/>
      </c>
    </row>
    <row r="499">
      <c r="A499" t="inlineStr">
        <is>
          <t>shoulders</t>
        </is>
      </c>
      <c r="B499" t="inlineStr">
        <is>
          <t>unique</t>
        </is>
      </c>
      <c r="C499" t="n">
        <v>1</v>
      </c>
      <c r="D499" t="inlineStr">
        <is>
          <t>Defense Penetration</t>
        </is>
      </c>
      <c r="E499" t="n">
        <v>8</v>
      </c>
      <c r="F499" t="n">
        <v>1</v>
      </c>
      <c r="G499" t="b">
        <v>1</v>
      </c>
      <c r="H499">
        <f>Sensitivity!H18</f>
        <v/>
      </c>
    </row>
    <row r="500">
      <c r="A500" t="inlineStr">
        <is>
          <t>shoulders</t>
        </is>
      </c>
      <c r="B500" t="inlineStr">
        <is>
          <t>unique</t>
        </is>
      </c>
      <c r="C500" t="n">
        <v>2</v>
      </c>
      <c r="D500" t="inlineStr">
        <is>
          <t>Defense Penetration</t>
        </is>
      </c>
      <c r="E500" t="n">
        <v>8</v>
      </c>
      <c r="F500" t="n">
        <v>0.24</v>
      </c>
      <c r="G500" t="b">
        <v>1</v>
      </c>
      <c r="H500">
        <f>Sensitivity!H18</f>
        <v/>
      </c>
    </row>
    <row r="501">
      <c r="A501" t="inlineStr">
        <is>
          <t>shoulders</t>
        </is>
      </c>
      <c r="B501" t="inlineStr">
        <is>
          <t>unique</t>
        </is>
      </c>
      <c r="C501" t="n">
        <v>3</v>
      </c>
      <c r="D501" t="inlineStr">
        <is>
          <t>Defense Penetration</t>
        </is>
      </c>
      <c r="E501" t="n">
        <v>8</v>
      </c>
      <c r="F501" t="n">
        <v>0.08</v>
      </c>
      <c r="G501" t="b">
        <v>1</v>
      </c>
      <c r="H501">
        <f>Sensitivity!H18</f>
        <v/>
      </c>
    </row>
    <row r="502">
      <c r="A502" t="inlineStr">
        <is>
          <t>shoulders</t>
        </is>
      </c>
      <c r="B502" t="inlineStr">
        <is>
          <t>legendary</t>
        </is>
      </c>
      <c r="C502" t="n">
        <v>1</v>
      </c>
      <c r="D502" t="inlineStr">
        <is>
          <t>Defense Penetration</t>
        </is>
      </c>
      <c r="E502" t="n">
        <v>12</v>
      </c>
      <c r="F502" t="n">
        <v>1</v>
      </c>
      <c r="G502" t="b">
        <v>1</v>
      </c>
      <c r="H502">
        <f>Sensitivity!H18</f>
        <v/>
      </c>
    </row>
    <row r="503">
      <c r="A503" t="inlineStr">
        <is>
          <t>shoulders</t>
        </is>
      </c>
      <c r="B503" t="inlineStr">
        <is>
          <t>legendary</t>
        </is>
      </c>
      <c r="C503" t="n">
        <v>2</v>
      </c>
      <c r="D503" t="inlineStr">
        <is>
          <t>Defense Penetration</t>
        </is>
      </c>
      <c r="E503" t="n">
        <v>12</v>
      </c>
      <c r="F503" t="n">
        <v>0.24</v>
      </c>
      <c r="G503" t="b">
        <v>1</v>
      </c>
      <c r="H503">
        <f>Sensitivity!H18</f>
        <v/>
      </c>
    </row>
    <row r="504">
      <c r="A504" t="inlineStr">
        <is>
          <t>shoulders</t>
        </is>
      </c>
      <c r="B504" t="inlineStr">
        <is>
          <t>legendary</t>
        </is>
      </c>
      <c r="C504" t="n">
        <v>2</v>
      </c>
      <c r="D504" t="inlineStr">
        <is>
          <t>Defense Penetration</t>
        </is>
      </c>
      <c r="E504" t="n">
        <v>8</v>
      </c>
      <c r="F504" t="n">
        <v>0.76</v>
      </c>
      <c r="G504" t="b">
        <v>0</v>
      </c>
      <c r="H504">
        <f>Sensitivity!H18</f>
        <v/>
      </c>
    </row>
    <row r="505">
      <c r="A505" t="inlineStr">
        <is>
          <t>shoulders</t>
        </is>
      </c>
      <c r="B505" t="inlineStr">
        <is>
          <t>legendary</t>
        </is>
      </c>
      <c r="C505" t="n">
        <v>3</v>
      </c>
      <c r="D505" t="inlineStr">
        <is>
          <t>Defense Penetration</t>
        </is>
      </c>
      <c r="E505" t="n">
        <v>12</v>
      </c>
      <c r="F505" t="n">
        <v>0.08</v>
      </c>
      <c r="G505" t="b">
        <v>1</v>
      </c>
      <c r="H505">
        <f>Sensitivity!H18</f>
        <v/>
      </c>
    </row>
    <row r="506">
      <c r="A506" t="inlineStr">
        <is>
          <t>shoulders</t>
        </is>
      </c>
      <c r="B506" t="inlineStr">
        <is>
          <t>legendary</t>
        </is>
      </c>
      <c r="C506" t="n">
        <v>3</v>
      </c>
      <c r="D506" t="inlineStr">
        <is>
          <t>Defense Penetration</t>
        </is>
      </c>
      <c r="E506" t="n">
        <v>8</v>
      </c>
      <c r="F506" t="n">
        <v>0.92</v>
      </c>
      <c r="G506" t="b">
        <v>0</v>
      </c>
      <c r="H506">
        <f>Sensitivity!H18</f>
        <v/>
      </c>
    </row>
    <row r="507">
      <c r="A507" t="inlineStr">
        <is>
          <t>shoulders</t>
        </is>
      </c>
      <c r="B507" t="inlineStr">
        <is>
          <t>mystic</t>
        </is>
      </c>
      <c r="C507" t="n">
        <v>1</v>
      </c>
      <c r="D507" t="inlineStr">
        <is>
          <t>Defense Penetration</t>
        </is>
      </c>
      <c r="E507" t="n">
        <v>20</v>
      </c>
      <c r="F507" t="n">
        <v>1</v>
      </c>
      <c r="G507" t="b">
        <v>1</v>
      </c>
      <c r="H507">
        <f>Sensitivity!H18</f>
        <v/>
      </c>
    </row>
    <row r="508">
      <c r="A508" t="inlineStr">
        <is>
          <t>shoulders</t>
        </is>
      </c>
      <c r="B508" t="inlineStr">
        <is>
          <t>mystic</t>
        </is>
      </c>
      <c r="C508" t="n">
        <v>2</v>
      </c>
      <c r="D508" t="inlineStr">
        <is>
          <t>Defense Penetration</t>
        </is>
      </c>
      <c r="E508" t="n">
        <v>20</v>
      </c>
      <c r="F508" t="n">
        <v>0.24</v>
      </c>
      <c r="G508" t="b">
        <v>1</v>
      </c>
      <c r="H508">
        <f>Sensitivity!H18</f>
        <v/>
      </c>
    </row>
    <row r="509">
      <c r="A509" t="inlineStr">
        <is>
          <t>shoulders</t>
        </is>
      </c>
      <c r="B509" t="inlineStr">
        <is>
          <t>mystic</t>
        </is>
      </c>
      <c r="C509" t="n">
        <v>2</v>
      </c>
      <c r="D509" t="inlineStr">
        <is>
          <t>Defense Penetration</t>
        </is>
      </c>
      <c r="E509" t="n">
        <v>12</v>
      </c>
      <c r="F509" t="n">
        <v>0.76</v>
      </c>
      <c r="G509" t="b">
        <v>0</v>
      </c>
      <c r="H509">
        <f>Sensitivity!H18</f>
        <v/>
      </c>
    </row>
    <row r="510">
      <c r="A510" t="inlineStr">
        <is>
          <t>shoulders</t>
        </is>
      </c>
      <c r="B510" t="inlineStr">
        <is>
          <t>mystic</t>
        </is>
      </c>
      <c r="C510" t="n">
        <v>3</v>
      </c>
      <c r="D510" t="inlineStr">
        <is>
          <t>Defense Penetration</t>
        </is>
      </c>
      <c r="E510" t="n">
        <v>20</v>
      </c>
      <c r="F510" t="n">
        <v>0.08</v>
      </c>
      <c r="G510" t="b">
        <v>1</v>
      </c>
      <c r="H510">
        <f>Sensitivity!H18</f>
        <v/>
      </c>
    </row>
    <row r="511">
      <c r="A511" t="inlineStr">
        <is>
          <t>shoulders</t>
        </is>
      </c>
      <c r="B511" t="inlineStr">
        <is>
          <t>mystic</t>
        </is>
      </c>
      <c r="C511" t="n">
        <v>3</v>
      </c>
      <c r="D511" t="inlineStr">
        <is>
          <t>Defense Penetration</t>
        </is>
      </c>
      <c r="E511" t="n">
        <v>12</v>
      </c>
      <c r="F511" t="n">
        <v>0.92</v>
      </c>
      <c r="G511" t="b">
        <v>0</v>
      </c>
      <c r="H511">
        <f>Sensitivity!H18</f>
        <v/>
      </c>
    </row>
    <row r="512">
      <c r="A512" t="inlineStr">
        <is>
          <t>legs</t>
        </is>
      </c>
      <c r="B512" t="inlineStr">
        <is>
          <t>epic</t>
        </is>
      </c>
      <c r="C512" t="n">
        <v>1</v>
      </c>
      <c r="D512" t="inlineStr">
        <is>
          <t>Final Damage %</t>
        </is>
      </c>
      <c r="E512" t="n">
        <v>3</v>
      </c>
      <c r="F512" t="n">
        <v>1</v>
      </c>
      <c r="G512" t="b">
        <v>1</v>
      </c>
      <c r="H512">
        <f>Sensitivity!H12</f>
        <v/>
      </c>
    </row>
    <row r="513">
      <c r="A513" t="inlineStr">
        <is>
          <t>legs</t>
        </is>
      </c>
      <c r="B513" t="inlineStr">
        <is>
          <t>epic</t>
        </is>
      </c>
      <c r="C513" t="n">
        <v>2</v>
      </c>
      <c r="D513" t="inlineStr">
        <is>
          <t>Final Damage %</t>
        </is>
      </c>
      <c r="E513" t="n">
        <v>3</v>
      </c>
      <c r="F513" t="n">
        <v>0.24</v>
      </c>
      <c r="G513" t="b">
        <v>1</v>
      </c>
      <c r="H513">
        <f>Sensitivity!H12</f>
        <v/>
      </c>
    </row>
    <row r="514">
      <c r="A514" t="inlineStr">
        <is>
          <t>legs</t>
        </is>
      </c>
      <c r="B514" t="inlineStr">
        <is>
          <t>epic</t>
        </is>
      </c>
      <c r="C514" t="n">
        <v>3</v>
      </c>
      <c r="D514" t="inlineStr">
        <is>
          <t>Final Damage %</t>
        </is>
      </c>
      <c r="E514" t="n">
        <v>3</v>
      </c>
      <c r="F514" t="n">
        <v>0.08</v>
      </c>
      <c r="G514" t="b">
        <v>1</v>
      </c>
      <c r="H514">
        <f>Sensitivity!H12</f>
        <v/>
      </c>
    </row>
    <row r="515">
      <c r="A515" t="inlineStr">
        <is>
          <t>legs</t>
        </is>
      </c>
      <c r="B515" t="inlineStr">
        <is>
          <t>unique</t>
        </is>
      </c>
      <c r="C515" t="n">
        <v>1</v>
      </c>
      <c r="D515" t="inlineStr">
        <is>
          <t>Final Damage %</t>
        </is>
      </c>
      <c r="E515" t="n">
        <v>5</v>
      </c>
      <c r="F515" t="n">
        <v>1</v>
      </c>
      <c r="G515" t="b">
        <v>1</v>
      </c>
      <c r="H515">
        <f>Sensitivity!H12</f>
        <v/>
      </c>
    </row>
    <row r="516">
      <c r="A516" t="inlineStr">
        <is>
          <t>legs</t>
        </is>
      </c>
      <c r="B516" t="inlineStr">
        <is>
          <t>unique</t>
        </is>
      </c>
      <c r="C516" t="n">
        <v>2</v>
      </c>
      <c r="D516" t="inlineStr">
        <is>
          <t>Final Damage %</t>
        </is>
      </c>
      <c r="E516" t="n">
        <v>5</v>
      </c>
      <c r="F516" t="n">
        <v>0.24</v>
      </c>
      <c r="G516" t="b">
        <v>1</v>
      </c>
      <c r="H516">
        <f>Sensitivity!H12</f>
        <v/>
      </c>
    </row>
    <row r="517">
      <c r="A517" t="inlineStr">
        <is>
          <t>legs</t>
        </is>
      </c>
      <c r="B517" t="inlineStr">
        <is>
          <t>unique</t>
        </is>
      </c>
      <c r="C517" t="n">
        <v>2</v>
      </c>
      <c r="D517" t="inlineStr">
        <is>
          <t>Final Damage %</t>
        </is>
      </c>
      <c r="E517" t="n">
        <v>3</v>
      </c>
      <c r="F517" t="n">
        <v>0.76</v>
      </c>
      <c r="G517" t="b">
        <v>0</v>
      </c>
      <c r="H517">
        <f>Sensitivity!H12</f>
        <v/>
      </c>
    </row>
    <row r="518">
      <c r="A518" t="inlineStr">
        <is>
          <t>legs</t>
        </is>
      </c>
      <c r="B518" t="inlineStr">
        <is>
          <t>unique</t>
        </is>
      </c>
      <c r="C518" t="n">
        <v>3</v>
      </c>
      <c r="D518" t="inlineStr">
        <is>
          <t>Final Damage %</t>
        </is>
      </c>
      <c r="E518" t="n">
        <v>5</v>
      </c>
      <c r="F518" t="n">
        <v>0.08</v>
      </c>
      <c r="G518" t="b">
        <v>1</v>
      </c>
      <c r="H518">
        <f>Sensitivity!H12</f>
        <v/>
      </c>
    </row>
    <row r="519">
      <c r="A519" t="inlineStr">
        <is>
          <t>legs</t>
        </is>
      </c>
      <c r="B519" t="inlineStr">
        <is>
          <t>unique</t>
        </is>
      </c>
      <c r="C519" t="n">
        <v>3</v>
      </c>
      <c r="D519" t="inlineStr">
        <is>
          <t>Final Damage %</t>
        </is>
      </c>
      <c r="E519" t="n">
        <v>3</v>
      </c>
      <c r="F519" t="n">
        <v>0.92</v>
      </c>
      <c r="G519" t="b">
        <v>0</v>
      </c>
      <c r="H519">
        <f>Sensitivity!H12</f>
        <v/>
      </c>
    </row>
    <row r="520">
      <c r="A520" t="inlineStr">
        <is>
          <t>legs</t>
        </is>
      </c>
      <c r="B520" t="inlineStr">
        <is>
          <t>legendary</t>
        </is>
      </c>
      <c r="C520" t="n">
        <v>1</v>
      </c>
      <c r="D520" t="inlineStr">
        <is>
          <t>Final Damage %</t>
        </is>
      </c>
      <c r="E520" t="n">
        <v>8</v>
      </c>
      <c r="F520" t="n">
        <v>1</v>
      </c>
      <c r="G520" t="b">
        <v>1</v>
      </c>
      <c r="H520">
        <f>Sensitivity!H12</f>
        <v/>
      </c>
    </row>
    <row r="521">
      <c r="A521" t="inlineStr">
        <is>
          <t>legs</t>
        </is>
      </c>
      <c r="B521" t="inlineStr">
        <is>
          <t>legendary</t>
        </is>
      </c>
      <c r="C521" t="n">
        <v>2</v>
      </c>
      <c r="D521" t="inlineStr">
        <is>
          <t>Final Damage %</t>
        </is>
      </c>
      <c r="E521" t="n">
        <v>8</v>
      </c>
      <c r="F521" t="n">
        <v>0.24</v>
      </c>
      <c r="G521" t="b">
        <v>1</v>
      </c>
      <c r="H521">
        <f>Sensitivity!H12</f>
        <v/>
      </c>
    </row>
    <row r="522">
      <c r="A522" t="inlineStr">
        <is>
          <t>legs</t>
        </is>
      </c>
      <c r="B522" t="inlineStr">
        <is>
          <t>legendary</t>
        </is>
      </c>
      <c r="C522" t="n">
        <v>2</v>
      </c>
      <c r="D522" t="inlineStr">
        <is>
          <t>Final Damage %</t>
        </is>
      </c>
      <c r="E522" t="n">
        <v>5</v>
      </c>
      <c r="F522" t="n">
        <v>0.76</v>
      </c>
      <c r="G522" t="b">
        <v>0</v>
      </c>
      <c r="H522">
        <f>Sensitivity!H12</f>
        <v/>
      </c>
    </row>
    <row r="523">
      <c r="A523" t="inlineStr">
        <is>
          <t>legs</t>
        </is>
      </c>
      <c r="B523" t="inlineStr">
        <is>
          <t>legendary</t>
        </is>
      </c>
      <c r="C523" t="n">
        <v>3</v>
      </c>
      <c r="D523" t="inlineStr">
        <is>
          <t>Final Damage %</t>
        </is>
      </c>
      <c r="E523" t="n">
        <v>8</v>
      </c>
      <c r="F523" t="n">
        <v>0.08</v>
      </c>
      <c r="G523" t="b">
        <v>1</v>
      </c>
      <c r="H523">
        <f>Sensitivity!H12</f>
        <v/>
      </c>
    </row>
    <row r="524">
      <c r="A524" t="inlineStr">
        <is>
          <t>legs</t>
        </is>
      </c>
      <c r="B524" t="inlineStr">
        <is>
          <t>legendary</t>
        </is>
      </c>
      <c r="C524" t="n">
        <v>3</v>
      </c>
      <c r="D524" t="inlineStr">
        <is>
          <t>Final Damage %</t>
        </is>
      </c>
      <c r="E524" t="n">
        <v>5</v>
      </c>
      <c r="F524" t="n">
        <v>0.92</v>
      </c>
      <c r="G524" t="b">
        <v>0</v>
      </c>
      <c r="H524">
        <f>Sensitivity!H12</f>
        <v/>
      </c>
    </row>
    <row r="525">
      <c r="A525" t="inlineStr">
        <is>
          <t>legs</t>
        </is>
      </c>
      <c r="B525" t="inlineStr">
        <is>
          <t>mystic</t>
        </is>
      </c>
      <c r="C525" t="n">
        <v>1</v>
      </c>
      <c r="D525" t="inlineStr">
        <is>
          <t>Final Damage %</t>
        </is>
      </c>
      <c r="E525" t="n">
        <v>12</v>
      </c>
      <c r="F525" t="n">
        <v>1</v>
      </c>
      <c r="G525" t="b">
        <v>1</v>
      </c>
      <c r="H525">
        <f>Sensitivity!H12</f>
        <v/>
      </c>
    </row>
    <row r="526">
      <c r="A526" t="inlineStr">
        <is>
          <t>legs</t>
        </is>
      </c>
      <c r="B526" t="inlineStr">
        <is>
          <t>mystic</t>
        </is>
      </c>
      <c r="C526" t="n">
        <v>2</v>
      </c>
      <c r="D526" t="inlineStr">
        <is>
          <t>Final Damage %</t>
        </is>
      </c>
      <c r="E526" t="n">
        <v>12</v>
      </c>
      <c r="F526" t="n">
        <v>0.24</v>
      </c>
      <c r="G526" t="b">
        <v>1</v>
      </c>
      <c r="H526">
        <f>Sensitivity!H12</f>
        <v/>
      </c>
    </row>
    <row r="527">
      <c r="A527" t="inlineStr">
        <is>
          <t>legs</t>
        </is>
      </c>
      <c r="B527" t="inlineStr">
        <is>
          <t>mystic</t>
        </is>
      </c>
      <c r="C527" t="n">
        <v>2</v>
      </c>
      <c r="D527" t="inlineStr">
        <is>
          <t>Final Damage %</t>
        </is>
      </c>
      <c r="E527" t="n">
        <v>8</v>
      </c>
      <c r="F527" t="n">
        <v>0.76</v>
      </c>
      <c r="G527" t="b">
        <v>0</v>
      </c>
      <c r="H527">
        <f>Sensitivity!H12</f>
        <v/>
      </c>
    </row>
    <row r="528">
      <c r="A528" t="inlineStr">
        <is>
          <t>legs</t>
        </is>
      </c>
      <c r="B528" t="inlineStr">
        <is>
          <t>mystic</t>
        </is>
      </c>
      <c r="C528" t="n">
        <v>3</v>
      </c>
      <c r="D528" t="inlineStr">
        <is>
          <t>Final Damage %</t>
        </is>
      </c>
      <c r="E528" t="n">
        <v>12</v>
      </c>
      <c r="F528" t="n">
        <v>0.08</v>
      </c>
      <c r="G528" t="b">
        <v>1</v>
      </c>
      <c r="H528">
        <f>Sensitivity!H12</f>
        <v/>
      </c>
    </row>
    <row r="529">
      <c r="A529" t="inlineStr">
        <is>
          <t>legs</t>
        </is>
      </c>
      <c r="B529" t="inlineStr">
        <is>
          <t>mystic</t>
        </is>
      </c>
      <c r="C529" t="n">
        <v>3</v>
      </c>
      <c r="D529" t="inlineStr">
        <is>
          <t>Final Damage %</t>
        </is>
      </c>
      <c r="E529" t="n">
        <v>8</v>
      </c>
      <c r="F529" t="n">
        <v>0.92</v>
      </c>
      <c r="G529" t="b">
        <v>0</v>
      </c>
      <c r="H529">
        <f>Sensitivity!H12</f>
        <v/>
      </c>
    </row>
    <row r="530">
      <c r="A530" t="inlineStr">
        <is>
          <t>belt</t>
        </is>
      </c>
      <c r="B530" t="inlineStr">
        <is>
          <t>epic</t>
        </is>
      </c>
      <c r="C530" t="n">
        <v>1</v>
      </c>
      <c r="D530" t="inlineStr">
        <is>
          <t>Buff Duration Increase %</t>
        </is>
      </c>
      <c r="E530" t="n">
        <v>5</v>
      </c>
      <c r="F530" t="n">
        <v>1</v>
      </c>
      <c r="G530" t="b">
        <v>1</v>
      </c>
      <c r="H530">
        <f>Sensitivity!H30</f>
        <v/>
      </c>
    </row>
    <row r="531">
      <c r="A531" t="inlineStr">
        <is>
          <t>belt</t>
        </is>
      </c>
      <c r="B531" t="inlineStr">
        <is>
          <t>epic</t>
        </is>
      </c>
      <c r="C531" t="n">
        <v>2</v>
      </c>
      <c r="D531" t="inlineStr">
        <is>
          <t>Buff Duration Increase %</t>
        </is>
      </c>
      <c r="E531" t="n">
        <v>5</v>
      </c>
      <c r="F531" t="n">
        <v>0.24</v>
      </c>
      <c r="G531" t="b">
        <v>1</v>
      </c>
      <c r="H531">
        <f>Sensitivity!H30</f>
        <v/>
      </c>
    </row>
    <row r="532">
      <c r="A532" t="inlineStr">
        <is>
          <t>belt</t>
        </is>
      </c>
      <c r="B532" t="inlineStr">
        <is>
          <t>epic</t>
        </is>
      </c>
      <c r="C532" t="n">
        <v>3</v>
      </c>
      <c r="D532" t="inlineStr">
        <is>
          <t>Buff Duration Increase %</t>
        </is>
      </c>
      <c r="E532" t="n">
        <v>5</v>
      </c>
      <c r="F532" t="n">
        <v>0.08</v>
      </c>
      <c r="G532" t="b">
        <v>1</v>
      </c>
      <c r="H532">
        <f>Sensitivity!H30</f>
        <v/>
      </c>
    </row>
    <row r="533">
      <c r="A533" t="inlineStr">
        <is>
          <t>belt</t>
        </is>
      </c>
      <c r="B533" t="inlineStr">
        <is>
          <t>unique</t>
        </is>
      </c>
      <c r="C533" t="n">
        <v>1</v>
      </c>
      <c r="D533" t="inlineStr">
        <is>
          <t>Buff Duration Increase %</t>
        </is>
      </c>
      <c r="E533" t="n">
        <v>8</v>
      </c>
      <c r="F533" t="n">
        <v>1</v>
      </c>
      <c r="G533" t="b">
        <v>1</v>
      </c>
      <c r="H533">
        <f>Sensitivity!H30</f>
        <v/>
      </c>
    </row>
    <row r="534">
      <c r="A534" t="inlineStr">
        <is>
          <t>belt</t>
        </is>
      </c>
      <c r="B534" t="inlineStr">
        <is>
          <t>unique</t>
        </is>
      </c>
      <c r="C534" t="n">
        <v>2</v>
      </c>
      <c r="D534" t="inlineStr">
        <is>
          <t>Buff Duration Increase %</t>
        </is>
      </c>
      <c r="E534" t="n">
        <v>8</v>
      </c>
      <c r="F534" t="n">
        <v>0.24</v>
      </c>
      <c r="G534" t="b">
        <v>1</v>
      </c>
      <c r="H534">
        <f>Sensitivity!H30</f>
        <v/>
      </c>
    </row>
    <row r="535">
      <c r="A535" t="inlineStr">
        <is>
          <t>belt</t>
        </is>
      </c>
      <c r="B535" t="inlineStr">
        <is>
          <t>unique</t>
        </is>
      </c>
      <c r="C535" t="n">
        <v>2</v>
      </c>
      <c r="D535" t="inlineStr">
        <is>
          <t>Buff Duration Increase %</t>
        </is>
      </c>
      <c r="E535" t="n">
        <v>5</v>
      </c>
      <c r="F535" t="n">
        <v>0.76</v>
      </c>
      <c r="G535" t="b">
        <v>0</v>
      </c>
      <c r="H535">
        <f>Sensitivity!H30</f>
        <v/>
      </c>
    </row>
    <row r="536">
      <c r="A536" t="inlineStr">
        <is>
          <t>belt</t>
        </is>
      </c>
      <c r="B536" t="inlineStr">
        <is>
          <t>unique</t>
        </is>
      </c>
      <c r="C536" t="n">
        <v>3</v>
      </c>
      <c r="D536" t="inlineStr">
        <is>
          <t>Buff Duration Increase %</t>
        </is>
      </c>
      <c r="E536" t="n">
        <v>8</v>
      </c>
      <c r="F536" t="n">
        <v>0.08</v>
      </c>
      <c r="G536" t="b">
        <v>1</v>
      </c>
      <c r="H536">
        <f>Sensitivity!H30</f>
        <v/>
      </c>
    </row>
    <row r="537">
      <c r="A537" t="inlineStr">
        <is>
          <t>belt</t>
        </is>
      </c>
      <c r="B537" t="inlineStr">
        <is>
          <t>unique</t>
        </is>
      </c>
      <c r="C537" t="n">
        <v>3</v>
      </c>
      <c r="D537" t="inlineStr">
        <is>
          <t>Buff Duration Increase %</t>
        </is>
      </c>
      <c r="E537" t="n">
        <v>5</v>
      </c>
      <c r="F537" t="n">
        <v>0.92</v>
      </c>
      <c r="G537" t="b">
        <v>0</v>
      </c>
      <c r="H537">
        <f>Sensitivity!H30</f>
        <v/>
      </c>
    </row>
    <row r="538">
      <c r="A538" t="inlineStr">
        <is>
          <t>belt</t>
        </is>
      </c>
      <c r="B538" t="inlineStr">
        <is>
          <t>legendary</t>
        </is>
      </c>
      <c r="C538" t="n">
        <v>1</v>
      </c>
      <c r="D538" t="inlineStr">
        <is>
          <t>Buff Duration Increase %</t>
        </is>
      </c>
      <c r="E538" t="n">
        <v>12</v>
      </c>
      <c r="F538" t="n">
        <v>1</v>
      </c>
      <c r="G538" t="b">
        <v>1</v>
      </c>
      <c r="H538">
        <f>Sensitivity!H30</f>
        <v/>
      </c>
    </row>
    <row r="539">
      <c r="A539" t="inlineStr">
        <is>
          <t>belt</t>
        </is>
      </c>
      <c r="B539" t="inlineStr">
        <is>
          <t>legendary</t>
        </is>
      </c>
      <c r="C539" t="n">
        <v>2</v>
      </c>
      <c r="D539" t="inlineStr">
        <is>
          <t>Buff Duration Increase %</t>
        </is>
      </c>
      <c r="E539" t="n">
        <v>12</v>
      </c>
      <c r="F539" t="n">
        <v>0.24</v>
      </c>
      <c r="G539" t="b">
        <v>1</v>
      </c>
      <c r="H539">
        <f>Sensitivity!H30</f>
        <v/>
      </c>
    </row>
    <row r="540">
      <c r="A540" t="inlineStr">
        <is>
          <t>belt</t>
        </is>
      </c>
      <c r="B540" t="inlineStr">
        <is>
          <t>legendary</t>
        </is>
      </c>
      <c r="C540" t="n">
        <v>2</v>
      </c>
      <c r="D540" t="inlineStr">
        <is>
          <t>Buff Duration Increase %</t>
        </is>
      </c>
      <c r="E540" t="n">
        <v>8</v>
      </c>
      <c r="F540" t="n">
        <v>0.76</v>
      </c>
      <c r="G540" t="b">
        <v>0</v>
      </c>
      <c r="H540">
        <f>Sensitivity!H30</f>
        <v/>
      </c>
    </row>
    <row r="541">
      <c r="A541" t="inlineStr">
        <is>
          <t>belt</t>
        </is>
      </c>
      <c r="B541" t="inlineStr">
        <is>
          <t>legendary</t>
        </is>
      </c>
      <c r="C541" t="n">
        <v>3</v>
      </c>
      <c r="D541" t="inlineStr">
        <is>
          <t>Buff Duration Increase %</t>
        </is>
      </c>
      <c r="E541" t="n">
        <v>12</v>
      </c>
      <c r="F541" t="n">
        <v>0.08</v>
      </c>
      <c r="G541" t="b">
        <v>1</v>
      </c>
      <c r="H541">
        <f>Sensitivity!H30</f>
        <v/>
      </c>
    </row>
    <row r="542">
      <c r="A542" t="inlineStr">
        <is>
          <t>belt</t>
        </is>
      </c>
      <c r="B542" t="inlineStr">
        <is>
          <t>legendary</t>
        </is>
      </c>
      <c r="C542" t="n">
        <v>3</v>
      </c>
      <c r="D542" t="inlineStr">
        <is>
          <t>Buff Duration Increase %</t>
        </is>
      </c>
      <c r="E542" t="n">
        <v>8</v>
      </c>
      <c r="F542" t="n">
        <v>0.92</v>
      </c>
      <c r="G542" t="b">
        <v>0</v>
      </c>
      <c r="H542">
        <f>Sensitivity!H30</f>
        <v/>
      </c>
    </row>
    <row r="543">
      <c r="A543" t="inlineStr">
        <is>
          <t>belt</t>
        </is>
      </c>
      <c r="B543" t="inlineStr">
        <is>
          <t>mystic</t>
        </is>
      </c>
      <c r="C543" t="n">
        <v>1</v>
      </c>
      <c r="D543" t="inlineStr">
        <is>
          <t>Buff Duration Increase %</t>
        </is>
      </c>
      <c r="E543" t="n">
        <v>20</v>
      </c>
      <c r="F543" t="n">
        <v>1</v>
      </c>
      <c r="G543" t="b">
        <v>1</v>
      </c>
      <c r="H543">
        <f>Sensitivity!H30</f>
        <v/>
      </c>
    </row>
    <row r="544">
      <c r="A544" t="inlineStr">
        <is>
          <t>belt</t>
        </is>
      </c>
      <c r="B544" t="inlineStr">
        <is>
          <t>mystic</t>
        </is>
      </c>
      <c r="C544" t="n">
        <v>2</v>
      </c>
      <c r="D544" t="inlineStr">
        <is>
          <t>Buff Duration Increase %</t>
        </is>
      </c>
      <c r="E544" t="n">
        <v>20</v>
      </c>
      <c r="F544" t="n">
        <v>0.24</v>
      </c>
      <c r="G544" t="b">
        <v>1</v>
      </c>
      <c r="H544">
        <f>Sensitivity!H30</f>
        <v/>
      </c>
    </row>
    <row r="545">
      <c r="A545" t="inlineStr">
        <is>
          <t>belt</t>
        </is>
      </c>
      <c r="B545" t="inlineStr">
        <is>
          <t>mystic</t>
        </is>
      </c>
      <c r="C545" t="n">
        <v>2</v>
      </c>
      <c r="D545" t="inlineStr">
        <is>
          <t>Buff Duration Increase %</t>
        </is>
      </c>
      <c r="E545" t="n">
        <v>12</v>
      </c>
      <c r="F545" t="n">
        <v>0.76</v>
      </c>
      <c r="G545" t="b">
        <v>0</v>
      </c>
      <c r="H545">
        <f>Sensitivity!H30</f>
        <v/>
      </c>
    </row>
    <row r="546">
      <c r="A546" t="inlineStr">
        <is>
          <t>belt</t>
        </is>
      </c>
      <c r="B546" t="inlineStr">
        <is>
          <t>mystic</t>
        </is>
      </c>
      <c r="C546" t="n">
        <v>3</v>
      </c>
      <c r="D546" t="inlineStr">
        <is>
          <t>Buff Duration Increase %</t>
        </is>
      </c>
      <c r="E546" t="n">
        <v>20</v>
      </c>
      <c r="F546" t="n">
        <v>0.08</v>
      </c>
      <c r="G546" t="b">
        <v>1</v>
      </c>
      <c r="H546">
        <f>Sensitivity!H30</f>
        <v/>
      </c>
    </row>
    <row r="547">
      <c r="A547" t="inlineStr">
        <is>
          <t>belt</t>
        </is>
      </c>
      <c r="B547" t="inlineStr">
        <is>
          <t>mystic</t>
        </is>
      </c>
      <c r="C547" t="n">
        <v>3</v>
      </c>
      <c r="D547" t="inlineStr">
        <is>
          <t>Buff Duration Increase %</t>
        </is>
      </c>
      <c r="E547" t="n">
        <v>12</v>
      </c>
      <c r="F547" t="n">
        <v>0.92</v>
      </c>
      <c r="G547" t="b">
        <v>0</v>
      </c>
      <c r="H547">
        <f>Sensitivity!H30</f>
        <v/>
      </c>
    </row>
    <row r="548">
      <c r="A548" t="inlineStr">
        <is>
          <t>gloves</t>
        </is>
      </c>
      <c r="B548" t="inlineStr">
        <is>
          <t>epic</t>
        </is>
      </c>
      <c r="C548" t="n">
        <v>1</v>
      </c>
      <c r="D548" t="inlineStr">
        <is>
          <t>Critical Damage %</t>
        </is>
      </c>
      <c r="E548" t="n">
        <v>10</v>
      </c>
      <c r="F548" t="n">
        <v>1</v>
      </c>
      <c r="G548" t="b">
        <v>1</v>
      </c>
      <c r="H548">
        <f>Sensitivity!H16</f>
        <v/>
      </c>
    </row>
    <row r="549">
      <c r="A549" t="inlineStr">
        <is>
          <t>gloves</t>
        </is>
      </c>
      <c r="B549" t="inlineStr">
        <is>
          <t>epic</t>
        </is>
      </c>
      <c r="C549" t="n">
        <v>2</v>
      </c>
      <c r="D549" t="inlineStr">
        <is>
          <t>Critical Damage %</t>
        </is>
      </c>
      <c r="E549" t="n">
        <v>10</v>
      </c>
      <c r="F549" t="n">
        <v>0.24</v>
      </c>
      <c r="G549" t="b">
        <v>1</v>
      </c>
      <c r="H549">
        <f>Sensitivity!H16</f>
        <v/>
      </c>
    </row>
    <row r="550">
      <c r="A550" t="inlineStr">
        <is>
          <t>gloves</t>
        </is>
      </c>
      <c r="B550" t="inlineStr">
        <is>
          <t>epic</t>
        </is>
      </c>
      <c r="C550" t="n">
        <v>3</v>
      </c>
      <c r="D550" t="inlineStr">
        <is>
          <t>Critical Damage %</t>
        </is>
      </c>
      <c r="E550" t="n">
        <v>10</v>
      </c>
      <c r="F550" t="n">
        <v>0.08</v>
      </c>
      <c r="G550" t="b">
        <v>1</v>
      </c>
      <c r="H550">
        <f>Sensitivity!H16</f>
        <v/>
      </c>
    </row>
    <row r="551">
      <c r="A551" t="inlineStr">
        <is>
          <t>gloves</t>
        </is>
      </c>
      <c r="B551" t="inlineStr">
        <is>
          <t>unique</t>
        </is>
      </c>
      <c r="C551" t="n">
        <v>1</v>
      </c>
      <c r="D551" t="inlineStr">
        <is>
          <t>Critical Damage %</t>
        </is>
      </c>
      <c r="E551" t="n">
        <v>20</v>
      </c>
      <c r="F551" t="n">
        <v>1</v>
      </c>
      <c r="G551" t="b">
        <v>1</v>
      </c>
      <c r="H551">
        <f>Sensitivity!H16</f>
        <v/>
      </c>
    </row>
    <row r="552">
      <c r="A552" t="inlineStr">
        <is>
          <t>gloves</t>
        </is>
      </c>
      <c r="B552" t="inlineStr">
        <is>
          <t>unique</t>
        </is>
      </c>
      <c r="C552" t="n">
        <v>2</v>
      </c>
      <c r="D552" t="inlineStr">
        <is>
          <t>Critical Damage %</t>
        </is>
      </c>
      <c r="E552" t="n">
        <v>20</v>
      </c>
      <c r="F552" t="n">
        <v>0.24</v>
      </c>
      <c r="G552" t="b">
        <v>1</v>
      </c>
      <c r="H552">
        <f>Sensitivity!H16</f>
        <v/>
      </c>
    </row>
    <row r="553">
      <c r="A553" t="inlineStr">
        <is>
          <t>gloves</t>
        </is>
      </c>
      <c r="B553" t="inlineStr">
        <is>
          <t>unique</t>
        </is>
      </c>
      <c r="C553" t="n">
        <v>2</v>
      </c>
      <c r="D553" t="inlineStr">
        <is>
          <t>Critical Damage %</t>
        </is>
      </c>
      <c r="E553" t="n">
        <v>10</v>
      </c>
      <c r="F553" t="n">
        <v>0.76</v>
      </c>
      <c r="G553" t="b">
        <v>0</v>
      </c>
      <c r="H553">
        <f>Sensitivity!H16</f>
        <v/>
      </c>
    </row>
    <row r="554">
      <c r="A554" t="inlineStr">
        <is>
          <t>gloves</t>
        </is>
      </c>
      <c r="B554" t="inlineStr">
        <is>
          <t>unique</t>
        </is>
      </c>
      <c r="C554" t="n">
        <v>3</v>
      </c>
      <c r="D554" t="inlineStr">
        <is>
          <t>Critical Damage %</t>
        </is>
      </c>
      <c r="E554" t="n">
        <v>20</v>
      </c>
      <c r="F554" t="n">
        <v>0.08</v>
      </c>
      <c r="G554" t="b">
        <v>1</v>
      </c>
      <c r="H554">
        <f>Sensitivity!H16</f>
        <v/>
      </c>
    </row>
    <row r="555">
      <c r="A555" t="inlineStr">
        <is>
          <t>gloves</t>
        </is>
      </c>
      <c r="B555" t="inlineStr">
        <is>
          <t>unique</t>
        </is>
      </c>
      <c r="C555" t="n">
        <v>3</v>
      </c>
      <c r="D555" t="inlineStr">
        <is>
          <t>Critical Damage %</t>
        </is>
      </c>
      <c r="E555" t="n">
        <v>10</v>
      </c>
      <c r="F555" t="n">
        <v>0.92</v>
      </c>
      <c r="G555" t="b">
        <v>0</v>
      </c>
      <c r="H555">
        <f>Sensitivity!H16</f>
        <v/>
      </c>
    </row>
    <row r="556">
      <c r="A556" t="inlineStr">
        <is>
          <t>gloves</t>
        </is>
      </c>
      <c r="B556" t="inlineStr">
        <is>
          <t>legendary</t>
        </is>
      </c>
      <c r="C556" t="n">
        <v>1</v>
      </c>
      <c r="D556" t="inlineStr">
        <is>
          <t>Critical Damage %</t>
        </is>
      </c>
      <c r="E556" t="n">
        <v>30</v>
      </c>
      <c r="F556" t="n">
        <v>1</v>
      </c>
      <c r="G556" t="b">
        <v>1</v>
      </c>
      <c r="H556">
        <f>Sensitivity!H16</f>
        <v/>
      </c>
    </row>
    <row r="557">
      <c r="A557" t="inlineStr">
        <is>
          <t>gloves</t>
        </is>
      </c>
      <c r="B557" t="inlineStr">
        <is>
          <t>legendary</t>
        </is>
      </c>
      <c r="C557" t="n">
        <v>2</v>
      </c>
      <c r="D557" t="inlineStr">
        <is>
          <t>Critical Damage %</t>
        </is>
      </c>
      <c r="E557" t="n">
        <v>30</v>
      </c>
      <c r="F557" t="n">
        <v>0.24</v>
      </c>
      <c r="G557" t="b">
        <v>1</v>
      </c>
      <c r="H557">
        <f>Sensitivity!H16</f>
        <v/>
      </c>
    </row>
    <row r="558">
      <c r="A558" t="inlineStr">
        <is>
          <t>gloves</t>
        </is>
      </c>
      <c r="B558" t="inlineStr">
        <is>
          <t>legendary</t>
        </is>
      </c>
      <c r="C558" t="n">
        <v>2</v>
      </c>
      <c r="D558" t="inlineStr">
        <is>
          <t>Critical Damage %</t>
        </is>
      </c>
      <c r="E558" t="n">
        <v>20</v>
      </c>
      <c r="F558" t="n">
        <v>0.76</v>
      </c>
      <c r="G558" t="b">
        <v>0</v>
      </c>
      <c r="H558">
        <f>Sensitivity!H16</f>
        <v/>
      </c>
    </row>
    <row r="559">
      <c r="A559" t="inlineStr">
        <is>
          <t>gloves</t>
        </is>
      </c>
      <c r="B559" t="inlineStr">
        <is>
          <t>legendary</t>
        </is>
      </c>
      <c r="C559" t="n">
        <v>3</v>
      </c>
      <c r="D559" t="inlineStr">
        <is>
          <t>Critical Damage %</t>
        </is>
      </c>
      <c r="E559" t="n">
        <v>30</v>
      </c>
      <c r="F559" t="n">
        <v>0.08</v>
      </c>
      <c r="G559" t="b">
        <v>1</v>
      </c>
      <c r="H559">
        <f>Sensitivity!H16</f>
        <v/>
      </c>
    </row>
    <row r="560">
      <c r="A560" t="inlineStr">
        <is>
          <t>gloves</t>
        </is>
      </c>
      <c r="B560" t="inlineStr">
        <is>
          <t>legendary</t>
        </is>
      </c>
      <c r="C560" t="n">
        <v>3</v>
      </c>
      <c r="D560" t="inlineStr">
        <is>
          <t>Critical Damage %</t>
        </is>
      </c>
      <c r="E560" t="n">
        <v>20</v>
      </c>
      <c r="F560" t="n">
        <v>0.92</v>
      </c>
      <c r="G560" t="b">
        <v>0</v>
      </c>
      <c r="H560">
        <f>Sensitivity!H16</f>
        <v/>
      </c>
    </row>
    <row r="561">
      <c r="A561" t="inlineStr">
        <is>
          <t>gloves</t>
        </is>
      </c>
      <c r="B561" t="inlineStr">
        <is>
          <t>mystic</t>
        </is>
      </c>
      <c r="C561" t="n">
        <v>1</v>
      </c>
      <c r="D561" t="inlineStr">
        <is>
          <t>Critical Damage %</t>
        </is>
      </c>
      <c r="E561" t="n">
        <v>50</v>
      </c>
      <c r="F561" t="n">
        <v>1</v>
      </c>
      <c r="G561" t="b">
        <v>1</v>
      </c>
      <c r="H561">
        <f>Sensitivity!H16</f>
        <v/>
      </c>
    </row>
    <row r="562">
      <c r="A562" t="inlineStr">
        <is>
          <t>gloves</t>
        </is>
      </c>
      <c r="B562" t="inlineStr">
        <is>
          <t>mystic</t>
        </is>
      </c>
      <c r="C562" t="n">
        <v>2</v>
      </c>
      <c r="D562" t="inlineStr">
        <is>
          <t>Critical Damage %</t>
        </is>
      </c>
      <c r="E562" t="n">
        <v>50</v>
      </c>
      <c r="F562" t="n">
        <v>0.24</v>
      </c>
      <c r="G562" t="b">
        <v>1</v>
      </c>
      <c r="H562">
        <f>Sensitivity!H16</f>
        <v/>
      </c>
    </row>
    <row r="563">
      <c r="A563" t="inlineStr">
        <is>
          <t>gloves</t>
        </is>
      </c>
      <c r="B563" t="inlineStr">
        <is>
          <t>mystic</t>
        </is>
      </c>
      <c r="C563" t="n">
        <v>2</v>
      </c>
      <c r="D563" t="inlineStr">
        <is>
          <t>Critical Damage %</t>
        </is>
      </c>
      <c r="E563" t="n">
        <v>30</v>
      </c>
      <c r="F563" t="n">
        <v>0.76</v>
      </c>
      <c r="G563" t="b">
        <v>0</v>
      </c>
      <c r="H563">
        <f>Sensitivity!H16</f>
        <v/>
      </c>
    </row>
    <row r="564">
      <c r="A564" t="inlineStr">
        <is>
          <t>gloves</t>
        </is>
      </c>
      <c r="B564" t="inlineStr">
        <is>
          <t>mystic</t>
        </is>
      </c>
      <c r="C564" t="n">
        <v>3</v>
      </c>
      <c r="D564" t="inlineStr">
        <is>
          <t>Critical Damage %</t>
        </is>
      </c>
      <c r="E564" t="n">
        <v>50</v>
      </c>
      <c r="F564" t="n">
        <v>0.08</v>
      </c>
      <c r="G564" t="b">
        <v>1</v>
      </c>
      <c r="H564">
        <f>Sensitivity!H16</f>
        <v/>
      </c>
    </row>
    <row r="565">
      <c r="A565" t="inlineStr">
        <is>
          <t>gloves</t>
        </is>
      </c>
      <c r="B565" t="inlineStr">
        <is>
          <t>mystic</t>
        </is>
      </c>
      <c r="C565" t="n">
        <v>3</v>
      </c>
      <c r="D565" t="inlineStr">
        <is>
          <t>Critical Damage %</t>
        </is>
      </c>
      <c r="E565" t="n">
        <v>30</v>
      </c>
      <c r="F565" t="n">
        <v>0.92</v>
      </c>
      <c r="G565" t="b">
        <v>0</v>
      </c>
      <c r="H565">
        <f>Sensitivity!H16</f>
        <v/>
      </c>
    </row>
    <row r="566">
      <c r="A566" t="inlineStr">
        <is>
          <t>boots</t>
        </is>
      </c>
      <c r="B566" t="inlineStr">
        <is>
          <t>epic</t>
        </is>
      </c>
      <c r="C566" t="n">
        <v>1</v>
      </c>
      <c r="D566" t="inlineStr">
        <is>
          <t>Companion Summoning Time Increase %</t>
        </is>
      </c>
      <c r="E566" t="n">
        <v>5</v>
      </c>
      <c r="F566" t="n">
        <v>1</v>
      </c>
      <c r="G566" t="b">
        <v>1</v>
      </c>
      <c r="H566">
        <f>Sensitivity!H16</f>
        <v/>
      </c>
    </row>
    <row r="567">
      <c r="A567" t="inlineStr">
        <is>
          <t>boots</t>
        </is>
      </c>
      <c r="B567" t="inlineStr">
        <is>
          <t>epic</t>
        </is>
      </c>
      <c r="C567" t="n">
        <v>2</v>
      </c>
      <c r="D567" t="inlineStr">
        <is>
          <t>Companion Summoning Time Increase %</t>
        </is>
      </c>
      <c r="E567" t="n">
        <v>5</v>
      </c>
      <c r="F567" t="n">
        <v>0.24</v>
      </c>
      <c r="G567" t="b">
        <v>1</v>
      </c>
      <c r="H567">
        <f>Sensitivity!H16</f>
        <v/>
      </c>
    </row>
    <row r="568">
      <c r="A568" t="inlineStr">
        <is>
          <t>boots</t>
        </is>
      </c>
      <c r="B568" t="inlineStr">
        <is>
          <t>epic</t>
        </is>
      </c>
      <c r="C568" t="n">
        <v>3</v>
      </c>
      <c r="D568" t="inlineStr">
        <is>
          <t>Companion Summoning Time Increase %</t>
        </is>
      </c>
      <c r="E568" t="n">
        <v>5</v>
      </c>
      <c r="F568" t="n">
        <v>0.08</v>
      </c>
      <c r="G568" t="b">
        <v>1</v>
      </c>
      <c r="H568">
        <f>Sensitivity!H16</f>
        <v/>
      </c>
    </row>
    <row r="569">
      <c r="A569" t="inlineStr">
        <is>
          <t>boots</t>
        </is>
      </c>
      <c r="B569" t="inlineStr">
        <is>
          <t>unique</t>
        </is>
      </c>
      <c r="C569" t="n">
        <v>1</v>
      </c>
      <c r="D569" t="inlineStr">
        <is>
          <t>Companion Summoning Time Increase %</t>
        </is>
      </c>
      <c r="E569" t="n">
        <v>8</v>
      </c>
      <c r="F569" t="n">
        <v>1</v>
      </c>
      <c r="G569" t="b">
        <v>1</v>
      </c>
      <c r="H569">
        <f>Sensitivity!H16</f>
        <v/>
      </c>
    </row>
    <row r="570">
      <c r="A570" t="inlineStr">
        <is>
          <t>boots</t>
        </is>
      </c>
      <c r="B570" t="inlineStr">
        <is>
          <t>unique</t>
        </is>
      </c>
      <c r="C570" t="n">
        <v>2</v>
      </c>
      <c r="D570" t="inlineStr">
        <is>
          <t>Companion Summoning Time Increase %</t>
        </is>
      </c>
      <c r="E570" t="n">
        <v>8</v>
      </c>
      <c r="F570" t="n">
        <v>0.24</v>
      </c>
      <c r="G570" t="b">
        <v>1</v>
      </c>
      <c r="H570">
        <f>Sensitivity!H16</f>
        <v/>
      </c>
    </row>
    <row r="571">
      <c r="A571" t="inlineStr">
        <is>
          <t>boots</t>
        </is>
      </c>
      <c r="B571" t="inlineStr">
        <is>
          <t>unique</t>
        </is>
      </c>
      <c r="C571" t="n">
        <v>2</v>
      </c>
      <c r="D571" t="inlineStr">
        <is>
          <t>Companion Summoning Time Increase %</t>
        </is>
      </c>
      <c r="E571" t="n">
        <v>5</v>
      </c>
      <c r="F571" t="n">
        <v>0.76</v>
      </c>
      <c r="G571" t="b">
        <v>0</v>
      </c>
      <c r="H571">
        <f>Sensitivity!H16</f>
        <v/>
      </c>
    </row>
    <row r="572">
      <c r="A572" t="inlineStr">
        <is>
          <t>boots</t>
        </is>
      </c>
      <c r="B572" t="inlineStr">
        <is>
          <t>unique</t>
        </is>
      </c>
      <c r="C572" t="n">
        <v>3</v>
      </c>
      <c r="D572" t="inlineStr">
        <is>
          <t>Companion Summoning Time Increase %</t>
        </is>
      </c>
      <c r="E572" t="n">
        <v>8</v>
      </c>
      <c r="F572" t="n">
        <v>0.08</v>
      </c>
      <c r="G572" t="b">
        <v>1</v>
      </c>
      <c r="H572">
        <f>Sensitivity!H16</f>
        <v/>
      </c>
    </row>
    <row r="573">
      <c r="A573" t="inlineStr">
        <is>
          <t>boots</t>
        </is>
      </c>
      <c r="B573" t="inlineStr">
        <is>
          <t>unique</t>
        </is>
      </c>
      <c r="C573" t="n">
        <v>3</v>
      </c>
      <c r="D573" t="inlineStr">
        <is>
          <t>Companion Summoning Time Increase %</t>
        </is>
      </c>
      <c r="E573" t="n">
        <v>5</v>
      </c>
      <c r="F573" t="n">
        <v>0.92</v>
      </c>
      <c r="G573" t="b">
        <v>0</v>
      </c>
      <c r="H573">
        <f>Sensitivity!H16</f>
        <v/>
      </c>
    </row>
    <row r="574">
      <c r="A574" t="inlineStr">
        <is>
          <t>boots</t>
        </is>
      </c>
      <c r="B574" t="inlineStr">
        <is>
          <t>legendary</t>
        </is>
      </c>
      <c r="C574" t="n">
        <v>1</v>
      </c>
      <c r="D574" t="inlineStr">
        <is>
          <t>Companion Summoning Time Increase %</t>
        </is>
      </c>
      <c r="E574" t="n">
        <v>12</v>
      </c>
      <c r="F574" t="n">
        <v>1</v>
      </c>
      <c r="G574" t="b">
        <v>1</v>
      </c>
      <c r="H574">
        <f>Sensitivity!H16</f>
        <v/>
      </c>
    </row>
    <row r="575">
      <c r="A575" t="inlineStr">
        <is>
          <t>boots</t>
        </is>
      </c>
      <c r="B575" t="inlineStr">
        <is>
          <t>legendary</t>
        </is>
      </c>
      <c r="C575" t="n">
        <v>2</v>
      </c>
      <c r="D575" t="inlineStr">
        <is>
          <t>Companion Summoning Time Increase %</t>
        </is>
      </c>
      <c r="E575" t="n">
        <v>12</v>
      </c>
      <c r="F575" t="n">
        <v>0.24</v>
      </c>
      <c r="G575" t="b">
        <v>1</v>
      </c>
      <c r="H575">
        <f>Sensitivity!H16</f>
        <v/>
      </c>
    </row>
    <row r="576">
      <c r="A576" t="inlineStr">
        <is>
          <t>boots</t>
        </is>
      </c>
      <c r="B576" t="inlineStr">
        <is>
          <t>legendary</t>
        </is>
      </c>
      <c r="C576" t="n">
        <v>2</v>
      </c>
      <c r="D576" t="inlineStr">
        <is>
          <t>Companion Summoning Time Increase %</t>
        </is>
      </c>
      <c r="E576" t="n">
        <v>8</v>
      </c>
      <c r="F576" t="n">
        <v>0.76</v>
      </c>
      <c r="G576" t="b">
        <v>0</v>
      </c>
      <c r="H576">
        <f>Sensitivity!H16</f>
        <v/>
      </c>
    </row>
    <row r="577">
      <c r="A577" t="inlineStr">
        <is>
          <t>boots</t>
        </is>
      </c>
      <c r="B577" t="inlineStr">
        <is>
          <t>legendary</t>
        </is>
      </c>
      <c r="C577" t="n">
        <v>3</v>
      </c>
      <c r="D577" t="inlineStr">
        <is>
          <t>Companion Summoning Time Increase %</t>
        </is>
      </c>
      <c r="E577" t="n">
        <v>12</v>
      </c>
      <c r="F577" t="n">
        <v>0.08</v>
      </c>
      <c r="G577" t="b">
        <v>1</v>
      </c>
      <c r="H577">
        <f>Sensitivity!H16</f>
        <v/>
      </c>
    </row>
    <row r="578">
      <c r="A578" t="inlineStr">
        <is>
          <t>boots</t>
        </is>
      </c>
      <c r="B578" t="inlineStr">
        <is>
          <t>legendary</t>
        </is>
      </c>
      <c r="C578" t="n">
        <v>3</v>
      </c>
      <c r="D578" t="inlineStr">
        <is>
          <t>Companion Summoning Time Increase %</t>
        </is>
      </c>
      <c r="E578" t="n">
        <v>8</v>
      </c>
      <c r="F578" t="n">
        <v>0.92</v>
      </c>
      <c r="G578" t="b">
        <v>0</v>
      </c>
      <c r="H578">
        <f>Sensitivity!H16</f>
        <v/>
      </c>
    </row>
    <row r="579">
      <c r="A579" t="inlineStr">
        <is>
          <t>boots</t>
        </is>
      </c>
      <c r="B579" t="inlineStr">
        <is>
          <t>mystic</t>
        </is>
      </c>
      <c r="C579" t="n">
        <v>1</v>
      </c>
      <c r="D579" t="inlineStr">
        <is>
          <t>Companion Summoning Time Increase %</t>
        </is>
      </c>
      <c r="E579" t="n">
        <v>20</v>
      </c>
      <c r="F579" t="n">
        <v>1</v>
      </c>
      <c r="G579" t="b">
        <v>1</v>
      </c>
      <c r="H579">
        <f>Sensitivity!H16</f>
        <v/>
      </c>
    </row>
    <row r="580">
      <c r="A580" t="inlineStr">
        <is>
          <t>boots</t>
        </is>
      </c>
      <c r="B580" t="inlineStr">
        <is>
          <t>mystic</t>
        </is>
      </c>
      <c r="C580" t="n">
        <v>2</v>
      </c>
      <c r="D580" t="inlineStr">
        <is>
          <t>Companion Summoning Time Increase %</t>
        </is>
      </c>
      <c r="E580" t="n">
        <v>20</v>
      </c>
      <c r="F580" t="n">
        <v>0.24</v>
      </c>
      <c r="G580" t="b">
        <v>1</v>
      </c>
      <c r="H580">
        <f>Sensitivity!H16</f>
        <v/>
      </c>
    </row>
    <row r="581">
      <c r="A581" t="inlineStr">
        <is>
          <t>boots</t>
        </is>
      </c>
      <c r="B581" t="inlineStr">
        <is>
          <t>mystic</t>
        </is>
      </c>
      <c r="C581" t="n">
        <v>2</v>
      </c>
      <c r="D581" t="inlineStr">
        <is>
          <t>Companion Summoning Time Increase %</t>
        </is>
      </c>
      <c r="E581" t="n">
        <v>12</v>
      </c>
      <c r="F581" t="n">
        <v>0.76</v>
      </c>
      <c r="G581" t="b">
        <v>0</v>
      </c>
      <c r="H581">
        <f>Sensitivity!H16</f>
        <v/>
      </c>
    </row>
    <row r="582">
      <c r="A582" t="inlineStr">
        <is>
          <t>boots</t>
        </is>
      </c>
      <c r="B582" t="inlineStr">
        <is>
          <t>mystic</t>
        </is>
      </c>
      <c r="C582" t="n">
        <v>3</v>
      </c>
      <c r="D582" t="inlineStr">
        <is>
          <t>Companion Summoning Time Increase %</t>
        </is>
      </c>
      <c r="E582" t="n">
        <v>20</v>
      </c>
      <c r="F582" t="n">
        <v>0.08</v>
      </c>
      <c r="G582" t="b">
        <v>1</v>
      </c>
      <c r="H582">
        <f>Sensitivity!H16</f>
        <v/>
      </c>
    </row>
    <row r="583">
      <c r="A583" t="inlineStr">
        <is>
          <t>boots</t>
        </is>
      </c>
      <c r="B583" t="inlineStr">
        <is>
          <t>mystic</t>
        </is>
      </c>
      <c r="C583" t="n">
        <v>3</v>
      </c>
      <c r="D583" t="inlineStr">
        <is>
          <t>Companion Summoning Time Increase %</t>
        </is>
      </c>
      <c r="E583" t="n">
        <v>12</v>
      </c>
      <c r="F583" t="n">
        <v>0.92</v>
      </c>
      <c r="G583" t="b">
        <v>0</v>
      </c>
      <c r="H583">
        <f>Sensitivity!H16</f>
        <v/>
      </c>
    </row>
    <row r="584">
      <c r="A584" t="inlineStr">
        <is>
          <t>ring</t>
        </is>
      </c>
      <c r="B584" t="inlineStr">
        <is>
          <t>epic</t>
        </is>
      </c>
      <c r="C584" t="n">
        <v>1</v>
      </c>
      <c r="D584" t="inlineStr">
        <is>
          <t>All Skill Level</t>
        </is>
      </c>
      <c r="E584" t="n">
        <v>5</v>
      </c>
      <c r="F584" t="n">
        <v>1</v>
      </c>
      <c r="G584" t="b">
        <v>1</v>
      </c>
      <c r="H584">
        <f>Sensitivity!H25</f>
        <v/>
      </c>
    </row>
    <row r="585">
      <c r="A585" t="inlineStr">
        <is>
          <t>ring</t>
        </is>
      </c>
      <c r="B585" t="inlineStr">
        <is>
          <t>epic</t>
        </is>
      </c>
      <c r="C585" t="n">
        <v>2</v>
      </c>
      <c r="D585" t="inlineStr">
        <is>
          <t>All Skill Level</t>
        </is>
      </c>
      <c r="E585" t="n">
        <v>5</v>
      </c>
      <c r="F585" t="n">
        <v>0.24</v>
      </c>
      <c r="G585" t="b">
        <v>1</v>
      </c>
      <c r="H585">
        <f>Sensitivity!H25</f>
        <v/>
      </c>
    </row>
    <row r="586">
      <c r="A586" t="inlineStr">
        <is>
          <t>ring</t>
        </is>
      </c>
      <c r="B586" t="inlineStr">
        <is>
          <t>epic</t>
        </is>
      </c>
      <c r="C586" t="n">
        <v>3</v>
      </c>
      <c r="D586" t="inlineStr">
        <is>
          <t>All Skill Level</t>
        </is>
      </c>
      <c r="E586" t="n">
        <v>5</v>
      </c>
      <c r="F586" t="n">
        <v>0.08</v>
      </c>
      <c r="G586" t="b">
        <v>1</v>
      </c>
      <c r="H586">
        <f>Sensitivity!H25</f>
        <v/>
      </c>
    </row>
    <row r="587">
      <c r="A587" t="inlineStr">
        <is>
          <t>ring</t>
        </is>
      </c>
      <c r="B587" t="inlineStr">
        <is>
          <t>unique</t>
        </is>
      </c>
      <c r="C587" t="n">
        <v>1</v>
      </c>
      <c r="D587" t="inlineStr">
        <is>
          <t>All Skill Level</t>
        </is>
      </c>
      <c r="E587" t="n">
        <v>8</v>
      </c>
      <c r="F587" t="n">
        <v>1</v>
      </c>
      <c r="G587" t="b">
        <v>1</v>
      </c>
      <c r="H587">
        <f>Sensitivity!H25</f>
        <v/>
      </c>
    </row>
    <row r="588">
      <c r="A588" t="inlineStr">
        <is>
          <t>ring</t>
        </is>
      </c>
      <c r="B588" t="inlineStr">
        <is>
          <t>unique</t>
        </is>
      </c>
      <c r="C588" t="n">
        <v>2</v>
      </c>
      <c r="D588" t="inlineStr">
        <is>
          <t>All Skill Level</t>
        </is>
      </c>
      <c r="E588" t="n">
        <v>8</v>
      </c>
      <c r="F588" t="n">
        <v>0.24</v>
      </c>
      <c r="G588" t="b">
        <v>1</v>
      </c>
      <c r="H588">
        <f>Sensitivity!H25</f>
        <v/>
      </c>
    </row>
    <row r="589">
      <c r="A589" t="inlineStr">
        <is>
          <t>ring</t>
        </is>
      </c>
      <c r="B589" t="inlineStr">
        <is>
          <t>unique</t>
        </is>
      </c>
      <c r="C589" t="n">
        <v>2</v>
      </c>
      <c r="D589" t="inlineStr">
        <is>
          <t>All Skill Level</t>
        </is>
      </c>
      <c r="E589" t="n">
        <v>5</v>
      </c>
      <c r="F589" t="n">
        <v>0.76</v>
      </c>
      <c r="G589" t="b">
        <v>0</v>
      </c>
      <c r="H589">
        <f>Sensitivity!H25</f>
        <v/>
      </c>
    </row>
    <row r="590">
      <c r="A590" t="inlineStr">
        <is>
          <t>ring</t>
        </is>
      </c>
      <c r="B590" t="inlineStr">
        <is>
          <t>unique</t>
        </is>
      </c>
      <c r="C590" t="n">
        <v>3</v>
      </c>
      <c r="D590" t="inlineStr">
        <is>
          <t>All Skill Level</t>
        </is>
      </c>
      <c r="E590" t="n">
        <v>8</v>
      </c>
      <c r="F590" t="n">
        <v>0.08</v>
      </c>
      <c r="G590" t="b">
        <v>1</v>
      </c>
      <c r="H590">
        <f>Sensitivity!H25</f>
        <v/>
      </c>
    </row>
    <row r="591">
      <c r="A591" t="inlineStr">
        <is>
          <t>ring</t>
        </is>
      </c>
      <c r="B591" t="inlineStr">
        <is>
          <t>unique</t>
        </is>
      </c>
      <c r="C591" t="n">
        <v>3</v>
      </c>
      <c r="D591" t="inlineStr">
        <is>
          <t>All Skill Level</t>
        </is>
      </c>
      <c r="E591" t="n">
        <v>5</v>
      </c>
      <c r="F591" t="n">
        <v>0.92</v>
      </c>
      <c r="G591" t="b">
        <v>0</v>
      </c>
      <c r="H591">
        <f>Sensitivity!H25</f>
        <v/>
      </c>
    </row>
    <row r="592">
      <c r="A592" t="inlineStr">
        <is>
          <t>ring</t>
        </is>
      </c>
      <c r="B592" t="inlineStr">
        <is>
          <t>legendary</t>
        </is>
      </c>
      <c r="C592" t="n">
        <v>1</v>
      </c>
      <c r="D592" t="inlineStr">
        <is>
          <t>All Skill Level</t>
        </is>
      </c>
      <c r="E592" t="n">
        <v>12</v>
      </c>
      <c r="F592" t="n">
        <v>1</v>
      </c>
      <c r="G592" t="b">
        <v>1</v>
      </c>
      <c r="H592">
        <f>Sensitivity!H25</f>
        <v/>
      </c>
    </row>
    <row r="593">
      <c r="A593" t="inlineStr">
        <is>
          <t>ring</t>
        </is>
      </c>
      <c r="B593" t="inlineStr">
        <is>
          <t>legendary</t>
        </is>
      </c>
      <c r="C593" t="n">
        <v>2</v>
      </c>
      <c r="D593" t="inlineStr">
        <is>
          <t>All Skill Level</t>
        </is>
      </c>
      <c r="E593" t="n">
        <v>12</v>
      </c>
      <c r="F593" t="n">
        <v>0.24</v>
      </c>
      <c r="G593" t="b">
        <v>1</v>
      </c>
      <c r="H593">
        <f>Sensitivity!H25</f>
        <v/>
      </c>
    </row>
    <row r="594">
      <c r="A594" t="inlineStr">
        <is>
          <t>ring</t>
        </is>
      </c>
      <c r="B594" t="inlineStr">
        <is>
          <t>legendary</t>
        </is>
      </c>
      <c r="C594" t="n">
        <v>2</v>
      </c>
      <c r="D594" t="inlineStr">
        <is>
          <t>All Skill Level</t>
        </is>
      </c>
      <c r="E594" t="n">
        <v>8</v>
      </c>
      <c r="F594" t="n">
        <v>0.76</v>
      </c>
      <c r="G594" t="b">
        <v>0</v>
      </c>
      <c r="H594">
        <f>Sensitivity!H25</f>
        <v/>
      </c>
    </row>
    <row r="595">
      <c r="A595" t="inlineStr">
        <is>
          <t>ring</t>
        </is>
      </c>
      <c r="B595" t="inlineStr">
        <is>
          <t>legendary</t>
        </is>
      </c>
      <c r="C595" t="n">
        <v>3</v>
      </c>
      <c r="D595" t="inlineStr">
        <is>
          <t>All Skill Level</t>
        </is>
      </c>
      <c r="E595" t="n">
        <v>12</v>
      </c>
      <c r="F595" t="n">
        <v>0.08</v>
      </c>
      <c r="G595" t="b">
        <v>1</v>
      </c>
      <c r="H595">
        <f>Sensitivity!H25</f>
        <v/>
      </c>
    </row>
    <row r="596">
      <c r="A596" t="inlineStr">
        <is>
          <t>ring</t>
        </is>
      </c>
      <c r="B596" t="inlineStr">
        <is>
          <t>legendary</t>
        </is>
      </c>
      <c r="C596" t="n">
        <v>3</v>
      </c>
      <c r="D596" t="inlineStr">
        <is>
          <t>All Skill Level</t>
        </is>
      </c>
      <c r="E596" t="n">
        <v>8</v>
      </c>
      <c r="F596" t="n">
        <v>0.92</v>
      </c>
      <c r="G596" t="b">
        <v>0</v>
      </c>
      <c r="H596">
        <f>Sensitivity!H25</f>
        <v/>
      </c>
    </row>
    <row r="597">
      <c r="A597" t="inlineStr">
        <is>
          <t>ring</t>
        </is>
      </c>
      <c r="B597" t="inlineStr">
        <is>
          <t>mystic</t>
        </is>
      </c>
      <c r="C597" t="n">
        <v>1</v>
      </c>
      <c r="D597" t="inlineStr">
        <is>
          <t>All Skill Level</t>
        </is>
      </c>
      <c r="E597" t="n">
        <v>16</v>
      </c>
      <c r="F597" t="n">
        <v>1</v>
      </c>
      <c r="G597" t="b">
        <v>1</v>
      </c>
      <c r="H597">
        <f>Sensitivity!H25</f>
        <v/>
      </c>
    </row>
    <row r="598">
      <c r="A598" t="inlineStr">
        <is>
          <t>ring</t>
        </is>
      </c>
      <c r="B598" t="inlineStr">
        <is>
          <t>mystic</t>
        </is>
      </c>
      <c r="C598" t="n">
        <v>2</v>
      </c>
      <c r="D598" t="inlineStr">
        <is>
          <t>All Skill Level</t>
        </is>
      </c>
      <c r="E598" t="n">
        <v>16</v>
      </c>
      <c r="F598" t="n">
        <v>0.24</v>
      </c>
      <c r="G598" t="b">
        <v>1</v>
      </c>
      <c r="H598">
        <f>Sensitivity!H25</f>
        <v/>
      </c>
    </row>
    <row r="599">
      <c r="A599" t="inlineStr">
        <is>
          <t>ring</t>
        </is>
      </c>
      <c r="B599" t="inlineStr">
        <is>
          <t>mystic</t>
        </is>
      </c>
      <c r="C599" t="n">
        <v>2</v>
      </c>
      <c r="D599" t="inlineStr">
        <is>
          <t>All Skill Level</t>
        </is>
      </c>
      <c r="E599" t="n">
        <v>12</v>
      </c>
      <c r="F599" t="n">
        <v>0.76</v>
      </c>
      <c r="G599" t="b">
        <v>0</v>
      </c>
      <c r="H599">
        <f>Sensitivity!H25</f>
        <v/>
      </c>
    </row>
    <row r="600">
      <c r="A600" t="inlineStr">
        <is>
          <t>ring</t>
        </is>
      </c>
      <c r="B600" t="inlineStr">
        <is>
          <t>mystic</t>
        </is>
      </c>
      <c r="C600" t="n">
        <v>3</v>
      </c>
      <c r="D600" t="inlineStr">
        <is>
          <t>All Skill Level</t>
        </is>
      </c>
      <c r="E600" t="n">
        <v>16</v>
      </c>
      <c r="F600" t="n">
        <v>0.08</v>
      </c>
      <c r="G600" t="b">
        <v>1</v>
      </c>
      <c r="H600">
        <f>Sensitivity!H25</f>
        <v/>
      </c>
    </row>
    <row r="601">
      <c r="A601" t="inlineStr">
        <is>
          <t>ring</t>
        </is>
      </c>
      <c r="B601" t="inlineStr">
        <is>
          <t>mystic</t>
        </is>
      </c>
      <c r="C601" t="n">
        <v>3</v>
      </c>
      <c r="D601" t="inlineStr">
        <is>
          <t>All Skill Level</t>
        </is>
      </c>
      <c r="E601" t="n">
        <v>12</v>
      </c>
      <c r="F601" t="n">
        <v>0.92</v>
      </c>
      <c r="G601" t="b">
        <v>0</v>
      </c>
      <c r="H601">
        <f>Sensitivity!H25</f>
        <v/>
      </c>
    </row>
    <row r="602">
      <c r="A602" t="inlineStr">
        <is>
          <t>neck</t>
        </is>
      </c>
      <c r="B602" t="inlineStr">
        <is>
          <t>epic</t>
        </is>
      </c>
      <c r="C602" t="n">
        <v>1</v>
      </c>
      <c r="D602" t="inlineStr">
        <is>
          <t>All Skill Level</t>
        </is>
      </c>
      <c r="E602" t="n">
        <v>5</v>
      </c>
      <c r="F602" t="n">
        <v>1</v>
      </c>
      <c r="G602" t="b">
        <v>1</v>
      </c>
      <c r="H602">
        <f>Sensitivity!H25</f>
        <v/>
      </c>
    </row>
    <row r="603">
      <c r="A603" t="inlineStr">
        <is>
          <t>neck</t>
        </is>
      </c>
      <c r="B603" t="inlineStr">
        <is>
          <t>epic</t>
        </is>
      </c>
      <c r="C603" t="n">
        <v>2</v>
      </c>
      <c r="D603" t="inlineStr">
        <is>
          <t>All Skill Level</t>
        </is>
      </c>
      <c r="E603" t="n">
        <v>5</v>
      </c>
      <c r="F603" t="n">
        <v>0.24</v>
      </c>
      <c r="G603" t="b">
        <v>1</v>
      </c>
      <c r="H603">
        <f>Sensitivity!H25</f>
        <v/>
      </c>
    </row>
    <row r="604">
      <c r="A604" t="inlineStr">
        <is>
          <t>neck</t>
        </is>
      </c>
      <c r="B604" t="inlineStr">
        <is>
          <t>epic</t>
        </is>
      </c>
      <c r="C604" t="n">
        <v>3</v>
      </c>
      <c r="D604" t="inlineStr">
        <is>
          <t>All Skill Level</t>
        </is>
      </c>
      <c r="E604" t="n">
        <v>5</v>
      </c>
      <c r="F604" t="n">
        <v>0.08</v>
      </c>
      <c r="G604" t="b">
        <v>1</v>
      </c>
      <c r="H604">
        <f>Sensitivity!H25</f>
        <v/>
      </c>
    </row>
    <row r="605">
      <c r="A605" t="inlineStr">
        <is>
          <t>neck</t>
        </is>
      </c>
      <c r="B605" t="inlineStr">
        <is>
          <t>unique</t>
        </is>
      </c>
      <c r="C605" t="n">
        <v>1</v>
      </c>
      <c r="D605" t="inlineStr">
        <is>
          <t>All Skill Level</t>
        </is>
      </c>
      <c r="E605" t="n">
        <v>8</v>
      </c>
      <c r="F605" t="n">
        <v>1</v>
      </c>
      <c r="G605" t="b">
        <v>1</v>
      </c>
      <c r="H605">
        <f>Sensitivity!H25</f>
        <v/>
      </c>
    </row>
    <row r="606">
      <c r="A606" t="inlineStr">
        <is>
          <t>neck</t>
        </is>
      </c>
      <c r="B606" t="inlineStr">
        <is>
          <t>unique</t>
        </is>
      </c>
      <c r="C606" t="n">
        <v>2</v>
      </c>
      <c r="D606" t="inlineStr">
        <is>
          <t>All Skill Level</t>
        </is>
      </c>
      <c r="E606" t="n">
        <v>8</v>
      </c>
      <c r="F606" t="n">
        <v>0.24</v>
      </c>
      <c r="G606" t="b">
        <v>1</v>
      </c>
      <c r="H606">
        <f>Sensitivity!H25</f>
        <v/>
      </c>
    </row>
    <row r="607">
      <c r="A607" t="inlineStr">
        <is>
          <t>neck</t>
        </is>
      </c>
      <c r="B607" t="inlineStr">
        <is>
          <t>unique</t>
        </is>
      </c>
      <c r="C607" t="n">
        <v>2</v>
      </c>
      <c r="D607" t="inlineStr">
        <is>
          <t>All Skill Level</t>
        </is>
      </c>
      <c r="E607" t="n">
        <v>5</v>
      </c>
      <c r="F607" t="n">
        <v>0.76</v>
      </c>
      <c r="G607" t="b">
        <v>0</v>
      </c>
      <c r="H607">
        <f>Sensitivity!H25</f>
        <v/>
      </c>
    </row>
    <row r="608">
      <c r="A608" t="inlineStr">
        <is>
          <t>neck</t>
        </is>
      </c>
      <c r="B608" t="inlineStr">
        <is>
          <t>unique</t>
        </is>
      </c>
      <c r="C608" t="n">
        <v>3</v>
      </c>
      <c r="D608" t="inlineStr">
        <is>
          <t>All Skill Level</t>
        </is>
      </c>
      <c r="E608" t="n">
        <v>8</v>
      </c>
      <c r="F608" t="n">
        <v>0.08</v>
      </c>
      <c r="G608" t="b">
        <v>1</v>
      </c>
      <c r="H608">
        <f>Sensitivity!H25</f>
        <v/>
      </c>
    </row>
    <row r="609">
      <c r="A609" t="inlineStr">
        <is>
          <t>neck</t>
        </is>
      </c>
      <c r="B609" t="inlineStr">
        <is>
          <t>unique</t>
        </is>
      </c>
      <c r="C609" t="n">
        <v>3</v>
      </c>
      <c r="D609" t="inlineStr">
        <is>
          <t>All Skill Level</t>
        </is>
      </c>
      <c r="E609" t="n">
        <v>5</v>
      </c>
      <c r="F609" t="n">
        <v>0.92</v>
      </c>
      <c r="G609" t="b">
        <v>0</v>
      </c>
      <c r="H609">
        <f>Sensitivity!H25</f>
        <v/>
      </c>
    </row>
    <row r="610">
      <c r="A610" t="inlineStr">
        <is>
          <t>neck</t>
        </is>
      </c>
      <c r="B610" t="inlineStr">
        <is>
          <t>legendary</t>
        </is>
      </c>
      <c r="C610" t="n">
        <v>1</v>
      </c>
      <c r="D610" t="inlineStr">
        <is>
          <t>All Skill Level</t>
        </is>
      </c>
      <c r="E610" t="n">
        <v>12</v>
      </c>
      <c r="F610" t="n">
        <v>1</v>
      </c>
      <c r="G610" t="b">
        <v>1</v>
      </c>
      <c r="H610">
        <f>Sensitivity!H25</f>
        <v/>
      </c>
    </row>
    <row r="611">
      <c r="A611" t="inlineStr">
        <is>
          <t>neck</t>
        </is>
      </c>
      <c r="B611" t="inlineStr">
        <is>
          <t>legendary</t>
        </is>
      </c>
      <c r="C611" t="n">
        <v>2</v>
      </c>
      <c r="D611" t="inlineStr">
        <is>
          <t>All Skill Level</t>
        </is>
      </c>
      <c r="E611" t="n">
        <v>12</v>
      </c>
      <c r="F611" t="n">
        <v>0.24</v>
      </c>
      <c r="G611" t="b">
        <v>1</v>
      </c>
      <c r="H611">
        <f>Sensitivity!H25</f>
        <v/>
      </c>
    </row>
    <row r="612">
      <c r="A612" t="inlineStr">
        <is>
          <t>neck</t>
        </is>
      </c>
      <c r="B612" t="inlineStr">
        <is>
          <t>legendary</t>
        </is>
      </c>
      <c r="C612" t="n">
        <v>2</v>
      </c>
      <c r="D612" t="inlineStr">
        <is>
          <t>All Skill Level</t>
        </is>
      </c>
      <c r="E612" t="n">
        <v>8</v>
      </c>
      <c r="F612" t="n">
        <v>0.76</v>
      </c>
      <c r="G612" t="b">
        <v>0</v>
      </c>
      <c r="H612">
        <f>Sensitivity!H25</f>
        <v/>
      </c>
    </row>
    <row r="613">
      <c r="A613" t="inlineStr">
        <is>
          <t>neck</t>
        </is>
      </c>
      <c r="B613" t="inlineStr">
        <is>
          <t>legendary</t>
        </is>
      </c>
      <c r="C613" t="n">
        <v>3</v>
      </c>
      <c r="D613" t="inlineStr">
        <is>
          <t>All Skill Level</t>
        </is>
      </c>
      <c r="E613" t="n">
        <v>12</v>
      </c>
      <c r="F613" t="n">
        <v>0.08</v>
      </c>
      <c r="G613" t="b">
        <v>1</v>
      </c>
      <c r="H613">
        <f>Sensitivity!H25</f>
        <v/>
      </c>
    </row>
    <row r="614">
      <c r="A614" t="inlineStr">
        <is>
          <t>neck</t>
        </is>
      </c>
      <c r="B614" t="inlineStr">
        <is>
          <t>legendary</t>
        </is>
      </c>
      <c r="C614" t="n">
        <v>3</v>
      </c>
      <c r="D614" t="inlineStr">
        <is>
          <t>All Skill Level</t>
        </is>
      </c>
      <c r="E614" t="n">
        <v>8</v>
      </c>
      <c r="F614" t="n">
        <v>0.92</v>
      </c>
      <c r="G614" t="b">
        <v>0</v>
      </c>
      <c r="H614">
        <f>Sensitivity!H25</f>
        <v/>
      </c>
    </row>
    <row r="615">
      <c r="A615" t="inlineStr">
        <is>
          <t>neck</t>
        </is>
      </c>
      <c r="B615" t="inlineStr">
        <is>
          <t>mystic</t>
        </is>
      </c>
      <c r="C615" t="n">
        <v>1</v>
      </c>
      <c r="D615" t="inlineStr">
        <is>
          <t>All Skill Level</t>
        </is>
      </c>
      <c r="E615" t="n">
        <v>16</v>
      </c>
      <c r="F615" t="n">
        <v>1</v>
      </c>
      <c r="G615" t="b">
        <v>1</v>
      </c>
      <c r="H615">
        <f>Sensitivity!H25</f>
        <v/>
      </c>
    </row>
    <row r="616">
      <c r="A616" t="inlineStr">
        <is>
          <t>neck</t>
        </is>
      </c>
      <c r="B616" t="inlineStr">
        <is>
          <t>mystic</t>
        </is>
      </c>
      <c r="C616" t="n">
        <v>2</v>
      </c>
      <c r="D616" t="inlineStr">
        <is>
          <t>All Skill Level</t>
        </is>
      </c>
      <c r="E616" t="n">
        <v>16</v>
      </c>
      <c r="F616" t="n">
        <v>0.24</v>
      </c>
      <c r="G616" t="b">
        <v>1</v>
      </c>
      <c r="H616">
        <f>Sensitivity!H25</f>
        <v/>
      </c>
    </row>
    <row r="617">
      <c r="A617" t="inlineStr">
        <is>
          <t>neck</t>
        </is>
      </c>
      <c r="B617" t="inlineStr">
        <is>
          <t>mystic</t>
        </is>
      </c>
      <c r="C617" t="n">
        <v>2</v>
      </c>
      <c r="D617" t="inlineStr">
        <is>
          <t>All Skill Level</t>
        </is>
      </c>
      <c r="E617" t="n">
        <v>12</v>
      </c>
      <c r="F617" t="n">
        <v>0.76</v>
      </c>
      <c r="G617" t="b">
        <v>0</v>
      </c>
      <c r="H617">
        <f>Sensitivity!H25</f>
        <v/>
      </c>
    </row>
    <row r="618">
      <c r="A618" t="inlineStr">
        <is>
          <t>neck</t>
        </is>
      </c>
      <c r="B618" t="inlineStr">
        <is>
          <t>mystic</t>
        </is>
      </c>
      <c r="C618" t="n">
        <v>3</v>
      </c>
      <c r="D618" t="inlineStr">
        <is>
          <t>All Skill Level</t>
        </is>
      </c>
      <c r="E618" t="n">
        <v>16</v>
      </c>
      <c r="F618" t="n">
        <v>0.08</v>
      </c>
      <c r="G618" t="b">
        <v>1</v>
      </c>
      <c r="H618">
        <f>Sensitivity!H25</f>
        <v/>
      </c>
    </row>
    <row r="619">
      <c r="A619" t="inlineStr">
        <is>
          <t>neck</t>
        </is>
      </c>
      <c r="B619" t="inlineStr">
        <is>
          <t>mystic</t>
        </is>
      </c>
      <c r="C619" t="n">
        <v>3</v>
      </c>
      <c r="D619" t="inlineStr">
        <is>
          <t>All Skill Level</t>
        </is>
      </c>
      <c r="E619" t="n">
        <v>12</v>
      </c>
      <c r="F619" t="n">
        <v>0.92</v>
      </c>
      <c r="G619" t="b">
        <v>0</v>
      </c>
      <c r="H619">
        <f>Sensitivity!H25</f>
        <v/>
      </c>
    </row>
    <row r="620">
      <c r="A620" t="inlineStr">
        <is>
          <t>eye-accessory</t>
        </is>
      </c>
      <c r="B620" t="inlineStr">
        <is>
          <t>epic</t>
        </is>
      </c>
      <c r="C620" t="n">
        <v>1</v>
      </c>
      <c r="D620" t="inlineStr">
        <is>
          <t>Main Stat Per Level</t>
        </is>
      </c>
      <c r="E620" t="n">
        <v>10</v>
      </c>
      <c r="F620" t="n">
        <v>1</v>
      </c>
      <c r="G620" t="b">
        <v>1</v>
      </c>
      <c r="H620">
        <f>Sensitivity!H5*Inputs!$B$3</f>
        <v/>
      </c>
    </row>
    <row r="621">
      <c r="A621" t="inlineStr">
        <is>
          <t>eye-accessory</t>
        </is>
      </c>
      <c r="B621" t="inlineStr">
        <is>
          <t>epic</t>
        </is>
      </c>
      <c r="C621" t="n">
        <v>2</v>
      </c>
      <c r="D621" t="inlineStr">
        <is>
          <t>Main Stat Per Level</t>
        </is>
      </c>
      <c r="E621" t="n">
        <v>10</v>
      </c>
      <c r="F621" t="n">
        <v>0.24</v>
      </c>
      <c r="G621" t="b">
        <v>1</v>
      </c>
      <c r="H621">
        <f>Sensitivity!H5*Inputs!$B$3</f>
        <v/>
      </c>
    </row>
    <row r="622">
      <c r="A622" t="inlineStr">
        <is>
          <t>eye-accessory</t>
        </is>
      </c>
      <c r="B622" t="inlineStr">
        <is>
          <t>epic</t>
        </is>
      </c>
      <c r="C622" t="n">
        <v>3</v>
      </c>
      <c r="D622" t="inlineStr">
        <is>
          <t>Main Stat Per Level</t>
        </is>
      </c>
      <c r="E622" t="n">
        <v>10</v>
      </c>
      <c r="F622" t="n">
        <v>0.08</v>
      </c>
      <c r="G622" t="b">
        <v>1</v>
      </c>
      <c r="H622">
        <f>Sensitivity!H5*Inputs!$B$3</f>
        <v/>
      </c>
    </row>
    <row r="623">
      <c r="A623" t="inlineStr">
        <is>
          <t>eye-accessory</t>
        </is>
      </c>
      <c r="B623" t="inlineStr">
        <is>
          <t>unique</t>
        </is>
      </c>
      <c r="C623" t="n">
        <v>1</v>
      </c>
      <c r="D623" t="inlineStr">
        <is>
          <t>Main Stat Per Level</t>
        </is>
      </c>
      <c r="E623" t="n">
        <v>20</v>
      </c>
      <c r="F623" t="n">
        <v>1</v>
      </c>
      <c r="G623" t="b">
        <v>1</v>
      </c>
      <c r="H623">
        <f>Sensitivity!H5*Inputs!$B$3</f>
        <v/>
      </c>
    </row>
    <row r="624">
      <c r="A624" t="inlineStr">
        <is>
          <t>eye-accessory</t>
        </is>
      </c>
      <c r="B624" t="inlineStr">
        <is>
          <t>unique</t>
        </is>
      </c>
      <c r="C624" t="n">
        <v>2</v>
      </c>
      <c r="D624" t="inlineStr">
        <is>
          <t>Main Stat Per Level</t>
        </is>
      </c>
      <c r="E624" t="n">
        <v>20</v>
      </c>
      <c r="F624" t="n">
        <v>0.24</v>
      </c>
      <c r="G624" t="b">
        <v>1</v>
      </c>
      <c r="H624">
        <f>Sensitivity!H5*Inputs!$B$3</f>
        <v/>
      </c>
    </row>
    <row r="625">
      <c r="A625" t="inlineStr">
        <is>
          <t>eye-accessory</t>
        </is>
      </c>
      <c r="B625" t="inlineStr">
        <is>
          <t>unique</t>
        </is>
      </c>
      <c r="C625" t="n">
        <v>2</v>
      </c>
      <c r="D625" t="inlineStr">
        <is>
          <t>Main Stat Per Level</t>
        </is>
      </c>
      <c r="E625" t="n">
        <v>10</v>
      </c>
      <c r="F625" t="n">
        <v>0.76</v>
      </c>
      <c r="G625" t="b">
        <v>0</v>
      </c>
      <c r="H625">
        <f>Sensitivity!H5*Inputs!$B$3</f>
        <v/>
      </c>
    </row>
    <row r="626">
      <c r="A626" t="inlineStr">
        <is>
          <t>eye-accessory</t>
        </is>
      </c>
      <c r="B626" t="inlineStr">
        <is>
          <t>unique</t>
        </is>
      </c>
      <c r="C626" t="n">
        <v>3</v>
      </c>
      <c r="D626" t="inlineStr">
        <is>
          <t>Main Stat Per Level</t>
        </is>
      </c>
      <c r="E626" t="n">
        <v>20</v>
      </c>
      <c r="F626" t="n">
        <v>0.08</v>
      </c>
      <c r="G626" t="b">
        <v>1</v>
      </c>
      <c r="H626">
        <f>Sensitivity!H5*Inputs!$B$3</f>
        <v/>
      </c>
    </row>
    <row r="627">
      <c r="A627" t="inlineStr">
        <is>
          <t>eye-accessory</t>
        </is>
      </c>
      <c r="B627" t="inlineStr">
        <is>
          <t>unique</t>
        </is>
      </c>
      <c r="C627" t="n">
        <v>3</v>
      </c>
      <c r="D627" t="inlineStr">
        <is>
          <t>Main Stat Per Level</t>
        </is>
      </c>
      <c r="E627" t="n">
        <v>10</v>
      </c>
      <c r="F627" t="n">
        <v>0.92</v>
      </c>
      <c r="G627" t="b">
        <v>0</v>
      </c>
      <c r="H627">
        <f>Sensitivity!H5*Inputs!$B$3</f>
        <v/>
      </c>
    </row>
    <row r="628">
      <c r="A628" t="inlineStr">
        <is>
          <t>eye-accessory</t>
        </is>
      </c>
      <c r="B628" t="inlineStr">
        <is>
          <t>legendary</t>
        </is>
      </c>
      <c r="C628" t="n">
        <v>1</v>
      </c>
      <c r="D628" t="inlineStr">
        <is>
          <t>Main Stat Per Level</t>
        </is>
      </c>
      <c r="E628" t="n">
        <v>35</v>
      </c>
      <c r="F628" t="n">
        <v>1</v>
      </c>
      <c r="G628" t="b">
        <v>1</v>
      </c>
      <c r="H628">
        <f>Sensitivity!H5*Inputs!$B$3</f>
        <v/>
      </c>
    </row>
    <row r="629">
      <c r="A629" t="inlineStr">
        <is>
          <t>eye-accessory</t>
        </is>
      </c>
      <c r="B629" t="inlineStr">
        <is>
          <t>legendary</t>
        </is>
      </c>
      <c r="C629" t="n">
        <v>2</v>
      </c>
      <c r="D629" t="inlineStr">
        <is>
          <t>Main Stat Per Level</t>
        </is>
      </c>
      <c r="E629" t="n">
        <v>35</v>
      </c>
      <c r="F629" t="n">
        <v>0.24</v>
      </c>
      <c r="G629" t="b">
        <v>1</v>
      </c>
      <c r="H629">
        <f>Sensitivity!H5*Inputs!$B$3</f>
        <v/>
      </c>
    </row>
    <row r="630">
      <c r="A630" t="inlineStr">
        <is>
          <t>eye-accessory</t>
        </is>
      </c>
      <c r="B630" t="inlineStr">
        <is>
          <t>legendary</t>
        </is>
      </c>
      <c r="C630" t="n">
        <v>2</v>
      </c>
      <c r="D630" t="inlineStr">
        <is>
          <t>Main Stat Per Level</t>
        </is>
      </c>
      <c r="E630" t="n">
        <v>20</v>
      </c>
      <c r="F630" t="n">
        <v>0.76</v>
      </c>
      <c r="G630" t="b">
        <v>0</v>
      </c>
      <c r="H630">
        <f>Sensitivity!H5*Inputs!$B$3</f>
        <v/>
      </c>
    </row>
    <row r="631">
      <c r="A631" t="inlineStr">
        <is>
          <t>eye-accessory</t>
        </is>
      </c>
      <c r="B631" t="inlineStr">
        <is>
          <t>legendary</t>
        </is>
      </c>
      <c r="C631" t="n">
        <v>3</v>
      </c>
      <c r="D631" t="inlineStr">
        <is>
          <t>Main Stat Per Level</t>
        </is>
      </c>
      <c r="E631" t="n">
        <v>35</v>
      </c>
      <c r="F631" t="n">
        <v>0.08</v>
      </c>
      <c r="G631" t="b">
        <v>1</v>
      </c>
      <c r="H631">
        <f>Sensitivity!H5*Inputs!$B$3</f>
        <v/>
      </c>
    </row>
    <row r="632">
      <c r="A632" t="inlineStr">
        <is>
          <t>eye-accessory</t>
        </is>
      </c>
      <c r="B632" t="inlineStr">
        <is>
          <t>legendary</t>
        </is>
      </c>
      <c r="C632" t="n">
        <v>3</v>
      </c>
      <c r="D632" t="inlineStr">
        <is>
          <t>Main Stat Per Level</t>
        </is>
      </c>
      <c r="E632" t="n">
        <v>20</v>
      </c>
      <c r="F632" t="n">
        <v>0.92</v>
      </c>
      <c r="G632" t="b">
        <v>0</v>
      </c>
      <c r="H632">
        <f>Sensitivity!H5*Inputs!$B$3</f>
        <v/>
      </c>
    </row>
    <row r="633">
      <c r="A633" t="inlineStr">
        <is>
          <t>eye-accessory</t>
        </is>
      </c>
      <c r="B633" t="inlineStr">
        <is>
          <t>mystic</t>
        </is>
      </c>
      <c r="C633" t="n">
        <v>1</v>
      </c>
      <c r="D633" t="inlineStr">
        <is>
          <t>Main Stat Per Level</t>
        </is>
      </c>
      <c r="E633" t="n">
        <v>50</v>
      </c>
      <c r="F633" t="n">
        <v>1</v>
      </c>
      <c r="G633" t="b">
        <v>1</v>
      </c>
      <c r="H633">
        <f>Sensitivity!H5*Inputs!$B$3</f>
        <v/>
      </c>
    </row>
    <row r="634">
      <c r="A634" t="inlineStr">
        <is>
          <t>eye-accessory</t>
        </is>
      </c>
      <c r="B634" t="inlineStr">
        <is>
          <t>mystic</t>
        </is>
      </c>
      <c r="C634" t="n">
        <v>2</v>
      </c>
      <c r="D634" t="inlineStr">
        <is>
          <t>Main Stat Per Level</t>
        </is>
      </c>
      <c r="E634" t="n">
        <v>50</v>
      </c>
      <c r="F634" t="n">
        <v>0.24</v>
      </c>
      <c r="G634" t="b">
        <v>1</v>
      </c>
      <c r="H634">
        <f>Sensitivity!H5*Inputs!$B$3</f>
        <v/>
      </c>
    </row>
    <row r="635">
      <c r="A635" t="inlineStr">
        <is>
          <t>eye-accessory</t>
        </is>
      </c>
      <c r="B635" t="inlineStr">
        <is>
          <t>mystic</t>
        </is>
      </c>
      <c r="C635" t="n">
        <v>2</v>
      </c>
      <c r="D635" t="inlineStr">
        <is>
          <t>Main Stat Per Level</t>
        </is>
      </c>
      <c r="E635" t="n">
        <v>35</v>
      </c>
      <c r="F635" t="n">
        <v>0.76</v>
      </c>
      <c r="G635" t="b">
        <v>0</v>
      </c>
      <c r="H635">
        <f>Sensitivity!H5*Inputs!$B$3</f>
        <v/>
      </c>
    </row>
    <row r="636">
      <c r="A636" t="inlineStr">
        <is>
          <t>eye-accessory</t>
        </is>
      </c>
      <c r="B636" t="inlineStr">
        <is>
          <t>mystic</t>
        </is>
      </c>
      <c r="C636" t="n">
        <v>3</v>
      </c>
      <c r="D636" t="inlineStr">
        <is>
          <t>Main Stat Per Level</t>
        </is>
      </c>
      <c r="E636" t="n">
        <v>50</v>
      </c>
      <c r="F636" t="n">
        <v>0.08</v>
      </c>
      <c r="G636" t="b">
        <v>1</v>
      </c>
      <c r="H636">
        <f>Sensitivity!H5*Inputs!$B$3</f>
        <v/>
      </c>
    </row>
    <row r="637">
      <c r="A637" t="inlineStr">
        <is>
          <t>eye-accessory</t>
        </is>
      </c>
      <c r="B637" t="inlineStr">
        <is>
          <t>mystic</t>
        </is>
      </c>
      <c r="C637" t="n">
        <v>3</v>
      </c>
      <c r="D637" t="inlineStr">
        <is>
          <t>Main Stat Per Level</t>
        </is>
      </c>
      <c r="E637" t="n">
        <v>35</v>
      </c>
      <c r="F637" t="n">
        <v>0.92</v>
      </c>
      <c r="G637" t="b">
        <v>0</v>
      </c>
      <c r="H637">
        <f>Sensitivity!H5*Inputs!$B$3</f>
        <v/>
      </c>
    </row>
    <row r="638">
      <c r="A638" t="inlineStr">
        <is>
          <t>ring2</t>
        </is>
      </c>
      <c r="B638" t="inlineStr">
        <is>
          <t>epic</t>
        </is>
      </c>
      <c r="C638" t="n">
        <v>1</v>
      </c>
      <c r="D638" t="inlineStr">
        <is>
          <t>Basic Attack Damage %</t>
        </is>
      </c>
      <c r="E638" t="n">
        <v>8</v>
      </c>
      <c r="F638" t="n">
        <v>1</v>
      </c>
      <c r="G638" t="b">
        <v>1</v>
      </c>
      <c r="H638">
        <f>Sensitivity!H19</f>
        <v/>
      </c>
    </row>
    <row r="639">
      <c r="A639" t="inlineStr">
        <is>
          <t>ring2</t>
        </is>
      </c>
      <c r="B639" t="inlineStr">
        <is>
          <t>epic</t>
        </is>
      </c>
      <c r="C639" t="n">
        <v>2</v>
      </c>
      <c r="D639" t="inlineStr">
        <is>
          <t>Basic Attack Damage %</t>
        </is>
      </c>
      <c r="E639" t="n">
        <v>8</v>
      </c>
      <c r="F639" t="n">
        <v>0.24</v>
      </c>
      <c r="G639" t="b">
        <v>1</v>
      </c>
      <c r="H639">
        <f>Sensitivity!H19</f>
        <v/>
      </c>
    </row>
    <row r="640">
      <c r="A640" t="inlineStr">
        <is>
          <t>ring2</t>
        </is>
      </c>
      <c r="B640" t="inlineStr">
        <is>
          <t>epic</t>
        </is>
      </c>
      <c r="C640" t="n">
        <v>3</v>
      </c>
      <c r="D640" t="inlineStr">
        <is>
          <t>Basic Attack Damage %</t>
        </is>
      </c>
      <c r="E640" t="n">
        <v>8</v>
      </c>
      <c r="F640" t="n">
        <v>0.08</v>
      </c>
      <c r="G640" t="b">
        <v>1</v>
      </c>
      <c r="H640">
        <f>Sensitivity!H19</f>
        <v/>
      </c>
    </row>
    <row r="641">
      <c r="A641" t="inlineStr">
        <is>
          <t>ring2</t>
        </is>
      </c>
      <c r="B641" t="inlineStr">
        <is>
          <t>unique</t>
        </is>
      </c>
      <c r="C641" t="n">
        <v>1</v>
      </c>
      <c r="D641" t="inlineStr">
        <is>
          <t>Basic Attack Damage %</t>
        </is>
      </c>
      <c r="E641" t="n">
        <v>14</v>
      </c>
      <c r="F641" t="n">
        <v>1</v>
      </c>
      <c r="G641" t="b">
        <v>1</v>
      </c>
      <c r="H641">
        <f>Sensitivity!H19</f>
        <v/>
      </c>
    </row>
    <row r="642">
      <c r="A642" t="inlineStr">
        <is>
          <t>ring2</t>
        </is>
      </c>
      <c r="B642" t="inlineStr">
        <is>
          <t>unique</t>
        </is>
      </c>
      <c r="C642" t="n">
        <v>2</v>
      </c>
      <c r="D642" t="inlineStr">
        <is>
          <t>Basic Attack Damage %</t>
        </is>
      </c>
      <c r="E642" t="n">
        <v>14</v>
      </c>
      <c r="F642" t="n">
        <v>0.24</v>
      </c>
      <c r="G642" t="b">
        <v>1</v>
      </c>
      <c r="H642">
        <f>Sensitivity!H19</f>
        <v/>
      </c>
    </row>
    <row r="643">
      <c r="A643" t="inlineStr">
        <is>
          <t>ring2</t>
        </is>
      </c>
      <c r="B643" t="inlineStr">
        <is>
          <t>unique</t>
        </is>
      </c>
      <c r="C643" t="n">
        <v>2</v>
      </c>
      <c r="D643" t="inlineStr">
        <is>
          <t>Basic Attack Damage %</t>
        </is>
      </c>
      <c r="E643" t="n">
        <v>8</v>
      </c>
      <c r="F643" t="n">
        <v>0.76</v>
      </c>
      <c r="G643" t="b">
        <v>0</v>
      </c>
      <c r="H643">
        <f>Sensitivity!H19</f>
        <v/>
      </c>
    </row>
    <row r="644">
      <c r="A644" t="inlineStr">
        <is>
          <t>ring2</t>
        </is>
      </c>
      <c r="B644" t="inlineStr">
        <is>
          <t>unique</t>
        </is>
      </c>
      <c r="C644" t="n">
        <v>3</v>
      </c>
      <c r="D644" t="inlineStr">
        <is>
          <t>Basic Attack Damage %</t>
        </is>
      </c>
      <c r="E644" t="n">
        <v>14</v>
      </c>
      <c r="F644" t="n">
        <v>0.08</v>
      </c>
      <c r="G644" t="b">
        <v>1</v>
      </c>
      <c r="H644">
        <f>Sensitivity!H19</f>
        <v/>
      </c>
    </row>
    <row r="645">
      <c r="A645" t="inlineStr">
        <is>
          <t>ring2</t>
        </is>
      </c>
      <c r="B645" t="inlineStr">
        <is>
          <t>unique</t>
        </is>
      </c>
      <c r="C645" t="n">
        <v>3</v>
      </c>
      <c r="D645" t="inlineStr">
        <is>
          <t>Basic Attack Damage %</t>
        </is>
      </c>
      <c r="E645" t="n">
        <v>8</v>
      </c>
      <c r="F645" t="n">
        <v>0.92</v>
      </c>
      <c r="G645" t="b">
        <v>0</v>
      </c>
      <c r="H645">
        <f>Sensitivity!H19</f>
        <v/>
      </c>
    </row>
    <row r="646">
      <c r="A646" t="inlineStr">
        <is>
          <t>ring2</t>
        </is>
      </c>
      <c r="B646" t="inlineStr">
        <is>
          <t>legendary</t>
        </is>
      </c>
      <c r="C646" t="n">
        <v>1</v>
      </c>
      <c r="D646" t="inlineStr">
        <is>
          <t>Basic Attack Damage %</t>
        </is>
      </c>
      <c r="E646" t="n">
        <v>21</v>
      </c>
      <c r="F646" t="n">
        <v>1</v>
      </c>
      <c r="G646" t="b">
        <v>1</v>
      </c>
      <c r="H646">
        <f>Sensitivity!H19</f>
        <v/>
      </c>
    </row>
    <row r="647">
      <c r="A647" t="inlineStr">
        <is>
          <t>ring2</t>
        </is>
      </c>
      <c r="B647" t="inlineStr">
        <is>
          <t>legendary</t>
        </is>
      </c>
      <c r="C647" t="n">
        <v>2</v>
      </c>
      <c r="D647" t="inlineStr">
        <is>
          <t>Basic Attack Damage %</t>
        </is>
      </c>
      <c r="E647" t="n">
        <v>21</v>
      </c>
      <c r="F647" t="n">
        <v>0.24</v>
      </c>
      <c r="G647" t="b">
        <v>1</v>
      </c>
      <c r="H647">
        <f>Sensitivity!H19</f>
        <v/>
      </c>
    </row>
    <row r="648">
      <c r="A648" t="inlineStr">
        <is>
          <t>ring2</t>
        </is>
      </c>
      <c r="B648" t="inlineStr">
        <is>
          <t>legendary</t>
        </is>
      </c>
      <c r="C648" t="n">
        <v>2</v>
      </c>
      <c r="D648" t="inlineStr">
        <is>
          <t>Basic Attack Damage %</t>
        </is>
      </c>
      <c r="E648" t="n">
        <v>14</v>
      </c>
      <c r="F648" t="n">
        <v>0.76</v>
      </c>
      <c r="G648" t="b">
        <v>0</v>
      </c>
      <c r="H648">
        <f>Sensitivity!H19</f>
        <v/>
      </c>
    </row>
    <row r="649">
      <c r="A649" t="inlineStr">
        <is>
          <t>ring2</t>
        </is>
      </c>
      <c r="B649" t="inlineStr">
        <is>
          <t>legendary</t>
        </is>
      </c>
      <c r="C649" t="n">
        <v>3</v>
      </c>
      <c r="D649" t="inlineStr">
        <is>
          <t>Basic Attack Damage %</t>
        </is>
      </c>
      <c r="E649" t="n">
        <v>21</v>
      </c>
      <c r="F649" t="n">
        <v>0.08</v>
      </c>
      <c r="G649" t="b">
        <v>1</v>
      </c>
      <c r="H649">
        <f>Sensitivity!H19</f>
        <v/>
      </c>
    </row>
    <row r="650">
      <c r="A650" t="inlineStr">
        <is>
          <t>ring2</t>
        </is>
      </c>
      <c r="B650" t="inlineStr">
        <is>
          <t>legendary</t>
        </is>
      </c>
      <c r="C650" t="n">
        <v>3</v>
      </c>
      <c r="D650" t="inlineStr">
        <is>
          <t>Basic Attack Damage %</t>
        </is>
      </c>
      <c r="E650" t="n">
        <v>14</v>
      </c>
      <c r="F650" t="n">
        <v>0.92</v>
      </c>
      <c r="G650" t="b">
        <v>0</v>
      </c>
      <c r="H650">
        <f>Sensitivity!H19</f>
        <v/>
      </c>
    </row>
    <row r="651">
      <c r="A651" t="inlineStr">
        <is>
          <t>ring2</t>
        </is>
      </c>
      <c r="B651" t="inlineStr">
        <is>
          <t>mystic</t>
        </is>
      </c>
      <c r="C651" t="n">
        <v>1</v>
      </c>
      <c r="D651" t="inlineStr">
        <is>
          <t>Basic Attack Damage %</t>
        </is>
      </c>
      <c r="E651" t="n">
        <v>30</v>
      </c>
      <c r="F651" t="n">
        <v>1</v>
      </c>
      <c r="G651" t="b">
        <v>1</v>
      </c>
      <c r="H651">
        <f>Sensitivity!H19</f>
        <v/>
      </c>
    </row>
    <row r="652">
      <c r="A652" t="inlineStr">
        <is>
          <t>ring2</t>
        </is>
      </c>
      <c r="B652" t="inlineStr">
        <is>
          <t>mystic</t>
        </is>
      </c>
      <c r="C652" t="n">
        <v>2</v>
      </c>
      <c r="D652" t="inlineStr">
        <is>
          <t>Basic Attack Damage %</t>
        </is>
      </c>
      <c r="E652" t="n">
        <v>30</v>
      </c>
      <c r="F652" t="n">
        <v>0.24</v>
      </c>
      <c r="G652" t="b">
        <v>1</v>
      </c>
      <c r="H652">
        <f>Sensitivity!H19</f>
        <v/>
      </c>
    </row>
    <row r="653">
      <c r="A653" t="inlineStr">
        <is>
          <t>ring2</t>
        </is>
      </c>
      <c r="B653" t="inlineStr">
        <is>
          <t>mystic</t>
        </is>
      </c>
      <c r="C653" t="n">
        <v>2</v>
      </c>
      <c r="D653" t="inlineStr">
        <is>
          <t>Basic Attack Damage %</t>
        </is>
      </c>
      <c r="E653" t="n">
        <v>21</v>
      </c>
      <c r="F653" t="n">
        <v>0.76</v>
      </c>
      <c r="G653" t="b">
        <v>0</v>
      </c>
      <c r="H653">
        <f>Sensitivity!H19</f>
        <v/>
      </c>
    </row>
    <row r="654">
      <c r="A654" t="inlineStr">
        <is>
          <t>ring2</t>
        </is>
      </c>
      <c r="B654" t="inlineStr">
        <is>
          <t>mystic</t>
        </is>
      </c>
      <c r="C654" t="n">
        <v>3</v>
      </c>
      <c r="D654" t="inlineStr">
        <is>
          <t>Basic Attack Damage %</t>
        </is>
      </c>
      <c r="E654" t="n">
        <v>30</v>
      </c>
      <c r="F654" t="n">
        <v>0.08</v>
      </c>
      <c r="G654" t="b">
        <v>1</v>
      </c>
      <c r="H654">
        <f>Sensitivity!H19</f>
        <v/>
      </c>
    </row>
    <row r="655">
      <c r="A655" t="inlineStr">
        <is>
          <t>ring2</t>
        </is>
      </c>
      <c r="B655" t="inlineStr">
        <is>
          <t>mystic</t>
        </is>
      </c>
      <c r="C655" t="n">
        <v>3</v>
      </c>
      <c r="D655" t="inlineStr">
        <is>
          <t>Basic Attack Damage %</t>
        </is>
      </c>
      <c r="E655" t="n">
        <v>21</v>
      </c>
      <c r="F655" t="n">
        <v>0.92</v>
      </c>
      <c r="G655" t="b">
        <v>0</v>
      </c>
      <c r="H655">
        <f>Sensitivity!H19</f>
        <v/>
      </c>
    </row>
    <row r="656">
      <c r="A656" t="inlineStr">
        <is>
          <t>face</t>
        </is>
      </c>
      <c r="B656" t="inlineStr">
        <is>
          <t>epic</t>
        </is>
      </c>
      <c r="C656" t="n">
        <v>1</v>
      </c>
      <c r="D656" t="inlineStr">
        <is>
          <t>Final Damage %</t>
        </is>
      </c>
      <c r="E656" t="n">
        <v>3</v>
      </c>
      <c r="F656" t="n">
        <v>1</v>
      </c>
      <c r="G656" t="b">
        <v>1</v>
      </c>
      <c r="H656">
        <f>Sensitivity!H12</f>
        <v/>
      </c>
    </row>
    <row r="657">
      <c r="A657" t="inlineStr">
        <is>
          <t>face</t>
        </is>
      </c>
      <c r="B657" t="inlineStr">
        <is>
          <t>epic</t>
        </is>
      </c>
      <c r="C657" t="n">
        <v>2</v>
      </c>
      <c r="D657" t="inlineStr">
        <is>
          <t>Final Damage %</t>
        </is>
      </c>
      <c r="E657" t="n">
        <v>3</v>
      </c>
      <c r="F657" t="n">
        <v>0.24</v>
      </c>
      <c r="G657" t="b">
        <v>1</v>
      </c>
      <c r="H657">
        <f>Sensitivity!H12</f>
        <v/>
      </c>
    </row>
    <row r="658">
      <c r="A658" t="inlineStr">
        <is>
          <t>face</t>
        </is>
      </c>
      <c r="B658" t="inlineStr">
        <is>
          <t>epic</t>
        </is>
      </c>
      <c r="C658" t="n">
        <v>3</v>
      </c>
      <c r="D658" t="inlineStr">
        <is>
          <t>Final Damage %</t>
        </is>
      </c>
      <c r="E658" t="n">
        <v>3</v>
      </c>
      <c r="F658" t="n">
        <v>0.08</v>
      </c>
      <c r="G658" t="b">
        <v>1</v>
      </c>
      <c r="H658">
        <f>Sensitivity!H12</f>
        <v/>
      </c>
    </row>
    <row r="659">
      <c r="A659" t="inlineStr">
        <is>
          <t>face</t>
        </is>
      </c>
      <c r="B659" t="inlineStr">
        <is>
          <t>unique</t>
        </is>
      </c>
      <c r="C659" t="n">
        <v>1</v>
      </c>
      <c r="D659" t="inlineStr">
        <is>
          <t>Final Damage %</t>
        </is>
      </c>
      <c r="E659" t="n">
        <v>5</v>
      </c>
      <c r="F659" t="n">
        <v>1</v>
      </c>
      <c r="G659" t="b">
        <v>1</v>
      </c>
      <c r="H659">
        <f>Sensitivity!H12</f>
        <v/>
      </c>
    </row>
    <row r="660">
      <c r="A660" t="inlineStr">
        <is>
          <t>face</t>
        </is>
      </c>
      <c r="B660" t="inlineStr">
        <is>
          <t>unique</t>
        </is>
      </c>
      <c r="C660" t="n">
        <v>2</v>
      </c>
      <c r="D660" t="inlineStr">
        <is>
          <t>Final Damage %</t>
        </is>
      </c>
      <c r="E660" t="n">
        <v>5</v>
      </c>
      <c r="F660" t="n">
        <v>0.24</v>
      </c>
      <c r="G660" t="b">
        <v>1</v>
      </c>
      <c r="H660">
        <f>Sensitivity!H12</f>
        <v/>
      </c>
    </row>
    <row r="661">
      <c r="A661" t="inlineStr">
        <is>
          <t>face</t>
        </is>
      </c>
      <c r="B661" t="inlineStr">
        <is>
          <t>unique</t>
        </is>
      </c>
      <c r="C661" t="n">
        <v>2</v>
      </c>
      <c r="D661" t="inlineStr">
        <is>
          <t>Final Damage %</t>
        </is>
      </c>
      <c r="E661" t="n">
        <v>3</v>
      </c>
      <c r="F661" t="n">
        <v>0.76</v>
      </c>
      <c r="G661" t="b">
        <v>0</v>
      </c>
      <c r="H661">
        <f>Sensitivity!H12</f>
        <v/>
      </c>
    </row>
    <row r="662">
      <c r="A662" t="inlineStr">
        <is>
          <t>face</t>
        </is>
      </c>
      <c r="B662" t="inlineStr">
        <is>
          <t>unique</t>
        </is>
      </c>
      <c r="C662" t="n">
        <v>3</v>
      </c>
      <c r="D662" t="inlineStr">
        <is>
          <t>Final Damage %</t>
        </is>
      </c>
      <c r="E662" t="n">
        <v>5</v>
      </c>
      <c r="F662" t="n">
        <v>0.08</v>
      </c>
      <c r="G662" t="b">
        <v>1</v>
      </c>
      <c r="H662">
        <f>Sensitivity!H12</f>
        <v/>
      </c>
    </row>
    <row r="663">
      <c r="A663" t="inlineStr">
        <is>
          <t>face</t>
        </is>
      </c>
      <c r="B663" t="inlineStr">
        <is>
          <t>unique</t>
        </is>
      </c>
      <c r="C663" t="n">
        <v>3</v>
      </c>
      <c r="D663" t="inlineStr">
        <is>
          <t>Final Damage %</t>
        </is>
      </c>
      <c r="E663" t="n">
        <v>3</v>
      </c>
      <c r="F663" t="n">
        <v>0.92</v>
      </c>
      <c r="G663" t="b">
        <v>0</v>
      </c>
      <c r="H663">
        <f>Sensitivity!H12</f>
        <v/>
      </c>
    </row>
    <row r="664">
      <c r="A664" t="inlineStr">
        <is>
          <t>face</t>
        </is>
      </c>
      <c r="B664" t="inlineStr">
        <is>
          <t>legendary</t>
        </is>
      </c>
      <c r="C664" t="n">
        <v>1</v>
      </c>
      <c r="D664" t="inlineStr">
        <is>
          <t>Final Damage %</t>
        </is>
      </c>
      <c r="E664" t="n">
        <v>8</v>
      </c>
      <c r="F664" t="n">
        <v>1</v>
      </c>
      <c r="G664" t="b">
        <v>1</v>
      </c>
      <c r="H664">
        <f>Sensitivity!H12</f>
        <v/>
      </c>
    </row>
    <row r="665">
      <c r="A665" t="inlineStr">
        <is>
          <t>face</t>
        </is>
      </c>
      <c r="B665" t="inlineStr">
        <is>
          <t>legendary</t>
        </is>
      </c>
      <c r="C665" t="n">
        <v>2</v>
      </c>
      <c r="D665" t="inlineStr">
        <is>
          <t>Final Damage %</t>
        </is>
      </c>
      <c r="E665" t="n">
        <v>8</v>
      </c>
      <c r="F665" t="n">
        <v>0.24</v>
      </c>
      <c r="G665" t="b">
        <v>1</v>
      </c>
      <c r="H665">
        <f>Sensitivity!H12</f>
        <v/>
      </c>
    </row>
    <row r="666">
      <c r="A666" t="inlineStr">
        <is>
          <t>face</t>
        </is>
      </c>
      <c r="B666" t="inlineStr">
        <is>
          <t>legendary</t>
        </is>
      </c>
      <c r="C666" t="n">
        <v>2</v>
      </c>
      <c r="D666" t="inlineStr">
        <is>
          <t>Final Damage %</t>
        </is>
      </c>
      <c r="E666" t="n">
        <v>5</v>
      </c>
      <c r="F666" t="n">
        <v>0.76</v>
      </c>
      <c r="G666" t="b">
        <v>0</v>
      </c>
      <c r="H666">
        <f>Sensitivity!H12</f>
        <v/>
      </c>
    </row>
    <row r="667">
      <c r="A667" t="inlineStr">
        <is>
          <t>face</t>
        </is>
      </c>
      <c r="B667" t="inlineStr">
        <is>
          <t>legendary</t>
        </is>
      </c>
      <c r="C667" t="n">
        <v>3</v>
      </c>
      <c r="D667" t="inlineStr">
        <is>
          <t>Final Damage %</t>
        </is>
      </c>
      <c r="E667" t="n">
        <v>8</v>
      </c>
      <c r="F667" t="n">
        <v>0.08</v>
      </c>
      <c r="G667" t="b">
        <v>1</v>
      </c>
      <c r="H667">
        <f>Sensitivity!H12</f>
        <v/>
      </c>
    </row>
    <row r="668">
      <c r="A668" t="inlineStr">
        <is>
          <t>face</t>
        </is>
      </c>
      <c r="B668" t="inlineStr">
        <is>
          <t>legendary</t>
        </is>
      </c>
      <c r="C668" t="n">
        <v>3</v>
      </c>
      <c r="D668" t="inlineStr">
        <is>
          <t>Final Damage %</t>
        </is>
      </c>
      <c r="E668" t="n">
        <v>5</v>
      </c>
      <c r="F668" t="n">
        <v>0.92</v>
      </c>
      <c r="G668" t="b">
        <v>0</v>
      </c>
      <c r="H668">
        <f>Sensitivity!H12</f>
        <v/>
      </c>
    </row>
    <row r="669">
      <c r="A669" t="inlineStr">
        <is>
          <t>face</t>
        </is>
      </c>
      <c r="B669" t="inlineStr">
        <is>
          <t>mystic</t>
        </is>
      </c>
      <c r="C669" t="n">
        <v>1</v>
      </c>
      <c r="D669" t="inlineStr">
        <is>
          <t>Final Damage %</t>
        </is>
      </c>
      <c r="E669" t="n">
        <v>12</v>
      </c>
      <c r="F669" t="n">
        <v>1</v>
      </c>
      <c r="G669" t="b">
        <v>1</v>
      </c>
      <c r="H669">
        <f>Sensitivity!H12</f>
        <v/>
      </c>
    </row>
    <row r="670">
      <c r="A670" t="inlineStr">
        <is>
          <t>face</t>
        </is>
      </c>
      <c r="B670" t="inlineStr">
        <is>
          <t>mystic</t>
        </is>
      </c>
      <c r="C670" t="n">
        <v>2</v>
      </c>
      <c r="D670" t="inlineStr">
        <is>
          <t>Final Damage %</t>
        </is>
      </c>
      <c r="E670" t="n">
        <v>12</v>
      </c>
      <c r="F670" t="n">
        <v>0.24</v>
      </c>
      <c r="G670" t="b">
        <v>1</v>
      </c>
      <c r="H670">
        <f>Sensitivity!H12</f>
        <v/>
      </c>
    </row>
    <row r="671">
      <c r="A671" t="inlineStr">
        <is>
          <t>face</t>
        </is>
      </c>
      <c r="B671" t="inlineStr">
        <is>
          <t>mystic</t>
        </is>
      </c>
      <c r="C671" t="n">
        <v>2</v>
      </c>
      <c r="D671" t="inlineStr">
        <is>
          <t>Final Damage %</t>
        </is>
      </c>
      <c r="E671" t="n">
        <v>8</v>
      </c>
      <c r="F671" t="n">
        <v>0.76</v>
      </c>
      <c r="G671" t="b">
        <v>0</v>
      </c>
      <c r="H671">
        <f>Sensitivity!H12</f>
        <v/>
      </c>
    </row>
    <row r="672">
      <c r="A672" t="inlineStr">
        <is>
          <t>face</t>
        </is>
      </c>
      <c r="B672" t="inlineStr">
        <is>
          <t>mystic</t>
        </is>
      </c>
      <c r="C672" t="n">
        <v>3</v>
      </c>
      <c r="D672" t="inlineStr">
        <is>
          <t>Final Damage %</t>
        </is>
      </c>
      <c r="E672" t="n">
        <v>12</v>
      </c>
      <c r="F672" t="n">
        <v>0.08</v>
      </c>
      <c r="G672" t="b">
        <v>1</v>
      </c>
      <c r="H672">
        <f>Sensitivity!H12</f>
        <v/>
      </c>
    </row>
    <row r="673">
      <c r="A673" t="inlineStr">
        <is>
          <t>face</t>
        </is>
      </c>
      <c r="B673" t="inlineStr">
        <is>
          <t>mystic</t>
        </is>
      </c>
      <c r="C673" t="n">
        <v>3</v>
      </c>
      <c r="D673" t="inlineStr">
        <is>
          <t>Final Damage %</t>
        </is>
      </c>
      <c r="E673" t="n">
        <v>8</v>
      </c>
      <c r="F673" t="n">
        <v>0.92</v>
      </c>
      <c r="G673" t="b">
        <v>0</v>
      </c>
      <c r="H673">
        <f>Sensitivity!H12</f>
        <v/>
      </c>
    </row>
    <row r="674">
      <c r="A674" t="inlineStr">
        <is>
          <t>earrings</t>
        </is>
      </c>
      <c r="B674" t="inlineStr">
        <is>
          <t>epic</t>
        </is>
      </c>
      <c r="C674" t="n">
        <v>1</v>
      </c>
      <c r="D674" t="inlineStr">
        <is>
          <t>Skill Damage %</t>
        </is>
      </c>
      <c r="E674" t="n">
        <v>8</v>
      </c>
      <c r="F674" t="n">
        <v>1</v>
      </c>
      <c r="G674" t="b">
        <v>1</v>
      </c>
      <c r="H674">
        <f>Sensitivity!H20</f>
        <v/>
      </c>
    </row>
    <row r="675">
      <c r="A675" t="inlineStr">
        <is>
          <t>earrings</t>
        </is>
      </c>
      <c r="B675" t="inlineStr">
        <is>
          <t>epic</t>
        </is>
      </c>
      <c r="C675" t="n">
        <v>2</v>
      </c>
      <c r="D675" t="inlineStr">
        <is>
          <t>Skill Damage %</t>
        </is>
      </c>
      <c r="E675" t="n">
        <v>8</v>
      </c>
      <c r="F675" t="n">
        <v>0.24</v>
      </c>
      <c r="G675" t="b">
        <v>1</v>
      </c>
      <c r="H675">
        <f>Sensitivity!H20</f>
        <v/>
      </c>
    </row>
    <row r="676">
      <c r="A676" t="inlineStr">
        <is>
          <t>earrings</t>
        </is>
      </c>
      <c r="B676" t="inlineStr">
        <is>
          <t>epic</t>
        </is>
      </c>
      <c r="C676" t="n">
        <v>3</v>
      </c>
      <c r="D676" t="inlineStr">
        <is>
          <t>Skill Damage %</t>
        </is>
      </c>
      <c r="E676" t="n">
        <v>8</v>
      </c>
      <c r="F676" t="n">
        <v>0.08</v>
      </c>
      <c r="G676" t="b">
        <v>1</v>
      </c>
      <c r="H676">
        <f>Sensitivity!H20</f>
        <v/>
      </c>
    </row>
    <row r="677">
      <c r="A677" t="inlineStr">
        <is>
          <t>earrings</t>
        </is>
      </c>
      <c r="B677" t="inlineStr">
        <is>
          <t>unique</t>
        </is>
      </c>
      <c r="C677" t="n">
        <v>1</v>
      </c>
      <c r="D677" t="inlineStr">
        <is>
          <t>Skill Damage %</t>
        </is>
      </c>
      <c r="E677" t="n">
        <v>14</v>
      </c>
      <c r="F677" t="n">
        <v>1</v>
      </c>
      <c r="G677" t="b">
        <v>1</v>
      </c>
      <c r="H677">
        <f>Sensitivity!H20</f>
        <v/>
      </c>
    </row>
    <row r="678">
      <c r="A678" t="inlineStr">
        <is>
          <t>earrings</t>
        </is>
      </c>
      <c r="B678" t="inlineStr">
        <is>
          <t>unique</t>
        </is>
      </c>
      <c r="C678" t="n">
        <v>2</v>
      </c>
      <c r="D678" t="inlineStr">
        <is>
          <t>Skill Damage %</t>
        </is>
      </c>
      <c r="E678" t="n">
        <v>14</v>
      </c>
      <c r="F678" t="n">
        <v>0.24</v>
      </c>
      <c r="G678" t="b">
        <v>1</v>
      </c>
      <c r="H678">
        <f>Sensitivity!H20</f>
        <v/>
      </c>
    </row>
    <row r="679">
      <c r="A679" t="inlineStr">
        <is>
          <t>earrings</t>
        </is>
      </c>
      <c r="B679" t="inlineStr">
        <is>
          <t>unique</t>
        </is>
      </c>
      <c r="C679" t="n">
        <v>2</v>
      </c>
      <c r="D679" t="inlineStr">
        <is>
          <t>Skill Damage %</t>
        </is>
      </c>
      <c r="E679" t="n">
        <v>8</v>
      </c>
      <c r="F679" t="n">
        <v>0.76</v>
      </c>
      <c r="G679" t="b">
        <v>0</v>
      </c>
      <c r="H679">
        <f>Sensitivity!H20</f>
        <v/>
      </c>
    </row>
    <row r="680">
      <c r="A680" t="inlineStr">
        <is>
          <t>earrings</t>
        </is>
      </c>
      <c r="B680" t="inlineStr">
        <is>
          <t>unique</t>
        </is>
      </c>
      <c r="C680" t="n">
        <v>3</v>
      </c>
      <c r="D680" t="inlineStr">
        <is>
          <t>Skill Damage %</t>
        </is>
      </c>
      <c r="E680" t="n">
        <v>14</v>
      </c>
      <c r="F680" t="n">
        <v>0.08</v>
      </c>
      <c r="G680" t="b">
        <v>1</v>
      </c>
      <c r="H680">
        <f>Sensitivity!H20</f>
        <v/>
      </c>
    </row>
    <row r="681">
      <c r="A681" t="inlineStr">
        <is>
          <t>earrings</t>
        </is>
      </c>
      <c r="B681" t="inlineStr">
        <is>
          <t>unique</t>
        </is>
      </c>
      <c r="C681" t="n">
        <v>3</v>
      </c>
      <c r="D681" t="inlineStr">
        <is>
          <t>Skill Damage %</t>
        </is>
      </c>
      <c r="E681" t="n">
        <v>8</v>
      </c>
      <c r="F681" t="n">
        <v>0.92</v>
      </c>
      <c r="G681" t="b">
        <v>0</v>
      </c>
      <c r="H681">
        <f>Sensitivity!H20</f>
        <v/>
      </c>
    </row>
    <row r="682">
      <c r="A682" t="inlineStr">
        <is>
          <t>earrings</t>
        </is>
      </c>
      <c r="B682" t="inlineStr">
        <is>
          <t>legendary</t>
        </is>
      </c>
      <c r="C682" t="n">
        <v>1</v>
      </c>
      <c r="D682" t="inlineStr">
        <is>
          <t>Skill Damage %</t>
        </is>
      </c>
      <c r="E682" t="n">
        <v>21</v>
      </c>
      <c r="F682" t="n">
        <v>1</v>
      </c>
      <c r="G682" t="b">
        <v>1</v>
      </c>
      <c r="H682">
        <f>Sensitivity!H20</f>
        <v/>
      </c>
    </row>
    <row r="683">
      <c r="A683" t="inlineStr">
        <is>
          <t>earrings</t>
        </is>
      </c>
      <c r="B683" t="inlineStr">
        <is>
          <t>legendary</t>
        </is>
      </c>
      <c r="C683" t="n">
        <v>2</v>
      </c>
      <c r="D683" t="inlineStr">
        <is>
          <t>Skill Damage %</t>
        </is>
      </c>
      <c r="E683" t="n">
        <v>21</v>
      </c>
      <c r="F683" t="n">
        <v>0.24</v>
      </c>
      <c r="G683" t="b">
        <v>1</v>
      </c>
      <c r="H683">
        <f>Sensitivity!H20</f>
        <v/>
      </c>
    </row>
    <row r="684">
      <c r="A684" t="inlineStr">
        <is>
          <t>earrings</t>
        </is>
      </c>
      <c r="B684" t="inlineStr">
        <is>
          <t>legendary</t>
        </is>
      </c>
      <c r="C684" t="n">
        <v>2</v>
      </c>
      <c r="D684" t="inlineStr">
        <is>
          <t>Skill Damage %</t>
        </is>
      </c>
      <c r="E684" t="n">
        <v>14</v>
      </c>
      <c r="F684" t="n">
        <v>0.76</v>
      </c>
      <c r="G684" t="b">
        <v>0</v>
      </c>
      <c r="H684">
        <f>Sensitivity!H20</f>
        <v/>
      </c>
    </row>
    <row r="685">
      <c r="A685" t="inlineStr">
        <is>
          <t>earrings</t>
        </is>
      </c>
      <c r="B685" t="inlineStr">
        <is>
          <t>legendary</t>
        </is>
      </c>
      <c r="C685" t="n">
        <v>3</v>
      </c>
      <c r="D685" t="inlineStr">
        <is>
          <t>Skill Damage %</t>
        </is>
      </c>
      <c r="E685" t="n">
        <v>21</v>
      </c>
      <c r="F685" t="n">
        <v>0.08</v>
      </c>
      <c r="G685" t="b">
        <v>1</v>
      </c>
      <c r="H685">
        <f>Sensitivity!H20</f>
        <v/>
      </c>
    </row>
    <row r="686">
      <c r="A686" t="inlineStr">
        <is>
          <t>earrings</t>
        </is>
      </c>
      <c r="B686" t="inlineStr">
        <is>
          <t>legendary</t>
        </is>
      </c>
      <c r="C686" t="n">
        <v>3</v>
      </c>
      <c r="D686" t="inlineStr">
        <is>
          <t>Skill Damage %</t>
        </is>
      </c>
      <c r="E686" t="n">
        <v>14</v>
      </c>
      <c r="F686" t="n">
        <v>0.92</v>
      </c>
      <c r="G686" t="b">
        <v>0</v>
      </c>
      <c r="H686">
        <f>Sensitivity!H20</f>
        <v/>
      </c>
    </row>
    <row r="687">
      <c r="A687" t="inlineStr">
        <is>
          <t>earrings</t>
        </is>
      </c>
      <c r="B687" t="inlineStr">
        <is>
          <t>mystic</t>
        </is>
      </c>
      <c r="C687" t="n">
        <v>1</v>
      </c>
      <c r="D687" t="inlineStr">
        <is>
          <t>Skill Damage %</t>
        </is>
      </c>
      <c r="E687" t="n">
        <v>30</v>
      </c>
      <c r="F687" t="n">
        <v>1</v>
      </c>
      <c r="G687" t="b">
        <v>1</v>
      </c>
      <c r="H687">
        <f>Sensitivity!H20</f>
        <v/>
      </c>
    </row>
    <row r="688">
      <c r="A688" t="inlineStr">
        <is>
          <t>earrings</t>
        </is>
      </c>
      <c r="B688" t="inlineStr">
        <is>
          <t>mystic</t>
        </is>
      </c>
      <c r="C688" t="n">
        <v>2</v>
      </c>
      <c r="D688" t="inlineStr">
        <is>
          <t>Skill Damage %</t>
        </is>
      </c>
      <c r="E688" t="n">
        <v>30</v>
      </c>
      <c r="F688" t="n">
        <v>0.24</v>
      </c>
      <c r="G688" t="b">
        <v>1</v>
      </c>
      <c r="H688">
        <f>Sensitivity!H20</f>
        <v/>
      </c>
    </row>
    <row r="689">
      <c r="A689" t="inlineStr">
        <is>
          <t>earrings</t>
        </is>
      </c>
      <c r="B689" t="inlineStr">
        <is>
          <t>mystic</t>
        </is>
      </c>
      <c r="C689" t="n">
        <v>2</v>
      </c>
      <c r="D689" t="inlineStr">
        <is>
          <t>Skill Damage %</t>
        </is>
      </c>
      <c r="E689" t="n">
        <v>21</v>
      </c>
      <c r="F689" t="n">
        <v>0.76</v>
      </c>
      <c r="G689" t="b">
        <v>0</v>
      </c>
      <c r="H689">
        <f>Sensitivity!H20</f>
        <v/>
      </c>
    </row>
    <row r="690">
      <c r="A690" t="inlineStr">
        <is>
          <t>earrings</t>
        </is>
      </c>
      <c r="B690" t="inlineStr">
        <is>
          <t>mystic</t>
        </is>
      </c>
      <c r="C690" t="n">
        <v>3</v>
      </c>
      <c r="D690" t="inlineStr">
        <is>
          <t>Skill Damage %</t>
        </is>
      </c>
      <c r="E690" t="n">
        <v>30</v>
      </c>
      <c r="F690" t="n">
        <v>0.08</v>
      </c>
      <c r="G690" t="b">
        <v>1</v>
      </c>
      <c r="H690">
        <f>Sensitivity!H20</f>
        <v/>
      </c>
    </row>
    <row r="691">
      <c r="A691" t="inlineStr">
        <is>
          <t>earrings</t>
        </is>
      </c>
      <c r="B691" t="inlineStr">
        <is>
          <t>mystic</t>
        </is>
      </c>
      <c r="C691" t="n">
        <v>3</v>
      </c>
      <c r="D691" t="inlineStr">
        <is>
          <t>Skill Damage %</t>
        </is>
      </c>
      <c r="E691" t="n">
        <v>21</v>
      </c>
      <c r="F691" t="n">
        <v>0.92</v>
      </c>
      <c r="G691" t="b">
        <v>0</v>
      </c>
      <c r="H691">
        <f>Sensitivity!H20</f>
        <v/>
      </c>
    </row>
    <row r="692">
      <c r="A692" t="inlineStr">
        <is>
          <t>pocket</t>
        </is>
      </c>
      <c r="B692" t="inlineStr">
        <is>
          <t>epic</t>
        </is>
      </c>
      <c r="C692" t="n">
        <v>1</v>
      </c>
      <c r="D692" t="inlineStr">
        <is>
          <t>Main Stat % per 4 Levels</t>
        </is>
      </c>
      <c r="E692" t="n">
        <v>0.4</v>
      </c>
      <c r="F692" t="n">
        <v>1</v>
      </c>
      <c r="G692" t="b">
        <v>1</v>
      </c>
      <c r="H692">
        <f>Sensitivity!H6*INT(Inputs!$B$3/4)</f>
        <v/>
      </c>
    </row>
    <row r="693">
      <c r="A693" t="inlineStr">
        <is>
          <t>pocket</t>
        </is>
      </c>
      <c r="B693" t="inlineStr">
        <is>
          <t>epic</t>
        </is>
      </c>
      <c r="C693" t="n">
        <v>2</v>
      </c>
      <c r="D693" t="inlineStr">
        <is>
          <t>Main Stat % per 4 Levels</t>
        </is>
      </c>
      <c r="E693" t="n">
        <v>0.4</v>
      </c>
      <c r="F693" t="n">
        <v>0.24</v>
      </c>
      <c r="G693" t="b">
        <v>1</v>
      </c>
      <c r="H693">
        <f>Sensitivity!H6*INT(Inputs!$B$3/4)</f>
        <v/>
      </c>
    </row>
    <row r="694">
      <c r="A694" t="inlineStr">
        <is>
          <t>pocket</t>
        </is>
      </c>
      <c r="B694" t="inlineStr">
        <is>
          <t>epic</t>
        </is>
      </c>
      <c r="C694" t="n">
        <v>3</v>
      </c>
      <c r="D694" t="inlineStr">
        <is>
          <t>Main Stat % per 4 Levels</t>
        </is>
      </c>
      <c r="E694" t="n">
        <v>0.4</v>
      </c>
      <c r="F694" t="n">
        <v>0.08</v>
      </c>
      <c r="G694" t="b">
        <v>1</v>
      </c>
      <c r="H694">
        <f>Sensitivity!H6*INT(Inputs!$B$3/4)</f>
        <v/>
      </c>
    </row>
    <row r="695">
      <c r="A695" t="inlineStr">
        <is>
          <t>pocket</t>
        </is>
      </c>
      <c r="B695" t="inlineStr">
        <is>
          <t>unique</t>
        </is>
      </c>
      <c r="C695" t="n">
        <v>1</v>
      </c>
      <c r="D695" t="inlineStr">
        <is>
          <t>Main Stat % per 4 Levels</t>
        </is>
      </c>
      <c r="E695" t="n">
        <v>0.6</v>
      </c>
      <c r="F695" t="n">
        <v>1</v>
      </c>
      <c r="G695" t="b">
        <v>1</v>
      </c>
      <c r="H695">
        <f>Sensitivity!H6*INT(Inputs!$B$3/4)</f>
        <v/>
      </c>
    </row>
    <row r="696">
      <c r="A696" t="inlineStr">
        <is>
          <t>pocket</t>
        </is>
      </c>
      <c r="B696" t="inlineStr">
        <is>
          <t>unique</t>
        </is>
      </c>
      <c r="C696" t="n">
        <v>2</v>
      </c>
      <c r="D696" t="inlineStr">
        <is>
          <t>Main Stat % per 4 Levels</t>
        </is>
      </c>
      <c r="E696" t="n">
        <v>0.6</v>
      </c>
      <c r="F696" t="n">
        <v>0.24</v>
      </c>
      <c r="G696" t="b">
        <v>1</v>
      </c>
      <c r="H696">
        <f>Sensitivity!H6*INT(Inputs!$B$3/4)</f>
        <v/>
      </c>
    </row>
    <row r="697">
      <c r="A697" t="inlineStr">
        <is>
          <t>pocket</t>
        </is>
      </c>
      <c r="B697" t="inlineStr">
        <is>
          <t>unique</t>
        </is>
      </c>
      <c r="C697" t="n">
        <v>2</v>
      </c>
      <c r="D697" t="inlineStr">
        <is>
          <t>Main Stat % per 4 Levels</t>
        </is>
      </c>
      <c r="E697" t="n">
        <v>0.4</v>
      </c>
      <c r="F697" t="n">
        <v>0.76</v>
      </c>
      <c r="G697" t="b">
        <v>0</v>
      </c>
      <c r="H697">
        <f>Sensitivity!H6*INT(Inputs!$B$3/4)</f>
        <v/>
      </c>
    </row>
    <row r="698">
      <c r="A698" t="inlineStr">
        <is>
          <t>pocket</t>
        </is>
      </c>
      <c r="B698" t="inlineStr">
        <is>
          <t>unique</t>
        </is>
      </c>
      <c r="C698" t="n">
        <v>3</v>
      </c>
      <c r="D698" t="inlineStr">
        <is>
          <t>Main Stat % per 4 Levels</t>
        </is>
      </c>
      <c r="E698" t="n">
        <v>0.6</v>
      </c>
      <c r="F698" t="n">
        <v>0.08</v>
      </c>
      <c r="G698" t="b">
        <v>1</v>
      </c>
      <c r="H698">
        <f>Sensitivity!H6*INT(Inputs!$B$3/4)</f>
        <v/>
      </c>
    </row>
    <row r="699">
      <c r="A699" t="inlineStr">
        <is>
          <t>pocket</t>
        </is>
      </c>
      <c r="B699" t="inlineStr">
        <is>
          <t>unique</t>
        </is>
      </c>
      <c r="C699" t="n">
        <v>3</v>
      </c>
      <c r="D699" t="inlineStr">
        <is>
          <t>Main Stat % per 4 Levels</t>
        </is>
      </c>
      <c r="E699" t="n">
        <v>0.4</v>
      </c>
      <c r="F699" t="n">
        <v>0.92</v>
      </c>
      <c r="G699" t="b">
        <v>0</v>
      </c>
      <c r="H699">
        <f>Sensitivity!H6*INT(Inputs!$B$3/4)</f>
        <v/>
      </c>
    </row>
    <row r="700">
      <c r="A700" t="inlineStr">
        <is>
          <t>pocket</t>
        </is>
      </c>
      <c r="B700" t="inlineStr">
        <is>
          <t>legendary</t>
        </is>
      </c>
      <c r="C700" t="n">
        <v>1</v>
      </c>
      <c r="D700" t="inlineStr">
        <is>
          <t>Main Stat % per 4 Levels</t>
        </is>
      </c>
      <c r="E700" t="n">
        <v>0.8</v>
      </c>
      <c r="F700" t="n">
        <v>1</v>
      </c>
      <c r="G700" t="b">
        <v>1</v>
      </c>
      <c r="H700">
        <f>Sensitivity!H6*INT(Inputs!$B$3/4)</f>
        <v/>
      </c>
    </row>
    <row r="701">
      <c r="A701" t="inlineStr">
        <is>
          <t>pocket</t>
        </is>
      </c>
      <c r="B701" t="inlineStr">
        <is>
          <t>legendary</t>
        </is>
      </c>
      <c r="C701" t="n">
        <v>2</v>
      </c>
      <c r="D701" t="inlineStr">
        <is>
          <t>Main Stat % per 4 Levels</t>
        </is>
      </c>
      <c r="E701" t="n">
        <v>0.8</v>
      </c>
      <c r="F701" t="n">
        <v>0.24</v>
      </c>
      <c r="G701" t="b">
        <v>1</v>
      </c>
      <c r="H701">
        <f>Sensitivity!H6*INT(Inputs!$B$3/4)</f>
        <v/>
      </c>
    </row>
    <row r="702">
      <c r="A702" t="inlineStr">
        <is>
          <t>pocket</t>
        </is>
      </c>
      <c r="B702" t="inlineStr">
        <is>
          <t>legendary</t>
        </is>
      </c>
      <c r="C702" t="n">
        <v>2</v>
      </c>
      <c r="D702" t="inlineStr">
        <is>
          <t>Main Stat % per 4 Levels</t>
        </is>
      </c>
      <c r="E702" t="n">
        <v>0.6</v>
      </c>
      <c r="F702" t="n">
        <v>0.76</v>
      </c>
      <c r="G702" t="b">
        <v>0</v>
      </c>
      <c r="H702">
        <f>Sensitivity!H6*INT(Inputs!$B$3/4)</f>
        <v/>
      </c>
    </row>
    <row r="703">
      <c r="A703" t="inlineStr">
        <is>
          <t>pocket</t>
        </is>
      </c>
      <c r="B703" t="inlineStr">
        <is>
          <t>legendary</t>
        </is>
      </c>
      <c r="C703" t="n">
        <v>3</v>
      </c>
      <c r="D703" t="inlineStr">
        <is>
          <t>Main Stat % per 4 Levels</t>
        </is>
      </c>
      <c r="E703" t="n">
        <v>0.8</v>
      </c>
      <c r="F703" t="n">
        <v>0.08</v>
      </c>
      <c r="G703" t="b">
        <v>1</v>
      </c>
      <c r="H703">
        <f>Sensitivity!H6*INT(Inputs!$B$3/4)</f>
        <v/>
      </c>
    </row>
    <row r="704">
      <c r="A704" t="inlineStr">
        <is>
          <t>pocket</t>
        </is>
      </c>
      <c r="B704" t="inlineStr">
        <is>
          <t>legendary</t>
        </is>
      </c>
      <c r="C704" t="n">
        <v>3</v>
      </c>
      <c r="D704" t="inlineStr">
        <is>
          <t>Main Stat % per 4 Levels</t>
        </is>
      </c>
      <c r="E704" t="n">
        <v>0.6</v>
      </c>
      <c r="F704" t="n">
        <v>0.92</v>
      </c>
      <c r="G704" t="b">
        <v>0</v>
      </c>
      <c r="H704">
        <f>Sensitivity!H6*INT(Inputs!$B$3/4)</f>
        <v/>
      </c>
    </row>
    <row r="705">
      <c r="A705" t="inlineStr">
        <is>
          <t>pocket</t>
        </is>
      </c>
      <c r="B705" t="inlineStr">
        <is>
          <t>mystic</t>
        </is>
      </c>
      <c r="C705" t="n">
        <v>1</v>
      </c>
      <c r="D705" t="inlineStr">
        <is>
          <t>Main Stat % per 4 Levels</t>
        </is>
      </c>
      <c r="E705" t="n">
        <v>1.2</v>
      </c>
      <c r="F705" t="n">
        <v>1</v>
      </c>
      <c r="G705" t="b">
        <v>1</v>
      </c>
      <c r="H705">
        <f>Sensitivity!H6*INT(Inputs!$B$3/4)</f>
        <v/>
      </c>
    </row>
    <row r="706">
      <c r="A706" t="inlineStr">
        <is>
          <t>pocket</t>
        </is>
      </c>
      <c r="B706" t="inlineStr">
        <is>
          <t>mystic</t>
        </is>
      </c>
      <c r="C706" t="n">
        <v>2</v>
      </c>
      <c r="D706" t="inlineStr">
        <is>
          <t>Main Stat % per 4 Levels</t>
        </is>
      </c>
      <c r="E706" t="n">
        <v>1.2</v>
      </c>
      <c r="F706" t="n">
        <v>0.24</v>
      </c>
      <c r="G706" t="b">
        <v>1</v>
      </c>
      <c r="H706">
        <f>Sensitivity!H6*INT(Inputs!$B$3/4)</f>
        <v/>
      </c>
    </row>
    <row r="707">
      <c r="A707" t="inlineStr">
        <is>
          <t>pocket</t>
        </is>
      </c>
      <c r="B707" t="inlineStr">
        <is>
          <t>mystic</t>
        </is>
      </c>
      <c r="C707" t="n">
        <v>2</v>
      </c>
      <c r="D707" t="inlineStr">
        <is>
          <t>Main Stat % per 4 Levels</t>
        </is>
      </c>
      <c r="E707" t="n">
        <v>0.8</v>
      </c>
      <c r="F707" t="n">
        <v>0.76</v>
      </c>
      <c r="G707" t="b">
        <v>0</v>
      </c>
      <c r="H707">
        <f>Sensitivity!H6*INT(Inputs!$B$3/4)</f>
        <v/>
      </c>
    </row>
    <row r="708">
      <c r="A708" t="inlineStr">
        <is>
          <t>pocket</t>
        </is>
      </c>
      <c r="B708" t="inlineStr">
        <is>
          <t>mystic</t>
        </is>
      </c>
      <c r="C708" t="n">
        <v>3</v>
      </c>
      <c r="D708" t="inlineStr">
        <is>
          <t>Main Stat % per 4 Levels</t>
        </is>
      </c>
      <c r="E708" t="n">
        <v>1.2</v>
      </c>
      <c r="F708" t="n">
        <v>0.08</v>
      </c>
      <c r="G708" t="b">
        <v>1</v>
      </c>
      <c r="H708">
        <f>Sensitivity!H6*INT(Inputs!$B$3/4)</f>
        <v/>
      </c>
    </row>
    <row r="709">
      <c r="A709" t="inlineStr">
        <is>
          <t>pocket</t>
        </is>
      </c>
      <c r="B709" t="inlineStr">
        <is>
          <t>mystic</t>
        </is>
      </c>
      <c r="C709" t="n">
        <v>3</v>
      </c>
      <c r="D709" t="inlineStr">
        <is>
          <t>Main Stat % per 4 Levels</t>
        </is>
      </c>
      <c r="E709" t="n">
        <v>0.8</v>
      </c>
      <c r="F709" t="n">
        <v>0.92</v>
      </c>
      <c r="G709" t="b">
        <v>0</v>
      </c>
      <c r="H709">
        <f>Sensitivity!H6*INT(Inputs!$B$3/4)</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5"/>
  <sheetViews>
    <sheetView workbookViewId="0">
      <pane ySplit="5" topLeftCell="A6" activePane="bottomLeft" state="frozen"/>
      <selection pane="bottomLeft" activeCell="A1" sqref="A1"/>
    </sheetView>
  </sheetViews>
  <sheetFormatPr baseColWidth="8" defaultRowHeight="15"/>
  <cols>
    <col width="12" customWidth="1" min="1" max="1"/>
    <col width="15" customWidth="1" min="2" max="2"/>
    <col width="13" customWidth="1" min="3" max="3"/>
    <col width="18" customWidth="1" min="4" max="4"/>
    <col width="26" customWidth="1" min="5" max="5"/>
    <col width="11" customWidth="1" min="6" max="6"/>
    <col width="26" customWidth="1" min="7" max="7"/>
    <col width="11" customWidth="1" min="8" max="8"/>
    <col width="26" customWidth="1" min="9" max="9"/>
    <col width="11" customWidth="1" min="10" max="10"/>
  </cols>
  <sheetData>
    <row r="1">
      <c r="A1" s="4" t="inlineStr">
        <is>
          <t>Potential Cubes — Current Gear State</t>
        </is>
      </c>
    </row>
    <row r="2">
      <c r="A2" t="inlineStr">
        <is>
          <t>Fill in your actual current gear for every slot/potential-type you want EV results for, then run `python3 tools/potential_cubes_ev.py` — it reads this table plus the live CubeData sheet and computes exact 'expected value of the best roll kept after N rerolls' for all 30 rows (printed + written to a CSV), via a full line1 x line2 x line3 enumeration per rarity/slot rather than a single-roll average.</t>
        </is>
      </c>
    </row>
    <row r="3">
      <c r="A3" t="inlineStr">
        <is>
          <t>Leave a line's Stat as "(none)" if that line isn't rolled yet / doesn't matter.</t>
        </is>
      </c>
    </row>
    <row r="5">
      <c r="A5" s="8" t="inlineStr">
        <is>
          <t>Slot</t>
        </is>
      </c>
      <c r="B5" s="8" t="inlineStr">
        <is>
          <t>Potential Type</t>
        </is>
      </c>
      <c r="C5" s="8" t="inlineStr">
        <is>
          <t>Current Rarity</t>
        </is>
      </c>
      <c r="D5" s="8" t="inlineStr">
        <is>
          <t>Current Pity Count</t>
        </is>
      </c>
      <c r="E5" s="8" t="inlineStr">
        <is>
          <t>Line 1 Stat</t>
        </is>
      </c>
      <c r="F5" s="8" t="inlineStr">
        <is>
          <t>Line 1 Value</t>
        </is>
      </c>
      <c r="G5" s="8" t="inlineStr">
        <is>
          <t>Line 2 Stat</t>
        </is>
      </c>
      <c r="H5" s="8" t="inlineStr">
        <is>
          <t>Line 2 Value</t>
        </is>
      </c>
      <c r="I5" s="8" t="inlineStr">
        <is>
          <t>Line 3 Stat</t>
        </is>
      </c>
      <c r="J5" s="8" t="inlineStr">
        <is>
          <t>Line 3 Value</t>
        </is>
      </c>
    </row>
    <row r="6">
      <c r="A6" t="inlineStr">
        <is>
          <t>head</t>
        </is>
      </c>
      <c r="B6" t="inlineStr">
        <is>
          <t>Potential</t>
        </is>
      </c>
      <c r="C6" t="inlineStr">
        <is>
          <t>normal</t>
        </is>
      </c>
      <c r="D6" t="n">
        <v>0</v>
      </c>
      <c r="E6" t="inlineStr">
        <is>
          <t>(none)</t>
        </is>
      </c>
      <c r="F6" t="n">
        <v>0</v>
      </c>
      <c r="G6" t="inlineStr">
        <is>
          <t>(none)</t>
        </is>
      </c>
      <c r="H6" t="n">
        <v>0</v>
      </c>
      <c r="I6" t="inlineStr">
        <is>
          <t>(none)</t>
        </is>
      </c>
      <c r="J6" t="n">
        <v>0</v>
      </c>
    </row>
    <row r="7">
      <c r="A7" t="inlineStr">
        <is>
          <t>head</t>
        </is>
      </c>
      <c r="B7" t="inlineStr">
        <is>
          <t>Bonus Potential</t>
        </is>
      </c>
      <c r="C7" t="inlineStr">
        <is>
          <t>normal</t>
        </is>
      </c>
      <c r="D7" t="n">
        <v>0</v>
      </c>
      <c r="E7" t="inlineStr">
        <is>
          <t>(none)</t>
        </is>
      </c>
      <c r="F7" t="n">
        <v>0</v>
      </c>
      <c r="G7" t="inlineStr">
        <is>
          <t>(none)</t>
        </is>
      </c>
      <c r="H7" t="n">
        <v>0</v>
      </c>
      <c r="I7" t="inlineStr">
        <is>
          <t>(none)</t>
        </is>
      </c>
      <c r="J7" t="n">
        <v>0</v>
      </c>
    </row>
    <row r="8">
      <c r="A8" t="inlineStr">
        <is>
          <t>cape</t>
        </is>
      </c>
      <c r="B8" t="inlineStr">
        <is>
          <t>Potential</t>
        </is>
      </c>
      <c r="C8" t="inlineStr">
        <is>
          <t>normal</t>
        </is>
      </c>
      <c r="D8" t="n">
        <v>0</v>
      </c>
      <c r="E8" t="inlineStr">
        <is>
          <t>(none)</t>
        </is>
      </c>
      <c r="F8" t="n">
        <v>0</v>
      </c>
      <c r="G8" t="inlineStr">
        <is>
          <t>(none)</t>
        </is>
      </c>
      <c r="H8" t="n">
        <v>0</v>
      </c>
      <c r="I8" t="inlineStr">
        <is>
          <t>(none)</t>
        </is>
      </c>
      <c r="J8" t="n">
        <v>0</v>
      </c>
    </row>
    <row r="9">
      <c r="A9" t="inlineStr">
        <is>
          <t>cape</t>
        </is>
      </c>
      <c r="B9" t="inlineStr">
        <is>
          <t>Bonus Potential</t>
        </is>
      </c>
      <c r="C9" t="inlineStr">
        <is>
          <t>normal</t>
        </is>
      </c>
      <c r="D9" t="n">
        <v>0</v>
      </c>
      <c r="E9" t="inlineStr">
        <is>
          <t>(none)</t>
        </is>
      </c>
      <c r="F9" t="n">
        <v>0</v>
      </c>
      <c r="G9" t="inlineStr">
        <is>
          <t>(none)</t>
        </is>
      </c>
      <c r="H9" t="n">
        <v>0</v>
      </c>
      <c r="I9" t="inlineStr">
        <is>
          <t>(none)</t>
        </is>
      </c>
      <c r="J9" t="n">
        <v>0</v>
      </c>
    </row>
    <row r="10">
      <c r="A10" t="inlineStr">
        <is>
          <t>chest</t>
        </is>
      </c>
      <c r="B10" t="inlineStr">
        <is>
          <t>Potential</t>
        </is>
      </c>
      <c r="C10" t="inlineStr">
        <is>
          <t>normal</t>
        </is>
      </c>
      <c r="D10" t="n">
        <v>0</v>
      </c>
      <c r="E10" t="inlineStr">
        <is>
          <t>(none)</t>
        </is>
      </c>
      <c r="F10" t="n">
        <v>0</v>
      </c>
      <c r="G10" t="inlineStr">
        <is>
          <t>(none)</t>
        </is>
      </c>
      <c r="H10" t="n">
        <v>0</v>
      </c>
      <c r="I10" t="inlineStr">
        <is>
          <t>(none)</t>
        </is>
      </c>
      <c r="J10" t="n">
        <v>0</v>
      </c>
    </row>
    <row r="11">
      <c r="A11" t="inlineStr">
        <is>
          <t>chest</t>
        </is>
      </c>
      <c r="B11" t="inlineStr">
        <is>
          <t>Bonus Potential</t>
        </is>
      </c>
      <c r="C11" t="inlineStr">
        <is>
          <t>normal</t>
        </is>
      </c>
      <c r="D11" t="n">
        <v>0</v>
      </c>
      <c r="E11" t="inlineStr">
        <is>
          <t>(none)</t>
        </is>
      </c>
      <c r="F11" t="n">
        <v>0</v>
      </c>
      <c r="G11" t="inlineStr">
        <is>
          <t>(none)</t>
        </is>
      </c>
      <c r="H11" t="n">
        <v>0</v>
      </c>
      <c r="I11" t="inlineStr">
        <is>
          <t>(none)</t>
        </is>
      </c>
      <c r="J11" t="n">
        <v>0</v>
      </c>
    </row>
    <row r="12">
      <c r="A12" t="inlineStr">
        <is>
          <t>shoulders</t>
        </is>
      </c>
      <c r="B12" t="inlineStr">
        <is>
          <t>Potential</t>
        </is>
      </c>
      <c r="C12" t="inlineStr">
        <is>
          <t>normal</t>
        </is>
      </c>
      <c r="D12" t="n">
        <v>0</v>
      </c>
      <c r="E12" t="inlineStr">
        <is>
          <t>(none)</t>
        </is>
      </c>
      <c r="F12" t="n">
        <v>0</v>
      </c>
      <c r="G12" t="inlineStr">
        <is>
          <t>(none)</t>
        </is>
      </c>
      <c r="H12" t="n">
        <v>0</v>
      </c>
      <c r="I12" t="inlineStr">
        <is>
          <t>(none)</t>
        </is>
      </c>
      <c r="J12" t="n">
        <v>0</v>
      </c>
    </row>
    <row r="13">
      <c r="A13" t="inlineStr">
        <is>
          <t>shoulders</t>
        </is>
      </c>
      <c r="B13" t="inlineStr">
        <is>
          <t>Bonus Potential</t>
        </is>
      </c>
      <c r="C13" t="inlineStr">
        <is>
          <t>normal</t>
        </is>
      </c>
      <c r="D13" t="n">
        <v>0</v>
      </c>
      <c r="E13" t="inlineStr">
        <is>
          <t>(none)</t>
        </is>
      </c>
      <c r="F13" t="n">
        <v>0</v>
      </c>
      <c r="G13" t="inlineStr">
        <is>
          <t>(none)</t>
        </is>
      </c>
      <c r="H13" t="n">
        <v>0</v>
      </c>
      <c r="I13" t="inlineStr">
        <is>
          <t>(none)</t>
        </is>
      </c>
      <c r="J13" t="n">
        <v>0</v>
      </c>
    </row>
    <row r="14">
      <c r="A14" t="inlineStr">
        <is>
          <t>legs</t>
        </is>
      </c>
      <c r="B14" t="inlineStr">
        <is>
          <t>Potential</t>
        </is>
      </c>
      <c r="C14" t="inlineStr">
        <is>
          <t>normal</t>
        </is>
      </c>
      <c r="D14" t="n">
        <v>0</v>
      </c>
      <c r="E14" t="inlineStr">
        <is>
          <t>(none)</t>
        </is>
      </c>
      <c r="F14" t="n">
        <v>0</v>
      </c>
      <c r="G14" t="inlineStr">
        <is>
          <t>(none)</t>
        </is>
      </c>
      <c r="H14" t="n">
        <v>0</v>
      </c>
      <c r="I14" t="inlineStr">
        <is>
          <t>(none)</t>
        </is>
      </c>
      <c r="J14" t="n">
        <v>0</v>
      </c>
    </row>
    <row r="15">
      <c r="A15" t="inlineStr">
        <is>
          <t>legs</t>
        </is>
      </c>
      <c r="B15" t="inlineStr">
        <is>
          <t>Bonus Potential</t>
        </is>
      </c>
      <c r="C15" t="inlineStr">
        <is>
          <t>normal</t>
        </is>
      </c>
      <c r="D15" t="n">
        <v>0</v>
      </c>
      <c r="E15" t="inlineStr">
        <is>
          <t>(none)</t>
        </is>
      </c>
      <c r="F15" t="n">
        <v>0</v>
      </c>
      <c r="G15" t="inlineStr">
        <is>
          <t>(none)</t>
        </is>
      </c>
      <c r="H15" t="n">
        <v>0</v>
      </c>
      <c r="I15" t="inlineStr">
        <is>
          <t>(none)</t>
        </is>
      </c>
      <c r="J15" t="n">
        <v>0</v>
      </c>
    </row>
    <row r="16">
      <c r="A16" t="inlineStr">
        <is>
          <t>belt</t>
        </is>
      </c>
      <c r="B16" t="inlineStr">
        <is>
          <t>Potential</t>
        </is>
      </c>
      <c r="C16" t="inlineStr">
        <is>
          <t>normal</t>
        </is>
      </c>
      <c r="D16" t="n">
        <v>0</v>
      </c>
      <c r="E16" t="inlineStr">
        <is>
          <t>(none)</t>
        </is>
      </c>
      <c r="F16" t="n">
        <v>0</v>
      </c>
      <c r="G16" t="inlineStr">
        <is>
          <t>(none)</t>
        </is>
      </c>
      <c r="H16" t="n">
        <v>0</v>
      </c>
      <c r="I16" t="inlineStr">
        <is>
          <t>(none)</t>
        </is>
      </c>
      <c r="J16" t="n">
        <v>0</v>
      </c>
    </row>
    <row r="17">
      <c r="A17" t="inlineStr">
        <is>
          <t>belt</t>
        </is>
      </c>
      <c r="B17" t="inlineStr">
        <is>
          <t>Bonus Potential</t>
        </is>
      </c>
      <c r="C17" t="inlineStr">
        <is>
          <t>normal</t>
        </is>
      </c>
      <c r="D17" t="n">
        <v>0</v>
      </c>
      <c r="E17" t="inlineStr">
        <is>
          <t>(none)</t>
        </is>
      </c>
      <c r="F17" t="n">
        <v>0</v>
      </c>
      <c r="G17" t="inlineStr">
        <is>
          <t>(none)</t>
        </is>
      </c>
      <c r="H17" t="n">
        <v>0</v>
      </c>
      <c r="I17" t="inlineStr">
        <is>
          <t>(none)</t>
        </is>
      </c>
      <c r="J17" t="n">
        <v>0</v>
      </c>
    </row>
    <row r="18">
      <c r="A18" t="inlineStr">
        <is>
          <t>gloves</t>
        </is>
      </c>
      <c r="B18" t="inlineStr">
        <is>
          <t>Potential</t>
        </is>
      </c>
      <c r="C18" t="inlineStr">
        <is>
          <t>normal</t>
        </is>
      </c>
      <c r="D18" t="n">
        <v>0</v>
      </c>
      <c r="E18" t="inlineStr">
        <is>
          <t>(none)</t>
        </is>
      </c>
      <c r="F18" t="n">
        <v>0</v>
      </c>
      <c r="G18" t="inlineStr">
        <is>
          <t>(none)</t>
        </is>
      </c>
      <c r="H18" t="n">
        <v>0</v>
      </c>
      <c r="I18" t="inlineStr">
        <is>
          <t>(none)</t>
        </is>
      </c>
      <c r="J18" t="n">
        <v>0</v>
      </c>
    </row>
    <row r="19">
      <c r="A19" t="inlineStr">
        <is>
          <t>gloves</t>
        </is>
      </c>
      <c r="B19" t="inlineStr">
        <is>
          <t>Bonus Potential</t>
        </is>
      </c>
      <c r="C19" t="inlineStr">
        <is>
          <t>normal</t>
        </is>
      </c>
      <c r="D19" t="n">
        <v>0</v>
      </c>
      <c r="E19" t="inlineStr">
        <is>
          <t>(none)</t>
        </is>
      </c>
      <c r="F19" t="n">
        <v>0</v>
      </c>
      <c r="G19" t="inlineStr">
        <is>
          <t>(none)</t>
        </is>
      </c>
      <c r="H19" t="n">
        <v>0</v>
      </c>
      <c r="I19" t="inlineStr">
        <is>
          <t>(none)</t>
        </is>
      </c>
      <c r="J19" t="n">
        <v>0</v>
      </c>
    </row>
    <row r="20">
      <c r="A20" t="inlineStr">
        <is>
          <t>boots</t>
        </is>
      </c>
      <c r="B20" t="inlineStr">
        <is>
          <t>Potential</t>
        </is>
      </c>
      <c r="C20" t="inlineStr">
        <is>
          <t>normal</t>
        </is>
      </c>
      <c r="D20" t="n">
        <v>0</v>
      </c>
      <c r="E20" t="inlineStr">
        <is>
          <t>(none)</t>
        </is>
      </c>
      <c r="F20" t="n">
        <v>0</v>
      </c>
      <c r="G20" t="inlineStr">
        <is>
          <t>(none)</t>
        </is>
      </c>
      <c r="H20" t="n">
        <v>0</v>
      </c>
      <c r="I20" t="inlineStr">
        <is>
          <t>(none)</t>
        </is>
      </c>
      <c r="J20" t="n">
        <v>0</v>
      </c>
    </row>
    <row r="21">
      <c r="A21" t="inlineStr">
        <is>
          <t>boots</t>
        </is>
      </c>
      <c r="B21" t="inlineStr">
        <is>
          <t>Bonus Potential</t>
        </is>
      </c>
      <c r="C21" t="inlineStr">
        <is>
          <t>normal</t>
        </is>
      </c>
      <c r="D21" t="n">
        <v>0</v>
      </c>
      <c r="E21" t="inlineStr">
        <is>
          <t>(none)</t>
        </is>
      </c>
      <c r="F21" t="n">
        <v>0</v>
      </c>
      <c r="G21" t="inlineStr">
        <is>
          <t>(none)</t>
        </is>
      </c>
      <c r="H21" t="n">
        <v>0</v>
      </c>
      <c r="I21" t="inlineStr">
        <is>
          <t>(none)</t>
        </is>
      </c>
      <c r="J21" t="n">
        <v>0</v>
      </c>
    </row>
    <row r="22">
      <c r="A22" t="inlineStr">
        <is>
          <t>ring</t>
        </is>
      </c>
      <c r="B22" t="inlineStr">
        <is>
          <t>Potential</t>
        </is>
      </c>
      <c r="C22" t="inlineStr">
        <is>
          <t>normal</t>
        </is>
      </c>
      <c r="D22" t="n">
        <v>0</v>
      </c>
      <c r="E22" t="inlineStr">
        <is>
          <t>(none)</t>
        </is>
      </c>
      <c r="F22" t="n">
        <v>0</v>
      </c>
      <c r="G22" t="inlineStr">
        <is>
          <t>(none)</t>
        </is>
      </c>
      <c r="H22" t="n">
        <v>0</v>
      </c>
      <c r="I22" t="inlineStr">
        <is>
          <t>(none)</t>
        </is>
      </c>
      <c r="J22" t="n">
        <v>0</v>
      </c>
    </row>
    <row r="23">
      <c r="A23" t="inlineStr">
        <is>
          <t>ring</t>
        </is>
      </c>
      <c r="B23" t="inlineStr">
        <is>
          <t>Bonus Potential</t>
        </is>
      </c>
      <c r="C23" t="inlineStr">
        <is>
          <t>normal</t>
        </is>
      </c>
      <c r="D23" t="n">
        <v>0</v>
      </c>
      <c r="E23" t="inlineStr">
        <is>
          <t>(none)</t>
        </is>
      </c>
      <c r="F23" t="n">
        <v>0</v>
      </c>
      <c r="G23" t="inlineStr">
        <is>
          <t>(none)</t>
        </is>
      </c>
      <c r="H23" t="n">
        <v>0</v>
      </c>
      <c r="I23" t="inlineStr">
        <is>
          <t>(none)</t>
        </is>
      </c>
      <c r="J23" t="n">
        <v>0</v>
      </c>
    </row>
    <row r="24">
      <c r="A24" t="inlineStr">
        <is>
          <t>neck</t>
        </is>
      </c>
      <c r="B24" t="inlineStr">
        <is>
          <t>Potential</t>
        </is>
      </c>
      <c r="C24" t="inlineStr">
        <is>
          <t>normal</t>
        </is>
      </c>
      <c r="D24" t="n">
        <v>0</v>
      </c>
      <c r="E24" t="inlineStr">
        <is>
          <t>(none)</t>
        </is>
      </c>
      <c r="F24" t="n">
        <v>0</v>
      </c>
      <c r="G24" t="inlineStr">
        <is>
          <t>(none)</t>
        </is>
      </c>
      <c r="H24" t="n">
        <v>0</v>
      </c>
      <c r="I24" t="inlineStr">
        <is>
          <t>(none)</t>
        </is>
      </c>
      <c r="J24" t="n">
        <v>0</v>
      </c>
    </row>
    <row r="25">
      <c r="A25" t="inlineStr">
        <is>
          <t>neck</t>
        </is>
      </c>
      <c r="B25" t="inlineStr">
        <is>
          <t>Bonus Potential</t>
        </is>
      </c>
      <c r="C25" t="inlineStr">
        <is>
          <t>normal</t>
        </is>
      </c>
      <c r="D25" t="n">
        <v>0</v>
      </c>
      <c r="E25" t="inlineStr">
        <is>
          <t>(none)</t>
        </is>
      </c>
      <c r="F25" t="n">
        <v>0</v>
      </c>
      <c r="G25" t="inlineStr">
        <is>
          <t>(none)</t>
        </is>
      </c>
      <c r="H25" t="n">
        <v>0</v>
      </c>
      <c r="I25" t="inlineStr">
        <is>
          <t>(none)</t>
        </is>
      </c>
      <c r="J25" t="n">
        <v>0</v>
      </c>
    </row>
    <row r="26">
      <c r="A26" t="inlineStr">
        <is>
          <t>eye-accessory</t>
        </is>
      </c>
      <c r="B26" t="inlineStr">
        <is>
          <t>Potential</t>
        </is>
      </c>
      <c r="C26" t="inlineStr">
        <is>
          <t>normal</t>
        </is>
      </c>
      <c r="D26" t="n">
        <v>0</v>
      </c>
      <c r="E26" t="inlineStr">
        <is>
          <t>(none)</t>
        </is>
      </c>
      <c r="F26" t="n">
        <v>0</v>
      </c>
      <c r="G26" t="inlineStr">
        <is>
          <t>(none)</t>
        </is>
      </c>
      <c r="H26" t="n">
        <v>0</v>
      </c>
      <c r="I26" t="inlineStr">
        <is>
          <t>(none)</t>
        </is>
      </c>
      <c r="J26" t="n">
        <v>0</v>
      </c>
    </row>
    <row r="27">
      <c r="A27" t="inlineStr">
        <is>
          <t>eye-accessory</t>
        </is>
      </c>
      <c r="B27" t="inlineStr">
        <is>
          <t>Bonus Potential</t>
        </is>
      </c>
      <c r="C27" t="inlineStr">
        <is>
          <t>normal</t>
        </is>
      </c>
      <c r="D27" t="n">
        <v>0</v>
      </c>
      <c r="E27" t="inlineStr">
        <is>
          <t>(none)</t>
        </is>
      </c>
      <c r="F27" t="n">
        <v>0</v>
      </c>
      <c r="G27" t="inlineStr">
        <is>
          <t>(none)</t>
        </is>
      </c>
      <c r="H27" t="n">
        <v>0</v>
      </c>
      <c r="I27" t="inlineStr">
        <is>
          <t>(none)</t>
        </is>
      </c>
      <c r="J27" t="n">
        <v>0</v>
      </c>
    </row>
    <row r="28">
      <c r="A28" t="inlineStr">
        <is>
          <t>ring2</t>
        </is>
      </c>
      <c r="B28" t="inlineStr">
        <is>
          <t>Potential</t>
        </is>
      </c>
      <c r="C28" t="inlineStr">
        <is>
          <t>normal</t>
        </is>
      </c>
      <c r="D28" t="n">
        <v>0</v>
      </c>
      <c r="E28" t="inlineStr">
        <is>
          <t>(none)</t>
        </is>
      </c>
      <c r="F28" t="n">
        <v>0</v>
      </c>
      <c r="G28" t="inlineStr">
        <is>
          <t>(none)</t>
        </is>
      </c>
      <c r="H28" t="n">
        <v>0</v>
      </c>
      <c r="I28" t="inlineStr">
        <is>
          <t>(none)</t>
        </is>
      </c>
      <c r="J28" t="n">
        <v>0</v>
      </c>
    </row>
    <row r="29">
      <c r="A29" t="inlineStr">
        <is>
          <t>ring2</t>
        </is>
      </c>
      <c r="B29" t="inlineStr">
        <is>
          <t>Bonus Potential</t>
        </is>
      </c>
      <c r="C29" t="inlineStr">
        <is>
          <t>normal</t>
        </is>
      </c>
      <c r="D29" t="n">
        <v>0</v>
      </c>
      <c r="E29" t="inlineStr">
        <is>
          <t>(none)</t>
        </is>
      </c>
      <c r="F29" t="n">
        <v>0</v>
      </c>
      <c r="G29" t="inlineStr">
        <is>
          <t>(none)</t>
        </is>
      </c>
      <c r="H29" t="n">
        <v>0</v>
      </c>
      <c r="I29" t="inlineStr">
        <is>
          <t>(none)</t>
        </is>
      </c>
      <c r="J29" t="n">
        <v>0</v>
      </c>
    </row>
    <row r="30">
      <c r="A30" t="inlineStr">
        <is>
          <t>face</t>
        </is>
      </c>
      <c r="B30" t="inlineStr">
        <is>
          <t>Potential</t>
        </is>
      </c>
      <c r="C30" t="inlineStr">
        <is>
          <t>normal</t>
        </is>
      </c>
      <c r="D30" t="n">
        <v>0</v>
      </c>
      <c r="E30" t="inlineStr">
        <is>
          <t>(none)</t>
        </is>
      </c>
      <c r="F30" t="n">
        <v>0</v>
      </c>
      <c r="G30" t="inlineStr">
        <is>
          <t>(none)</t>
        </is>
      </c>
      <c r="H30" t="n">
        <v>0</v>
      </c>
      <c r="I30" t="inlineStr">
        <is>
          <t>(none)</t>
        </is>
      </c>
      <c r="J30" t="n">
        <v>0</v>
      </c>
    </row>
    <row r="31">
      <c r="A31" t="inlineStr">
        <is>
          <t>face</t>
        </is>
      </c>
      <c r="B31" t="inlineStr">
        <is>
          <t>Bonus Potential</t>
        </is>
      </c>
      <c r="C31" t="inlineStr">
        <is>
          <t>normal</t>
        </is>
      </c>
      <c r="D31" t="n">
        <v>0</v>
      </c>
      <c r="E31" t="inlineStr">
        <is>
          <t>(none)</t>
        </is>
      </c>
      <c r="F31" t="n">
        <v>0</v>
      </c>
      <c r="G31" t="inlineStr">
        <is>
          <t>(none)</t>
        </is>
      </c>
      <c r="H31" t="n">
        <v>0</v>
      </c>
      <c r="I31" t="inlineStr">
        <is>
          <t>(none)</t>
        </is>
      </c>
      <c r="J31" t="n">
        <v>0</v>
      </c>
    </row>
    <row r="32">
      <c r="A32" t="inlineStr">
        <is>
          <t>earrings</t>
        </is>
      </c>
      <c r="B32" t="inlineStr">
        <is>
          <t>Potential</t>
        </is>
      </c>
      <c r="C32" t="inlineStr">
        <is>
          <t>normal</t>
        </is>
      </c>
      <c r="D32" t="n">
        <v>0</v>
      </c>
      <c r="E32" t="inlineStr">
        <is>
          <t>(none)</t>
        </is>
      </c>
      <c r="F32" t="n">
        <v>0</v>
      </c>
      <c r="G32" t="inlineStr">
        <is>
          <t>(none)</t>
        </is>
      </c>
      <c r="H32" t="n">
        <v>0</v>
      </c>
      <c r="I32" t="inlineStr">
        <is>
          <t>(none)</t>
        </is>
      </c>
      <c r="J32" t="n">
        <v>0</v>
      </c>
    </row>
    <row r="33">
      <c r="A33" t="inlineStr">
        <is>
          <t>earrings</t>
        </is>
      </c>
      <c r="B33" t="inlineStr">
        <is>
          <t>Bonus Potential</t>
        </is>
      </c>
      <c r="C33" t="inlineStr">
        <is>
          <t>normal</t>
        </is>
      </c>
      <c r="D33" t="n">
        <v>0</v>
      </c>
      <c r="E33" t="inlineStr">
        <is>
          <t>(none)</t>
        </is>
      </c>
      <c r="F33" t="n">
        <v>0</v>
      </c>
      <c r="G33" t="inlineStr">
        <is>
          <t>(none)</t>
        </is>
      </c>
      <c r="H33" t="n">
        <v>0</v>
      </c>
      <c r="I33" t="inlineStr">
        <is>
          <t>(none)</t>
        </is>
      </c>
      <c r="J33" t="n">
        <v>0</v>
      </c>
    </row>
    <row r="34">
      <c r="A34" t="inlineStr">
        <is>
          <t>pocket</t>
        </is>
      </c>
      <c r="B34" t="inlineStr">
        <is>
          <t>Potential</t>
        </is>
      </c>
      <c r="C34" t="inlineStr">
        <is>
          <t>normal</t>
        </is>
      </c>
      <c r="D34" t="n">
        <v>0</v>
      </c>
      <c r="E34" t="inlineStr">
        <is>
          <t>(none)</t>
        </is>
      </c>
      <c r="F34" t="n">
        <v>0</v>
      </c>
      <c r="G34" t="inlineStr">
        <is>
          <t>(none)</t>
        </is>
      </c>
      <c r="H34" t="n">
        <v>0</v>
      </c>
      <c r="I34" t="inlineStr">
        <is>
          <t>(none)</t>
        </is>
      </c>
      <c r="J34" t="n">
        <v>0</v>
      </c>
    </row>
    <row r="35">
      <c r="A35" t="inlineStr">
        <is>
          <t>pocket</t>
        </is>
      </c>
      <c r="B35" t="inlineStr">
        <is>
          <t>Bonus Potential</t>
        </is>
      </c>
      <c r="C35" t="inlineStr">
        <is>
          <t>normal</t>
        </is>
      </c>
      <c r="D35" t="n">
        <v>0</v>
      </c>
      <c r="E35" t="inlineStr">
        <is>
          <t>(none)</t>
        </is>
      </c>
      <c r="F35" t="n">
        <v>0</v>
      </c>
      <c r="G35" t="inlineStr">
        <is>
          <t>(none)</t>
        </is>
      </c>
      <c r="H35" t="n">
        <v>0</v>
      </c>
      <c r="I35" t="inlineStr">
        <is>
          <t>(none)</t>
        </is>
      </c>
      <c r="J35" t="n">
        <v>0</v>
      </c>
    </row>
  </sheetData>
  <dataValidations count="2">
    <dataValidation sqref="C6 C7 C8 C9 C10 C11 C12 C13 C14 C15 C16 C17 C18 C19 C20 C21 C22 C23 C24 C25 C26 C27 C28 C29 C30 C31 C32 C33 C34 C35" showDropDown="0" showInputMessage="0" showErrorMessage="0" allowBlank="0" type="list">
      <formula1>"normal,rare,epic,unique,legendary,mystic"</formula1>
    </dataValidation>
    <dataValidation sqref="E6 E7 E8 E9 E10 E11 E12 E13 E14 E15 E16 E17 E18 E19 E20 E21 E22 E23 E24 E25 E26 E27 E28 E29 E30 E31 E32 E33 E34 E35 G6 G7 G8 G9 G10 G11 G12 G13 G14 G15 G16 G17 G18 G19 G20 G21 G22 G23 G24 G25 G26 G27 G28 G29 G30 G31 G32 G33 G34 G35 I6 I7 I8 I9 I10 I11 I12 I13 I14 I15 I16 I17 I18 I19 I20 I21 I22 I23 I24 I25 I26 I27 I28 I29 I30 I31 I32 I33 I34 I35" showDropDown="0" showInputMessage="0" showErrorMessage="0" allowBlank="0" type="list">
      <formula1>=CubeData!$J$2:$J$30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2026-09-16T10:42:01Z</dcterms:created>
  <dcterms:modified xsi:type="dcterms:W3CDTF">2026-09-16T10:42:01Z</dcterms:modified>
</cp:coreProperties>
</file>