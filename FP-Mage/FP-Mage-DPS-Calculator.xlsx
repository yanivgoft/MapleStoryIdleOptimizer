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Fire/Poison Arch Mage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Poison/DoT skills (Poison Breath, Poison Mist, Creeping Toxin, Ignite) and Burning Magic/Elemental Decrease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(Meditation, Magic Guard, Infinity, Nimble Feet) are modeled at steady-state duty-cycle average uptime, not as an exact moment-to-moment state machine.</t>
        </is>
      </c>
    </row>
    <row r="13">
      <c r="A13" s="2" t="inlineStr">
        <is>
          <t>Meteor Proc's trigger rate is the combined cast rate of every attack that can trigger it (including Basic Attack), averaged rather than simulated hit-by-hit.</t>
        </is>
      </c>
    </row>
    <row r="14">
      <c r="A14" s="2" t="inlineStr">
        <is>
          <t>Ifrit is a summon skill (own cooldown/duration/DoT-tick mechanism), not part of the game's separate Companion roster system — its damage is modeled as a real DPS source like any other skill.</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crowd control, Accuracy/Evasion/Defense reduction, movement speed, the character's own Defense stat, and Companion Summoning Time (the Companion roster system, unrelated to Ifrit).</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6" customWidth="1" min="1" max="1"/>
    <col width="16" customWidth="1" min="2" max="2"/>
  </cols>
  <sheetData>
    <row r="1">
      <c r="A1" s="4" t="inlineStr">
        <is>
          <t>Fire/Poison Arch Mage — DPS Calculator Inputs</t>
        </is>
      </c>
    </row>
    <row r="3">
      <c r="A3" s="5" t="inlineStr">
        <is>
          <t>Character Level</t>
        </is>
      </c>
      <c r="B3" s="6" t="n">
        <v>114</v>
      </c>
    </row>
    <row r="4">
      <c r="A4" s="5" t="inlineStr">
        <is>
          <t>Content Type</t>
        </is>
      </c>
      <c r="B4" s="6" t="inlineStr">
        <is>
          <t>Breakthrough</t>
        </is>
      </c>
    </row>
    <row r="5">
      <c r="A5" s="5" t="inlineStr">
        <is>
          <t>Chapter-Stage — e.g. '28-9' for Chapter Boss/Breakthrough/Chapter Hunt (chapter-substage, the boss chapter number alone also works), or just the stage number (e.g. '80') for Weapon/Enhancement/EXP/Equipment/Hero Dungeon</t>
        </is>
      </c>
      <c r="B5" s="6" t="inlineStr">
        <is>
          <t>35-3</t>
        </is>
      </c>
    </row>
    <row r="6">
      <c r="A6" s="5" t="inlineStr">
        <is>
          <t>Flat ATTACK</t>
        </is>
      </c>
      <c r="B6" s="6" t="n">
        <v>901891</v>
      </c>
    </row>
    <row r="7">
      <c r="A7" s="5" t="inlineStr">
        <is>
          <t>ATTACK %</t>
        </is>
      </c>
      <c r="B7" s="6" t="n">
        <v>27600.8</v>
      </c>
    </row>
    <row r="8">
      <c r="A8" s="5" t="inlineStr">
        <is>
          <t>Defense (your own DEF stat; PvP assumes the opponent has the same Defense as you)</t>
        </is>
      </c>
      <c r="B8" s="6" t="n">
        <v>54000</v>
      </c>
    </row>
    <row r="9">
      <c r="A9" s="5" t="inlineStr">
        <is>
          <t>CRIT_RATE %</t>
        </is>
      </c>
      <c r="B9" s="6" t="n">
        <v>107</v>
      </c>
    </row>
    <row r="10">
      <c r="A10" s="5" t="inlineStr">
        <is>
          <t>CRIT_DAMAGE %</t>
        </is>
      </c>
      <c r="B10" s="6" t="n">
        <v>304.5</v>
      </c>
    </row>
    <row r="11">
      <c r="A11" s="5" t="inlineStr">
        <is>
          <t>ATTACK_SPEED % (base, excludes Nimble Feet)</t>
        </is>
      </c>
      <c r="B11" s="6" t="n">
        <v>61.6</v>
      </c>
    </row>
    <row r="12">
      <c r="A12" s="5" t="inlineStr">
        <is>
          <t>Flat INT</t>
        </is>
      </c>
      <c r="B12" s="6" t="n">
        <v>58007</v>
      </c>
    </row>
    <row r="13">
      <c r="A13" s="5" t="inlineStr">
        <is>
          <t>INT %</t>
        </is>
      </c>
      <c r="B13" s="6" t="n">
        <v>229.4</v>
      </c>
    </row>
    <row r="14">
      <c r="A14" s="5" t="inlineStr">
        <is>
          <t>LUK</t>
        </is>
      </c>
      <c r="B14" s="6" t="n">
        <v>708</v>
      </c>
    </row>
    <row r="15">
      <c r="A15" s="5" t="inlineStr">
        <is>
          <t>DAMAGE %</t>
        </is>
      </c>
      <c r="B15" s="6" t="n">
        <v>928.5</v>
      </c>
    </row>
    <row r="16">
      <c r="A16" s="5" t="inlineStr">
        <is>
          <t>DAMAGE_AMP %</t>
        </is>
      </c>
      <c r="B16" s="6" t="n">
        <v>66.8</v>
      </c>
    </row>
    <row r="17">
      <c r="A17" s="5" t="inlineStr">
        <is>
          <t>BASIC_ATTACK_DAMAGE %</t>
        </is>
      </c>
      <c r="B17" s="6" t="n">
        <v>45.6</v>
      </c>
    </row>
    <row r="18">
      <c r="A18" s="5" t="inlineStr">
        <is>
          <t>SKILL_DAMAGE %</t>
        </is>
      </c>
      <c r="B18" s="6" t="n">
        <v>105.4</v>
      </c>
    </row>
    <row r="19">
      <c r="A19" s="5" t="inlineStr">
        <is>
          <t>DEF_PEN %</t>
        </is>
      </c>
      <c r="B19" s="6" t="n">
        <v>35.1</v>
      </c>
    </row>
    <row r="20">
      <c r="A20" s="5" t="inlineStr">
        <is>
          <t>BOSS_DAMAGE %</t>
        </is>
      </c>
      <c r="B20" s="6" t="n">
        <v>282.5</v>
      </c>
    </row>
    <row r="21">
      <c r="A21" s="5" t="inlineStr">
        <is>
          <t>NORMAL_DAMAGE %</t>
        </is>
      </c>
      <c r="B21" s="6" t="n">
        <v>198.9</v>
      </c>
    </row>
    <row r="22">
      <c r="A22" s="5" t="inlineStr">
        <is>
          <t>MIN_DAMAGE %</t>
        </is>
      </c>
      <c r="B22" s="6" t="n">
        <v>216.2</v>
      </c>
    </row>
    <row r="23">
      <c r="A23" s="5" t="inlineStr">
        <is>
          <t>MAX_DAMAGE %</t>
        </is>
      </c>
      <c r="B23" s="6" t="n">
        <v>292.3</v>
      </c>
    </row>
    <row r="24">
      <c r="A24" s="5" t="inlineStr">
        <is>
          <t>FINAL_DAMAGE % (base, excludes Infinity)</t>
        </is>
      </c>
      <c r="B24" s="6" t="n">
        <v>84.3</v>
      </c>
    </row>
    <row r="25">
      <c r="A25" s="5" t="inlineStr">
        <is>
          <t>Skill Level Bonus — 1st Job</t>
        </is>
      </c>
      <c r="B25" s="6" t="n">
        <v>0</v>
      </c>
    </row>
    <row r="26">
      <c r="A26" s="5" t="inlineStr">
        <is>
          <t>Skill Level Bonus — 2nd Job</t>
        </is>
      </c>
      <c r="B26" s="6" t="n">
        <v>27</v>
      </c>
    </row>
    <row r="27">
      <c r="A27" s="5" t="inlineStr">
        <is>
          <t>Skill Level Bonus — 3rd Job</t>
        </is>
      </c>
      <c r="B27" s="6" t="n">
        <v>9</v>
      </c>
    </row>
    <row r="28">
      <c r="A28" s="5" t="inlineStr">
        <is>
          <t>Skill Level Bonus — 4th Job</t>
        </is>
      </c>
      <c r="B28" s="6" t="n">
        <v>100</v>
      </c>
    </row>
    <row r="29">
      <c r="A29" s="5" t="inlineStr">
        <is>
          <t>Skill Level Bonus — All Skills</t>
        </is>
      </c>
      <c r="B29" s="6" t="n">
        <v>55</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6</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8"/>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8" customWidth="1" min="3" max="3"/>
    <col width="8" customWidth="1" min="4" max="4"/>
    <col width="11" customWidth="1" min="5" max="5"/>
    <col width="15"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6" customWidth="1" min="18" max="18"/>
    <col width="15" customWidth="1" min="19" max="19"/>
    <col width="14" customWidth="1" min="20" max="20"/>
    <col width="22" customWidth="1" min="21" max="21"/>
    <col width="18" customWidth="1" min="22" max="22"/>
    <col width="20" customWidth="1" min="23" max="23"/>
    <col width="20" customWidth="1" min="24" max="24"/>
    <col width="20" customWidth="1" min="25" max="25"/>
    <col width="8" customWidth="1" min="26" max="26"/>
    <col width="60" customWidth="1" min="27" max="27"/>
  </cols>
  <sheetData>
    <row r="1">
      <c r="A1" s="9" t="inlineStr">
        <is>
          <t>Key</t>
        </is>
      </c>
      <c r="B1" s="9" t="inlineStr">
        <is>
          <t>Name</t>
        </is>
      </c>
      <c r="C1" s="9" t="inlineStr">
        <is>
          <t>JobStep</t>
        </is>
      </c>
      <c r="D1" s="9" t="inlineStr">
        <is>
          <t>Element</t>
        </is>
      </c>
      <c r="E1" s="9" t="inlineStr">
        <is>
          <t>Cooldown(s)</t>
        </is>
      </c>
      <c r="F1" s="9" t="inlineStr">
        <is>
          <t>CostsActionSlot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TriggersElementalDecrease</t>
        </is>
      </c>
      <c r="V1" s="9" t="inlineStr">
        <is>
          <t>TriggersMeteorProc</t>
        </is>
      </c>
      <c r="W1" s="9" t="inlineStr">
        <is>
          <t>MeteorProcTriggersPerCast</t>
        </is>
      </c>
      <c r="X1" s="9" t="inlineStr">
        <is>
          <t>MapleHeroBase(tenths%)</t>
        </is>
      </c>
      <c r="Y1" s="9" t="inlineStr">
        <is>
          <t>MapleHeroFactorIndex</t>
        </is>
      </c>
      <c r="Z1" s="9" t="inlineStr">
        <is>
          <t>Stacks</t>
        </is>
      </c>
      <c r="AA1" s="9" t="inlineStr">
        <is>
          <t>Note</t>
        </is>
      </c>
    </row>
    <row r="2">
      <c r="A2" t="inlineStr">
        <is>
          <t>BASIC_ATTACK</t>
        </is>
      </c>
      <c r="B2" t="inlineStr">
        <is>
          <t>Basic Attack</t>
        </is>
      </c>
      <c r="C2" t="n">
        <v>4</v>
      </c>
      <c r="D2" t="inlineStr">
        <is>
          <t>Fire</t>
        </is>
      </c>
      <c r="E2" t="inlineStr"/>
      <c r="F2" t="b">
        <v>0</v>
      </c>
      <c r="G2" t="n">
        <v>5</v>
      </c>
      <c r="H2" t="n">
        <v>0</v>
      </c>
      <c r="I2" t="n">
        <v>0</v>
      </c>
      <c r="J2" t="n">
        <v>100</v>
      </c>
      <c r="K2" t="n">
        <v>1</v>
      </c>
      <c r="L2" t="inlineStr"/>
      <c r="M2" t="inlineStr"/>
      <c r="N2" t="b">
        <v>1</v>
      </c>
      <c r="O2">
        <f>SUMPRODUCT((Inputs!$B$3&gt;={102,106,116,120,128,132})*{10,11,12,13,14,15})</f>
        <v/>
      </c>
      <c r="P2">
        <f>SUMPRODUCT((Inputs!$B$3&gt;={111,124})*{10,10})</f>
        <v/>
      </c>
      <c r="Q2" t="n">
        <v>0</v>
      </c>
      <c r="R2">
        <f>6+Inputs!$B$33+IF(Inputs!$B$3&gt;=136,1,0)</f>
        <v/>
      </c>
      <c r="S2" t="inlineStr"/>
      <c r="T2" t="n">
        <v>0</v>
      </c>
      <c r="U2" t="b">
        <v>0</v>
      </c>
      <c r="V2" t="b">
        <v>0</v>
      </c>
      <c r="W2" t="n">
        <v>1</v>
      </c>
      <c r="X2" t="inlineStr"/>
      <c r="Y2" t="inlineStr"/>
      <c r="Z2" t="inlineStr"/>
      <c r="AA2" t="inlineStr">
        <is>
          <t>5 lines of damage per attack cycle — 5 independent full-damage hits (HitsPerCast=5), each using the same expected-damage-per-hit; no cooldown, DPS uses Basic Attacks/sec from the action-economy block. Basic Attack Mastery (level-gated sum: +10@102, +11@106, +12@116, +13@120, +14@128, +15@132 — 75% total once every tier is unlocked) and Boss Mastery (level-gated sum: +10@111, +10@124 — 20% total) are just this row's SkillMasteryBonus%/MasteryBossDamage% — same mechanism as every other skill, no separate Inputs-sheet fields. Basic Attack's own cast rate (Summary!Basic Attacks Per Second) is always added into the Meteor Proc trigger rate directly, so it does not need TriggersMeteorProc=TRUE here. Hits 6+Basic Attack Target Increase targets vs normal monsters (confirmed by the user), +1 more once Flame Sweep Strike Count is unlocked at level 136.</t>
        </is>
      </c>
    </row>
    <row r="3">
      <c r="A3" t="inlineStr">
        <is>
          <t>IGNITE</t>
        </is>
      </c>
      <c r="B3" t="inlineStr">
        <is>
          <t>Ignite</t>
        </is>
      </c>
      <c r="C3" t="n">
        <v>2</v>
      </c>
      <c r="D3" t="inlineStr"/>
      <c r="E3" t="n">
        <v>1</v>
      </c>
      <c r="F3" t="b">
        <v>0</v>
      </c>
      <c r="G3" t="n">
        <v>3</v>
      </c>
      <c r="H3" t="n">
        <v>0</v>
      </c>
      <c r="I3" t="n">
        <v>0</v>
      </c>
      <c r="J3" t="n">
        <v>100</v>
      </c>
      <c r="K3" t="n">
        <v>1</v>
      </c>
      <c r="L3" t="n">
        <v>130</v>
      </c>
      <c r="M3" t="n">
        <v>21</v>
      </c>
      <c r="N3" t="b">
        <v>1</v>
      </c>
      <c r="O3" t="n">
        <v>100</v>
      </c>
      <c r="P3" t="n">
        <v>0</v>
      </c>
      <c r="Q3" t="n">
        <v>0</v>
      </c>
      <c r="R3" t="n">
        <v>3</v>
      </c>
      <c r="S3" t="inlineStr"/>
      <c r="T3" t="n">
        <v>0</v>
      </c>
      <c r="U3" t="b">
        <v>0</v>
      </c>
      <c r="V3" t="b">
        <v>0</v>
      </c>
      <c r="W3" t="n">
        <v>1</v>
      </c>
      <c r="X3" t="n">
        <v>500</v>
      </c>
      <c r="Y3" t="n">
        <v>23</v>
      </c>
      <c r="Z3" t="inlineStr"/>
      <c r="AA3" t="inlineStr">
        <is>
          <t>3 walls of fire assumed permanently maintained (max instances). +250% vs Normal Monster not modeled. Skill Mastery: +100% added directly to the coefficient%. Hits 3 targets vs normal monsters.</t>
        </is>
      </c>
    </row>
    <row r="4">
      <c r="A4" t="inlineStr">
        <is>
          <t>POISON_BREATH</t>
        </is>
      </c>
      <c r="B4" t="inlineStr">
        <is>
          <t>Poison Breath</t>
        </is>
      </c>
      <c r="C4" t="n">
        <v>2</v>
      </c>
      <c r="D4" t="inlineStr">
        <is>
          <t>Poison</t>
        </is>
      </c>
      <c r="E4" t="n">
        <v>18</v>
      </c>
      <c r="F4" t="b">
        <v>1</v>
      </c>
      <c r="G4" t="n">
        <v>3</v>
      </c>
      <c r="H4" t="n">
        <v>0</v>
      </c>
      <c r="I4" t="n">
        <v>0</v>
      </c>
      <c r="J4" t="n">
        <v>100</v>
      </c>
      <c r="K4" t="n">
        <v>1</v>
      </c>
      <c r="L4" t="n">
        <v>2000</v>
      </c>
      <c r="M4" t="n">
        <v>12</v>
      </c>
      <c r="N4" t="b">
        <v>1</v>
      </c>
      <c r="O4" t="n">
        <v>70</v>
      </c>
      <c r="P4" t="n">
        <v>0</v>
      </c>
      <c r="Q4" t="n">
        <v>0</v>
      </c>
      <c r="R4" t="n">
        <v>6</v>
      </c>
      <c r="S4" t="inlineStr"/>
      <c r="T4" t="n">
        <v>0</v>
      </c>
      <c r="U4" t="b">
        <v>1</v>
      </c>
      <c r="V4" t="b">
        <v>1</v>
      </c>
      <c r="W4" t="n">
        <v>1</v>
      </c>
      <c r="X4" t="n">
        <v>800</v>
      </c>
      <c r="Y4" t="n">
        <v>23</v>
      </c>
      <c r="Z4" t="inlineStr"/>
      <c r="AA4" t="inlineStr">
        <is>
          <t>Skill Mastery: +70% added directly to the coefficient%. Hits 6 targets vs normal monsters.</t>
        </is>
      </c>
    </row>
    <row r="5">
      <c r="A5" t="inlineStr">
        <is>
          <t>ELEMENTAL_DRAIN</t>
        </is>
      </c>
      <c r="B5" t="inlineStr">
        <is>
          <t>Elemental Drain</t>
        </is>
      </c>
      <c r="C5" t="n">
        <v>2</v>
      </c>
      <c r="D5" t="inlineStr"/>
      <c r="E5" t="n">
        <v>1</v>
      </c>
      <c r="F5" t="b">
        <v>0</v>
      </c>
      <c r="G5" t="n">
        <v>5</v>
      </c>
      <c r="H5" t="n">
        <v>0</v>
      </c>
      <c r="I5" t="n">
        <v>0</v>
      </c>
      <c r="J5" t="n">
        <v>100</v>
      </c>
      <c r="K5" t="n">
        <v>1</v>
      </c>
      <c r="L5" t="n">
        <v>120</v>
      </c>
      <c r="M5" t="n">
        <v>21</v>
      </c>
      <c r="N5" t="b">
        <v>1</v>
      </c>
      <c r="O5" t="n">
        <v>0</v>
      </c>
      <c r="P5" t="n">
        <v>0</v>
      </c>
      <c r="Q5" t="n">
        <v>0</v>
      </c>
      <c r="R5" t="n">
        <v>1</v>
      </c>
      <c r="S5" t="inlineStr"/>
      <c r="T5" t="n">
        <v>0</v>
      </c>
      <c r="U5" t="b">
        <v>0</v>
      </c>
      <c r="V5" t="b">
        <v>0</v>
      </c>
      <c r="W5" t="n">
        <v>1</v>
      </c>
      <c r="X5" t="n">
        <v>1500</v>
      </c>
      <c r="Y5" t="n">
        <v>23</v>
      </c>
      <c r="Z5" t="inlineStr"/>
      <c r="AA5" t="inlineStr">
        <is>
          <t>Poison assumed permanently at 5 stacks (max instances).</t>
        </is>
      </c>
    </row>
    <row r="6">
      <c r="A6" t="inlineStr">
        <is>
          <t>MEDITATION</t>
        </is>
      </c>
      <c r="B6" t="inlineStr">
        <is>
          <t>Meditation</t>
        </is>
      </c>
      <c r="C6" t="n">
        <v>2</v>
      </c>
      <c r="D6" t="inlineStr"/>
      <c r="E6" t="n">
        <v>30</v>
      </c>
      <c r="F6" t="b">
        <v>1</v>
      </c>
      <c r="G6" t="n">
        <v>1</v>
      </c>
      <c r="H6" t="n">
        <v>0</v>
      </c>
      <c r="I6" t="n">
        <v>0</v>
      </c>
      <c r="J6" t="n">
        <v>100</v>
      </c>
      <c r="K6" t="n">
        <v>1</v>
      </c>
      <c r="L6" t="n">
        <v>200</v>
      </c>
      <c r="M6" t="n">
        <v>22</v>
      </c>
      <c r="N6" t="b">
        <v>1</v>
      </c>
      <c r="O6" t="n">
        <v>0</v>
      </c>
      <c r="P6" t="n">
        <v>0</v>
      </c>
      <c r="Q6" t="n">
        <v>0</v>
      </c>
      <c r="R6" t="n">
        <v>1</v>
      </c>
      <c r="S6" t="inlineStr">
        <is>
          <t>ATTACK</t>
        </is>
      </c>
      <c r="T6" t="n">
        <v>19.5</v>
      </c>
      <c r="U6" t="b">
        <v>0</v>
      </c>
      <c r="V6" t="b">
        <v>0</v>
      </c>
      <c r="W6" t="n">
        <v>1</v>
      </c>
      <c r="X6" t="inlineStr"/>
      <c r="Y6" t="inlineStr"/>
      <c r="Z6" t="inlineStr"/>
      <c r="AA6" t="inlineStr">
        <is>
          <t>Buff — averaged Attack% = BaseDamage/10 * Factor/1000 * Duration/Cooldown.</t>
        </is>
      </c>
    </row>
    <row r="7">
      <c r="A7" t="inlineStr">
        <is>
          <t>POISON_MIST_BURST</t>
        </is>
      </c>
      <c r="B7" t="inlineStr">
        <is>
          <t>Poison Mist (burst)</t>
        </is>
      </c>
      <c r="C7" t="n">
        <v>3</v>
      </c>
      <c r="D7" t="inlineStr">
        <is>
          <t>Poison</t>
        </is>
      </c>
      <c r="E7" t="n">
        <v>24.5</v>
      </c>
      <c r="F7" t="b">
        <v>1</v>
      </c>
      <c r="G7" t="n">
        <v>3</v>
      </c>
      <c r="H7" t="n">
        <v>0</v>
      </c>
      <c r="I7" t="n">
        <v>0</v>
      </c>
      <c r="J7" t="n">
        <v>100</v>
      </c>
      <c r="K7" t="n">
        <v>1</v>
      </c>
      <c r="L7" t="n">
        <v>1600</v>
      </c>
      <c r="M7" t="n">
        <v>12</v>
      </c>
      <c r="N7" t="b">
        <v>1</v>
      </c>
      <c r="O7" t="n">
        <v>50</v>
      </c>
      <c r="P7" t="n">
        <v>0</v>
      </c>
      <c r="Q7" t="n">
        <v>0</v>
      </c>
      <c r="R7" t="n">
        <v>10</v>
      </c>
      <c r="S7" t="inlineStr"/>
      <c r="T7" t="n">
        <v>0</v>
      </c>
      <c r="U7" t="b">
        <v>1</v>
      </c>
      <c r="V7" t="b">
        <v>1</v>
      </c>
      <c r="W7" t="n">
        <v>1</v>
      </c>
      <c r="X7" t="n">
        <v>100</v>
      </c>
      <c r="Y7" t="n">
        <v>23</v>
      </c>
      <c r="Z7" t="inlineStr"/>
      <c r="AA7" t="inlineStr">
        <is>
          <t>Skill Mastery: +50% added directly to the coefficient%. (Does not apply to the fog DoT — see that row.) Hits 10 targets vs normal monsters.</t>
        </is>
      </c>
    </row>
    <row r="8">
      <c r="A8" t="inlineStr">
        <is>
          <t>POISON_MIST_DOT</t>
        </is>
      </c>
      <c r="B8" t="inlineStr">
        <is>
          <t>Poison Mist (fog DoT)</t>
        </is>
      </c>
      <c r="C8" t="n">
        <v>3</v>
      </c>
      <c r="D8" t="inlineStr">
        <is>
          <t>Poison</t>
        </is>
      </c>
      <c r="E8" t="n">
        <v>24.5</v>
      </c>
      <c r="F8" t="b">
        <v>0</v>
      </c>
      <c r="G8" t="n">
        <v>1</v>
      </c>
      <c r="H8">
        <f>IF(Inputs!$B$3&gt;=104,0.4,0.8)</f>
        <v/>
      </c>
      <c r="I8" t="n">
        <v>20</v>
      </c>
      <c r="J8" t="n">
        <v>100</v>
      </c>
      <c r="K8" t="n">
        <v>1</v>
      </c>
      <c r="L8" t="n">
        <v>700</v>
      </c>
      <c r="M8" t="n">
        <v>12</v>
      </c>
      <c r="N8" t="b">
        <v>1</v>
      </c>
      <c r="O8" t="n">
        <v>0</v>
      </c>
      <c r="P8" t="n">
        <v>0</v>
      </c>
      <c r="Q8" t="n">
        <v>0</v>
      </c>
      <c r="R8" t="n">
        <v>10</v>
      </c>
      <c r="S8" t="inlineStr"/>
      <c r="T8" t="n">
        <v>0</v>
      </c>
      <c r="U8" t="b">
        <v>0</v>
      </c>
      <c r="V8" t="b">
        <v>0</v>
      </c>
      <c r="W8" t="n">
        <v>1</v>
      </c>
      <c r="X8" t="n">
        <v>100</v>
      </c>
      <c r="Y8" t="n">
        <v>23</v>
      </c>
      <c r="Z8" t="inlineStr"/>
      <c r="AA8" t="inlineStr">
        <is>
          <t>EffectiveHits = 1 * (ActiveWindow/ICD) = duration/tick-interval ticks per cast. Skill Mastery's +50% damage bonus does NOT apply to the fog DoT, only the burst — SkillMasteryBonus% intentionally left at 0 here. Hits 10 targets vs normal monsters, same as the burst. Tick interval is 0.8s below level 104, 0.4s once the level-104 mastery is unlocked.</t>
        </is>
      </c>
    </row>
    <row r="9">
      <c r="A9" t="inlineStr">
        <is>
          <t>MIST_ERUPTION</t>
        </is>
      </c>
      <c r="B9" t="inlineStr">
        <is>
          <t>Mist Eruption</t>
        </is>
      </c>
      <c r="C9" t="n">
        <v>4</v>
      </c>
      <c r="D9" t="inlineStr"/>
      <c r="E9">
        <f>Skills!E7</f>
        <v/>
      </c>
      <c r="F9" t="b">
        <v>0</v>
      </c>
      <c r="G9">
        <f>IF(Inputs!$B$38="pvp",0,(1-Summary!$B$56)*(1)+Summary!$B$56*(IF(Inputs!$B$3&gt;=108,4,3)))</f>
        <v/>
      </c>
      <c r="H9" t="n">
        <v>0</v>
      </c>
      <c r="I9" t="n">
        <v>0</v>
      </c>
      <c r="J9" t="n">
        <v>100</v>
      </c>
      <c r="K9" t="n">
        <v>1</v>
      </c>
      <c r="L9" t="n">
        <v>30000</v>
      </c>
      <c r="M9" t="n">
        <v>12</v>
      </c>
      <c r="N9" t="b">
        <v>1</v>
      </c>
      <c r="O9">
        <f>IF(Inputs!$B$3&gt;=122,100,0)</f>
        <v/>
      </c>
      <c r="P9" t="n">
        <v>0</v>
      </c>
      <c r="Q9" t="n">
        <v>0</v>
      </c>
      <c r="R9" t="n">
        <v>10</v>
      </c>
      <c r="S9" t="inlineStr"/>
      <c r="T9" t="n">
        <v>0</v>
      </c>
      <c r="U9" t="b">
        <v>0</v>
      </c>
      <c r="V9" t="b">
        <v>0</v>
      </c>
      <c r="W9" t="n">
        <v>1</v>
      </c>
      <c r="X9" t="inlineStr"/>
      <c r="Y9" t="inlineStr"/>
      <c r="Z9" t="inlineStr"/>
      <c r="AA9" t="inlineStr">
        <is>
          <t>A skill of its own — only related to Poison Mist in that it's triggered while the fog is active, so it fires at the same rate as Poison Mist's own cast (Cooldown mirrors Skills!Poison Mist (burst) row's Cooldown live). Vs boss: 1 explosion per Poison Mist cast (when the fog expires, since bosses don't die mid-fog). Vs normal monster: 3 explosions per cast (base), +1 (4 total) once the level-108 mastery is unlocked, hitting 10 targets each. Vs Chapter Breakthrough: weighted average of the boss and normal counts by Inputs!normal_weight_frac. Vs PvP: 0 — it only triggers when the fog naturally expires at the end of its full duration, which never happens within the 15s PvP fight (confirmed by the user). Not affected by Poison Mist's Skill Mastery or Maple Hero bonus (confirmed by the user) — it's jobStep 4, using its own 4th-job skill level, same factorIndex 12. Its own SkillMasteryBonus% is the level-122 mastery (+100% damage), unrelated to Poison Mist's.</t>
        </is>
      </c>
    </row>
    <row r="10">
      <c r="A10" t="inlineStr">
        <is>
          <t>CREEPING_TOXIN</t>
        </is>
      </c>
      <c r="B10" t="inlineStr">
        <is>
          <t>Creeping Toxin</t>
        </is>
      </c>
      <c r="C10" t="n">
        <v>3</v>
      </c>
      <c r="D10" t="inlineStr">
        <is>
          <t>Poison</t>
        </is>
      </c>
      <c r="E10" t="n">
        <v>27</v>
      </c>
      <c r="F10" t="b">
        <v>1</v>
      </c>
      <c r="G10" t="n">
        <v>2</v>
      </c>
      <c r="H10" t="n">
        <v>2</v>
      </c>
      <c r="I10" t="n">
        <v>15</v>
      </c>
      <c r="J10" t="n">
        <v>100</v>
      </c>
      <c r="K10" t="n">
        <v>1</v>
      </c>
      <c r="L10" t="n">
        <v>1200</v>
      </c>
      <c r="M10" t="n">
        <v>12</v>
      </c>
      <c r="N10" t="b">
        <v>1</v>
      </c>
      <c r="O10" t="n">
        <v>50</v>
      </c>
      <c r="P10" t="n">
        <v>0</v>
      </c>
      <c r="Q10" t="n">
        <v>100</v>
      </c>
      <c r="R10" t="n">
        <v>1</v>
      </c>
      <c r="S10" t="inlineStr"/>
      <c r="T10" t="n">
        <v>0</v>
      </c>
      <c r="U10" t="b">
        <v>1</v>
      </c>
      <c r="V10" t="b">
        <v>0</v>
      </c>
      <c r="W10" t="n">
        <v>1</v>
      </c>
      <c r="X10" t="n">
        <v>100</v>
      </c>
      <c r="Y10" t="n">
        <v>23</v>
      </c>
      <c r="Z10" t="inlineStr"/>
      <c r="AA10" t="inlineStr">
        <is>
          <t>Assumes a qualifying Fire-element hit is always available within the 2s ICD window. Skill Mastery: +50% added directly to the coefficient%, plus +100% Normal Monster Damage mastery. Deliberately excluded from Meteor Proc's trigger set (confirmed by the user).</t>
        </is>
      </c>
    </row>
    <row r="11">
      <c r="A11" t="inlineStr">
        <is>
          <t>BURNING_MAGIC</t>
        </is>
      </c>
      <c r="B11" t="inlineStr">
        <is>
          <t>Burning Magic</t>
        </is>
      </c>
      <c r="C11" t="n">
        <v>3</v>
      </c>
      <c r="D11" t="inlineStr"/>
      <c r="E11" t="inlineStr"/>
      <c r="F11" t="b">
        <v>0</v>
      </c>
      <c r="G11" t="n">
        <v>1</v>
      </c>
      <c r="H11" t="n">
        <v>0</v>
      </c>
      <c r="I11" t="n">
        <v>0</v>
      </c>
      <c r="J11" t="n">
        <v>100</v>
      </c>
      <c r="K11" t="n">
        <v>1</v>
      </c>
      <c r="L11" t="n">
        <v>50</v>
      </c>
      <c r="M11" t="n">
        <v>0</v>
      </c>
      <c r="N11" t="b">
        <v>0</v>
      </c>
      <c r="O11" t="n">
        <v>0</v>
      </c>
      <c r="P11" t="n">
        <v>0</v>
      </c>
      <c r="Q11" t="n">
        <v>0</v>
      </c>
      <c r="R11" t="n">
        <v>1</v>
      </c>
      <c r="S11" t="inlineStr"/>
      <c r="T11" t="n">
        <v>0</v>
      </c>
      <c r="U11" t="b">
        <v>0</v>
      </c>
      <c r="V11" t="b">
        <v>0</v>
      </c>
      <c r="W11" t="n">
        <v>1</v>
      </c>
      <c r="X11" t="inlineStr"/>
      <c r="Y11" t="inlineStr"/>
      <c r="Z11" t="n">
        <v>5</v>
      </c>
      <c r="AA11" t="inlineStr">
        <is>
          <t>Global always-on multiplier: 1 + (BaseDamage/10 * Stacks)/100. Does not scale with level.</t>
        </is>
      </c>
    </row>
    <row r="12">
      <c r="A12" t="inlineStr">
        <is>
          <t>ELEMENTAL_DECREASE</t>
        </is>
      </c>
      <c r="B12" t="inlineStr">
        <is>
          <t>Elemental Decrease</t>
        </is>
      </c>
      <c r="C12" t="n">
        <v>3</v>
      </c>
      <c r="D12" t="inlineStr"/>
      <c r="E12" t="inlineStr"/>
      <c r="F12" t="b">
        <v>0</v>
      </c>
      <c r="G12" t="n">
        <v>1</v>
      </c>
      <c r="H12" t="n">
        <v>0</v>
      </c>
      <c r="I12" t="n">
        <v>0</v>
      </c>
      <c r="J12" t="n">
        <v>50</v>
      </c>
      <c r="K12" t="n">
        <v>1</v>
      </c>
      <c r="L12" t="n">
        <v>120</v>
      </c>
      <c r="M12" t="n">
        <v>22</v>
      </c>
      <c r="N12" t="b">
        <v>1</v>
      </c>
      <c r="O12" t="n">
        <v>0</v>
      </c>
      <c r="P12" t="n">
        <v>0</v>
      </c>
      <c r="Q12" t="n">
        <v>0</v>
      </c>
      <c r="R12" t="n">
        <v>1</v>
      </c>
      <c r="S12" t="inlineStr"/>
      <c r="T12" t="n">
        <v>7</v>
      </c>
      <c r="U12" t="b">
        <v>0</v>
      </c>
      <c r="V12" t="b">
        <v>0</v>
      </c>
      <c r="W12" t="n">
        <v>1</v>
      </c>
      <c r="X12" t="inlineStr"/>
      <c r="Y12" t="inlineStr"/>
      <c r="Z12" t="inlineStr"/>
      <c r="AA12" t="inlineStr">
        <is>
          <t>Modeled as always-on (flat multiplier, like Burning Magic): at 50% chance per qualifying hit and a 7s duration, it gets reapplied well before it expires, so uptime is treated as 100% (confirmed by the user). ProcChance%/BuffDuration(s) are the real skill values for reference only — they no longer feed the Summary-sheet formula.</t>
        </is>
      </c>
    </row>
    <row r="13">
      <c r="A13" t="inlineStr">
        <is>
          <t>METEOR_SHOWER_BURST</t>
        </is>
      </c>
      <c r="B13" t="inlineStr">
        <is>
          <t>Meteor Shower (burst)</t>
        </is>
      </c>
      <c r="C13" t="n">
        <v>4</v>
      </c>
      <c r="D13" t="inlineStr">
        <is>
          <t>Fire</t>
        </is>
      </c>
      <c r="E13" t="n">
        <v>33</v>
      </c>
      <c r="F13" t="b">
        <v>1</v>
      </c>
      <c r="G13" t="n">
        <v>9</v>
      </c>
      <c r="H13" t="n">
        <v>0</v>
      </c>
      <c r="I13" t="n">
        <v>0</v>
      </c>
      <c r="J13" t="n">
        <v>100</v>
      </c>
      <c r="K13" t="n">
        <v>1</v>
      </c>
      <c r="L13" t="n">
        <v>6000</v>
      </c>
      <c r="M13" t="n">
        <v>12</v>
      </c>
      <c r="N13" t="b">
        <v>1</v>
      </c>
      <c r="O13">
        <f>IF(Inputs!$B$3&gt;=134,50,0)</f>
        <v/>
      </c>
      <c r="P13" t="n">
        <v>0</v>
      </c>
      <c r="Q13" t="n">
        <v>0</v>
      </c>
      <c r="R13" t="n">
        <v>7</v>
      </c>
      <c r="S13" t="inlineStr"/>
      <c r="T13" t="n">
        <v>0</v>
      </c>
      <c r="U13" t="b">
        <v>1</v>
      </c>
      <c r="V13" t="b">
        <v>1</v>
      </c>
      <c r="W13" t="n">
        <v>3</v>
      </c>
      <c r="X13" t="inlineStr"/>
      <c r="Y13" t="inlineStr"/>
      <c r="Z13" t="inlineStr"/>
      <c r="AA13" t="inlineStr">
        <is>
          <t>3 meteorites x 3 hits collapsed into one 9-hit burst. Hits 7 targets vs normal monsters. MeteorProcTriggersPerCast=3 (not 1) — each of the 3 meteors is an independent Meteor Proc trigger opportunity even though all 3 land from a single cast (confirmed by the user). Skill Mastery: +50% damage once the level-134 mastery is unlocked.</t>
        </is>
      </c>
    </row>
    <row r="14">
      <c r="A14" t="inlineStr">
        <is>
          <t>METEOR_PROC</t>
        </is>
      </c>
      <c r="B14" t="inlineStr">
        <is>
          <t>Meteor Proc (30% on-hit, 1s ICD)</t>
        </is>
      </c>
      <c r="C14" t="n">
        <v>4</v>
      </c>
      <c r="D14" t="inlineStr">
        <is>
          <t>Fire</t>
        </is>
      </c>
      <c r="E14" t="inlineStr"/>
      <c r="F14" t="b">
        <v>0</v>
      </c>
      <c r="G14" t="n">
        <v>1</v>
      </c>
      <c r="H14" t="n">
        <v>1</v>
      </c>
      <c r="I14" t="n">
        <v>0</v>
      </c>
      <c r="J14" t="n">
        <v>30</v>
      </c>
      <c r="K14" t="n">
        <v>1</v>
      </c>
      <c r="L14" t="n">
        <v>9500</v>
      </c>
      <c r="M14" t="n">
        <v>21</v>
      </c>
      <c r="N14" t="b">
        <v>1</v>
      </c>
      <c r="O14" t="n">
        <v>0</v>
      </c>
      <c r="P14" t="n">
        <v>0</v>
      </c>
      <c r="Q14" t="n">
        <v>0</v>
      </c>
      <c r="R14" t="n">
        <v>1</v>
      </c>
      <c r="S14" t="inlineStr"/>
      <c r="T14" t="n">
        <v>0</v>
      </c>
      <c r="U14" t="b">
        <v>0</v>
      </c>
      <c r="V14" t="b">
        <v>0</v>
      </c>
      <c r="W14" t="n">
        <v>1</v>
      </c>
      <c r="X14" t="inlineStr"/>
      <c r="Y14" t="inlineStr"/>
      <c r="Z14" t="inlineStr"/>
      <c r="AA14" t="inlineStr">
        <is>
          <t>A skill of its own, NOT tied to Meteor Shower specifically — every cast of Basic Attack, Poison Breath, Poison Mist (burst), Meteor Shower, or Flame Haze (burst) has an independent 30% chance to trigger this meteor drop, gated by a 1s internal cooldown (ICD(s) column) after each trigger. Steady-state proc rate = (Chance% * R) / (1 + ICD * Chance% * R), where R is the combined cast rate of those qualifying attacks (Summary!B66) — NOT the simple EffectiveHits*ProcProbability/Cooldown pattern every other row uses, since this proc has no cooldown of its own to divide by. Creeping Toxin deliberately excluded from the trigger set. 4th job only.</t>
        </is>
      </c>
    </row>
    <row r="15">
      <c r="A15" t="inlineStr">
        <is>
          <t>FLAME_HAZE_BURST</t>
        </is>
      </c>
      <c r="B15" t="inlineStr">
        <is>
          <t>Flame Haze (burst)</t>
        </is>
      </c>
      <c r="C15" t="n">
        <v>4</v>
      </c>
      <c r="D15" t="inlineStr">
        <is>
          <t>Fire</t>
        </is>
      </c>
      <c r="E15" t="n">
        <v>25</v>
      </c>
      <c r="F15" t="b">
        <v>1</v>
      </c>
      <c r="G15" t="n">
        <v>3</v>
      </c>
      <c r="H15" t="n">
        <v>0</v>
      </c>
      <c r="I15" t="n">
        <v>0</v>
      </c>
      <c r="J15" t="n">
        <v>100</v>
      </c>
      <c r="K15" t="n">
        <v>1</v>
      </c>
      <c r="L15" t="n">
        <v>12000</v>
      </c>
      <c r="M15" t="n">
        <v>12</v>
      </c>
      <c r="N15" t="b">
        <v>1</v>
      </c>
      <c r="O15" t="n">
        <v>0</v>
      </c>
      <c r="P15" t="n">
        <v>0</v>
      </c>
      <c r="Q15" t="n">
        <v>0</v>
      </c>
      <c r="R15" t="n">
        <v>10</v>
      </c>
      <c r="S15" t="inlineStr"/>
      <c r="T15" t="n">
        <v>0</v>
      </c>
      <c r="U15" t="b">
        <v>1</v>
      </c>
      <c r="V15" t="b">
        <v>1</v>
      </c>
      <c r="W15" t="n">
        <v>1</v>
      </c>
      <c r="X15" t="inlineStr"/>
      <c r="Y15" t="inlineStr"/>
      <c r="Z15" t="inlineStr"/>
      <c r="AA15" t="inlineStr">
        <is>
          <t>Hits 10 targets vs normal monsters.</t>
        </is>
      </c>
    </row>
    <row r="16">
      <c r="A16" t="inlineStr">
        <is>
          <t>FLAME_HAZE_DOT</t>
        </is>
      </c>
      <c r="B16" t="inlineStr">
        <is>
          <t>Flame Haze (burn DoT)</t>
        </is>
      </c>
      <c r="C16" t="n">
        <v>4</v>
      </c>
      <c r="D16" t="inlineStr">
        <is>
          <t>Fire</t>
        </is>
      </c>
      <c r="E16" t="n">
        <v>25</v>
      </c>
      <c r="F16" t="b">
        <v>0</v>
      </c>
      <c r="G16" t="n">
        <v>1</v>
      </c>
      <c r="H16" t="n">
        <v>0.5</v>
      </c>
      <c r="I16">
        <f>IF(Inputs!$B$38="pvp",10,(1-Summary!$B$56)*(20)+Summary!$B$56*(10))</f>
        <v/>
      </c>
      <c r="J16" t="n">
        <v>100</v>
      </c>
      <c r="K16" t="n">
        <v>1</v>
      </c>
      <c r="L16" t="n">
        <v>1500</v>
      </c>
      <c r="M16" t="n">
        <v>12</v>
      </c>
      <c r="N16" t="b">
        <v>1</v>
      </c>
      <c r="O16" t="n">
        <v>0</v>
      </c>
      <c r="P16" t="n">
        <v>0</v>
      </c>
      <c r="Q16" t="n">
        <v>0</v>
      </c>
      <c r="R16" t="n">
        <v>10</v>
      </c>
      <c r="S16" t="inlineStr"/>
      <c r="T16" t="n">
        <v>0</v>
      </c>
      <c r="U16" t="b">
        <v>0</v>
      </c>
      <c r="V16" t="b">
        <v>0</v>
      </c>
      <c r="W16" t="n">
        <v>1</v>
      </c>
      <c r="X16" t="inlineStr"/>
      <c r="Y16" t="inlineStr"/>
      <c r="Z16" t="inlineStr"/>
      <c r="AA16" t="inlineStr">
        <is>
          <t>Burn duration is 20s vs boss, 10s vs normal monsters and PvP (confirmed by the user); Chapter Breakthrough blends the two by Inputs!normal_weight_frac. Hits 10 targets vs normal monsters, same as the burst.</t>
        </is>
      </c>
    </row>
    <row r="17">
      <c r="A17" t="inlineStr">
        <is>
          <t>MAGIC_GUARD</t>
        </is>
      </c>
      <c r="B17" t="inlineStr">
        <is>
          <t>Magic Guard</t>
        </is>
      </c>
      <c r="C17" t="n">
        <v>1</v>
      </c>
      <c r="D17" t="inlineStr"/>
      <c r="E17" t="n">
        <v>21</v>
      </c>
      <c r="F17" t="b">
        <v>1</v>
      </c>
      <c r="G17" t="n">
        <v>1</v>
      </c>
      <c r="H17" t="n">
        <v>0</v>
      </c>
      <c r="I17" t="n">
        <v>0</v>
      </c>
      <c r="J17" t="n">
        <v>100</v>
      </c>
      <c r="K17" t="n">
        <v>1</v>
      </c>
      <c r="L17" t="n">
        <v>120</v>
      </c>
      <c r="M17" t="n">
        <v>21</v>
      </c>
      <c r="N17" t="b">
        <v>1</v>
      </c>
      <c r="O17" t="n">
        <v>0</v>
      </c>
      <c r="P17" t="n">
        <v>0</v>
      </c>
      <c r="Q17" t="n">
        <v>0</v>
      </c>
      <c r="R17" t="n">
        <v>1</v>
      </c>
      <c r="S17" t="inlineStr">
        <is>
          <t>ATTACK</t>
        </is>
      </c>
      <c r="T17" t="n">
        <v>15</v>
      </c>
      <c r="U17" t="b">
        <v>0</v>
      </c>
      <c r="V17" t="b">
        <v>0</v>
      </c>
      <c r="W17" t="n">
        <v>1</v>
      </c>
      <c r="X17" t="inlineStr"/>
      <c r="Y17" t="inlineStr"/>
      <c r="Z17" t="inlineStr"/>
      <c r="AA17" t="inlineStr">
        <is>
          <t>Buff — only the Attack component is modeled (Defense component doesn't affect own damage).</t>
        </is>
      </c>
    </row>
    <row r="18">
      <c r="A18" t="inlineStr">
        <is>
          <t>NIMBLE_FEET</t>
        </is>
      </c>
      <c r="B18" t="inlineStr">
        <is>
          <t>Nimble Feet</t>
        </is>
      </c>
      <c r="C18" t="n">
        <v>1</v>
      </c>
      <c r="D18" t="inlineStr"/>
      <c r="E18" t="n">
        <v>60</v>
      </c>
      <c r="F18" t="b">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b">
        <v>0</v>
      </c>
      <c r="W18" t="n">
        <v>1</v>
      </c>
      <c r="X18" t="inlineStr"/>
      <c r="Y18" t="inlineStr"/>
      <c r="Z18" t="inlineStr"/>
      <c r="AA18" t="inlineStr">
        <is>
          <t>Buff — flat +15% Attack Speed, does not scale with level (FactorIndex is an unused placeholder here, same as Burning Magic). Averaged into effective Attack Speed before the 150% cap.</t>
        </is>
      </c>
    </row>
    <row r="19">
      <c r="A19" t="inlineStr">
        <is>
          <t>INFINITY</t>
        </is>
      </c>
      <c r="B19" t="inlineStr">
        <is>
          <t>Infinity</t>
        </is>
      </c>
      <c r="C19" t="n">
        <v>4</v>
      </c>
      <c r="D19" t="inlineStr"/>
      <c r="E19" t="n">
        <v>30</v>
      </c>
      <c r="F19" t="b">
        <v>1</v>
      </c>
      <c r="G19" t="n">
        <v>1</v>
      </c>
      <c r="H19" t="n">
        <v>0</v>
      </c>
      <c r="I19" t="n">
        <v>0</v>
      </c>
      <c r="J19" t="n">
        <v>100</v>
      </c>
      <c r="K19" t="n">
        <v>1</v>
      </c>
      <c r="L19" t="n">
        <v>216.67</v>
      </c>
      <c r="M19" t="n">
        <v>21</v>
      </c>
      <c r="N19" t="b">
        <v>1</v>
      </c>
      <c r="O19" t="n">
        <v>0</v>
      </c>
      <c r="P19" t="n">
        <v>0</v>
      </c>
      <c r="Q19" t="n">
        <v>0</v>
      </c>
      <c r="R19" t="n">
        <v>1</v>
      </c>
      <c r="S19" t="inlineStr">
        <is>
          <t>FINAL_DAMAGE</t>
        </is>
      </c>
      <c r="T19" t="n">
        <v>15</v>
      </c>
      <c r="U19" t="b">
        <v>0</v>
      </c>
      <c r="V19" t="b">
        <v>0</v>
      </c>
      <c r="W19" t="n">
        <v>1</v>
      </c>
      <c r="X19" t="inlineStr"/>
      <c r="Y19" t="inlineStr"/>
      <c r="Z19" t="inlineStr"/>
      <c r="AA19" t="inlineStr">
        <is>
          <t>Ramps +15%-&gt;+25% Final Damage over 10s of its 15s duration; time-averaged while active = 21.6667% at factor 1000, now scaled by FactorTable[level][21]/1000 like Magic Guard/Meditation.</t>
        </is>
      </c>
    </row>
    <row r="20">
      <c r="A20" t="inlineStr">
        <is>
          <t>MAGIC_CRITICAL_RATE</t>
        </is>
      </c>
      <c r="B20" t="inlineStr">
        <is>
          <t>Magic Critical (Crit Rate)</t>
        </is>
      </c>
      <c r="C20" t="n">
        <v>3</v>
      </c>
      <c r="D20" t="inlineStr"/>
      <c r="E20" t="inlineStr"/>
      <c r="F20" t="b">
        <v>0</v>
      </c>
      <c r="G20" t="n">
        <v>1</v>
      </c>
      <c r="H20" t="n">
        <v>0</v>
      </c>
      <c r="I20" t="n">
        <v>0</v>
      </c>
      <c r="J20" t="n">
        <v>100</v>
      </c>
      <c r="K20" t="n">
        <v>1</v>
      </c>
      <c r="L20" t="n">
        <v>80</v>
      </c>
      <c r="M20" t="n">
        <v>22</v>
      </c>
      <c r="N20" t="b">
        <v>1</v>
      </c>
      <c r="O20" t="n">
        <v>0</v>
      </c>
      <c r="P20" t="n">
        <v>0</v>
      </c>
      <c r="Q20" t="n">
        <v>0</v>
      </c>
      <c r="R20" t="n">
        <v>1</v>
      </c>
      <c r="S20" t="inlineStr">
        <is>
          <t>CRIT_RATE</t>
        </is>
      </c>
      <c r="T20" t="n">
        <v>0</v>
      </c>
      <c r="U20" t="b">
        <v>0</v>
      </c>
      <c r="V20" t="b">
        <v>0</v>
      </c>
      <c r="W20" t="n">
        <v>1</v>
      </c>
      <c r="X20" t="inlineStr"/>
      <c r="Y20" t="inlineStr"/>
      <c r="Z20" t="inlineStr"/>
      <c r="AA20" t="inlineStr">
        <is>
          <t>Passive, always on (3rd job) — no cooldown/duration, not a damage row (Calc columns J-O stay blank/0). Its current contribution is already baked into Inputs!CRIT_RATE% by the user, so this row's own Calc!F value is NOT added to the baseline calculation — it's only used by the Sensitivity sheet to compute the marginal delta (this row's F at the swept level minus this row's F at the current level) when 'Skill Level Bonus — 3rd Job' is the stat being tested.</t>
        </is>
      </c>
    </row>
    <row r="21">
      <c r="A21" t="inlineStr">
        <is>
          <t>MAGIC_CRITICAL_DAMAGE</t>
        </is>
      </c>
      <c r="B21" t="inlineStr">
        <is>
          <t>Magic Critical (Crit Damage)</t>
        </is>
      </c>
      <c r="C21" t="n">
        <v>3</v>
      </c>
      <c r="D21" t="inlineStr"/>
      <c r="E21" t="inlineStr"/>
      <c r="F21" t="b">
        <v>0</v>
      </c>
      <c r="G21" t="n">
        <v>1</v>
      </c>
      <c r="H21" t="n">
        <v>0</v>
      </c>
      <c r="I21" t="n">
        <v>0</v>
      </c>
      <c r="J21" t="n">
        <v>100</v>
      </c>
      <c r="K21" t="n">
        <v>1</v>
      </c>
      <c r="L21" t="n">
        <v>120</v>
      </c>
      <c r="M21" t="n">
        <v>22</v>
      </c>
      <c r="N21" t="b">
        <v>1</v>
      </c>
      <c r="O21" t="n">
        <v>0</v>
      </c>
      <c r="P21" t="n">
        <v>0</v>
      </c>
      <c r="Q21" t="n">
        <v>0</v>
      </c>
      <c r="R21" t="n">
        <v>1</v>
      </c>
      <c r="S21" t="inlineStr">
        <is>
          <t>CRIT_DAMAGE</t>
        </is>
      </c>
      <c r="T21" t="n">
        <v>0</v>
      </c>
      <c r="U21" t="b">
        <v>0</v>
      </c>
      <c r="V21" t="b">
        <v>0</v>
      </c>
      <c r="W21" t="n">
        <v>1</v>
      </c>
      <c r="X21" t="inlineStr"/>
      <c r="Y21" t="inlineStr"/>
      <c r="Z21" t="inlineStr"/>
      <c r="AA21" t="inlineStr">
        <is>
          <t>Same mechanism as Magic Critical (Crit Rate) above, targeting CRIT_DAMAGE% instead.</t>
        </is>
      </c>
    </row>
    <row r="22">
      <c r="A22" t="inlineStr">
        <is>
          <t>SPELL_MASTERY</t>
        </is>
      </c>
      <c r="B22" t="inlineStr">
        <is>
          <t>Spell Mastery</t>
        </is>
      </c>
      <c r="C22" t="n">
        <v>2</v>
      </c>
      <c r="D22" t="inlineStr"/>
      <c r="E22" t="inlineStr"/>
      <c r="F22" t="b">
        <v>0</v>
      </c>
      <c r="G22" t="n">
        <v>1</v>
      </c>
      <c r="H22" t="n">
        <v>0</v>
      </c>
      <c r="I22" t="n">
        <v>0</v>
      </c>
      <c r="J22" t="n">
        <v>100</v>
      </c>
      <c r="K22" t="n">
        <v>1</v>
      </c>
      <c r="L22" t="n">
        <v>150</v>
      </c>
      <c r="M22" t="n">
        <v>22</v>
      </c>
      <c r="N22" t="b">
        <v>1</v>
      </c>
      <c r="O22" t="n">
        <v>0</v>
      </c>
      <c r="P22" t="n">
        <v>0</v>
      </c>
      <c r="Q22" t="n">
        <v>0</v>
      </c>
      <c r="R22" t="n">
        <v>1</v>
      </c>
      <c r="S22" t="inlineStr">
        <is>
          <t>MIN_DAMAGE</t>
        </is>
      </c>
      <c r="T22" t="n">
        <v>0</v>
      </c>
      <c r="U22" t="b">
        <v>0</v>
      </c>
      <c r="V22" t="b">
        <v>0</v>
      </c>
      <c r="W22" t="n">
        <v>1</v>
      </c>
      <c r="X22" t="inlineStr"/>
      <c r="Y22" t="inlineStr"/>
      <c r="Z22" t="inlineStr"/>
      <c r="AA22" t="inlineStr">
        <is>
          <t>Passive, always on (2nd job) — no cooldown/duration, not a damage row. Its current contribution is already baked into Inputs!MIN_DAMAGE% by the user; this row's Calc!F is only used by the Sensitivity sheet to compute the marginal delta when 'Skill Level Bonus — 2nd Job' is swept.</t>
        </is>
      </c>
    </row>
    <row r="23">
      <c r="A23" t="inlineStr">
        <is>
          <t>ELEMENT_AMPLIFICATION</t>
        </is>
      </c>
      <c r="B23" t="inlineStr">
        <is>
          <t>Element Amplification</t>
        </is>
      </c>
      <c r="C23" t="n">
        <v>4</v>
      </c>
      <c r="D23" t="inlineStr"/>
      <c r="E23" t="inlineStr"/>
      <c r="F23" t="b">
        <v>0</v>
      </c>
      <c r="G23" t="n">
        <v>1</v>
      </c>
      <c r="H23" t="n">
        <v>0</v>
      </c>
      <c r="I23" t="n">
        <v>0</v>
      </c>
      <c r="J23" t="n">
        <v>100</v>
      </c>
      <c r="K23" t="n">
        <v>1</v>
      </c>
      <c r="L23" t="n">
        <v>150</v>
      </c>
      <c r="M23" t="n">
        <v>22</v>
      </c>
      <c r="N23" t="b">
        <v>1</v>
      </c>
      <c r="O23" t="n">
        <v>0</v>
      </c>
      <c r="P23" t="n">
        <v>0</v>
      </c>
      <c r="Q23" t="n">
        <v>0</v>
      </c>
      <c r="R23" t="n">
        <v>1</v>
      </c>
      <c r="S23" t="inlineStr">
        <is>
          <t>FINAL_DAMAGE</t>
        </is>
      </c>
      <c r="T23" t="n">
        <v>0</v>
      </c>
      <c r="U23" t="b">
        <v>0</v>
      </c>
      <c r="V23" t="b">
        <v>0</v>
      </c>
      <c r="W23" t="n">
        <v>1</v>
      </c>
      <c r="X23" t="inlineStr"/>
      <c r="Y23" t="inlineStr"/>
      <c r="Z23" t="inlineStr"/>
      <c r="AA23" t="inlineStr">
        <is>
          <t>Passive, always on (4th job) — no cooldown/duration, not a damage row. Unlike the two rows above, this one is NOT reflected anywhere in Inputs, so its current-level value (Calc!F23) is added directly into every hit's Final Damage term in both the main Calc sheet and every Sensitivity block — combined MULTIPLICATIVELY with Inputs!FINAL_DAMAGE% (Final Damage sources always stack as (1+a/100)*(1+b/100), never as (1+(a+b)/100)).</t>
        </is>
      </c>
    </row>
    <row r="24">
      <c r="A24" t="inlineStr">
        <is>
          <t>IFRIT</t>
        </is>
      </c>
      <c r="B24" t="inlineStr">
        <is>
          <t>Ifrit</t>
        </is>
      </c>
      <c r="C24" t="n">
        <v>4</v>
      </c>
      <c r="D24" t="inlineStr">
        <is>
          <t>Fire</t>
        </is>
      </c>
      <c r="E24" t="n">
        <v>80</v>
      </c>
      <c r="F24" t="b">
        <v>1</v>
      </c>
      <c r="G24" t="n">
        <v>1</v>
      </c>
      <c r="H24" t="n">
        <v>4</v>
      </c>
      <c r="I24">
        <f>IF(Inputs!$B$3&gt;=138,40,30)</f>
        <v/>
      </c>
      <c r="J24" t="n">
        <v>100</v>
      </c>
      <c r="K24" t="n">
        <v>1</v>
      </c>
      <c r="L24" t="n">
        <v>35000</v>
      </c>
      <c r="M24" t="n">
        <v>12</v>
      </c>
      <c r="N24" t="b">
        <v>1</v>
      </c>
      <c r="O24" t="n">
        <v>0</v>
      </c>
      <c r="P24" t="n">
        <v>0</v>
      </c>
      <c r="Q24" t="n">
        <v>0</v>
      </c>
      <c r="R24">
        <f>IF(Inputs!$B$3&gt;=138,6,3)</f>
        <v/>
      </c>
      <c r="S24" t="inlineStr"/>
      <c r="T24" t="n">
        <v>0</v>
      </c>
      <c r="U24" t="b">
        <v>0</v>
      </c>
      <c r="V24" t="b">
        <v>0</v>
      </c>
      <c r="W24" t="n">
        <v>1</v>
      </c>
      <c r="X24" t="inlineStr"/>
      <c r="Y24" t="inlineStr"/>
      <c r="Z24" t="inlineStr"/>
      <c r="AA24" t="inlineStr">
        <is>
          <t>Summon, 80s cooldown. EffectiveHits = HitsPerCast*(ActiveWindow/ICD) — same mechanism as Poison Mist's fog DoT/Flame Haze's burn DoT, no new Calc-sheet machinery needed: attacks every 4s (ICD) for its 30s duration (ActiveWindow), hitting 3 targets vs normal monsters, for the whole 80s cast cycle (Cooldown/InvCooldown). Duration -&gt; 40s and targets -&gt; 6 once the level-138 mastery is unlocked. Deliberately excluded from Meteor Proc's trigger set (confirmed by the user) — it only counts as a trigger source for the level-126 Flame Haze burn-proc mastery (see build_calc_sheet) and for Fervent Drain (via DAMAGE_ROW_KEYS, same as every other non-Basic-Attack skill). Gains a level-130 mastery multiplier (1+20%*Flame Haze burn stacks) — see flame_haze_total_stacks_expr.</t>
        </is>
      </c>
    </row>
    <row r="25">
      <c r="A25" t="inlineStr">
        <is>
          <t>BUFF_MASTERY</t>
        </is>
      </c>
      <c r="B25" t="inlineStr">
        <is>
          <t>Buff Mastery</t>
        </is>
      </c>
      <c r="C25" t="n">
        <v>4</v>
      </c>
      <c r="D25" t="inlineStr"/>
      <c r="E25" t="inlineStr"/>
      <c r="F25" t="b">
        <v>0</v>
      </c>
      <c r="G25" t="n">
        <v>1</v>
      </c>
      <c r="H25" t="n">
        <v>0</v>
      </c>
      <c r="I25" t="n">
        <v>0</v>
      </c>
      <c r="J25" t="n">
        <v>100</v>
      </c>
      <c r="K25" t="n">
        <v>1</v>
      </c>
      <c r="L25" t="n">
        <v>100</v>
      </c>
      <c r="M25" t="n">
        <v>22</v>
      </c>
      <c r="N25" t="b">
        <v>1</v>
      </c>
      <c r="O25" t="n">
        <v>0</v>
      </c>
      <c r="P25" t="n">
        <v>0</v>
      </c>
      <c r="Q25" t="n">
        <v>0</v>
      </c>
      <c r="R25" t="n">
        <v>1</v>
      </c>
      <c r="S25" t="inlineStr"/>
      <c r="T25" t="n">
        <v>0</v>
      </c>
      <c r="U25" t="b">
        <v>0</v>
      </c>
      <c r="V25" t="b">
        <v>0</v>
      </c>
      <c r="W25" t="n">
        <v>1</v>
      </c>
      <c r="X25" t="inlineStr"/>
      <c r="Y25" t="inlineStr"/>
      <c r="Z25" t="inlineStr"/>
      <c r="AA25" t="inlineStr">
        <is>
          <t>Passive, always on (4th job, unlocked level 117) — no cooldown/duration, not a damage row. Not reflected anywhere in Inputs, so its current value (Calc!F) is added directly into every uptime_fraction_expr call's Buff Duration Increase % term, in both the main Calc sheet and every Sensitivity block (see bdi_with_buff_mastery_expr) — +10% base.</t>
        </is>
      </c>
    </row>
    <row r="26">
      <c r="A26" t="inlineStr">
        <is>
          <t>ARCANE_AIM</t>
        </is>
      </c>
      <c r="B26" t="inlineStr">
        <is>
          <t>Arcane Aim</t>
        </is>
      </c>
      <c r="C26" t="n">
        <v>4</v>
      </c>
      <c r="D26" t="inlineStr"/>
      <c r="E26" t="inlineStr"/>
      <c r="F26" t="b">
        <v>0</v>
      </c>
      <c r="G26" t="n">
        <v>1</v>
      </c>
      <c r="H26" t="n">
        <v>0</v>
      </c>
      <c r="I26" t="n">
        <v>0</v>
      </c>
      <c r="J26" t="n">
        <v>100</v>
      </c>
      <c r="K26" t="n">
        <v>1</v>
      </c>
      <c r="L26" t="n">
        <v>30</v>
      </c>
      <c r="M26" t="n">
        <v>22</v>
      </c>
      <c r="N26" t="b">
        <v>1</v>
      </c>
      <c r="O26" t="n">
        <v>0</v>
      </c>
      <c r="P26" t="n">
        <v>0</v>
      </c>
      <c r="Q26" t="n">
        <v>0</v>
      </c>
      <c r="R26" t="n">
        <v>1</v>
      </c>
      <c r="S26" t="inlineStr"/>
      <c r="T26" t="n">
        <v>0</v>
      </c>
      <c r="U26" t="b">
        <v>0</v>
      </c>
      <c r="V26" t="b">
        <v>0</v>
      </c>
      <c r="W26" t="n">
        <v>1</v>
      </c>
      <c r="X26" t="inlineStr"/>
      <c r="Y26" t="inlineStr"/>
      <c r="Z26" t="inlineStr"/>
      <c r="AA26" t="inlineStr">
        <is>
          <t>Passive, always on (4th job, unlocked level 120) — no cooldown/duration, not a damage row. 25% chance per attack for +3% Final Damage for 10s, stacking up to 5 times; modeled as always at max 5 stacks (confirmed by the user, same precedent as Burning Magic/Elemental Decrease always-on). Combined MULTIPLICATIVELY into the Final Damage chain as (1+Calc!F/100)^5, alongside Element Amplification — stacks are multiplicative with each other, not additive (1.03^5, not 1+5*0.03).</t>
        </is>
      </c>
    </row>
    <row r="27">
      <c r="A27" t="inlineStr">
        <is>
          <t>FERVENT_DRAIN</t>
        </is>
      </c>
      <c r="B27" t="inlineStr">
        <is>
          <t>Fervent Drain</t>
        </is>
      </c>
      <c r="C27" t="n">
        <v>4</v>
      </c>
      <c r="D27" t="inlineStr"/>
      <c r="E27" t="inlineStr"/>
      <c r="F27" t="b">
        <v>0</v>
      </c>
      <c r="G27" t="n">
        <v>1</v>
      </c>
      <c r="H27" t="n">
        <v>0</v>
      </c>
      <c r="I27" t="n">
        <v>0</v>
      </c>
      <c r="J27" t="n">
        <v>100</v>
      </c>
      <c r="K27" t="n">
        <v>1</v>
      </c>
      <c r="L27" t="n">
        <v>40</v>
      </c>
      <c r="M27" t="n">
        <v>22</v>
      </c>
      <c r="N27" t="b">
        <v>1</v>
      </c>
      <c r="O27" t="n">
        <v>0</v>
      </c>
      <c r="P27" t="n">
        <v>0</v>
      </c>
      <c r="Q27" t="n">
        <v>0</v>
      </c>
      <c r="R27" t="n">
        <v>1</v>
      </c>
      <c r="S27" t="inlineStr"/>
      <c r="T27" t="n">
        <v>0</v>
      </c>
      <c r="U27" t="b">
        <v>0</v>
      </c>
      <c r="V27" t="b">
        <v>0</v>
      </c>
      <c r="W27" t="n">
        <v>1</v>
      </c>
      <c r="X27" t="inlineStr"/>
      <c r="Y27" t="inlineStr"/>
      <c r="Z27" t="inlineStr"/>
      <c r="AA27" t="inlineStr">
        <is>
          <t>Passive, always on (4th job, unlocked level 125) — no cooldown/duration, not a damage row. +4% fire/poison skill damage per Poison stack on target; reuses Elemental Drain's permanently-5-stacks assumption, so its effective contribution is Calc!F*5. Added additively inside the skill_damage term of the hit-damage formula — confirmed by the user to boost skill damage only, NOT Basic Attack (Flame Sweep), even though it does cover both fire- and poison-element skills otherwise. Structurally excluded from Basic Attack's own term, not just numerically zero.</t>
        </is>
      </c>
    </row>
    <row r="28">
      <c r="A28" t="inlineStr">
        <is>
          <t>FLAME_HAZE_FOG</t>
        </is>
      </c>
      <c r="B28" t="inlineStr">
        <is>
          <t>Flame Haze (poison fog DoT)</t>
        </is>
      </c>
      <c r="C28" t="n">
        <v>4</v>
      </c>
      <c r="D28" t="inlineStr">
        <is>
          <t>Poison</t>
        </is>
      </c>
      <c r="E28">
        <f>Skills!E15</f>
        <v/>
      </c>
      <c r="F28" t="b">
        <v>0</v>
      </c>
      <c r="G28" t="n">
        <v>1</v>
      </c>
      <c r="H28">
        <f>IF(Inputs!$B$3&gt;=104,0.4,0.8)</f>
        <v/>
      </c>
      <c r="I28" t="n">
        <v>20</v>
      </c>
      <c r="J28" t="n">
        <v>100</v>
      </c>
      <c r="K28" t="n">
        <v>1</v>
      </c>
      <c r="L28" t="n">
        <v>700</v>
      </c>
      <c r="M28" t="n">
        <v>12</v>
      </c>
      <c r="N28" t="b">
        <v>1</v>
      </c>
      <c r="O28" t="n">
        <v>0</v>
      </c>
      <c r="P28" t="n">
        <v>0</v>
      </c>
      <c r="Q28" t="n">
        <v>0</v>
      </c>
      <c r="R28" t="n">
        <v>10</v>
      </c>
      <c r="S28" t="inlineStr"/>
      <c r="T28" t="n">
        <v>0</v>
      </c>
      <c r="U28" t="b">
        <v>0</v>
      </c>
      <c r="V28" t="b">
        <v>0</v>
      </c>
      <c r="W28" t="n">
        <v>1</v>
      </c>
      <c r="X28" t="inlineStr"/>
      <c r="Y28" t="inlineStr"/>
      <c r="Z28" t="inlineStr"/>
      <c r="AA28" t="inlineStr">
        <is>
          <t>Unlocked level 118: Flame Haze creates a second, fully independent poisonous fog that triggers Poison Mist's DoT mechanic too — same damage/duration/ICD-mastery-gate math as POISON_MIST_DOT, tied to Flame Haze (burst)'s own live Cooldown cell (same live-cross-reference pattern MIST_ERUPTION uses for POISON_MIST_BURST). Independent of the existing Poison Mist fog — both can be active at the same time (confirmed by the user). No Maple Hero bonus (MapleHeroBase blank), matching its jobStep-4 sibling FLAME_HAZE_DOT rather than the jobStep-3 POISON_MIST_DOT.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(jobStep4, factorIndex23)</t>
        </is>
      </c>
    </row>
    <row r="2">
      <c r="A2">
        <f>Skills!A2</f>
        <v/>
      </c>
      <c r="B2">
        <f>Skills!B2</f>
        <v/>
      </c>
      <c r="C2">
        <f>TRUE</f>
        <v/>
      </c>
      <c r="D2" t="inlineStr"/>
      <c r="E2" t="inlineStr"/>
      <c r="F2">
        <f>Summary!$B$55+Skills!O2</f>
        <v/>
      </c>
      <c r="G2">
        <f>Skills!G2*IF(Skills!H2&gt;0,Skills!I2/Skills!H2,1)</f>
        <v/>
      </c>
      <c r="H2">
        <f>1-(1-Skills!J2/100)^Skills!K2</f>
        <v/>
      </c>
      <c r="I2">
        <f>IF(Skills!X2&lt;&gt;"",1+(Skills!X2/10)*($Z$3/1000)/100,1)</f>
        <v/>
      </c>
      <c r="J2">
        <f>Summary!$B$51*(F2/100)</f>
        <v/>
      </c>
      <c r="K2">
        <f>J2*(1+Summary!$B$52/100)*(1+Inputs!$B$15/100)*(1+IF(Inputs!$B$38="pvp",0,(1-Summary!$B$56)*(Inputs!$B$20+Skills!P2)+Summary!$B$56*(Inputs!$B$21+Skills!Q2))/100)*(1+Inputs!$B$16/100)*(5000/(6000+Inputs!$B$42*(1-Inputs!$B$19/100)))*(1+Inputs!$B$24/100)*(1+F23/100)*(1+IF(Inputs!$B$3&gt;=120,F26,0)/100)^5*(1+(IF(Skills!A2="BASIC_ATTACK",Inputs!$B$17,Inputs!$B$18+IF(Inputs!$B$3&gt;=125,F27*5,0)))/100)*(Summary!$B$58*Summary!$B$59*Summary!$B$60*I2)</f>
        <v/>
      </c>
      <c r="L2">
        <f>K2*(MIN(Inputs!$B$22,Inputs!$B$23)/100+Inputs!$B$23/100)/2</f>
        <v/>
      </c>
      <c r="M2">
        <f>L2*(1+Inputs!$B$10/100)</f>
        <v/>
      </c>
      <c r="N2">
        <f>L2*(1-MIN(Inputs!$B$9,100)/100)+M2*(MIN(Inputs!$B$9,100)/100)</f>
        <v/>
      </c>
      <c r="O2">
        <f>Skills!G2*N2*Summary!$B$64*IF(Inputs!$B$38="pvp",1,(1-Summary!$B$56)*(1)+Summary!$B$56*(MIN(Skills!R2,Inputs!$B$37)))</f>
        <v/>
      </c>
      <c r="P2">
        <f>IF(Summary!$B$3=0,0,O2/Summary!$B$3)</f>
        <v/>
      </c>
      <c r="Q2">
        <f>IFERROR(1/IF(Inputs!$B$38="pvp",15,MAX(0.1,Skills!E2-IF(Skills!F2=TRUE,Inputs!$B$32,0))),0)</f>
        <v/>
      </c>
      <c r="R2" t="n">
        <v>0</v>
      </c>
      <c r="Z2">
        <f>MAX(0,(Inputs!$B$3-100)*3)+Inputs!$B$28+Inputs!$B$29</f>
        <v/>
      </c>
    </row>
    <row r="3">
      <c r="A3">
        <f>Skills!A3</f>
        <v/>
      </c>
      <c r="B3">
        <f>Skills!B3</f>
        <v/>
      </c>
      <c r="C3">
        <f>TRUE</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IF(Skills!X3&lt;&gt;"",1+(Skills!X3/10)*($Z$3/1000)/100,1)</f>
        <v/>
      </c>
      <c r="J3">
        <f>Summary!$B$51*(F3/100)</f>
        <v/>
      </c>
      <c r="K3">
        <f>J3*(1+Summary!$B$52/100)*(1+Inputs!$B$15/100)*(1+IF(Inputs!$B$38="pvp",0,(1-Summary!$B$56)*(Inputs!$B$20+Skills!P3)+Summary!$B$56*(Inputs!$B$21+Skills!Q3))/100)*(1+Inputs!$B$16/100)*(5000/(6000+Inputs!$B$42*(1-Inputs!$B$19/100)))*(1+Inputs!$B$24/100)*(1+F23/100)*(1+IF(Inputs!$B$3&gt;=120,F26,0)/100)^5*(1+(IF(Skills!A3="BASIC_ATTACK",Inputs!$B$17,Inputs!$B$18+IF(Inputs!$B$3&gt;=125,F27*5,0)))/100)*(Summary!$B$58*Summary!$B$59*Summary!$B$60*I3)</f>
        <v/>
      </c>
      <c r="L3">
        <f>K3*(MIN(Inputs!$B$22,Inputs!$B$23)/100+Inputs!$B$23/100)/2</f>
        <v/>
      </c>
      <c r="M3">
        <f>L3*(1+Inputs!$B$10/100)</f>
        <v/>
      </c>
      <c r="N3">
        <f>L3*(1-MIN(Inputs!$B$9,100)/100)+M3*(MIN(Inputs!$B$9,100)/100)</f>
        <v/>
      </c>
      <c r="O3">
        <f>IF(C3,H3*N3*IF(AND(Inputs!$B$38&lt;&gt;"pvp",Inputs!$B$43&gt;0),((Skills!G3*((R3-1)*IF(Skills!H3&gt;0,Skills!I3/Skills!H3,1)+IF(Skills!H3&gt;0,MIN(Skills!I3,MAX(0,Inputs!$B$43-((R3-1)*IF(Inputs!$B$38="pvp",15,MAX(0.1,Skills!E3-IF(Skills!F3=TRUE,Inputs!$B$32,0))))))/Skills!H3,1)))/Inputs!$B$43),G3*Q3)*IF(Inputs!$B$38="pvp",1,(1-Summary!$B$56)*(1)+Summary!$B$56*(MIN(Skills!R3,Inputs!$B$37))),0)</f>
        <v/>
      </c>
      <c r="P3">
        <f>IF(Summary!$B$3=0,0,O3/Summary!$B$3)</f>
        <v/>
      </c>
      <c r="Q3">
        <f>IFERROR(1/IF(Inputs!$B$38="pvp",15,MAX(0.1,Skills!E3-IF(Skills!F3=TRUE,Inputs!$B$32,0))),0)</f>
        <v/>
      </c>
      <c r="R3">
        <f>IF(AND(Inputs!$B$38&lt;&gt;"pvp",Inputs!$B$43&gt;0),(INT(Inputs!$B$43/IF(Inputs!$B$38="pvp",15,MAX(0.1,Skills!E3-IF(Skills!F3=TRUE,Inputs!$B$32,0))))+1),0)</f>
        <v/>
      </c>
      <c r="Z3">
        <f>INDEX(FactorTable!$B$2:$Y$301, MATCH(ROUND(MIN(300,MAX(1,Z2)),0), FactorTable!$A$2:$A$301,0), 24)</f>
        <v/>
      </c>
    </row>
    <row r="4">
      <c r="A4">
        <f>Skills!A4</f>
        <v/>
      </c>
      <c r="B4">
        <f>Skills!B4</f>
        <v/>
      </c>
      <c r="C4">
        <f>TRUE</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IF(Skills!X4&lt;&gt;"",1+(Skills!X4/10)*($Z$3/1000)/100,1)</f>
        <v/>
      </c>
      <c r="J4">
        <f>Summary!$B$51*(F4/100)</f>
        <v/>
      </c>
      <c r="K4">
        <f>J4*(1+Summary!$B$52/100)*(1+Inputs!$B$15/100)*(1+IF(Inputs!$B$38="pvp",0,(1-Summary!$B$56)*(Inputs!$B$20+Skills!P4)+Summary!$B$56*(Inputs!$B$21+Skills!Q4))/100)*(1+Inputs!$B$16/100)*(5000/(6000+Inputs!$B$42*(1-Inputs!$B$19/100)))*(1+Inputs!$B$24/100)*(1+F23/100)*(1+IF(Inputs!$B$3&gt;=120,F26,0)/100)^5*(1+(IF(Skills!A4="BASIC_ATTACK",Inputs!$B$17,Inputs!$B$18+IF(Inputs!$B$3&gt;=125,F27*5,0)))/100)*(Summary!$B$58*Summary!$B$59*Summary!$B$60*I4)</f>
        <v/>
      </c>
      <c r="L4">
        <f>K4*(MIN(Inputs!$B$22,Inputs!$B$23)/100+Inputs!$B$23/100)/2</f>
        <v/>
      </c>
      <c r="M4">
        <f>L4*(1+Inputs!$B$10/100)</f>
        <v/>
      </c>
      <c r="N4">
        <f>L4*(1-MIN(Inputs!$B$9,100)/100)+M4*(MIN(Inputs!$B$9,100)/100)</f>
        <v/>
      </c>
      <c r="O4">
        <f>IF(C4,H4*N4*IF(AND(Inputs!$B$38&lt;&gt;"pvp",Inputs!$B$43&gt;0),((Skills!G4*((R4-1)*IF(Skills!H4&gt;0,Skills!I4/Skills!H4,1)+IF(Skills!H4&gt;0,MIN(Skills!I4,MAX(0,Inputs!$B$43-((R4-1)*IF(Inputs!$B$38="pvp",15,MAX(0.1,Skills!E4-IF(Skills!F4=TRUE,Inputs!$B$32,0))))))/Skills!H4,1)))/Inputs!$B$43),G4*Q4)*IF(Inputs!$B$38="pvp",1,(1-Summary!$B$56)*(1)+Summary!$B$56*(MIN(Skills!R4,Inputs!$B$37))),0)</f>
        <v/>
      </c>
      <c r="P4">
        <f>IF(Summary!$B$3=0,0,O4/Summary!$B$3)</f>
        <v/>
      </c>
      <c r="Q4">
        <f>IFERROR(1/IF(Inputs!$B$38="pvp",15,MAX(0.1,Skills!E4-IF(Skills!F4=TRUE,Inputs!$B$32,0))),0)</f>
        <v/>
      </c>
      <c r="R4">
        <f>IF(AND(Inputs!$B$38&lt;&gt;"pvp",Inputs!$B$43&gt;0),(INT(Inputs!$B$43/IF(Inputs!$B$38="pvp",15,MAX(0.1,Skills!E4-IF(Skills!F4=TRUE,Inputs!$B$32,0))))+1),0)</f>
        <v/>
      </c>
    </row>
    <row r="5">
      <c r="A5">
        <f>Skills!A5</f>
        <v/>
      </c>
      <c r="B5">
        <f>Skills!B5</f>
        <v/>
      </c>
      <c r="C5">
        <f>TRUE</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IF(Skills!X5&lt;&gt;"",1+(Skills!X5/10)*($Z$3/1000)/100,1)</f>
        <v/>
      </c>
      <c r="J5">
        <f>Summary!$B$51*(F5/100)</f>
        <v/>
      </c>
      <c r="K5">
        <f>J5*(1+Summary!$B$52/100)*(1+Inputs!$B$15/100)*(1+IF(Inputs!$B$38="pvp",0,(1-Summary!$B$56)*(Inputs!$B$20+Skills!P5)+Summary!$B$56*(Inputs!$B$21+Skills!Q5))/100)*(1+Inputs!$B$16/100)*(5000/(6000+Inputs!$B$42*(1-Inputs!$B$19/100)))*(1+Inputs!$B$24/100)*(1+F23/100)*(1+IF(Inputs!$B$3&gt;=120,F26,0)/100)^5*(1+(IF(Skills!A5="BASIC_ATTACK",Inputs!$B$17,Inputs!$B$18+IF(Inputs!$B$3&gt;=125,F27*5,0)))/100)*(Summary!$B$58*Summary!$B$59*Summary!$B$60*I5)</f>
        <v/>
      </c>
      <c r="L5">
        <f>K5*(MIN(Inputs!$B$22,Inputs!$B$23)/100+Inputs!$B$23/100)/2</f>
        <v/>
      </c>
      <c r="M5">
        <f>L5*(1+Inputs!$B$10/100)</f>
        <v/>
      </c>
      <c r="N5">
        <f>L5*(1-MIN(Inputs!$B$9,100)/100)+M5*(MIN(Inputs!$B$9,100)/100)</f>
        <v/>
      </c>
      <c r="O5">
        <f>IF(C5,H5*N5*IF(AND(Inputs!$B$38&lt;&gt;"pvp",Inputs!$B$43&gt;0),((Skills!G5*((R5-1)*IF(Skills!H5&gt;0,Skills!I5/Skills!H5,1)+IF(Skills!H5&gt;0,MIN(Skills!I5,MAX(0,Inputs!$B$43-((R5-1)*IF(Inputs!$B$38="pvp",15,MAX(0.1,Skills!E5-IF(Skills!F5=TRUE,Inputs!$B$32,0))))))/Skills!H5,1)))/Inputs!$B$43),G5*Q5)*IF(Inputs!$B$38="pvp",1,(1-Summary!$B$56)*(1)+Summary!$B$56*(MIN(Skills!R5,Inputs!$B$37))),0)</f>
        <v/>
      </c>
      <c r="P5">
        <f>IF(Summary!$B$3=0,0,O5/Summary!$B$3)</f>
        <v/>
      </c>
      <c r="Q5">
        <f>IFERROR(1/IF(Inputs!$B$38="pvp",15,MAX(0.1,Skills!E5-IF(Skills!F5=TRUE,Inputs!$B$32,0))),0)</f>
        <v/>
      </c>
      <c r="R5">
        <f>IF(AND(Inputs!$B$38&lt;&gt;"pvp",Inputs!$B$43&gt;0),(INT(Inputs!$B$43/IF(Inputs!$B$38="pvp",15,MAX(0.1,Skills!E5-IF(Skills!F5=TRUE,Inputs!$B$32,0))))+1),0)</f>
        <v/>
      </c>
    </row>
    <row r="6">
      <c r="A6">
        <f>Skills!A6</f>
        <v/>
      </c>
      <c r="B6">
        <f>Skills!B6</f>
        <v/>
      </c>
      <c r="C6">
        <f>TRUE</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IF(Skills!X6&lt;&gt;"",1+(Skills!X6/10)*($Z$3/1000)/100,1)</f>
        <v/>
      </c>
      <c r="J6" t="inlineStr"/>
      <c r="K6" t="inlineStr"/>
      <c r="L6" t="inlineStr"/>
      <c r="M6" t="inlineStr"/>
      <c r="N6" t="inlineStr"/>
      <c r="O6" t="n">
        <v>0</v>
      </c>
      <c r="P6">
        <f>IF(Summary!$B$3=0,0,O6/Summary!$B$3)</f>
        <v/>
      </c>
      <c r="Q6">
        <f>IFERROR(1/IF(Inputs!$B$38="pvp",15,MAX(0.1,Skills!E6-IF(Skills!F6=TRUE,Inputs!$B$32,0))),0)</f>
        <v/>
      </c>
      <c r="R6">
        <f>IF(AND(Inputs!$B$38&lt;&gt;"pvp",Inputs!$B$43&gt;0),(INT(Inputs!$B$43/IF(Inputs!$B$38="pvp",15,MAX(0.1,Skills!E6-IF(Skills!F6=TRUE,Inputs!$B$32,0))))+1),0)</f>
        <v/>
      </c>
    </row>
    <row r="7">
      <c r="A7">
        <f>Skills!A7</f>
        <v/>
      </c>
      <c r="B7">
        <f>Skills!B7</f>
        <v/>
      </c>
      <c r="C7">
        <f>TRUE</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IF(Skills!X7&lt;&gt;"",1+(Skills!X7/10)*($Z$3/1000)/100,1)</f>
        <v/>
      </c>
      <c r="J7">
        <f>Summary!$B$51*(F7/100)</f>
        <v/>
      </c>
      <c r="K7">
        <f>J7*(1+Summary!$B$52/100)*(1+Inputs!$B$15/100)*(1+IF(Inputs!$B$38="pvp",0,(1-Summary!$B$56)*(Inputs!$B$20+Skills!P7)+Summary!$B$56*(Inputs!$B$21+Skills!Q7))/100)*(1+Inputs!$B$16/100)*(5000/(6000+Inputs!$B$42*(1-Inputs!$B$19/100)))*(1+Inputs!$B$24/100)*(1+F23/100)*(1+IF(Inputs!$B$3&gt;=120,F26,0)/100)^5*(1+(IF(Skills!A7="BASIC_ATTACK",Inputs!$B$17,Inputs!$B$18+IF(Inputs!$B$3&gt;=125,F27*5,0)))/100)*(Summary!$B$58*Summary!$B$59*Summary!$B$60*I7)</f>
        <v/>
      </c>
      <c r="L7">
        <f>K7*(MIN(Inputs!$B$22,Inputs!$B$23)/100+Inputs!$B$23/100)/2</f>
        <v/>
      </c>
      <c r="M7">
        <f>L7*(1+Inputs!$B$10/100)</f>
        <v/>
      </c>
      <c r="N7">
        <f>L7*(1-MIN(Inputs!$B$9,100)/100)+M7*(MIN(Inputs!$B$9,100)/100)</f>
        <v/>
      </c>
      <c r="O7">
        <f>IF(C7,H7*N7*IF(AND(Inputs!$B$38&lt;&gt;"pvp",Inputs!$B$43&gt;0),((Skills!G7*((R7-1)*IF(Skills!H7&gt;0,Skills!I7/Skills!H7,1)+IF(Skills!H7&gt;0,MIN(Skills!I7,MAX(0,Inputs!$B$43-((R7-1)*IF(Inputs!$B$38="pvp",15,MAX(0.1,Skills!E7-IF(Skills!F7=TRUE,Inputs!$B$32,0))))))/Skills!H7,1)))/Inputs!$B$43),G7*Q7)*IF(Inputs!$B$38="pvp",1,(1-Summary!$B$56)*(1)+Summary!$B$56*(MIN(Skills!R7,Inputs!$B$37))),0)</f>
        <v/>
      </c>
      <c r="P7">
        <f>IF(Summary!$B$3=0,0,O7/Summary!$B$3)</f>
        <v/>
      </c>
      <c r="Q7">
        <f>IFERROR(1/IF(Inputs!$B$38="pvp",15,MAX(0.1,Skills!E7-IF(Skills!F7=TRUE,Inputs!$B$32,0))),0)</f>
        <v/>
      </c>
      <c r="R7">
        <f>IF(AND(Inputs!$B$38&lt;&gt;"pvp",Inputs!$B$43&gt;0),(INT(Inputs!$B$43/IF(Inputs!$B$38="pvp",15,MAX(0.1,Skills!E7-IF(Skills!F7=TRUE,Inputs!$B$32,0))))+1),0)</f>
        <v/>
      </c>
    </row>
    <row r="8">
      <c r="A8">
        <f>Skills!A8</f>
        <v/>
      </c>
      <c r="B8">
        <f>Skills!B8</f>
        <v/>
      </c>
      <c r="C8">
        <f>TRUE</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IF(Skills!X8&lt;&gt;"",1+(Skills!X8/10)*($Z$3/1000)/100,1)</f>
        <v/>
      </c>
      <c r="J8">
        <f>Summary!$B$51*(F8/100)</f>
        <v/>
      </c>
      <c r="K8">
        <f>J8*(1+Summary!$B$52/100)*(1+Inputs!$B$15/100)*(1+IF(Inputs!$B$38="pvp",0,(1-Summary!$B$56)*(Inputs!$B$20+Skills!P8)+Summary!$B$56*(Inputs!$B$21+Skills!Q8))/100)*(1+Inputs!$B$16/100)*(5000/(6000+Inputs!$B$42*(1-Inputs!$B$19/100)))*(1+Inputs!$B$24/100)*(1+F23/100)*(1+IF(Inputs!$B$3&gt;=120,F26,0)/100)^5*(1+(IF(Skills!A8="BASIC_ATTACK",Inputs!$B$17,Inputs!$B$18+IF(Inputs!$B$3&gt;=125,F27*5,0)))/100)*(Summary!$B$58*Summary!$B$59*Summary!$B$60*I8)</f>
        <v/>
      </c>
      <c r="L8">
        <f>K8*(MIN(Inputs!$B$22,Inputs!$B$23)/100+Inputs!$B$23/100)/2</f>
        <v/>
      </c>
      <c r="M8">
        <f>L8*(1+Inputs!$B$10/100)</f>
        <v/>
      </c>
      <c r="N8">
        <f>L8*(1-MIN(Inputs!$B$9,100)/100)+M8*(MIN(Inputs!$B$9,100)/100)</f>
        <v/>
      </c>
      <c r="O8">
        <f>IF(C8,H8*N8*IF(AND(Inputs!$B$38&lt;&gt;"pvp",Inputs!$B$43&gt;0),((Skills!G8*((R8-1)*IF(Skills!H8&gt;0,Skills!I8/Skills!H8,1)+IF(Skills!H8&gt;0,MIN(Skills!I8,MAX(0,Inputs!$B$43-((R8-1)*IF(Inputs!$B$38="pvp",15,MAX(0.1,Skills!E8-IF(Skills!F8=TRUE,Inputs!$B$32,0))))))/Skills!H8,1)))/Inputs!$B$43),G8*Q8)*IF(Inputs!$B$38="pvp",1,(1-Summary!$B$56)*(1)+Summary!$B$56*(MIN(Skills!R8,Inputs!$B$37))),0)</f>
        <v/>
      </c>
      <c r="P8">
        <f>IF(Summary!$B$3=0,0,O8/Summary!$B$3)</f>
        <v/>
      </c>
      <c r="Q8">
        <f>IFERROR(1/IF(Inputs!$B$38="pvp",15,MAX(0.1,Skills!E8-IF(Skills!F8=TRUE,Inputs!$B$32,0))),0)</f>
        <v/>
      </c>
      <c r="R8">
        <f>IF(AND(Inputs!$B$38&lt;&gt;"pvp",Inputs!$B$43&gt;0),(INT(Inputs!$B$43/IF(Inputs!$B$38="pvp",15,MAX(0.1,Skills!E8-IF(Skills!F8=TRUE,Inputs!$B$32,0))))+1),0)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IF(Skills!X9&lt;&gt;"",1+(Skills!X9/10)*($Z$3/1000)/100,1)</f>
        <v/>
      </c>
      <c r="J9">
        <f>Summary!$B$51*(F9/100)</f>
        <v/>
      </c>
      <c r="K9">
        <f>J9*(1+Summary!$B$52/100)*(1+Inputs!$B$15/100)*(1+IF(Inputs!$B$38="pvp",0,(1-Summary!$B$56)*(Inputs!$B$20+Skills!P9)+Summary!$B$56*(Inputs!$B$21+Skills!Q9))/100)*(1+Inputs!$B$16/100)*(5000/(6000+Inputs!$B$42*(1-Inputs!$B$19/100)))*(1+Inputs!$B$24/100)*(1+F23/100)*(1+IF(Inputs!$B$3&gt;=120,F26,0)/100)^5*(1+(IF(Skills!A9="BASIC_ATTACK",Inputs!$B$17,Inputs!$B$18+IF(Inputs!$B$3&gt;=125,F27*5,0)))/100)*(Summary!$B$58*Summary!$B$59*Summary!$B$60*I9)</f>
        <v/>
      </c>
      <c r="L9">
        <f>K9*(MIN(Inputs!$B$22,Inputs!$B$23)/100+Inputs!$B$23/100)/2</f>
        <v/>
      </c>
      <c r="M9">
        <f>L9*(1+Inputs!$B$10/100)</f>
        <v/>
      </c>
      <c r="N9">
        <f>L9*(1-MIN(Inputs!$B$9,100)/100)+M9*(MIN(Inputs!$B$9,100)/100)</f>
        <v/>
      </c>
      <c r="O9">
        <f>IF(C9,H9*N9*IF(AND(Inputs!$B$38&lt;&gt;"pvp",Inputs!$B$43&gt;0),((Skills!G9*((R9-1)*IF(Skills!H9&gt;0,Skills!I9/Skills!H9,1)+IF(Skills!H9&gt;0,MIN(Skills!I9,MAX(0,Inputs!$B$43-((R9-1)*IF(Inputs!$B$38="pvp",15,MAX(0.1,Skills!E9-IF(Skills!F7=TRUE,Inputs!$B$32,0))))))/Skills!H9,1)))/Inputs!$B$43),G9*Q9)*IF(Inputs!$B$38="pvp",1,(1-Summary!$B$56)*(1)+Summary!$B$56*(MIN(Skills!R9,Inputs!$B$37))),0)</f>
        <v/>
      </c>
      <c r="P9">
        <f>IF(Summary!$B$3=0,0,O9/Summary!$B$3)</f>
        <v/>
      </c>
      <c r="Q9">
        <f>IFERROR(1/IF(Inputs!$B$38="pvp",15,MAX(0.1,Skills!E9-IF(Skills!F7=TRUE,Inputs!$B$32,0))),0)</f>
        <v/>
      </c>
      <c r="R9">
        <f>IF(AND(Inputs!$B$38&lt;&gt;"pvp",Inputs!$B$43&gt;0),(INT(Inputs!$B$43/IF(Inputs!$B$38="pvp",15,MAX(0.1,Skills!E9-IF(Skills!F7=TRUE,Inputs!$B$32,0))))+1),0)</f>
        <v/>
      </c>
    </row>
    <row r="10">
      <c r="A10">
        <f>Skills!A10</f>
        <v/>
      </c>
      <c r="B10">
        <f>Skills!B10</f>
        <v/>
      </c>
      <c r="C10">
        <f>TRUE</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IF(Skills!X10&lt;&gt;"",1+(Skills!X10/10)*($Z$3/1000)/100,1)</f>
        <v/>
      </c>
      <c r="J10">
        <f>Summary!$B$51*(F10/100)</f>
        <v/>
      </c>
      <c r="K10">
        <f>J10*(1+Summary!$B$52/100)*(1+Inputs!$B$15/100)*(1+IF(Inputs!$B$38="pvp",0,(1-Summary!$B$56)*(Inputs!$B$20+Skills!P10)+Summary!$B$56*(Inputs!$B$21+Skills!Q10))/100)*(1+Inputs!$B$16/100)*(5000/(6000+Inputs!$B$42*(1-Inputs!$B$19/100)))*(1+Inputs!$B$24/100)*(1+F23/100)*(1+IF(Inputs!$B$3&gt;=120,F26,0)/100)^5*(1+(IF(Skills!A10="BASIC_ATTACK",Inputs!$B$17,Inputs!$B$18+IF(Inputs!$B$3&gt;=125,F27*5,0)))/100)*(Summary!$B$58*Summary!$B$59*Summary!$B$60*I10)</f>
        <v/>
      </c>
      <c r="L10">
        <f>K10*(MIN(Inputs!$B$22,Inputs!$B$23)/100+Inputs!$B$23/100)/2</f>
        <v/>
      </c>
      <c r="M10">
        <f>L10*(1+Inputs!$B$10/100)</f>
        <v/>
      </c>
      <c r="N10">
        <f>L10*(1-MIN(Inputs!$B$9,100)/100)+M10*(MIN(Inputs!$B$9,100)/100)</f>
        <v/>
      </c>
      <c r="O10">
        <f>IF(C10,H10*N10*IF(AND(Inputs!$B$38&lt;&gt;"pvp",Inputs!$B$43&gt;0),((Skills!G10*((R10-1)*IF(Skills!H10&gt;0,Skills!I10/Skills!H10,1)+IF(Skills!H10&gt;0,MIN(Skills!I10,MAX(0,Inputs!$B$43-((R10-1)*IF(Inputs!$B$38="pvp",15,MAX(0.1,Skills!E10-IF(Skills!F10=TRUE,Inputs!$B$32,0))))))/Skills!H10,1)))/Inputs!$B$43),G10*Q10)*IF(Inputs!$B$38="pvp",1,(1-Summary!$B$56)*(1)+Summary!$B$56*(MIN(Skills!R10,Inputs!$B$37))),0)</f>
        <v/>
      </c>
      <c r="P10">
        <f>IF(Summary!$B$3=0,0,O10/Summary!$B$3)</f>
        <v/>
      </c>
      <c r="Q10">
        <f>IFERROR(1/IF(Inputs!$B$38="pvp",15,MAX(0.1,Skills!E10-IF(Skills!F10=TRUE,Inputs!$B$32,0))),0)</f>
        <v/>
      </c>
      <c r="R10">
        <f>IF(AND(Inputs!$B$38&lt;&gt;"pvp",Inputs!$B$43&gt;0),(INT(Inputs!$B$43/IF(Inputs!$B$38="pvp",15,MAX(0.1,Skills!E10-IF(Skills!F10=TRUE,Inputs!$B$32,0))))+1),0)</f>
        <v/>
      </c>
    </row>
    <row r="11">
      <c r="A11">
        <f>Skills!A11</f>
        <v/>
      </c>
      <c r="B11">
        <f>Skills!B11</f>
        <v/>
      </c>
      <c r="C11">
        <f>TRUE</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IF(Skills!X11&lt;&gt;"",1+(Skills!X11/10)*($Z$3/1000)/100,1)</f>
        <v/>
      </c>
      <c r="J11" t="inlineStr"/>
      <c r="K11" t="inlineStr"/>
      <c r="L11" t="inlineStr"/>
      <c r="M11" t="inlineStr"/>
      <c r="N11" t="inlineStr"/>
      <c r="O11" t="n">
        <v>0</v>
      </c>
      <c r="P11">
        <f>IF(Summary!$B$3=0,0,O11/Summary!$B$3)</f>
        <v/>
      </c>
      <c r="Q11">
        <f>IFERROR(1/IF(Inputs!$B$38="pvp",15,MAX(0.1,Skills!E11-IF(Skills!F11=TRUE,Inputs!$B$32,0))),0)</f>
        <v/>
      </c>
      <c r="R11" t="n">
        <v>0</v>
      </c>
    </row>
    <row r="12">
      <c r="A12">
        <f>Skills!A12</f>
        <v/>
      </c>
      <c r="B12">
        <f>Skills!B12</f>
        <v/>
      </c>
      <c r="C12">
        <f>TRUE</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IF(Skills!X12&lt;&gt;"",1+(Skills!X12/10)*($Z$3/1000)/100,1)</f>
        <v/>
      </c>
      <c r="J12" t="inlineStr"/>
      <c r="K12" t="inlineStr"/>
      <c r="L12" t="inlineStr"/>
      <c r="M12" t="inlineStr"/>
      <c r="N12" t="inlineStr"/>
      <c r="O12" t="n">
        <v>0</v>
      </c>
      <c r="P12">
        <f>IF(Summary!$B$3=0,0,O12/Summary!$B$3)</f>
        <v/>
      </c>
      <c r="Q12">
        <f>IFERROR(1/IF(Inputs!$B$38="pvp",15,MAX(0.1,Skills!E12-IF(Skills!F12=TRUE,Inputs!$B$32,0))),0)</f>
        <v/>
      </c>
      <c r="R12" t="n">
        <v>0</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IF(Skills!X13&lt;&gt;"",1+(Skills!X13/10)*($Z$3/1000)/100,1)</f>
        <v/>
      </c>
      <c r="J13">
        <f>Summary!$B$51*(F13/100)</f>
        <v/>
      </c>
      <c r="K13">
        <f>J13*(1+Summary!$B$52/100)*(1+Inputs!$B$15/100)*(1+IF(Inputs!$B$38="pvp",0,(1-Summary!$B$56)*(Inputs!$B$20+Skills!P13)+Summary!$B$56*(Inputs!$B$21+Skills!Q13))/100)*(1+Inputs!$B$16/100)*(5000/(6000+Inputs!$B$42*(1-Inputs!$B$19/100)))*(1+Inputs!$B$24/100)*(1+F23/100)*(1+IF(Inputs!$B$3&gt;=120,F26,0)/100)^5*(1+(IF(Skills!A13="BASIC_ATTACK",Inputs!$B$17,Inputs!$B$18+IF(Inputs!$B$3&gt;=125,F27*5,0)))/100)*(Summary!$B$58*Summary!$B$59*Summary!$B$60*I13)</f>
        <v/>
      </c>
      <c r="L13">
        <f>K13*(MIN(Inputs!$B$22,Inputs!$B$23)/100+Inputs!$B$23/100)/2</f>
        <v/>
      </c>
      <c r="M13">
        <f>L13*(1+Inputs!$B$10/100)</f>
        <v/>
      </c>
      <c r="N13">
        <f>L13*(1-MIN(Inputs!$B$9,100)/100)+M13*(MIN(Inputs!$B$9,100)/100)</f>
        <v/>
      </c>
      <c r="O13">
        <f>IF(C13,H13*N13*IF(AND(Inputs!$B$38&lt;&gt;"pvp",Inputs!$B$43&gt;0),((Skills!G13*((R13-1)*IF(Skills!H13&gt;0,Skills!I13/Skills!H13,1)+IF(Skills!H13&gt;0,MIN(Skills!I13,MAX(0,Inputs!$B$43-((R13-1)*IF(Inputs!$B$38="pvp",15,MAX(0.1,Skills!E13-IF(Skills!F13=TRUE,Inputs!$B$32,0))))))/Skills!H13,1)))/Inputs!$B$43),G13*Q13)*IF(Inputs!$B$38="pvp",1,(1-Summary!$B$56)*(1)+Summary!$B$56*(MIN(Skills!R13,Inputs!$B$37))),0)</f>
        <v/>
      </c>
      <c r="P13">
        <f>IF(Summary!$B$3=0,0,O13/Summary!$B$3)</f>
        <v/>
      </c>
      <c r="Q13">
        <f>IFERROR(1/IF(Inputs!$B$38="pvp",15,MAX(0.1,Skills!E13-IF(Skills!F13=TRUE,Inputs!$B$32,0))),0)</f>
        <v/>
      </c>
      <c r="R13">
        <f>IF(AND(Inputs!$B$38&lt;&gt;"pvp",Inputs!$B$43&gt;0),(INT(Inputs!$B$43/IF(Inputs!$B$38="pvp",15,MAX(0.1,Skills!E13-IF(Skills!F13=TRUE,Inputs!$B$32,0))))+1),0)</f>
        <v/>
      </c>
    </row>
    <row r="14">
      <c r="A14">
        <f>Skills!A14</f>
        <v/>
      </c>
      <c r="B14">
        <f>Skills!B14</f>
        <v/>
      </c>
      <c r="C14">
        <f>Inputs!$B$3&gt;=113</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IF(Skills!X14&lt;&gt;"",1+(Skills!X14/10)*($Z$3/1000)/100,1)</f>
        <v/>
      </c>
      <c r="J14">
        <f>Summary!$B$51*(F14/100)</f>
        <v/>
      </c>
      <c r="K14">
        <f>J14*(1+Summary!$B$52/100)*(1+Inputs!$B$15/100)*(1+IF(Inputs!$B$38="pvp",0,(1-Summary!$B$56)*(Inputs!$B$20+Skills!P14)+Summary!$B$56*(Inputs!$B$21+Skills!Q14))/100)*(1+Inputs!$B$16/100)*(5000/(6000+Inputs!$B$42*(1-Inputs!$B$19/100)))*(1+Inputs!$B$24/100)*(1+F23/100)*(1+IF(Inputs!$B$3&gt;=120,F26,0)/100)^5*(1+(IF(Skills!A14="BASIC_ATTACK",Inputs!$B$17,Inputs!$B$18+IF(Inputs!$B$3&gt;=125,F27*5,0)))/100)*(Summary!$B$58*Summary!$B$59*Summary!$B$60*I14)</f>
        <v/>
      </c>
      <c r="L14">
        <f>K14*(MIN(Inputs!$B$22,Inputs!$B$23)/100+Inputs!$B$23/100)/2</f>
        <v/>
      </c>
      <c r="M14">
        <f>L14*(1+Inputs!$B$10/100)</f>
        <v/>
      </c>
      <c r="N14">
        <f>L14*(1-MIN(Inputs!$B$9,100)/100)+M14*(MIN(Inputs!$B$9,100)/100)</f>
        <v/>
      </c>
      <c r="O14">
        <f>IF(C14,(H14*Summary!$B$66)/(1+Skills!H14*H14*Summary!$B$66)*N14*IF(Inputs!$B$38="pvp",1,(1-Summary!$B$56)*(1)+Summary!$B$56*(MIN(Skills!R14,Inputs!$B$37))),0)</f>
        <v/>
      </c>
      <c r="P14">
        <f>IF(Summary!$B$3=0,0,O14/Summary!$B$3)</f>
        <v/>
      </c>
      <c r="Q14">
        <f>IFERROR(1/IF(Inputs!$B$38="pvp",15,MAX(0.1,Skills!E14-IF(Skills!F14=TRUE,Inputs!$B$32,0))),0)</f>
        <v/>
      </c>
      <c r="R14" t="n">
        <v>0</v>
      </c>
    </row>
    <row r="15">
      <c r="A15">
        <f>Skills!A15</f>
        <v/>
      </c>
      <c r="B15">
        <f>Skills!B15</f>
        <v/>
      </c>
      <c r="C15">
        <f>Inputs!$B$3&gt;=107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IF(Skills!X15&lt;&gt;"",1+(Skills!X15/10)*($Z$3/1000)/100,1)</f>
        <v/>
      </c>
      <c r="J15">
        <f>Summary!$B$51*(F15/100)</f>
        <v/>
      </c>
      <c r="K15">
        <f>J15*(1+Summary!$B$52/100)*(1+Inputs!$B$15/100)*(1+IF(Inputs!$B$38="pvp",0,(1-Summary!$B$56)*(Inputs!$B$20+Skills!P15)+Summary!$B$56*(Inputs!$B$21+Skills!Q15))/100)*(1+Inputs!$B$16/100)*(5000/(6000+Inputs!$B$42*(1-Inputs!$B$19/100)))*(1+Inputs!$B$24/100)*(1+F23/100)*(1+IF(Inputs!$B$3&gt;=120,F26,0)/100)^5*(1+(IF(Skills!A15="BASIC_ATTACK",Inputs!$B$17,Inputs!$B$18+IF(Inputs!$B$3&gt;=125,F27*5,0)))/100)*(Summary!$B$58*Summary!$B$59*Summary!$B$60*I15)</f>
        <v/>
      </c>
      <c r="L15">
        <f>K15*(MIN(Inputs!$B$22,Inputs!$B$23)/100+Inputs!$B$23/100)/2</f>
        <v/>
      </c>
      <c r="M15">
        <f>L15*(1+Inputs!$B$10/100)</f>
        <v/>
      </c>
      <c r="N15">
        <f>L15*(1-MIN(Inputs!$B$9,100)/100)+M15*(MIN(Inputs!$B$9,100)/100)</f>
        <v/>
      </c>
      <c r="O15">
        <f>IF(C15,H15*N15*IF(AND(Inputs!$B$38&lt;&gt;"pvp",Inputs!$B$43&gt;0),((Skills!G15*((R15-1)*IF(Skills!H15&gt;0,Skills!I15/Skills!H15,1)+IF(Skills!H15&gt;0,MIN(Skills!I15,MAX(0,Inputs!$B$43-((R15-1)*IF(Inputs!$B$38="pvp",15,MAX(0.1,Skills!E15-IF(Skills!F15=TRUE,Inputs!$B$32,0))))))/Skills!H15,1)))/Inputs!$B$43),G15*Q15)*IF(Inputs!$B$38="pvp",1,(1-Summary!$B$56)*(1)+Summary!$B$56*(MIN(Skills!R15,Inputs!$B$37))),0)</f>
        <v/>
      </c>
      <c r="P15">
        <f>IF(Summary!$B$3=0,0,O15/Summary!$B$3)</f>
        <v/>
      </c>
      <c r="Q15">
        <f>IFERROR(1/IF(Inputs!$B$38="pvp",15,MAX(0.1,Skills!E15-IF(Skills!F15=TRUE,Inputs!$B$32,0))),0)</f>
        <v/>
      </c>
      <c r="R15">
        <f>IF(AND(Inputs!$B$38&lt;&gt;"pvp",Inputs!$B$43&gt;0),(INT(Inputs!$B$43/IF(Inputs!$B$38="pvp",15,MAX(0.1,Skills!E15-IF(Skills!F15=TRUE,Inputs!$B$32,0))))+1),0)</f>
        <v/>
      </c>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IF(Skills!X16&lt;&gt;"",1+(Skills!X16/10)*($Z$3/1000)/100,1)</f>
        <v/>
      </c>
      <c r="J16">
        <f>Summary!$B$51*(F16/100)</f>
        <v/>
      </c>
      <c r="K16">
        <f>J16*(1+Summary!$B$52/100)*(1+Inputs!$B$15/100)*(1+IF(Inputs!$B$38="pvp",0,(1-Summary!$B$56)*(Inputs!$B$20+Skills!P16)+Summary!$B$56*(Inputs!$B$21+Skills!Q16))/100)*(1+Inputs!$B$16/100)*(5000/(6000+Inputs!$B$42*(1-Inputs!$B$19/100)))*(1+Inputs!$B$24/100)*(1+F23/100)*(1+IF(Inputs!$B$3&gt;=120,F26,0)/100)^5*(1+(IF(Skills!A16="BASIC_ATTACK",Inputs!$B$17,Inputs!$B$18+IF(Inputs!$B$3&gt;=125,F27*5,0)))/100)*(Summary!$B$58*Summary!$B$59*Summary!$B$60*I16)</f>
        <v/>
      </c>
      <c r="L16">
        <f>K16*(MIN(Inputs!$B$22,Inputs!$B$23)/100+Inputs!$B$23/100)/2</f>
        <v/>
      </c>
      <c r="M16">
        <f>L16*(1+Inputs!$B$10/100)</f>
        <v/>
      </c>
      <c r="N16">
        <f>L16*(1-MIN(Inputs!$B$9,100)/100)+M16*(MIN(Inputs!$B$9,100)/100)</f>
        <v/>
      </c>
      <c r="O16">
        <f>IF(C16,H16*N16*IF(AND(Inputs!$B$38&lt;&gt;"pvp",Inputs!$B$43&gt;0),((Skills!G16*((R16-1)*IF(Skills!H16&gt;0,Skills!I16/Skills!H16,1)+IF(Skills!H16&gt;0,MIN(Skills!I16,MAX(0,Inputs!$B$43-((R16-1)*IF(Inputs!$B$38="pvp",15,MAX(0.1,Skills!E16-IF(Skills!F16=TRUE,Inputs!$B$32,0))))))/Skills!H16,1)))/Inputs!$B$43),G16*Q16)*(1+IF(Inputs!$B$3&gt;=126,0.05*(Summary!$B$64+Q13+(H14*Summary!$B$66)/(1+Skills!H14*H14*Summary!$B$66)+Q24),0)*Skills!E15)*IF(Inputs!$B$38="pvp",1,(1-Summary!$B$56)*(1)+Summary!$B$56*(MIN(Skills!R16,Inputs!$B$37))),0)</f>
        <v/>
      </c>
      <c r="P16">
        <f>IF(Summary!$B$3=0,0,O16/Summary!$B$3)</f>
        <v/>
      </c>
      <c r="Q16">
        <f>IFERROR(1/IF(Inputs!$B$38="pvp",15,MAX(0.1,Skills!E16-IF(Skills!F16=TRUE,Inputs!$B$32,0))),0)</f>
        <v/>
      </c>
      <c r="R16">
        <f>IF(AND(Inputs!$B$38&lt;&gt;"pvp",Inputs!$B$43&gt;0),(INT(Inputs!$B$43/IF(Inputs!$B$38="pvp",15,MAX(0.1,Skills!E16-IF(Skills!F16=TRUE,Inputs!$B$32,0))))+1),0)</f>
        <v/>
      </c>
    </row>
    <row r="17">
      <c r="A17">
        <f>Skills!A17</f>
        <v/>
      </c>
      <c r="B17">
        <f>Skills!B17</f>
        <v/>
      </c>
      <c r="C17">
        <f>TRUE</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IF(Skills!X17&lt;&gt;"",1+(Skills!X17/10)*($Z$3/1000)/100,1)</f>
        <v/>
      </c>
      <c r="J17" t="inlineStr"/>
      <c r="K17" t="inlineStr"/>
      <c r="L17" t="inlineStr"/>
      <c r="M17" t="inlineStr"/>
      <c r="N17" t="inlineStr"/>
      <c r="O17" t="n">
        <v>0</v>
      </c>
      <c r="P17">
        <f>IF(Summary!$B$3=0,0,O17/Summary!$B$3)</f>
        <v/>
      </c>
      <c r="Q17">
        <f>IFERROR(1/IF(Inputs!$B$38="pvp",15,MAX(0.1,Skills!E17-IF(Skills!F17=TRUE,Inputs!$B$32,0))),0)</f>
        <v/>
      </c>
      <c r="R17">
        <f>IF(AND(Inputs!$B$38&lt;&gt;"pvp",Inputs!$B$43&gt;0),(INT(Inputs!$B$43/IF(Inputs!$B$38="pvp",15,MAX(0.1,Skills!E17-IF(Skills!F17=TRUE,Inputs!$B$32,0))))+1),0)</f>
        <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IF(Skills!X18&lt;&gt;"",1+(Skills!X18/10)*($Z$3/1000)/100,1)</f>
        <v/>
      </c>
      <c r="J18" t="inlineStr"/>
      <c r="K18" t="inlineStr"/>
      <c r="L18" t="inlineStr"/>
      <c r="M18" t="inlineStr"/>
      <c r="N18" t="inlineStr"/>
      <c r="O18" t="n">
        <v>0</v>
      </c>
      <c r="P18">
        <f>IF(Summary!$B$3=0,0,O18/Summary!$B$3)</f>
        <v/>
      </c>
      <c r="Q18">
        <f>IFERROR(1/IF(Inputs!$B$38="pvp",15,MAX(0.1,Skills!E18-IF(Skills!F18=TRUE,Inputs!$B$32,0))),0)</f>
        <v/>
      </c>
      <c r="R18">
        <f>IF(AND(Inputs!$B$38&lt;&gt;"pvp",Inputs!$B$43&gt;0),(INT(Inputs!$B$43/IF(Inputs!$B$38="pvp",15,MAX(0.1,Skills!E18-IF(Skills!F18=TRUE,Inputs!$B$32,0))))+1),0)</f>
        <v/>
      </c>
    </row>
    <row r="19">
      <c r="A19">
        <f>Skills!A19</f>
        <v/>
      </c>
      <c r="B19">
        <f>Skills!B19</f>
        <v/>
      </c>
      <c r="C19">
        <f>Inputs!$B$3&gt;=110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IF(Skills!X19&lt;&gt;"",1+(Skills!X19/10)*($Z$3/1000)/100,1)</f>
        <v/>
      </c>
      <c r="J19" t="inlineStr"/>
      <c r="K19" t="inlineStr"/>
      <c r="L19" t="inlineStr"/>
      <c r="M19" t="inlineStr"/>
      <c r="N19" t="inlineStr"/>
      <c r="O19" t="n">
        <v>0</v>
      </c>
      <c r="P19">
        <f>IF(Summary!$B$3=0,0,O19/Summary!$B$3)</f>
        <v/>
      </c>
      <c r="Q19">
        <f>IFERROR(1/IF(Inputs!$B$38="pvp",15,MAX(0.1,Skills!E19-IF(Skills!F19=TRUE,Inputs!$B$32,0))),0)</f>
        <v/>
      </c>
      <c r="R19">
        <f>IF(AND(Inputs!$B$38&lt;&gt;"pvp",Inputs!$B$43&gt;0),(INT(Inputs!$B$43/IF(Inputs!$B$38="pvp",15,MAX(0.1,Skills!E19-IF(Skills!F19=TRUE,Inputs!$B$32,0))))+1),0)</f>
        <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IF(Skills!X20&lt;&gt;"",1+(Skills!X20/10)*($Z$3/1000)/100,1)</f>
        <v/>
      </c>
      <c r="J20" t="inlineStr"/>
      <c r="K20" t="inlineStr"/>
      <c r="L20" t="inlineStr"/>
      <c r="M20" t="inlineStr"/>
      <c r="N20" t="inlineStr"/>
      <c r="O20" t="n">
        <v>0</v>
      </c>
      <c r="P20">
        <f>IF(Summary!$B$3=0,0,O20/Summary!$B$3)</f>
        <v/>
      </c>
      <c r="Q20">
        <f>IFERROR(1/IF(Inputs!$B$38="pvp",15,MAX(0.1,Skills!E20-IF(Skills!F20=TRUE,Inputs!$B$32,0))),0)</f>
        <v/>
      </c>
      <c r="R20" t="n">
        <v>0</v>
      </c>
    </row>
    <row r="21">
      <c r="A21">
        <f>Skills!A21</f>
        <v/>
      </c>
      <c r="B21">
        <f>Skills!B21</f>
        <v/>
      </c>
      <c r="C21">
        <f>TRUE</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IF(Skills!X21&lt;&gt;"",1+(Skills!X21/10)*($Z$3/1000)/100,1)</f>
        <v/>
      </c>
      <c r="J21" t="inlineStr"/>
      <c r="K21" t="inlineStr"/>
      <c r="L21" t="inlineStr"/>
      <c r="M21" t="inlineStr"/>
      <c r="N21" t="inlineStr"/>
      <c r="O21" t="n">
        <v>0</v>
      </c>
      <c r="P21">
        <f>IF(Summary!$B$3=0,0,O21/Summary!$B$3)</f>
        <v/>
      </c>
      <c r="Q21">
        <f>IFERROR(1/IF(Inputs!$B$38="pvp",15,MAX(0.1,Skills!E21-IF(Skills!F21=TRUE,Inputs!$B$32,0))),0)</f>
        <v/>
      </c>
      <c r="R21" t="n">
        <v>0</v>
      </c>
    </row>
    <row r="22">
      <c r="A22">
        <f>Skills!A22</f>
        <v/>
      </c>
      <c r="B22">
        <f>Skills!B22</f>
        <v/>
      </c>
      <c r="C22">
        <f>TRUE</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IF(Skills!X22&lt;&gt;"",1+(Skills!X22/10)*($Z$3/1000)/100,1)</f>
        <v/>
      </c>
      <c r="J22" t="inlineStr"/>
      <c r="K22" t="inlineStr"/>
      <c r="L22" t="inlineStr"/>
      <c r="M22" t="inlineStr"/>
      <c r="N22" t="inlineStr"/>
      <c r="O22" t="n">
        <v>0</v>
      </c>
      <c r="P22">
        <f>IF(Summary!$B$3=0,0,O22/Summary!$B$3)</f>
        <v/>
      </c>
      <c r="Q22">
        <f>IFERROR(1/IF(Inputs!$B$38="pvp",15,MAX(0.1,Skills!E22-IF(Skills!F22=TRUE,Inputs!$B$32,0))),0)</f>
        <v/>
      </c>
      <c r="R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IF(Skills!X23&lt;&gt;"",1+(Skills!X23/10)*($Z$3/1000)/100,1)</f>
        <v/>
      </c>
      <c r="J23" t="inlineStr"/>
      <c r="K23" t="inlineStr"/>
      <c r="L23" t="inlineStr"/>
      <c r="M23" t="inlineStr"/>
      <c r="N23" t="inlineStr"/>
      <c r="O23" t="n">
        <v>0</v>
      </c>
      <c r="P23">
        <f>IF(Summary!$B$3=0,0,O23/Summary!$B$3)</f>
        <v/>
      </c>
      <c r="Q23">
        <f>IFERROR(1/IF(Inputs!$B$38="pvp",15,MAX(0.1,Skills!E23-IF(Skills!F23=TRUE,Inputs!$B$32,0))),0)</f>
        <v/>
      </c>
      <c r="R23" t="n">
        <v>0</v>
      </c>
    </row>
    <row r="24">
      <c r="A24">
        <f>Skills!A24</f>
        <v/>
      </c>
      <c r="B24">
        <f>Skills!B24</f>
        <v/>
      </c>
      <c r="C24">
        <f>Inputs!$B$3&gt;=115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IF(Skills!X24&lt;&gt;"",1+(Skills!X24/10)*($Z$3/1000)/100,1)</f>
        <v/>
      </c>
      <c r="J24">
        <f>Summary!$B$51*(F24/100)</f>
        <v/>
      </c>
      <c r="K24">
        <f>J24*(1+Summary!$B$52/100)*(1+Inputs!$B$15/100)*(1+IF(Inputs!$B$38="pvp",0,(1-Summary!$B$56)*(Inputs!$B$20+Skills!P24)+Summary!$B$56*(Inputs!$B$21+Skills!Q24))/100)*(1+Inputs!$B$16/100)*(5000/(6000+Inputs!$B$42*(1-Inputs!$B$19/100)))*(1+Inputs!$B$24/100)*(1+F23/100)*(1+IF(Inputs!$B$3&gt;=120,F26,0)/100)^5*(1+(IF(Skills!A24="BASIC_ATTACK",Inputs!$B$17,Inputs!$B$18+IF(Inputs!$B$3&gt;=125,F27*5,0)))/100)*(Summary!$B$58*Summary!$B$59*Summary!$B$60*I24)</f>
        <v/>
      </c>
      <c r="L24">
        <f>K24*(MIN(Inputs!$B$22,Inputs!$B$23)/100+Inputs!$B$23/100)/2</f>
        <v/>
      </c>
      <c r="M24">
        <f>L24*(1+Inputs!$B$10/100)</f>
        <v/>
      </c>
      <c r="N24">
        <f>L24*(1-MIN(Inputs!$B$9,100)/100)+M24*(MIN(Inputs!$B$9,100)/100)</f>
        <v/>
      </c>
      <c r="O24">
        <f>IF(C24,H24*N24*IF(AND(Inputs!$B$38&lt;&gt;"pvp",Inputs!$B$43&gt;0),((Skills!G24*((R24-1)*IF(Skills!H24&gt;0,Skills!I24/Skills!H24,1)+IF(Skills!H24&gt;0,MIN(Skills!I24,MAX(0,Inputs!$B$43-((R24-1)*IF(Inputs!$B$38="pvp",15,MAX(0.1,Skills!E24-IF(Skills!F24=TRUE,Inputs!$B$32,0))))))/Skills!H24,1)))/Inputs!$B$43),G24*Q24)*(1+IF(Inputs!$B$3&gt;=130,0.2*(Skills!I16/Skills!E15+IF(Inputs!$B$3&gt;=126,0.05*(Summary!$B$64+Q13+(H14*Summary!$B$66)/(1+Skills!H14*H14*Summary!$B$66)+Q24),0)*Skills!I16),0))*IF(Inputs!$B$38="pvp",1,(1-Summary!$B$56)*(1)+Summary!$B$56*(MIN(Skills!R24,Inputs!$B$37))),0)</f>
        <v/>
      </c>
      <c r="P24">
        <f>IF(Summary!$B$3=0,0,O24/Summary!$B$3)</f>
        <v/>
      </c>
      <c r="Q24">
        <f>IFERROR(1/IF(Inputs!$B$38="pvp",15,MAX(0.1,Skills!E24-IF(Skills!F24=TRUE,Inputs!$B$32,0))),0)</f>
        <v/>
      </c>
      <c r="R24">
        <f>IF(AND(Inputs!$B$38&lt;&gt;"pvp",Inputs!$B$43&gt;0),(INT(Inputs!$B$43/IF(Inputs!$B$38="pvp",15,MAX(0.1,Skills!E24-IF(Skills!F24=TRUE,Inputs!$B$32,0))))+1),0)</f>
        <v/>
      </c>
    </row>
    <row r="25">
      <c r="A25">
        <f>Skills!A25</f>
        <v/>
      </c>
      <c r="B25">
        <f>Skills!B25</f>
        <v/>
      </c>
      <c r="C25">
        <f>Inputs!$B$3&gt;=117</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IF(Skills!X25&lt;&gt;"",1+(Skills!X25/10)*($Z$3/1000)/100,1)</f>
        <v/>
      </c>
      <c r="J25" t="inlineStr"/>
      <c r="K25" t="inlineStr"/>
      <c r="L25" t="inlineStr"/>
      <c r="M25" t="inlineStr"/>
      <c r="N25" t="inlineStr"/>
      <c r="O25" t="n">
        <v>0</v>
      </c>
      <c r="P25">
        <f>IF(Summary!$B$3=0,0,O25/Summary!$B$3)</f>
        <v/>
      </c>
      <c r="Q25">
        <f>IFERROR(1/IF(Inputs!$B$38="pvp",15,MAX(0.1,Skills!E25-IF(Skills!F25=TRUE,Inputs!$B$32,0))),0)</f>
        <v/>
      </c>
      <c r="R25" t="n">
        <v>0</v>
      </c>
    </row>
    <row r="26">
      <c r="A26">
        <f>Skills!A26</f>
        <v/>
      </c>
      <c r="B26">
        <f>Skills!B26</f>
        <v/>
      </c>
      <c r="C26">
        <f>Inputs!$B$3&gt;=120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IF(Skills!X26&lt;&gt;"",1+(Skills!X26/10)*($Z$3/1000)/100,1)</f>
        <v/>
      </c>
      <c r="J26" t="inlineStr"/>
      <c r="K26" t="inlineStr"/>
      <c r="L26" t="inlineStr"/>
      <c r="M26" t="inlineStr"/>
      <c r="N26" t="inlineStr"/>
      <c r="O26" t="n">
        <v>0</v>
      </c>
      <c r="P26">
        <f>IF(Summary!$B$3=0,0,O26/Summary!$B$3)</f>
        <v/>
      </c>
      <c r="Q26">
        <f>IFERROR(1/IF(Inputs!$B$38="pvp",15,MAX(0.1,Skills!E26-IF(Skills!F26=TRUE,Inputs!$B$32,0))),0)</f>
        <v/>
      </c>
      <c r="R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IF(Skills!X27&lt;&gt;"",1+(Skills!X27/10)*($Z$3/1000)/100,1)</f>
        <v/>
      </c>
      <c r="J27" t="inlineStr"/>
      <c r="K27" t="inlineStr"/>
      <c r="L27" t="inlineStr"/>
      <c r="M27" t="inlineStr"/>
      <c r="N27" t="inlineStr"/>
      <c r="O27" t="n">
        <v>0</v>
      </c>
      <c r="P27">
        <f>IF(Summary!$B$3=0,0,O27/Summary!$B$3)</f>
        <v/>
      </c>
      <c r="Q27">
        <f>IFERROR(1/IF(Inputs!$B$38="pvp",15,MAX(0.1,Skills!E27-IF(Skills!F27=TRUE,Inputs!$B$32,0))),0)</f>
        <v/>
      </c>
      <c r="R27" t="n">
        <v>0</v>
      </c>
    </row>
    <row r="28">
      <c r="A28">
        <f>Skills!A28</f>
        <v/>
      </c>
      <c r="B28">
        <f>Skills!B28</f>
        <v/>
      </c>
      <c r="C28">
        <f>Inputs!$B$3&gt;=118</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IF(Skills!X28&lt;&gt;"",1+(Skills!X28/10)*($Z$3/1000)/100,1)</f>
        <v/>
      </c>
      <c r="J28">
        <f>Summary!$B$51*(F28/100)</f>
        <v/>
      </c>
      <c r="K28">
        <f>J28*(1+Summary!$B$52/100)*(1+Inputs!$B$15/100)*(1+IF(Inputs!$B$38="pvp",0,(1-Summary!$B$56)*(Inputs!$B$20+Skills!P28)+Summary!$B$56*(Inputs!$B$21+Skills!Q28))/100)*(1+Inputs!$B$16/100)*(5000/(6000+Inputs!$B$42*(1-Inputs!$B$19/100)))*(1+Inputs!$B$24/100)*(1+F23/100)*(1+IF(Inputs!$B$3&gt;=120,F26,0)/100)^5*(1+(IF(Skills!A28="BASIC_ATTACK",Inputs!$B$17,Inputs!$B$18+IF(Inputs!$B$3&gt;=125,F27*5,0)))/100)*(Summary!$B$58*Summary!$B$59*Summary!$B$60*I28)</f>
        <v/>
      </c>
      <c r="L28">
        <f>K28*(MIN(Inputs!$B$22,Inputs!$B$23)/100+Inputs!$B$23/100)/2</f>
        <v/>
      </c>
      <c r="M28">
        <f>L28*(1+Inputs!$B$10/100)</f>
        <v/>
      </c>
      <c r="N28">
        <f>L28*(1-MIN(Inputs!$B$9,100)/100)+M28*(MIN(Inputs!$B$9,100)/100)</f>
        <v/>
      </c>
      <c r="O28">
        <f>IF(C28,H28*N28*IF(AND(Inputs!$B$38&lt;&gt;"pvp",Inputs!$B$43&gt;0),((Skills!G28*((R28-1)*IF(Skills!H28&gt;0,Skills!I28/Skills!H28,1)+IF(Skills!H28&gt;0,MIN(Skills!I28,MAX(0,Inputs!$B$43-((R28-1)*IF(Inputs!$B$38="pvp",15,MAX(0.1,Skills!E28-IF(Skills!F28=TRUE,Inputs!$B$32,0))))))/Skills!H28,1)))/Inputs!$B$43),G28*Q28)*IF(Inputs!$B$38="pvp",1,(1-Summary!$B$56)*(1)+Summary!$B$56*(MIN(Skills!R28,Inputs!$B$37))),0)</f>
        <v/>
      </c>
      <c r="P28">
        <f>IF(Summary!$B$3=0,0,O28/Summary!$B$3)</f>
        <v/>
      </c>
      <c r="Q28">
        <f>IFERROR(1/IF(Inputs!$B$38="pvp",15,MAX(0.1,Skills!E28-IF(Skills!F28=TRUE,Inputs!$B$32,0))),0)</f>
        <v/>
      </c>
      <c r="R28">
        <f>IF(AND(Inputs!$B$38&lt;&gt;"pvp",Inputs!$B$43&gt;0),(INT(Inputs!$B$43/IF(Inputs!$B$38="pvp",15,MAX(0.1,Skills!E28-IF(Skills!F28=TRUE,Inputs!$B$32,0))))+1),0)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55" customWidth="1" min="1" max="1"/>
    <col width="16" customWidth="1" min="2" max="2"/>
    <col width="12" customWidth="1" min="3" max="3"/>
  </cols>
  <sheetData>
    <row r="1">
      <c r="A1" s="4" t="inlineStr">
        <is>
          <t>Fire/Poison Arch Mage — DPS Summary</t>
        </is>
      </c>
    </row>
    <row r="3">
      <c r="A3" s="10" t="inlineStr">
        <is>
          <t>TOTAL DPS</t>
        </is>
      </c>
      <c r="B3" s="10">
        <f>SUM(Calc!O2:O28)</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Calc!B13</f>
        <v/>
      </c>
      <c r="B15">
        <f>Calc!O13</f>
        <v/>
      </c>
      <c r="C15">
        <f>Calc!P13*100</f>
        <v/>
      </c>
    </row>
    <row r="16">
      <c r="A16">
        <f>Calc!B14</f>
        <v/>
      </c>
      <c r="B16">
        <f>Calc!O14</f>
        <v/>
      </c>
      <c r="C16">
        <f>Calc!P14*100</f>
        <v/>
      </c>
    </row>
    <row r="17">
      <c r="A17">
        <f>Calc!B15</f>
        <v/>
      </c>
      <c r="B17">
        <f>Calc!O15</f>
        <v/>
      </c>
      <c r="C17">
        <f>Calc!P15*100</f>
        <v/>
      </c>
    </row>
    <row r="18">
      <c r="A18">
        <f>Calc!B16</f>
        <v/>
      </c>
      <c r="B18">
        <f>Calc!O16</f>
        <v/>
      </c>
      <c r="C18">
        <f>Calc!P16*100</f>
        <v/>
      </c>
    </row>
    <row r="19">
      <c r="A19">
        <f>Calc!B24</f>
        <v/>
      </c>
      <c r="B19">
        <f>Calc!O24</f>
        <v/>
      </c>
      <c r="C19">
        <f>Calc!P24*100</f>
        <v/>
      </c>
    </row>
    <row r="20">
      <c r="A20">
        <f>Calc!B28</f>
        <v/>
      </c>
      <c r="B20">
        <f>Calc!O28</f>
        <v/>
      </c>
      <c r="C20">
        <f>Calc!P28*100</f>
        <v/>
      </c>
    </row>
    <row r="21">
      <c r="A21" s="7" t="inlineStr">
        <is>
          <t>Marginal DPS &amp; Stat Value (see Sensitivity for full detail)</t>
        </is>
      </c>
    </row>
    <row r="23">
      <c r="A23" s="9" t="inlineStr">
        <is>
          <t>Stat</t>
        </is>
      </c>
      <c r="B23" s="9" t="inlineStr">
        <is>
          <t>DPS per +1</t>
        </is>
      </c>
      <c r="C23" s="9" t="inlineStr">
        <is>
          <t>Units per +1% DPS</t>
        </is>
      </c>
    </row>
    <row r="24">
      <c r="A24">
        <f>Sensitivity!A5</f>
        <v/>
      </c>
      <c r="B24">
        <f>Sensitivity!H5</f>
        <v/>
      </c>
      <c r="C24">
        <f>Sensitivity!B5</f>
        <v/>
      </c>
    </row>
    <row r="25">
      <c r="A25">
        <f>Sensitivity!A6</f>
        <v/>
      </c>
      <c r="B25">
        <f>Sensitivity!H6</f>
        <v/>
      </c>
      <c r="C25">
        <f>Sensitivity!B6</f>
        <v/>
      </c>
    </row>
    <row r="26">
      <c r="A26">
        <f>Sensitivity!A7</f>
        <v/>
      </c>
      <c r="B26">
        <f>Sensitivity!H7</f>
        <v/>
      </c>
      <c r="C26">
        <f>Sensitivity!B7</f>
        <v/>
      </c>
    </row>
    <row r="27">
      <c r="A27">
        <f>Sensitivity!A8</f>
        <v/>
      </c>
      <c r="B27">
        <f>Sensitivity!H8</f>
        <v/>
      </c>
      <c r="C27">
        <f>Sensitivity!B8</f>
        <v/>
      </c>
    </row>
    <row r="28">
      <c r="A28">
        <f>Sensitivity!A9</f>
        <v/>
      </c>
      <c r="B28">
        <f>Sensitivity!H9</f>
        <v/>
      </c>
      <c r="C28">
        <f>Sensitivity!B9</f>
        <v/>
      </c>
    </row>
    <row r="29">
      <c r="A29">
        <f>Sensitivity!A10</f>
        <v/>
      </c>
      <c r="B29">
        <f>Sensitivity!H10</f>
        <v/>
      </c>
      <c r="C29">
        <f>Sensitivity!B10</f>
        <v/>
      </c>
    </row>
    <row r="30">
      <c r="A30">
        <f>Sensitivity!A11</f>
        <v/>
      </c>
      <c r="B30">
        <f>Sensitivity!H11</f>
        <v/>
      </c>
      <c r="C30">
        <f>Sensitivity!B11</f>
        <v/>
      </c>
    </row>
    <row r="31">
      <c r="A31">
        <f>Sensitivity!A12</f>
        <v/>
      </c>
      <c r="B31">
        <f>Sensitivity!H12</f>
        <v/>
      </c>
      <c r="C31">
        <f>Sensitivity!B12</f>
        <v/>
      </c>
    </row>
    <row r="32">
      <c r="A32">
        <f>Sensitivity!A13</f>
        <v/>
      </c>
      <c r="B32">
        <f>Sensitivity!H13</f>
        <v/>
      </c>
      <c r="C32">
        <f>Sensitivity!B13</f>
        <v/>
      </c>
    </row>
    <row r="33">
      <c r="A33">
        <f>Sensitivity!A14</f>
        <v/>
      </c>
      <c r="B33">
        <f>Sensitivity!H14</f>
        <v/>
      </c>
      <c r="C33">
        <f>Sensitivity!B14</f>
        <v/>
      </c>
    </row>
    <row r="34">
      <c r="A34">
        <f>Sensitivity!A15</f>
        <v/>
      </c>
      <c r="B34">
        <f>Sensitivity!H15</f>
        <v/>
      </c>
      <c r="C34">
        <f>Sensitivity!B15</f>
        <v/>
      </c>
    </row>
    <row r="35">
      <c r="A35">
        <f>Sensitivity!A16</f>
        <v/>
      </c>
      <c r="B35">
        <f>Sensitivity!H16</f>
        <v/>
      </c>
      <c r="C35">
        <f>Sensitivity!B16</f>
        <v/>
      </c>
    </row>
    <row r="36">
      <c r="A36">
        <f>Sensitivity!A17</f>
        <v/>
      </c>
      <c r="B36">
        <f>Sensitivity!H17</f>
        <v/>
      </c>
      <c r="C36">
        <f>Sensitivity!B17</f>
        <v/>
      </c>
    </row>
    <row r="37">
      <c r="A37">
        <f>Sensitivity!A18</f>
        <v/>
      </c>
      <c r="B37">
        <f>Sensitivity!H18</f>
        <v/>
      </c>
      <c r="C37">
        <f>Sensitivity!B18</f>
        <v/>
      </c>
    </row>
    <row r="38">
      <c r="A38">
        <f>Sensitivity!A19</f>
        <v/>
      </c>
      <c r="B38">
        <f>Sensitivity!H19</f>
        <v/>
      </c>
      <c r="C38">
        <f>Sensitivity!B19</f>
        <v/>
      </c>
    </row>
    <row r="39">
      <c r="A39">
        <f>Sensitivity!A20</f>
        <v/>
      </c>
      <c r="B39">
        <f>Sensitivity!H20</f>
        <v/>
      </c>
      <c r="C39">
        <f>Sensitivity!B20</f>
        <v/>
      </c>
    </row>
    <row r="40">
      <c r="A40">
        <f>Sensitivity!A21</f>
        <v/>
      </c>
      <c r="B40">
        <f>Sensitivity!H21</f>
        <v/>
      </c>
      <c r="C40">
        <f>Sensitivity!B21</f>
        <v/>
      </c>
    </row>
    <row r="41">
      <c r="A41">
        <f>Sensitivity!A22</f>
        <v/>
      </c>
      <c r="B41">
        <f>Sensitivity!H22</f>
        <v/>
      </c>
      <c r="C41">
        <f>Sensitivity!B22</f>
        <v/>
      </c>
    </row>
    <row r="42">
      <c r="A42">
        <f>Sensitivity!A23</f>
        <v/>
      </c>
      <c r="B42">
        <f>Sensitivity!H23</f>
        <v/>
      </c>
      <c r="C42">
        <f>Sensitivity!B23</f>
        <v/>
      </c>
    </row>
    <row r="43">
      <c r="A43">
        <f>Sensitivity!A24</f>
        <v/>
      </c>
      <c r="B43">
        <f>Sensitivity!H24</f>
        <v/>
      </c>
      <c r="C43">
        <f>Sensitivity!B24</f>
        <v/>
      </c>
    </row>
    <row r="44">
      <c r="A44">
        <f>Sensitivity!A25</f>
        <v/>
      </c>
      <c r="B44">
        <f>Sensitivity!H25</f>
        <v/>
      </c>
      <c r="C44">
        <f>Sensitivity!B25</f>
        <v/>
      </c>
    </row>
    <row r="45">
      <c r="A45">
        <f>Sensitivity!A26</f>
        <v/>
      </c>
      <c r="B45">
        <f>Sensitivity!H26</f>
        <v/>
      </c>
      <c r="C45">
        <f>Sensitivity!B26</f>
        <v/>
      </c>
    </row>
    <row r="46">
      <c r="A46">
        <f>Sensitivity!A27</f>
        <v/>
      </c>
      <c r="B46">
        <f>Sensitivity!H27</f>
        <v/>
      </c>
      <c r="C46">
        <f>Sensitivity!B27</f>
        <v/>
      </c>
    </row>
    <row r="47">
      <c r="A47">
        <f>Sensitivity!A28</f>
        <v/>
      </c>
      <c r="B47">
        <f>Sensitivity!H28</f>
        <v/>
      </c>
      <c r="C47">
        <f>Sensitivity!B28</f>
        <v/>
      </c>
    </row>
    <row r="48">
      <c r="A48">
        <f>Sensitivity!A29</f>
        <v/>
      </c>
      <c r="B48">
        <f>Sensitivity!H29</f>
        <v/>
      </c>
      <c r="C48">
        <f>Sensitivity!B29</f>
        <v/>
      </c>
    </row>
    <row r="50">
      <c r="A50" s="7" t="inlineStr">
        <is>
          <t>Derived Values (read-only, computed from Inputs)</t>
        </is>
      </c>
    </row>
    <row r="51">
      <c r="A51" t="inlineStr">
        <is>
          <t>ATTACK (= Flat ATTACK x (1+ATTACK%/100))</t>
        </is>
      </c>
      <c r="B51">
        <f>Inputs!$B$6*(1+Inputs!$B$7/100)</f>
        <v/>
      </c>
    </row>
    <row r="52">
      <c r="A52" t="inlineStr">
        <is>
          <t>STAT_DAMAGE % (= 1% of total INT + 0.25% of LUK)</t>
        </is>
      </c>
      <c r="B52">
        <f>(Inputs!$B$12*(1+Inputs!$B$13/100))*0.01+Inputs!$B$14*0.0025</f>
        <v/>
      </c>
    </row>
    <row r="53">
      <c r="A53" t="inlineStr">
        <is>
          <t>Basic Attack Input Level (4th job formula)</t>
        </is>
      </c>
      <c r="B53">
        <f>MAX(0,(Inputs!$B$3-100)*3)+Inputs!$B$28+Inputs!$B$29</f>
        <v/>
      </c>
    </row>
    <row r="54">
      <c r="A54" t="inlineStr">
        <is>
          <t>Basic Attack Factor (factorIndex 21)</t>
        </is>
      </c>
      <c r="B54">
        <f>INDEX(FactorTable!$B$2:$Y$301, MATCH(ROUND(MIN(300,MAX(1,Summary!$B$53)),0), FactorTable!$A$2:$A$301,0), 22)</f>
        <v/>
      </c>
    </row>
    <row r="55">
      <c r="A55" t="inlineStr">
        <is>
          <t>SKILL_COEFFICIENT — Basic Attack base coefficient % (before Skill Mastery)</t>
        </is>
      </c>
      <c r="B55">
        <f>290*Summary!$B$54/1000</f>
        <v/>
      </c>
    </row>
    <row r="56">
      <c r="A56" t="inlineStr">
        <is>
          <t>Normal-Monster Weight (= 0 for boss, 1 for normal, Breakthrough Normal Weight % for breakthrough, 0 for pvp)</t>
        </is>
      </c>
      <c r="B56">
        <f>IF(Inputs!$B$38="normal",1,IF(Inputs!$B$38="breakthrough",Inputs!$B$44/100,0))</f>
        <v/>
      </c>
    </row>
    <row r="58">
      <c r="A58" t="inlineStr">
        <is>
          <t>Burning Magic Multiplier</t>
        </is>
      </c>
      <c r="B58">
        <f>1+(Calc!F11*Skills!Z11)/100</f>
        <v/>
      </c>
    </row>
    <row r="59">
      <c r="A59" t="inlineStr">
        <is>
          <t>Elemental Decrease Multiplier (always-on)</t>
        </is>
      </c>
      <c r="B59">
        <f>1+Calc!F12/100</f>
        <v/>
      </c>
    </row>
    <row r="60">
      <c r="A60" t="inlineStr">
        <is>
          <t>Average Buff Multiplier (Magic Guard + Meditation, summed; then Infinity)</t>
        </is>
      </c>
      <c r="B60">
        <f>(1+(Calc!F6*IF(AND(Inputs!$B$38&lt;&gt;"pvp",Inputs!$B$43&gt;0),(((Calc!R6-1)*(Skills!T6*(1+(Inputs!$B$34+IF(Inputs!$B$3&gt;=117,Calc!F25,0))/100))+MIN((Skills!T6*(1+(Inputs!$B$34+IF(Inputs!$B$3&gt;=117,Calc!F25,0))/100)),MAX(0,Inputs!$B$43-((Calc!R6-1)*Skills!E6))))/Inputs!$B$43),IF(Inputs!$B$38="pvp",MIN((Skills!T6*(1+(Inputs!$B$34+IF(Inputs!$B$3&gt;=117,Calc!F25,0))/100)),15)/15,(Skills!T6*(1+(Inputs!$B$34+IF(Inputs!$B$3&gt;=117,Calc!F25,0))/100))/Skills!E6))+Calc!F17*IF(AND(Inputs!$B$38&lt;&gt;"pvp",Inputs!$B$43&gt;0),(((Calc!R17-1)*(Skills!T17*(1+(Inputs!$B$34+IF(Inputs!$B$3&gt;=117,Calc!F25,0))/100))+MIN((Skills!T17*(1+(Inputs!$B$34+IF(Inputs!$B$3&gt;=117,Calc!F25,0))/100)),MAX(0,Inputs!$B$43-((Calc!R17-1)*Skills!E17))))/Inputs!$B$43),IF(Inputs!$B$38="pvp",MIN((Skills!T17*(1+(Inputs!$B$34+IF(Inputs!$B$3&gt;=117,Calc!F25,0))/100)),15)/15,(Skills!T17*(1+(Inputs!$B$34+IF(Inputs!$B$3&gt;=117,Calc!F25,0))/100))/Skills!E17)))/100)*IF(Calc!C19=TRUE,(1+Calc!F19*IF(AND(Inputs!$B$38&lt;&gt;"pvp",Inputs!$B$43&gt;0),(((Calc!R19-1)*(Skills!T19*(1+(Inputs!$B$34+IF(Inputs!$B$3&gt;=117,Calc!F25,0))/100))+MIN((Skills!T19*(1+(Inputs!$B$34+IF(Inputs!$B$3&gt;=117,Calc!F25,0))/100)),MAX(0,Inputs!$B$43-((Calc!R19-1)*Skills!E19))))/Inputs!$B$43),IF(Inputs!$B$38="pvp",MIN((Skills!T19*(1+(Inputs!$B$34+IF(Inputs!$B$3&gt;=117,Calc!F25,0))/100)),15)/15,(Skills!T19*(1+(Inputs!$B$34+IF(Inputs!$B$3&gt;=117,Calc!F25,0))/100))/Skills!E19))/100),1)</f>
        <v/>
      </c>
    </row>
    <row r="61">
      <c r="A61" t="inlineStr">
        <is>
          <t>Attack Speed Buff Bonus % (Nimble Feet, averaged)</t>
        </is>
      </c>
      <c r="B61">
        <f>Calc!F18*IF(AND(Inputs!$B$38&lt;&gt;"pvp",Inputs!$B$43&gt;0),(((Calc!R18-1)*(Skills!T18*(1+(Inputs!$B$34+IF(Inputs!$B$3&gt;=117,Calc!F25,0))/100))+MIN((Skills!T18*(1+(Inputs!$B$34+IF(Inputs!$B$3&gt;=117,Calc!F25,0))/100)),MAX(0,Inputs!$B$43-((Calc!R18-1)*Skills!E18))))/Inputs!$B$43),IF(Inputs!$B$38="pvp",MIN((Skills!T18*(1+(Inputs!$B$34+IF(Inputs!$B$3&gt;=117,Calc!F25,0))/100)),15)/15,(Skills!T18*(1+(Inputs!$B$34+IF(Inputs!$B$3&gt;=117,Calc!F25,0))/100))/Skills!E18))</f>
        <v/>
      </c>
    </row>
    <row r="62">
      <c r="A62" t="inlineStr">
        <is>
          <t>Actions Per Second (Attack Speed combined via diminishing-returns stack, factor 150, then capped)</t>
        </is>
      </c>
      <c r="B62">
        <f>1+MIN(150,150*(1-(1-Inputs!$B$11/150)*(1-B61/150)))/100</f>
        <v/>
      </c>
    </row>
    <row r="63">
      <c r="A63" t="inlineStr">
        <is>
          <t>Skill + Buff Cast Rate (subtracted from Basic Attack, 1/s)</t>
        </is>
      </c>
      <c r="B63">
        <f>IF(AND(Inputs!$B$38&lt;&gt;"pvp",Inputs!$B$43&gt;0),SUMPRODUCT((Skills!F2:F28=TRUE)*(Calc!C2:C28=TRUE)*Calc!R2:R28)/Inputs!$B$43,SUMPRODUCT((Skills!F2:F28=TRUE)*(Calc!C2:C28=TRUE)*Calc!Q2:Q28))</f>
        <v/>
      </c>
    </row>
    <row r="64">
      <c r="A64" t="inlineStr">
        <is>
          <t>Basic Attacks Per Second</t>
        </is>
      </c>
      <c r="B64">
        <f>MAX(0,B62-B63)</f>
        <v/>
      </c>
    </row>
    <row r="65">
      <c r="A65" t="inlineStr">
        <is>
          <t>Basic Attack DPS</t>
        </is>
      </c>
      <c r="B65">
        <f>Calc!O2</f>
        <v/>
      </c>
    </row>
    <row r="66">
      <c r="A66" t="inlineStr">
        <is>
          <t>Meteor Proc — triggering attacks' combined cast rate, incl. Basic Attack (1/s)</t>
        </is>
      </c>
      <c r="B66">
        <f>IF(AND(Inputs!$B$38&lt;&gt;"pvp",Inputs!$B$43&gt;0),SUMPRODUCT((Skills!V2:V28=TRUE)*(Calc!C2:C28=TRUE)*Calc!R2:R28*Skills!W2:W28)/Inputs!$B$43,SUMPRODUCT((Skills!V2:V28=TRUE)*(Calc!C2:C28=TRUE)*Calc!Q2:Q28*Skills!W2:W28))+B64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07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Inputs!$B$12</f>
        <v/>
      </c>
      <c r="E5">
        <f>(Inputs!$B$12+1)</f>
        <v/>
      </c>
      <c r="F5">
        <f>Summary!$B$3</f>
        <v/>
      </c>
      <c r="G5">
        <f>B71</f>
        <v/>
      </c>
      <c r="H5">
        <f>G5-F5</f>
        <v/>
      </c>
      <c r="I5">
        <f>IF(F5=0,0,G5/F5*100)</f>
        <v/>
      </c>
    </row>
    <row r="6">
      <c r="A6" t="inlineStr">
        <is>
          <t>INT %</t>
        </is>
      </c>
      <c r="B6">
        <f>IFERROR(1/(I6-100),"n/a")</f>
        <v/>
      </c>
      <c r="C6" t="inlineStr">
        <is>
          <t>pct</t>
        </is>
      </c>
      <c r="D6">
        <f>Inputs!$B$13</f>
        <v/>
      </c>
      <c r="E6">
        <f>(Inputs!$B$13+1)</f>
        <v/>
      </c>
      <c r="F6">
        <f>Summary!$B$3</f>
        <v/>
      </c>
      <c r="G6">
        <f>B113</f>
        <v/>
      </c>
      <c r="H6">
        <f>G6-F6</f>
        <v/>
      </c>
      <c r="I6">
        <f>IF(F6=0,0,G6/F6*100)</f>
        <v/>
      </c>
    </row>
    <row r="7">
      <c r="A7" t="inlineStr">
        <is>
          <t>DAMAGE %</t>
        </is>
      </c>
      <c r="B7">
        <f>IFERROR(1/(I7-100),"n/a")</f>
        <v/>
      </c>
      <c r="C7" t="inlineStr">
        <is>
          <t>pct</t>
        </is>
      </c>
      <c r="D7">
        <f>Inputs!$B$15</f>
        <v/>
      </c>
      <c r="E7">
        <f>(Inputs!$B$15+1)</f>
        <v/>
      </c>
      <c r="F7">
        <f>Summary!$B$3</f>
        <v/>
      </c>
      <c r="G7">
        <f>B155</f>
        <v/>
      </c>
      <c r="H7">
        <f>G7-F7</f>
        <v/>
      </c>
      <c r="I7">
        <f>IF(F7=0,0,G7/F7*100)</f>
        <v/>
      </c>
    </row>
    <row r="8">
      <c r="A8" t="inlineStr">
        <is>
          <t>DAMAGE_AMP %</t>
        </is>
      </c>
      <c r="B8">
        <f>IFERROR(1/(I8-100),"n/a")</f>
        <v/>
      </c>
      <c r="C8" t="inlineStr">
        <is>
          <t>pct</t>
        </is>
      </c>
      <c r="D8">
        <f>Inputs!$B$16</f>
        <v/>
      </c>
      <c r="E8">
        <f>(Inputs!$B$16+1)</f>
        <v/>
      </c>
      <c r="F8">
        <f>Summary!$B$3</f>
        <v/>
      </c>
      <c r="G8">
        <f>B197</f>
        <v/>
      </c>
      <c r="H8">
        <f>G8-F8</f>
        <v/>
      </c>
      <c r="I8">
        <f>IF(F8=0,0,G8/F8*100)</f>
        <v/>
      </c>
    </row>
    <row r="9">
      <c r="A9" t="inlineStr">
        <is>
          <t>BOSS_DAMAGE %</t>
        </is>
      </c>
      <c r="B9">
        <f>IFERROR(1/(I9-100),"n/a")</f>
        <v/>
      </c>
      <c r="C9" t="inlineStr">
        <is>
          <t>pct</t>
        </is>
      </c>
      <c r="D9">
        <f>Inputs!$B$20</f>
        <v/>
      </c>
      <c r="E9">
        <f>(Inputs!$B$20+1)</f>
        <v/>
      </c>
      <c r="F9">
        <f>Summary!$B$3</f>
        <v/>
      </c>
      <c r="G9">
        <f>B239</f>
        <v/>
      </c>
      <c r="H9">
        <f>G9-F9</f>
        <v/>
      </c>
      <c r="I9">
        <f>IF(F9=0,0,G9/F9*100)</f>
        <v/>
      </c>
    </row>
    <row r="10">
      <c r="A10" t="inlineStr">
        <is>
          <t>NORMAL_DAMAGE %</t>
        </is>
      </c>
      <c r="B10">
        <f>IFERROR(1/(I10-100),"n/a")</f>
        <v/>
      </c>
      <c r="C10" t="inlineStr">
        <is>
          <t>pct</t>
        </is>
      </c>
      <c r="D10">
        <f>Inputs!$B$21</f>
        <v/>
      </c>
      <c r="E10">
        <f>(Inputs!$B$21+1)</f>
        <v/>
      </c>
      <c r="F10">
        <f>Summary!$B$3</f>
        <v/>
      </c>
      <c r="G10">
        <f>B281</f>
        <v/>
      </c>
      <c r="H10">
        <f>G10-F10</f>
        <v/>
      </c>
      <c r="I10">
        <f>IF(F10=0,0,G10/F10*100)</f>
        <v/>
      </c>
    </row>
    <row r="11">
      <c r="A11" t="inlineStr">
        <is>
          <t>FINAL_DAMAGE % (multiplicative source)</t>
        </is>
      </c>
      <c r="B11">
        <f>IFERROR(1/(I11-100),"n/a")</f>
        <v/>
      </c>
      <c r="C11" t="inlineStr">
        <is>
          <t>mult</t>
        </is>
      </c>
      <c r="D11">
        <f>Inputs!$B$24</f>
        <v/>
      </c>
      <c r="E11">
        <f>((((1+Inputs!$B$24/100)*(1.01))-1)*100)</f>
        <v/>
      </c>
      <c r="F11">
        <f>Summary!$B$3</f>
        <v/>
      </c>
      <c r="G11">
        <f>B323</f>
        <v/>
      </c>
      <c r="H11">
        <f>G11-F11</f>
        <v/>
      </c>
      <c r="I11">
        <f>IF(F11=0,0,G11/F11*100)</f>
        <v/>
      </c>
    </row>
    <row r="12">
      <c r="A12" t="inlineStr">
        <is>
          <t>MIN_DAMAGE %</t>
        </is>
      </c>
      <c r="B12">
        <f>IFERROR(1/(I12-100),"n/a")</f>
        <v/>
      </c>
      <c r="C12" t="inlineStr">
        <is>
          <t>pct</t>
        </is>
      </c>
      <c r="D12">
        <f>Inputs!$B$22</f>
        <v/>
      </c>
      <c r="E12">
        <f>(Inputs!$B$22+1)</f>
        <v/>
      </c>
      <c r="F12">
        <f>Summary!$B$3</f>
        <v/>
      </c>
      <c r="G12">
        <f>B365</f>
        <v/>
      </c>
      <c r="H12">
        <f>G12-F12</f>
        <v/>
      </c>
      <c r="I12">
        <f>IF(F12=0,0,G12/F12*100)</f>
        <v/>
      </c>
    </row>
    <row r="13">
      <c r="A13" t="inlineStr">
        <is>
          <t>MAX_DAMAGE %</t>
        </is>
      </c>
      <c r="B13">
        <f>IFERROR(1/(I13-100),"n/a")</f>
        <v/>
      </c>
      <c r="C13" t="inlineStr">
        <is>
          <t>pct</t>
        </is>
      </c>
      <c r="D13">
        <f>Inputs!$B$23</f>
        <v/>
      </c>
      <c r="E13">
        <f>(Inputs!$B$23+1)</f>
        <v/>
      </c>
      <c r="F13">
        <f>Summary!$B$3</f>
        <v/>
      </c>
      <c r="G13">
        <f>B407</f>
        <v/>
      </c>
      <c r="H13">
        <f>G13-F13</f>
        <v/>
      </c>
      <c r="I13">
        <f>IF(F13=0,0,G13/F13*100)</f>
        <v/>
      </c>
    </row>
    <row r="14">
      <c r="A14" t="inlineStr">
        <is>
          <t>CRIT_RATE %</t>
        </is>
      </c>
      <c r="B14">
        <f>IFERROR(1/(I14-100),"n/a")</f>
        <v/>
      </c>
      <c r="C14" t="inlineStr">
        <is>
          <t>pct</t>
        </is>
      </c>
      <c r="D14">
        <f>Inputs!$B$9</f>
        <v/>
      </c>
      <c r="E14">
        <f>(Inputs!$B$9+1)</f>
        <v/>
      </c>
      <c r="F14">
        <f>Summary!$B$3</f>
        <v/>
      </c>
      <c r="G14">
        <f>B449</f>
        <v/>
      </c>
      <c r="H14">
        <f>G14-F14</f>
        <v/>
      </c>
      <c r="I14">
        <f>IF(F14=0,0,G14/F14*100)</f>
        <v/>
      </c>
    </row>
    <row r="15">
      <c r="A15" t="inlineStr">
        <is>
          <t>CRIT_DAMAGE %</t>
        </is>
      </c>
      <c r="B15">
        <f>IFERROR(1/(I15-100),"n/a")</f>
        <v/>
      </c>
      <c r="C15" t="inlineStr">
        <is>
          <t>pct</t>
        </is>
      </c>
      <c r="D15">
        <f>Inputs!$B$10</f>
        <v/>
      </c>
      <c r="E15">
        <f>(Inputs!$B$10+1)</f>
        <v/>
      </c>
      <c r="F15">
        <f>Summary!$B$3</f>
        <v/>
      </c>
      <c r="G15">
        <f>B491</f>
        <v/>
      </c>
      <c r="H15">
        <f>G15-F15</f>
        <v/>
      </c>
      <c r="I15">
        <f>IF(F15=0,0,G15/F15*100)</f>
        <v/>
      </c>
    </row>
    <row r="16">
      <c r="A16" t="inlineStr">
        <is>
          <t>ATTACK_SPEED % (diminishing returns, factor 150)</t>
        </is>
      </c>
      <c r="B16">
        <f>IFERROR(1/(I16-100),"n/a")</f>
        <v/>
      </c>
      <c r="C16" t="inlineStr">
        <is>
          <t>dr150</t>
        </is>
      </c>
      <c r="D16">
        <f>Inputs!$B$11</f>
        <v/>
      </c>
      <c r="E16">
        <f>((1-(1-Inputs!$B$11/150)*(1-1/150))*150)</f>
        <v/>
      </c>
      <c r="F16">
        <f>Summary!$B$3</f>
        <v/>
      </c>
      <c r="G16">
        <f>B533</f>
        <v/>
      </c>
      <c r="H16">
        <f>G16-F16</f>
        <v/>
      </c>
      <c r="I16">
        <f>IF(F16=0,0,G16/F16*100)</f>
        <v/>
      </c>
    </row>
    <row r="17">
      <c r="A17" t="inlineStr">
        <is>
          <t>DEF_PEN % (diminishing returns, factor 100)</t>
        </is>
      </c>
      <c r="B17">
        <f>IFERROR(1/(I17-100),"n/a")</f>
        <v/>
      </c>
      <c r="C17" t="inlineStr">
        <is>
          <t>dr100</t>
        </is>
      </c>
      <c r="D17">
        <f>Inputs!$B$19</f>
        <v/>
      </c>
      <c r="E17">
        <f>((1-(1-Inputs!$B$19/100)*(1-1/100))*100)</f>
        <v/>
      </c>
      <c r="F17">
        <f>Summary!$B$3</f>
        <v/>
      </c>
      <c r="G17">
        <f>B575</f>
        <v/>
      </c>
      <c r="H17">
        <f>G17-F17</f>
        <v/>
      </c>
      <c r="I17">
        <f>IF(F17=0,0,G17/F17*100)</f>
        <v/>
      </c>
    </row>
    <row r="18">
      <c r="A18" t="inlineStr">
        <is>
          <t>BASIC_ATTACK_DAMAGE %</t>
        </is>
      </c>
      <c r="B18">
        <f>IFERROR(1/(I18-100),"n/a")</f>
        <v/>
      </c>
      <c r="C18" t="inlineStr">
        <is>
          <t>pct</t>
        </is>
      </c>
      <c r="D18">
        <f>Inputs!$B$17</f>
        <v/>
      </c>
      <c r="E18">
        <f>(Inputs!$B$17+1)</f>
        <v/>
      </c>
      <c r="F18">
        <f>Summary!$B$3</f>
        <v/>
      </c>
      <c r="G18">
        <f>B617</f>
        <v/>
      </c>
      <c r="H18">
        <f>G18-F18</f>
        <v/>
      </c>
      <c r="I18">
        <f>IF(F18=0,0,G18/F18*100)</f>
        <v/>
      </c>
    </row>
    <row r="19">
      <c r="A19" t="inlineStr">
        <is>
          <t>SKILL_DAMAGE %</t>
        </is>
      </c>
      <c r="B19">
        <f>IFERROR(1/(I19-100),"n/a")</f>
        <v/>
      </c>
      <c r="C19" t="inlineStr">
        <is>
          <t>pct</t>
        </is>
      </c>
      <c r="D19">
        <f>Inputs!$B$18</f>
        <v/>
      </c>
      <c r="E19">
        <f>(Inputs!$B$18+1)</f>
        <v/>
      </c>
      <c r="F19">
        <f>Summary!$B$3</f>
        <v/>
      </c>
      <c r="G19">
        <f>B659</f>
        <v/>
      </c>
      <c r="H19">
        <f>G19-F19</f>
        <v/>
      </c>
      <c r="I19">
        <f>IF(F19=0,0,G19/F19*100)</f>
        <v/>
      </c>
    </row>
    <row r="20">
      <c r="A20" t="inlineStr">
        <is>
          <t>Skill Level Bonus — 1st Job</t>
        </is>
      </c>
      <c r="B20">
        <f>IFERROR(1/(I20-100),"n/a")</f>
        <v/>
      </c>
      <c r="C20" t="inlineStr">
        <is>
          <t>level</t>
        </is>
      </c>
      <c r="D20">
        <f>Inputs!$B$25</f>
        <v/>
      </c>
      <c r="E20">
        <f>(Inputs!$B$25+1)</f>
        <v/>
      </c>
      <c r="F20">
        <f>Summary!$B$3</f>
        <v/>
      </c>
      <c r="G20">
        <f>B701</f>
        <v/>
      </c>
      <c r="H20">
        <f>G20-F20</f>
        <v/>
      </c>
      <c r="I20">
        <f>IF(F20=0,0,G20/F20*100)</f>
        <v/>
      </c>
    </row>
    <row r="21">
      <c r="A21" t="inlineStr">
        <is>
          <t>Skill Level Bonus — 2nd Job</t>
        </is>
      </c>
      <c r="B21">
        <f>IFERROR(1/(I21-100),"n/a")</f>
        <v/>
      </c>
      <c r="C21" t="inlineStr">
        <is>
          <t>level</t>
        </is>
      </c>
      <c r="D21">
        <f>Inputs!$B$26</f>
        <v/>
      </c>
      <c r="E21">
        <f>(Inputs!$B$26+1)</f>
        <v/>
      </c>
      <c r="F21">
        <f>Summary!$B$3</f>
        <v/>
      </c>
      <c r="G21">
        <f>B743</f>
        <v/>
      </c>
      <c r="H21">
        <f>G21-F21</f>
        <v/>
      </c>
      <c r="I21">
        <f>IF(F21=0,0,G21/F21*100)</f>
        <v/>
      </c>
    </row>
    <row r="22">
      <c r="A22" t="inlineStr">
        <is>
          <t>Skill Level Bonus — 3rd Job</t>
        </is>
      </c>
      <c r="B22">
        <f>IFERROR(1/(I22-100),"n/a")</f>
        <v/>
      </c>
      <c r="C22" t="inlineStr">
        <is>
          <t>level</t>
        </is>
      </c>
      <c r="D22">
        <f>Inputs!$B$27</f>
        <v/>
      </c>
      <c r="E22">
        <f>(Inputs!$B$27+1)</f>
        <v/>
      </c>
      <c r="F22">
        <f>Summary!$B$3</f>
        <v/>
      </c>
      <c r="G22">
        <f>B785</f>
        <v/>
      </c>
      <c r="H22">
        <f>G22-F22</f>
        <v/>
      </c>
      <c r="I22">
        <f>IF(F22=0,0,G22/F22*100)</f>
        <v/>
      </c>
    </row>
    <row r="23">
      <c r="A23" t="inlineStr">
        <is>
          <t>Skill Level Bonus — 4th Job</t>
        </is>
      </c>
      <c r="B23">
        <f>IFERROR(1/(I23-100),"n/a")</f>
        <v/>
      </c>
      <c r="C23" t="inlineStr">
        <is>
          <t>level</t>
        </is>
      </c>
      <c r="D23">
        <f>Inputs!$B$28</f>
        <v/>
      </c>
      <c r="E23">
        <f>(Inputs!$B$28+1)</f>
        <v/>
      </c>
      <c r="F23">
        <f>Summary!$B$3</f>
        <v/>
      </c>
      <c r="G23">
        <f>B827</f>
        <v/>
      </c>
      <c r="H23">
        <f>G23-F23</f>
        <v/>
      </c>
      <c r="I23">
        <f>IF(F23=0,0,G23/F23*100)</f>
        <v/>
      </c>
    </row>
    <row r="24">
      <c r="A24" t="inlineStr">
        <is>
          <t>Skill Level Bonus — All Skills</t>
        </is>
      </c>
      <c r="B24">
        <f>IFERROR(1/(I24-100),"n/a")</f>
        <v/>
      </c>
      <c r="C24" t="inlineStr">
        <is>
          <t>level</t>
        </is>
      </c>
      <c r="D24">
        <f>Inputs!$B$29</f>
        <v/>
      </c>
      <c r="E24">
        <f>(Inputs!$B$29+1)</f>
        <v/>
      </c>
      <c r="F24">
        <f>Summary!$B$3</f>
        <v/>
      </c>
      <c r="G24">
        <f>B869</f>
        <v/>
      </c>
      <c r="H24">
        <f>G24-F24</f>
        <v/>
      </c>
      <c r="I24">
        <f>IF(F24=0,0,G24/F24*100)</f>
        <v/>
      </c>
    </row>
    <row r="25">
      <c r="A25" t="inlineStr">
        <is>
          <t>Flat ATTACK</t>
        </is>
      </c>
      <c r="B25">
        <f>IFERROR(1/(I25-100),"n/a")</f>
        <v/>
      </c>
      <c r="C25" t="inlineStr">
        <is>
          <t>flat</t>
        </is>
      </c>
      <c r="D25">
        <f>Inputs!$B$6</f>
        <v/>
      </c>
      <c r="E25">
        <f>(Inputs!$B$6+1)</f>
        <v/>
      </c>
      <c r="F25">
        <f>Summary!$B$3</f>
        <v/>
      </c>
      <c r="G25">
        <f>B911</f>
        <v/>
      </c>
      <c r="H25">
        <f>G25-F25</f>
        <v/>
      </c>
      <c r="I25">
        <f>IF(F25=0,0,G25/F25*100)</f>
        <v/>
      </c>
    </row>
    <row r="26">
      <c r="A26" t="inlineStr">
        <is>
          <t>ATTACK %</t>
        </is>
      </c>
      <c r="B26">
        <f>IFERROR(1/(I26-100),"n/a")</f>
        <v/>
      </c>
      <c r="C26" t="inlineStr">
        <is>
          <t>pct</t>
        </is>
      </c>
      <c r="D26">
        <f>Inputs!$B$7</f>
        <v/>
      </c>
      <c r="E26">
        <f>(Inputs!$B$7+1)</f>
        <v/>
      </c>
      <c r="F26">
        <f>Summary!$B$3</f>
        <v/>
      </c>
      <c r="G26">
        <f>B953</f>
        <v/>
      </c>
      <c r="H26">
        <f>G26-F26</f>
        <v/>
      </c>
      <c r="I26">
        <f>IF(F26=0,0,G26/F26*100)</f>
        <v/>
      </c>
    </row>
    <row r="27">
      <c r="A27" t="inlineStr">
        <is>
          <t>Skill Cooldown Decrease (seconds)</t>
        </is>
      </c>
      <c r="B27">
        <f>IFERROR(1/(I27-100),"n/a")</f>
        <v/>
      </c>
      <c r="C27" t="inlineStr">
        <is>
          <t>flat</t>
        </is>
      </c>
      <c r="D27">
        <f>Inputs!$B$32</f>
        <v/>
      </c>
      <c r="E27">
        <f>(Inputs!$B$32+1)</f>
        <v/>
      </c>
      <c r="F27">
        <f>Summary!$B$3</f>
        <v/>
      </c>
      <c r="G27">
        <f>B995</f>
        <v/>
      </c>
      <c r="H27">
        <f>G27-F27</f>
        <v/>
      </c>
      <c r="I27">
        <f>IF(F27=0,0,G27/F27*100)</f>
        <v/>
      </c>
    </row>
    <row r="28">
      <c r="A28" t="inlineStr">
        <is>
          <t>Basic Attack Target Increase (flat)</t>
        </is>
      </c>
      <c r="B28">
        <f>IFERROR(1/(I28-100),"n/a")</f>
        <v/>
      </c>
      <c r="C28" t="inlineStr">
        <is>
          <t>flat</t>
        </is>
      </c>
      <c r="D28">
        <f>Inputs!$B$33</f>
        <v/>
      </c>
      <c r="E28">
        <f>(Inputs!$B$33+1)</f>
        <v/>
      </c>
      <c r="F28">
        <f>Summary!$B$3</f>
        <v/>
      </c>
      <c r="G28">
        <f>B1037</f>
        <v/>
      </c>
      <c r="H28">
        <f>G28-F28</f>
        <v/>
      </c>
      <c r="I28">
        <f>IF(F28=0,0,G28/F28*100)</f>
        <v/>
      </c>
    </row>
    <row r="29">
      <c r="A29" t="inlineStr">
        <is>
          <t>Buff Duration Increase %</t>
        </is>
      </c>
      <c r="B29">
        <f>IFERROR(1/(I29-100),"n/a")</f>
        <v/>
      </c>
      <c r="C29" t="inlineStr">
        <is>
          <t>pct</t>
        </is>
      </c>
      <c r="D29">
        <f>Inputs!$B$34</f>
        <v/>
      </c>
      <c r="E29">
        <f>(Inputs!$B$34+1)</f>
        <v/>
      </c>
      <c r="F29">
        <f>Summary!$B$3</f>
        <v/>
      </c>
      <c r="G29">
        <f>B1079</f>
        <v/>
      </c>
      <c r="H29">
        <f>G29-F29</f>
        <v/>
      </c>
      <c r="I29">
        <f>IF(F29=0,0,G29/F29*100)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TRUE</f>
        <v/>
      </c>
      <c r="D34" t="inlineStr"/>
      <c r="E34" t="inlineStr"/>
      <c r="F34">
        <f>T36+Skills!O2</f>
        <v/>
      </c>
      <c r="G34">
        <f>Calc!G2</f>
        <v/>
      </c>
      <c r="H34">
        <f>Calc!H2</f>
        <v/>
      </c>
      <c r="I34">
        <f>IF(Skills!X2&lt;&gt;"",1+(Skills!X2/10)*(Z35/1000)/100,1)</f>
        <v/>
      </c>
      <c r="J34">
        <f>((Inputs!$B$6*(1+Inputs!$B$7/100))+((((Inputs!$B$12+1)*(1+Inputs!$B$13/100))-(Inputs!$B$12*(1+Inputs!$B$13/100)))+0.25*(Inputs!$B$14-Inputs!$B$14))*(1+Inputs!$B$7/100))*(F34/100)</f>
        <v/>
      </c>
      <c r="K34">
        <f>J34*(1+(((Inputs!$B$12+1)*(1+Inputs!$B$13/100))*0.01+Inputs!$B$14*0.0025)/100)*(1+Inputs!$B$15/100)*(1+IF(Inputs!$B$38="pvp",0,(1-Summary!$B$56)*(Inputs!$B$20+Skills!P2)+Summary!$B$56*(Inputs!$B$21+Skills!Q2))/100)*(1+Inputs!$B$16/100)*(5000/(6000+Inputs!$B$42*(1-Inputs!$B$19/100)))*(1+Inputs!$B$24/100)*(1+F55/100)*(1+IF(Inputs!$B$3&gt;=120,F58,0)/100)^5*(1+(IF(Skills!A2="BASIC_ATTACK",Inputs!$B$17,Inputs!$B$18+IF(Inputs!$B$3&gt;=125,F59*5,0)))/100)*(B62*B63*B64*I34)</f>
        <v/>
      </c>
      <c r="L34">
        <f>K34*(MIN(Inputs!$B$22+(F54-Calc!F22),Inputs!$B$23)/100+Inputs!$B$23/100)/2</f>
        <v/>
      </c>
      <c r="M34">
        <f>L34*(1+(Inputs!$B$10+(F53-Calc!F21))/100)</f>
        <v/>
      </c>
      <c r="N34">
        <f>L34*(1-MIN(Inputs!$B$9+(F52-Calc!F20),100)/100)+M34*(MIN(Inputs!$B$9+(F52-Calc!F20),100)/100)</f>
        <v/>
      </c>
      <c r="O34">
        <f>Skills!G2*N34*B68*IF(Inputs!$B$38="pvp",1,(1-Summary!$B$56)*(1)+Summary!$B$56*(MIN((6+Inputs!$B$33+IF(Inputs!$B$3&gt;=136,1,0)),Inputs!$B$37)))</f>
        <v/>
      </c>
      <c r="P34">
        <f>IF(B71=0,0,O34/B71)</f>
        <v/>
      </c>
      <c r="Q34">
        <f>IFERROR(1/IF(Inputs!$B$38="pvp",15,MAX(0.1,Skills!E2-IF(Skills!F2=TRUE,Inputs!$B$32,0))),0)</f>
        <v/>
      </c>
      <c r="R34" t="n">
        <v>0</v>
      </c>
      <c r="T34">
        <f>MAX(0,(Inputs!$B$3-100)*3)+Inputs!$B$28+Inputs!$B$29</f>
        <v/>
      </c>
      <c r="Z34">
        <f>MAX(0,(Inputs!$B$3-100)*3)+Inputs!$B$28+Inputs!$B$29</f>
        <v/>
      </c>
    </row>
    <row r="35">
      <c r="A35">
        <f>Skills!A3</f>
        <v/>
      </c>
      <c r="B35">
        <f>Skills!B3</f>
        <v/>
      </c>
      <c r="C35">
        <f>TRUE</f>
        <v/>
      </c>
      <c r="D35">
        <f>IF(Skills!C3=1,60+Inputs!$B$25+Inputs!$B$29,IF(Skills!C3=2,90+Inputs!$B$26+Inputs!$B$29,IF(Skills!C3=3,120+Inputs!$B$27+Inputs!$B$29,MAX(0,(Inputs!$B$3-100)*3)+Inputs!$B$28+Inputs!$B$29)))</f>
        <v/>
      </c>
      <c r="E35">
        <f>INDEX(FactorTable!$B$2:$Y$301, MATCH(ROUND(MIN(300,MAX(1,D35)),0), FactorTable!$A$2:$A$301,0), Skills!M3+1)</f>
        <v/>
      </c>
      <c r="F35">
        <f>IF(Skills!N3=TRUE,(Skills!L3/10)*(E35/1000),Skills!L3/10)+Skills!O3</f>
        <v/>
      </c>
      <c r="G35">
        <f>Calc!G3</f>
        <v/>
      </c>
      <c r="H35">
        <f>Calc!H3</f>
        <v/>
      </c>
      <c r="I35">
        <f>IF(Skills!X3&lt;&gt;"",1+(Skills!X3/10)*(Z35/1000)/100,1)</f>
        <v/>
      </c>
      <c r="J35">
        <f>((Inputs!$B$6*(1+Inputs!$B$7/100))+((((Inputs!$B$12+1)*(1+Inputs!$B$13/100))-(Inputs!$B$12*(1+Inputs!$B$13/100)))+0.25*(Inputs!$B$14-Inputs!$B$14))*(1+Inputs!$B$7/100))*(F35/100)</f>
        <v/>
      </c>
      <c r="K35">
        <f>J35*(1+(((Inputs!$B$12+1)*(1+Inputs!$B$13/100))*0.01+Inputs!$B$14*0.0025)/100)*(1+Inputs!$B$15/100)*(1+IF(Inputs!$B$38="pvp",0,(1-Summary!$B$56)*(Inputs!$B$20+Skills!P3)+Summary!$B$56*(Inputs!$B$21+Skills!Q3))/100)*(1+Inputs!$B$16/100)*(5000/(6000+Inputs!$B$42*(1-Inputs!$B$19/100)))*(1+Inputs!$B$24/100)*(1+F55/100)*(1+IF(Inputs!$B$3&gt;=120,F58,0)/100)^5*(1+(IF(Skills!A3="BASIC_ATTACK",Inputs!$B$17,Inputs!$B$18+IF(Inputs!$B$3&gt;=125,F59*5,0)))/100)*(B62*B63*B64*I35)</f>
        <v/>
      </c>
      <c r="L35">
        <f>K35*(MIN(Inputs!$B$22+(F54-Calc!F22),Inputs!$B$23)/100+Inputs!$B$23/100)/2</f>
        <v/>
      </c>
      <c r="M35">
        <f>L35*(1+(Inputs!$B$10+(F53-Calc!F21))/100)</f>
        <v/>
      </c>
      <c r="N35">
        <f>L35*(1-MIN(Inputs!$B$9+(F52-Calc!F20),100)/100)+M35*(MIN(Inputs!$B$9+(F52-Calc!F20),100)/100)</f>
        <v/>
      </c>
      <c r="O35">
        <f>IF(C35,H35*N35*IF(AND(Inputs!$B$38&lt;&gt;"pvp",Inputs!$B$43&gt;0),((Skills!G3*((R35-1)*IF(Skills!H3&gt;0,Skills!I3/Skills!H3,1)+IF(Skills!H3&gt;0,MIN(Skills!I3,MAX(0,Inputs!$B$43-((R35-1)*IF(Inputs!$B$38="pvp",15,MAX(0.1,Skills!E3-IF(Skills!F3=TRUE,Inputs!$B$32,0))))))/Skills!H3,1)))/Inputs!$B$43),G35*Q35)*IF(Inputs!$B$38="pvp",1,(1-Summary!$B$56)*(1)+Summary!$B$56*(MIN(Skills!R3,Inputs!$B$37))),0)</f>
        <v/>
      </c>
      <c r="P35">
        <f>IF(B71=0,0,O35/B71)</f>
        <v/>
      </c>
      <c r="Q35">
        <f>IFERROR(1/IF(Inputs!$B$38="pvp",15,MAX(0.1,Skills!E3-IF(Skills!F3=TRUE,Inputs!$B$32,0))),0)</f>
        <v/>
      </c>
      <c r="R35">
        <f>IF(AND(Inputs!$B$38&lt;&gt;"pvp",Inputs!$B$43&gt;0),(INT(Inputs!$B$43/IF(Inputs!$B$38="pvp",15,MAX(0.1,Skills!E3-IF(Skills!F3=TRUE,Inputs!$B$32,0))))+1),0)</f>
        <v/>
      </c>
      <c r="T35">
        <f>INDEX(FactorTable!$B$2:$Y$301, MATCH(ROUND(MIN(300,MAX(1,T34)),0), FactorTable!$A$2:$A$301,0), 22)</f>
        <v/>
      </c>
      <c r="Z35">
        <f>INDEX(FactorTable!$B$2:$Y$301, MATCH(ROUND(MIN(300,MAX(1,Z34)),0), FactorTable!$A$2:$A$301,0), 24)</f>
        <v/>
      </c>
    </row>
    <row r="36">
      <c r="A36">
        <f>Skills!A4</f>
        <v/>
      </c>
      <c r="B36">
        <f>Skills!B4</f>
        <v/>
      </c>
      <c r="C36">
        <f>TRUE</f>
        <v/>
      </c>
      <c r="D36">
        <f>IF(Skills!C4=1,60+Inputs!$B$25+Inputs!$B$29,IF(Skills!C4=2,90+Inputs!$B$26+Inputs!$B$29,IF(Skills!C4=3,120+Inputs!$B$27+Inputs!$B$29,MAX(0,(Inputs!$B$3-100)*3)+Inputs!$B$28+Inputs!$B$29)))</f>
        <v/>
      </c>
      <c r="E36">
        <f>INDEX(FactorTable!$B$2:$Y$301, MATCH(ROUND(MIN(300,MAX(1,D36)),0), FactorTable!$A$2:$A$301,0), Skills!M4+1)</f>
        <v/>
      </c>
      <c r="F36">
        <f>IF(Skills!N4=TRUE,(Skills!L4/10)*(E36/1000),Skills!L4/10)+Skills!O4</f>
        <v/>
      </c>
      <c r="G36">
        <f>Calc!G4</f>
        <v/>
      </c>
      <c r="H36">
        <f>Calc!H4</f>
        <v/>
      </c>
      <c r="I36">
        <f>IF(Skills!X4&lt;&gt;"",1+(Skills!X4/10)*(Z35/1000)/100,1)</f>
        <v/>
      </c>
      <c r="J36">
        <f>((Inputs!$B$6*(1+Inputs!$B$7/100))+((((Inputs!$B$12+1)*(1+Inputs!$B$13/100))-(Inputs!$B$12*(1+Inputs!$B$13/100)))+0.25*(Inputs!$B$14-Inputs!$B$14))*(1+Inputs!$B$7/100))*(F36/100)</f>
        <v/>
      </c>
      <c r="K36">
        <f>J36*(1+(((Inputs!$B$12+1)*(1+Inputs!$B$13/100))*0.01+Inputs!$B$14*0.0025)/100)*(1+Inputs!$B$15/100)*(1+IF(Inputs!$B$38="pvp",0,(1-Summary!$B$56)*(Inputs!$B$20+Skills!P4)+Summary!$B$56*(Inputs!$B$21+Skills!Q4))/100)*(1+Inputs!$B$16/100)*(5000/(6000+Inputs!$B$42*(1-Inputs!$B$19/100)))*(1+Inputs!$B$24/100)*(1+F55/100)*(1+IF(Inputs!$B$3&gt;=120,F58,0)/100)^5*(1+(IF(Skills!A4="BASIC_ATTACK",Inputs!$B$17,Inputs!$B$18+IF(Inputs!$B$3&gt;=125,F59*5,0)))/100)*(B62*B63*B64*I36)</f>
        <v/>
      </c>
      <c r="L36">
        <f>K36*(MIN(Inputs!$B$22+(F54-Calc!F22),Inputs!$B$23)/100+Inputs!$B$23/100)/2</f>
        <v/>
      </c>
      <c r="M36">
        <f>L36*(1+(Inputs!$B$10+(F53-Calc!F21))/100)</f>
        <v/>
      </c>
      <c r="N36">
        <f>L36*(1-MIN(Inputs!$B$9+(F52-Calc!F20),100)/100)+M36*(MIN(Inputs!$B$9+(F52-Calc!F20),100)/100)</f>
        <v/>
      </c>
      <c r="O36">
        <f>IF(C36,H36*N36*IF(AND(Inputs!$B$38&lt;&gt;"pvp",Inputs!$B$43&gt;0),((Skills!G4*((R36-1)*IF(Skills!H4&gt;0,Skills!I4/Skills!H4,1)+IF(Skills!H4&gt;0,MIN(Skills!I4,MAX(0,Inputs!$B$43-((R36-1)*IF(Inputs!$B$38="pvp",15,MAX(0.1,Skills!E4-IF(Skills!F4=TRUE,Inputs!$B$32,0))))))/Skills!H4,1)))/Inputs!$B$43),G36*Q36)*IF(Inputs!$B$38="pvp",1,(1-Summary!$B$56)*(1)+Summary!$B$56*(MIN(Skills!R4,Inputs!$B$37))),0)</f>
        <v/>
      </c>
      <c r="P36">
        <f>IF(B71=0,0,O36/B71)</f>
        <v/>
      </c>
      <c r="Q36">
        <f>IFERROR(1/IF(Inputs!$B$38="pvp",15,MAX(0.1,Skills!E4-IF(Skills!F4=TRUE,Inputs!$B$32,0))),0)</f>
        <v/>
      </c>
      <c r="R36">
        <f>IF(AND(Inputs!$B$38&lt;&gt;"pvp",Inputs!$B$43&gt;0),(INT(Inputs!$B$43/IF(Inputs!$B$38="pvp",15,MAX(0.1,Skills!E4-IF(Skills!F4=TRUE,Inputs!$B$32,0))))+1),0)</f>
        <v/>
      </c>
      <c r="T36">
        <f>290*T35/1000</f>
        <v/>
      </c>
    </row>
    <row r="37">
      <c r="A37">
        <f>Skills!A5</f>
        <v/>
      </c>
      <c r="B37">
        <f>Skills!B5</f>
        <v/>
      </c>
      <c r="C37">
        <f>TRUE</f>
        <v/>
      </c>
      <c r="D37">
        <f>IF(Skills!C5=1,60+Inputs!$B$25+Inputs!$B$29,IF(Skills!C5=2,90+Inputs!$B$26+Inputs!$B$29,IF(Skills!C5=3,120+Inputs!$B$27+Inputs!$B$29,MAX(0,(Inputs!$B$3-100)*3)+Inputs!$B$28+Inputs!$B$29)))</f>
        <v/>
      </c>
      <c r="E37">
        <f>INDEX(FactorTable!$B$2:$Y$301, MATCH(ROUND(MIN(300,MAX(1,D37)),0), FactorTable!$A$2:$A$301,0), Skills!M5+1)</f>
        <v/>
      </c>
      <c r="F37">
        <f>IF(Skills!N5=TRUE,(Skills!L5/10)*(E37/1000),Skills!L5/10)+Skills!O5</f>
        <v/>
      </c>
      <c r="G37">
        <f>Calc!G5</f>
        <v/>
      </c>
      <c r="H37">
        <f>Calc!H5</f>
        <v/>
      </c>
      <c r="I37">
        <f>IF(Skills!X5&lt;&gt;"",1+(Skills!X5/10)*(Z35/1000)/100,1)</f>
        <v/>
      </c>
      <c r="J37">
        <f>((Inputs!$B$6*(1+Inputs!$B$7/100))+((((Inputs!$B$12+1)*(1+Inputs!$B$13/100))-(Inputs!$B$12*(1+Inputs!$B$13/100)))+0.25*(Inputs!$B$14-Inputs!$B$14))*(1+Inputs!$B$7/100))*(F37/100)</f>
        <v/>
      </c>
      <c r="K37">
        <f>J37*(1+(((Inputs!$B$12+1)*(1+Inputs!$B$13/100))*0.01+Inputs!$B$14*0.0025)/100)*(1+Inputs!$B$15/100)*(1+IF(Inputs!$B$38="pvp",0,(1-Summary!$B$56)*(Inputs!$B$20+Skills!P5)+Summary!$B$56*(Inputs!$B$21+Skills!Q5))/100)*(1+Inputs!$B$16/100)*(5000/(6000+Inputs!$B$42*(1-Inputs!$B$19/100)))*(1+Inputs!$B$24/100)*(1+F55/100)*(1+IF(Inputs!$B$3&gt;=120,F58,0)/100)^5*(1+(IF(Skills!A5="BASIC_ATTACK",Inputs!$B$17,Inputs!$B$18+IF(Inputs!$B$3&gt;=125,F59*5,0)))/100)*(B62*B63*B64*I37)</f>
        <v/>
      </c>
      <c r="L37">
        <f>K37*(MIN(Inputs!$B$22+(F54-Calc!F22),Inputs!$B$23)/100+Inputs!$B$23/100)/2</f>
        <v/>
      </c>
      <c r="M37">
        <f>L37*(1+(Inputs!$B$10+(F53-Calc!F21))/100)</f>
        <v/>
      </c>
      <c r="N37">
        <f>L37*(1-MIN(Inputs!$B$9+(F52-Calc!F20),100)/100)+M37*(MIN(Inputs!$B$9+(F52-Calc!F20),100)/100)</f>
        <v/>
      </c>
      <c r="O37">
        <f>IF(C37,H37*N37*IF(AND(Inputs!$B$38&lt;&gt;"pvp",Inputs!$B$43&gt;0),((Skills!G5*((R37-1)*IF(Skills!H5&gt;0,Skills!I5/Skills!H5,1)+IF(Skills!H5&gt;0,MIN(Skills!I5,MAX(0,Inputs!$B$43-((R37-1)*IF(Inputs!$B$38="pvp",15,MAX(0.1,Skills!E5-IF(Skills!F5=TRUE,Inputs!$B$32,0))))))/Skills!H5,1)))/Inputs!$B$43),G37*Q37)*IF(Inputs!$B$38="pvp",1,(1-Summary!$B$56)*(1)+Summary!$B$56*(MIN(Skills!R5,Inputs!$B$37))),0)</f>
        <v/>
      </c>
      <c r="P37">
        <f>IF(B71=0,0,O37/B71)</f>
        <v/>
      </c>
      <c r="Q37">
        <f>IFERROR(1/IF(Inputs!$B$38="pvp",15,MAX(0.1,Skills!E5-IF(Skills!F5=TRUE,Inputs!$B$32,0))),0)</f>
        <v/>
      </c>
      <c r="R37">
        <f>IF(AND(Inputs!$B$38&lt;&gt;"pvp",Inputs!$B$43&gt;0),(INT(Inputs!$B$43/IF(Inputs!$B$38="pvp",15,MAX(0.1,Skills!E5-IF(Skills!F5=TRUE,Inputs!$B$32,0))))+1),0)</f>
        <v/>
      </c>
    </row>
    <row r="38">
      <c r="A38">
        <f>Skills!A6</f>
        <v/>
      </c>
      <c r="B38">
        <f>Skills!B6</f>
        <v/>
      </c>
      <c r="C38">
        <f>TRUE</f>
        <v/>
      </c>
      <c r="D38">
        <f>IF(Skills!C6=1,60+Inputs!$B$25+Inputs!$B$29,IF(Skills!C6=2,90+Inputs!$B$26+Inputs!$B$29,IF(Skills!C6=3,120+Inputs!$B$27+Inputs!$B$29,MAX(0,(Inputs!$B$3-100)*3)+Inputs!$B$28+Inputs!$B$29)))</f>
        <v/>
      </c>
      <c r="E38">
        <f>INDEX(FactorTable!$B$2:$Y$301, MATCH(ROUND(MIN(300,MAX(1,D38)),0), FactorTable!$A$2:$A$301,0), Skills!M6+1)</f>
        <v/>
      </c>
      <c r="F38">
        <f>IF(Skills!N6=TRUE,(Skills!L6/10)*(E38/1000),Skills!L6/10)+Skills!O6</f>
        <v/>
      </c>
      <c r="G38">
        <f>Calc!G6</f>
        <v/>
      </c>
      <c r="H38">
        <f>Calc!H6</f>
        <v/>
      </c>
      <c r="I38">
        <f>IF(Skills!X6&lt;&gt;"",1+(Skills!X6/10)*(Z35/1000)/100,1)</f>
        <v/>
      </c>
      <c r="J38" t="inlineStr"/>
      <c r="K38" t="inlineStr"/>
      <c r="L38" t="inlineStr"/>
      <c r="M38" t="inlineStr"/>
      <c r="N38" t="inlineStr"/>
      <c r="O38" t="n">
        <v>0</v>
      </c>
      <c r="P38">
        <f>IF(B71=0,0,O38/B71)</f>
        <v/>
      </c>
      <c r="Q38">
        <f>IFERROR(1/IF(Inputs!$B$38="pvp",15,MAX(0.1,Skills!E6-IF(Skills!F6=TRUE,Inputs!$B$32,0))),0)</f>
        <v/>
      </c>
      <c r="R38">
        <f>IF(AND(Inputs!$B$38&lt;&gt;"pvp",Inputs!$B$43&gt;0),(INT(Inputs!$B$43/IF(Inputs!$B$38="pvp",15,MAX(0.1,Skills!E6-IF(Skills!F6=TRUE,Inputs!$B$32,0))))+1),0)</f>
        <v/>
      </c>
    </row>
    <row r="39">
      <c r="A39">
        <f>Skills!A7</f>
        <v/>
      </c>
      <c r="B39">
        <f>Skills!B7</f>
        <v/>
      </c>
      <c r="C39">
        <f>TRUE</f>
        <v/>
      </c>
      <c r="D39">
        <f>IF(Skills!C7=1,60+Inputs!$B$25+Inputs!$B$29,IF(Skills!C7=2,90+Inputs!$B$26+Inputs!$B$29,IF(Skills!C7=3,120+Inputs!$B$27+Inputs!$B$29,MAX(0,(Inputs!$B$3-100)*3)+Inputs!$B$28+Inputs!$B$29)))</f>
        <v/>
      </c>
      <c r="E39">
        <f>INDEX(FactorTable!$B$2:$Y$301, MATCH(ROUND(MIN(300,MAX(1,D39)),0), FactorTable!$A$2:$A$301,0), Skills!M7+1)</f>
        <v/>
      </c>
      <c r="F39">
        <f>IF(Skills!N7=TRUE,(Skills!L7/10)*(E39/1000),Skills!L7/10)+Skills!O7</f>
        <v/>
      </c>
      <c r="G39">
        <f>Calc!G7</f>
        <v/>
      </c>
      <c r="H39">
        <f>Calc!H7</f>
        <v/>
      </c>
      <c r="I39">
        <f>IF(Skills!X7&lt;&gt;"",1+(Skills!X7/10)*(Z35/1000)/100,1)</f>
        <v/>
      </c>
      <c r="J39">
        <f>((Inputs!$B$6*(1+Inputs!$B$7/100))+((((Inputs!$B$12+1)*(1+Inputs!$B$13/100))-(Inputs!$B$12*(1+Inputs!$B$13/100)))+0.25*(Inputs!$B$14-Inputs!$B$14))*(1+Inputs!$B$7/100))*(F39/100)</f>
        <v/>
      </c>
      <c r="K39">
        <f>J39*(1+(((Inputs!$B$12+1)*(1+Inputs!$B$13/100))*0.01+Inputs!$B$14*0.0025)/100)*(1+Inputs!$B$15/100)*(1+IF(Inputs!$B$38="pvp",0,(1-Summary!$B$56)*(Inputs!$B$20+Skills!P7)+Summary!$B$56*(Inputs!$B$21+Skills!Q7))/100)*(1+Inputs!$B$16/100)*(5000/(6000+Inputs!$B$42*(1-Inputs!$B$19/100)))*(1+Inputs!$B$24/100)*(1+F55/100)*(1+IF(Inputs!$B$3&gt;=120,F58,0)/100)^5*(1+(IF(Skills!A7="BASIC_ATTACK",Inputs!$B$17,Inputs!$B$18+IF(Inputs!$B$3&gt;=125,F59*5,0)))/100)*(B62*B63*B64*I39)</f>
        <v/>
      </c>
      <c r="L39">
        <f>K39*(MIN(Inputs!$B$22+(F54-Calc!F22),Inputs!$B$23)/100+Inputs!$B$23/100)/2</f>
        <v/>
      </c>
      <c r="M39">
        <f>L39*(1+(Inputs!$B$10+(F53-Calc!F21))/100)</f>
        <v/>
      </c>
      <c r="N39">
        <f>L39*(1-MIN(Inputs!$B$9+(F52-Calc!F20),100)/100)+M39*(MIN(Inputs!$B$9+(F52-Calc!F20),100)/100)</f>
        <v/>
      </c>
      <c r="O39">
        <f>IF(C39,H39*N39*IF(AND(Inputs!$B$38&lt;&gt;"pvp",Inputs!$B$43&gt;0),((Skills!G7*((R39-1)*IF(Skills!H7&gt;0,Skills!I7/Skills!H7,1)+IF(Skills!H7&gt;0,MIN(Skills!I7,MAX(0,Inputs!$B$43-((R39-1)*IF(Inputs!$B$38="pvp",15,MAX(0.1,Skills!E7-IF(Skills!F7=TRUE,Inputs!$B$32,0))))))/Skills!H7,1)))/Inputs!$B$43),G39*Q39)*IF(Inputs!$B$38="pvp",1,(1-Summary!$B$56)*(1)+Summary!$B$56*(MIN(Skills!R7,Inputs!$B$37))),0)</f>
        <v/>
      </c>
      <c r="P39">
        <f>IF(B71=0,0,O39/B71)</f>
        <v/>
      </c>
      <c r="Q39">
        <f>IFERROR(1/IF(Inputs!$B$38="pvp",15,MAX(0.1,Skills!E7-IF(Skills!F7=TRUE,Inputs!$B$32,0))),0)</f>
        <v/>
      </c>
      <c r="R39">
        <f>IF(AND(Inputs!$B$38&lt;&gt;"pvp",Inputs!$B$43&gt;0),(INT(Inputs!$B$43/IF(Inputs!$B$38="pvp",15,MAX(0.1,Skills!E7-IF(Skills!F7=TRUE,Inputs!$B$32,0))))+1),0)</f>
        <v/>
      </c>
    </row>
    <row r="40">
      <c r="A40">
        <f>Skills!A8</f>
        <v/>
      </c>
      <c r="B40">
        <f>Skills!B8</f>
        <v/>
      </c>
      <c r="C40">
        <f>TRUE</f>
        <v/>
      </c>
      <c r="D40">
        <f>IF(Skills!C8=1,60+Inputs!$B$25+Inputs!$B$29,IF(Skills!C8=2,90+Inputs!$B$26+Inputs!$B$29,IF(Skills!C8=3,120+Inputs!$B$27+Inputs!$B$29,MAX(0,(Inputs!$B$3-100)*3)+Inputs!$B$28+Inputs!$B$29)))</f>
        <v/>
      </c>
      <c r="E40">
        <f>INDEX(FactorTable!$B$2:$Y$301, MATCH(ROUND(MIN(300,MAX(1,D40)),0), FactorTable!$A$2:$A$301,0), Skills!M8+1)</f>
        <v/>
      </c>
      <c r="F40">
        <f>IF(Skills!N8=TRUE,(Skills!L8/10)*(E40/1000),Skills!L8/10)+Skills!O8</f>
        <v/>
      </c>
      <c r="G40">
        <f>Calc!G8</f>
        <v/>
      </c>
      <c r="H40">
        <f>Calc!H8</f>
        <v/>
      </c>
      <c r="I40">
        <f>IF(Skills!X8&lt;&gt;"",1+(Skills!X8/10)*(Z35/1000)/100,1)</f>
        <v/>
      </c>
      <c r="J40">
        <f>((Inputs!$B$6*(1+Inputs!$B$7/100))+((((Inputs!$B$12+1)*(1+Inputs!$B$13/100))-(Inputs!$B$12*(1+Inputs!$B$13/100)))+0.25*(Inputs!$B$14-Inputs!$B$14))*(1+Inputs!$B$7/100))*(F40/100)</f>
        <v/>
      </c>
      <c r="K40">
        <f>J40*(1+(((Inputs!$B$12+1)*(1+Inputs!$B$13/100))*0.01+Inputs!$B$14*0.0025)/100)*(1+Inputs!$B$15/100)*(1+IF(Inputs!$B$38="pvp",0,(1-Summary!$B$56)*(Inputs!$B$20+Skills!P8)+Summary!$B$56*(Inputs!$B$21+Skills!Q8))/100)*(1+Inputs!$B$16/100)*(5000/(6000+Inputs!$B$42*(1-Inputs!$B$19/100)))*(1+Inputs!$B$24/100)*(1+F55/100)*(1+IF(Inputs!$B$3&gt;=120,F58,0)/100)^5*(1+(IF(Skills!A8="BASIC_ATTACK",Inputs!$B$17,Inputs!$B$18+IF(Inputs!$B$3&gt;=125,F59*5,0)))/100)*(B62*B63*B64*I40)</f>
        <v/>
      </c>
      <c r="L40">
        <f>K40*(MIN(Inputs!$B$22+(F54-Calc!F22),Inputs!$B$23)/100+Inputs!$B$23/100)/2</f>
        <v/>
      </c>
      <c r="M40">
        <f>L40*(1+(Inputs!$B$10+(F53-Calc!F21))/100)</f>
        <v/>
      </c>
      <c r="N40">
        <f>L40*(1-MIN(Inputs!$B$9+(F52-Calc!F20),100)/100)+M40*(MIN(Inputs!$B$9+(F52-Calc!F20),100)/100)</f>
        <v/>
      </c>
      <c r="O40">
        <f>IF(C40,H40*N40*IF(AND(Inputs!$B$38&lt;&gt;"pvp",Inputs!$B$43&gt;0),((Skills!G8*((R40-1)*IF(Skills!H8&gt;0,Skills!I8/Skills!H8,1)+IF(Skills!H8&gt;0,MIN(Skills!I8,MAX(0,Inputs!$B$43-((R40-1)*IF(Inputs!$B$38="pvp",15,MAX(0.1,Skills!E8-IF(Skills!F8=TRUE,Inputs!$B$32,0))))))/Skills!H8,1)))/Inputs!$B$43),G40*Q40)*IF(Inputs!$B$38="pvp",1,(1-Summary!$B$56)*(1)+Summary!$B$56*(MIN(Skills!R8,Inputs!$B$37))),0)</f>
        <v/>
      </c>
      <c r="P40">
        <f>IF(B71=0,0,O40/B71)</f>
        <v/>
      </c>
      <c r="Q40">
        <f>IFERROR(1/IF(Inputs!$B$38="pvp",15,MAX(0.1,Skills!E8-IF(Skills!F8=TRUE,Inputs!$B$32,0))),0)</f>
        <v/>
      </c>
      <c r="R40">
        <f>IF(AND(Inputs!$B$38&lt;&gt;"pvp",Inputs!$B$43&gt;0),(INT(Inputs!$B$43/IF(Inputs!$B$38="pvp",15,MAX(0.1,Skills!E8-IF(Skills!F8=TRUE,Inputs!$B$32,0))))+1),0)</f>
        <v/>
      </c>
    </row>
    <row r="41">
      <c r="A41">
        <f>Skills!A9</f>
        <v/>
      </c>
      <c r="B41">
        <f>Skills!B9</f>
        <v/>
      </c>
      <c r="C41">
        <f>Inputs!$B$3&gt;=103</f>
        <v/>
      </c>
      <c r="D41">
        <f>IF(Skills!C9=1,60+Inputs!$B$25+Inputs!$B$29,IF(Skills!C9=2,90+Inputs!$B$26+Inputs!$B$29,IF(Skills!C9=3,120+Inputs!$B$27+Inputs!$B$29,MAX(0,(Inputs!$B$3-100)*3)+Inputs!$B$28+Inputs!$B$29)))</f>
        <v/>
      </c>
      <c r="E41">
        <f>INDEX(FactorTable!$B$2:$Y$301, MATCH(ROUND(MIN(300,MAX(1,D41)),0), FactorTable!$A$2:$A$301,0), Skills!M9+1)</f>
        <v/>
      </c>
      <c r="F41">
        <f>IF(Skills!N9=TRUE,(Skills!L9/10)*(E41/1000),Skills!L9/10)+Skills!O9</f>
        <v/>
      </c>
      <c r="G41">
        <f>Calc!G9</f>
        <v/>
      </c>
      <c r="H41">
        <f>Calc!H9</f>
        <v/>
      </c>
      <c r="I41">
        <f>IF(Skills!X9&lt;&gt;"",1+(Skills!X9/10)*(Z35/1000)/100,1)</f>
        <v/>
      </c>
      <c r="J41">
        <f>((Inputs!$B$6*(1+Inputs!$B$7/100))+((((Inputs!$B$12+1)*(1+Inputs!$B$13/100))-(Inputs!$B$12*(1+Inputs!$B$13/100)))+0.25*(Inputs!$B$14-Inputs!$B$14))*(1+Inputs!$B$7/100))*(F41/100)</f>
        <v/>
      </c>
      <c r="K41">
        <f>J41*(1+(((Inputs!$B$12+1)*(1+Inputs!$B$13/100))*0.01+Inputs!$B$14*0.0025)/100)*(1+Inputs!$B$15/100)*(1+IF(Inputs!$B$38="pvp",0,(1-Summary!$B$56)*(Inputs!$B$20+Skills!P9)+Summary!$B$56*(Inputs!$B$21+Skills!Q9))/100)*(1+Inputs!$B$16/100)*(5000/(6000+Inputs!$B$42*(1-Inputs!$B$19/100)))*(1+Inputs!$B$24/100)*(1+F55/100)*(1+IF(Inputs!$B$3&gt;=120,F58,0)/100)^5*(1+(IF(Skills!A9="BASIC_ATTACK",Inputs!$B$17,Inputs!$B$18+IF(Inputs!$B$3&gt;=125,F59*5,0)))/100)*(B62*B63*B64*I41)</f>
        <v/>
      </c>
      <c r="L41">
        <f>K41*(MIN(Inputs!$B$22+(F54-Calc!F22),Inputs!$B$23)/100+Inputs!$B$23/100)/2</f>
        <v/>
      </c>
      <c r="M41">
        <f>L41*(1+(Inputs!$B$10+(F53-Calc!F21))/100)</f>
        <v/>
      </c>
      <c r="N41">
        <f>L41*(1-MIN(Inputs!$B$9+(F52-Calc!F20),100)/100)+M41*(MIN(Inputs!$B$9+(F52-Calc!F20),100)/100)</f>
        <v/>
      </c>
      <c r="O41">
        <f>IF(C41,H41*N41*IF(AND(Inputs!$B$38&lt;&gt;"pvp",Inputs!$B$43&gt;0),((Skills!G9*((R41-1)*IF(Skills!H9&gt;0,Skills!I9/Skills!H9,1)+IF(Skills!H9&gt;0,MIN(Skills!I9,MAX(0,Inputs!$B$43-((R41-1)*IF(Inputs!$B$38="pvp",15,MAX(0.1,Skills!E9-IF(Skills!F7=TRUE,Inputs!$B$32,0))))))/Skills!H9,1)))/Inputs!$B$43),G41*Q41)*IF(Inputs!$B$38="pvp",1,(1-Summary!$B$56)*(1)+Summary!$B$56*(MIN(Skills!R9,Inputs!$B$37))),0)</f>
        <v/>
      </c>
      <c r="P41">
        <f>IF(B71=0,0,O41/B71)</f>
        <v/>
      </c>
      <c r="Q41">
        <f>IFERROR(1/IF(Inputs!$B$38="pvp",15,MAX(0.1,Skills!E9-IF(Skills!F7=TRUE,Inputs!$B$32,0))),0)</f>
        <v/>
      </c>
      <c r="R41">
        <f>IF(AND(Inputs!$B$38&lt;&gt;"pvp",Inputs!$B$43&gt;0),(INT(Inputs!$B$43/IF(Inputs!$B$38="pvp",15,MAX(0.1,Skills!E9-IF(Skills!F7=TRUE,Inputs!$B$32,0))))+1),0)</f>
        <v/>
      </c>
    </row>
    <row r="42">
      <c r="A42">
        <f>Skills!A10</f>
        <v/>
      </c>
      <c r="B42">
        <f>Skills!B10</f>
        <v/>
      </c>
      <c r="C42">
        <f>TRUE</f>
        <v/>
      </c>
      <c r="D42">
        <f>IF(Skills!C10=1,60+Inputs!$B$25+Inputs!$B$29,IF(Skills!C10=2,90+Inputs!$B$26+Inputs!$B$29,IF(Skills!C10=3,120+Inputs!$B$27+Inputs!$B$29,MAX(0,(Inputs!$B$3-100)*3)+Inputs!$B$28+Inputs!$B$29)))</f>
        <v/>
      </c>
      <c r="E42">
        <f>INDEX(FactorTable!$B$2:$Y$301, MATCH(ROUND(MIN(300,MAX(1,D42)),0), FactorTable!$A$2:$A$301,0), Skills!M10+1)</f>
        <v/>
      </c>
      <c r="F42">
        <f>IF(Skills!N10=TRUE,(Skills!L10/10)*(E42/1000),Skills!L10/10)+Skills!O10</f>
        <v/>
      </c>
      <c r="G42">
        <f>Calc!G10</f>
        <v/>
      </c>
      <c r="H42">
        <f>Calc!H10</f>
        <v/>
      </c>
      <c r="I42">
        <f>IF(Skills!X10&lt;&gt;"",1+(Skills!X10/10)*(Z35/1000)/100,1)</f>
        <v/>
      </c>
      <c r="J42">
        <f>((Inputs!$B$6*(1+Inputs!$B$7/100))+((((Inputs!$B$12+1)*(1+Inputs!$B$13/100))-(Inputs!$B$12*(1+Inputs!$B$13/100)))+0.25*(Inputs!$B$14-Inputs!$B$14))*(1+Inputs!$B$7/100))*(F42/100)</f>
        <v/>
      </c>
      <c r="K42">
        <f>J42*(1+(((Inputs!$B$12+1)*(1+Inputs!$B$13/100))*0.01+Inputs!$B$14*0.0025)/100)*(1+Inputs!$B$15/100)*(1+IF(Inputs!$B$38="pvp",0,(1-Summary!$B$56)*(Inputs!$B$20+Skills!P10)+Summary!$B$56*(Inputs!$B$21+Skills!Q10))/100)*(1+Inputs!$B$16/100)*(5000/(6000+Inputs!$B$42*(1-Inputs!$B$19/100)))*(1+Inputs!$B$24/100)*(1+F55/100)*(1+IF(Inputs!$B$3&gt;=120,F58,0)/100)^5*(1+(IF(Skills!A10="BASIC_ATTACK",Inputs!$B$17,Inputs!$B$18+IF(Inputs!$B$3&gt;=125,F59*5,0)))/100)*(B62*B63*B64*I42)</f>
        <v/>
      </c>
      <c r="L42">
        <f>K42*(MIN(Inputs!$B$22+(F54-Calc!F22),Inputs!$B$23)/100+Inputs!$B$23/100)/2</f>
        <v/>
      </c>
      <c r="M42">
        <f>L42*(1+(Inputs!$B$10+(F53-Calc!F21))/100)</f>
        <v/>
      </c>
      <c r="N42">
        <f>L42*(1-MIN(Inputs!$B$9+(F52-Calc!F20),100)/100)+M42*(MIN(Inputs!$B$9+(F52-Calc!F20),100)/100)</f>
        <v/>
      </c>
      <c r="O42">
        <f>IF(C42,H42*N42*IF(AND(Inputs!$B$38&lt;&gt;"pvp",Inputs!$B$43&gt;0),((Skills!G10*((R42-1)*IF(Skills!H10&gt;0,Skills!I10/Skills!H10,1)+IF(Skills!H10&gt;0,MIN(Skills!I10,MAX(0,Inputs!$B$43-((R42-1)*IF(Inputs!$B$38="pvp",15,MAX(0.1,Skills!E10-IF(Skills!F10=TRUE,Inputs!$B$32,0))))))/Skills!H10,1)))/Inputs!$B$43),G42*Q42)*IF(Inputs!$B$38="pvp",1,(1-Summary!$B$56)*(1)+Summary!$B$56*(MIN(Skills!R10,Inputs!$B$37))),0)</f>
        <v/>
      </c>
      <c r="P42">
        <f>IF(B71=0,0,O42/B71)</f>
        <v/>
      </c>
      <c r="Q42">
        <f>IFERROR(1/IF(Inputs!$B$38="pvp",15,MAX(0.1,Skills!E10-IF(Skills!F10=TRUE,Inputs!$B$32,0))),0)</f>
        <v/>
      </c>
      <c r="R42">
        <f>IF(AND(Inputs!$B$38&lt;&gt;"pvp",Inputs!$B$43&gt;0),(INT(Inputs!$B$43/IF(Inputs!$B$38="pvp",15,MAX(0.1,Skills!E10-IF(Skills!F10=TRUE,Inputs!$B$32,0))))+1),0)</f>
        <v/>
      </c>
    </row>
    <row r="43">
      <c r="A43">
        <f>Skills!A11</f>
        <v/>
      </c>
      <c r="B43">
        <f>Skills!B11</f>
        <v/>
      </c>
      <c r="C43">
        <f>TRUE</f>
        <v/>
      </c>
      <c r="D43">
        <f>IF(Skills!C11=1,60+Inputs!$B$25+Inputs!$B$29,IF(Skills!C11=2,90+Inputs!$B$26+Inputs!$B$29,IF(Skills!C11=3,120+Inputs!$B$27+Inputs!$B$29,MAX(0,(Inputs!$B$3-100)*3)+Inputs!$B$28+Inputs!$B$29)))</f>
        <v/>
      </c>
      <c r="E43">
        <f>INDEX(FactorTable!$B$2:$Y$301, MATCH(ROUND(MIN(300,MAX(1,D43)),0), FactorTable!$A$2:$A$301,0), Skills!M11+1)</f>
        <v/>
      </c>
      <c r="F43">
        <f>IF(Skills!N11=TRUE,(Skills!L11/10)*(E43/1000),Skills!L11/10)+Skills!O11</f>
        <v/>
      </c>
      <c r="G43">
        <f>Calc!G11</f>
        <v/>
      </c>
      <c r="H43">
        <f>Calc!H11</f>
        <v/>
      </c>
      <c r="I43">
        <f>IF(Skills!X11&lt;&gt;"",1+(Skills!X11/10)*(Z35/1000)/100,1)</f>
        <v/>
      </c>
      <c r="J43" t="inlineStr"/>
      <c r="K43" t="inlineStr"/>
      <c r="L43" t="inlineStr"/>
      <c r="M43" t="inlineStr"/>
      <c r="N43" t="inlineStr"/>
      <c r="O43" t="n">
        <v>0</v>
      </c>
      <c r="P43">
        <f>IF(B71=0,0,O43/B71)</f>
        <v/>
      </c>
      <c r="Q43">
        <f>IFERROR(1/IF(Inputs!$B$38="pvp",15,MAX(0.1,Skills!E11-IF(Skills!F11=TRUE,Inputs!$B$32,0))),0)</f>
        <v/>
      </c>
      <c r="R43" t="n">
        <v>0</v>
      </c>
    </row>
    <row r="44">
      <c r="A44">
        <f>Skills!A12</f>
        <v/>
      </c>
      <c r="B44">
        <f>Skills!B12</f>
        <v/>
      </c>
      <c r="C44">
        <f>TRUE</f>
        <v/>
      </c>
      <c r="D44">
        <f>IF(Skills!C12=1,60+Inputs!$B$25+Inputs!$B$29,IF(Skills!C12=2,90+Inputs!$B$26+Inputs!$B$29,IF(Skills!C12=3,120+Inputs!$B$27+Inputs!$B$29,MAX(0,(Inputs!$B$3-100)*3)+Inputs!$B$28+Inputs!$B$29)))</f>
        <v/>
      </c>
      <c r="E44">
        <f>INDEX(FactorTable!$B$2:$Y$301, MATCH(ROUND(MIN(300,MAX(1,D44)),0), FactorTable!$A$2:$A$301,0), Skills!M12+1)</f>
        <v/>
      </c>
      <c r="F44">
        <f>IF(Skills!N12=TRUE,(Skills!L12/10)*(E44/1000),Skills!L12/10)+Skills!O12</f>
        <v/>
      </c>
      <c r="G44">
        <f>Calc!G12</f>
        <v/>
      </c>
      <c r="H44">
        <f>Calc!H12</f>
        <v/>
      </c>
      <c r="I44">
        <f>IF(Skills!X12&lt;&gt;"",1+(Skills!X12/10)*(Z35/1000)/100,1)</f>
        <v/>
      </c>
      <c r="J44" t="inlineStr"/>
      <c r="K44" t="inlineStr"/>
      <c r="L44" t="inlineStr"/>
      <c r="M44" t="inlineStr"/>
      <c r="N44" t="inlineStr"/>
      <c r="O44" t="n">
        <v>0</v>
      </c>
      <c r="P44">
        <f>IF(B71=0,0,O44/B71)</f>
        <v/>
      </c>
      <c r="Q44">
        <f>IFERROR(1/IF(Inputs!$B$38="pvp",15,MAX(0.1,Skills!E12-IF(Skills!F12=TRUE,Inputs!$B$32,0))),0)</f>
        <v/>
      </c>
      <c r="R44" t="n">
        <v>0</v>
      </c>
    </row>
    <row r="45">
      <c r="A45">
        <f>Skills!A13</f>
        <v/>
      </c>
      <c r="B45">
        <f>Skills!B13</f>
        <v/>
      </c>
      <c r="C45">
        <f>Inputs!$B$3&gt;=105</f>
        <v/>
      </c>
      <c r="D45">
        <f>IF(Skills!C13=1,60+Inputs!$B$25+Inputs!$B$29,IF(Skills!C13=2,90+Inputs!$B$26+Inputs!$B$29,IF(Skills!C13=3,120+Inputs!$B$27+Inputs!$B$29,MAX(0,(Inputs!$B$3-100)*3)+Inputs!$B$28+Inputs!$B$29)))</f>
        <v/>
      </c>
      <c r="E45">
        <f>INDEX(FactorTable!$B$2:$Y$301, MATCH(ROUND(MIN(300,MAX(1,D45)),0), FactorTable!$A$2:$A$301,0), Skills!M13+1)</f>
        <v/>
      </c>
      <c r="F45">
        <f>IF(Skills!N13=TRUE,(Skills!L13/10)*(E45/1000),Skills!L13/10)+Skills!O13</f>
        <v/>
      </c>
      <c r="G45">
        <f>Calc!G13</f>
        <v/>
      </c>
      <c r="H45">
        <f>Calc!H13</f>
        <v/>
      </c>
      <c r="I45">
        <f>IF(Skills!X13&lt;&gt;"",1+(Skills!X13/10)*(Z35/1000)/100,1)</f>
        <v/>
      </c>
      <c r="J45">
        <f>((Inputs!$B$6*(1+Inputs!$B$7/100))+((((Inputs!$B$12+1)*(1+Inputs!$B$13/100))-(Inputs!$B$12*(1+Inputs!$B$13/100)))+0.25*(Inputs!$B$14-Inputs!$B$14))*(1+Inputs!$B$7/100))*(F45/100)</f>
        <v/>
      </c>
      <c r="K45">
        <f>J45*(1+(((Inputs!$B$12+1)*(1+Inputs!$B$13/100))*0.01+Inputs!$B$14*0.0025)/100)*(1+Inputs!$B$15/100)*(1+IF(Inputs!$B$38="pvp",0,(1-Summary!$B$56)*(Inputs!$B$20+Skills!P13)+Summary!$B$56*(Inputs!$B$21+Skills!Q13))/100)*(1+Inputs!$B$16/100)*(5000/(6000+Inputs!$B$42*(1-Inputs!$B$19/100)))*(1+Inputs!$B$24/100)*(1+F55/100)*(1+IF(Inputs!$B$3&gt;=120,F58,0)/100)^5*(1+(IF(Skills!A13="BASIC_ATTACK",Inputs!$B$17,Inputs!$B$18+IF(Inputs!$B$3&gt;=125,F59*5,0)))/100)*(B62*B63*B64*I45)</f>
        <v/>
      </c>
      <c r="L45">
        <f>K45*(MIN(Inputs!$B$22+(F54-Calc!F22),Inputs!$B$23)/100+Inputs!$B$23/100)/2</f>
        <v/>
      </c>
      <c r="M45">
        <f>L45*(1+(Inputs!$B$10+(F53-Calc!F21))/100)</f>
        <v/>
      </c>
      <c r="N45">
        <f>L45*(1-MIN(Inputs!$B$9+(F52-Calc!F20),100)/100)+M45*(MIN(Inputs!$B$9+(F52-Calc!F20),100)/100)</f>
        <v/>
      </c>
      <c r="O45">
        <f>IF(C45,H45*N45*IF(AND(Inputs!$B$38&lt;&gt;"pvp",Inputs!$B$43&gt;0),((Skills!G13*((R45-1)*IF(Skills!H13&gt;0,Skills!I13/Skills!H13,1)+IF(Skills!H13&gt;0,MIN(Skills!I13,MAX(0,Inputs!$B$43-((R45-1)*IF(Inputs!$B$38="pvp",15,MAX(0.1,Skills!E13-IF(Skills!F13=TRUE,Inputs!$B$32,0))))))/Skills!H13,1)))/Inputs!$B$43),G45*Q45)*IF(Inputs!$B$38="pvp",1,(1-Summary!$B$56)*(1)+Summary!$B$56*(MIN(Skills!R13,Inputs!$B$37))),0)</f>
        <v/>
      </c>
      <c r="P45">
        <f>IF(B71=0,0,O45/B71)</f>
        <v/>
      </c>
      <c r="Q45">
        <f>IFERROR(1/IF(Inputs!$B$38="pvp",15,MAX(0.1,Skills!E13-IF(Skills!F13=TRUE,Inputs!$B$32,0))),0)</f>
        <v/>
      </c>
      <c r="R45">
        <f>IF(AND(Inputs!$B$38&lt;&gt;"pvp",Inputs!$B$43&gt;0),(INT(Inputs!$B$43/IF(Inputs!$B$38="pvp",15,MAX(0.1,Skills!E13-IF(Skills!F13=TRUE,Inputs!$B$32,0))))+1),0)</f>
        <v/>
      </c>
    </row>
    <row r="46">
      <c r="A46">
        <f>Skills!A14</f>
        <v/>
      </c>
      <c r="B46">
        <f>Skills!B14</f>
        <v/>
      </c>
      <c r="C46">
        <f>Inputs!$B$3&gt;=113</f>
        <v/>
      </c>
      <c r="D46">
        <f>IF(Skills!C14=1,60+Inputs!$B$25+Inputs!$B$29,IF(Skills!C14=2,90+Inputs!$B$26+Inputs!$B$29,IF(Skills!C14=3,120+Inputs!$B$27+Inputs!$B$29,MAX(0,(Inputs!$B$3-100)*3)+Inputs!$B$28+Inputs!$B$29)))</f>
        <v/>
      </c>
      <c r="E46">
        <f>INDEX(FactorTable!$B$2:$Y$301, MATCH(ROUND(MIN(300,MAX(1,D46)),0), FactorTable!$A$2:$A$301,0), Skills!M14+1)</f>
        <v/>
      </c>
      <c r="F46">
        <f>IF(Skills!N14=TRUE,(Skills!L14/10)*(E46/1000),Skills!L14/10)+Skills!O14</f>
        <v/>
      </c>
      <c r="G46">
        <f>Calc!G14</f>
        <v/>
      </c>
      <c r="H46">
        <f>Calc!H14</f>
        <v/>
      </c>
      <c r="I46">
        <f>IF(Skills!X14&lt;&gt;"",1+(Skills!X14/10)*(Z35/1000)/100,1)</f>
        <v/>
      </c>
      <c r="J46">
        <f>((Inputs!$B$6*(1+Inputs!$B$7/100))+((((Inputs!$B$12+1)*(1+Inputs!$B$13/100))-(Inputs!$B$12*(1+Inputs!$B$13/100)))+0.25*(Inputs!$B$14-Inputs!$B$14))*(1+Inputs!$B$7/100))*(F46/100)</f>
        <v/>
      </c>
      <c r="K46">
        <f>J46*(1+(((Inputs!$B$12+1)*(1+Inputs!$B$13/100))*0.01+Inputs!$B$14*0.0025)/100)*(1+Inputs!$B$15/100)*(1+IF(Inputs!$B$38="pvp",0,(1-Summary!$B$56)*(Inputs!$B$20+Skills!P14)+Summary!$B$56*(Inputs!$B$21+Skills!Q14))/100)*(1+Inputs!$B$16/100)*(5000/(6000+Inputs!$B$42*(1-Inputs!$B$19/100)))*(1+Inputs!$B$24/100)*(1+F55/100)*(1+IF(Inputs!$B$3&gt;=120,F58,0)/100)^5*(1+(IF(Skills!A14="BASIC_ATTACK",Inputs!$B$17,Inputs!$B$18+IF(Inputs!$B$3&gt;=125,F59*5,0)))/100)*(B62*B63*B64*I46)</f>
        <v/>
      </c>
      <c r="L46">
        <f>K46*(MIN(Inputs!$B$22+(F54-Calc!F22),Inputs!$B$23)/100+Inputs!$B$23/100)/2</f>
        <v/>
      </c>
      <c r="M46">
        <f>L46*(1+(Inputs!$B$10+(F53-Calc!F21))/100)</f>
        <v/>
      </c>
      <c r="N46">
        <f>L46*(1-MIN(Inputs!$B$9+(F52-Calc!F20),100)/100)+M46*(MIN(Inputs!$B$9+(F52-Calc!F20),100)/100)</f>
        <v/>
      </c>
      <c r="O46">
        <f>IF(C46,(H46*B69)/(1+Skills!H14*H46*B69)*N46*IF(Inputs!$B$38="pvp",1,(1-Summary!$B$56)*(1)+Summary!$B$56*(MIN(Skills!R14,Inputs!$B$37))),0)</f>
        <v/>
      </c>
      <c r="P46">
        <f>IF(B71=0,0,O46/B71)</f>
        <v/>
      </c>
      <c r="Q46">
        <f>IFERROR(1/IF(Inputs!$B$38="pvp",15,MAX(0.1,Skills!E14-IF(Skills!F14=TRUE,Inputs!$B$32,0))),0)</f>
        <v/>
      </c>
      <c r="R46" t="n">
        <v>0</v>
      </c>
    </row>
    <row r="47">
      <c r="A47">
        <f>Skills!A15</f>
        <v/>
      </c>
      <c r="B47">
        <f>Skills!B15</f>
        <v/>
      </c>
      <c r="C47">
        <f>Inputs!$B$3&gt;=107</f>
        <v/>
      </c>
      <c r="D47">
        <f>IF(Skills!C15=1,60+Inputs!$B$25+Inputs!$B$29,IF(Skills!C15=2,90+Inputs!$B$26+Inputs!$B$29,IF(Skills!C15=3,120+Inputs!$B$27+Inputs!$B$29,MAX(0,(Inputs!$B$3-100)*3)+Inputs!$B$28+Inputs!$B$29)))</f>
        <v/>
      </c>
      <c r="E47">
        <f>INDEX(FactorTable!$B$2:$Y$301, MATCH(ROUND(MIN(300,MAX(1,D47)),0), FactorTable!$A$2:$A$301,0), Skills!M15+1)</f>
        <v/>
      </c>
      <c r="F47">
        <f>IF(Skills!N15=TRUE,(Skills!L15/10)*(E47/1000),Skills!L15/10)+Skills!O15</f>
        <v/>
      </c>
      <c r="G47">
        <f>Calc!G15</f>
        <v/>
      </c>
      <c r="H47">
        <f>Calc!H15</f>
        <v/>
      </c>
      <c r="I47">
        <f>IF(Skills!X15&lt;&gt;"",1+(Skills!X15/10)*(Z35/1000)/100,1)</f>
        <v/>
      </c>
      <c r="J47">
        <f>((Inputs!$B$6*(1+Inputs!$B$7/100))+((((Inputs!$B$12+1)*(1+Inputs!$B$13/100))-(Inputs!$B$12*(1+Inputs!$B$13/100)))+0.25*(Inputs!$B$14-Inputs!$B$14))*(1+Inputs!$B$7/100))*(F47/100)</f>
        <v/>
      </c>
      <c r="K47">
        <f>J47*(1+(((Inputs!$B$12+1)*(1+Inputs!$B$13/100))*0.01+Inputs!$B$14*0.0025)/100)*(1+Inputs!$B$15/100)*(1+IF(Inputs!$B$38="pvp",0,(1-Summary!$B$56)*(Inputs!$B$20+Skills!P15)+Summary!$B$56*(Inputs!$B$21+Skills!Q15))/100)*(1+Inputs!$B$16/100)*(5000/(6000+Inputs!$B$42*(1-Inputs!$B$19/100)))*(1+Inputs!$B$24/100)*(1+F55/100)*(1+IF(Inputs!$B$3&gt;=120,F58,0)/100)^5*(1+(IF(Skills!A15="BASIC_ATTACK",Inputs!$B$17,Inputs!$B$18+IF(Inputs!$B$3&gt;=125,F59*5,0)))/100)*(B62*B63*B64*I47)</f>
        <v/>
      </c>
      <c r="L47">
        <f>K47*(MIN(Inputs!$B$22+(F54-Calc!F22),Inputs!$B$23)/100+Inputs!$B$23/100)/2</f>
        <v/>
      </c>
      <c r="M47">
        <f>L47*(1+(Inputs!$B$10+(F53-Calc!F21))/100)</f>
        <v/>
      </c>
      <c r="N47">
        <f>L47*(1-MIN(Inputs!$B$9+(F52-Calc!F20),100)/100)+M47*(MIN(Inputs!$B$9+(F52-Calc!F20),100)/100)</f>
        <v/>
      </c>
      <c r="O47">
        <f>IF(C47,H47*N47*IF(AND(Inputs!$B$38&lt;&gt;"pvp",Inputs!$B$43&gt;0),((Skills!G15*((R47-1)*IF(Skills!H15&gt;0,Skills!I15/Skills!H15,1)+IF(Skills!H15&gt;0,MIN(Skills!I15,MAX(0,Inputs!$B$43-((R47-1)*IF(Inputs!$B$38="pvp",15,MAX(0.1,Skills!E15-IF(Skills!F15=TRUE,Inputs!$B$32,0))))))/Skills!H15,1)))/Inputs!$B$43),G47*Q47)*IF(Inputs!$B$38="pvp",1,(1-Summary!$B$56)*(1)+Summary!$B$56*(MIN(Skills!R15,Inputs!$B$37))),0)</f>
        <v/>
      </c>
      <c r="P47">
        <f>IF(B71=0,0,O47/B71)</f>
        <v/>
      </c>
      <c r="Q47">
        <f>IFERROR(1/IF(Inputs!$B$38="pvp",15,MAX(0.1,Skills!E15-IF(Skills!F15=TRUE,Inputs!$B$32,0))),0)</f>
        <v/>
      </c>
      <c r="R47">
        <f>IF(AND(Inputs!$B$38&lt;&gt;"pvp",Inputs!$B$43&gt;0),(INT(Inputs!$B$43/IF(Inputs!$B$38="pvp",15,MAX(0.1,Skills!E15-IF(Skills!F15=TRUE,Inputs!$B$32,0))))+1),0)</f>
        <v/>
      </c>
    </row>
    <row r="48">
      <c r="A48">
        <f>Skills!A16</f>
        <v/>
      </c>
      <c r="B48">
        <f>Skills!B16</f>
        <v/>
      </c>
      <c r="C48">
        <f>Inputs!$B$3&gt;=107</f>
        <v/>
      </c>
      <c r="D48">
        <f>IF(Skills!C16=1,60+Inputs!$B$25+Inputs!$B$29,IF(Skills!C16=2,90+Inputs!$B$26+Inputs!$B$29,IF(Skills!C16=3,120+Inputs!$B$27+Inputs!$B$29,MAX(0,(Inputs!$B$3-100)*3)+Inputs!$B$28+Inputs!$B$29)))</f>
        <v/>
      </c>
      <c r="E48">
        <f>INDEX(FactorTable!$B$2:$Y$301, MATCH(ROUND(MIN(300,MAX(1,D48)),0), FactorTable!$A$2:$A$301,0), Skills!M16+1)</f>
        <v/>
      </c>
      <c r="F48">
        <f>IF(Skills!N16=TRUE,(Skills!L16/10)*(E48/1000),Skills!L16/10)+Skills!O16</f>
        <v/>
      </c>
      <c r="G48">
        <f>Calc!G16</f>
        <v/>
      </c>
      <c r="H48">
        <f>Calc!H16</f>
        <v/>
      </c>
      <c r="I48">
        <f>IF(Skills!X16&lt;&gt;"",1+(Skills!X16/10)*(Z35/1000)/100,1)</f>
        <v/>
      </c>
      <c r="J48">
        <f>((Inputs!$B$6*(1+Inputs!$B$7/100))+((((Inputs!$B$12+1)*(1+Inputs!$B$13/100))-(Inputs!$B$12*(1+Inputs!$B$13/100)))+0.25*(Inputs!$B$14-Inputs!$B$14))*(1+Inputs!$B$7/100))*(F48/100)</f>
        <v/>
      </c>
      <c r="K48">
        <f>J48*(1+(((Inputs!$B$12+1)*(1+Inputs!$B$13/100))*0.01+Inputs!$B$14*0.0025)/100)*(1+Inputs!$B$15/100)*(1+IF(Inputs!$B$38="pvp",0,(1-Summary!$B$56)*(Inputs!$B$20+Skills!P16)+Summary!$B$56*(Inputs!$B$21+Skills!Q16))/100)*(1+Inputs!$B$16/100)*(5000/(6000+Inputs!$B$42*(1-Inputs!$B$19/100)))*(1+Inputs!$B$24/100)*(1+F55/100)*(1+IF(Inputs!$B$3&gt;=120,F58,0)/100)^5*(1+(IF(Skills!A16="BASIC_ATTACK",Inputs!$B$17,Inputs!$B$18+IF(Inputs!$B$3&gt;=125,F59*5,0)))/100)*(B62*B63*B64*I48)</f>
        <v/>
      </c>
      <c r="L48">
        <f>K48*(MIN(Inputs!$B$22+(F54-Calc!F22),Inputs!$B$23)/100+Inputs!$B$23/100)/2</f>
        <v/>
      </c>
      <c r="M48">
        <f>L48*(1+(Inputs!$B$10+(F53-Calc!F21))/100)</f>
        <v/>
      </c>
      <c r="N48">
        <f>L48*(1-MIN(Inputs!$B$9+(F52-Calc!F20),100)/100)+M48*(MIN(Inputs!$B$9+(F52-Calc!F20),100)/100)</f>
        <v/>
      </c>
      <c r="O48">
        <f>IF(C48,H48*N48*IF(AND(Inputs!$B$38&lt;&gt;"pvp",Inputs!$B$43&gt;0),((Skills!G16*((R48-1)*IF(Skills!H16&gt;0,Skills!I16/Skills!H16,1)+IF(Skills!H16&gt;0,MIN(Skills!I16,MAX(0,Inputs!$B$43-((R48-1)*IF(Inputs!$B$38="pvp",15,MAX(0.1,Skills!E16-IF(Skills!F16=TRUE,Inputs!$B$32,0))))))/Skills!H16,1)))/Inputs!$B$43),G48*Q48)*(1+IF(Inputs!$B$3&gt;=126,0.05*(B68+Q45+(H46*B69)/(1+Skills!H14*H46*B69)+Q56),0)*Skills!E15)*IF(Inputs!$B$38="pvp",1,(1-Summary!$B$56)*(1)+Summary!$B$56*(MIN(Skills!R16,Inputs!$B$37))),0)</f>
        <v/>
      </c>
      <c r="P48">
        <f>IF(B71=0,0,O48/B71)</f>
        <v/>
      </c>
      <c r="Q48">
        <f>IFERROR(1/IF(Inputs!$B$38="pvp",15,MAX(0.1,Skills!E16-IF(Skills!F16=TRUE,Inputs!$B$32,0))),0)</f>
        <v/>
      </c>
      <c r="R48">
        <f>IF(AND(Inputs!$B$38&lt;&gt;"pvp",Inputs!$B$43&gt;0),(INT(Inputs!$B$43/IF(Inputs!$B$38="pvp",15,MAX(0.1,Skills!E16-IF(Skills!F16=TRUE,Inputs!$B$32,0))))+1),0)</f>
        <v/>
      </c>
    </row>
    <row r="49">
      <c r="A49">
        <f>Skills!A17</f>
        <v/>
      </c>
      <c r="B49">
        <f>Skills!B17</f>
        <v/>
      </c>
      <c r="C49">
        <f>TRUE</f>
        <v/>
      </c>
      <c r="D49">
        <f>IF(Skills!C17=1,60+Inputs!$B$25+Inputs!$B$29,IF(Skills!C17=2,90+Inputs!$B$26+Inputs!$B$29,IF(Skills!C17=3,120+Inputs!$B$27+Inputs!$B$29,MAX(0,(Inputs!$B$3-100)*3)+Inputs!$B$28+Inputs!$B$29)))</f>
        <v/>
      </c>
      <c r="E49">
        <f>INDEX(FactorTable!$B$2:$Y$301, MATCH(ROUND(MIN(300,MAX(1,D49)),0), FactorTable!$A$2:$A$301,0), Skills!M17+1)</f>
        <v/>
      </c>
      <c r="F49">
        <f>IF(Skills!N17=TRUE,(Skills!L17/10)*(E49/1000),Skills!L17/10)+Skills!O17</f>
        <v/>
      </c>
      <c r="G49">
        <f>Calc!G17</f>
        <v/>
      </c>
      <c r="H49">
        <f>Calc!H17</f>
        <v/>
      </c>
      <c r="I49">
        <f>IF(Skills!X17&lt;&gt;"",1+(Skills!X17/10)*(Z35/1000)/100,1)</f>
        <v/>
      </c>
      <c r="J49" t="inlineStr"/>
      <c r="K49" t="inlineStr"/>
      <c r="L49" t="inlineStr"/>
      <c r="M49" t="inlineStr"/>
      <c r="N49" t="inlineStr"/>
      <c r="O49" t="n">
        <v>0</v>
      </c>
      <c r="P49">
        <f>IF(B71=0,0,O49/B71)</f>
        <v/>
      </c>
      <c r="Q49">
        <f>IFERROR(1/IF(Inputs!$B$38="pvp",15,MAX(0.1,Skills!E17-IF(Skills!F17=TRUE,Inputs!$B$32,0))),0)</f>
        <v/>
      </c>
      <c r="R49">
        <f>IF(AND(Inputs!$B$38&lt;&gt;"pvp",Inputs!$B$43&gt;0),(INT(Inputs!$B$43/IF(Inputs!$B$38="pvp",15,MAX(0.1,Skills!E17-IF(Skills!F17=TRUE,Inputs!$B$32,0))))+1),0)</f>
        <v/>
      </c>
    </row>
    <row r="50">
      <c r="A50">
        <f>Skills!A18</f>
        <v/>
      </c>
      <c r="B50">
        <f>Skills!B18</f>
        <v/>
      </c>
      <c r="C50">
        <f>TRUE</f>
        <v/>
      </c>
      <c r="D50">
        <f>IF(Skills!C18=1,60+Inputs!$B$25+Inputs!$B$29,IF(Skills!C18=2,90+Inputs!$B$26+Inputs!$B$29,IF(Skills!C18=3,120+Inputs!$B$27+Inputs!$B$29,MAX(0,(Inputs!$B$3-100)*3)+Inputs!$B$28+Inputs!$B$29)))</f>
        <v/>
      </c>
      <c r="E50">
        <f>INDEX(FactorTable!$B$2:$Y$301, MATCH(ROUND(MIN(300,MAX(1,D50)),0), FactorTable!$A$2:$A$301,0), Skills!M18+1)</f>
        <v/>
      </c>
      <c r="F50">
        <f>IF(Skills!N18=TRUE,(Skills!L18/10)*(E50/1000),Skills!L18/10)+Skills!O18</f>
        <v/>
      </c>
      <c r="G50">
        <f>Calc!G18</f>
        <v/>
      </c>
      <c r="H50">
        <f>Calc!H18</f>
        <v/>
      </c>
      <c r="I50">
        <f>IF(Skills!X18&lt;&gt;"",1+(Skills!X18/10)*(Z35/1000)/100,1)</f>
        <v/>
      </c>
      <c r="J50" t="inlineStr"/>
      <c r="K50" t="inlineStr"/>
      <c r="L50" t="inlineStr"/>
      <c r="M50" t="inlineStr"/>
      <c r="N50" t="inlineStr"/>
      <c r="O50" t="n">
        <v>0</v>
      </c>
      <c r="P50">
        <f>IF(B71=0,0,O50/B71)</f>
        <v/>
      </c>
      <c r="Q50">
        <f>IFERROR(1/IF(Inputs!$B$38="pvp",15,MAX(0.1,Skills!E18-IF(Skills!F18=TRUE,Inputs!$B$32,0))),0)</f>
        <v/>
      </c>
      <c r="R50">
        <f>IF(AND(Inputs!$B$38&lt;&gt;"pvp",Inputs!$B$43&gt;0),(INT(Inputs!$B$43/IF(Inputs!$B$38="pvp",15,MAX(0.1,Skills!E18-IF(Skills!F18=TRUE,Inputs!$B$32,0))))+1),0)</f>
        <v/>
      </c>
    </row>
    <row r="51">
      <c r="A51">
        <f>Skills!A19</f>
        <v/>
      </c>
      <c r="B51">
        <f>Skills!B19</f>
        <v/>
      </c>
      <c r="C51">
        <f>Inputs!$B$3&gt;=110</f>
        <v/>
      </c>
      <c r="D51">
        <f>IF(Skills!C19=1,60+Inputs!$B$25+Inputs!$B$29,IF(Skills!C19=2,90+Inputs!$B$26+Inputs!$B$29,IF(Skills!C19=3,120+Inputs!$B$27+Inputs!$B$29,MAX(0,(Inputs!$B$3-100)*3)+Inputs!$B$28+Inputs!$B$29)))</f>
        <v/>
      </c>
      <c r="E51">
        <f>INDEX(FactorTable!$B$2:$Y$301, MATCH(ROUND(MIN(300,MAX(1,D51)),0), FactorTable!$A$2:$A$301,0), Skills!M19+1)</f>
        <v/>
      </c>
      <c r="F51">
        <f>IF(Skills!N19=TRUE,(Skills!L19/10)*(E51/1000),Skills!L19/10)+Skills!O19</f>
        <v/>
      </c>
      <c r="G51">
        <f>Calc!G19</f>
        <v/>
      </c>
      <c r="H51">
        <f>Calc!H19</f>
        <v/>
      </c>
      <c r="I51">
        <f>IF(Skills!X19&lt;&gt;"",1+(Skills!X19/10)*(Z35/1000)/100,1)</f>
        <v/>
      </c>
      <c r="J51" t="inlineStr"/>
      <c r="K51" t="inlineStr"/>
      <c r="L51" t="inlineStr"/>
      <c r="M51" t="inlineStr"/>
      <c r="N51" t="inlineStr"/>
      <c r="O51" t="n">
        <v>0</v>
      </c>
      <c r="P51">
        <f>IF(B71=0,0,O51/B71)</f>
        <v/>
      </c>
      <c r="Q51">
        <f>IFERROR(1/IF(Inputs!$B$38="pvp",15,MAX(0.1,Skills!E19-IF(Skills!F19=TRUE,Inputs!$B$32,0))),0)</f>
        <v/>
      </c>
      <c r="R51">
        <f>IF(AND(Inputs!$B$38&lt;&gt;"pvp",Inputs!$B$43&gt;0),(INT(Inputs!$B$43/IF(Inputs!$B$38="pvp",15,MAX(0.1,Skills!E19-IF(Skills!F19=TRUE,Inputs!$B$32,0))))+1),0)</f>
        <v/>
      </c>
    </row>
    <row r="52">
      <c r="A52">
        <f>Skills!A20</f>
        <v/>
      </c>
      <c r="B52">
        <f>Skills!B20</f>
        <v/>
      </c>
      <c r="C52">
        <f>TRUE</f>
        <v/>
      </c>
      <c r="D52">
        <f>IF(Skills!C20=1,60+Inputs!$B$25+Inputs!$B$29,IF(Skills!C20=2,90+Inputs!$B$26+Inputs!$B$29,IF(Skills!C20=3,120+Inputs!$B$27+Inputs!$B$29,MAX(0,(Inputs!$B$3-100)*3)+Inputs!$B$28+Inputs!$B$29)))</f>
        <v/>
      </c>
      <c r="E52">
        <f>INDEX(FactorTable!$B$2:$Y$301, MATCH(ROUND(MIN(300,MAX(1,D52)),0), FactorTable!$A$2:$A$301,0), Skills!M20+1)</f>
        <v/>
      </c>
      <c r="F52">
        <f>IF(Skills!N20=TRUE,(Skills!L20/10)*(E52/1000),Skills!L20/10)+Skills!O20</f>
        <v/>
      </c>
      <c r="G52">
        <f>Calc!G20</f>
        <v/>
      </c>
      <c r="H52">
        <f>Calc!H20</f>
        <v/>
      </c>
      <c r="I52">
        <f>IF(Skills!X20&lt;&gt;"",1+(Skills!X20/10)*(Z35/1000)/100,1)</f>
        <v/>
      </c>
      <c r="J52" t="inlineStr"/>
      <c r="K52" t="inlineStr"/>
      <c r="L52" t="inlineStr"/>
      <c r="M52" t="inlineStr"/>
      <c r="N52" t="inlineStr"/>
      <c r="O52" t="n">
        <v>0</v>
      </c>
      <c r="P52">
        <f>IF(B71=0,0,O52/B71)</f>
        <v/>
      </c>
      <c r="Q52">
        <f>IFERROR(1/IF(Inputs!$B$38="pvp",15,MAX(0.1,Skills!E20-IF(Skills!F20=TRUE,Inputs!$B$32,0))),0)</f>
        <v/>
      </c>
      <c r="R52" t="n">
        <v>0</v>
      </c>
    </row>
    <row r="53">
      <c r="A53">
        <f>Skills!A21</f>
        <v/>
      </c>
      <c r="B53">
        <f>Skills!B21</f>
        <v/>
      </c>
      <c r="C53">
        <f>TRUE</f>
        <v/>
      </c>
      <c r="D53">
        <f>IF(Skills!C21=1,60+Inputs!$B$25+Inputs!$B$29,IF(Skills!C21=2,90+Inputs!$B$26+Inputs!$B$29,IF(Skills!C21=3,120+Inputs!$B$27+Inputs!$B$29,MAX(0,(Inputs!$B$3-100)*3)+Inputs!$B$28+Inputs!$B$29)))</f>
        <v/>
      </c>
      <c r="E53">
        <f>INDEX(FactorTable!$B$2:$Y$301, MATCH(ROUND(MIN(300,MAX(1,D53)),0), FactorTable!$A$2:$A$301,0), Skills!M21+1)</f>
        <v/>
      </c>
      <c r="F53">
        <f>IF(Skills!N21=TRUE,(Skills!L21/10)*(E53/1000),Skills!L21/10)+Skills!O21</f>
        <v/>
      </c>
      <c r="G53">
        <f>Calc!G21</f>
        <v/>
      </c>
      <c r="H53">
        <f>Calc!H21</f>
        <v/>
      </c>
      <c r="I53">
        <f>IF(Skills!X21&lt;&gt;"",1+(Skills!X21/10)*(Z35/1000)/100,1)</f>
        <v/>
      </c>
      <c r="J53" t="inlineStr"/>
      <c r="K53" t="inlineStr"/>
      <c r="L53" t="inlineStr"/>
      <c r="M53" t="inlineStr"/>
      <c r="N53" t="inlineStr"/>
      <c r="O53" t="n">
        <v>0</v>
      </c>
      <c r="P53">
        <f>IF(B71=0,0,O53/B71)</f>
        <v/>
      </c>
      <c r="Q53">
        <f>IFERROR(1/IF(Inputs!$B$38="pvp",15,MAX(0.1,Skills!E21-IF(Skills!F21=TRUE,Inputs!$B$32,0))),0)</f>
        <v/>
      </c>
      <c r="R53" t="n">
        <v>0</v>
      </c>
    </row>
    <row r="54">
      <c r="A54">
        <f>Skills!A22</f>
        <v/>
      </c>
      <c r="B54">
        <f>Skills!B22</f>
        <v/>
      </c>
      <c r="C54">
        <f>TRUE</f>
        <v/>
      </c>
      <c r="D54">
        <f>IF(Skills!C22=1,60+Inputs!$B$25+Inputs!$B$29,IF(Skills!C22=2,90+Inputs!$B$26+Inputs!$B$29,IF(Skills!C22=3,120+Inputs!$B$27+Inputs!$B$29,MAX(0,(Inputs!$B$3-100)*3)+Inputs!$B$28+Inputs!$B$29)))</f>
        <v/>
      </c>
      <c r="E54">
        <f>INDEX(FactorTable!$B$2:$Y$301, MATCH(ROUND(MIN(300,MAX(1,D54)),0), FactorTable!$A$2:$A$301,0), Skills!M22+1)</f>
        <v/>
      </c>
      <c r="F54">
        <f>IF(Skills!N22=TRUE,(Skills!L22/10)*(E54/1000),Skills!L22/10)+Skills!O22</f>
        <v/>
      </c>
      <c r="G54">
        <f>Calc!G22</f>
        <v/>
      </c>
      <c r="H54">
        <f>Calc!H22</f>
        <v/>
      </c>
      <c r="I54">
        <f>IF(Skills!X22&lt;&gt;"",1+(Skills!X22/10)*(Z35/1000)/100,1)</f>
        <v/>
      </c>
      <c r="J54" t="inlineStr"/>
      <c r="K54" t="inlineStr"/>
      <c r="L54" t="inlineStr"/>
      <c r="M54" t="inlineStr"/>
      <c r="N54" t="inlineStr"/>
      <c r="O54" t="n">
        <v>0</v>
      </c>
      <c r="P54">
        <f>IF(B71=0,0,O54/B71)</f>
        <v/>
      </c>
      <c r="Q54">
        <f>IFERROR(1/IF(Inputs!$B$38="pvp",15,MAX(0.1,Skills!E22-IF(Skills!F22=TRUE,Inputs!$B$32,0))),0)</f>
        <v/>
      </c>
      <c r="R54" t="n">
        <v>0</v>
      </c>
    </row>
    <row r="55">
      <c r="A55">
        <f>Skills!A23</f>
        <v/>
      </c>
      <c r="B55">
        <f>Skills!B23</f>
        <v/>
      </c>
      <c r="C55">
        <f>TRUE</f>
        <v/>
      </c>
      <c r="D55">
        <f>IF(Skills!C23=1,60+Inputs!$B$25+Inputs!$B$29,IF(Skills!C23=2,90+Inputs!$B$26+Inputs!$B$29,IF(Skills!C23=3,120+Inputs!$B$27+Inputs!$B$29,MAX(0,(Inputs!$B$3-100)*3)+Inputs!$B$28+Inputs!$B$29)))</f>
        <v/>
      </c>
      <c r="E55">
        <f>INDEX(FactorTable!$B$2:$Y$301, MATCH(ROUND(MIN(300,MAX(1,D55)),0), FactorTable!$A$2:$A$301,0), Skills!M23+1)</f>
        <v/>
      </c>
      <c r="F55">
        <f>IF(Skills!N23=TRUE,(Skills!L23/10)*(E55/1000),Skills!L23/10)+Skills!O23</f>
        <v/>
      </c>
      <c r="G55">
        <f>Calc!G23</f>
        <v/>
      </c>
      <c r="H55">
        <f>Calc!H23</f>
        <v/>
      </c>
      <c r="I55">
        <f>IF(Skills!X23&lt;&gt;"",1+(Skills!X23/10)*(Z35/1000)/100,1)</f>
        <v/>
      </c>
      <c r="J55" t="inlineStr"/>
      <c r="K55" t="inlineStr"/>
      <c r="L55" t="inlineStr"/>
      <c r="M55" t="inlineStr"/>
      <c r="N55" t="inlineStr"/>
      <c r="O55" t="n">
        <v>0</v>
      </c>
      <c r="P55">
        <f>IF(B71=0,0,O55/B71)</f>
        <v/>
      </c>
      <c r="Q55">
        <f>IFERROR(1/IF(Inputs!$B$38="pvp",15,MAX(0.1,Skills!E23-IF(Skills!F23=TRUE,Inputs!$B$32,0))),0)</f>
        <v/>
      </c>
      <c r="R55" t="n">
        <v>0</v>
      </c>
    </row>
    <row r="56">
      <c r="A56">
        <f>Skills!A24</f>
        <v/>
      </c>
      <c r="B56">
        <f>Skills!B24</f>
        <v/>
      </c>
      <c r="C56">
        <f>Inputs!$B$3&gt;=115</f>
        <v/>
      </c>
      <c r="D56">
        <f>IF(Skills!C24=1,60+Inputs!$B$25+Inputs!$B$29,IF(Skills!C24=2,90+Inputs!$B$26+Inputs!$B$29,IF(Skills!C24=3,120+Inputs!$B$27+Inputs!$B$29,MAX(0,(Inputs!$B$3-100)*3)+Inputs!$B$28+Inputs!$B$29)))</f>
        <v/>
      </c>
      <c r="E56">
        <f>INDEX(FactorTable!$B$2:$Y$301, MATCH(ROUND(MIN(300,MAX(1,D56)),0), FactorTable!$A$2:$A$301,0), Skills!M24+1)</f>
        <v/>
      </c>
      <c r="F56">
        <f>IF(Skills!N24=TRUE,(Skills!L24/10)*(E56/1000),Skills!L24/10)+Skills!O24</f>
        <v/>
      </c>
      <c r="G56">
        <f>Calc!G24</f>
        <v/>
      </c>
      <c r="H56">
        <f>Calc!H24</f>
        <v/>
      </c>
      <c r="I56">
        <f>IF(Skills!X24&lt;&gt;"",1+(Skills!X24/10)*(Z35/1000)/100,1)</f>
        <v/>
      </c>
      <c r="J56">
        <f>((Inputs!$B$6*(1+Inputs!$B$7/100))+((((Inputs!$B$12+1)*(1+Inputs!$B$13/100))-(Inputs!$B$12*(1+Inputs!$B$13/100)))+0.25*(Inputs!$B$14-Inputs!$B$14))*(1+Inputs!$B$7/100))*(F56/100)</f>
        <v/>
      </c>
      <c r="K56">
        <f>J56*(1+(((Inputs!$B$12+1)*(1+Inputs!$B$13/100))*0.01+Inputs!$B$14*0.0025)/100)*(1+Inputs!$B$15/100)*(1+IF(Inputs!$B$38="pvp",0,(1-Summary!$B$56)*(Inputs!$B$20+Skills!P24)+Summary!$B$56*(Inputs!$B$21+Skills!Q24))/100)*(1+Inputs!$B$16/100)*(5000/(6000+Inputs!$B$42*(1-Inputs!$B$19/100)))*(1+Inputs!$B$24/100)*(1+F55/100)*(1+IF(Inputs!$B$3&gt;=120,F58,0)/100)^5*(1+(IF(Skills!A24="BASIC_ATTACK",Inputs!$B$17,Inputs!$B$18+IF(Inputs!$B$3&gt;=125,F59*5,0)))/100)*(B62*B63*B64*I56)</f>
        <v/>
      </c>
      <c r="L56">
        <f>K56*(MIN(Inputs!$B$22+(F54-Calc!F22),Inputs!$B$23)/100+Inputs!$B$23/100)/2</f>
        <v/>
      </c>
      <c r="M56">
        <f>L56*(1+(Inputs!$B$10+(F53-Calc!F21))/100)</f>
        <v/>
      </c>
      <c r="N56">
        <f>L56*(1-MIN(Inputs!$B$9+(F52-Calc!F20),100)/100)+M56*(MIN(Inputs!$B$9+(F52-Calc!F20),100)/100)</f>
        <v/>
      </c>
      <c r="O56">
        <f>IF(C56,H56*N56*IF(AND(Inputs!$B$38&lt;&gt;"pvp",Inputs!$B$43&gt;0),((Skills!G24*((R56-1)*IF(Skills!H24&gt;0,Skills!I24/Skills!H24,1)+IF(Skills!H24&gt;0,MIN(Skills!I24,MAX(0,Inputs!$B$43-((R56-1)*IF(Inputs!$B$38="pvp",15,MAX(0.1,Skills!E24-IF(Skills!F24=TRUE,Inputs!$B$32,0))))))/Skills!H24,1)))/Inputs!$B$43),G56*Q56)*(1+IF(Inputs!$B$3&gt;=130,0.2*(Skills!I16/Skills!E15+IF(Inputs!$B$3&gt;=126,0.05*(B68+Q45+(H46*B69)/(1+Skills!H14*H46*B69)+Q56),0)*Skills!I16),0))*IF(Inputs!$B$38="pvp",1,(1-Summary!$B$56)*(1)+Summary!$B$56*(MIN(Skills!R24,Inputs!$B$37))),0)</f>
        <v/>
      </c>
      <c r="P56">
        <f>IF(B71=0,0,O56/B71)</f>
        <v/>
      </c>
      <c r="Q56">
        <f>IFERROR(1/IF(Inputs!$B$38="pvp",15,MAX(0.1,Skills!E24-IF(Skills!F24=TRUE,Inputs!$B$32,0))),0)</f>
        <v/>
      </c>
      <c r="R56">
        <f>IF(AND(Inputs!$B$38&lt;&gt;"pvp",Inputs!$B$43&gt;0),(INT(Inputs!$B$43/IF(Inputs!$B$38="pvp",15,MAX(0.1,Skills!E24-IF(Skills!F24=TRUE,Inputs!$B$32,0))))+1),0)</f>
        <v/>
      </c>
    </row>
    <row r="57">
      <c r="A57">
        <f>Skills!A25</f>
        <v/>
      </c>
      <c r="B57">
        <f>Skills!B25</f>
        <v/>
      </c>
      <c r="C57">
        <f>Inputs!$B$3&gt;=117</f>
        <v/>
      </c>
      <c r="D57">
        <f>IF(Skills!C25=1,60+Inputs!$B$25+Inputs!$B$29,IF(Skills!C25=2,90+Inputs!$B$26+Inputs!$B$29,IF(Skills!C25=3,120+Inputs!$B$27+Inputs!$B$29,MAX(0,(Inputs!$B$3-100)*3)+Inputs!$B$28+Inputs!$B$29)))</f>
        <v/>
      </c>
      <c r="E57">
        <f>INDEX(FactorTable!$B$2:$Y$301, MATCH(ROUND(MIN(300,MAX(1,D57)),0), FactorTable!$A$2:$A$301,0), Skills!M25+1)</f>
        <v/>
      </c>
      <c r="F57">
        <f>IF(Skills!N25=TRUE,(Skills!L25/10)*(E57/1000),Skills!L25/10)+Skills!O25</f>
        <v/>
      </c>
      <c r="G57">
        <f>Calc!G25</f>
        <v/>
      </c>
      <c r="H57">
        <f>Calc!H25</f>
        <v/>
      </c>
      <c r="I57">
        <f>IF(Skills!X25&lt;&gt;"",1+(Skills!X25/10)*(Z35/1000)/100,1)</f>
        <v/>
      </c>
      <c r="J57" t="inlineStr"/>
      <c r="K57" t="inlineStr"/>
      <c r="L57" t="inlineStr"/>
      <c r="M57" t="inlineStr"/>
      <c r="N57" t="inlineStr"/>
      <c r="O57" t="n">
        <v>0</v>
      </c>
      <c r="P57">
        <f>IF(B71=0,0,O57/B71)</f>
        <v/>
      </c>
      <c r="Q57">
        <f>IFERROR(1/IF(Inputs!$B$38="pvp",15,MAX(0.1,Skills!E25-IF(Skills!F25=TRUE,Inputs!$B$32,0))),0)</f>
        <v/>
      </c>
      <c r="R57" t="n">
        <v>0</v>
      </c>
    </row>
    <row r="58">
      <c r="A58">
        <f>Skills!A26</f>
        <v/>
      </c>
      <c r="B58">
        <f>Skills!B26</f>
        <v/>
      </c>
      <c r="C58">
        <f>Inputs!$B$3&gt;=120</f>
        <v/>
      </c>
      <c r="D58">
        <f>IF(Skills!C26=1,60+Inputs!$B$25+Inputs!$B$29,IF(Skills!C26=2,90+Inputs!$B$26+Inputs!$B$29,IF(Skills!C26=3,120+Inputs!$B$27+Inputs!$B$29,MAX(0,(Inputs!$B$3-100)*3)+Inputs!$B$28+Inputs!$B$29)))</f>
        <v/>
      </c>
      <c r="E58">
        <f>INDEX(FactorTable!$B$2:$Y$301, MATCH(ROUND(MIN(300,MAX(1,D58)),0), FactorTable!$A$2:$A$301,0), Skills!M26+1)</f>
        <v/>
      </c>
      <c r="F58">
        <f>IF(Skills!N26=TRUE,(Skills!L26/10)*(E58/1000),Skills!L26/10)+Skills!O26</f>
        <v/>
      </c>
      <c r="G58">
        <f>Calc!G26</f>
        <v/>
      </c>
      <c r="H58">
        <f>Calc!H26</f>
        <v/>
      </c>
      <c r="I58">
        <f>IF(Skills!X26&lt;&gt;"",1+(Skills!X26/10)*(Z35/1000)/100,1)</f>
        <v/>
      </c>
      <c r="J58" t="inlineStr"/>
      <c r="K58" t="inlineStr"/>
      <c r="L58" t="inlineStr"/>
      <c r="M58" t="inlineStr"/>
      <c r="N58" t="inlineStr"/>
      <c r="O58" t="n">
        <v>0</v>
      </c>
      <c r="P58">
        <f>IF(B71=0,0,O58/B71)</f>
        <v/>
      </c>
      <c r="Q58">
        <f>IFERROR(1/IF(Inputs!$B$38="pvp",15,MAX(0.1,Skills!E26-IF(Skills!F26=TRUE,Inputs!$B$32,0))),0)</f>
        <v/>
      </c>
      <c r="R58" t="n">
        <v>0</v>
      </c>
    </row>
    <row r="59">
      <c r="A59">
        <f>Skills!A27</f>
        <v/>
      </c>
      <c r="B59">
        <f>Skills!B27</f>
        <v/>
      </c>
      <c r="C59">
        <f>Inputs!$B$3&gt;=125</f>
        <v/>
      </c>
      <c r="D59">
        <f>IF(Skills!C27=1,60+Inputs!$B$25+Inputs!$B$29,IF(Skills!C27=2,90+Inputs!$B$26+Inputs!$B$29,IF(Skills!C27=3,120+Inputs!$B$27+Inputs!$B$29,MAX(0,(Inputs!$B$3-100)*3)+Inputs!$B$28+Inputs!$B$29)))</f>
        <v/>
      </c>
      <c r="E59">
        <f>INDEX(FactorTable!$B$2:$Y$301, MATCH(ROUND(MIN(300,MAX(1,D59)),0), FactorTable!$A$2:$A$301,0), Skills!M27+1)</f>
        <v/>
      </c>
      <c r="F59">
        <f>IF(Skills!N27=TRUE,(Skills!L27/10)*(E59/1000),Skills!L27/10)+Skills!O27</f>
        <v/>
      </c>
      <c r="G59">
        <f>Calc!G27</f>
        <v/>
      </c>
      <c r="H59">
        <f>Calc!H27</f>
        <v/>
      </c>
      <c r="I59">
        <f>IF(Skills!X27&lt;&gt;"",1+(Skills!X27/10)*(Z35/1000)/100,1)</f>
        <v/>
      </c>
      <c r="J59" t="inlineStr"/>
      <c r="K59" t="inlineStr"/>
      <c r="L59" t="inlineStr"/>
      <c r="M59" t="inlineStr"/>
      <c r="N59" t="inlineStr"/>
      <c r="O59" t="n">
        <v>0</v>
      </c>
      <c r="P59">
        <f>IF(B71=0,0,O59/B71)</f>
        <v/>
      </c>
      <c r="Q59">
        <f>IFERROR(1/IF(Inputs!$B$38="pvp",15,MAX(0.1,Skills!E27-IF(Skills!F27=TRUE,Inputs!$B$32,0))),0)</f>
        <v/>
      </c>
      <c r="R59" t="n">
        <v>0</v>
      </c>
    </row>
    <row r="60">
      <c r="A60">
        <f>Skills!A28</f>
        <v/>
      </c>
      <c r="B60">
        <f>Skills!B28</f>
        <v/>
      </c>
      <c r="C60">
        <f>Inputs!$B$3&gt;=118</f>
        <v/>
      </c>
      <c r="D60">
        <f>IF(Skills!C28=1,60+Inputs!$B$25+Inputs!$B$29,IF(Skills!C28=2,90+Inputs!$B$26+Inputs!$B$29,IF(Skills!C28=3,120+Inputs!$B$27+Inputs!$B$29,MAX(0,(Inputs!$B$3-100)*3)+Inputs!$B$28+Inputs!$B$29)))</f>
        <v/>
      </c>
      <c r="E60">
        <f>INDEX(FactorTable!$B$2:$Y$301, MATCH(ROUND(MIN(300,MAX(1,D60)),0), FactorTable!$A$2:$A$301,0), Skills!M28+1)</f>
        <v/>
      </c>
      <c r="F60">
        <f>IF(Skills!N28=TRUE,(Skills!L28/10)*(E60/1000),Skills!L28/10)+Skills!O28</f>
        <v/>
      </c>
      <c r="G60">
        <f>Calc!G28</f>
        <v/>
      </c>
      <c r="H60">
        <f>Calc!H28</f>
        <v/>
      </c>
      <c r="I60">
        <f>IF(Skills!X28&lt;&gt;"",1+(Skills!X28/10)*(Z35/1000)/100,1)</f>
        <v/>
      </c>
      <c r="J60">
        <f>((Inputs!$B$6*(1+Inputs!$B$7/100))+((((Inputs!$B$12+1)*(1+Inputs!$B$13/100))-(Inputs!$B$12*(1+Inputs!$B$13/100)))+0.25*(Inputs!$B$14-Inputs!$B$14))*(1+Inputs!$B$7/100))*(F60/100)</f>
        <v/>
      </c>
      <c r="K60">
        <f>J60*(1+(((Inputs!$B$12+1)*(1+Inputs!$B$13/100))*0.01+Inputs!$B$14*0.0025)/100)*(1+Inputs!$B$15/100)*(1+IF(Inputs!$B$38="pvp",0,(1-Summary!$B$56)*(Inputs!$B$20+Skills!P28)+Summary!$B$56*(Inputs!$B$21+Skills!Q28))/100)*(1+Inputs!$B$16/100)*(5000/(6000+Inputs!$B$42*(1-Inputs!$B$19/100)))*(1+Inputs!$B$24/100)*(1+F55/100)*(1+IF(Inputs!$B$3&gt;=120,F58,0)/100)^5*(1+(IF(Skills!A28="BASIC_ATTACK",Inputs!$B$17,Inputs!$B$18+IF(Inputs!$B$3&gt;=125,F59*5,0)))/100)*(B62*B63*B64*I60)</f>
        <v/>
      </c>
      <c r="L60">
        <f>K60*(MIN(Inputs!$B$22+(F54-Calc!F22),Inputs!$B$23)/100+Inputs!$B$23/100)/2</f>
        <v/>
      </c>
      <c r="M60">
        <f>L60*(1+(Inputs!$B$10+(F53-Calc!F21))/100)</f>
        <v/>
      </c>
      <c r="N60">
        <f>L60*(1-MIN(Inputs!$B$9+(F52-Calc!F20),100)/100)+M60*(MIN(Inputs!$B$9+(F52-Calc!F20),100)/100)</f>
        <v/>
      </c>
      <c r="O60">
        <f>IF(C60,H60*N60*IF(AND(Inputs!$B$38&lt;&gt;"pvp",Inputs!$B$43&gt;0),((Skills!G28*((R60-1)*IF(Skills!H28&gt;0,Skills!I28/Skills!H28,1)+IF(Skills!H28&gt;0,MIN(Skills!I28,MAX(0,Inputs!$B$43-((R60-1)*IF(Inputs!$B$38="pvp",15,MAX(0.1,Skills!E28-IF(Skills!F28=TRUE,Inputs!$B$32,0))))))/Skills!H28,1)))/Inputs!$B$43),G60*Q60)*IF(Inputs!$B$38="pvp",1,(1-Summary!$B$56)*(1)+Summary!$B$56*(MIN(Skills!R28,Inputs!$B$37))),0)</f>
        <v/>
      </c>
      <c r="P60">
        <f>IF(B71=0,0,O60/B71)</f>
        <v/>
      </c>
      <c r="Q60">
        <f>IFERROR(1/IF(Inputs!$B$38="pvp",15,MAX(0.1,Skills!E28-IF(Skills!F28=TRUE,Inputs!$B$32,0))),0)</f>
        <v/>
      </c>
      <c r="R60">
        <f>IF(AND(Inputs!$B$38&lt;&gt;"pvp",Inputs!$B$43&gt;0),(INT(Inputs!$B$43/IF(Inputs!$B$38="pvp",15,MAX(0.1,Skills!E28-IF(Skills!F28=TRUE,Inputs!$B$32,0))))+1),0)</f>
        <v/>
      </c>
    </row>
    <row r="62">
      <c r="A62" t="inlineStr">
        <is>
          <t>Burning Magic Multiplier</t>
        </is>
      </c>
      <c r="B62">
        <f>1+(F43*Skills!Z11)/100</f>
        <v/>
      </c>
    </row>
    <row r="63">
      <c r="A63" t="inlineStr">
        <is>
          <t>Elemental Decrease Multiplier (always-on)</t>
        </is>
      </c>
      <c r="B63">
        <f>1+F44/100</f>
        <v/>
      </c>
    </row>
    <row r="64">
      <c r="A64" t="inlineStr">
        <is>
          <t>Average Buff Multiplier (Magic Guard + Meditation, summed; then Infinity)</t>
        </is>
      </c>
      <c r="B64">
        <f>(1+(F38*IF(AND(Inputs!$B$38&lt;&gt;"pvp",Inputs!$B$43&gt;0),(((R38-1)*(Skills!T6*(1+(Inputs!$B$34+IF(Inputs!$B$3&gt;=117,F57,0))/100))+MIN((Skills!T6*(1+(Inputs!$B$34+IF(Inputs!$B$3&gt;=117,F57,0))/100)),MAX(0,Inputs!$B$43-((R38-1)*Skills!E6))))/Inputs!$B$43),IF(Inputs!$B$38="pvp",MIN((Skills!T6*(1+(Inputs!$B$34+IF(Inputs!$B$3&gt;=117,F57,0))/100)),15)/15,(Skills!T6*(1+(Inputs!$B$34+IF(Inputs!$B$3&gt;=117,F57,0))/100))/Skills!E6))+F49*IF(AND(Inputs!$B$38&lt;&gt;"pvp",Inputs!$B$43&gt;0),(((R49-1)*(Skills!T17*(1+(Inputs!$B$34+IF(Inputs!$B$3&gt;=117,F57,0))/100))+MIN((Skills!T17*(1+(Inputs!$B$34+IF(Inputs!$B$3&gt;=117,F57,0))/100)),MAX(0,Inputs!$B$43-((R49-1)*Skills!E17))))/Inputs!$B$43),IF(Inputs!$B$38="pvp",MIN((Skills!T17*(1+(Inputs!$B$34+IF(Inputs!$B$3&gt;=117,F57,0))/100)),15)/15,(Skills!T17*(1+(Inputs!$B$34+IF(Inputs!$B$3&gt;=117,F57,0))/100))/Skills!E17)))/100)*IF(C51=TRUE,(1+F51*IF(AND(Inputs!$B$38&lt;&gt;"pvp",Inputs!$B$43&gt;0),(((R51-1)*(Skills!T19*(1+(Inputs!$B$34+IF(Inputs!$B$3&gt;=117,F57,0))/100))+MIN((Skills!T19*(1+(Inputs!$B$34+IF(Inputs!$B$3&gt;=117,F57,0))/100)),MAX(0,Inputs!$B$43-((R51-1)*Skills!E19))))/Inputs!$B$43),IF(Inputs!$B$38="pvp",MIN((Skills!T19*(1+(Inputs!$B$34+IF(Inputs!$B$3&gt;=117,F57,0))/100)),15)/15,(Skills!T19*(1+(Inputs!$B$34+IF(Inputs!$B$3&gt;=117,F57,0))/100))/Skills!E19))/100),1)</f>
        <v/>
      </c>
    </row>
    <row r="65">
      <c r="A65" t="inlineStr">
        <is>
          <t>Attack Speed Buff Bonus % (Nimble Feet, averaged)</t>
        </is>
      </c>
      <c r="B65">
        <f>F50*IF(AND(Inputs!$B$38&lt;&gt;"pvp",Inputs!$B$43&gt;0),(((R50-1)*(Skills!T18*(1+(Inputs!$B$34+IF(Inputs!$B$3&gt;=117,F57,0))/100))+MIN((Skills!T18*(1+(Inputs!$B$34+IF(Inputs!$B$3&gt;=117,F57,0))/100)),MAX(0,Inputs!$B$43-((R50-1)*Skills!E18))))/Inputs!$B$43),IF(Inputs!$B$38="pvp",MIN((Skills!T18*(1+(Inputs!$B$34+IF(Inputs!$B$3&gt;=117,F57,0))/100)),15)/15,(Skills!T18*(1+(Inputs!$B$34+IF(Inputs!$B$3&gt;=117,F57,0))/100))/Skills!E18))</f>
        <v/>
      </c>
    </row>
    <row r="66">
      <c r="A66" t="inlineStr">
        <is>
          <t>Actions Per Second</t>
        </is>
      </c>
      <c r="B66">
        <f>1+MIN(150,150*(1-(1-Inputs!$B$11/150)*(1-B65/150)))/100</f>
        <v/>
      </c>
    </row>
    <row r="67">
      <c r="A67" t="inlineStr">
        <is>
          <t>Skill + Buff Cast Rate</t>
        </is>
      </c>
      <c r="B67">
        <f>IF(AND(Inputs!$B$38&lt;&gt;"pvp",Inputs!$B$43&gt;0),SUMPRODUCT((Skills!F2:F28=TRUE)*(C34:C60=TRUE)*R34:R60)/Inputs!$B$43,SUMPRODUCT((Skills!F2:F28=TRUE)*(C34:C60=TRUE)*Q34:Q60))</f>
        <v/>
      </c>
    </row>
    <row r="68">
      <c r="A68" t="inlineStr">
        <is>
          <t>Basic Attacks Per Second</t>
        </is>
      </c>
      <c r="B68">
        <f>MAX(0,B66-B67)</f>
        <v/>
      </c>
    </row>
    <row r="69">
      <c r="A69" t="inlineStr">
        <is>
          <t>Meteor Proc — combined trigger cast rate</t>
        </is>
      </c>
      <c r="B69">
        <f>IF(AND(Inputs!$B$38&lt;&gt;"pvp",Inputs!$B$43&gt;0),SUMPRODUCT((Skills!V2:V28=TRUE)*(C34:C60=TRUE)*R34:R60*Skills!W2:W28)/Inputs!$B$43,SUMPRODUCT((Skills!V2:V28=TRUE)*(C34:C60=TRUE)*Q34:Q60*Skills!W2:W28))+B68</f>
        <v/>
      </c>
    </row>
    <row r="71">
      <c r="A71" s="5" t="inlineStr">
        <is>
          <t>TOTAL DPS</t>
        </is>
      </c>
      <c r="B71" s="5">
        <f>SUM(O34:O60)</f>
        <v/>
      </c>
    </row>
    <row r="74">
      <c r="A74" s="5" t="inlineStr">
        <is>
          <t>Stat: INT %</t>
        </is>
      </c>
    </row>
    <row r="75">
      <c r="A75" s="9" t="inlineStr">
        <is>
          <t>Key</t>
        </is>
      </c>
      <c r="B75" s="9" t="inlineStr">
        <is>
          <t>Name</t>
        </is>
      </c>
      <c r="C75" s="9" t="inlineStr">
        <is>
          <t>Unlocked</t>
        </is>
      </c>
      <c r="D75" s="9" t="inlineStr">
        <is>
          <t>InputLevel</t>
        </is>
      </c>
      <c r="E75" s="9" t="inlineStr">
        <is>
          <t>Factor</t>
        </is>
      </c>
      <c r="F75" s="9" t="inlineStr">
        <is>
          <t>CoefficientPercent</t>
        </is>
      </c>
      <c r="G75" s="9" t="inlineStr">
        <is>
          <t>EffectiveHits</t>
        </is>
      </c>
      <c r="H75" s="9" t="inlineStr">
        <is>
          <t>ProcProbability</t>
        </is>
      </c>
      <c r="I75" s="9" t="inlineStr">
        <is>
          <t>MapleHeroMultiplier</t>
        </is>
      </c>
      <c r="J75" s="9" t="inlineStr">
        <is>
          <t>BaseDamage</t>
        </is>
      </c>
      <c r="K75" s="9" t="inlineStr">
        <is>
          <t>BaseHitDamage</t>
        </is>
      </c>
      <c r="L75" s="9" t="inlineStr">
        <is>
          <t>NonCritAvg</t>
        </is>
      </c>
      <c r="M75" s="9" t="inlineStr">
        <is>
          <t>CritAvg</t>
        </is>
      </c>
      <c r="N75" s="9" t="inlineStr">
        <is>
          <t>ExpectedDamage(perHit)</t>
        </is>
      </c>
      <c r="O75" s="9" t="inlineStr">
        <is>
          <t>DPS</t>
        </is>
      </c>
      <c r="P75" s="9" t="inlineStr">
        <is>
          <t>% of Total</t>
        </is>
      </c>
      <c r="R75" t="inlineStr">
        <is>
          <t>helpers</t>
        </is>
      </c>
    </row>
    <row r="76">
      <c r="A76">
        <f>Skills!A2</f>
        <v/>
      </c>
      <c r="B76">
        <f>Skills!B2</f>
        <v/>
      </c>
      <c r="C76">
        <f>TRUE</f>
        <v/>
      </c>
      <c r="D76" t="inlineStr"/>
      <c r="E76" t="inlineStr"/>
      <c r="F76">
        <f>T78+Skills!O2</f>
        <v/>
      </c>
      <c r="G76">
        <f>Calc!G2</f>
        <v/>
      </c>
      <c r="H76">
        <f>Calc!H2</f>
        <v/>
      </c>
      <c r="I76">
        <f>IF(Skills!X2&lt;&gt;"",1+(Skills!X2/10)*(Z77/1000)/100,1)</f>
        <v/>
      </c>
      <c r="J76">
        <f>((Inputs!$B$6*(1+Inputs!$B$7/100))+(((Inputs!$B$12*(1+(Inputs!$B$13+1)/100))-(Inputs!$B$12*(1+Inputs!$B$13/100)))+0.25*(Inputs!$B$14-Inputs!$B$14))*(1+Inputs!$B$7/100))*(F76/100)</f>
        <v/>
      </c>
      <c r="K76">
        <f>J76*(1+((Inputs!$B$12*(1+(Inputs!$B$13+1)/100))*0.01+Inputs!$B$14*0.0025)/100)*(1+Inputs!$B$15/100)*(1+IF(Inputs!$B$38="pvp",0,(1-Summary!$B$56)*(Inputs!$B$20+Skills!P2)+Summary!$B$56*(Inputs!$B$21+Skills!Q2))/100)*(1+Inputs!$B$16/100)*(5000/(6000+Inputs!$B$42*(1-Inputs!$B$19/100)))*(1+Inputs!$B$24/100)*(1+F97/100)*(1+IF(Inputs!$B$3&gt;=120,F100,0)/100)^5*(1+(IF(Skills!A2="BASIC_ATTACK",Inputs!$B$17,Inputs!$B$18+IF(Inputs!$B$3&gt;=125,F101*5,0)))/100)*(B104*B105*B106*I76)</f>
        <v/>
      </c>
      <c r="L76">
        <f>K76*(MIN(Inputs!$B$22+(F96-Calc!F22),Inputs!$B$23)/100+Inputs!$B$23/100)/2</f>
        <v/>
      </c>
      <c r="M76">
        <f>L76*(1+(Inputs!$B$10+(F95-Calc!F21))/100)</f>
        <v/>
      </c>
      <c r="N76">
        <f>L76*(1-MIN(Inputs!$B$9+(F94-Calc!F20),100)/100)+M76*(MIN(Inputs!$B$9+(F94-Calc!F20),100)/100)</f>
        <v/>
      </c>
      <c r="O76">
        <f>Skills!G2*N76*B110*IF(Inputs!$B$38="pvp",1,(1-Summary!$B$56)*(1)+Summary!$B$56*(MIN((6+Inputs!$B$33+IF(Inputs!$B$3&gt;=136,1,0)),Inputs!$B$37)))</f>
        <v/>
      </c>
      <c r="P76">
        <f>IF(B113=0,0,O76/B113)</f>
        <v/>
      </c>
      <c r="Q76">
        <f>IFERROR(1/IF(Inputs!$B$38="pvp",15,MAX(0.1,Skills!E2-IF(Skills!F2=TRUE,Inputs!$B$32,0))),0)</f>
        <v/>
      </c>
      <c r="R76" t="n">
        <v>0</v>
      </c>
      <c r="T76">
        <f>MAX(0,(Inputs!$B$3-100)*3)+Inputs!$B$28+Inputs!$B$29</f>
        <v/>
      </c>
      <c r="Z76">
        <f>MAX(0,(Inputs!$B$3-100)*3)+Inputs!$B$28+Inputs!$B$29</f>
        <v/>
      </c>
    </row>
    <row r="77">
      <c r="A77">
        <f>Skills!A3</f>
        <v/>
      </c>
      <c r="B77">
        <f>Skills!B3</f>
        <v/>
      </c>
      <c r="C77">
        <f>TRUE</f>
        <v/>
      </c>
      <c r="D77">
        <f>IF(Skills!C3=1,60+Inputs!$B$25+Inputs!$B$29,IF(Skills!C3=2,90+Inputs!$B$26+Inputs!$B$29,IF(Skills!C3=3,120+Inputs!$B$27+Inputs!$B$29,MAX(0,(Inputs!$B$3-100)*3)+Inputs!$B$28+Inputs!$B$29)))</f>
        <v/>
      </c>
      <c r="E77">
        <f>INDEX(FactorTable!$B$2:$Y$301, MATCH(ROUND(MIN(300,MAX(1,D77)),0), FactorTable!$A$2:$A$301,0), Skills!M3+1)</f>
        <v/>
      </c>
      <c r="F77">
        <f>IF(Skills!N3=TRUE,(Skills!L3/10)*(E77/1000),Skills!L3/10)+Skills!O3</f>
        <v/>
      </c>
      <c r="G77">
        <f>Calc!G3</f>
        <v/>
      </c>
      <c r="H77">
        <f>Calc!H3</f>
        <v/>
      </c>
      <c r="I77">
        <f>IF(Skills!X3&lt;&gt;"",1+(Skills!X3/10)*(Z77/1000)/100,1)</f>
        <v/>
      </c>
      <c r="J77">
        <f>((Inputs!$B$6*(1+Inputs!$B$7/100))+(((Inputs!$B$12*(1+(Inputs!$B$13+1)/100))-(Inputs!$B$12*(1+Inputs!$B$13/100)))+0.25*(Inputs!$B$14-Inputs!$B$14))*(1+Inputs!$B$7/100))*(F77/100)</f>
        <v/>
      </c>
      <c r="K77">
        <f>J77*(1+((Inputs!$B$12*(1+(Inputs!$B$13+1)/100))*0.01+Inputs!$B$14*0.0025)/100)*(1+Inputs!$B$15/100)*(1+IF(Inputs!$B$38="pvp",0,(1-Summary!$B$56)*(Inputs!$B$20+Skills!P3)+Summary!$B$56*(Inputs!$B$21+Skills!Q3))/100)*(1+Inputs!$B$16/100)*(5000/(6000+Inputs!$B$42*(1-Inputs!$B$19/100)))*(1+Inputs!$B$24/100)*(1+F97/100)*(1+IF(Inputs!$B$3&gt;=120,F100,0)/100)^5*(1+(IF(Skills!A3="BASIC_ATTACK",Inputs!$B$17,Inputs!$B$18+IF(Inputs!$B$3&gt;=125,F101*5,0)))/100)*(B104*B105*B106*I77)</f>
        <v/>
      </c>
      <c r="L77">
        <f>K77*(MIN(Inputs!$B$22+(F96-Calc!F22),Inputs!$B$23)/100+Inputs!$B$23/100)/2</f>
        <v/>
      </c>
      <c r="M77">
        <f>L77*(1+(Inputs!$B$10+(F95-Calc!F21))/100)</f>
        <v/>
      </c>
      <c r="N77">
        <f>L77*(1-MIN(Inputs!$B$9+(F94-Calc!F20),100)/100)+M77*(MIN(Inputs!$B$9+(F94-Calc!F20),100)/100)</f>
        <v/>
      </c>
      <c r="O77">
        <f>IF(C77,H77*N77*IF(AND(Inputs!$B$38&lt;&gt;"pvp",Inputs!$B$43&gt;0),((Skills!G3*((R77-1)*IF(Skills!H3&gt;0,Skills!I3/Skills!H3,1)+IF(Skills!H3&gt;0,MIN(Skills!I3,MAX(0,Inputs!$B$43-((R77-1)*IF(Inputs!$B$38="pvp",15,MAX(0.1,Skills!E3-IF(Skills!F3=TRUE,Inputs!$B$32,0))))))/Skills!H3,1)))/Inputs!$B$43),G77*Q77)*IF(Inputs!$B$38="pvp",1,(1-Summary!$B$56)*(1)+Summary!$B$56*(MIN(Skills!R3,Inputs!$B$37))),0)</f>
        <v/>
      </c>
      <c r="P77">
        <f>IF(B113=0,0,O77/B113)</f>
        <v/>
      </c>
      <c r="Q77">
        <f>IFERROR(1/IF(Inputs!$B$38="pvp",15,MAX(0.1,Skills!E3-IF(Skills!F3=TRUE,Inputs!$B$32,0))),0)</f>
        <v/>
      </c>
      <c r="R77">
        <f>IF(AND(Inputs!$B$38&lt;&gt;"pvp",Inputs!$B$43&gt;0),(INT(Inputs!$B$43/IF(Inputs!$B$38="pvp",15,MAX(0.1,Skills!E3-IF(Skills!F3=TRUE,Inputs!$B$32,0))))+1),0)</f>
        <v/>
      </c>
      <c r="T77">
        <f>INDEX(FactorTable!$B$2:$Y$301, MATCH(ROUND(MIN(300,MAX(1,T76)),0), FactorTable!$A$2:$A$301,0), 22)</f>
        <v/>
      </c>
      <c r="Z77">
        <f>INDEX(FactorTable!$B$2:$Y$301, MATCH(ROUND(MIN(300,MAX(1,Z76)),0), FactorTable!$A$2:$A$301,0), 24)</f>
        <v/>
      </c>
    </row>
    <row r="78">
      <c r="A78">
        <f>Skills!A4</f>
        <v/>
      </c>
      <c r="B78">
        <f>Skills!B4</f>
        <v/>
      </c>
      <c r="C78">
        <f>TRUE</f>
        <v/>
      </c>
      <c r="D78">
        <f>IF(Skills!C4=1,60+Inputs!$B$25+Inputs!$B$29,IF(Skills!C4=2,90+Inputs!$B$26+Inputs!$B$29,IF(Skills!C4=3,120+Inputs!$B$27+Inputs!$B$29,MAX(0,(Inputs!$B$3-100)*3)+Inputs!$B$28+Inputs!$B$29)))</f>
        <v/>
      </c>
      <c r="E78">
        <f>INDEX(FactorTable!$B$2:$Y$301, MATCH(ROUND(MIN(300,MAX(1,D78)),0), FactorTable!$A$2:$A$301,0), Skills!M4+1)</f>
        <v/>
      </c>
      <c r="F78">
        <f>IF(Skills!N4=TRUE,(Skills!L4/10)*(E78/1000),Skills!L4/10)+Skills!O4</f>
        <v/>
      </c>
      <c r="G78">
        <f>Calc!G4</f>
        <v/>
      </c>
      <c r="H78">
        <f>Calc!H4</f>
        <v/>
      </c>
      <c r="I78">
        <f>IF(Skills!X4&lt;&gt;"",1+(Skills!X4/10)*(Z77/1000)/100,1)</f>
        <v/>
      </c>
      <c r="J78">
        <f>((Inputs!$B$6*(1+Inputs!$B$7/100))+(((Inputs!$B$12*(1+(Inputs!$B$13+1)/100))-(Inputs!$B$12*(1+Inputs!$B$13/100)))+0.25*(Inputs!$B$14-Inputs!$B$14))*(1+Inputs!$B$7/100))*(F78/100)</f>
        <v/>
      </c>
      <c r="K78">
        <f>J78*(1+((Inputs!$B$12*(1+(Inputs!$B$13+1)/100))*0.01+Inputs!$B$14*0.0025)/100)*(1+Inputs!$B$15/100)*(1+IF(Inputs!$B$38="pvp",0,(1-Summary!$B$56)*(Inputs!$B$20+Skills!P4)+Summary!$B$56*(Inputs!$B$21+Skills!Q4))/100)*(1+Inputs!$B$16/100)*(5000/(6000+Inputs!$B$42*(1-Inputs!$B$19/100)))*(1+Inputs!$B$24/100)*(1+F97/100)*(1+IF(Inputs!$B$3&gt;=120,F100,0)/100)^5*(1+(IF(Skills!A4="BASIC_ATTACK",Inputs!$B$17,Inputs!$B$18+IF(Inputs!$B$3&gt;=125,F101*5,0)))/100)*(B104*B105*B106*I78)</f>
        <v/>
      </c>
      <c r="L78">
        <f>K78*(MIN(Inputs!$B$22+(F96-Calc!F22),Inputs!$B$23)/100+Inputs!$B$23/100)/2</f>
        <v/>
      </c>
      <c r="M78">
        <f>L78*(1+(Inputs!$B$10+(F95-Calc!F21))/100)</f>
        <v/>
      </c>
      <c r="N78">
        <f>L78*(1-MIN(Inputs!$B$9+(F94-Calc!F20),100)/100)+M78*(MIN(Inputs!$B$9+(F94-Calc!F20),100)/100)</f>
        <v/>
      </c>
      <c r="O78">
        <f>IF(C78,H78*N78*IF(AND(Inputs!$B$38&lt;&gt;"pvp",Inputs!$B$43&gt;0),((Skills!G4*((R78-1)*IF(Skills!H4&gt;0,Skills!I4/Skills!H4,1)+IF(Skills!H4&gt;0,MIN(Skills!I4,MAX(0,Inputs!$B$43-((R78-1)*IF(Inputs!$B$38="pvp",15,MAX(0.1,Skills!E4-IF(Skills!F4=TRUE,Inputs!$B$32,0))))))/Skills!H4,1)))/Inputs!$B$43),G78*Q78)*IF(Inputs!$B$38="pvp",1,(1-Summary!$B$56)*(1)+Summary!$B$56*(MIN(Skills!R4,Inputs!$B$37))),0)</f>
        <v/>
      </c>
      <c r="P78">
        <f>IF(B113=0,0,O78/B113)</f>
        <v/>
      </c>
      <c r="Q78">
        <f>IFERROR(1/IF(Inputs!$B$38="pvp",15,MAX(0.1,Skills!E4-IF(Skills!F4=TRUE,Inputs!$B$32,0))),0)</f>
        <v/>
      </c>
      <c r="R78">
        <f>IF(AND(Inputs!$B$38&lt;&gt;"pvp",Inputs!$B$43&gt;0),(INT(Inputs!$B$43/IF(Inputs!$B$38="pvp",15,MAX(0.1,Skills!E4-IF(Skills!F4=TRUE,Inputs!$B$32,0))))+1),0)</f>
        <v/>
      </c>
      <c r="T78">
        <f>290*T77/1000</f>
        <v/>
      </c>
    </row>
    <row r="79">
      <c r="A79">
        <f>Skills!A5</f>
        <v/>
      </c>
      <c r="B79">
        <f>Skills!B5</f>
        <v/>
      </c>
      <c r="C79">
        <f>TRUE</f>
        <v/>
      </c>
      <c r="D79">
        <f>IF(Skills!C5=1,60+Inputs!$B$25+Inputs!$B$29,IF(Skills!C5=2,90+Inputs!$B$26+Inputs!$B$29,IF(Skills!C5=3,120+Inputs!$B$27+Inputs!$B$29,MAX(0,(Inputs!$B$3-100)*3)+Inputs!$B$28+Inputs!$B$29)))</f>
        <v/>
      </c>
      <c r="E79">
        <f>INDEX(FactorTable!$B$2:$Y$301, MATCH(ROUND(MIN(300,MAX(1,D79)),0), FactorTable!$A$2:$A$301,0), Skills!M5+1)</f>
        <v/>
      </c>
      <c r="F79">
        <f>IF(Skills!N5=TRUE,(Skills!L5/10)*(E79/1000),Skills!L5/10)+Skills!O5</f>
        <v/>
      </c>
      <c r="G79">
        <f>Calc!G5</f>
        <v/>
      </c>
      <c r="H79">
        <f>Calc!H5</f>
        <v/>
      </c>
      <c r="I79">
        <f>IF(Skills!X5&lt;&gt;"",1+(Skills!X5/10)*(Z77/1000)/100,1)</f>
        <v/>
      </c>
      <c r="J79">
        <f>((Inputs!$B$6*(1+Inputs!$B$7/100))+(((Inputs!$B$12*(1+(Inputs!$B$13+1)/100))-(Inputs!$B$12*(1+Inputs!$B$13/100)))+0.25*(Inputs!$B$14-Inputs!$B$14))*(1+Inputs!$B$7/100))*(F79/100)</f>
        <v/>
      </c>
      <c r="K79">
        <f>J79*(1+((Inputs!$B$12*(1+(Inputs!$B$13+1)/100))*0.01+Inputs!$B$14*0.0025)/100)*(1+Inputs!$B$15/100)*(1+IF(Inputs!$B$38="pvp",0,(1-Summary!$B$56)*(Inputs!$B$20+Skills!P5)+Summary!$B$56*(Inputs!$B$21+Skills!Q5))/100)*(1+Inputs!$B$16/100)*(5000/(6000+Inputs!$B$42*(1-Inputs!$B$19/100)))*(1+Inputs!$B$24/100)*(1+F97/100)*(1+IF(Inputs!$B$3&gt;=120,F100,0)/100)^5*(1+(IF(Skills!A5="BASIC_ATTACK",Inputs!$B$17,Inputs!$B$18+IF(Inputs!$B$3&gt;=125,F101*5,0)))/100)*(B104*B105*B106*I79)</f>
        <v/>
      </c>
      <c r="L79">
        <f>K79*(MIN(Inputs!$B$22+(F96-Calc!F22),Inputs!$B$23)/100+Inputs!$B$23/100)/2</f>
        <v/>
      </c>
      <c r="M79">
        <f>L79*(1+(Inputs!$B$10+(F95-Calc!F21))/100)</f>
        <v/>
      </c>
      <c r="N79">
        <f>L79*(1-MIN(Inputs!$B$9+(F94-Calc!F20),100)/100)+M79*(MIN(Inputs!$B$9+(F94-Calc!F20),100)/100)</f>
        <v/>
      </c>
      <c r="O79">
        <f>IF(C79,H79*N79*IF(AND(Inputs!$B$38&lt;&gt;"pvp",Inputs!$B$43&gt;0),((Skills!G5*((R79-1)*IF(Skills!H5&gt;0,Skills!I5/Skills!H5,1)+IF(Skills!H5&gt;0,MIN(Skills!I5,MAX(0,Inputs!$B$43-((R79-1)*IF(Inputs!$B$38="pvp",15,MAX(0.1,Skills!E5-IF(Skills!F5=TRUE,Inputs!$B$32,0))))))/Skills!H5,1)))/Inputs!$B$43),G79*Q79)*IF(Inputs!$B$38="pvp",1,(1-Summary!$B$56)*(1)+Summary!$B$56*(MIN(Skills!R5,Inputs!$B$37))),0)</f>
        <v/>
      </c>
      <c r="P79">
        <f>IF(B113=0,0,O79/B113)</f>
        <v/>
      </c>
      <c r="Q79">
        <f>IFERROR(1/IF(Inputs!$B$38="pvp",15,MAX(0.1,Skills!E5-IF(Skills!F5=TRUE,Inputs!$B$32,0))),0)</f>
        <v/>
      </c>
      <c r="R79">
        <f>IF(AND(Inputs!$B$38&lt;&gt;"pvp",Inputs!$B$43&gt;0),(INT(Inputs!$B$43/IF(Inputs!$B$38="pvp",15,MAX(0.1,Skills!E5-IF(Skills!F5=TRUE,Inputs!$B$32,0))))+1),0)</f>
        <v/>
      </c>
    </row>
    <row r="80">
      <c r="A80">
        <f>Skills!A6</f>
        <v/>
      </c>
      <c r="B80">
        <f>Skills!B6</f>
        <v/>
      </c>
      <c r="C80">
        <f>TRUE</f>
        <v/>
      </c>
      <c r="D80">
        <f>IF(Skills!C6=1,60+Inputs!$B$25+Inputs!$B$29,IF(Skills!C6=2,90+Inputs!$B$26+Inputs!$B$29,IF(Skills!C6=3,120+Inputs!$B$27+Inputs!$B$29,MAX(0,(Inputs!$B$3-100)*3)+Inputs!$B$28+Inputs!$B$29)))</f>
        <v/>
      </c>
      <c r="E80">
        <f>INDEX(FactorTable!$B$2:$Y$301, MATCH(ROUND(MIN(300,MAX(1,D80)),0), FactorTable!$A$2:$A$301,0), Skills!M6+1)</f>
        <v/>
      </c>
      <c r="F80">
        <f>IF(Skills!N6=TRUE,(Skills!L6/10)*(E80/1000),Skills!L6/10)+Skills!O6</f>
        <v/>
      </c>
      <c r="G80">
        <f>Calc!G6</f>
        <v/>
      </c>
      <c r="H80">
        <f>Calc!H6</f>
        <v/>
      </c>
      <c r="I80">
        <f>IF(Skills!X6&lt;&gt;"",1+(Skills!X6/10)*(Z77/1000)/100,1)</f>
        <v/>
      </c>
      <c r="J80" t="inlineStr"/>
      <c r="K80" t="inlineStr"/>
      <c r="L80" t="inlineStr"/>
      <c r="M80" t="inlineStr"/>
      <c r="N80" t="inlineStr"/>
      <c r="O80" t="n">
        <v>0</v>
      </c>
      <c r="P80">
        <f>IF(B113=0,0,O80/B113)</f>
        <v/>
      </c>
      <c r="Q80">
        <f>IFERROR(1/IF(Inputs!$B$38="pvp",15,MAX(0.1,Skills!E6-IF(Skills!F6=TRUE,Inputs!$B$32,0))),0)</f>
        <v/>
      </c>
      <c r="R80">
        <f>IF(AND(Inputs!$B$38&lt;&gt;"pvp",Inputs!$B$43&gt;0),(INT(Inputs!$B$43/IF(Inputs!$B$38="pvp",15,MAX(0.1,Skills!E6-IF(Skills!F6=TRUE,Inputs!$B$32,0))))+1),0)</f>
        <v/>
      </c>
    </row>
    <row r="81">
      <c r="A81">
        <f>Skills!A7</f>
        <v/>
      </c>
      <c r="B81">
        <f>Skills!B7</f>
        <v/>
      </c>
      <c r="C81">
        <f>TRUE</f>
        <v/>
      </c>
      <c r="D81">
        <f>IF(Skills!C7=1,60+Inputs!$B$25+Inputs!$B$29,IF(Skills!C7=2,90+Inputs!$B$26+Inputs!$B$29,IF(Skills!C7=3,120+Inputs!$B$27+Inputs!$B$29,MAX(0,(Inputs!$B$3-100)*3)+Inputs!$B$28+Inputs!$B$29)))</f>
        <v/>
      </c>
      <c r="E81">
        <f>INDEX(FactorTable!$B$2:$Y$301, MATCH(ROUND(MIN(300,MAX(1,D81)),0), FactorTable!$A$2:$A$301,0), Skills!M7+1)</f>
        <v/>
      </c>
      <c r="F81">
        <f>IF(Skills!N7=TRUE,(Skills!L7/10)*(E81/1000),Skills!L7/10)+Skills!O7</f>
        <v/>
      </c>
      <c r="G81">
        <f>Calc!G7</f>
        <v/>
      </c>
      <c r="H81">
        <f>Calc!H7</f>
        <v/>
      </c>
      <c r="I81">
        <f>IF(Skills!X7&lt;&gt;"",1+(Skills!X7/10)*(Z77/1000)/100,1)</f>
        <v/>
      </c>
      <c r="J81">
        <f>((Inputs!$B$6*(1+Inputs!$B$7/100))+(((Inputs!$B$12*(1+(Inputs!$B$13+1)/100))-(Inputs!$B$12*(1+Inputs!$B$13/100)))+0.25*(Inputs!$B$14-Inputs!$B$14))*(1+Inputs!$B$7/100))*(F81/100)</f>
        <v/>
      </c>
      <c r="K81">
        <f>J81*(1+((Inputs!$B$12*(1+(Inputs!$B$13+1)/100))*0.01+Inputs!$B$14*0.0025)/100)*(1+Inputs!$B$15/100)*(1+IF(Inputs!$B$38="pvp",0,(1-Summary!$B$56)*(Inputs!$B$20+Skills!P7)+Summary!$B$56*(Inputs!$B$21+Skills!Q7))/100)*(1+Inputs!$B$16/100)*(5000/(6000+Inputs!$B$42*(1-Inputs!$B$19/100)))*(1+Inputs!$B$24/100)*(1+F97/100)*(1+IF(Inputs!$B$3&gt;=120,F100,0)/100)^5*(1+(IF(Skills!A7="BASIC_ATTACK",Inputs!$B$17,Inputs!$B$18+IF(Inputs!$B$3&gt;=125,F101*5,0)))/100)*(B104*B105*B106*I81)</f>
        <v/>
      </c>
      <c r="L81">
        <f>K81*(MIN(Inputs!$B$22+(F96-Calc!F22),Inputs!$B$23)/100+Inputs!$B$23/100)/2</f>
        <v/>
      </c>
      <c r="M81">
        <f>L81*(1+(Inputs!$B$10+(F95-Calc!F21))/100)</f>
        <v/>
      </c>
      <c r="N81">
        <f>L81*(1-MIN(Inputs!$B$9+(F94-Calc!F20),100)/100)+M81*(MIN(Inputs!$B$9+(F94-Calc!F20),100)/100)</f>
        <v/>
      </c>
      <c r="O81">
        <f>IF(C81,H81*N81*IF(AND(Inputs!$B$38&lt;&gt;"pvp",Inputs!$B$43&gt;0),((Skills!G7*((R81-1)*IF(Skills!H7&gt;0,Skills!I7/Skills!H7,1)+IF(Skills!H7&gt;0,MIN(Skills!I7,MAX(0,Inputs!$B$43-((R81-1)*IF(Inputs!$B$38="pvp",15,MAX(0.1,Skills!E7-IF(Skills!F7=TRUE,Inputs!$B$32,0))))))/Skills!H7,1)))/Inputs!$B$43),G81*Q81)*IF(Inputs!$B$38="pvp",1,(1-Summary!$B$56)*(1)+Summary!$B$56*(MIN(Skills!R7,Inputs!$B$37))),0)</f>
        <v/>
      </c>
      <c r="P81">
        <f>IF(B113=0,0,O81/B113)</f>
        <v/>
      </c>
      <c r="Q81">
        <f>IFERROR(1/IF(Inputs!$B$38="pvp",15,MAX(0.1,Skills!E7-IF(Skills!F7=TRUE,Inputs!$B$32,0))),0)</f>
        <v/>
      </c>
      <c r="R81">
        <f>IF(AND(Inputs!$B$38&lt;&gt;"pvp",Inputs!$B$43&gt;0),(INT(Inputs!$B$43/IF(Inputs!$B$38="pvp",15,MAX(0.1,Skills!E7-IF(Skills!F7=TRUE,Inputs!$B$32,0))))+1),0)</f>
        <v/>
      </c>
    </row>
    <row r="82">
      <c r="A82">
        <f>Skills!A8</f>
        <v/>
      </c>
      <c r="B82">
        <f>Skills!B8</f>
        <v/>
      </c>
      <c r="C82">
        <f>TRUE</f>
        <v/>
      </c>
      <c r="D82">
        <f>IF(Skills!C8=1,60+Inputs!$B$25+Inputs!$B$29,IF(Skills!C8=2,90+Inputs!$B$26+Inputs!$B$29,IF(Skills!C8=3,120+Inputs!$B$27+Inputs!$B$29,MAX(0,(Inputs!$B$3-100)*3)+Inputs!$B$28+Inputs!$B$29)))</f>
        <v/>
      </c>
      <c r="E82">
        <f>INDEX(FactorTable!$B$2:$Y$301, MATCH(ROUND(MIN(300,MAX(1,D82)),0), FactorTable!$A$2:$A$301,0), Skills!M8+1)</f>
        <v/>
      </c>
      <c r="F82">
        <f>IF(Skills!N8=TRUE,(Skills!L8/10)*(E82/1000),Skills!L8/10)+Skills!O8</f>
        <v/>
      </c>
      <c r="G82">
        <f>Calc!G8</f>
        <v/>
      </c>
      <c r="H82">
        <f>Calc!H8</f>
        <v/>
      </c>
      <c r="I82">
        <f>IF(Skills!X8&lt;&gt;"",1+(Skills!X8/10)*(Z77/1000)/100,1)</f>
        <v/>
      </c>
      <c r="J82">
        <f>((Inputs!$B$6*(1+Inputs!$B$7/100))+(((Inputs!$B$12*(1+(Inputs!$B$13+1)/100))-(Inputs!$B$12*(1+Inputs!$B$13/100)))+0.25*(Inputs!$B$14-Inputs!$B$14))*(1+Inputs!$B$7/100))*(F82/100)</f>
        <v/>
      </c>
      <c r="K82">
        <f>J82*(1+((Inputs!$B$12*(1+(Inputs!$B$13+1)/100))*0.01+Inputs!$B$14*0.0025)/100)*(1+Inputs!$B$15/100)*(1+IF(Inputs!$B$38="pvp",0,(1-Summary!$B$56)*(Inputs!$B$20+Skills!P8)+Summary!$B$56*(Inputs!$B$21+Skills!Q8))/100)*(1+Inputs!$B$16/100)*(5000/(6000+Inputs!$B$42*(1-Inputs!$B$19/100)))*(1+Inputs!$B$24/100)*(1+F97/100)*(1+IF(Inputs!$B$3&gt;=120,F100,0)/100)^5*(1+(IF(Skills!A8="BASIC_ATTACK",Inputs!$B$17,Inputs!$B$18+IF(Inputs!$B$3&gt;=125,F101*5,0)))/100)*(B104*B105*B106*I82)</f>
        <v/>
      </c>
      <c r="L82">
        <f>K82*(MIN(Inputs!$B$22+(F96-Calc!F22),Inputs!$B$23)/100+Inputs!$B$23/100)/2</f>
        <v/>
      </c>
      <c r="M82">
        <f>L82*(1+(Inputs!$B$10+(F95-Calc!F21))/100)</f>
        <v/>
      </c>
      <c r="N82">
        <f>L82*(1-MIN(Inputs!$B$9+(F94-Calc!F20),100)/100)+M82*(MIN(Inputs!$B$9+(F94-Calc!F20),100)/100)</f>
        <v/>
      </c>
      <c r="O82">
        <f>IF(C82,H82*N82*IF(AND(Inputs!$B$38&lt;&gt;"pvp",Inputs!$B$43&gt;0),((Skills!G8*((R82-1)*IF(Skills!H8&gt;0,Skills!I8/Skills!H8,1)+IF(Skills!H8&gt;0,MIN(Skills!I8,MAX(0,Inputs!$B$43-((R82-1)*IF(Inputs!$B$38="pvp",15,MAX(0.1,Skills!E8-IF(Skills!F8=TRUE,Inputs!$B$32,0))))))/Skills!H8,1)))/Inputs!$B$43),G82*Q82)*IF(Inputs!$B$38="pvp",1,(1-Summary!$B$56)*(1)+Summary!$B$56*(MIN(Skills!R8,Inputs!$B$37))),0)</f>
        <v/>
      </c>
      <c r="P82">
        <f>IF(B113=0,0,O82/B113)</f>
        <v/>
      </c>
      <c r="Q82">
        <f>IFERROR(1/IF(Inputs!$B$38="pvp",15,MAX(0.1,Skills!E8-IF(Skills!F8=TRUE,Inputs!$B$32,0))),0)</f>
        <v/>
      </c>
      <c r="R82">
        <f>IF(AND(Inputs!$B$38&lt;&gt;"pvp",Inputs!$B$43&gt;0),(INT(Inputs!$B$43/IF(Inputs!$B$38="pvp",15,MAX(0.1,Skills!E8-IF(Skills!F8=TRUE,Inputs!$B$32,0))))+1),0)</f>
        <v/>
      </c>
    </row>
    <row r="83">
      <c r="A83">
        <f>Skills!A9</f>
        <v/>
      </c>
      <c r="B83">
        <f>Skills!B9</f>
        <v/>
      </c>
      <c r="C83">
        <f>Inputs!$B$3&gt;=103</f>
        <v/>
      </c>
      <c r="D83">
        <f>IF(Skills!C9=1,60+Inputs!$B$25+Inputs!$B$29,IF(Skills!C9=2,90+Inputs!$B$26+Inputs!$B$29,IF(Skills!C9=3,120+Inputs!$B$27+Inputs!$B$29,MAX(0,(Inputs!$B$3-100)*3)+Inputs!$B$28+Inputs!$B$29)))</f>
        <v/>
      </c>
      <c r="E83">
        <f>INDEX(FactorTable!$B$2:$Y$301, MATCH(ROUND(MIN(300,MAX(1,D83)),0), FactorTable!$A$2:$A$301,0), Skills!M9+1)</f>
        <v/>
      </c>
      <c r="F83">
        <f>IF(Skills!N9=TRUE,(Skills!L9/10)*(E83/1000),Skills!L9/10)+Skills!O9</f>
        <v/>
      </c>
      <c r="G83">
        <f>Calc!G9</f>
        <v/>
      </c>
      <c r="H83">
        <f>Calc!H9</f>
        <v/>
      </c>
      <c r="I83">
        <f>IF(Skills!X9&lt;&gt;"",1+(Skills!X9/10)*(Z77/1000)/100,1)</f>
        <v/>
      </c>
      <c r="J83">
        <f>((Inputs!$B$6*(1+Inputs!$B$7/100))+(((Inputs!$B$12*(1+(Inputs!$B$13+1)/100))-(Inputs!$B$12*(1+Inputs!$B$13/100)))+0.25*(Inputs!$B$14-Inputs!$B$14))*(1+Inputs!$B$7/100))*(F83/100)</f>
        <v/>
      </c>
      <c r="K83">
        <f>J83*(1+((Inputs!$B$12*(1+(Inputs!$B$13+1)/100))*0.01+Inputs!$B$14*0.0025)/100)*(1+Inputs!$B$15/100)*(1+IF(Inputs!$B$38="pvp",0,(1-Summary!$B$56)*(Inputs!$B$20+Skills!P9)+Summary!$B$56*(Inputs!$B$21+Skills!Q9))/100)*(1+Inputs!$B$16/100)*(5000/(6000+Inputs!$B$42*(1-Inputs!$B$19/100)))*(1+Inputs!$B$24/100)*(1+F97/100)*(1+IF(Inputs!$B$3&gt;=120,F100,0)/100)^5*(1+(IF(Skills!A9="BASIC_ATTACK",Inputs!$B$17,Inputs!$B$18+IF(Inputs!$B$3&gt;=125,F101*5,0)))/100)*(B104*B105*B106*I83)</f>
        <v/>
      </c>
      <c r="L83">
        <f>K83*(MIN(Inputs!$B$22+(F96-Calc!F22),Inputs!$B$23)/100+Inputs!$B$23/100)/2</f>
        <v/>
      </c>
      <c r="M83">
        <f>L83*(1+(Inputs!$B$10+(F95-Calc!F21))/100)</f>
        <v/>
      </c>
      <c r="N83">
        <f>L83*(1-MIN(Inputs!$B$9+(F94-Calc!F20),100)/100)+M83*(MIN(Inputs!$B$9+(F94-Calc!F20),100)/100)</f>
        <v/>
      </c>
      <c r="O83">
        <f>IF(C83,H83*N83*IF(AND(Inputs!$B$38&lt;&gt;"pvp",Inputs!$B$43&gt;0),((Skills!G9*((R83-1)*IF(Skills!H9&gt;0,Skills!I9/Skills!H9,1)+IF(Skills!H9&gt;0,MIN(Skills!I9,MAX(0,Inputs!$B$43-((R83-1)*IF(Inputs!$B$38="pvp",15,MAX(0.1,Skills!E9-IF(Skills!F7=TRUE,Inputs!$B$32,0))))))/Skills!H9,1)))/Inputs!$B$43),G83*Q83)*IF(Inputs!$B$38="pvp",1,(1-Summary!$B$56)*(1)+Summary!$B$56*(MIN(Skills!R9,Inputs!$B$37))),0)</f>
        <v/>
      </c>
      <c r="P83">
        <f>IF(B113=0,0,O83/B113)</f>
        <v/>
      </c>
      <c r="Q83">
        <f>IFERROR(1/IF(Inputs!$B$38="pvp",15,MAX(0.1,Skills!E9-IF(Skills!F7=TRUE,Inputs!$B$32,0))),0)</f>
        <v/>
      </c>
      <c r="R83">
        <f>IF(AND(Inputs!$B$38&lt;&gt;"pvp",Inputs!$B$43&gt;0),(INT(Inputs!$B$43/IF(Inputs!$B$38="pvp",15,MAX(0.1,Skills!E9-IF(Skills!F7=TRUE,Inputs!$B$32,0))))+1),0)</f>
        <v/>
      </c>
    </row>
    <row r="84">
      <c r="A84">
        <f>Skills!A10</f>
        <v/>
      </c>
      <c r="B84">
        <f>Skills!B10</f>
        <v/>
      </c>
      <c r="C84">
        <f>TRUE</f>
        <v/>
      </c>
      <c r="D84">
        <f>IF(Skills!C10=1,60+Inputs!$B$25+Inputs!$B$29,IF(Skills!C10=2,90+Inputs!$B$26+Inputs!$B$29,IF(Skills!C10=3,120+Inputs!$B$27+Inputs!$B$29,MAX(0,(Inputs!$B$3-100)*3)+Inputs!$B$28+Inputs!$B$29)))</f>
        <v/>
      </c>
      <c r="E84">
        <f>INDEX(FactorTable!$B$2:$Y$301, MATCH(ROUND(MIN(300,MAX(1,D84)),0), FactorTable!$A$2:$A$301,0), Skills!M10+1)</f>
        <v/>
      </c>
      <c r="F84">
        <f>IF(Skills!N10=TRUE,(Skills!L10/10)*(E84/1000),Skills!L10/10)+Skills!O10</f>
        <v/>
      </c>
      <c r="G84">
        <f>Calc!G10</f>
        <v/>
      </c>
      <c r="H84">
        <f>Calc!H10</f>
        <v/>
      </c>
      <c r="I84">
        <f>IF(Skills!X10&lt;&gt;"",1+(Skills!X10/10)*(Z77/1000)/100,1)</f>
        <v/>
      </c>
      <c r="J84">
        <f>((Inputs!$B$6*(1+Inputs!$B$7/100))+(((Inputs!$B$12*(1+(Inputs!$B$13+1)/100))-(Inputs!$B$12*(1+Inputs!$B$13/100)))+0.25*(Inputs!$B$14-Inputs!$B$14))*(1+Inputs!$B$7/100))*(F84/100)</f>
        <v/>
      </c>
      <c r="K84">
        <f>J84*(1+((Inputs!$B$12*(1+(Inputs!$B$13+1)/100))*0.01+Inputs!$B$14*0.0025)/100)*(1+Inputs!$B$15/100)*(1+IF(Inputs!$B$38="pvp",0,(1-Summary!$B$56)*(Inputs!$B$20+Skills!P10)+Summary!$B$56*(Inputs!$B$21+Skills!Q10))/100)*(1+Inputs!$B$16/100)*(5000/(6000+Inputs!$B$42*(1-Inputs!$B$19/100)))*(1+Inputs!$B$24/100)*(1+F97/100)*(1+IF(Inputs!$B$3&gt;=120,F100,0)/100)^5*(1+(IF(Skills!A10="BASIC_ATTACK",Inputs!$B$17,Inputs!$B$18+IF(Inputs!$B$3&gt;=125,F101*5,0)))/100)*(B104*B105*B106*I84)</f>
        <v/>
      </c>
      <c r="L84">
        <f>K84*(MIN(Inputs!$B$22+(F96-Calc!F22),Inputs!$B$23)/100+Inputs!$B$23/100)/2</f>
        <v/>
      </c>
      <c r="M84">
        <f>L84*(1+(Inputs!$B$10+(F95-Calc!F21))/100)</f>
        <v/>
      </c>
      <c r="N84">
        <f>L84*(1-MIN(Inputs!$B$9+(F94-Calc!F20),100)/100)+M84*(MIN(Inputs!$B$9+(F94-Calc!F20),100)/100)</f>
        <v/>
      </c>
      <c r="O84">
        <f>IF(C84,H84*N84*IF(AND(Inputs!$B$38&lt;&gt;"pvp",Inputs!$B$43&gt;0),((Skills!G10*((R84-1)*IF(Skills!H10&gt;0,Skills!I10/Skills!H10,1)+IF(Skills!H10&gt;0,MIN(Skills!I10,MAX(0,Inputs!$B$43-((R84-1)*IF(Inputs!$B$38="pvp",15,MAX(0.1,Skills!E10-IF(Skills!F10=TRUE,Inputs!$B$32,0))))))/Skills!H10,1)))/Inputs!$B$43),G84*Q84)*IF(Inputs!$B$38="pvp",1,(1-Summary!$B$56)*(1)+Summary!$B$56*(MIN(Skills!R10,Inputs!$B$37))),0)</f>
        <v/>
      </c>
      <c r="P84">
        <f>IF(B113=0,0,O84/B113)</f>
        <v/>
      </c>
      <c r="Q84">
        <f>IFERROR(1/IF(Inputs!$B$38="pvp",15,MAX(0.1,Skills!E10-IF(Skills!F10=TRUE,Inputs!$B$32,0))),0)</f>
        <v/>
      </c>
      <c r="R84">
        <f>IF(AND(Inputs!$B$38&lt;&gt;"pvp",Inputs!$B$43&gt;0),(INT(Inputs!$B$43/IF(Inputs!$B$38="pvp",15,MAX(0.1,Skills!E10-IF(Skills!F10=TRUE,Inputs!$B$32,0))))+1),0)</f>
        <v/>
      </c>
    </row>
    <row r="85">
      <c r="A85">
        <f>Skills!A11</f>
        <v/>
      </c>
      <c r="B85">
        <f>Skills!B11</f>
        <v/>
      </c>
      <c r="C85">
        <f>TRUE</f>
        <v/>
      </c>
      <c r="D85">
        <f>IF(Skills!C11=1,60+Inputs!$B$25+Inputs!$B$29,IF(Skills!C11=2,90+Inputs!$B$26+Inputs!$B$29,IF(Skills!C11=3,120+Inputs!$B$27+Inputs!$B$29,MAX(0,(Inputs!$B$3-100)*3)+Inputs!$B$28+Inputs!$B$29)))</f>
        <v/>
      </c>
      <c r="E85">
        <f>INDEX(FactorTable!$B$2:$Y$301, MATCH(ROUND(MIN(300,MAX(1,D85)),0), FactorTable!$A$2:$A$301,0), Skills!M11+1)</f>
        <v/>
      </c>
      <c r="F85">
        <f>IF(Skills!N11=TRUE,(Skills!L11/10)*(E85/1000),Skills!L11/10)+Skills!O11</f>
        <v/>
      </c>
      <c r="G85">
        <f>Calc!G11</f>
        <v/>
      </c>
      <c r="H85">
        <f>Calc!H11</f>
        <v/>
      </c>
      <c r="I85">
        <f>IF(Skills!X11&lt;&gt;"",1+(Skills!X11/10)*(Z77/1000)/100,1)</f>
        <v/>
      </c>
      <c r="J85" t="inlineStr"/>
      <c r="K85" t="inlineStr"/>
      <c r="L85" t="inlineStr"/>
      <c r="M85" t="inlineStr"/>
      <c r="N85" t="inlineStr"/>
      <c r="O85" t="n">
        <v>0</v>
      </c>
      <c r="P85">
        <f>IF(B113=0,0,O85/B113)</f>
        <v/>
      </c>
      <c r="Q85">
        <f>IFERROR(1/IF(Inputs!$B$38="pvp",15,MAX(0.1,Skills!E11-IF(Skills!F11=TRUE,Inputs!$B$32,0))),0)</f>
        <v/>
      </c>
      <c r="R85" t="n">
        <v>0</v>
      </c>
    </row>
    <row r="86">
      <c r="A86">
        <f>Skills!A12</f>
        <v/>
      </c>
      <c r="B86">
        <f>Skills!B12</f>
        <v/>
      </c>
      <c r="C86">
        <f>TRUE</f>
        <v/>
      </c>
      <c r="D86">
        <f>IF(Skills!C12=1,60+Inputs!$B$25+Inputs!$B$29,IF(Skills!C12=2,90+Inputs!$B$26+Inputs!$B$29,IF(Skills!C12=3,120+Inputs!$B$27+Inputs!$B$29,MAX(0,(Inputs!$B$3-100)*3)+Inputs!$B$28+Inputs!$B$29)))</f>
        <v/>
      </c>
      <c r="E86">
        <f>INDEX(FactorTable!$B$2:$Y$301, MATCH(ROUND(MIN(300,MAX(1,D86)),0), FactorTable!$A$2:$A$301,0), Skills!M12+1)</f>
        <v/>
      </c>
      <c r="F86">
        <f>IF(Skills!N12=TRUE,(Skills!L12/10)*(E86/1000),Skills!L12/10)+Skills!O12</f>
        <v/>
      </c>
      <c r="G86">
        <f>Calc!G12</f>
        <v/>
      </c>
      <c r="H86">
        <f>Calc!H12</f>
        <v/>
      </c>
      <c r="I86">
        <f>IF(Skills!X12&lt;&gt;"",1+(Skills!X12/10)*(Z77/1000)/100,1)</f>
        <v/>
      </c>
      <c r="J86" t="inlineStr"/>
      <c r="K86" t="inlineStr"/>
      <c r="L86" t="inlineStr"/>
      <c r="M86" t="inlineStr"/>
      <c r="N86" t="inlineStr"/>
      <c r="O86" t="n">
        <v>0</v>
      </c>
      <c r="P86">
        <f>IF(B113=0,0,O86/B113)</f>
        <v/>
      </c>
      <c r="Q86">
        <f>IFERROR(1/IF(Inputs!$B$38="pvp",15,MAX(0.1,Skills!E12-IF(Skills!F12=TRUE,Inputs!$B$32,0))),0)</f>
        <v/>
      </c>
      <c r="R86" t="n">
        <v>0</v>
      </c>
    </row>
    <row r="87">
      <c r="A87">
        <f>Skills!A13</f>
        <v/>
      </c>
      <c r="B87">
        <f>Skills!B13</f>
        <v/>
      </c>
      <c r="C87">
        <f>Inputs!$B$3&gt;=105</f>
        <v/>
      </c>
      <c r="D87">
        <f>IF(Skills!C13=1,60+Inputs!$B$25+Inputs!$B$29,IF(Skills!C13=2,90+Inputs!$B$26+Inputs!$B$29,IF(Skills!C13=3,120+Inputs!$B$27+Inputs!$B$29,MAX(0,(Inputs!$B$3-100)*3)+Inputs!$B$28+Inputs!$B$29)))</f>
        <v/>
      </c>
      <c r="E87">
        <f>INDEX(FactorTable!$B$2:$Y$301, MATCH(ROUND(MIN(300,MAX(1,D87)),0), FactorTable!$A$2:$A$301,0), Skills!M13+1)</f>
        <v/>
      </c>
      <c r="F87">
        <f>IF(Skills!N13=TRUE,(Skills!L13/10)*(E87/1000),Skills!L13/10)+Skills!O13</f>
        <v/>
      </c>
      <c r="G87">
        <f>Calc!G13</f>
        <v/>
      </c>
      <c r="H87">
        <f>Calc!H13</f>
        <v/>
      </c>
      <c r="I87">
        <f>IF(Skills!X13&lt;&gt;"",1+(Skills!X13/10)*(Z77/1000)/100,1)</f>
        <v/>
      </c>
      <c r="J87">
        <f>((Inputs!$B$6*(1+Inputs!$B$7/100))+(((Inputs!$B$12*(1+(Inputs!$B$13+1)/100))-(Inputs!$B$12*(1+Inputs!$B$13/100)))+0.25*(Inputs!$B$14-Inputs!$B$14))*(1+Inputs!$B$7/100))*(F87/100)</f>
        <v/>
      </c>
      <c r="K87">
        <f>J87*(1+((Inputs!$B$12*(1+(Inputs!$B$13+1)/100))*0.01+Inputs!$B$14*0.0025)/100)*(1+Inputs!$B$15/100)*(1+IF(Inputs!$B$38="pvp",0,(1-Summary!$B$56)*(Inputs!$B$20+Skills!P13)+Summary!$B$56*(Inputs!$B$21+Skills!Q13))/100)*(1+Inputs!$B$16/100)*(5000/(6000+Inputs!$B$42*(1-Inputs!$B$19/100)))*(1+Inputs!$B$24/100)*(1+F97/100)*(1+IF(Inputs!$B$3&gt;=120,F100,0)/100)^5*(1+(IF(Skills!A13="BASIC_ATTACK",Inputs!$B$17,Inputs!$B$18+IF(Inputs!$B$3&gt;=125,F101*5,0)))/100)*(B104*B105*B106*I87)</f>
        <v/>
      </c>
      <c r="L87">
        <f>K87*(MIN(Inputs!$B$22+(F96-Calc!F22),Inputs!$B$23)/100+Inputs!$B$23/100)/2</f>
        <v/>
      </c>
      <c r="M87">
        <f>L87*(1+(Inputs!$B$10+(F95-Calc!F21))/100)</f>
        <v/>
      </c>
      <c r="N87">
        <f>L87*(1-MIN(Inputs!$B$9+(F94-Calc!F20),100)/100)+M87*(MIN(Inputs!$B$9+(F94-Calc!F20),100)/100)</f>
        <v/>
      </c>
      <c r="O87">
        <f>IF(C87,H87*N87*IF(AND(Inputs!$B$38&lt;&gt;"pvp",Inputs!$B$43&gt;0),((Skills!G13*((R87-1)*IF(Skills!H13&gt;0,Skills!I13/Skills!H13,1)+IF(Skills!H13&gt;0,MIN(Skills!I13,MAX(0,Inputs!$B$43-((R87-1)*IF(Inputs!$B$38="pvp",15,MAX(0.1,Skills!E13-IF(Skills!F13=TRUE,Inputs!$B$32,0))))))/Skills!H13,1)))/Inputs!$B$43),G87*Q87)*IF(Inputs!$B$38="pvp",1,(1-Summary!$B$56)*(1)+Summary!$B$56*(MIN(Skills!R13,Inputs!$B$37))),0)</f>
        <v/>
      </c>
      <c r="P87">
        <f>IF(B113=0,0,O87/B113)</f>
        <v/>
      </c>
      <c r="Q87">
        <f>IFERROR(1/IF(Inputs!$B$38="pvp",15,MAX(0.1,Skills!E13-IF(Skills!F13=TRUE,Inputs!$B$32,0))),0)</f>
        <v/>
      </c>
      <c r="R87">
        <f>IF(AND(Inputs!$B$38&lt;&gt;"pvp",Inputs!$B$43&gt;0),(INT(Inputs!$B$43/IF(Inputs!$B$38="pvp",15,MAX(0.1,Skills!E13-IF(Skills!F13=TRUE,Inputs!$B$32,0))))+1),0)</f>
        <v/>
      </c>
    </row>
    <row r="88">
      <c r="A88">
        <f>Skills!A14</f>
        <v/>
      </c>
      <c r="B88">
        <f>Skills!B14</f>
        <v/>
      </c>
      <c r="C88">
        <f>Inputs!$B$3&gt;=113</f>
        <v/>
      </c>
      <c r="D88">
        <f>IF(Skills!C14=1,60+Inputs!$B$25+Inputs!$B$29,IF(Skills!C14=2,90+Inputs!$B$26+Inputs!$B$29,IF(Skills!C14=3,120+Inputs!$B$27+Inputs!$B$29,MAX(0,(Inputs!$B$3-100)*3)+Inputs!$B$28+Inputs!$B$29)))</f>
        <v/>
      </c>
      <c r="E88">
        <f>INDEX(FactorTable!$B$2:$Y$301, MATCH(ROUND(MIN(300,MAX(1,D88)),0), FactorTable!$A$2:$A$301,0), Skills!M14+1)</f>
        <v/>
      </c>
      <c r="F88">
        <f>IF(Skills!N14=TRUE,(Skills!L14/10)*(E88/1000),Skills!L14/10)+Skills!O14</f>
        <v/>
      </c>
      <c r="G88">
        <f>Calc!G14</f>
        <v/>
      </c>
      <c r="H88">
        <f>Calc!H14</f>
        <v/>
      </c>
      <c r="I88">
        <f>IF(Skills!X14&lt;&gt;"",1+(Skills!X14/10)*(Z77/1000)/100,1)</f>
        <v/>
      </c>
      <c r="J88">
        <f>((Inputs!$B$6*(1+Inputs!$B$7/100))+(((Inputs!$B$12*(1+(Inputs!$B$13+1)/100))-(Inputs!$B$12*(1+Inputs!$B$13/100)))+0.25*(Inputs!$B$14-Inputs!$B$14))*(1+Inputs!$B$7/100))*(F88/100)</f>
        <v/>
      </c>
      <c r="K88">
        <f>J88*(1+((Inputs!$B$12*(1+(Inputs!$B$13+1)/100))*0.01+Inputs!$B$14*0.0025)/100)*(1+Inputs!$B$15/100)*(1+IF(Inputs!$B$38="pvp",0,(1-Summary!$B$56)*(Inputs!$B$20+Skills!P14)+Summary!$B$56*(Inputs!$B$21+Skills!Q14))/100)*(1+Inputs!$B$16/100)*(5000/(6000+Inputs!$B$42*(1-Inputs!$B$19/100)))*(1+Inputs!$B$24/100)*(1+F97/100)*(1+IF(Inputs!$B$3&gt;=120,F100,0)/100)^5*(1+(IF(Skills!A14="BASIC_ATTACK",Inputs!$B$17,Inputs!$B$18+IF(Inputs!$B$3&gt;=125,F101*5,0)))/100)*(B104*B105*B106*I88)</f>
        <v/>
      </c>
      <c r="L88">
        <f>K88*(MIN(Inputs!$B$22+(F96-Calc!F22),Inputs!$B$23)/100+Inputs!$B$23/100)/2</f>
        <v/>
      </c>
      <c r="M88">
        <f>L88*(1+(Inputs!$B$10+(F95-Calc!F21))/100)</f>
        <v/>
      </c>
      <c r="N88">
        <f>L88*(1-MIN(Inputs!$B$9+(F94-Calc!F20),100)/100)+M88*(MIN(Inputs!$B$9+(F94-Calc!F20),100)/100)</f>
        <v/>
      </c>
      <c r="O88">
        <f>IF(C88,(H88*B111)/(1+Skills!H14*H88*B111)*N88*IF(Inputs!$B$38="pvp",1,(1-Summary!$B$56)*(1)+Summary!$B$56*(MIN(Skills!R14,Inputs!$B$37))),0)</f>
        <v/>
      </c>
      <c r="P88">
        <f>IF(B113=0,0,O88/B113)</f>
        <v/>
      </c>
      <c r="Q88">
        <f>IFERROR(1/IF(Inputs!$B$38="pvp",15,MAX(0.1,Skills!E14-IF(Skills!F14=TRUE,Inputs!$B$32,0))),0)</f>
        <v/>
      </c>
      <c r="R88" t="n">
        <v>0</v>
      </c>
    </row>
    <row r="89">
      <c r="A89">
        <f>Skills!A15</f>
        <v/>
      </c>
      <c r="B89">
        <f>Skills!B15</f>
        <v/>
      </c>
      <c r="C89">
        <f>Inputs!$B$3&gt;=107</f>
        <v/>
      </c>
      <c r="D89">
        <f>IF(Skills!C15=1,60+Inputs!$B$25+Inputs!$B$29,IF(Skills!C15=2,90+Inputs!$B$26+Inputs!$B$29,IF(Skills!C15=3,120+Inputs!$B$27+Inputs!$B$29,MAX(0,(Inputs!$B$3-100)*3)+Inputs!$B$28+Inputs!$B$29)))</f>
        <v/>
      </c>
      <c r="E89">
        <f>INDEX(FactorTable!$B$2:$Y$301, MATCH(ROUND(MIN(300,MAX(1,D89)),0), FactorTable!$A$2:$A$301,0), Skills!M15+1)</f>
        <v/>
      </c>
      <c r="F89">
        <f>IF(Skills!N15=TRUE,(Skills!L15/10)*(E89/1000),Skills!L15/10)+Skills!O15</f>
        <v/>
      </c>
      <c r="G89">
        <f>Calc!G15</f>
        <v/>
      </c>
      <c r="H89">
        <f>Calc!H15</f>
        <v/>
      </c>
      <c r="I89">
        <f>IF(Skills!X15&lt;&gt;"",1+(Skills!X15/10)*(Z77/1000)/100,1)</f>
        <v/>
      </c>
      <c r="J89">
        <f>((Inputs!$B$6*(1+Inputs!$B$7/100))+(((Inputs!$B$12*(1+(Inputs!$B$13+1)/100))-(Inputs!$B$12*(1+Inputs!$B$13/100)))+0.25*(Inputs!$B$14-Inputs!$B$14))*(1+Inputs!$B$7/100))*(F89/100)</f>
        <v/>
      </c>
      <c r="K89">
        <f>J89*(1+((Inputs!$B$12*(1+(Inputs!$B$13+1)/100))*0.01+Inputs!$B$14*0.0025)/100)*(1+Inputs!$B$15/100)*(1+IF(Inputs!$B$38="pvp",0,(1-Summary!$B$56)*(Inputs!$B$20+Skills!P15)+Summary!$B$56*(Inputs!$B$21+Skills!Q15))/100)*(1+Inputs!$B$16/100)*(5000/(6000+Inputs!$B$42*(1-Inputs!$B$19/100)))*(1+Inputs!$B$24/100)*(1+F97/100)*(1+IF(Inputs!$B$3&gt;=120,F100,0)/100)^5*(1+(IF(Skills!A15="BASIC_ATTACK",Inputs!$B$17,Inputs!$B$18+IF(Inputs!$B$3&gt;=125,F101*5,0)))/100)*(B104*B105*B106*I89)</f>
        <v/>
      </c>
      <c r="L89">
        <f>K89*(MIN(Inputs!$B$22+(F96-Calc!F22),Inputs!$B$23)/100+Inputs!$B$23/100)/2</f>
        <v/>
      </c>
      <c r="M89">
        <f>L89*(1+(Inputs!$B$10+(F95-Calc!F21))/100)</f>
        <v/>
      </c>
      <c r="N89">
        <f>L89*(1-MIN(Inputs!$B$9+(F94-Calc!F20),100)/100)+M89*(MIN(Inputs!$B$9+(F94-Calc!F20),100)/100)</f>
        <v/>
      </c>
      <c r="O89">
        <f>IF(C89,H89*N89*IF(AND(Inputs!$B$38&lt;&gt;"pvp",Inputs!$B$43&gt;0),((Skills!G15*((R89-1)*IF(Skills!H15&gt;0,Skills!I15/Skills!H15,1)+IF(Skills!H15&gt;0,MIN(Skills!I15,MAX(0,Inputs!$B$43-((R89-1)*IF(Inputs!$B$38="pvp",15,MAX(0.1,Skills!E15-IF(Skills!F15=TRUE,Inputs!$B$32,0))))))/Skills!H15,1)))/Inputs!$B$43),G89*Q89)*IF(Inputs!$B$38="pvp",1,(1-Summary!$B$56)*(1)+Summary!$B$56*(MIN(Skills!R15,Inputs!$B$37))),0)</f>
        <v/>
      </c>
      <c r="P89">
        <f>IF(B113=0,0,O89/B113)</f>
        <v/>
      </c>
      <c r="Q89">
        <f>IFERROR(1/IF(Inputs!$B$38="pvp",15,MAX(0.1,Skills!E15-IF(Skills!F15=TRUE,Inputs!$B$32,0))),0)</f>
        <v/>
      </c>
      <c r="R89">
        <f>IF(AND(Inputs!$B$38&lt;&gt;"pvp",Inputs!$B$43&gt;0),(INT(Inputs!$B$43/IF(Inputs!$B$38="pvp",15,MAX(0.1,Skills!E15-IF(Skills!F15=TRUE,Inputs!$B$32,0))))+1),0)</f>
        <v/>
      </c>
    </row>
    <row r="90">
      <c r="A90">
        <f>Skills!A16</f>
        <v/>
      </c>
      <c r="B90">
        <f>Skills!B16</f>
        <v/>
      </c>
      <c r="C90">
        <f>Inputs!$B$3&gt;=107</f>
        <v/>
      </c>
      <c r="D90">
        <f>IF(Skills!C16=1,60+Inputs!$B$25+Inputs!$B$29,IF(Skills!C16=2,90+Inputs!$B$26+Inputs!$B$29,IF(Skills!C16=3,120+Inputs!$B$27+Inputs!$B$29,MAX(0,(Inputs!$B$3-100)*3)+Inputs!$B$28+Inputs!$B$29)))</f>
        <v/>
      </c>
      <c r="E90">
        <f>INDEX(FactorTable!$B$2:$Y$301, MATCH(ROUND(MIN(300,MAX(1,D90)),0), FactorTable!$A$2:$A$301,0), Skills!M16+1)</f>
        <v/>
      </c>
      <c r="F90">
        <f>IF(Skills!N16=TRUE,(Skills!L16/10)*(E90/1000),Skills!L16/10)+Skills!O16</f>
        <v/>
      </c>
      <c r="G90">
        <f>Calc!G16</f>
        <v/>
      </c>
      <c r="H90">
        <f>Calc!H16</f>
        <v/>
      </c>
      <c r="I90">
        <f>IF(Skills!X16&lt;&gt;"",1+(Skills!X16/10)*(Z77/1000)/100,1)</f>
        <v/>
      </c>
      <c r="J90">
        <f>((Inputs!$B$6*(1+Inputs!$B$7/100))+(((Inputs!$B$12*(1+(Inputs!$B$13+1)/100))-(Inputs!$B$12*(1+Inputs!$B$13/100)))+0.25*(Inputs!$B$14-Inputs!$B$14))*(1+Inputs!$B$7/100))*(F90/100)</f>
        <v/>
      </c>
      <c r="K90">
        <f>J90*(1+((Inputs!$B$12*(1+(Inputs!$B$13+1)/100))*0.01+Inputs!$B$14*0.0025)/100)*(1+Inputs!$B$15/100)*(1+IF(Inputs!$B$38="pvp",0,(1-Summary!$B$56)*(Inputs!$B$20+Skills!P16)+Summary!$B$56*(Inputs!$B$21+Skills!Q16))/100)*(1+Inputs!$B$16/100)*(5000/(6000+Inputs!$B$42*(1-Inputs!$B$19/100)))*(1+Inputs!$B$24/100)*(1+F97/100)*(1+IF(Inputs!$B$3&gt;=120,F100,0)/100)^5*(1+(IF(Skills!A16="BASIC_ATTACK",Inputs!$B$17,Inputs!$B$18+IF(Inputs!$B$3&gt;=125,F101*5,0)))/100)*(B104*B105*B106*I90)</f>
        <v/>
      </c>
      <c r="L90">
        <f>K90*(MIN(Inputs!$B$22+(F96-Calc!F22),Inputs!$B$23)/100+Inputs!$B$23/100)/2</f>
        <v/>
      </c>
      <c r="M90">
        <f>L90*(1+(Inputs!$B$10+(F95-Calc!F21))/100)</f>
        <v/>
      </c>
      <c r="N90">
        <f>L90*(1-MIN(Inputs!$B$9+(F94-Calc!F20),100)/100)+M90*(MIN(Inputs!$B$9+(F94-Calc!F20),100)/100)</f>
        <v/>
      </c>
      <c r="O90">
        <f>IF(C90,H90*N90*IF(AND(Inputs!$B$38&lt;&gt;"pvp",Inputs!$B$43&gt;0),((Skills!G16*((R90-1)*IF(Skills!H16&gt;0,Skills!I16/Skills!H16,1)+IF(Skills!H16&gt;0,MIN(Skills!I16,MAX(0,Inputs!$B$43-((R90-1)*IF(Inputs!$B$38="pvp",15,MAX(0.1,Skills!E16-IF(Skills!F16=TRUE,Inputs!$B$32,0))))))/Skills!H16,1)))/Inputs!$B$43),G90*Q90)*(1+IF(Inputs!$B$3&gt;=126,0.05*(B110+Q87+(H88*B111)/(1+Skills!H14*H88*B111)+Q98),0)*Skills!E15)*IF(Inputs!$B$38="pvp",1,(1-Summary!$B$56)*(1)+Summary!$B$56*(MIN(Skills!R16,Inputs!$B$37))),0)</f>
        <v/>
      </c>
      <c r="P90">
        <f>IF(B113=0,0,O90/B113)</f>
        <v/>
      </c>
      <c r="Q90">
        <f>IFERROR(1/IF(Inputs!$B$38="pvp",15,MAX(0.1,Skills!E16-IF(Skills!F16=TRUE,Inputs!$B$32,0))),0)</f>
        <v/>
      </c>
      <c r="R90">
        <f>IF(AND(Inputs!$B$38&lt;&gt;"pvp",Inputs!$B$43&gt;0),(INT(Inputs!$B$43/IF(Inputs!$B$38="pvp",15,MAX(0.1,Skills!E16-IF(Skills!F16=TRUE,Inputs!$B$32,0))))+1),0)</f>
        <v/>
      </c>
    </row>
    <row r="91">
      <c r="A91">
        <f>Skills!A17</f>
        <v/>
      </c>
      <c r="B91">
        <f>Skills!B17</f>
        <v/>
      </c>
      <c r="C91">
        <f>TRUE</f>
        <v/>
      </c>
      <c r="D91">
        <f>IF(Skills!C17=1,60+Inputs!$B$25+Inputs!$B$29,IF(Skills!C17=2,90+Inputs!$B$26+Inputs!$B$29,IF(Skills!C17=3,120+Inputs!$B$27+Inputs!$B$29,MAX(0,(Inputs!$B$3-100)*3)+Inputs!$B$28+Inputs!$B$29)))</f>
        <v/>
      </c>
      <c r="E91">
        <f>INDEX(FactorTable!$B$2:$Y$301, MATCH(ROUND(MIN(300,MAX(1,D91)),0), FactorTable!$A$2:$A$301,0), Skills!M17+1)</f>
        <v/>
      </c>
      <c r="F91">
        <f>IF(Skills!N17=TRUE,(Skills!L17/10)*(E91/1000),Skills!L17/10)+Skills!O17</f>
        <v/>
      </c>
      <c r="G91">
        <f>Calc!G17</f>
        <v/>
      </c>
      <c r="H91">
        <f>Calc!H17</f>
        <v/>
      </c>
      <c r="I91">
        <f>IF(Skills!X17&lt;&gt;"",1+(Skills!X17/10)*(Z77/1000)/100,1)</f>
        <v/>
      </c>
      <c r="J91" t="inlineStr"/>
      <c r="K91" t="inlineStr"/>
      <c r="L91" t="inlineStr"/>
      <c r="M91" t="inlineStr"/>
      <c r="N91" t="inlineStr"/>
      <c r="O91" t="n">
        <v>0</v>
      </c>
      <c r="P91">
        <f>IF(B113=0,0,O91/B113)</f>
        <v/>
      </c>
      <c r="Q91">
        <f>IFERROR(1/IF(Inputs!$B$38="pvp",15,MAX(0.1,Skills!E17-IF(Skills!F17=TRUE,Inputs!$B$32,0))),0)</f>
        <v/>
      </c>
      <c r="R91">
        <f>IF(AND(Inputs!$B$38&lt;&gt;"pvp",Inputs!$B$43&gt;0),(INT(Inputs!$B$43/IF(Inputs!$B$38="pvp",15,MAX(0.1,Skills!E17-IF(Skills!F17=TRUE,Inputs!$B$32,0))))+1),0)</f>
        <v/>
      </c>
    </row>
    <row r="92">
      <c r="A92">
        <f>Skills!A18</f>
        <v/>
      </c>
      <c r="B92">
        <f>Skills!B18</f>
        <v/>
      </c>
      <c r="C92">
        <f>TRUE</f>
        <v/>
      </c>
      <c r="D92">
        <f>IF(Skills!C18=1,60+Inputs!$B$25+Inputs!$B$29,IF(Skills!C18=2,90+Inputs!$B$26+Inputs!$B$29,IF(Skills!C18=3,120+Inputs!$B$27+Inputs!$B$29,MAX(0,(Inputs!$B$3-100)*3)+Inputs!$B$28+Inputs!$B$29)))</f>
        <v/>
      </c>
      <c r="E92">
        <f>INDEX(FactorTable!$B$2:$Y$301, MATCH(ROUND(MIN(300,MAX(1,D92)),0), FactorTable!$A$2:$A$301,0), Skills!M18+1)</f>
        <v/>
      </c>
      <c r="F92">
        <f>IF(Skills!N18=TRUE,(Skills!L18/10)*(E92/1000),Skills!L18/10)+Skills!O18</f>
        <v/>
      </c>
      <c r="G92">
        <f>Calc!G18</f>
        <v/>
      </c>
      <c r="H92">
        <f>Calc!H18</f>
        <v/>
      </c>
      <c r="I92">
        <f>IF(Skills!X18&lt;&gt;"",1+(Skills!X18/10)*(Z77/1000)/100,1)</f>
        <v/>
      </c>
      <c r="J92" t="inlineStr"/>
      <c r="K92" t="inlineStr"/>
      <c r="L92" t="inlineStr"/>
      <c r="M92" t="inlineStr"/>
      <c r="N92" t="inlineStr"/>
      <c r="O92" t="n">
        <v>0</v>
      </c>
      <c r="P92">
        <f>IF(B113=0,0,O92/B113)</f>
        <v/>
      </c>
      <c r="Q92">
        <f>IFERROR(1/IF(Inputs!$B$38="pvp",15,MAX(0.1,Skills!E18-IF(Skills!F18=TRUE,Inputs!$B$32,0))),0)</f>
        <v/>
      </c>
      <c r="R92">
        <f>IF(AND(Inputs!$B$38&lt;&gt;"pvp",Inputs!$B$43&gt;0),(INT(Inputs!$B$43/IF(Inputs!$B$38="pvp",15,MAX(0.1,Skills!E18-IF(Skills!F18=TRUE,Inputs!$B$32,0))))+1),0)</f>
        <v/>
      </c>
    </row>
    <row r="93">
      <c r="A93">
        <f>Skills!A19</f>
        <v/>
      </c>
      <c r="B93">
        <f>Skills!B19</f>
        <v/>
      </c>
      <c r="C93">
        <f>Inputs!$B$3&gt;=110</f>
        <v/>
      </c>
      <c r="D93">
        <f>IF(Skills!C19=1,60+Inputs!$B$25+Inputs!$B$29,IF(Skills!C19=2,90+Inputs!$B$26+Inputs!$B$29,IF(Skills!C19=3,120+Inputs!$B$27+Inputs!$B$29,MAX(0,(Inputs!$B$3-100)*3)+Inputs!$B$28+Inputs!$B$29)))</f>
        <v/>
      </c>
      <c r="E93">
        <f>INDEX(FactorTable!$B$2:$Y$301, MATCH(ROUND(MIN(300,MAX(1,D93)),0), FactorTable!$A$2:$A$301,0), Skills!M19+1)</f>
        <v/>
      </c>
      <c r="F93">
        <f>IF(Skills!N19=TRUE,(Skills!L19/10)*(E93/1000),Skills!L19/10)+Skills!O19</f>
        <v/>
      </c>
      <c r="G93">
        <f>Calc!G19</f>
        <v/>
      </c>
      <c r="H93">
        <f>Calc!H19</f>
        <v/>
      </c>
      <c r="I93">
        <f>IF(Skills!X19&lt;&gt;"",1+(Skills!X19/10)*(Z77/1000)/100,1)</f>
        <v/>
      </c>
      <c r="J93" t="inlineStr"/>
      <c r="K93" t="inlineStr"/>
      <c r="L93" t="inlineStr"/>
      <c r="M93" t="inlineStr"/>
      <c r="N93" t="inlineStr"/>
      <c r="O93" t="n">
        <v>0</v>
      </c>
      <c r="P93">
        <f>IF(B113=0,0,O93/B113)</f>
        <v/>
      </c>
      <c r="Q93">
        <f>IFERROR(1/IF(Inputs!$B$38="pvp",15,MAX(0.1,Skills!E19-IF(Skills!F19=TRUE,Inputs!$B$32,0))),0)</f>
        <v/>
      </c>
      <c r="R93">
        <f>IF(AND(Inputs!$B$38&lt;&gt;"pvp",Inputs!$B$43&gt;0),(INT(Inputs!$B$43/IF(Inputs!$B$38="pvp",15,MAX(0.1,Skills!E19-IF(Skills!F19=TRUE,Inputs!$B$32,0))))+1),0)</f>
        <v/>
      </c>
    </row>
    <row r="94">
      <c r="A94">
        <f>Skills!A20</f>
        <v/>
      </c>
      <c r="B94">
        <f>Skills!B20</f>
        <v/>
      </c>
      <c r="C94">
        <f>TRUE</f>
        <v/>
      </c>
      <c r="D94">
        <f>IF(Skills!C20=1,60+Inputs!$B$25+Inputs!$B$29,IF(Skills!C20=2,90+Inputs!$B$26+Inputs!$B$29,IF(Skills!C20=3,120+Inputs!$B$27+Inputs!$B$29,MAX(0,(Inputs!$B$3-100)*3)+Inputs!$B$28+Inputs!$B$29)))</f>
        <v/>
      </c>
      <c r="E94">
        <f>INDEX(FactorTable!$B$2:$Y$301, MATCH(ROUND(MIN(300,MAX(1,D94)),0), FactorTable!$A$2:$A$301,0), Skills!M20+1)</f>
        <v/>
      </c>
      <c r="F94">
        <f>IF(Skills!N20=TRUE,(Skills!L20/10)*(E94/1000),Skills!L20/10)+Skills!O20</f>
        <v/>
      </c>
      <c r="G94">
        <f>Calc!G20</f>
        <v/>
      </c>
      <c r="H94">
        <f>Calc!H20</f>
        <v/>
      </c>
      <c r="I94">
        <f>IF(Skills!X20&lt;&gt;"",1+(Skills!X20/10)*(Z77/1000)/100,1)</f>
        <v/>
      </c>
      <c r="J94" t="inlineStr"/>
      <c r="K94" t="inlineStr"/>
      <c r="L94" t="inlineStr"/>
      <c r="M94" t="inlineStr"/>
      <c r="N94" t="inlineStr"/>
      <c r="O94" t="n">
        <v>0</v>
      </c>
      <c r="P94">
        <f>IF(B113=0,0,O94/B113)</f>
        <v/>
      </c>
      <c r="Q94">
        <f>IFERROR(1/IF(Inputs!$B$38="pvp",15,MAX(0.1,Skills!E20-IF(Skills!F20=TRUE,Inputs!$B$32,0))),0)</f>
        <v/>
      </c>
      <c r="R94" t="n">
        <v>0</v>
      </c>
    </row>
    <row r="95">
      <c r="A95">
        <f>Skills!A21</f>
        <v/>
      </c>
      <c r="B95">
        <f>Skills!B21</f>
        <v/>
      </c>
      <c r="C95">
        <f>TRUE</f>
        <v/>
      </c>
      <c r="D95">
        <f>IF(Skills!C21=1,60+Inputs!$B$25+Inputs!$B$29,IF(Skills!C21=2,90+Inputs!$B$26+Inputs!$B$29,IF(Skills!C21=3,120+Inputs!$B$27+Inputs!$B$29,MAX(0,(Inputs!$B$3-100)*3)+Inputs!$B$28+Inputs!$B$29)))</f>
        <v/>
      </c>
      <c r="E95">
        <f>INDEX(FactorTable!$B$2:$Y$301, MATCH(ROUND(MIN(300,MAX(1,D95)),0), FactorTable!$A$2:$A$301,0), Skills!M21+1)</f>
        <v/>
      </c>
      <c r="F95">
        <f>IF(Skills!N21=TRUE,(Skills!L21/10)*(E95/1000),Skills!L21/10)+Skills!O21</f>
        <v/>
      </c>
      <c r="G95">
        <f>Calc!G21</f>
        <v/>
      </c>
      <c r="H95">
        <f>Calc!H21</f>
        <v/>
      </c>
      <c r="I95">
        <f>IF(Skills!X21&lt;&gt;"",1+(Skills!X21/10)*(Z77/1000)/100,1)</f>
        <v/>
      </c>
      <c r="J95" t="inlineStr"/>
      <c r="K95" t="inlineStr"/>
      <c r="L95" t="inlineStr"/>
      <c r="M95" t="inlineStr"/>
      <c r="N95" t="inlineStr"/>
      <c r="O95" t="n">
        <v>0</v>
      </c>
      <c r="P95">
        <f>IF(B113=0,0,O95/B113)</f>
        <v/>
      </c>
      <c r="Q95">
        <f>IFERROR(1/IF(Inputs!$B$38="pvp",15,MAX(0.1,Skills!E21-IF(Skills!F21=TRUE,Inputs!$B$32,0))),0)</f>
        <v/>
      </c>
      <c r="R95" t="n">
        <v>0</v>
      </c>
    </row>
    <row r="96">
      <c r="A96">
        <f>Skills!A22</f>
        <v/>
      </c>
      <c r="B96">
        <f>Skills!B22</f>
        <v/>
      </c>
      <c r="C96">
        <f>TRUE</f>
        <v/>
      </c>
      <c r="D96">
        <f>IF(Skills!C22=1,60+Inputs!$B$25+Inputs!$B$29,IF(Skills!C22=2,90+Inputs!$B$26+Inputs!$B$29,IF(Skills!C22=3,120+Inputs!$B$27+Inputs!$B$29,MAX(0,(Inputs!$B$3-100)*3)+Inputs!$B$28+Inputs!$B$29)))</f>
        <v/>
      </c>
      <c r="E96">
        <f>INDEX(FactorTable!$B$2:$Y$301, MATCH(ROUND(MIN(300,MAX(1,D96)),0), FactorTable!$A$2:$A$301,0), Skills!M22+1)</f>
        <v/>
      </c>
      <c r="F96">
        <f>IF(Skills!N22=TRUE,(Skills!L22/10)*(E96/1000),Skills!L22/10)+Skills!O22</f>
        <v/>
      </c>
      <c r="G96">
        <f>Calc!G22</f>
        <v/>
      </c>
      <c r="H96">
        <f>Calc!H22</f>
        <v/>
      </c>
      <c r="I96">
        <f>IF(Skills!X22&lt;&gt;"",1+(Skills!X22/10)*(Z77/1000)/100,1)</f>
        <v/>
      </c>
      <c r="J96" t="inlineStr"/>
      <c r="K96" t="inlineStr"/>
      <c r="L96" t="inlineStr"/>
      <c r="M96" t="inlineStr"/>
      <c r="N96" t="inlineStr"/>
      <c r="O96" t="n">
        <v>0</v>
      </c>
      <c r="P96">
        <f>IF(B113=0,0,O96/B113)</f>
        <v/>
      </c>
      <c r="Q96">
        <f>IFERROR(1/IF(Inputs!$B$38="pvp",15,MAX(0.1,Skills!E22-IF(Skills!F22=TRUE,Inputs!$B$32,0))),0)</f>
        <v/>
      </c>
      <c r="R96" t="n">
        <v>0</v>
      </c>
    </row>
    <row r="97">
      <c r="A97">
        <f>Skills!A23</f>
        <v/>
      </c>
      <c r="B97">
        <f>Skills!B23</f>
        <v/>
      </c>
      <c r="C97">
        <f>TRUE</f>
        <v/>
      </c>
      <c r="D97">
        <f>IF(Skills!C23=1,60+Inputs!$B$25+Inputs!$B$29,IF(Skills!C23=2,90+Inputs!$B$26+Inputs!$B$29,IF(Skills!C23=3,120+Inputs!$B$27+Inputs!$B$29,MAX(0,(Inputs!$B$3-100)*3)+Inputs!$B$28+Inputs!$B$29)))</f>
        <v/>
      </c>
      <c r="E97">
        <f>INDEX(FactorTable!$B$2:$Y$301, MATCH(ROUND(MIN(300,MAX(1,D97)),0), FactorTable!$A$2:$A$301,0), Skills!M23+1)</f>
        <v/>
      </c>
      <c r="F97">
        <f>IF(Skills!N23=TRUE,(Skills!L23/10)*(E97/1000),Skills!L23/10)+Skills!O23</f>
        <v/>
      </c>
      <c r="G97">
        <f>Calc!G23</f>
        <v/>
      </c>
      <c r="H97">
        <f>Calc!H23</f>
        <v/>
      </c>
      <c r="I97">
        <f>IF(Skills!X23&lt;&gt;"",1+(Skills!X23/10)*(Z77/1000)/100,1)</f>
        <v/>
      </c>
      <c r="J97" t="inlineStr"/>
      <c r="K97" t="inlineStr"/>
      <c r="L97" t="inlineStr"/>
      <c r="M97" t="inlineStr"/>
      <c r="N97" t="inlineStr"/>
      <c r="O97" t="n">
        <v>0</v>
      </c>
      <c r="P97">
        <f>IF(B113=0,0,O97/B113)</f>
        <v/>
      </c>
      <c r="Q97">
        <f>IFERROR(1/IF(Inputs!$B$38="pvp",15,MAX(0.1,Skills!E23-IF(Skills!F23=TRUE,Inputs!$B$32,0))),0)</f>
        <v/>
      </c>
      <c r="R97" t="n">
        <v>0</v>
      </c>
    </row>
    <row r="98">
      <c r="A98">
        <f>Skills!A24</f>
        <v/>
      </c>
      <c r="B98">
        <f>Skills!B24</f>
        <v/>
      </c>
      <c r="C98">
        <f>Inputs!$B$3&gt;=115</f>
        <v/>
      </c>
      <c r="D98">
        <f>IF(Skills!C24=1,60+Inputs!$B$25+Inputs!$B$29,IF(Skills!C24=2,90+Inputs!$B$26+Inputs!$B$29,IF(Skills!C24=3,120+Inputs!$B$27+Inputs!$B$29,MAX(0,(Inputs!$B$3-100)*3)+Inputs!$B$28+Inputs!$B$29)))</f>
        <v/>
      </c>
      <c r="E98">
        <f>INDEX(FactorTable!$B$2:$Y$301, MATCH(ROUND(MIN(300,MAX(1,D98)),0), FactorTable!$A$2:$A$301,0), Skills!M24+1)</f>
        <v/>
      </c>
      <c r="F98">
        <f>IF(Skills!N24=TRUE,(Skills!L24/10)*(E98/1000),Skills!L24/10)+Skills!O24</f>
        <v/>
      </c>
      <c r="G98">
        <f>Calc!G24</f>
        <v/>
      </c>
      <c r="H98">
        <f>Calc!H24</f>
        <v/>
      </c>
      <c r="I98">
        <f>IF(Skills!X24&lt;&gt;"",1+(Skills!X24/10)*(Z77/1000)/100,1)</f>
        <v/>
      </c>
      <c r="J98">
        <f>((Inputs!$B$6*(1+Inputs!$B$7/100))+(((Inputs!$B$12*(1+(Inputs!$B$13+1)/100))-(Inputs!$B$12*(1+Inputs!$B$13/100)))+0.25*(Inputs!$B$14-Inputs!$B$14))*(1+Inputs!$B$7/100))*(F98/100)</f>
        <v/>
      </c>
      <c r="K98">
        <f>J98*(1+((Inputs!$B$12*(1+(Inputs!$B$13+1)/100))*0.01+Inputs!$B$14*0.0025)/100)*(1+Inputs!$B$15/100)*(1+IF(Inputs!$B$38="pvp",0,(1-Summary!$B$56)*(Inputs!$B$20+Skills!P24)+Summary!$B$56*(Inputs!$B$21+Skills!Q24))/100)*(1+Inputs!$B$16/100)*(5000/(6000+Inputs!$B$42*(1-Inputs!$B$19/100)))*(1+Inputs!$B$24/100)*(1+F97/100)*(1+IF(Inputs!$B$3&gt;=120,F100,0)/100)^5*(1+(IF(Skills!A24="BASIC_ATTACK",Inputs!$B$17,Inputs!$B$18+IF(Inputs!$B$3&gt;=125,F101*5,0)))/100)*(B104*B105*B106*I98)</f>
        <v/>
      </c>
      <c r="L98">
        <f>K98*(MIN(Inputs!$B$22+(F96-Calc!F22),Inputs!$B$23)/100+Inputs!$B$23/100)/2</f>
        <v/>
      </c>
      <c r="M98">
        <f>L98*(1+(Inputs!$B$10+(F95-Calc!F21))/100)</f>
        <v/>
      </c>
      <c r="N98">
        <f>L98*(1-MIN(Inputs!$B$9+(F94-Calc!F20),100)/100)+M98*(MIN(Inputs!$B$9+(F94-Calc!F20),100)/100)</f>
        <v/>
      </c>
      <c r="O98">
        <f>IF(C98,H98*N98*IF(AND(Inputs!$B$38&lt;&gt;"pvp",Inputs!$B$43&gt;0),((Skills!G24*((R98-1)*IF(Skills!H24&gt;0,Skills!I24/Skills!H24,1)+IF(Skills!H24&gt;0,MIN(Skills!I24,MAX(0,Inputs!$B$43-((R98-1)*IF(Inputs!$B$38="pvp",15,MAX(0.1,Skills!E24-IF(Skills!F24=TRUE,Inputs!$B$32,0))))))/Skills!H24,1)))/Inputs!$B$43),G98*Q98)*(1+IF(Inputs!$B$3&gt;=130,0.2*(Skills!I16/Skills!E15+IF(Inputs!$B$3&gt;=126,0.05*(B110+Q87+(H88*B111)/(1+Skills!H14*H88*B111)+Q98),0)*Skills!I16),0))*IF(Inputs!$B$38="pvp",1,(1-Summary!$B$56)*(1)+Summary!$B$56*(MIN(Skills!R24,Inputs!$B$37))),0)</f>
        <v/>
      </c>
      <c r="P98">
        <f>IF(B113=0,0,O98/B113)</f>
        <v/>
      </c>
      <c r="Q98">
        <f>IFERROR(1/IF(Inputs!$B$38="pvp",15,MAX(0.1,Skills!E24-IF(Skills!F24=TRUE,Inputs!$B$32,0))),0)</f>
        <v/>
      </c>
      <c r="R98">
        <f>IF(AND(Inputs!$B$38&lt;&gt;"pvp",Inputs!$B$43&gt;0),(INT(Inputs!$B$43/IF(Inputs!$B$38="pvp",15,MAX(0.1,Skills!E24-IF(Skills!F24=TRUE,Inputs!$B$32,0))))+1),0)</f>
        <v/>
      </c>
    </row>
    <row r="99">
      <c r="A99">
        <f>Skills!A25</f>
        <v/>
      </c>
      <c r="B99">
        <f>Skills!B25</f>
        <v/>
      </c>
      <c r="C99">
        <f>Inputs!$B$3&gt;=117</f>
        <v/>
      </c>
      <c r="D99">
        <f>IF(Skills!C25=1,60+Inputs!$B$25+Inputs!$B$29,IF(Skills!C25=2,90+Inputs!$B$26+Inputs!$B$29,IF(Skills!C25=3,120+Inputs!$B$27+Inputs!$B$29,MAX(0,(Inputs!$B$3-100)*3)+Inputs!$B$28+Inputs!$B$29)))</f>
        <v/>
      </c>
      <c r="E99">
        <f>INDEX(FactorTable!$B$2:$Y$301, MATCH(ROUND(MIN(300,MAX(1,D99)),0), FactorTable!$A$2:$A$301,0), Skills!M25+1)</f>
        <v/>
      </c>
      <c r="F99">
        <f>IF(Skills!N25=TRUE,(Skills!L25/10)*(E99/1000),Skills!L25/10)+Skills!O25</f>
        <v/>
      </c>
      <c r="G99">
        <f>Calc!G25</f>
        <v/>
      </c>
      <c r="H99">
        <f>Calc!H25</f>
        <v/>
      </c>
      <c r="I99">
        <f>IF(Skills!X25&lt;&gt;"",1+(Skills!X25/10)*(Z77/1000)/100,1)</f>
        <v/>
      </c>
      <c r="J99" t="inlineStr"/>
      <c r="K99" t="inlineStr"/>
      <c r="L99" t="inlineStr"/>
      <c r="M99" t="inlineStr"/>
      <c r="N99" t="inlineStr"/>
      <c r="O99" t="n">
        <v>0</v>
      </c>
      <c r="P99">
        <f>IF(B113=0,0,O99/B113)</f>
        <v/>
      </c>
      <c r="Q99">
        <f>IFERROR(1/IF(Inputs!$B$38="pvp",15,MAX(0.1,Skills!E25-IF(Skills!F25=TRUE,Inputs!$B$32,0))),0)</f>
        <v/>
      </c>
      <c r="R99" t="n">
        <v>0</v>
      </c>
    </row>
    <row r="100">
      <c r="A100">
        <f>Skills!A26</f>
        <v/>
      </c>
      <c r="B100">
        <f>Skills!B26</f>
        <v/>
      </c>
      <c r="C100">
        <f>Inputs!$B$3&gt;=120</f>
        <v/>
      </c>
      <c r="D100">
        <f>IF(Skills!C26=1,60+Inputs!$B$25+Inputs!$B$29,IF(Skills!C26=2,90+Inputs!$B$26+Inputs!$B$29,IF(Skills!C26=3,120+Inputs!$B$27+Inputs!$B$29,MAX(0,(Inputs!$B$3-100)*3)+Inputs!$B$28+Inputs!$B$29)))</f>
        <v/>
      </c>
      <c r="E100">
        <f>INDEX(FactorTable!$B$2:$Y$301, MATCH(ROUND(MIN(300,MAX(1,D100)),0), FactorTable!$A$2:$A$301,0), Skills!M26+1)</f>
        <v/>
      </c>
      <c r="F100">
        <f>IF(Skills!N26=TRUE,(Skills!L26/10)*(E100/1000),Skills!L26/10)+Skills!O26</f>
        <v/>
      </c>
      <c r="G100">
        <f>Calc!G26</f>
        <v/>
      </c>
      <c r="H100">
        <f>Calc!H26</f>
        <v/>
      </c>
      <c r="I100">
        <f>IF(Skills!X26&lt;&gt;"",1+(Skills!X26/10)*(Z77/1000)/100,1)</f>
        <v/>
      </c>
      <c r="J100" t="inlineStr"/>
      <c r="K100" t="inlineStr"/>
      <c r="L100" t="inlineStr"/>
      <c r="M100" t="inlineStr"/>
      <c r="N100" t="inlineStr"/>
      <c r="O100" t="n">
        <v>0</v>
      </c>
      <c r="P100">
        <f>IF(B113=0,0,O100/B113)</f>
        <v/>
      </c>
      <c r="Q100">
        <f>IFERROR(1/IF(Inputs!$B$38="pvp",15,MAX(0.1,Skills!E26-IF(Skills!F26=TRUE,Inputs!$B$32,0))),0)</f>
        <v/>
      </c>
      <c r="R100" t="n">
        <v>0</v>
      </c>
    </row>
    <row r="101">
      <c r="A101">
        <f>Skills!A27</f>
        <v/>
      </c>
      <c r="B101">
        <f>Skills!B27</f>
        <v/>
      </c>
      <c r="C101">
        <f>Inputs!$B$3&gt;=125</f>
        <v/>
      </c>
      <c r="D101">
        <f>IF(Skills!C27=1,60+Inputs!$B$25+Inputs!$B$29,IF(Skills!C27=2,90+Inputs!$B$26+Inputs!$B$29,IF(Skills!C27=3,120+Inputs!$B$27+Inputs!$B$29,MAX(0,(Inputs!$B$3-100)*3)+Inputs!$B$28+Inputs!$B$29)))</f>
        <v/>
      </c>
      <c r="E101">
        <f>INDEX(FactorTable!$B$2:$Y$301, MATCH(ROUND(MIN(300,MAX(1,D101)),0), FactorTable!$A$2:$A$301,0), Skills!M27+1)</f>
        <v/>
      </c>
      <c r="F101">
        <f>IF(Skills!N27=TRUE,(Skills!L27/10)*(E101/1000),Skills!L27/10)+Skills!O27</f>
        <v/>
      </c>
      <c r="G101">
        <f>Calc!G27</f>
        <v/>
      </c>
      <c r="H101">
        <f>Calc!H27</f>
        <v/>
      </c>
      <c r="I101">
        <f>IF(Skills!X27&lt;&gt;"",1+(Skills!X27/10)*(Z77/1000)/100,1)</f>
        <v/>
      </c>
      <c r="J101" t="inlineStr"/>
      <c r="K101" t="inlineStr"/>
      <c r="L101" t="inlineStr"/>
      <c r="M101" t="inlineStr"/>
      <c r="N101" t="inlineStr"/>
      <c r="O101" t="n">
        <v>0</v>
      </c>
      <c r="P101">
        <f>IF(B113=0,0,O101/B113)</f>
        <v/>
      </c>
      <c r="Q101">
        <f>IFERROR(1/IF(Inputs!$B$38="pvp",15,MAX(0.1,Skills!E27-IF(Skills!F27=TRUE,Inputs!$B$32,0))),0)</f>
        <v/>
      </c>
      <c r="R101" t="n">
        <v>0</v>
      </c>
    </row>
    <row r="102">
      <c r="A102">
        <f>Skills!A28</f>
        <v/>
      </c>
      <c r="B102">
        <f>Skills!B28</f>
        <v/>
      </c>
      <c r="C102">
        <f>Inputs!$B$3&gt;=118</f>
        <v/>
      </c>
      <c r="D102">
        <f>IF(Skills!C28=1,60+Inputs!$B$25+Inputs!$B$29,IF(Skills!C28=2,90+Inputs!$B$26+Inputs!$B$29,IF(Skills!C28=3,120+Inputs!$B$27+Inputs!$B$29,MAX(0,(Inputs!$B$3-100)*3)+Inputs!$B$28+Inputs!$B$29)))</f>
        <v/>
      </c>
      <c r="E102">
        <f>INDEX(FactorTable!$B$2:$Y$301, MATCH(ROUND(MIN(300,MAX(1,D102)),0), FactorTable!$A$2:$A$301,0), Skills!M28+1)</f>
        <v/>
      </c>
      <c r="F102">
        <f>IF(Skills!N28=TRUE,(Skills!L28/10)*(E102/1000),Skills!L28/10)+Skills!O28</f>
        <v/>
      </c>
      <c r="G102">
        <f>Calc!G28</f>
        <v/>
      </c>
      <c r="H102">
        <f>Calc!H28</f>
        <v/>
      </c>
      <c r="I102">
        <f>IF(Skills!X28&lt;&gt;"",1+(Skills!X28/10)*(Z77/1000)/100,1)</f>
        <v/>
      </c>
      <c r="J102">
        <f>((Inputs!$B$6*(1+Inputs!$B$7/100))+(((Inputs!$B$12*(1+(Inputs!$B$13+1)/100))-(Inputs!$B$12*(1+Inputs!$B$13/100)))+0.25*(Inputs!$B$14-Inputs!$B$14))*(1+Inputs!$B$7/100))*(F102/100)</f>
        <v/>
      </c>
      <c r="K102">
        <f>J102*(1+((Inputs!$B$12*(1+(Inputs!$B$13+1)/100))*0.01+Inputs!$B$14*0.0025)/100)*(1+Inputs!$B$15/100)*(1+IF(Inputs!$B$38="pvp",0,(1-Summary!$B$56)*(Inputs!$B$20+Skills!P28)+Summary!$B$56*(Inputs!$B$21+Skills!Q28))/100)*(1+Inputs!$B$16/100)*(5000/(6000+Inputs!$B$42*(1-Inputs!$B$19/100)))*(1+Inputs!$B$24/100)*(1+F97/100)*(1+IF(Inputs!$B$3&gt;=120,F100,0)/100)^5*(1+(IF(Skills!A28="BASIC_ATTACK",Inputs!$B$17,Inputs!$B$18+IF(Inputs!$B$3&gt;=125,F101*5,0)))/100)*(B104*B105*B106*I102)</f>
        <v/>
      </c>
      <c r="L102">
        <f>K102*(MIN(Inputs!$B$22+(F96-Calc!F22),Inputs!$B$23)/100+Inputs!$B$23/100)/2</f>
        <v/>
      </c>
      <c r="M102">
        <f>L102*(1+(Inputs!$B$10+(F95-Calc!F21))/100)</f>
        <v/>
      </c>
      <c r="N102">
        <f>L102*(1-MIN(Inputs!$B$9+(F94-Calc!F20),100)/100)+M102*(MIN(Inputs!$B$9+(F94-Calc!F20),100)/100)</f>
        <v/>
      </c>
      <c r="O102">
        <f>IF(C102,H102*N102*IF(AND(Inputs!$B$38&lt;&gt;"pvp",Inputs!$B$43&gt;0),((Skills!G28*((R102-1)*IF(Skills!H28&gt;0,Skills!I28/Skills!H28,1)+IF(Skills!H28&gt;0,MIN(Skills!I28,MAX(0,Inputs!$B$43-((R102-1)*IF(Inputs!$B$38="pvp",15,MAX(0.1,Skills!E28-IF(Skills!F28=TRUE,Inputs!$B$32,0))))))/Skills!H28,1)))/Inputs!$B$43),G102*Q102)*IF(Inputs!$B$38="pvp",1,(1-Summary!$B$56)*(1)+Summary!$B$56*(MIN(Skills!R28,Inputs!$B$37))),0)</f>
        <v/>
      </c>
      <c r="P102">
        <f>IF(B113=0,0,O102/B113)</f>
        <v/>
      </c>
      <c r="Q102">
        <f>IFERROR(1/IF(Inputs!$B$38="pvp",15,MAX(0.1,Skills!E28-IF(Skills!F28=TRUE,Inputs!$B$32,0))),0)</f>
        <v/>
      </c>
      <c r="R102">
        <f>IF(AND(Inputs!$B$38&lt;&gt;"pvp",Inputs!$B$43&gt;0),(INT(Inputs!$B$43/IF(Inputs!$B$38="pvp",15,MAX(0.1,Skills!E28-IF(Skills!F28=TRUE,Inputs!$B$32,0))))+1),0)</f>
        <v/>
      </c>
    </row>
    <row r="104">
      <c r="A104" t="inlineStr">
        <is>
          <t>Burning Magic Multiplier</t>
        </is>
      </c>
      <c r="B104">
        <f>1+(F85*Skills!Z11)/100</f>
        <v/>
      </c>
    </row>
    <row r="105">
      <c r="A105" t="inlineStr">
        <is>
          <t>Elemental Decrease Multiplier (always-on)</t>
        </is>
      </c>
      <c r="B105">
        <f>1+F86/100</f>
        <v/>
      </c>
    </row>
    <row r="106">
      <c r="A106" t="inlineStr">
        <is>
          <t>Average Buff Multiplier (Magic Guard + Meditation, summed; then Infinity)</t>
        </is>
      </c>
      <c r="B106">
        <f>(1+(F80*IF(AND(Inputs!$B$38&lt;&gt;"pvp",Inputs!$B$43&gt;0),(((R80-1)*(Skills!T6*(1+(Inputs!$B$34+IF(Inputs!$B$3&gt;=117,F99,0))/100))+MIN((Skills!T6*(1+(Inputs!$B$34+IF(Inputs!$B$3&gt;=117,F99,0))/100)),MAX(0,Inputs!$B$43-((R80-1)*Skills!E6))))/Inputs!$B$43),IF(Inputs!$B$38="pvp",MIN((Skills!T6*(1+(Inputs!$B$34+IF(Inputs!$B$3&gt;=117,F99,0))/100)),15)/15,(Skills!T6*(1+(Inputs!$B$34+IF(Inputs!$B$3&gt;=117,F99,0))/100))/Skills!E6))+F91*IF(AND(Inputs!$B$38&lt;&gt;"pvp",Inputs!$B$43&gt;0),(((R91-1)*(Skills!T17*(1+(Inputs!$B$34+IF(Inputs!$B$3&gt;=117,F99,0))/100))+MIN((Skills!T17*(1+(Inputs!$B$34+IF(Inputs!$B$3&gt;=117,F99,0))/100)),MAX(0,Inputs!$B$43-((R91-1)*Skills!E17))))/Inputs!$B$43),IF(Inputs!$B$38="pvp",MIN((Skills!T17*(1+(Inputs!$B$34+IF(Inputs!$B$3&gt;=117,F99,0))/100)),15)/15,(Skills!T17*(1+(Inputs!$B$34+IF(Inputs!$B$3&gt;=117,F99,0))/100))/Skills!E17)))/100)*IF(C93=TRUE,(1+F93*IF(AND(Inputs!$B$38&lt;&gt;"pvp",Inputs!$B$43&gt;0),(((R93-1)*(Skills!T19*(1+(Inputs!$B$34+IF(Inputs!$B$3&gt;=117,F99,0))/100))+MIN((Skills!T19*(1+(Inputs!$B$34+IF(Inputs!$B$3&gt;=117,F99,0))/100)),MAX(0,Inputs!$B$43-((R93-1)*Skills!E19))))/Inputs!$B$43),IF(Inputs!$B$38="pvp",MIN((Skills!T19*(1+(Inputs!$B$34+IF(Inputs!$B$3&gt;=117,F99,0))/100)),15)/15,(Skills!T19*(1+(Inputs!$B$34+IF(Inputs!$B$3&gt;=117,F99,0))/100))/Skills!E19))/100),1)</f>
        <v/>
      </c>
    </row>
    <row r="107">
      <c r="A107" t="inlineStr">
        <is>
          <t>Attack Speed Buff Bonus % (Nimble Feet, averaged)</t>
        </is>
      </c>
      <c r="B107">
        <f>F92*IF(AND(Inputs!$B$38&lt;&gt;"pvp",Inputs!$B$43&gt;0),(((R92-1)*(Skills!T18*(1+(Inputs!$B$34+IF(Inputs!$B$3&gt;=117,F99,0))/100))+MIN((Skills!T18*(1+(Inputs!$B$34+IF(Inputs!$B$3&gt;=117,F99,0))/100)),MAX(0,Inputs!$B$43-((R92-1)*Skills!E18))))/Inputs!$B$43),IF(Inputs!$B$38="pvp",MIN((Skills!T18*(1+(Inputs!$B$34+IF(Inputs!$B$3&gt;=117,F99,0))/100)),15)/15,(Skills!T18*(1+(Inputs!$B$34+IF(Inputs!$B$3&gt;=117,F99,0))/100))/Skills!E18))</f>
        <v/>
      </c>
    </row>
    <row r="108">
      <c r="A108" t="inlineStr">
        <is>
          <t>Actions Per Second</t>
        </is>
      </c>
      <c r="B108">
        <f>1+MIN(150,150*(1-(1-Inputs!$B$11/150)*(1-B107/150)))/100</f>
        <v/>
      </c>
    </row>
    <row r="109">
      <c r="A109" t="inlineStr">
        <is>
          <t>Skill + Buff Cast Rate</t>
        </is>
      </c>
      <c r="B109">
        <f>IF(AND(Inputs!$B$38&lt;&gt;"pvp",Inputs!$B$43&gt;0),SUMPRODUCT((Skills!F2:F28=TRUE)*(C76:C102=TRUE)*R76:R102)/Inputs!$B$43,SUMPRODUCT((Skills!F2:F28=TRUE)*(C76:C102=TRUE)*Q76:Q102))</f>
        <v/>
      </c>
    </row>
    <row r="110">
      <c r="A110" t="inlineStr">
        <is>
          <t>Basic Attacks Per Second</t>
        </is>
      </c>
      <c r="B110">
        <f>MAX(0,B108-B109)</f>
        <v/>
      </c>
    </row>
    <row r="111">
      <c r="A111" t="inlineStr">
        <is>
          <t>Meteor Proc — combined trigger cast rate</t>
        </is>
      </c>
      <c r="B111">
        <f>IF(AND(Inputs!$B$38&lt;&gt;"pvp",Inputs!$B$43&gt;0),SUMPRODUCT((Skills!V2:V28=TRUE)*(C76:C102=TRUE)*R76:R102*Skills!W2:W28)/Inputs!$B$43,SUMPRODUCT((Skills!V2:V28=TRUE)*(C76:C102=TRUE)*Q76:Q102*Skills!W2:W28))+B110</f>
        <v/>
      </c>
    </row>
    <row r="113">
      <c r="A113" s="5" t="inlineStr">
        <is>
          <t>TOTAL DPS</t>
        </is>
      </c>
      <c r="B113" s="5">
        <f>SUM(O76:O102)</f>
        <v/>
      </c>
    </row>
    <row r="116">
      <c r="A116" s="5" t="inlineStr">
        <is>
          <t>Stat: DAMAGE %</t>
        </is>
      </c>
    </row>
    <row r="117">
      <c r="A117" s="9" t="inlineStr">
        <is>
          <t>Key</t>
        </is>
      </c>
      <c r="B117" s="9" t="inlineStr">
        <is>
          <t>Name</t>
        </is>
      </c>
      <c r="C117" s="9" t="inlineStr">
        <is>
          <t>Unlocked</t>
        </is>
      </c>
      <c r="D117" s="9" t="inlineStr">
        <is>
          <t>InputLevel</t>
        </is>
      </c>
      <c r="E117" s="9" t="inlineStr">
        <is>
          <t>Factor</t>
        </is>
      </c>
      <c r="F117" s="9" t="inlineStr">
        <is>
          <t>CoefficientPercent</t>
        </is>
      </c>
      <c r="G117" s="9" t="inlineStr">
        <is>
          <t>EffectiveHits</t>
        </is>
      </c>
      <c r="H117" s="9" t="inlineStr">
        <is>
          <t>ProcProbability</t>
        </is>
      </c>
      <c r="I117" s="9" t="inlineStr">
        <is>
          <t>MapleHeroMultiplier</t>
        </is>
      </c>
      <c r="J117" s="9" t="inlineStr">
        <is>
          <t>BaseDamage</t>
        </is>
      </c>
      <c r="K117" s="9" t="inlineStr">
        <is>
          <t>BaseHitDamage</t>
        </is>
      </c>
      <c r="L117" s="9" t="inlineStr">
        <is>
          <t>NonCritAvg</t>
        </is>
      </c>
      <c r="M117" s="9" t="inlineStr">
        <is>
          <t>CritAvg</t>
        </is>
      </c>
      <c r="N117" s="9" t="inlineStr">
        <is>
          <t>ExpectedDamage(perHit)</t>
        </is>
      </c>
      <c r="O117" s="9" t="inlineStr">
        <is>
          <t>DPS</t>
        </is>
      </c>
      <c r="P117" s="9" t="inlineStr">
        <is>
          <t>% of Total</t>
        </is>
      </c>
      <c r="R117" t="inlineStr">
        <is>
          <t>helpers</t>
        </is>
      </c>
    </row>
    <row r="118">
      <c r="A118">
        <f>Skills!A2</f>
        <v/>
      </c>
      <c r="B118">
        <f>Skills!B2</f>
        <v/>
      </c>
      <c r="C118">
        <f>TRUE</f>
        <v/>
      </c>
      <c r="D118" t="inlineStr"/>
      <c r="E118" t="inlineStr"/>
      <c r="F118">
        <f>T120+Skills!O2</f>
        <v/>
      </c>
      <c r="G118">
        <f>Calc!G2</f>
        <v/>
      </c>
      <c r="H118">
        <f>Calc!H2</f>
        <v/>
      </c>
      <c r="I118">
        <f>IF(Skills!X2&lt;&gt;"",1+(Skills!X2/10)*(Z119/1000)/100,1)</f>
        <v/>
      </c>
      <c r="J118">
        <f>((Inputs!$B$6*(1+Inputs!$B$7/100))+(((Inputs!$B$12*(1+Inputs!$B$13/100))-(Inputs!$B$12*(1+Inputs!$B$13/100)))+0.25*(Inputs!$B$14-Inputs!$B$14))*(1+Inputs!$B$7/100))*(F118/100)</f>
        <v/>
      </c>
      <c r="K118">
        <f>J118*(1+((Inputs!$B$12*(1+Inputs!$B$13/100))*0.01+Inputs!$B$14*0.0025)/100)*(1+(Inputs!$B$15+1)/100)*(1+IF(Inputs!$B$38="pvp",0,(1-Summary!$B$56)*(Inputs!$B$20+Skills!P2)+Summary!$B$56*(Inputs!$B$21+Skills!Q2))/100)*(1+Inputs!$B$16/100)*(5000/(6000+Inputs!$B$42*(1-Inputs!$B$19/100)))*(1+Inputs!$B$24/100)*(1+F139/100)*(1+IF(Inputs!$B$3&gt;=120,F142,0)/100)^5*(1+(IF(Skills!A2="BASIC_ATTACK",Inputs!$B$17,Inputs!$B$18+IF(Inputs!$B$3&gt;=125,F143*5,0)))/100)*(B146*B147*B148*I118)</f>
        <v/>
      </c>
      <c r="L118">
        <f>K118*(MIN(Inputs!$B$22+(F138-Calc!F22),Inputs!$B$23)/100+Inputs!$B$23/100)/2</f>
        <v/>
      </c>
      <c r="M118">
        <f>L118*(1+(Inputs!$B$10+(F137-Calc!F21))/100)</f>
        <v/>
      </c>
      <c r="N118">
        <f>L118*(1-MIN(Inputs!$B$9+(F136-Calc!F20),100)/100)+M118*(MIN(Inputs!$B$9+(F136-Calc!F20),100)/100)</f>
        <v/>
      </c>
      <c r="O118">
        <f>Skills!G2*N118*B152*IF(Inputs!$B$38="pvp",1,(1-Summary!$B$56)*(1)+Summary!$B$56*(MIN((6+Inputs!$B$33+IF(Inputs!$B$3&gt;=136,1,0)),Inputs!$B$37)))</f>
        <v/>
      </c>
      <c r="P118">
        <f>IF(B155=0,0,O118/B155)</f>
        <v/>
      </c>
      <c r="Q118">
        <f>IFERROR(1/IF(Inputs!$B$38="pvp",15,MAX(0.1,Skills!E2-IF(Skills!F2=TRUE,Inputs!$B$32,0))),0)</f>
        <v/>
      </c>
      <c r="R118" t="n">
        <v>0</v>
      </c>
      <c r="T118">
        <f>MAX(0,(Inputs!$B$3-100)*3)+Inputs!$B$28+Inputs!$B$29</f>
        <v/>
      </c>
      <c r="Z118">
        <f>MAX(0,(Inputs!$B$3-100)*3)+Inputs!$B$28+Inputs!$B$29</f>
        <v/>
      </c>
    </row>
    <row r="119">
      <c r="A119">
        <f>Skills!A3</f>
        <v/>
      </c>
      <c r="B119">
        <f>Skills!B3</f>
        <v/>
      </c>
      <c r="C119">
        <f>TRUE</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f>Calc!G3</f>
        <v/>
      </c>
      <c r="H119">
        <f>Calc!H3</f>
        <v/>
      </c>
      <c r="I119">
        <f>IF(Skills!X3&lt;&gt;"",1+(Skills!X3/10)*(Z119/1000)/100,1)</f>
        <v/>
      </c>
      <c r="J119">
        <f>((Inputs!$B$6*(1+Inputs!$B$7/100))+(((Inputs!$B$12*(1+Inputs!$B$13/100))-(Inputs!$B$12*(1+Inputs!$B$13/100)))+0.25*(Inputs!$B$14-Inputs!$B$14))*(1+Inputs!$B$7/100))*(F119/100)</f>
        <v/>
      </c>
      <c r="K119">
        <f>J119*(1+((Inputs!$B$12*(1+Inputs!$B$13/100))*0.01+Inputs!$B$14*0.0025)/100)*(1+(Inputs!$B$15+1)/100)*(1+IF(Inputs!$B$38="pvp",0,(1-Summary!$B$56)*(Inputs!$B$20+Skills!P3)+Summary!$B$56*(Inputs!$B$21+Skills!Q3))/100)*(1+Inputs!$B$16/100)*(5000/(6000+Inputs!$B$42*(1-Inputs!$B$19/100)))*(1+Inputs!$B$24/100)*(1+F139/100)*(1+IF(Inputs!$B$3&gt;=120,F142,0)/100)^5*(1+(IF(Skills!A3="BASIC_ATTACK",Inputs!$B$17,Inputs!$B$18+IF(Inputs!$B$3&gt;=125,F143*5,0)))/100)*(B146*B147*B148*I119)</f>
        <v/>
      </c>
      <c r="L119">
        <f>K119*(MIN(Inputs!$B$22+(F138-Calc!F22),Inputs!$B$23)/100+Inputs!$B$23/100)/2</f>
        <v/>
      </c>
      <c r="M119">
        <f>L119*(1+(Inputs!$B$10+(F137-Calc!F21))/100)</f>
        <v/>
      </c>
      <c r="N119">
        <f>L119*(1-MIN(Inputs!$B$9+(F136-Calc!F20),100)/100)+M119*(MIN(Inputs!$B$9+(F136-Calc!F20),100)/100)</f>
        <v/>
      </c>
      <c r="O119">
        <f>IF(C119,H119*N119*IF(AND(Inputs!$B$38&lt;&gt;"pvp",Inputs!$B$43&gt;0),((Skills!G3*((R119-1)*IF(Skills!H3&gt;0,Skills!I3/Skills!H3,1)+IF(Skills!H3&gt;0,MIN(Skills!I3,MAX(0,Inputs!$B$43-((R119-1)*IF(Inputs!$B$38="pvp",15,MAX(0.1,Skills!E3-IF(Skills!F3=TRUE,Inputs!$B$32,0))))))/Skills!H3,1)))/Inputs!$B$43),G119*Q119)*IF(Inputs!$B$38="pvp",1,(1-Summary!$B$56)*(1)+Summary!$B$56*(MIN(Skills!R3,Inputs!$B$37))),0)</f>
        <v/>
      </c>
      <c r="P119">
        <f>IF(B155=0,0,O119/B155)</f>
        <v/>
      </c>
      <c r="Q119">
        <f>IFERROR(1/IF(Inputs!$B$38="pvp",15,MAX(0.1,Skills!E3-IF(Skills!F3=TRUE,Inputs!$B$32,0))),0)</f>
        <v/>
      </c>
      <c r="R119">
        <f>IF(AND(Inputs!$B$38&lt;&gt;"pvp",Inputs!$B$43&gt;0),(INT(Inputs!$B$43/IF(Inputs!$B$38="pvp",15,MAX(0.1,Skills!E3-IF(Skills!F3=TRUE,Inputs!$B$32,0))))+1),0)</f>
        <v/>
      </c>
      <c r="T119">
        <f>INDEX(FactorTable!$B$2:$Y$301, MATCH(ROUND(MIN(300,MAX(1,T118)),0), FactorTable!$A$2:$A$301,0), 22)</f>
        <v/>
      </c>
      <c r="Z119">
        <f>INDEX(FactorTable!$B$2:$Y$301, MATCH(ROUND(MIN(300,MAX(1,Z118)),0), FactorTable!$A$2:$A$301,0), 24)</f>
        <v/>
      </c>
    </row>
    <row r="120">
      <c r="A120">
        <f>Skills!A4</f>
        <v/>
      </c>
      <c r="B120">
        <f>Skills!B4</f>
        <v/>
      </c>
      <c r="C120">
        <f>TRUE</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f>Calc!G4</f>
        <v/>
      </c>
      <c r="H120">
        <f>Calc!H4</f>
        <v/>
      </c>
      <c r="I120">
        <f>IF(Skills!X4&lt;&gt;"",1+(Skills!X4/10)*(Z119/1000)/100,1)</f>
        <v/>
      </c>
      <c r="J120">
        <f>((Inputs!$B$6*(1+Inputs!$B$7/100))+(((Inputs!$B$12*(1+Inputs!$B$13/100))-(Inputs!$B$12*(1+Inputs!$B$13/100)))+0.25*(Inputs!$B$14-Inputs!$B$14))*(1+Inputs!$B$7/100))*(F120/100)</f>
        <v/>
      </c>
      <c r="K120">
        <f>J120*(1+((Inputs!$B$12*(1+Inputs!$B$13/100))*0.01+Inputs!$B$14*0.0025)/100)*(1+(Inputs!$B$15+1)/100)*(1+IF(Inputs!$B$38="pvp",0,(1-Summary!$B$56)*(Inputs!$B$20+Skills!P4)+Summary!$B$56*(Inputs!$B$21+Skills!Q4))/100)*(1+Inputs!$B$16/100)*(5000/(6000+Inputs!$B$42*(1-Inputs!$B$19/100)))*(1+Inputs!$B$24/100)*(1+F139/100)*(1+IF(Inputs!$B$3&gt;=120,F142,0)/100)^5*(1+(IF(Skills!A4="BASIC_ATTACK",Inputs!$B$17,Inputs!$B$18+IF(Inputs!$B$3&gt;=125,F143*5,0)))/100)*(B146*B147*B148*I120)</f>
        <v/>
      </c>
      <c r="L120">
        <f>K120*(MIN(Inputs!$B$22+(F138-Calc!F22),Inputs!$B$23)/100+Inputs!$B$23/100)/2</f>
        <v/>
      </c>
      <c r="M120">
        <f>L120*(1+(Inputs!$B$10+(F137-Calc!F21))/100)</f>
        <v/>
      </c>
      <c r="N120">
        <f>L120*(1-MIN(Inputs!$B$9+(F136-Calc!F20),100)/100)+M120*(MIN(Inputs!$B$9+(F136-Calc!F20),100)/100)</f>
        <v/>
      </c>
      <c r="O120">
        <f>IF(C120,H120*N120*IF(AND(Inputs!$B$38&lt;&gt;"pvp",Inputs!$B$43&gt;0),((Skills!G4*((R120-1)*IF(Skills!H4&gt;0,Skills!I4/Skills!H4,1)+IF(Skills!H4&gt;0,MIN(Skills!I4,MAX(0,Inputs!$B$43-((R120-1)*IF(Inputs!$B$38="pvp",15,MAX(0.1,Skills!E4-IF(Skills!F4=TRUE,Inputs!$B$32,0))))))/Skills!H4,1)))/Inputs!$B$43),G120*Q120)*IF(Inputs!$B$38="pvp",1,(1-Summary!$B$56)*(1)+Summary!$B$56*(MIN(Skills!R4,Inputs!$B$37))),0)</f>
        <v/>
      </c>
      <c r="P120">
        <f>IF(B155=0,0,O120/B155)</f>
        <v/>
      </c>
      <c r="Q120">
        <f>IFERROR(1/IF(Inputs!$B$38="pvp",15,MAX(0.1,Skills!E4-IF(Skills!F4=TRUE,Inputs!$B$32,0))),0)</f>
        <v/>
      </c>
      <c r="R120">
        <f>IF(AND(Inputs!$B$38&lt;&gt;"pvp",Inputs!$B$43&gt;0),(INT(Inputs!$B$43/IF(Inputs!$B$38="pvp",15,MAX(0.1,Skills!E4-IF(Skills!F4=TRUE,Inputs!$B$32,0))))+1),0)</f>
        <v/>
      </c>
      <c r="T120">
        <f>290*T119/1000</f>
        <v/>
      </c>
    </row>
    <row r="121">
      <c r="A121">
        <f>Skills!A5</f>
        <v/>
      </c>
      <c r="B121">
        <f>Skills!B5</f>
        <v/>
      </c>
      <c r="C121">
        <f>TRUE</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Calc!G5</f>
        <v/>
      </c>
      <c r="H121">
        <f>Calc!H5</f>
        <v/>
      </c>
      <c r="I121">
        <f>IF(Skills!X5&lt;&gt;"",1+(Skills!X5/10)*(Z119/1000)/100,1)</f>
        <v/>
      </c>
      <c r="J121">
        <f>((Inputs!$B$6*(1+Inputs!$B$7/100))+(((Inputs!$B$12*(1+Inputs!$B$13/100))-(Inputs!$B$12*(1+Inputs!$B$13/100)))+0.25*(Inputs!$B$14-Inputs!$B$14))*(1+Inputs!$B$7/100))*(F121/100)</f>
        <v/>
      </c>
      <c r="K121">
        <f>J121*(1+((Inputs!$B$12*(1+Inputs!$B$13/100))*0.01+Inputs!$B$14*0.0025)/100)*(1+(Inputs!$B$15+1)/100)*(1+IF(Inputs!$B$38="pvp",0,(1-Summary!$B$56)*(Inputs!$B$20+Skills!P5)+Summary!$B$56*(Inputs!$B$21+Skills!Q5))/100)*(1+Inputs!$B$16/100)*(5000/(6000+Inputs!$B$42*(1-Inputs!$B$19/100)))*(1+Inputs!$B$24/100)*(1+F139/100)*(1+IF(Inputs!$B$3&gt;=120,F142,0)/100)^5*(1+(IF(Skills!A5="BASIC_ATTACK",Inputs!$B$17,Inputs!$B$18+IF(Inputs!$B$3&gt;=125,F143*5,0)))/100)*(B146*B147*B148*I121)</f>
        <v/>
      </c>
      <c r="L121">
        <f>K121*(MIN(Inputs!$B$22+(F138-Calc!F22),Inputs!$B$23)/100+Inputs!$B$23/100)/2</f>
        <v/>
      </c>
      <c r="M121">
        <f>L121*(1+(Inputs!$B$10+(F137-Calc!F21))/100)</f>
        <v/>
      </c>
      <c r="N121">
        <f>L121*(1-MIN(Inputs!$B$9+(F136-Calc!F20),100)/100)+M121*(MIN(Inputs!$B$9+(F136-Calc!F20),100)/100)</f>
        <v/>
      </c>
      <c r="O121">
        <f>IF(C121,H121*N121*IF(AND(Inputs!$B$38&lt;&gt;"pvp",Inputs!$B$43&gt;0),((Skills!G5*((R121-1)*IF(Skills!H5&gt;0,Skills!I5/Skills!H5,1)+IF(Skills!H5&gt;0,MIN(Skills!I5,MAX(0,Inputs!$B$43-((R121-1)*IF(Inputs!$B$38="pvp",15,MAX(0.1,Skills!E5-IF(Skills!F5=TRUE,Inputs!$B$32,0))))))/Skills!H5,1)))/Inputs!$B$43),G121*Q121)*IF(Inputs!$B$38="pvp",1,(1-Summary!$B$56)*(1)+Summary!$B$56*(MIN(Skills!R5,Inputs!$B$37))),0)</f>
        <v/>
      </c>
      <c r="P121">
        <f>IF(B155=0,0,O121/B155)</f>
        <v/>
      </c>
      <c r="Q121">
        <f>IFERROR(1/IF(Inputs!$B$38="pvp",15,MAX(0.1,Skills!E5-IF(Skills!F5=TRUE,Inputs!$B$32,0))),0)</f>
        <v/>
      </c>
      <c r="R121">
        <f>IF(AND(Inputs!$B$38&lt;&gt;"pvp",Inputs!$B$43&gt;0),(INT(Inputs!$B$43/IF(Inputs!$B$38="pvp",15,MAX(0.1,Skills!E5-IF(Skills!F5=TRUE,Inputs!$B$32,0))))+1),0)</f>
        <v/>
      </c>
    </row>
    <row r="122">
      <c r="A122">
        <f>Skills!A6</f>
        <v/>
      </c>
      <c r="B122">
        <f>Skills!B6</f>
        <v/>
      </c>
      <c r="C122">
        <f>TRUE</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Calc!G6</f>
        <v/>
      </c>
      <c r="H122">
        <f>Calc!H6</f>
        <v/>
      </c>
      <c r="I122">
        <f>IF(Skills!X6&lt;&gt;"",1+(Skills!X6/10)*(Z119/1000)/100,1)</f>
        <v/>
      </c>
      <c r="J122" t="inlineStr"/>
      <c r="K122" t="inlineStr"/>
      <c r="L122" t="inlineStr"/>
      <c r="M122" t="inlineStr"/>
      <c r="N122" t="inlineStr"/>
      <c r="O122" t="n">
        <v>0</v>
      </c>
      <c r="P122">
        <f>IF(B155=0,0,O122/B155)</f>
        <v/>
      </c>
      <c r="Q122">
        <f>IFERROR(1/IF(Inputs!$B$38="pvp",15,MAX(0.1,Skills!E6-IF(Skills!F6=TRUE,Inputs!$B$32,0))),0)</f>
        <v/>
      </c>
      <c r="R122">
        <f>IF(AND(Inputs!$B$38&lt;&gt;"pvp",Inputs!$B$43&gt;0),(INT(Inputs!$B$43/IF(Inputs!$B$38="pvp",15,MAX(0.1,Skills!E6-IF(Skills!F6=TRUE,Inputs!$B$32,0))))+1),0)</f>
        <v/>
      </c>
    </row>
    <row r="123">
      <c r="A123">
        <f>Skills!A7</f>
        <v/>
      </c>
      <c r="B123">
        <f>Skills!B7</f>
        <v/>
      </c>
      <c r="C123">
        <f>TRUE</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Calc!G7</f>
        <v/>
      </c>
      <c r="H123">
        <f>Calc!H7</f>
        <v/>
      </c>
      <c r="I123">
        <f>IF(Skills!X7&lt;&gt;"",1+(Skills!X7/10)*(Z119/1000)/100,1)</f>
        <v/>
      </c>
      <c r="J123">
        <f>((Inputs!$B$6*(1+Inputs!$B$7/100))+(((Inputs!$B$12*(1+Inputs!$B$13/100))-(Inputs!$B$12*(1+Inputs!$B$13/100)))+0.25*(Inputs!$B$14-Inputs!$B$14))*(1+Inputs!$B$7/100))*(F123/100)</f>
        <v/>
      </c>
      <c r="K123">
        <f>J123*(1+((Inputs!$B$12*(1+Inputs!$B$13/100))*0.01+Inputs!$B$14*0.0025)/100)*(1+(Inputs!$B$15+1)/100)*(1+IF(Inputs!$B$38="pvp",0,(1-Summary!$B$56)*(Inputs!$B$20+Skills!P7)+Summary!$B$56*(Inputs!$B$21+Skills!Q7))/100)*(1+Inputs!$B$16/100)*(5000/(6000+Inputs!$B$42*(1-Inputs!$B$19/100)))*(1+Inputs!$B$24/100)*(1+F139/100)*(1+IF(Inputs!$B$3&gt;=120,F142,0)/100)^5*(1+(IF(Skills!A7="BASIC_ATTACK",Inputs!$B$17,Inputs!$B$18+IF(Inputs!$B$3&gt;=125,F143*5,0)))/100)*(B146*B147*B148*I123)</f>
        <v/>
      </c>
      <c r="L123">
        <f>K123*(MIN(Inputs!$B$22+(F138-Calc!F22),Inputs!$B$23)/100+Inputs!$B$23/100)/2</f>
        <v/>
      </c>
      <c r="M123">
        <f>L123*(1+(Inputs!$B$10+(F137-Calc!F21))/100)</f>
        <v/>
      </c>
      <c r="N123">
        <f>L123*(1-MIN(Inputs!$B$9+(F136-Calc!F20),100)/100)+M123*(MIN(Inputs!$B$9+(F136-Calc!F20),100)/100)</f>
        <v/>
      </c>
      <c r="O123">
        <f>IF(C123,H123*N123*IF(AND(Inputs!$B$38&lt;&gt;"pvp",Inputs!$B$43&gt;0),((Skills!G7*((R123-1)*IF(Skills!H7&gt;0,Skills!I7/Skills!H7,1)+IF(Skills!H7&gt;0,MIN(Skills!I7,MAX(0,Inputs!$B$43-((R123-1)*IF(Inputs!$B$38="pvp",15,MAX(0.1,Skills!E7-IF(Skills!F7=TRUE,Inputs!$B$32,0))))))/Skills!H7,1)))/Inputs!$B$43),G123*Q123)*IF(Inputs!$B$38="pvp",1,(1-Summary!$B$56)*(1)+Summary!$B$56*(MIN(Skills!R7,Inputs!$B$37))),0)</f>
        <v/>
      </c>
      <c r="P123">
        <f>IF(B155=0,0,O123/B155)</f>
        <v/>
      </c>
      <c r="Q123">
        <f>IFERROR(1/IF(Inputs!$B$38="pvp",15,MAX(0.1,Skills!E7-IF(Skills!F7=TRUE,Inputs!$B$32,0))),0)</f>
        <v/>
      </c>
      <c r="R123">
        <f>IF(AND(Inputs!$B$38&lt;&gt;"pvp",Inputs!$B$43&gt;0),(INT(Inputs!$B$43/IF(Inputs!$B$38="pvp",15,MAX(0.1,Skills!E7-IF(Skills!F7=TRUE,Inputs!$B$32,0))))+1),0)</f>
        <v/>
      </c>
    </row>
    <row r="124">
      <c r="A124">
        <f>Skills!A8</f>
        <v/>
      </c>
      <c r="B124">
        <f>Skills!B8</f>
        <v/>
      </c>
      <c r="C124">
        <f>TRUE</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f>Calc!G8</f>
        <v/>
      </c>
      <c r="H124">
        <f>Calc!H8</f>
        <v/>
      </c>
      <c r="I124">
        <f>IF(Skills!X8&lt;&gt;"",1+(Skills!X8/10)*(Z119/1000)/100,1)</f>
        <v/>
      </c>
      <c r="J124">
        <f>((Inputs!$B$6*(1+Inputs!$B$7/100))+(((Inputs!$B$12*(1+Inputs!$B$13/100))-(Inputs!$B$12*(1+Inputs!$B$13/100)))+0.25*(Inputs!$B$14-Inputs!$B$14))*(1+Inputs!$B$7/100))*(F124/100)</f>
        <v/>
      </c>
      <c r="K124">
        <f>J124*(1+((Inputs!$B$12*(1+Inputs!$B$13/100))*0.01+Inputs!$B$14*0.0025)/100)*(1+(Inputs!$B$15+1)/100)*(1+IF(Inputs!$B$38="pvp",0,(1-Summary!$B$56)*(Inputs!$B$20+Skills!P8)+Summary!$B$56*(Inputs!$B$21+Skills!Q8))/100)*(1+Inputs!$B$16/100)*(5000/(6000+Inputs!$B$42*(1-Inputs!$B$19/100)))*(1+Inputs!$B$24/100)*(1+F139/100)*(1+IF(Inputs!$B$3&gt;=120,F142,0)/100)^5*(1+(IF(Skills!A8="BASIC_ATTACK",Inputs!$B$17,Inputs!$B$18+IF(Inputs!$B$3&gt;=125,F143*5,0)))/100)*(B146*B147*B148*I124)</f>
        <v/>
      </c>
      <c r="L124">
        <f>K124*(MIN(Inputs!$B$22+(F138-Calc!F22),Inputs!$B$23)/100+Inputs!$B$23/100)/2</f>
        <v/>
      </c>
      <c r="M124">
        <f>L124*(1+(Inputs!$B$10+(F137-Calc!F21))/100)</f>
        <v/>
      </c>
      <c r="N124">
        <f>L124*(1-MIN(Inputs!$B$9+(F136-Calc!F20),100)/100)+M124*(MIN(Inputs!$B$9+(F136-Calc!F20),100)/100)</f>
        <v/>
      </c>
      <c r="O124">
        <f>IF(C124,H124*N124*IF(AND(Inputs!$B$38&lt;&gt;"pvp",Inputs!$B$43&gt;0),((Skills!G8*((R124-1)*IF(Skills!H8&gt;0,Skills!I8/Skills!H8,1)+IF(Skills!H8&gt;0,MIN(Skills!I8,MAX(0,Inputs!$B$43-((R124-1)*IF(Inputs!$B$38="pvp",15,MAX(0.1,Skills!E8-IF(Skills!F8=TRUE,Inputs!$B$32,0))))))/Skills!H8,1)))/Inputs!$B$43),G124*Q124)*IF(Inputs!$B$38="pvp",1,(1-Summary!$B$56)*(1)+Summary!$B$56*(MIN(Skills!R8,Inputs!$B$37))),0)</f>
        <v/>
      </c>
      <c r="P124">
        <f>IF(B155=0,0,O124/B155)</f>
        <v/>
      </c>
      <c r="Q124">
        <f>IFERROR(1/IF(Inputs!$B$38="pvp",15,MAX(0.1,Skills!E8-IF(Skills!F8=TRUE,Inputs!$B$32,0))),0)</f>
        <v/>
      </c>
      <c r="R124">
        <f>IF(AND(Inputs!$B$38&lt;&gt;"pvp",Inputs!$B$43&gt;0),(INT(Inputs!$B$43/IF(Inputs!$B$38="pvp",15,MAX(0.1,Skills!E8-IF(Skills!F8=TRUE,Inputs!$B$32,0))))+1),0)</f>
        <v/>
      </c>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Calc!G9</f>
        <v/>
      </c>
      <c r="H125">
        <f>Calc!H9</f>
        <v/>
      </c>
      <c r="I125">
        <f>IF(Skills!X9&lt;&gt;"",1+(Skills!X9/10)*(Z119/1000)/100,1)</f>
        <v/>
      </c>
      <c r="J125">
        <f>((Inputs!$B$6*(1+Inputs!$B$7/100))+(((Inputs!$B$12*(1+Inputs!$B$13/100))-(Inputs!$B$12*(1+Inputs!$B$13/100)))+0.25*(Inputs!$B$14-Inputs!$B$14))*(1+Inputs!$B$7/100))*(F125/100)</f>
        <v/>
      </c>
      <c r="K125">
        <f>J125*(1+((Inputs!$B$12*(1+Inputs!$B$13/100))*0.01+Inputs!$B$14*0.0025)/100)*(1+(Inputs!$B$15+1)/100)*(1+IF(Inputs!$B$38="pvp",0,(1-Summary!$B$56)*(Inputs!$B$20+Skills!P9)+Summary!$B$56*(Inputs!$B$21+Skills!Q9))/100)*(1+Inputs!$B$16/100)*(5000/(6000+Inputs!$B$42*(1-Inputs!$B$19/100)))*(1+Inputs!$B$24/100)*(1+F139/100)*(1+IF(Inputs!$B$3&gt;=120,F142,0)/100)^5*(1+(IF(Skills!A9="BASIC_ATTACK",Inputs!$B$17,Inputs!$B$18+IF(Inputs!$B$3&gt;=125,F143*5,0)))/100)*(B146*B147*B148*I125)</f>
        <v/>
      </c>
      <c r="L125">
        <f>K125*(MIN(Inputs!$B$22+(F138-Calc!F22),Inputs!$B$23)/100+Inputs!$B$23/100)/2</f>
        <v/>
      </c>
      <c r="M125">
        <f>L125*(1+(Inputs!$B$10+(F137-Calc!F21))/100)</f>
        <v/>
      </c>
      <c r="N125">
        <f>L125*(1-MIN(Inputs!$B$9+(F136-Calc!F20),100)/100)+M125*(MIN(Inputs!$B$9+(F136-Calc!F20),100)/100)</f>
        <v/>
      </c>
      <c r="O125">
        <f>IF(C125,H125*N125*IF(AND(Inputs!$B$38&lt;&gt;"pvp",Inputs!$B$43&gt;0),((Skills!G9*((R125-1)*IF(Skills!H9&gt;0,Skills!I9/Skills!H9,1)+IF(Skills!H9&gt;0,MIN(Skills!I9,MAX(0,Inputs!$B$43-((R125-1)*IF(Inputs!$B$38="pvp",15,MAX(0.1,Skills!E9-IF(Skills!F7=TRUE,Inputs!$B$32,0))))))/Skills!H9,1)))/Inputs!$B$43),G125*Q125)*IF(Inputs!$B$38="pvp",1,(1-Summary!$B$56)*(1)+Summary!$B$56*(MIN(Skills!R9,Inputs!$B$37))),0)</f>
        <v/>
      </c>
      <c r="P125">
        <f>IF(B155=0,0,O125/B155)</f>
        <v/>
      </c>
      <c r="Q125">
        <f>IFERROR(1/IF(Inputs!$B$38="pvp",15,MAX(0.1,Skills!E9-IF(Skills!F7=TRUE,Inputs!$B$32,0))),0)</f>
        <v/>
      </c>
      <c r="R125">
        <f>IF(AND(Inputs!$B$38&lt;&gt;"pvp",Inputs!$B$43&gt;0),(INT(Inputs!$B$43/IF(Inputs!$B$38="pvp",15,MAX(0.1,Skills!E9-IF(Skills!F7=TRUE,Inputs!$B$32,0))))+1),0)</f>
        <v/>
      </c>
    </row>
    <row r="126">
      <c r="A126">
        <f>Skills!A10</f>
        <v/>
      </c>
      <c r="B126">
        <f>Skills!B10</f>
        <v/>
      </c>
      <c r="C126">
        <f>TRUE</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Calc!G10</f>
        <v/>
      </c>
      <c r="H126">
        <f>Calc!H10</f>
        <v/>
      </c>
      <c r="I126">
        <f>IF(Skills!X10&lt;&gt;"",1+(Skills!X10/10)*(Z119/1000)/100,1)</f>
        <v/>
      </c>
      <c r="J126">
        <f>((Inputs!$B$6*(1+Inputs!$B$7/100))+(((Inputs!$B$12*(1+Inputs!$B$13/100))-(Inputs!$B$12*(1+Inputs!$B$13/100)))+0.25*(Inputs!$B$14-Inputs!$B$14))*(1+Inputs!$B$7/100))*(F126/100)</f>
        <v/>
      </c>
      <c r="K126">
        <f>J126*(1+((Inputs!$B$12*(1+Inputs!$B$13/100))*0.01+Inputs!$B$14*0.0025)/100)*(1+(Inputs!$B$15+1)/100)*(1+IF(Inputs!$B$38="pvp",0,(1-Summary!$B$56)*(Inputs!$B$20+Skills!P10)+Summary!$B$56*(Inputs!$B$21+Skills!Q10))/100)*(1+Inputs!$B$16/100)*(5000/(6000+Inputs!$B$42*(1-Inputs!$B$19/100)))*(1+Inputs!$B$24/100)*(1+F139/100)*(1+IF(Inputs!$B$3&gt;=120,F142,0)/100)^5*(1+(IF(Skills!A10="BASIC_ATTACK",Inputs!$B$17,Inputs!$B$18+IF(Inputs!$B$3&gt;=125,F143*5,0)))/100)*(B146*B147*B148*I126)</f>
        <v/>
      </c>
      <c r="L126">
        <f>K126*(MIN(Inputs!$B$22+(F138-Calc!F22),Inputs!$B$23)/100+Inputs!$B$23/100)/2</f>
        <v/>
      </c>
      <c r="M126">
        <f>L126*(1+(Inputs!$B$10+(F137-Calc!F21))/100)</f>
        <v/>
      </c>
      <c r="N126">
        <f>L126*(1-MIN(Inputs!$B$9+(F136-Calc!F20),100)/100)+M126*(MIN(Inputs!$B$9+(F136-Calc!F20),100)/100)</f>
        <v/>
      </c>
      <c r="O126">
        <f>IF(C126,H126*N126*IF(AND(Inputs!$B$38&lt;&gt;"pvp",Inputs!$B$43&gt;0),((Skills!G10*((R126-1)*IF(Skills!H10&gt;0,Skills!I10/Skills!H10,1)+IF(Skills!H10&gt;0,MIN(Skills!I10,MAX(0,Inputs!$B$43-((R126-1)*IF(Inputs!$B$38="pvp",15,MAX(0.1,Skills!E10-IF(Skills!F10=TRUE,Inputs!$B$32,0))))))/Skills!H10,1)))/Inputs!$B$43),G126*Q126)*IF(Inputs!$B$38="pvp",1,(1-Summary!$B$56)*(1)+Summary!$B$56*(MIN(Skills!R10,Inputs!$B$37))),0)</f>
        <v/>
      </c>
      <c r="P126">
        <f>IF(B155=0,0,O126/B155)</f>
        <v/>
      </c>
      <c r="Q126">
        <f>IFERROR(1/IF(Inputs!$B$38="pvp",15,MAX(0.1,Skills!E10-IF(Skills!F10=TRUE,Inputs!$B$32,0))),0)</f>
        <v/>
      </c>
      <c r="R126">
        <f>IF(AND(Inputs!$B$38&lt;&gt;"pvp",Inputs!$B$43&gt;0),(INT(Inputs!$B$43/IF(Inputs!$B$38="pvp",15,MAX(0.1,Skills!E10-IF(Skills!F10=TRUE,Inputs!$B$32,0))))+1),0)</f>
        <v/>
      </c>
    </row>
    <row r="127">
      <c r="A127">
        <f>Skills!A11</f>
        <v/>
      </c>
      <c r="B127">
        <f>Skills!B11</f>
        <v/>
      </c>
      <c r="C127">
        <f>TRUE</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Calc!G11</f>
        <v/>
      </c>
      <c r="H127">
        <f>Calc!H11</f>
        <v/>
      </c>
      <c r="I127">
        <f>IF(Skills!X11&lt;&gt;"",1+(Skills!X11/10)*(Z119/1000)/100,1)</f>
        <v/>
      </c>
      <c r="J127" t="inlineStr"/>
      <c r="K127" t="inlineStr"/>
      <c r="L127" t="inlineStr"/>
      <c r="M127" t="inlineStr"/>
      <c r="N127" t="inlineStr"/>
      <c r="O127" t="n">
        <v>0</v>
      </c>
      <c r="P127">
        <f>IF(B155=0,0,O127/B155)</f>
        <v/>
      </c>
      <c r="Q127">
        <f>IFERROR(1/IF(Inputs!$B$38="pvp",15,MAX(0.1,Skills!E11-IF(Skills!F11=TRUE,Inputs!$B$32,0))),0)</f>
        <v/>
      </c>
      <c r="R127" t="n">
        <v>0</v>
      </c>
    </row>
    <row r="128">
      <c r="A128">
        <f>Skills!A12</f>
        <v/>
      </c>
      <c r="B128">
        <f>Skills!B12</f>
        <v/>
      </c>
      <c r="C128">
        <f>TRUE</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Calc!G12</f>
        <v/>
      </c>
      <c r="H128">
        <f>Calc!H12</f>
        <v/>
      </c>
      <c r="I128">
        <f>IF(Skills!X12&lt;&gt;"",1+(Skills!X12/10)*(Z119/1000)/100,1)</f>
        <v/>
      </c>
      <c r="J128" t="inlineStr"/>
      <c r="K128" t="inlineStr"/>
      <c r="L128" t="inlineStr"/>
      <c r="M128" t="inlineStr"/>
      <c r="N128" t="inlineStr"/>
      <c r="O128" t="n">
        <v>0</v>
      </c>
      <c r="P128">
        <f>IF(B155=0,0,O128/B155)</f>
        <v/>
      </c>
      <c r="Q128">
        <f>IFERROR(1/IF(Inputs!$B$38="pvp",15,MAX(0.1,Skills!E12-IF(Skills!F12=TRUE,Inputs!$B$32,0))),0)</f>
        <v/>
      </c>
      <c r="R128" t="n">
        <v>0</v>
      </c>
    </row>
    <row r="129">
      <c r="A129">
        <f>Skills!A13</f>
        <v/>
      </c>
      <c r="B129">
        <f>Skills!B13</f>
        <v/>
      </c>
      <c r="C129">
        <f>Inputs!$B$3&gt;=105</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Calc!G13</f>
        <v/>
      </c>
      <c r="H129">
        <f>Calc!H13</f>
        <v/>
      </c>
      <c r="I129">
        <f>IF(Skills!X13&lt;&gt;"",1+(Skills!X13/10)*(Z119/1000)/100,1)</f>
        <v/>
      </c>
      <c r="J129">
        <f>((Inputs!$B$6*(1+Inputs!$B$7/100))+(((Inputs!$B$12*(1+Inputs!$B$13/100))-(Inputs!$B$12*(1+Inputs!$B$13/100)))+0.25*(Inputs!$B$14-Inputs!$B$14))*(1+Inputs!$B$7/100))*(F129/100)</f>
        <v/>
      </c>
      <c r="K129">
        <f>J129*(1+((Inputs!$B$12*(1+Inputs!$B$13/100))*0.01+Inputs!$B$14*0.0025)/100)*(1+(Inputs!$B$15+1)/100)*(1+IF(Inputs!$B$38="pvp",0,(1-Summary!$B$56)*(Inputs!$B$20+Skills!P13)+Summary!$B$56*(Inputs!$B$21+Skills!Q13))/100)*(1+Inputs!$B$16/100)*(5000/(6000+Inputs!$B$42*(1-Inputs!$B$19/100)))*(1+Inputs!$B$24/100)*(1+F139/100)*(1+IF(Inputs!$B$3&gt;=120,F142,0)/100)^5*(1+(IF(Skills!A13="BASIC_ATTACK",Inputs!$B$17,Inputs!$B$18+IF(Inputs!$B$3&gt;=125,F143*5,0)))/100)*(B146*B147*B148*I129)</f>
        <v/>
      </c>
      <c r="L129">
        <f>K129*(MIN(Inputs!$B$22+(F138-Calc!F22),Inputs!$B$23)/100+Inputs!$B$23/100)/2</f>
        <v/>
      </c>
      <c r="M129">
        <f>L129*(1+(Inputs!$B$10+(F137-Calc!F21))/100)</f>
        <v/>
      </c>
      <c r="N129">
        <f>L129*(1-MIN(Inputs!$B$9+(F136-Calc!F20),100)/100)+M129*(MIN(Inputs!$B$9+(F136-Calc!F20),100)/100)</f>
        <v/>
      </c>
      <c r="O129">
        <f>IF(C129,H129*N129*IF(AND(Inputs!$B$38&lt;&gt;"pvp",Inputs!$B$43&gt;0),((Skills!G13*((R129-1)*IF(Skills!H13&gt;0,Skills!I13/Skills!H13,1)+IF(Skills!H13&gt;0,MIN(Skills!I13,MAX(0,Inputs!$B$43-((R129-1)*IF(Inputs!$B$38="pvp",15,MAX(0.1,Skills!E13-IF(Skills!F13=TRUE,Inputs!$B$32,0))))))/Skills!H13,1)))/Inputs!$B$43),G129*Q129)*IF(Inputs!$B$38="pvp",1,(1-Summary!$B$56)*(1)+Summary!$B$56*(MIN(Skills!R13,Inputs!$B$37))),0)</f>
        <v/>
      </c>
      <c r="P129">
        <f>IF(B155=0,0,O129/B155)</f>
        <v/>
      </c>
      <c r="Q129">
        <f>IFERROR(1/IF(Inputs!$B$38="pvp",15,MAX(0.1,Skills!E13-IF(Skills!F13=TRUE,Inputs!$B$32,0))),0)</f>
        <v/>
      </c>
      <c r="R129">
        <f>IF(AND(Inputs!$B$38&lt;&gt;"pvp",Inputs!$B$43&gt;0),(INT(Inputs!$B$43/IF(Inputs!$B$38="pvp",15,MAX(0.1,Skills!E13-IF(Skills!F13=TRUE,Inputs!$B$32,0))))+1),0)</f>
        <v/>
      </c>
    </row>
    <row r="130">
      <c r="A130">
        <f>Skills!A14</f>
        <v/>
      </c>
      <c r="B130">
        <f>Skills!B14</f>
        <v/>
      </c>
      <c r="C130">
        <f>Inputs!$B$3&gt;=113</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Calc!G14</f>
        <v/>
      </c>
      <c r="H130">
        <f>Calc!H14</f>
        <v/>
      </c>
      <c r="I130">
        <f>IF(Skills!X14&lt;&gt;"",1+(Skills!X14/10)*(Z119/1000)/100,1)</f>
        <v/>
      </c>
      <c r="J130">
        <f>((Inputs!$B$6*(1+Inputs!$B$7/100))+(((Inputs!$B$12*(1+Inputs!$B$13/100))-(Inputs!$B$12*(1+Inputs!$B$13/100)))+0.25*(Inputs!$B$14-Inputs!$B$14))*(1+Inputs!$B$7/100))*(F130/100)</f>
        <v/>
      </c>
      <c r="K130">
        <f>J130*(1+((Inputs!$B$12*(1+Inputs!$B$13/100))*0.01+Inputs!$B$14*0.0025)/100)*(1+(Inputs!$B$15+1)/100)*(1+IF(Inputs!$B$38="pvp",0,(1-Summary!$B$56)*(Inputs!$B$20+Skills!P14)+Summary!$B$56*(Inputs!$B$21+Skills!Q14))/100)*(1+Inputs!$B$16/100)*(5000/(6000+Inputs!$B$42*(1-Inputs!$B$19/100)))*(1+Inputs!$B$24/100)*(1+F139/100)*(1+IF(Inputs!$B$3&gt;=120,F142,0)/100)^5*(1+(IF(Skills!A14="BASIC_ATTACK",Inputs!$B$17,Inputs!$B$18+IF(Inputs!$B$3&gt;=125,F143*5,0)))/100)*(B146*B147*B148*I130)</f>
        <v/>
      </c>
      <c r="L130">
        <f>K130*(MIN(Inputs!$B$22+(F138-Calc!F22),Inputs!$B$23)/100+Inputs!$B$23/100)/2</f>
        <v/>
      </c>
      <c r="M130">
        <f>L130*(1+(Inputs!$B$10+(F137-Calc!F21))/100)</f>
        <v/>
      </c>
      <c r="N130">
        <f>L130*(1-MIN(Inputs!$B$9+(F136-Calc!F20),100)/100)+M130*(MIN(Inputs!$B$9+(F136-Calc!F20),100)/100)</f>
        <v/>
      </c>
      <c r="O130">
        <f>IF(C130,(H130*B153)/(1+Skills!H14*H130*B153)*N130*IF(Inputs!$B$38="pvp",1,(1-Summary!$B$56)*(1)+Summary!$B$56*(MIN(Skills!R14,Inputs!$B$37))),0)</f>
        <v/>
      </c>
      <c r="P130">
        <f>IF(B155=0,0,O130/B155)</f>
        <v/>
      </c>
      <c r="Q130">
        <f>IFERROR(1/IF(Inputs!$B$38="pvp",15,MAX(0.1,Skills!E14-IF(Skills!F14=TRUE,Inputs!$B$32,0))),0)</f>
        <v/>
      </c>
      <c r="R130" t="n">
        <v>0</v>
      </c>
    </row>
    <row r="131">
      <c r="A131">
        <f>Skills!A15</f>
        <v/>
      </c>
      <c r="B131">
        <f>Skills!B15</f>
        <v/>
      </c>
      <c r="C131">
        <f>Inputs!$B$3&gt;=107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Calc!G15</f>
        <v/>
      </c>
      <c r="H131">
        <f>Calc!H15</f>
        <v/>
      </c>
      <c r="I131">
        <f>IF(Skills!X15&lt;&gt;"",1+(Skills!X15/10)*(Z119/1000)/100,1)</f>
        <v/>
      </c>
      <c r="J131">
        <f>((Inputs!$B$6*(1+Inputs!$B$7/100))+(((Inputs!$B$12*(1+Inputs!$B$13/100))-(Inputs!$B$12*(1+Inputs!$B$13/100)))+0.25*(Inputs!$B$14-Inputs!$B$14))*(1+Inputs!$B$7/100))*(F131/100)</f>
        <v/>
      </c>
      <c r="K131">
        <f>J131*(1+((Inputs!$B$12*(1+Inputs!$B$13/100))*0.01+Inputs!$B$14*0.0025)/100)*(1+(Inputs!$B$15+1)/100)*(1+IF(Inputs!$B$38="pvp",0,(1-Summary!$B$56)*(Inputs!$B$20+Skills!P15)+Summary!$B$56*(Inputs!$B$21+Skills!Q15))/100)*(1+Inputs!$B$16/100)*(5000/(6000+Inputs!$B$42*(1-Inputs!$B$19/100)))*(1+Inputs!$B$24/100)*(1+F139/100)*(1+IF(Inputs!$B$3&gt;=120,F142,0)/100)^5*(1+(IF(Skills!A15="BASIC_ATTACK",Inputs!$B$17,Inputs!$B$18+IF(Inputs!$B$3&gt;=125,F143*5,0)))/100)*(B146*B147*B148*I131)</f>
        <v/>
      </c>
      <c r="L131">
        <f>K131*(MIN(Inputs!$B$22+(F138-Calc!F22),Inputs!$B$23)/100+Inputs!$B$23/100)/2</f>
        <v/>
      </c>
      <c r="M131">
        <f>L131*(1+(Inputs!$B$10+(F137-Calc!F21))/100)</f>
        <v/>
      </c>
      <c r="N131">
        <f>L131*(1-MIN(Inputs!$B$9+(F136-Calc!F20),100)/100)+M131*(MIN(Inputs!$B$9+(F136-Calc!F20),100)/100)</f>
        <v/>
      </c>
      <c r="O131">
        <f>IF(C131,H131*N131*IF(AND(Inputs!$B$38&lt;&gt;"pvp",Inputs!$B$43&gt;0),((Skills!G15*((R131-1)*IF(Skills!H15&gt;0,Skills!I15/Skills!H15,1)+IF(Skills!H15&gt;0,MIN(Skills!I15,MAX(0,Inputs!$B$43-((R131-1)*IF(Inputs!$B$38="pvp",15,MAX(0.1,Skills!E15-IF(Skills!F15=TRUE,Inputs!$B$32,0))))))/Skills!H15,1)))/Inputs!$B$43),G131*Q131)*IF(Inputs!$B$38="pvp",1,(1-Summary!$B$56)*(1)+Summary!$B$56*(MIN(Skills!R15,Inputs!$B$37))),0)</f>
        <v/>
      </c>
      <c r="P131">
        <f>IF(B155=0,0,O131/B155)</f>
        <v/>
      </c>
      <c r="Q131">
        <f>IFERROR(1/IF(Inputs!$B$38="pvp",15,MAX(0.1,Skills!E15-IF(Skills!F15=TRUE,Inputs!$B$32,0))),0)</f>
        <v/>
      </c>
      <c r="R131">
        <f>IF(AND(Inputs!$B$38&lt;&gt;"pvp",Inputs!$B$43&gt;0),(INT(Inputs!$B$43/IF(Inputs!$B$38="pvp",15,MAX(0.1,Skills!E15-IF(Skills!F15=TRUE,Inputs!$B$32,0))))+1),0)</f>
        <v/>
      </c>
    </row>
    <row r="132">
      <c r="A132">
        <f>Skills!A16</f>
        <v/>
      </c>
      <c r="B132">
        <f>Skills!B16</f>
        <v/>
      </c>
      <c r="C132">
        <f>Inputs!$B$3&gt;=107</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Calc!G16</f>
        <v/>
      </c>
      <c r="H132">
        <f>Calc!H16</f>
        <v/>
      </c>
      <c r="I132">
        <f>IF(Skills!X16&lt;&gt;"",1+(Skills!X16/10)*(Z119/1000)/100,1)</f>
        <v/>
      </c>
      <c r="J132">
        <f>((Inputs!$B$6*(1+Inputs!$B$7/100))+(((Inputs!$B$12*(1+Inputs!$B$13/100))-(Inputs!$B$12*(1+Inputs!$B$13/100)))+0.25*(Inputs!$B$14-Inputs!$B$14))*(1+Inputs!$B$7/100))*(F132/100)</f>
        <v/>
      </c>
      <c r="K132">
        <f>J132*(1+((Inputs!$B$12*(1+Inputs!$B$13/100))*0.01+Inputs!$B$14*0.0025)/100)*(1+(Inputs!$B$15+1)/100)*(1+IF(Inputs!$B$38="pvp",0,(1-Summary!$B$56)*(Inputs!$B$20+Skills!P16)+Summary!$B$56*(Inputs!$B$21+Skills!Q16))/100)*(1+Inputs!$B$16/100)*(5000/(6000+Inputs!$B$42*(1-Inputs!$B$19/100)))*(1+Inputs!$B$24/100)*(1+F139/100)*(1+IF(Inputs!$B$3&gt;=120,F142,0)/100)^5*(1+(IF(Skills!A16="BASIC_ATTACK",Inputs!$B$17,Inputs!$B$18+IF(Inputs!$B$3&gt;=125,F143*5,0)))/100)*(B146*B147*B148*I132)</f>
        <v/>
      </c>
      <c r="L132">
        <f>K132*(MIN(Inputs!$B$22+(F138-Calc!F22),Inputs!$B$23)/100+Inputs!$B$23/100)/2</f>
        <v/>
      </c>
      <c r="M132">
        <f>L132*(1+(Inputs!$B$10+(F137-Calc!F21))/100)</f>
        <v/>
      </c>
      <c r="N132">
        <f>L132*(1-MIN(Inputs!$B$9+(F136-Calc!F20),100)/100)+M132*(MIN(Inputs!$B$9+(F136-Calc!F20),100)/100)</f>
        <v/>
      </c>
      <c r="O132">
        <f>IF(C132,H132*N132*IF(AND(Inputs!$B$38&lt;&gt;"pvp",Inputs!$B$43&gt;0),((Skills!G16*((R132-1)*IF(Skills!H16&gt;0,Skills!I16/Skills!H16,1)+IF(Skills!H16&gt;0,MIN(Skills!I16,MAX(0,Inputs!$B$43-((R132-1)*IF(Inputs!$B$38="pvp",15,MAX(0.1,Skills!E16-IF(Skills!F16=TRUE,Inputs!$B$32,0))))))/Skills!H16,1)))/Inputs!$B$43),G132*Q132)*(1+IF(Inputs!$B$3&gt;=126,0.05*(B152+Q129+(H130*B153)/(1+Skills!H14*H130*B153)+Q140),0)*Skills!E15)*IF(Inputs!$B$38="pvp",1,(1-Summary!$B$56)*(1)+Summary!$B$56*(MIN(Skills!R16,Inputs!$B$37))),0)</f>
        <v/>
      </c>
      <c r="P132">
        <f>IF(B155=0,0,O132/B155)</f>
        <v/>
      </c>
      <c r="Q132">
        <f>IFERROR(1/IF(Inputs!$B$38="pvp",15,MAX(0.1,Skills!E16-IF(Skills!F16=TRUE,Inputs!$B$32,0))),0)</f>
        <v/>
      </c>
      <c r="R132">
        <f>IF(AND(Inputs!$B$38&lt;&gt;"pvp",Inputs!$B$43&gt;0),(INT(Inputs!$B$43/IF(Inputs!$B$38="pvp",15,MAX(0.1,Skills!E16-IF(Skills!F16=TRUE,Inputs!$B$32,0))))+1),0)</f>
        <v/>
      </c>
    </row>
    <row r="133">
      <c r="A133">
        <f>Skills!A17</f>
        <v/>
      </c>
      <c r="B133">
        <f>Skills!B17</f>
        <v/>
      </c>
      <c r="C133">
        <f>TRUE</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Calc!G17</f>
        <v/>
      </c>
      <c r="H133">
        <f>Calc!H17</f>
        <v/>
      </c>
      <c r="I133">
        <f>IF(Skills!X17&lt;&gt;"",1+(Skills!X17/10)*(Z119/1000)/100,1)</f>
        <v/>
      </c>
      <c r="J133" t="inlineStr"/>
      <c r="K133" t="inlineStr"/>
      <c r="L133" t="inlineStr"/>
      <c r="M133" t="inlineStr"/>
      <c r="N133" t="inlineStr"/>
      <c r="O133" t="n">
        <v>0</v>
      </c>
      <c r="P133">
        <f>IF(B155=0,0,O133/B155)</f>
        <v/>
      </c>
      <c r="Q133">
        <f>IFERROR(1/IF(Inputs!$B$38="pvp",15,MAX(0.1,Skills!E17-IF(Skills!F17=TRUE,Inputs!$B$32,0))),0)</f>
        <v/>
      </c>
      <c r="R133">
        <f>IF(AND(Inputs!$B$38&lt;&gt;"pvp",Inputs!$B$43&gt;0),(INT(Inputs!$B$43/IF(Inputs!$B$38="pvp",15,MAX(0.1,Skills!E17-IF(Skills!F17=TRUE,Inputs!$B$32,0))))+1),0)</f>
        <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Calc!G18</f>
        <v/>
      </c>
      <c r="H134">
        <f>Calc!H18</f>
        <v/>
      </c>
      <c r="I134">
        <f>IF(Skills!X18&lt;&gt;"",1+(Skills!X18/10)*(Z119/1000)/100,1)</f>
        <v/>
      </c>
      <c r="J134" t="inlineStr"/>
      <c r="K134" t="inlineStr"/>
      <c r="L134" t="inlineStr"/>
      <c r="M134" t="inlineStr"/>
      <c r="N134" t="inlineStr"/>
      <c r="O134" t="n">
        <v>0</v>
      </c>
      <c r="P134">
        <f>IF(B155=0,0,O134/B155)</f>
        <v/>
      </c>
      <c r="Q134">
        <f>IFERROR(1/IF(Inputs!$B$38="pvp",15,MAX(0.1,Skills!E18-IF(Skills!F18=TRUE,Inputs!$B$32,0))),0)</f>
        <v/>
      </c>
      <c r="R134">
        <f>IF(AND(Inputs!$B$38&lt;&gt;"pvp",Inputs!$B$43&gt;0),(INT(Inputs!$B$43/IF(Inputs!$B$38="pvp",15,MAX(0.1,Skills!E18-IF(Skills!F18=TRUE,Inputs!$B$32,0))))+1),0)</f>
        <v/>
      </c>
    </row>
    <row r="135">
      <c r="A135">
        <f>Skills!A19</f>
        <v/>
      </c>
      <c r="B135">
        <f>Skills!B19</f>
        <v/>
      </c>
      <c r="C135">
        <f>Inputs!$B$3&gt;=110</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Calc!G19</f>
        <v/>
      </c>
      <c r="H135">
        <f>Calc!H19</f>
        <v/>
      </c>
      <c r="I135">
        <f>IF(Skills!X19&lt;&gt;"",1+(Skills!X19/10)*(Z119/1000)/100,1)</f>
        <v/>
      </c>
      <c r="J135" t="inlineStr"/>
      <c r="K135" t="inlineStr"/>
      <c r="L135" t="inlineStr"/>
      <c r="M135" t="inlineStr"/>
      <c r="N135" t="inlineStr"/>
      <c r="O135" t="n">
        <v>0</v>
      </c>
      <c r="P135">
        <f>IF(B155=0,0,O135/B155)</f>
        <v/>
      </c>
      <c r="Q135">
        <f>IFERROR(1/IF(Inputs!$B$38="pvp",15,MAX(0.1,Skills!E19-IF(Skills!F19=TRUE,Inputs!$B$32,0))),0)</f>
        <v/>
      </c>
      <c r="R135">
        <f>IF(AND(Inputs!$B$38&lt;&gt;"pvp",Inputs!$B$43&gt;0),(INT(Inputs!$B$43/IF(Inputs!$B$38="pvp",15,MAX(0.1,Skills!E19-IF(Skills!F19=TRUE,Inputs!$B$32,0))))+1),0)</f>
        <v/>
      </c>
    </row>
    <row r="136">
      <c r="A136">
        <f>Skills!A20</f>
        <v/>
      </c>
      <c r="B136">
        <f>Skills!B20</f>
        <v/>
      </c>
      <c r="C136">
        <f>TRUE</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Calc!G20</f>
        <v/>
      </c>
      <c r="H136">
        <f>Calc!H20</f>
        <v/>
      </c>
      <c r="I136">
        <f>IF(Skills!X20&lt;&gt;"",1+(Skills!X20/10)*(Z119/1000)/100,1)</f>
        <v/>
      </c>
      <c r="J136" t="inlineStr"/>
      <c r="K136" t="inlineStr"/>
      <c r="L136" t="inlineStr"/>
      <c r="M136" t="inlineStr"/>
      <c r="N136" t="inlineStr"/>
      <c r="O136" t="n">
        <v>0</v>
      </c>
      <c r="P136">
        <f>IF(B155=0,0,O136/B155)</f>
        <v/>
      </c>
      <c r="Q136">
        <f>IFERROR(1/IF(Inputs!$B$38="pvp",15,MAX(0.1,Skills!E20-IF(Skills!F20=TRUE,Inputs!$B$32,0))),0)</f>
        <v/>
      </c>
      <c r="R136" t="n">
        <v>0</v>
      </c>
    </row>
    <row r="137">
      <c r="A137">
        <f>Skills!A21</f>
        <v/>
      </c>
      <c r="B137">
        <f>Skills!B21</f>
        <v/>
      </c>
      <c r="C137">
        <f>TRUE</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Calc!G21</f>
        <v/>
      </c>
      <c r="H137">
        <f>Calc!H21</f>
        <v/>
      </c>
      <c r="I137">
        <f>IF(Skills!X21&lt;&gt;"",1+(Skills!X21/10)*(Z119/1000)/100,1)</f>
        <v/>
      </c>
      <c r="J137" t="inlineStr"/>
      <c r="K137" t="inlineStr"/>
      <c r="L137" t="inlineStr"/>
      <c r="M137" t="inlineStr"/>
      <c r="N137" t="inlineStr"/>
      <c r="O137" t="n">
        <v>0</v>
      </c>
      <c r="P137">
        <f>IF(B155=0,0,O137/B155)</f>
        <v/>
      </c>
      <c r="Q137">
        <f>IFERROR(1/IF(Inputs!$B$38="pvp",15,MAX(0.1,Skills!E21-IF(Skills!F21=TRUE,Inputs!$B$32,0))),0)</f>
        <v/>
      </c>
      <c r="R137" t="n">
        <v>0</v>
      </c>
    </row>
    <row r="138">
      <c r="A138">
        <f>Skills!A22</f>
        <v/>
      </c>
      <c r="B138">
        <f>Skills!B22</f>
        <v/>
      </c>
      <c r="C138">
        <f>TRUE</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Calc!G22</f>
        <v/>
      </c>
      <c r="H138">
        <f>Calc!H22</f>
        <v/>
      </c>
      <c r="I138">
        <f>IF(Skills!X22&lt;&gt;"",1+(Skills!X22/10)*(Z119/1000)/100,1)</f>
        <v/>
      </c>
      <c r="J138" t="inlineStr"/>
      <c r="K138" t="inlineStr"/>
      <c r="L138" t="inlineStr"/>
      <c r="M138" t="inlineStr"/>
      <c r="N138" t="inlineStr"/>
      <c r="O138" t="n">
        <v>0</v>
      </c>
      <c r="P138">
        <f>IF(B155=0,0,O138/B155)</f>
        <v/>
      </c>
      <c r="Q138">
        <f>IFERROR(1/IF(Inputs!$B$38="pvp",15,MAX(0.1,Skills!E22-IF(Skills!F22=TRUE,Inputs!$B$32,0))),0)</f>
        <v/>
      </c>
      <c r="R138" t="n">
        <v>0</v>
      </c>
    </row>
    <row r="139">
      <c r="A139">
        <f>Skills!A23</f>
        <v/>
      </c>
      <c r="B139">
        <f>Skills!B23</f>
        <v/>
      </c>
      <c r="C139">
        <f>TRUE</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Calc!G23</f>
        <v/>
      </c>
      <c r="H139">
        <f>Calc!H23</f>
        <v/>
      </c>
      <c r="I139">
        <f>IF(Skills!X23&lt;&gt;"",1+(Skills!X23/10)*(Z119/1000)/100,1)</f>
        <v/>
      </c>
      <c r="J139" t="inlineStr"/>
      <c r="K139" t="inlineStr"/>
      <c r="L139" t="inlineStr"/>
      <c r="M139" t="inlineStr"/>
      <c r="N139" t="inlineStr"/>
      <c r="O139" t="n">
        <v>0</v>
      </c>
      <c r="P139">
        <f>IF(B155=0,0,O139/B155)</f>
        <v/>
      </c>
      <c r="Q139">
        <f>IFERROR(1/IF(Inputs!$B$38="pvp",15,MAX(0.1,Skills!E23-IF(Skills!F23=TRUE,Inputs!$B$32,0))),0)</f>
        <v/>
      </c>
      <c r="R139" t="n">
        <v>0</v>
      </c>
    </row>
    <row r="140">
      <c r="A140">
        <f>Skills!A24</f>
        <v/>
      </c>
      <c r="B140">
        <f>Skills!B24</f>
        <v/>
      </c>
      <c r="C140">
        <f>Inputs!$B$3&gt;=115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Calc!G24</f>
        <v/>
      </c>
      <c r="H140">
        <f>Calc!H24</f>
        <v/>
      </c>
      <c r="I140">
        <f>IF(Skills!X24&lt;&gt;"",1+(Skills!X24/10)*(Z119/1000)/100,1)</f>
        <v/>
      </c>
      <c r="J140">
        <f>((Inputs!$B$6*(1+Inputs!$B$7/100))+(((Inputs!$B$12*(1+Inputs!$B$13/100))-(Inputs!$B$12*(1+Inputs!$B$13/100)))+0.25*(Inputs!$B$14-Inputs!$B$14))*(1+Inputs!$B$7/100))*(F140/100)</f>
        <v/>
      </c>
      <c r="K140">
        <f>J140*(1+((Inputs!$B$12*(1+Inputs!$B$13/100))*0.01+Inputs!$B$14*0.0025)/100)*(1+(Inputs!$B$15+1)/100)*(1+IF(Inputs!$B$38="pvp",0,(1-Summary!$B$56)*(Inputs!$B$20+Skills!P24)+Summary!$B$56*(Inputs!$B$21+Skills!Q24))/100)*(1+Inputs!$B$16/100)*(5000/(6000+Inputs!$B$42*(1-Inputs!$B$19/100)))*(1+Inputs!$B$24/100)*(1+F139/100)*(1+IF(Inputs!$B$3&gt;=120,F142,0)/100)^5*(1+(IF(Skills!A24="BASIC_ATTACK",Inputs!$B$17,Inputs!$B$18+IF(Inputs!$B$3&gt;=125,F143*5,0)))/100)*(B146*B147*B148*I140)</f>
        <v/>
      </c>
      <c r="L140">
        <f>K140*(MIN(Inputs!$B$22+(F138-Calc!F22),Inputs!$B$23)/100+Inputs!$B$23/100)/2</f>
        <v/>
      </c>
      <c r="M140">
        <f>L140*(1+(Inputs!$B$10+(F137-Calc!F21))/100)</f>
        <v/>
      </c>
      <c r="N140">
        <f>L140*(1-MIN(Inputs!$B$9+(F136-Calc!F20),100)/100)+M140*(MIN(Inputs!$B$9+(F136-Calc!F20),100)/100)</f>
        <v/>
      </c>
      <c r="O140">
        <f>IF(C140,H140*N140*IF(AND(Inputs!$B$38&lt;&gt;"pvp",Inputs!$B$43&gt;0),((Skills!G24*((R140-1)*IF(Skills!H24&gt;0,Skills!I24/Skills!H24,1)+IF(Skills!H24&gt;0,MIN(Skills!I24,MAX(0,Inputs!$B$43-((R140-1)*IF(Inputs!$B$38="pvp",15,MAX(0.1,Skills!E24-IF(Skills!F24=TRUE,Inputs!$B$32,0))))))/Skills!H24,1)))/Inputs!$B$43),G140*Q140)*(1+IF(Inputs!$B$3&gt;=130,0.2*(Skills!I16/Skills!E15+IF(Inputs!$B$3&gt;=126,0.05*(B152+Q129+(H130*B153)/(1+Skills!H14*H130*B153)+Q140),0)*Skills!I16),0))*IF(Inputs!$B$38="pvp",1,(1-Summary!$B$56)*(1)+Summary!$B$56*(MIN(Skills!R24,Inputs!$B$37))),0)</f>
        <v/>
      </c>
      <c r="P140">
        <f>IF(B155=0,0,O140/B155)</f>
        <v/>
      </c>
      <c r="Q140">
        <f>IFERROR(1/IF(Inputs!$B$38="pvp",15,MAX(0.1,Skills!E24-IF(Skills!F24=TRUE,Inputs!$B$32,0))),0)</f>
        <v/>
      </c>
      <c r="R140">
        <f>IF(AND(Inputs!$B$38&lt;&gt;"pvp",Inputs!$B$43&gt;0),(INT(Inputs!$B$43/IF(Inputs!$B$38="pvp",15,MAX(0.1,Skills!E24-IF(Skills!F24=TRUE,Inputs!$B$32,0))))+1),0)</f>
        <v/>
      </c>
    </row>
    <row r="141">
      <c r="A141">
        <f>Skills!A25</f>
        <v/>
      </c>
      <c r="B141">
        <f>Skills!B25</f>
        <v/>
      </c>
      <c r="C141">
        <f>Inputs!$B$3&gt;=117</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Calc!G25</f>
        <v/>
      </c>
      <c r="H141">
        <f>Calc!H25</f>
        <v/>
      </c>
      <c r="I141">
        <f>IF(Skills!X25&lt;&gt;"",1+(Skills!X25/10)*(Z119/1000)/100,1)</f>
        <v/>
      </c>
      <c r="J141" t="inlineStr"/>
      <c r="K141" t="inlineStr"/>
      <c r="L141" t="inlineStr"/>
      <c r="M141" t="inlineStr"/>
      <c r="N141" t="inlineStr"/>
      <c r="O141" t="n">
        <v>0</v>
      </c>
      <c r="P141">
        <f>IF(B155=0,0,O141/B155)</f>
        <v/>
      </c>
      <c r="Q141">
        <f>IFERROR(1/IF(Inputs!$B$38="pvp",15,MAX(0.1,Skills!E25-IF(Skills!F25=TRUE,Inputs!$B$32,0))),0)</f>
        <v/>
      </c>
      <c r="R141" t="n">
        <v>0</v>
      </c>
    </row>
    <row r="142">
      <c r="A142">
        <f>Skills!A26</f>
        <v/>
      </c>
      <c r="B142">
        <f>Skills!B26</f>
        <v/>
      </c>
      <c r="C142">
        <f>Inputs!$B$3&gt;=120</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Calc!G26</f>
        <v/>
      </c>
      <c r="H142">
        <f>Calc!H26</f>
        <v/>
      </c>
      <c r="I142">
        <f>IF(Skills!X26&lt;&gt;"",1+(Skills!X26/10)*(Z119/1000)/100,1)</f>
        <v/>
      </c>
      <c r="J142" t="inlineStr"/>
      <c r="K142" t="inlineStr"/>
      <c r="L142" t="inlineStr"/>
      <c r="M142" t="inlineStr"/>
      <c r="N142" t="inlineStr"/>
      <c r="O142" t="n">
        <v>0</v>
      </c>
      <c r="P142">
        <f>IF(B155=0,0,O142/B155)</f>
        <v/>
      </c>
      <c r="Q142">
        <f>IFERROR(1/IF(Inputs!$B$38="pvp",15,MAX(0.1,Skills!E26-IF(Skills!F26=TRUE,Inputs!$B$32,0))),0)</f>
        <v/>
      </c>
      <c r="R142" t="n">
        <v>0</v>
      </c>
    </row>
    <row r="143">
      <c r="A143">
        <f>Skills!A27</f>
        <v/>
      </c>
      <c r="B143">
        <f>Skills!B27</f>
        <v/>
      </c>
      <c r="C143">
        <f>Inputs!$B$3&gt;=125</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Calc!G27</f>
        <v/>
      </c>
      <c r="H143">
        <f>Calc!H27</f>
        <v/>
      </c>
      <c r="I143">
        <f>IF(Skills!X27&lt;&gt;"",1+(Skills!X27/10)*(Z119/1000)/100,1)</f>
        <v/>
      </c>
      <c r="J143" t="inlineStr"/>
      <c r="K143" t="inlineStr"/>
      <c r="L143" t="inlineStr"/>
      <c r="M143" t="inlineStr"/>
      <c r="N143" t="inlineStr"/>
      <c r="O143" t="n">
        <v>0</v>
      </c>
      <c r="P143">
        <f>IF(B155=0,0,O143/B155)</f>
        <v/>
      </c>
      <c r="Q143">
        <f>IFERROR(1/IF(Inputs!$B$38="pvp",15,MAX(0.1,Skills!E27-IF(Skills!F27=TRUE,Inputs!$B$32,0))),0)</f>
        <v/>
      </c>
      <c r="R143" t="n">
        <v>0</v>
      </c>
    </row>
    <row r="144">
      <c r="A144">
        <f>Skills!A28</f>
        <v/>
      </c>
      <c r="B144">
        <f>Skills!B28</f>
        <v/>
      </c>
      <c r="C144">
        <f>Inputs!$B$3&gt;=118</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Calc!G28</f>
        <v/>
      </c>
      <c r="H144">
        <f>Calc!H28</f>
        <v/>
      </c>
      <c r="I144">
        <f>IF(Skills!X28&lt;&gt;"",1+(Skills!X28/10)*(Z119/1000)/100,1)</f>
        <v/>
      </c>
      <c r="J144">
        <f>((Inputs!$B$6*(1+Inputs!$B$7/100))+(((Inputs!$B$12*(1+Inputs!$B$13/100))-(Inputs!$B$12*(1+Inputs!$B$13/100)))+0.25*(Inputs!$B$14-Inputs!$B$14))*(1+Inputs!$B$7/100))*(F144/100)</f>
        <v/>
      </c>
      <c r="K144">
        <f>J144*(1+((Inputs!$B$12*(1+Inputs!$B$13/100))*0.01+Inputs!$B$14*0.0025)/100)*(1+(Inputs!$B$15+1)/100)*(1+IF(Inputs!$B$38="pvp",0,(1-Summary!$B$56)*(Inputs!$B$20+Skills!P28)+Summary!$B$56*(Inputs!$B$21+Skills!Q28))/100)*(1+Inputs!$B$16/100)*(5000/(6000+Inputs!$B$42*(1-Inputs!$B$19/100)))*(1+Inputs!$B$24/100)*(1+F139/100)*(1+IF(Inputs!$B$3&gt;=120,F142,0)/100)^5*(1+(IF(Skills!A28="BASIC_ATTACK",Inputs!$B$17,Inputs!$B$18+IF(Inputs!$B$3&gt;=125,F143*5,0)))/100)*(B146*B147*B148*I144)</f>
        <v/>
      </c>
      <c r="L144">
        <f>K144*(MIN(Inputs!$B$22+(F138-Calc!F22),Inputs!$B$23)/100+Inputs!$B$23/100)/2</f>
        <v/>
      </c>
      <c r="M144">
        <f>L144*(1+(Inputs!$B$10+(F137-Calc!F21))/100)</f>
        <v/>
      </c>
      <c r="N144">
        <f>L144*(1-MIN(Inputs!$B$9+(F136-Calc!F20),100)/100)+M144*(MIN(Inputs!$B$9+(F136-Calc!F20),100)/100)</f>
        <v/>
      </c>
      <c r="O144">
        <f>IF(C144,H144*N144*IF(AND(Inputs!$B$38&lt;&gt;"pvp",Inputs!$B$43&gt;0),((Skills!G28*((R144-1)*IF(Skills!H28&gt;0,Skills!I28/Skills!H28,1)+IF(Skills!H28&gt;0,MIN(Skills!I28,MAX(0,Inputs!$B$43-((R144-1)*IF(Inputs!$B$38="pvp",15,MAX(0.1,Skills!E28-IF(Skills!F28=TRUE,Inputs!$B$32,0))))))/Skills!H28,1)))/Inputs!$B$43),G144*Q144)*IF(Inputs!$B$38="pvp",1,(1-Summary!$B$56)*(1)+Summary!$B$56*(MIN(Skills!R28,Inputs!$B$37))),0)</f>
        <v/>
      </c>
      <c r="P144">
        <f>IF(B155=0,0,O144/B155)</f>
        <v/>
      </c>
      <c r="Q144">
        <f>IFERROR(1/IF(Inputs!$B$38="pvp",15,MAX(0.1,Skills!E28-IF(Skills!F28=TRUE,Inputs!$B$32,0))),0)</f>
        <v/>
      </c>
      <c r="R144">
        <f>IF(AND(Inputs!$B$38&lt;&gt;"pvp",Inputs!$B$43&gt;0),(INT(Inputs!$B$43/IF(Inputs!$B$38="pvp",15,MAX(0.1,Skills!E28-IF(Skills!F28=TRUE,Inputs!$B$32,0))))+1),0)</f>
        <v/>
      </c>
    </row>
    <row r="146">
      <c r="A146" t="inlineStr">
        <is>
          <t>Burning Magic Multiplier</t>
        </is>
      </c>
      <c r="B146">
        <f>1+(F127*Skills!Z11)/100</f>
        <v/>
      </c>
    </row>
    <row r="147">
      <c r="A147" t="inlineStr">
        <is>
          <t>Elemental Decrease Multiplier (always-on)</t>
        </is>
      </c>
      <c r="B147">
        <f>1+F128/100</f>
        <v/>
      </c>
    </row>
    <row r="148">
      <c r="A148" t="inlineStr">
        <is>
          <t>Average Buff Multiplier (Magic Guard + Meditation, summed; then Infinity)</t>
        </is>
      </c>
      <c r="B148">
        <f>(1+(F122*IF(AND(Inputs!$B$38&lt;&gt;"pvp",Inputs!$B$43&gt;0),(((R122-1)*(Skills!T6*(1+(Inputs!$B$34+IF(Inputs!$B$3&gt;=117,F141,0))/100))+MIN((Skills!T6*(1+(Inputs!$B$34+IF(Inputs!$B$3&gt;=117,F141,0))/100)),MAX(0,Inputs!$B$43-((R122-1)*Skills!E6))))/Inputs!$B$43),IF(Inputs!$B$38="pvp",MIN((Skills!T6*(1+(Inputs!$B$34+IF(Inputs!$B$3&gt;=117,F141,0))/100)),15)/15,(Skills!T6*(1+(Inputs!$B$34+IF(Inputs!$B$3&gt;=117,F141,0))/100))/Skills!E6))+F133*IF(AND(Inputs!$B$38&lt;&gt;"pvp",Inputs!$B$43&gt;0),(((R133-1)*(Skills!T17*(1+(Inputs!$B$34+IF(Inputs!$B$3&gt;=117,F141,0))/100))+MIN((Skills!T17*(1+(Inputs!$B$34+IF(Inputs!$B$3&gt;=117,F141,0))/100)),MAX(0,Inputs!$B$43-((R133-1)*Skills!E17))))/Inputs!$B$43),IF(Inputs!$B$38="pvp",MIN((Skills!T17*(1+(Inputs!$B$34+IF(Inputs!$B$3&gt;=117,F141,0))/100)),15)/15,(Skills!T17*(1+(Inputs!$B$34+IF(Inputs!$B$3&gt;=117,F141,0))/100))/Skills!E17)))/100)*IF(C135=TRUE,(1+F135*IF(AND(Inputs!$B$38&lt;&gt;"pvp",Inputs!$B$43&gt;0),(((R135-1)*(Skills!T19*(1+(Inputs!$B$34+IF(Inputs!$B$3&gt;=117,F141,0))/100))+MIN((Skills!T19*(1+(Inputs!$B$34+IF(Inputs!$B$3&gt;=117,F141,0))/100)),MAX(0,Inputs!$B$43-((R135-1)*Skills!E19))))/Inputs!$B$43),IF(Inputs!$B$38="pvp",MIN((Skills!T19*(1+(Inputs!$B$34+IF(Inputs!$B$3&gt;=117,F141,0))/100)),15)/15,(Skills!T19*(1+(Inputs!$B$34+IF(Inputs!$B$3&gt;=117,F141,0))/100))/Skills!E19))/100),1)</f>
        <v/>
      </c>
    </row>
    <row r="149">
      <c r="A149" t="inlineStr">
        <is>
          <t>Attack Speed Buff Bonus % (Nimble Feet, averaged)</t>
        </is>
      </c>
      <c r="B149">
        <f>F134*IF(AND(Inputs!$B$38&lt;&gt;"pvp",Inputs!$B$43&gt;0),(((R134-1)*(Skills!T18*(1+(Inputs!$B$34+IF(Inputs!$B$3&gt;=117,F141,0))/100))+MIN((Skills!T18*(1+(Inputs!$B$34+IF(Inputs!$B$3&gt;=117,F141,0))/100)),MAX(0,Inputs!$B$43-((R134-1)*Skills!E18))))/Inputs!$B$43),IF(Inputs!$B$38="pvp",MIN((Skills!T18*(1+(Inputs!$B$34+IF(Inputs!$B$3&gt;=117,F141,0))/100)),15)/15,(Skills!T18*(1+(Inputs!$B$34+IF(Inputs!$B$3&gt;=117,F141,0))/100))/Skills!E18))</f>
        <v/>
      </c>
    </row>
    <row r="150">
      <c r="A150" t="inlineStr">
        <is>
          <t>Actions Per Second</t>
        </is>
      </c>
      <c r="B150">
        <f>1+MIN(150,150*(1-(1-Inputs!$B$11/150)*(1-B149/150)))/100</f>
        <v/>
      </c>
    </row>
    <row r="151">
      <c r="A151" t="inlineStr">
        <is>
          <t>Skill + Buff Cast Rate</t>
        </is>
      </c>
      <c r="B151">
        <f>IF(AND(Inputs!$B$38&lt;&gt;"pvp",Inputs!$B$43&gt;0),SUMPRODUCT((Skills!F2:F28=TRUE)*(C118:C144=TRUE)*R118:R144)/Inputs!$B$43,SUMPRODUCT((Skills!F2:F28=TRUE)*(C118:C144=TRUE)*Q118:Q144))</f>
        <v/>
      </c>
    </row>
    <row r="152">
      <c r="A152" t="inlineStr">
        <is>
          <t>Basic Attacks Per Second</t>
        </is>
      </c>
      <c r="B152">
        <f>MAX(0,B150-B151)</f>
        <v/>
      </c>
    </row>
    <row r="153">
      <c r="A153" t="inlineStr">
        <is>
          <t>Meteor Proc — combined trigger cast rate</t>
        </is>
      </c>
      <c r="B153">
        <f>IF(AND(Inputs!$B$38&lt;&gt;"pvp",Inputs!$B$43&gt;0),SUMPRODUCT((Skills!V2:V28=TRUE)*(C118:C144=TRUE)*R118:R144*Skills!W2:W28)/Inputs!$B$43,SUMPRODUCT((Skills!V2:V28=TRUE)*(C118:C144=TRUE)*Q118:Q144*Skills!W2:W28))+B152</f>
        <v/>
      </c>
    </row>
    <row r="155">
      <c r="A155" s="5" t="inlineStr">
        <is>
          <t>TOTAL DPS</t>
        </is>
      </c>
      <c r="B155" s="5">
        <f>SUM(O118:O144)</f>
        <v/>
      </c>
    </row>
    <row r="158">
      <c r="A158" s="5" t="inlineStr">
        <is>
          <t>Stat: DAMAGE_AMP %</t>
        </is>
      </c>
    </row>
    <row r="159">
      <c r="A159" s="9" t="inlineStr">
        <is>
          <t>Key</t>
        </is>
      </c>
      <c r="B159" s="9" t="inlineStr">
        <is>
          <t>Name</t>
        </is>
      </c>
      <c r="C159" s="9" t="inlineStr">
        <is>
          <t>Unlocked</t>
        </is>
      </c>
      <c r="D159" s="9" t="inlineStr">
        <is>
          <t>InputLevel</t>
        </is>
      </c>
      <c r="E159" s="9" t="inlineStr">
        <is>
          <t>Factor</t>
        </is>
      </c>
      <c r="F159" s="9" t="inlineStr">
        <is>
          <t>CoefficientPercent</t>
        </is>
      </c>
      <c r="G159" s="9" t="inlineStr">
        <is>
          <t>EffectiveHits</t>
        </is>
      </c>
      <c r="H159" s="9" t="inlineStr">
        <is>
          <t>ProcProbability</t>
        </is>
      </c>
      <c r="I159" s="9" t="inlineStr">
        <is>
          <t>MapleHeroMultiplier</t>
        </is>
      </c>
      <c r="J159" s="9" t="inlineStr">
        <is>
          <t>BaseDamage</t>
        </is>
      </c>
      <c r="K159" s="9" t="inlineStr">
        <is>
          <t>BaseHitDamage</t>
        </is>
      </c>
      <c r="L159" s="9" t="inlineStr">
        <is>
          <t>NonCritAvg</t>
        </is>
      </c>
      <c r="M159" s="9" t="inlineStr">
        <is>
          <t>CritAvg</t>
        </is>
      </c>
      <c r="N159" s="9" t="inlineStr">
        <is>
          <t>ExpectedDamage(perHit)</t>
        </is>
      </c>
      <c r="O159" s="9" t="inlineStr">
        <is>
          <t>DPS</t>
        </is>
      </c>
      <c r="P159" s="9" t="inlineStr">
        <is>
          <t>% of Total</t>
        </is>
      </c>
      <c r="R159" t="inlineStr">
        <is>
          <t>helpers</t>
        </is>
      </c>
    </row>
    <row r="160">
      <c r="A160">
        <f>Skills!A2</f>
        <v/>
      </c>
      <c r="B160">
        <f>Skills!B2</f>
        <v/>
      </c>
      <c r="C160">
        <f>TRUE</f>
        <v/>
      </c>
      <c r="D160" t="inlineStr"/>
      <c r="E160" t="inlineStr"/>
      <c r="F160">
        <f>T162+Skills!O2</f>
        <v/>
      </c>
      <c r="G160">
        <f>Calc!G2</f>
        <v/>
      </c>
      <c r="H160">
        <f>Calc!H2</f>
        <v/>
      </c>
      <c r="I160">
        <f>IF(Skills!X2&lt;&gt;"",1+(Skills!X2/10)*(Z161/1000)/100,1)</f>
        <v/>
      </c>
      <c r="J160">
        <f>((Inputs!$B$6*(1+Inputs!$B$7/100))+(((Inputs!$B$12*(1+Inputs!$B$13/100))-(Inputs!$B$12*(1+Inputs!$B$13/100)))+0.25*(Inputs!$B$14-Inputs!$B$14))*(1+Inputs!$B$7/100))*(F160/100)</f>
        <v/>
      </c>
      <c r="K160">
        <f>J160*(1+((Inputs!$B$12*(1+Inputs!$B$13/100))*0.01+Inputs!$B$14*0.0025)/100)*(1+Inputs!$B$15/100)*(1+IF(Inputs!$B$38="pvp",0,(1-Summary!$B$56)*(Inputs!$B$20+Skills!P2)+Summary!$B$56*(Inputs!$B$21+Skills!Q2))/100)*(1+(Inputs!$B$16+1)/100)*(5000/(6000+Inputs!$B$42*(1-Inputs!$B$19/100)))*(1+Inputs!$B$24/100)*(1+F181/100)*(1+IF(Inputs!$B$3&gt;=120,F184,0)/100)^5*(1+(IF(Skills!A2="BASIC_ATTACK",Inputs!$B$17,Inputs!$B$18+IF(Inputs!$B$3&gt;=125,F185*5,0)))/100)*(B188*B189*B190*I160)</f>
        <v/>
      </c>
      <c r="L160">
        <f>K160*(MIN(Inputs!$B$22+(F180-Calc!F22),Inputs!$B$23)/100+Inputs!$B$23/100)/2</f>
        <v/>
      </c>
      <c r="M160">
        <f>L160*(1+(Inputs!$B$10+(F179-Calc!F21))/100)</f>
        <v/>
      </c>
      <c r="N160">
        <f>L160*(1-MIN(Inputs!$B$9+(F178-Calc!F20),100)/100)+M160*(MIN(Inputs!$B$9+(F178-Calc!F20),100)/100)</f>
        <v/>
      </c>
      <c r="O160">
        <f>Skills!G2*N160*B194*IF(Inputs!$B$38="pvp",1,(1-Summary!$B$56)*(1)+Summary!$B$56*(MIN((6+Inputs!$B$33+IF(Inputs!$B$3&gt;=136,1,0)),Inputs!$B$37)))</f>
        <v/>
      </c>
      <c r="P160">
        <f>IF(B197=0,0,O160/B197)</f>
        <v/>
      </c>
      <c r="Q160">
        <f>IFERROR(1/IF(Inputs!$B$38="pvp",15,MAX(0.1,Skills!E2-IF(Skills!F2=TRUE,Inputs!$B$32,0))),0)</f>
        <v/>
      </c>
      <c r="R160" t="n">
        <v>0</v>
      </c>
      <c r="T160">
        <f>MAX(0,(Inputs!$B$3-100)*3)+Inputs!$B$28+Inputs!$B$29</f>
        <v/>
      </c>
      <c r="Z160">
        <f>MAX(0,(Inputs!$B$3-100)*3)+Inputs!$B$28+Inputs!$B$29</f>
        <v/>
      </c>
    </row>
    <row r="161">
      <c r="A161">
        <f>Skills!A3</f>
        <v/>
      </c>
      <c r="B161">
        <f>Skills!B3</f>
        <v/>
      </c>
      <c r="C161">
        <f>TRUE</f>
        <v/>
      </c>
      <c r="D161">
        <f>IF(Skills!C3=1,60+Inputs!$B$25+Inputs!$B$29,IF(Skills!C3=2,90+Inputs!$B$26+Inputs!$B$29,IF(Skills!C3=3,120+Inputs!$B$27+Inputs!$B$29,MAX(0,(Inputs!$B$3-100)*3)+Inputs!$B$28+Inputs!$B$29)))</f>
        <v/>
      </c>
      <c r="E161">
        <f>INDEX(FactorTable!$B$2:$Y$301, MATCH(ROUND(MIN(300,MAX(1,D161)),0), FactorTable!$A$2:$A$301,0), Skills!M3+1)</f>
        <v/>
      </c>
      <c r="F161">
        <f>IF(Skills!N3=TRUE,(Skills!L3/10)*(E161/1000),Skills!L3/10)+Skills!O3</f>
        <v/>
      </c>
      <c r="G161">
        <f>Calc!G3</f>
        <v/>
      </c>
      <c r="H161">
        <f>Calc!H3</f>
        <v/>
      </c>
      <c r="I161">
        <f>IF(Skills!X3&lt;&gt;"",1+(Skills!X3/10)*(Z161/1000)/100,1)</f>
        <v/>
      </c>
      <c r="J161">
        <f>((Inputs!$B$6*(1+Inputs!$B$7/100))+(((Inputs!$B$12*(1+Inputs!$B$13/100))-(Inputs!$B$12*(1+Inputs!$B$13/100)))+0.25*(Inputs!$B$14-Inputs!$B$14))*(1+Inputs!$B$7/100))*(F161/100)</f>
        <v/>
      </c>
      <c r="K161">
        <f>J161*(1+((Inputs!$B$12*(1+Inputs!$B$13/100))*0.01+Inputs!$B$14*0.0025)/100)*(1+Inputs!$B$15/100)*(1+IF(Inputs!$B$38="pvp",0,(1-Summary!$B$56)*(Inputs!$B$20+Skills!P3)+Summary!$B$56*(Inputs!$B$21+Skills!Q3))/100)*(1+(Inputs!$B$16+1)/100)*(5000/(6000+Inputs!$B$42*(1-Inputs!$B$19/100)))*(1+Inputs!$B$24/100)*(1+F181/100)*(1+IF(Inputs!$B$3&gt;=120,F184,0)/100)^5*(1+(IF(Skills!A3="BASIC_ATTACK",Inputs!$B$17,Inputs!$B$18+IF(Inputs!$B$3&gt;=125,F185*5,0)))/100)*(B188*B189*B190*I161)</f>
        <v/>
      </c>
      <c r="L161">
        <f>K161*(MIN(Inputs!$B$22+(F180-Calc!F22),Inputs!$B$23)/100+Inputs!$B$23/100)/2</f>
        <v/>
      </c>
      <c r="M161">
        <f>L161*(1+(Inputs!$B$10+(F179-Calc!F21))/100)</f>
        <v/>
      </c>
      <c r="N161">
        <f>L161*(1-MIN(Inputs!$B$9+(F178-Calc!F20),100)/100)+M161*(MIN(Inputs!$B$9+(F178-Calc!F20),100)/100)</f>
        <v/>
      </c>
      <c r="O161">
        <f>IF(C161,H161*N161*IF(AND(Inputs!$B$38&lt;&gt;"pvp",Inputs!$B$43&gt;0),((Skills!G3*((R161-1)*IF(Skills!H3&gt;0,Skills!I3/Skills!H3,1)+IF(Skills!H3&gt;0,MIN(Skills!I3,MAX(0,Inputs!$B$43-((R161-1)*IF(Inputs!$B$38="pvp",15,MAX(0.1,Skills!E3-IF(Skills!F3=TRUE,Inputs!$B$32,0))))))/Skills!H3,1)))/Inputs!$B$43),G161*Q161)*IF(Inputs!$B$38="pvp",1,(1-Summary!$B$56)*(1)+Summary!$B$56*(MIN(Skills!R3,Inputs!$B$37))),0)</f>
        <v/>
      </c>
      <c r="P161">
        <f>IF(B197=0,0,O161/B197)</f>
        <v/>
      </c>
      <c r="Q161">
        <f>IFERROR(1/IF(Inputs!$B$38="pvp",15,MAX(0.1,Skills!E3-IF(Skills!F3=TRUE,Inputs!$B$32,0))),0)</f>
        <v/>
      </c>
      <c r="R161">
        <f>IF(AND(Inputs!$B$38&lt;&gt;"pvp",Inputs!$B$43&gt;0),(INT(Inputs!$B$43/IF(Inputs!$B$38="pvp",15,MAX(0.1,Skills!E3-IF(Skills!F3=TRUE,Inputs!$B$32,0))))+1),0)</f>
        <v/>
      </c>
      <c r="T161">
        <f>INDEX(FactorTable!$B$2:$Y$301, MATCH(ROUND(MIN(300,MAX(1,T160)),0), FactorTable!$A$2:$A$301,0), 22)</f>
        <v/>
      </c>
      <c r="Z161">
        <f>INDEX(FactorTable!$B$2:$Y$301, MATCH(ROUND(MIN(300,MAX(1,Z160)),0), FactorTable!$A$2:$A$301,0), 24)</f>
        <v/>
      </c>
    </row>
    <row r="162">
      <c r="A162">
        <f>Skills!A4</f>
        <v/>
      </c>
      <c r="B162">
        <f>Skills!B4</f>
        <v/>
      </c>
      <c r="C162">
        <f>TRUE</f>
        <v/>
      </c>
      <c r="D162">
        <f>IF(Skills!C4=1,60+Inputs!$B$25+Inputs!$B$29,IF(Skills!C4=2,90+Inputs!$B$26+Inputs!$B$29,IF(Skills!C4=3,120+Inputs!$B$27+Inputs!$B$29,MAX(0,(Inputs!$B$3-100)*3)+Inputs!$B$28+Inputs!$B$29)))</f>
        <v/>
      </c>
      <c r="E162">
        <f>INDEX(FactorTable!$B$2:$Y$301, MATCH(ROUND(MIN(300,MAX(1,D162)),0), FactorTable!$A$2:$A$301,0), Skills!M4+1)</f>
        <v/>
      </c>
      <c r="F162">
        <f>IF(Skills!N4=TRUE,(Skills!L4/10)*(E162/1000),Skills!L4/10)+Skills!O4</f>
        <v/>
      </c>
      <c r="G162">
        <f>Calc!G4</f>
        <v/>
      </c>
      <c r="H162">
        <f>Calc!H4</f>
        <v/>
      </c>
      <c r="I162">
        <f>IF(Skills!X4&lt;&gt;"",1+(Skills!X4/10)*(Z161/1000)/100,1)</f>
        <v/>
      </c>
      <c r="J162">
        <f>((Inputs!$B$6*(1+Inputs!$B$7/100))+(((Inputs!$B$12*(1+Inputs!$B$13/100))-(Inputs!$B$12*(1+Inputs!$B$13/100)))+0.25*(Inputs!$B$14-Inputs!$B$14))*(1+Inputs!$B$7/100))*(F162/100)</f>
        <v/>
      </c>
      <c r="K162">
        <f>J162*(1+((Inputs!$B$12*(1+Inputs!$B$13/100))*0.01+Inputs!$B$14*0.0025)/100)*(1+Inputs!$B$15/100)*(1+IF(Inputs!$B$38="pvp",0,(1-Summary!$B$56)*(Inputs!$B$20+Skills!P4)+Summary!$B$56*(Inputs!$B$21+Skills!Q4))/100)*(1+(Inputs!$B$16+1)/100)*(5000/(6000+Inputs!$B$42*(1-Inputs!$B$19/100)))*(1+Inputs!$B$24/100)*(1+F181/100)*(1+IF(Inputs!$B$3&gt;=120,F184,0)/100)^5*(1+(IF(Skills!A4="BASIC_ATTACK",Inputs!$B$17,Inputs!$B$18+IF(Inputs!$B$3&gt;=125,F185*5,0)))/100)*(B188*B189*B190*I162)</f>
        <v/>
      </c>
      <c r="L162">
        <f>K162*(MIN(Inputs!$B$22+(F180-Calc!F22),Inputs!$B$23)/100+Inputs!$B$23/100)/2</f>
        <v/>
      </c>
      <c r="M162">
        <f>L162*(1+(Inputs!$B$10+(F179-Calc!F21))/100)</f>
        <v/>
      </c>
      <c r="N162">
        <f>L162*(1-MIN(Inputs!$B$9+(F178-Calc!F20),100)/100)+M162*(MIN(Inputs!$B$9+(F178-Calc!F20),100)/100)</f>
        <v/>
      </c>
      <c r="O162">
        <f>IF(C162,H162*N162*IF(AND(Inputs!$B$38&lt;&gt;"pvp",Inputs!$B$43&gt;0),((Skills!G4*((R162-1)*IF(Skills!H4&gt;0,Skills!I4/Skills!H4,1)+IF(Skills!H4&gt;0,MIN(Skills!I4,MAX(0,Inputs!$B$43-((R162-1)*IF(Inputs!$B$38="pvp",15,MAX(0.1,Skills!E4-IF(Skills!F4=TRUE,Inputs!$B$32,0))))))/Skills!H4,1)))/Inputs!$B$43),G162*Q162)*IF(Inputs!$B$38="pvp",1,(1-Summary!$B$56)*(1)+Summary!$B$56*(MIN(Skills!R4,Inputs!$B$37))),0)</f>
        <v/>
      </c>
      <c r="P162">
        <f>IF(B197=0,0,O162/B197)</f>
        <v/>
      </c>
      <c r="Q162">
        <f>IFERROR(1/IF(Inputs!$B$38="pvp",15,MAX(0.1,Skills!E4-IF(Skills!F4=TRUE,Inputs!$B$32,0))),0)</f>
        <v/>
      </c>
      <c r="R162">
        <f>IF(AND(Inputs!$B$38&lt;&gt;"pvp",Inputs!$B$43&gt;0),(INT(Inputs!$B$43/IF(Inputs!$B$38="pvp",15,MAX(0.1,Skills!E4-IF(Skills!F4=TRUE,Inputs!$B$32,0))))+1),0)</f>
        <v/>
      </c>
      <c r="T162">
        <f>290*T161/1000</f>
        <v/>
      </c>
    </row>
    <row r="163">
      <c r="A163">
        <f>Skills!A5</f>
        <v/>
      </c>
      <c r="B163">
        <f>Skills!B5</f>
        <v/>
      </c>
      <c r="C163">
        <f>TRUE</f>
        <v/>
      </c>
      <c r="D163">
        <f>IF(Skills!C5=1,60+Inputs!$B$25+Inputs!$B$29,IF(Skills!C5=2,90+Inputs!$B$26+Inputs!$B$29,IF(Skills!C5=3,120+Inputs!$B$27+Inputs!$B$29,MAX(0,(Inputs!$B$3-100)*3)+Inputs!$B$28+Inputs!$B$29)))</f>
        <v/>
      </c>
      <c r="E163">
        <f>INDEX(FactorTable!$B$2:$Y$301, MATCH(ROUND(MIN(300,MAX(1,D163)),0), FactorTable!$A$2:$A$301,0), Skills!M5+1)</f>
        <v/>
      </c>
      <c r="F163">
        <f>IF(Skills!N5=TRUE,(Skills!L5/10)*(E163/1000),Skills!L5/10)+Skills!O5</f>
        <v/>
      </c>
      <c r="G163">
        <f>Calc!G5</f>
        <v/>
      </c>
      <c r="H163">
        <f>Calc!H5</f>
        <v/>
      </c>
      <c r="I163">
        <f>IF(Skills!X5&lt;&gt;"",1+(Skills!X5/10)*(Z161/1000)/100,1)</f>
        <v/>
      </c>
      <c r="J163">
        <f>((Inputs!$B$6*(1+Inputs!$B$7/100))+(((Inputs!$B$12*(1+Inputs!$B$13/100))-(Inputs!$B$12*(1+Inputs!$B$13/100)))+0.25*(Inputs!$B$14-Inputs!$B$14))*(1+Inputs!$B$7/100))*(F163/100)</f>
        <v/>
      </c>
      <c r="K163">
        <f>J163*(1+((Inputs!$B$12*(1+Inputs!$B$13/100))*0.01+Inputs!$B$14*0.0025)/100)*(1+Inputs!$B$15/100)*(1+IF(Inputs!$B$38="pvp",0,(1-Summary!$B$56)*(Inputs!$B$20+Skills!P5)+Summary!$B$56*(Inputs!$B$21+Skills!Q5))/100)*(1+(Inputs!$B$16+1)/100)*(5000/(6000+Inputs!$B$42*(1-Inputs!$B$19/100)))*(1+Inputs!$B$24/100)*(1+F181/100)*(1+IF(Inputs!$B$3&gt;=120,F184,0)/100)^5*(1+(IF(Skills!A5="BASIC_ATTACK",Inputs!$B$17,Inputs!$B$18+IF(Inputs!$B$3&gt;=125,F185*5,0)))/100)*(B188*B189*B190*I163)</f>
        <v/>
      </c>
      <c r="L163">
        <f>K163*(MIN(Inputs!$B$22+(F180-Calc!F22),Inputs!$B$23)/100+Inputs!$B$23/100)/2</f>
        <v/>
      </c>
      <c r="M163">
        <f>L163*(1+(Inputs!$B$10+(F179-Calc!F21))/100)</f>
        <v/>
      </c>
      <c r="N163">
        <f>L163*(1-MIN(Inputs!$B$9+(F178-Calc!F20),100)/100)+M163*(MIN(Inputs!$B$9+(F178-Calc!F20),100)/100)</f>
        <v/>
      </c>
      <c r="O163">
        <f>IF(C163,H163*N163*IF(AND(Inputs!$B$38&lt;&gt;"pvp",Inputs!$B$43&gt;0),((Skills!G5*((R163-1)*IF(Skills!H5&gt;0,Skills!I5/Skills!H5,1)+IF(Skills!H5&gt;0,MIN(Skills!I5,MAX(0,Inputs!$B$43-((R163-1)*IF(Inputs!$B$38="pvp",15,MAX(0.1,Skills!E5-IF(Skills!F5=TRUE,Inputs!$B$32,0))))))/Skills!H5,1)))/Inputs!$B$43),G163*Q163)*IF(Inputs!$B$38="pvp",1,(1-Summary!$B$56)*(1)+Summary!$B$56*(MIN(Skills!R5,Inputs!$B$37))),0)</f>
        <v/>
      </c>
      <c r="P163">
        <f>IF(B197=0,0,O163/B197)</f>
        <v/>
      </c>
      <c r="Q163">
        <f>IFERROR(1/IF(Inputs!$B$38="pvp",15,MAX(0.1,Skills!E5-IF(Skills!F5=TRUE,Inputs!$B$32,0))),0)</f>
        <v/>
      </c>
      <c r="R163">
        <f>IF(AND(Inputs!$B$38&lt;&gt;"pvp",Inputs!$B$43&gt;0),(INT(Inputs!$B$43/IF(Inputs!$B$38="pvp",15,MAX(0.1,Skills!E5-IF(Skills!F5=TRUE,Inputs!$B$32,0))))+1),0)</f>
        <v/>
      </c>
    </row>
    <row r="164">
      <c r="A164">
        <f>Skills!A6</f>
        <v/>
      </c>
      <c r="B164">
        <f>Skills!B6</f>
        <v/>
      </c>
      <c r="C164">
        <f>TRUE</f>
        <v/>
      </c>
      <c r="D164">
        <f>IF(Skills!C6=1,60+Inputs!$B$25+Inputs!$B$29,IF(Skills!C6=2,90+Inputs!$B$26+Inputs!$B$29,IF(Skills!C6=3,120+Inputs!$B$27+Inputs!$B$29,MAX(0,(Inputs!$B$3-100)*3)+Inputs!$B$28+Inputs!$B$29)))</f>
        <v/>
      </c>
      <c r="E164">
        <f>INDEX(FactorTable!$B$2:$Y$301, MATCH(ROUND(MIN(300,MAX(1,D164)),0), FactorTable!$A$2:$A$301,0), Skills!M6+1)</f>
        <v/>
      </c>
      <c r="F164">
        <f>IF(Skills!N6=TRUE,(Skills!L6/10)*(E164/1000),Skills!L6/10)+Skills!O6</f>
        <v/>
      </c>
      <c r="G164">
        <f>Calc!G6</f>
        <v/>
      </c>
      <c r="H164">
        <f>Calc!H6</f>
        <v/>
      </c>
      <c r="I164">
        <f>IF(Skills!X6&lt;&gt;"",1+(Skills!X6/10)*(Z161/1000)/100,1)</f>
        <v/>
      </c>
      <c r="J164" t="inlineStr"/>
      <c r="K164" t="inlineStr"/>
      <c r="L164" t="inlineStr"/>
      <c r="M164" t="inlineStr"/>
      <c r="N164" t="inlineStr"/>
      <c r="O164" t="n">
        <v>0</v>
      </c>
      <c r="P164">
        <f>IF(B197=0,0,O164/B197)</f>
        <v/>
      </c>
      <c r="Q164">
        <f>IFERROR(1/IF(Inputs!$B$38="pvp",15,MAX(0.1,Skills!E6-IF(Skills!F6=TRUE,Inputs!$B$32,0))),0)</f>
        <v/>
      </c>
      <c r="R164">
        <f>IF(AND(Inputs!$B$38&lt;&gt;"pvp",Inputs!$B$43&gt;0),(INT(Inputs!$B$43/IF(Inputs!$B$38="pvp",15,MAX(0.1,Skills!E6-IF(Skills!F6=TRUE,Inputs!$B$32,0))))+1),0)</f>
        <v/>
      </c>
    </row>
    <row r="165">
      <c r="A165">
        <f>Skills!A7</f>
        <v/>
      </c>
      <c r="B165">
        <f>Skills!B7</f>
        <v/>
      </c>
      <c r="C165">
        <f>TRUE</f>
        <v/>
      </c>
      <c r="D165">
        <f>IF(Skills!C7=1,60+Inputs!$B$25+Inputs!$B$29,IF(Skills!C7=2,90+Inputs!$B$26+Inputs!$B$29,IF(Skills!C7=3,120+Inputs!$B$27+Inputs!$B$29,MAX(0,(Inputs!$B$3-100)*3)+Inputs!$B$28+Inputs!$B$29)))</f>
        <v/>
      </c>
      <c r="E165">
        <f>INDEX(FactorTable!$B$2:$Y$301, MATCH(ROUND(MIN(300,MAX(1,D165)),0), FactorTable!$A$2:$A$301,0), Skills!M7+1)</f>
        <v/>
      </c>
      <c r="F165">
        <f>IF(Skills!N7=TRUE,(Skills!L7/10)*(E165/1000),Skills!L7/10)+Skills!O7</f>
        <v/>
      </c>
      <c r="G165">
        <f>Calc!G7</f>
        <v/>
      </c>
      <c r="H165">
        <f>Calc!H7</f>
        <v/>
      </c>
      <c r="I165">
        <f>IF(Skills!X7&lt;&gt;"",1+(Skills!X7/10)*(Z161/1000)/100,1)</f>
        <v/>
      </c>
      <c r="J165">
        <f>((Inputs!$B$6*(1+Inputs!$B$7/100))+(((Inputs!$B$12*(1+Inputs!$B$13/100))-(Inputs!$B$12*(1+Inputs!$B$13/100)))+0.25*(Inputs!$B$14-Inputs!$B$14))*(1+Inputs!$B$7/100))*(F165/100)</f>
        <v/>
      </c>
      <c r="K165">
        <f>J165*(1+((Inputs!$B$12*(1+Inputs!$B$13/100))*0.01+Inputs!$B$14*0.0025)/100)*(1+Inputs!$B$15/100)*(1+IF(Inputs!$B$38="pvp",0,(1-Summary!$B$56)*(Inputs!$B$20+Skills!P7)+Summary!$B$56*(Inputs!$B$21+Skills!Q7))/100)*(1+(Inputs!$B$16+1)/100)*(5000/(6000+Inputs!$B$42*(1-Inputs!$B$19/100)))*(1+Inputs!$B$24/100)*(1+F181/100)*(1+IF(Inputs!$B$3&gt;=120,F184,0)/100)^5*(1+(IF(Skills!A7="BASIC_ATTACK",Inputs!$B$17,Inputs!$B$18+IF(Inputs!$B$3&gt;=125,F185*5,0)))/100)*(B188*B189*B190*I165)</f>
        <v/>
      </c>
      <c r="L165">
        <f>K165*(MIN(Inputs!$B$22+(F180-Calc!F22),Inputs!$B$23)/100+Inputs!$B$23/100)/2</f>
        <v/>
      </c>
      <c r="M165">
        <f>L165*(1+(Inputs!$B$10+(F179-Calc!F21))/100)</f>
        <v/>
      </c>
      <c r="N165">
        <f>L165*(1-MIN(Inputs!$B$9+(F178-Calc!F20),100)/100)+M165*(MIN(Inputs!$B$9+(F178-Calc!F20),100)/100)</f>
        <v/>
      </c>
      <c r="O165">
        <f>IF(C165,H165*N165*IF(AND(Inputs!$B$38&lt;&gt;"pvp",Inputs!$B$43&gt;0),((Skills!G7*((R165-1)*IF(Skills!H7&gt;0,Skills!I7/Skills!H7,1)+IF(Skills!H7&gt;0,MIN(Skills!I7,MAX(0,Inputs!$B$43-((R165-1)*IF(Inputs!$B$38="pvp",15,MAX(0.1,Skills!E7-IF(Skills!F7=TRUE,Inputs!$B$32,0))))))/Skills!H7,1)))/Inputs!$B$43),G165*Q165)*IF(Inputs!$B$38="pvp",1,(1-Summary!$B$56)*(1)+Summary!$B$56*(MIN(Skills!R7,Inputs!$B$37))),0)</f>
        <v/>
      </c>
      <c r="P165">
        <f>IF(B197=0,0,O165/B197)</f>
        <v/>
      </c>
      <c r="Q165">
        <f>IFERROR(1/IF(Inputs!$B$38="pvp",15,MAX(0.1,Skills!E7-IF(Skills!F7=TRUE,Inputs!$B$32,0))),0)</f>
        <v/>
      </c>
      <c r="R165">
        <f>IF(AND(Inputs!$B$38&lt;&gt;"pvp",Inputs!$B$43&gt;0),(INT(Inputs!$B$43/IF(Inputs!$B$38="pvp",15,MAX(0.1,Skills!E7-IF(Skills!F7=TRUE,Inputs!$B$32,0))))+1),0)</f>
        <v/>
      </c>
    </row>
    <row r="166">
      <c r="A166">
        <f>Skills!A8</f>
        <v/>
      </c>
      <c r="B166">
        <f>Skills!B8</f>
        <v/>
      </c>
      <c r="C166">
        <f>TRUE</f>
        <v/>
      </c>
      <c r="D166">
        <f>IF(Skills!C8=1,60+Inputs!$B$25+Inputs!$B$29,IF(Skills!C8=2,90+Inputs!$B$26+Inputs!$B$29,IF(Skills!C8=3,120+Inputs!$B$27+Inputs!$B$29,MAX(0,(Inputs!$B$3-100)*3)+Inputs!$B$28+Inputs!$B$29)))</f>
        <v/>
      </c>
      <c r="E166">
        <f>INDEX(FactorTable!$B$2:$Y$301, MATCH(ROUND(MIN(300,MAX(1,D166)),0), FactorTable!$A$2:$A$301,0), Skills!M8+1)</f>
        <v/>
      </c>
      <c r="F166">
        <f>IF(Skills!N8=TRUE,(Skills!L8/10)*(E166/1000),Skills!L8/10)+Skills!O8</f>
        <v/>
      </c>
      <c r="G166">
        <f>Calc!G8</f>
        <v/>
      </c>
      <c r="H166">
        <f>Calc!H8</f>
        <v/>
      </c>
      <c r="I166">
        <f>IF(Skills!X8&lt;&gt;"",1+(Skills!X8/10)*(Z161/1000)/100,1)</f>
        <v/>
      </c>
      <c r="J166">
        <f>((Inputs!$B$6*(1+Inputs!$B$7/100))+(((Inputs!$B$12*(1+Inputs!$B$13/100))-(Inputs!$B$12*(1+Inputs!$B$13/100)))+0.25*(Inputs!$B$14-Inputs!$B$14))*(1+Inputs!$B$7/100))*(F166/100)</f>
        <v/>
      </c>
      <c r="K166">
        <f>J166*(1+((Inputs!$B$12*(1+Inputs!$B$13/100))*0.01+Inputs!$B$14*0.0025)/100)*(1+Inputs!$B$15/100)*(1+IF(Inputs!$B$38="pvp",0,(1-Summary!$B$56)*(Inputs!$B$20+Skills!P8)+Summary!$B$56*(Inputs!$B$21+Skills!Q8))/100)*(1+(Inputs!$B$16+1)/100)*(5000/(6000+Inputs!$B$42*(1-Inputs!$B$19/100)))*(1+Inputs!$B$24/100)*(1+F181/100)*(1+IF(Inputs!$B$3&gt;=120,F184,0)/100)^5*(1+(IF(Skills!A8="BASIC_ATTACK",Inputs!$B$17,Inputs!$B$18+IF(Inputs!$B$3&gt;=125,F185*5,0)))/100)*(B188*B189*B190*I166)</f>
        <v/>
      </c>
      <c r="L166">
        <f>K166*(MIN(Inputs!$B$22+(F180-Calc!F22),Inputs!$B$23)/100+Inputs!$B$23/100)/2</f>
        <v/>
      </c>
      <c r="M166">
        <f>L166*(1+(Inputs!$B$10+(F179-Calc!F21))/100)</f>
        <v/>
      </c>
      <c r="N166">
        <f>L166*(1-MIN(Inputs!$B$9+(F178-Calc!F20),100)/100)+M166*(MIN(Inputs!$B$9+(F178-Calc!F20),100)/100)</f>
        <v/>
      </c>
      <c r="O166">
        <f>IF(C166,H166*N166*IF(AND(Inputs!$B$38&lt;&gt;"pvp",Inputs!$B$43&gt;0),((Skills!G8*((R166-1)*IF(Skills!H8&gt;0,Skills!I8/Skills!H8,1)+IF(Skills!H8&gt;0,MIN(Skills!I8,MAX(0,Inputs!$B$43-((R166-1)*IF(Inputs!$B$38="pvp",15,MAX(0.1,Skills!E8-IF(Skills!F8=TRUE,Inputs!$B$32,0))))))/Skills!H8,1)))/Inputs!$B$43),G166*Q166)*IF(Inputs!$B$38="pvp",1,(1-Summary!$B$56)*(1)+Summary!$B$56*(MIN(Skills!R8,Inputs!$B$37))),0)</f>
        <v/>
      </c>
      <c r="P166">
        <f>IF(B197=0,0,O166/B197)</f>
        <v/>
      </c>
      <c r="Q166">
        <f>IFERROR(1/IF(Inputs!$B$38="pvp",15,MAX(0.1,Skills!E8-IF(Skills!F8=TRUE,Inputs!$B$32,0))),0)</f>
        <v/>
      </c>
      <c r="R166">
        <f>IF(AND(Inputs!$B$38&lt;&gt;"pvp",Inputs!$B$43&gt;0),(INT(Inputs!$B$43/IF(Inputs!$B$38="pvp",15,MAX(0.1,Skills!E8-IF(Skills!F8=TRUE,Inputs!$B$32,0))))+1),0)</f>
        <v/>
      </c>
    </row>
    <row r="167">
      <c r="A167">
        <f>Skills!A9</f>
        <v/>
      </c>
      <c r="B167">
        <f>Skills!B9</f>
        <v/>
      </c>
      <c r="C167">
        <f>Inputs!$B$3&gt;=103</f>
        <v/>
      </c>
      <c r="D167">
        <f>IF(Skills!C9=1,60+Inputs!$B$25+Inputs!$B$29,IF(Skills!C9=2,90+Inputs!$B$26+Inputs!$B$29,IF(Skills!C9=3,120+Inputs!$B$27+Inputs!$B$29,MAX(0,(Inputs!$B$3-100)*3)+Inputs!$B$28+Inputs!$B$29)))</f>
        <v/>
      </c>
      <c r="E167">
        <f>INDEX(FactorTable!$B$2:$Y$301, MATCH(ROUND(MIN(300,MAX(1,D167)),0), FactorTable!$A$2:$A$301,0), Skills!M9+1)</f>
        <v/>
      </c>
      <c r="F167">
        <f>IF(Skills!N9=TRUE,(Skills!L9/10)*(E167/1000),Skills!L9/10)+Skills!O9</f>
        <v/>
      </c>
      <c r="G167">
        <f>Calc!G9</f>
        <v/>
      </c>
      <c r="H167">
        <f>Calc!H9</f>
        <v/>
      </c>
      <c r="I167">
        <f>IF(Skills!X9&lt;&gt;"",1+(Skills!X9/10)*(Z161/1000)/100,1)</f>
        <v/>
      </c>
      <c r="J167">
        <f>((Inputs!$B$6*(1+Inputs!$B$7/100))+(((Inputs!$B$12*(1+Inputs!$B$13/100))-(Inputs!$B$12*(1+Inputs!$B$13/100)))+0.25*(Inputs!$B$14-Inputs!$B$14))*(1+Inputs!$B$7/100))*(F167/100)</f>
        <v/>
      </c>
      <c r="K167">
        <f>J167*(1+((Inputs!$B$12*(1+Inputs!$B$13/100))*0.01+Inputs!$B$14*0.0025)/100)*(1+Inputs!$B$15/100)*(1+IF(Inputs!$B$38="pvp",0,(1-Summary!$B$56)*(Inputs!$B$20+Skills!P9)+Summary!$B$56*(Inputs!$B$21+Skills!Q9))/100)*(1+(Inputs!$B$16+1)/100)*(5000/(6000+Inputs!$B$42*(1-Inputs!$B$19/100)))*(1+Inputs!$B$24/100)*(1+F181/100)*(1+IF(Inputs!$B$3&gt;=120,F184,0)/100)^5*(1+(IF(Skills!A9="BASIC_ATTACK",Inputs!$B$17,Inputs!$B$18+IF(Inputs!$B$3&gt;=125,F185*5,0)))/100)*(B188*B189*B190*I167)</f>
        <v/>
      </c>
      <c r="L167">
        <f>K167*(MIN(Inputs!$B$22+(F180-Calc!F22),Inputs!$B$23)/100+Inputs!$B$23/100)/2</f>
        <v/>
      </c>
      <c r="M167">
        <f>L167*(1+(Inputs!$B$10+(F179-Calc!F21))/100)</f>
        <v/>
      </c>
      <c r="N167">
        <f>L167*(1-MIN(Inputs!$B$9+(F178-Calc!F20),100)/100)+M167*(MIN(Inputs!$B$9+(F178-Calc!F20),100)/100)</f>
        <v/>
      </c>
      <c r="O167">
        <f>IF(C167,H167*N167*IF(AND(Inputs!$B$38&lt;&gt;"pvp",Inputs!$B$43&gt;0),((Skills!G9*((R167-1)*IF(Skills!H9&gt;0,Skills!I9/Skills!H9,1)+IF(Skills!H9&gt;0,MIN(Skills!I9,MAX(0,Inputs!$B$43-((R167-1)*IF(Inputs!$B$38="pvp",15,MAX(0.1,Skills!E9-IF(Skills!F7=TRUE,Inputs!$B$32,0))))))/Skills!H9,1)))/Inputs!$B$43),G167*Q167)*IF(Inputs!$B$38="pvp",1,(1-Summary!$B$56)*(1)+Summary!$B$56*(MIN(Skills!R9,Inputs!$B$37))),0)</f>
        <v/>
      </c>
      <c r="P167">
        <f>IF(B197=0,0,O167/B197)</f>
        <v/>
      </c>
      <c r="Q167">
        <f>IFERROR(1/IF(Inputs!$B$38="pvp",15,MAX(0.1,Skills!E9-IF(Skills!F7=TRUE,Inputs!$B$32,0))),0)</f>
        <v/>
      </c>
      <c r="R167">
        <f>IF(AND(Inputs!$B$38&lt;&gt;"pvp",Inputs!$B$43&gt;0),(INT(Inputs!$B$43/IF(Inputs!$B$38="pvp",15,MAX(0.1,Skills!E9-IF(Skills!F7=TRUE,Inputs!$B$32,0))))+1),0)</f>
        <v/>
      </c>
    </row>
    <row r="168">
      <c r="A168">
        <f>Skills!A10</f>
        <v/>
      </c>
      <c r="B168">
        <f>Skills!B10</f>
        <v/>
      </c>
      <c r="C168">
        <f>TRUE</f>
        <v/>
      </c>
      <c r="D168">
        <f>IF(Skills!C10=1,60+Inputs!$B$25+Inputs!$B$29,IF(Skills!C10=2,90+Inputs!$B$26+Inputs!$B$29,IF(Skills!C10=3,120+Inputs!$B$27+Inputs!$B$29,MAX(0,(Inputs!$B$3-100)*3)+Inputs!$B$28+Inputs!$B$29)))</f>
        <v/>
      </c>
      <c r="E168">
        <f>INDEX(FactorTable!$B$2:$Y$301, MATCH(ROUND(MIN(300,MAX(1,D168)),0), FactorTable!$A$2:$A$301,0), Skills!M10+1)</f>
        <v/>
      </c>
      <c r="F168">
        <f>IF(Skills!N10=TRUE,(Skills!L10/10)*(E168/1000),Skills!L10/10)+Skills!O10</f>
        <v/>
      </c>
      <c r="G168">
        <f>Calc!G10</f>
        <v/>
      </c>
      <c r="H168">
        <f>Calc!H10</f>
        <v/>
      </c>
      <c r="I168">
        <f>IF(Skills!X10&lt;&gt;"",1+(Skills!X10/10)*(Z161/1000)/100,1)</f>
        <v/>
      </c>
      <c r="J168">
        <f>((Inputs!$B$6*(1+Inputs!$B$7/100))+(((Inputs!$B$12*(1+Inputs!$B$13/100))-(Inputs!$B$12*(1+Inputs!$B$13/100)))+0.25*(Inputs!$B$14-Inputs!$B$14))*(1+Inputs!$B$7/100))*(F168/100)</f>
        <v/>
      </c>
      <c r="K168">
        <f>J168*(1+((Inputs!$B$12*(1+Inputs!$B$13/100))*0.01+Inputs!$B$14*0.0025)/100)*(1+Inputs!$B$15/100)*(1+IF(Inputs!$B$38="pvp",0,(1-Summary!$B$56)*(Inputs!$B$20+Skills!P10)+Summary!$B$56*(Inputs!$B$21+Skills!Q10))/100)*(1+(Inputs!$B$16+1)/100)*(5000/(6000+Inputs!$B$42*(1-Inputs!$B$19/100)))*(1+Inputs!$B$24/100)*(1+F181/100)*(1+IF(Inputs!$B$3&gt;=120,F184,0)/100)^5*(1+(IF(Skills!A10="BASIC_ATTACK",Inputs!$B$17,Inputs!$B$18+IF(Inputs!$B$3&gt;=125,F185*5,0)))/100)*(B188*B189*B190*I168)</f>
        <v/>
      </c>
      <c r="L168">
        <f>K168*(MIN(Inputs!$B$22+(F180-Calc!F22),Inputs!$B$23)/100+Inputs!$B$23/100)/2</f>
        <v/>
      </c>
      <c r="M168">
        <f>L168*(1+(Inputs!$B$10+(F179-Calc!F21))/100)</f>
        <v/>
      </c>
      <c r="N168">
        <f>L168*(1-MIN(Inputs!$B$9+(F178-Calc!F20),100)/100)+M168*(MIN(Inputs!$B$9+(F178-Calc!F20),100)/100)</f>
        <v/>
      </c>
      <c r="O168">
        <f>IF(C168,H168*N168*IF(AND(Inputs!$B$38&lt;&gt;"pvp",Inputs!$B$43&gt;0),((Skills!G10*((R168-1)*IF(Skills!H10&gt;0,Skills!I10/Skills!H10,1)+IF(Skills!H10&gt;0,MIN(Skills!I10,MAX(0,Inputs!$B$43-((R168-1)*IF(Inputs!$B$38="pvp",15,MAX(0.1,Skills!E10-IF(Skills!F10=TRUE,Inputs!$B$32,0))))))/Skills!H10,1)))/Inputs!$B$43),G168*Q168)*IF(Inputs!$B$38="pvp",1,(1-Summary!$B$56)*(1)+Summary!$B$56*(MIN(Skills!R10,Inputs!$B$37))),0)</f>
        <v/>
      </c>
      <c r="P168">
        <f>IF(B197=0,0,O168/B197)</f>
        <v/>
      </c>
      <c r="Q168">
        <f>IFERROR(1/IF(Inputs!$B$38="pvp",15,MAX(0.1,Skills!E10-IF(Skills!F10=TRUE,Inputs!$B$32,0))),0)</f>
        <v/>
      </c>
      <c r="R168">
        <f>IF(AND(Inputs!$B$38&lt;&gt;"pvp",Inputs!$B$43&gt;0),(INT(Inputs!$B$43/IF(Inputs!$B$38="pvp",15,MAX(0.1,Skills!E10-IF(Skills!F10=TRUE,Inputs!$B$32,0))))+1),0)</f>
        <v/>
      </c>
    </row>
    <row r="169">
      <c r="A169">
        <f>Skills!A11</f>
        <v/>
      </c>
      <c r="B169">
        <f>Skills!B11</f>
        <v/>
      </c>
      <c r="C169">
        <f>TRUE</f>
        <v/>
      </c>
      <c r="D169">
        <f>IF(Skills!C11=1,60+Inputs!$B$25+Inputs!$B$29,IF(Skills!C11=2,90+Inputs!$B$26+Inputs!$B$29,IF(Skills!C11=3,120+Inputs!$B$27+Inputs!$B$29,MAX(0,(Inputs!$B$3-100)*3)+Inputs!$B$28+Inputs!$B$29)))</f>
        <v/>
      </c>
      <c r="E169">
        <f>INDEX(FactorTable!$B$2:$Y$301, MATCH(ROUND(MIN(300,MAX(1,D169)),0), FactorTable!$A$2:$A$301,0), Skills!M11+1)</f>
        <v/>
      </c>
      <c r="F169">
        <f>IF(Skills!N11=TRUE,(Skills!L11/10)*(E169/1000),Skills!L11/10)+Skills!O11</f>
        <v/>
      </c>
      <c r="G169">
        <f>Calc!G11</f>
        <v/>
      </c>
      <c r="H169">
        <f>Calc!H11</f>
        <v/>
      </c>
      <c r="I169">
        <f>IF(Skills!X11&lt;&gt;"",1+(Skills!X11/10)*(Z161/1000)/100,1)</f>
        <v/>
      </c>
      <c r="J169" t="inlineStr"/>
      <c r="K169" t="inlineStr"/>
      <c r="L169" t="inlineStr"/>
      <c r="M169" t="inlineStr"/>
      <c r="N169" t="inlineStr"/>
      <c r="O169" t="n">
        <v>0</v>
      </c>
      <c r="P169">
        <f>IF(B197=0,0,O169/B197)</f>
        <v/>
      </c>
      <c r="Q169">
        <f>IFERROR(1/IF(Inputs!$B$38="pvp",15,MAX(0.1,Skills!E11-IF(Skills!F11=TRUE,Inputs!$B$32,0))),0)</f>
        <v/>
      </c>
      <c r="R169" t="n">
        <v>0</v>
      </c>
    </row>
    <row r="170">
      <c r="A170">
        <f>Skills!A12</f>
        <v/>
      </c>
      <c r="B170">
        <f>Skills!B12</f>
        <v/>
      </c>
      <c r="C170">
        <f>TRUE</f>
        <v/>
      </c>
      <c r="D170">
        <f>IF(Skills!C12=1,60+Inputs!$B$25+Inputs!$B$29,IF(Skills!C12=2,90+Inputs!$B$26+Inputs!$B$29,IF(Skills!C12=3,120+Inputs!$B$27+Inputs!$B$29,MAX(0,(Inputs!$B$3-100)*3)+Inputs!$B$28+Inputs!$B$29)))</f>
        <v/>
      </c>
      <c r="E170">
        <f>INDEX(FactorTable!$B$2:$Y$301, MATCH(ROUND(MIN(300,MAX(1,D170)),0), FactorTable!$A$2:$A$301,0), Skills!M12+1)</f>
        <v/>
      </c>
      <c r="F170">
        <f>IF(Skills!N12=TRUE,(Skills!L12/10)*(E170/1000),Skills!L12/10)+Skills!O12</f>
        <v/>
      </c>
      <c r="G170">
        <f>Calc!G12</f>
        <v/>
      </c>
      <c r="H170">
        <f>Calc!H12</f>
        <v/>
      </c>
      <c r="I170">
        <f>IF(Skills!X12&lt;&gt;"",1+(Skills!X12/10)*(Z161/1000)/100,1)</f>
        <v/>
      </c>
      <c r="J170" t="inlineStr"/>
      <c r="K170" t="inlineStr"/>
      <c r="L170" t="inlineStr"/>
      <c r="M170" t="inlineStr"/>
      <c r="N170" t="inlineStr"/>
      <c r="O170" t="n">
        <v>0</v>
      </c>
      <c r="P170">
        <f>IF(B197=0,0,O170/B197)</f>
        <v/>
      </c>
      <c r="Q170">
        <f>IFERROR(1/IF(Inputs!$B$38="pvp",15,MAX(0.1,Skills!E12-IF(Skills!F12=TRUE,Inputs!$B$32,0))),0)</f>
        <v/>
      </c>
      <c r="R170" t="n">
        <v>0</v>
      </c>
    </row>
    <row r="171">
      <c r="A171">
        <f>Skills!A13</f>
        <v/>
      </c>
      <c r="B171">
        <f>Skills!B13</f>
        <v/>
      </c>
      <c r="C171">
        <f>Inputs!$B$3&gt;=105</f>
        <v/>
      </c>
      <c r="D171">
        <f>IF(Skills!C13=1,60+Inputs!$B$25+Inputs!$B$29,IF(Skills!C13=2,90+Inputs!$B$26+Inputs!$B$29,IF(Skills!C13=3,120+Inputs!$B$27+Inputs!$B$29,MAX(0,(Inputs!$B$3-100)*3)+Inputs!$B$28+Inputs!$B$29)))</f>
        <v/>
      </c>
      <c r="E171">
        <f>INDEX(FactorTable!$B$2:$Y$301, MATCH(ROUND(MIN(300,MAX(1,D171)),0), FactorTable!$A$2:$A$301,0), Skills!M13+1)</f>
        <v/>
      </c>
      <c r="F171">
        <f>IF(Skills!N13=TRUE,(Skills!L13/10)*(E171/1000),Skills!L13/10)+Skills!O13</f>
        <v/>
      </c>
      <c r="G171">
        <f>Calc!G13</f>
        <v/>
      </c>
      <c r="H171">
        <f>Calc!H13</f>
        <v/>
      </c>
      <c r="I171">
        <f>IF(Skills!X13&lt;&gt;"",1+(Skills!X13/10)*(Z161/1000)/100,1)</f>
        <v/>
      </c>
      <c r="J171">
        <f>((Inputs!$B$6*(1+Inputs!$B$7/100))+(((Inputs!$B$12*(1+Inputs!$B$13/100))-(Inputs!$B$12*(1+Inputs!$B$13/100)))+0.25*(Inputs!$B$14-Inputs!$B$14))*(1+Inputs!$B$7/100))*(F171/100)</f>
        <v/>
      </c>
      <c r="K171">
        <f>J171*(1+((Inputs!$B$12*(1+Inputs!$B$13/100))*0.01+Inputs!$B$14*0.0025)/100)*(1+Inputs!$B$15/100)*(1+IF(Inputs!$B$38="pvp",0,(1-Summary!$B$56)*(Inputs!$B$20+Skills!P13)+Summary!$B$56*(Inputs!$B$21+Skills!Q13))/100)*(1+(Inputs!$B$16+1)/100)*(5000/(6000+Inputs!$B$42*(1-Inputs!$B$19/100)))*(1+Inputs!$B$24/100)*(1+F181/100)*(1+IF(Inputs!$B$3&gt;=120,F184,0)/100)^5*(1+(IF(Skills!A13="BASIC_ATTACK",Inputs!$B$17,Inputs!$B$18+IF(Inputs!$B$3&gt;=125,F185*5,0)))/100)*(B188*B189*B190*I171)</f>
        <v/>
      </c>
      <c r="L171">
        <f>K171*(MIN(Inputs!$B$22+(F180-Calc!F22),Inputs!$B$23)/100+Inputs!$B$23/100)/2</f>
        <v/>
      </c>
      <c r="M171">
        <f>L171*(1+(Inputs!$B$10+(F179-Calc!F21))/100)</f>
        <v/>
      </c>
      <c r="N171">
        <f>L171*(1-MIN(Inputs!$B$9+(F178-Calc!F20),100)/100)+M171*(MIN(Inputs!$B$9+(F178-Calc!F20),100)/100)</f>
        <v/>
      </c>
      <c r="O171">
        <f>IF(C171,H171*N171*IF(AND(Inputs!$B$38&lt;&gt;"pvp",Inputs!$B$43&gt;0),((Skills!G13*((R171-1)*IF(Skills!H13&gt;0,Skills!I13/Skills!H13,1)+IF(Skills!H13&gt;0,MIN(Skills!I13,MAX(0,Inputs!$B$43-((R171-1)*IF(Inputs!$B$38="pvp",15,MAX(0.1,Skills!E13-IF(Skills!F13=TRUE,Inputs!$B$32,0))))))/Skills!H13,1)))/Inputs!$B$43),G171*Q171)*IF(Inputs!$B$38="pvp",1,(1-Summary!$B$56)*(1)+Summary!$B$56*(MIN(Skills!R13,Inputs!$B$37))),0)</f>
        <v/>
      </c>
      <c r="P171">
        <f>IF(B197=0,0,O171/B197)</f>
        <v/>
      </c>
      <c r="Q171">
        <f>IFERROR(1/IF(Inputs!$B$38="pvp",15,MAX(0.1,Skills!E13-IF(Skills!F13=TRUE,Inputs!$B$32,0))),0)</f>
        <v/>
      </c>
      <c r="R171">
        <f>IF(AND(Inputs!$B$38&lt;&gt;"pvp",Inputs!$B$43&gt;0),(INT(Inputs!$B$43/IF(Inputs!$B$38="pvp",15,MAX(0.1,Skills!E13-IF(Skills!F13=TRUE,Inputs!$B$32,0))))+1),0)</f>
        <v/>
      </c>
    </row>
    <row r="172">
      <c r="A172">
        <f>Skills!A14</f>
        <v/>
      </c>
      <c r="B172">
        <f>Skills!B14</f>
        <v/>
      </c>
      <c r="C172">
        <f>Inputs!$B$3&gt;=113</f>
        <v/>
      </c>
      <c r="D172">
        <f>IF(Skills!C14=1,60+Inputs!$B$25+Inputs!$B$29,IF(Skills!C14=2,90+Inputs!$B$26+Inputs!$B$29,IF(Skills!C14=3,120+Inputs!$B$27+Inputs!$B$29,MAX(0,(Inputs!$B$3-100)*3)+Inputs!$B$28+Inputs!$B$29)))</f>
        <v/>
      </c>
      <c r="E172">
        <f>INDEX(FactorTable!$B$2:$Y$301, MATCH(ROUND(MIN(300,MAX(1,D172)),0), FactorTable!$A$2:$A$301,0), Skills!M14+1)</f>
        <v/>
      </c>
      <c r="F172">
        <f>IF(Skills!N14=TRUE,(Skills!L14/10)*(E172/1000),Skills!L14/10)+Skills!O14</f>
        <v/>
      </c>
      <c r="G172">
        <f>Calc!G14</f>
        <v/>
      </c>
      <c r="H172">
        <f>Calc!H14</f>
        <v/>
      </c>
      <c r="I172">
        <f>IF(Skills!X14&lt;&gt;"",1+(Skills!X14/10)*(Z161/1000)/100,1)</f>
        <v/>
      </c>
      <c r="J172">
        <f>((Inputs!$B$6*(1+Inputs!$B$7/100))+(((Inputs!$B$12*(1+Inputs!$B$13/100))-(Inputs!$B$12*(1+Inputs!$B$13/100)))+0.25*(Inputs!$B$14-Inputs!$B$14))*(1+Inputs!$B$7/100))*(F172/100)</f>
        <v/>
      </c>
      <c r="K172">
        <f>J172*(1+((Inputs!$B$12*(1+Inputs!$B$13/100))*0.01+Inputs!$B$14*0.0025)/100)*(1+Inputs!$B$15/100)*(1+IF(Inputs!$B$38="pvp",0,(1-Summary!$B$56)*(Inputs!$B$20+Skills!P14)+Summary!$B$56*(Inputs!$B$21+Skills!Q14))/100)*(1+(Inputs!$B$16+1)/100)*(5000/(6000+Inputs!$B$42*(1-Inputs!$B$19/100)))*(1+Inputs!$B$24/100)*(1+F181/100)*(1+IF(Inputs!$B$3&gt;=120,F184,0)/100)^5*(1+(IF(Skills!A14="BASIC_ATTACK",Inputs!$B$17,Inputs!$B$18+IF(Inputs!$B$3&gt;=125,F185*5,0)))/100)*(B188*B189*B190*I172)</f>
        <v/>
      </c>
      <c r="L172">
        <f>K172*(MIN(Inputs!$B$22+(F180-Calc!F22),Inputs!$B$23)/100+Inputs!$B$23/100)/2</f>
        <v/>
      </c>
      <c r="M172">
        <f>L172*(1+(Inputs!$B$10+(F179-Calc!F21))/100)</f>
        <v/>
      </c>
      <c r="N172">
        <f>L172*(1-MIN(Inputs!$B$9+(F178-Calc!F20),100)/100)+M172*(MIN(Inputs!$B$9+(F178-Calc!F20),100)/100)</f>
        <v/>
      </c>
      <c r="O172">
        <f>IF(C172,(H172*B195)/(1+Skills!H14*H172*B195)*N172*IF(Inputs!$B$38="pvp",1,(1-Summary!$B$56)*(1)+Summary!$B$56*(MIN(Skills!R14,Inputs!$B$37))),0)</f>
        <v/>
      </c>
      <c r="P172">
        <f>IF(B197=0,0,O172/B197)</f>
        <v/>
      </c>
      <c r="Q172">
        <f>IFERROR(1/IF(Inputs!$B$38="pvp",15,MAX(0.1,Skills!E14-IF(Skills!F14=TRUE,Inputs!$B$32,0))),0)</f>
        <v/>
      </c>
      <c r="R172" t="n">
        <v>0</v>
      </c>
    </row>
    <row r="173">
      <c r="A173">
        <f>Skills!A15</f>
        <v/>
      </c>
      <c r="B173">
        <f>Skills!B15</f>
        <v/>
      </c>
      <c r="C173">
        <f>Inputs!$B$3&gt;=107</f>
        <v/>
      </c>
      <c r="D173">
        <f>IF(Skills!C15=1,60+Inputs!$B$25+Inputs!$B$29,IF(Skills!C15=2,90+Inputs!$B$26+Inputs!$B$29,IF(Skills!C15=3,120+Inputs!$B$27+Inputs!$B$29,MAX(0,(Inputs!$B$3-100)*3)+Inputs!$B$28+Inputs!$B$29)))</f>
        <v/>
      </c>
      <c r="E173">
        <f>INDEX(FactorTable!$B$2:$Y$301, MATCH(ROUND(MIN(300,MAX(1,D173)),0), FactorTable!$A$2:$A$301,0), Skills!M15+1)</f>
        <v/>
      </c>
      <c r="F173">
        <f>IF(Skills!N15=TRUE,(Skills!L15/10)*(E173/1000),Skills!L15/10)+Skills!O15</f>
        <v/>
      </c>
      <c r="G173">
        <f>Calc!G15</f>
        <v/>
      </c>
      <c r="H173">
        <f>Calc!H15</f>
        <v/>
      </c>
      <c r="I173">
        <f>IF(Skills!X15&lt;&gt;"",1+(Skills!X15/10)*(Z161/1000)/100,1)</f>
        <v/>
      </c>
      <c r="J173">
        <f>((Inputs!$B$6*(1+Inputs!$B$7/100))+(((Inputs!$B$12*(1+Inputs!$B$13/100))-(Inputs!$B$12*(1+Inputs!$B$13/100)))+0.25*(Inputs!$B$14-Inputs!$B$14))*(1+Inputs!$B$7/100))*(F173/100)</f>
        <v/>
      </c>
      <c r="K173">
        <f>J173*(1+((Inputs!$B$12*(1+Inputs!$B$13/100))*0.01+Inputs!$B$14*0.0025)/100)*(1+Inputs!$B$15/100)*(1+IF(Inputs!$B$38="pvp",0,(1-Summary!$B$56)*(Inputs!$B$20+Skills!P15)+Summary!$B$56*(Inputs!$B$21+Skills!Q15))/100)*(1+(Inputs!$B$16+1)/100)*(5000/(6000+Inputs!$B$42*(1-Inputs!$B$19/100)))*(1+Inputs!$B$24/100)*(1+F181/100)*(1+IF(Inputs!$B$3&gt;=120,F184,0)/100)^5*(1+(IF(Skills!A15="BASIC_ATTACK",Inputs!$B$17,Inputs!$B$18+IF(Inputs!$B$3&gt;=125,F185*5,0)))/100)*(B188*B189*B190*I173)</f>
        <v/>
      </c>
      <c r="L173">
        <f>K173*(MIN(Inputs!$B$22+(F180-Calc!F22),Inputs!$B$23)/100+Inputs!$B$23/100)/2</f>
        <v/>
      </c>
      <c r="M173">
        <f>L173*(1+(Inputs!$B$10+(F179-Calc!F21))/100)</f>
        <v/>
      </c>
      <c r="N173">
        <f>L173*(1-MIN(Inputs!$B$9+(F178-Calc!F20),100)/100)+M173*(MIN(Inputs!$B$9+(F178-Calc!F20),100)/100)</f>
        <v/>
      </c>
      <c r="O173">
        <f>IF(C173,H173*N173*IF(AND(Inputs!$B$38&lt;&gt;"pvp",Inputs!$B$43&gt;0),((Skills!G15*((R173-1)*IF(Skills!H15&gt;0,Skills!I15/Skills!H15,1)+IF(Skills!H15&gt;0,MIN(Skills!I15,MAX(0,Inputs!$B$43-((R173-1)*IF(Inputs!$B$38="pvp",15,MAX(0.1,Skills!E15-IF(Skills!F15=TRUE,Inputs!$B$32,0))))))/Skills!H15,1)))/Inputs!$B$43),G173*Q173)*IF(Inputs!$B$38="pvp",1,(1-Summary!$B$56)*(1)+Summary!$B$56*(MIN(Skills!R15,Inputs!$B$37))),0)</f>
        <v/>
      </c>
      <c r="P173">
        <f>IF(B197=0,0,O173/B197)</f>
        <v/>
      </c>
      <c r="Q173">
        <f>IFERROR(1/IF(Inputs!$B$38="pvp",15,MAX(0.1,Skills!E15-IF(Skills!F15=TRUE,Inputs!$B$32,0))),0)</f>
        <v/>
      </c>
      <c r="R173">
        <f>IF(AND(Inputs!$B$38&lt;&gt;"pvp",Inputs!$B$43&gt;0),(INT(Inputs!$B$43/IF(Inputs!$B$38="pvp",15,MAX(0.1,Skills!E15-IF(Skills!F15=TRUE,Inputs!$B$32,0))))+1),0)</f>
        <v/>
      </c>
    </row>
    <row r="174">
      <c r="A174">
        <f>Skills!A16</f>
        <v/>
      </c>
      <c r="B174">
        <f>Skills!B16</f>
        <v/>
      </c>
      <c r="C174">
        <f>Inputs!$B$3&gt;=107</f>
        <v/>
      </c>
      <c r="D174">
        <f>IF(Skills!C16=1,60+Inputs!$B$25+Inputs!$B$29,IF(Skills!C16=2,90+Inputs!$B$26+Inputs!$B$29,IF(Skills!C16=3,120+Inputs!$B$27+Inputs!$B$29,MAX(0,(Inputs!$B$3-100)*3)+Inputs!$B$28+Inputs!$B$29)))</f>
        <v/>
      </c>
      <c r="E174">
        <f>INDEX(FactorTable!$B$2:$Y$301, MATCH(ROUND(MIN(300,MAX(1,D174)),0), FactorTable!$A$2:$A$301,0), Skills!M16+1)</f>
        <v/>
      </c>
      <c r="F174">
        <f>IF(Skills!N16=TRUE,(Skills!L16/10)*(E174/1000),Skills!L16/10)+Skills!O16</f>
        <v/>
      </c>
      <c r="G174">
        <f>Calc!G16</f>
        <v/>
      </c>
      <c r="H174">
        <f>Calc!H16</f>
        <v/>
      </c>
      <c r="I174">
        <f>IF(Skills!X16&lt;&gt;"",1+(Skills!X16/10)*(Z161/1000)/100,1)</f>
        <v/>
      </c>
      <c r="J174">
        <f>((Inputs!$B$6*(1+Inputs!$B$7/100))+(((Inputs!$B$12*(1+Inputs!$B$13/100))-(Inputs!$B$12*(1+Inputs!$B$13/100)))+0.25*(Inputs!$B$14-Inputs!$B$14))*(1+Inputs!$B$7/100))*(F174/100)</f>
        <v/>
      </c>
      <c r="K174">
        <f>J174*(1+((Inputs!$B$12*(1+Inputs!$B$13/100))*0.01+Inputs!$B$14*0.0025)/100)*(1+Inputs!$B$15/100)*(1+IF(Inputs!$B$38="pvp",0,(1-Summary!$B$56)*(Inputs!$B$20+Skills!P16)+Summary!$B$56*(Inputs!$B$21+Skills!Q16))/100)*(1+(Inputs!$B$16+1)/100)*(5000/(6000+Inputs!$B$42*(1-Inputs!$B$19/100)))*(1+Inputs!$B$24/100)*(1+F181/100)*(1+IF(Inputs!$B$3&gt;=120,F184,0)/100)^5*(1+(IF(Skills!A16="BASIC_ATTACK",Inputs!$B$17,Inputs!$B$18+IF(Inputs!$B$3&gt;=125,F185*5,0)))/100)*(B188*B189*B190*I174)</f>
        <v/>
      </c>
      <c r="L174">
        <f>K174*(MIN(Inputs!$B$22+(F180-Calc!F22),Inputs!$B$23)/100+Inputs!$B$23/100)/2</f>
        <v/>
      </c>
      <c r="M174">
        <f>L174*(1+(Inputs!$B$10+(F179-Calc!F21))/100)</f>
        <v/>
      </c>
      <c r="N174">
        <f>L174*(1-MIN(Inputs!$B$9+(F178-Calc!F20),100)/100)+M174*(MIN(Inputs!$B$9+(F178-Calc!F20),100)/100)</f>
        <v/>
      </c>
      <c r="O174">
        <f>IF(C174,H174*N174*IF(AND(Inputs!$B$38&lt;&gt;"pvp",Inputs!$B$43&gt;0),((Skills!G16*((R174-1)*IF(Skills!H16&gt;0,Skills!I16/Skills!H16,1)+IF(Skills!H16&gt;0,MIN(Skills!I16,MAX(0,Inputs!$B$43-((R174-1)*IF(Inputs!$B$38="pvp",15,MAX(0.1,Skills!E16-IF(Skills!F16=TRUE,Inputs!$B$32,0))))))/Skills!H16,1)))/Inputs!$B$43),G174*Q174)*(1+IF(Inputs!$B$3&gt;=126,0.05*(B194+Q171+(H172*B195)/(1+Skills!H14*H172*B195)+Q182),0)*Skills!E15)*IF(Inputs!$B$38="pvp",1,(1-Summary!$B$56)*(1)+Summary!$B$56*(MIN(Skills!R16,Inputs!$B$37))),0)</f>
        <v/>
      </c>
      <c r="P174">
        <f>IF(B197=0,0,O174/B197)</f>
        <v/>
      </c>
      <c r="Q174">
        <f>IFERROR(1/IF(Inputs!$B$38="pvp",15,MAX(0.1,Skills!E16-IF(Skills!F16=TRUE,Inputs!$B$32,0))),0)</f>
        <v/>
      </c>
      <c r="R174">
        <f>IF(AND(Inputs!$B$38&lt;&gt;"pvp",Inputs!$B$43&gt;0),(INT(Inputs!$B$43/IF(Inputs!$B$38="pvp",15,MAX(0.1,Skills!E16-IF(Skills!F16=TRUE,Inputs!$B$32,0))))+1),0)</f>
        <v/>
      </c>
    </row>
    <row r="175">
      <c r="A175">
        <f>Skills!A17</f>
        <v/>
      </c>
      <c r="B175">
        <f>Skills!B17</f>
        <v/>
      </c>
      <c r="C175">
        <f>TRUE</f>
        <v/>
      </c>
      <c r="D175">
        <f>IF(Skills!C17=1,60+Inputs!$B$25+Inputs!$B$29,IF(Skills!C17=2,90+Inputs!$B$26+Inputs!$B$29,IF(Skills!C17=3,120+Inputs!$B$27+Inputs!$B$29,MAX(0,(Inputs!$B$3-100)*3)+Inputs!$B$28+Inputs!$B$29)))</f>
        <v/>
      </c>
      <c r="E175">
        <f>INDEX(FactorTable!$B$2:$Y$301, MATCH(ROUND(MIN(300,MAX(1,D175)),0), FactorTable!$A$2:$A$301,0), Skills!M17+1)</f>
        <v/>
      </c>
      <c r="F175">
        <f>IF(Skills!N17=TRUE,(Skills!L17/10)*(E175/1000),Skills!L17/10)+Skills!O17</f>
        <v/>
      </c>
      <c r="G175">
        <f>Calc!G17</f>
        <v/>
      </c>
      <c r="H175">
        <f>Calc!H17</f>
        <v/>
      </c>
      <c r="I175">
        <f>IF(Skills!X17&lt;&gt;"",1+(Skills!X17/10)*(Z161/1000)/100,1)</f>
        <v/>
      </c>
      <c r="J175" t="inlineStr"/>
      <c r="K175" t="inlineStr"/>
      <c r="L175" t="inlineStr"/>
      <c r="M175" t="inlineStr"/>
      <c r="N175" t="inlineStr"/>
      <c r="O175" t="n">
        <v>0</v>
      </c>
      <c r="P175">
        <f>IF(B197=0,0,O175/B197)</f>
        <v/>
      </c>
      <c r="Q175">
        <f>IFERROR(1/IF(Inputs!$B$38="pvp",15,MAX(0.1,Skills!E17-IF(Skills!F17=TRUE,Inputs!$B$32,0))),0)</f>
        <v/>
      </c>
      <c r="R175">
        <f>IF(AND(Inputs!$B$38&lt;&gt;"pvp",Inputs!$B$43&gt;0),(INT(Inputs!$B$43/IF(Inputs!$B$38="pvp",15,MAX(0.1,Skills!E17-IF(Skills!F17=TRUE,Inputs!$B$32,0))))+1),0)</f>
        <v/>
      </c>
    </row>
    <row r="176">
      <c r="A176">
        <f>Skills!A18</f>
        <v/>
      </c>
      <c r="B176">
        <f>Skills!B18</f>
        <v/>
      </c>
      <c r="C176">
        <f>TRUE</f>
        <v/>
      </c>
      <c r="D176">
        <f>IF(Skills!C18=1,60+Inputs!$B$25+Inputs!$B$29,IF(Skills!C18=2,90+Inputs!$B$26+Inputs!$B$29,IF(Skills!C18=3,120+Inputs!$B$27+Inputs!$B$29,MAX(0,(Inputs!$B$3-100)*3)+Inputs!$B$28+Inputs!$B$29)))</f>
        <v/>
      </c>
      <c r="E176">
        <f>INDEX(FactorTable!$B$2:$Y$301, MATCH(ROUND(MIN(300,MAX(1,D176)),0), FactorTable!$A$2:$A$301,0), Skills!M18+1)</f>
        <v/>
      </c>
      <c r="F176">
        <f>IF(Skills!N18=TRUE,(Skills!L18/10)*(E176/1000),Skills!L18/10)+Skills!O18</f>
        <v/>
      </c>
      <c r="G176">
        <f>Calc!G18</f>
        <v/>
      </c>
      <c r="H176">
        <f>Calc!H18</f>
        <v/>
      </c>
      <c r="I176">
        <f>IF(Skills!X18&lt;&gt;"",1+(Skills!X18/10)*(Z161/1000)/100,1)</f>
        <v/>
      </c>
      <c r="J176" t="inlineStr"/>
      <c r="K176" t="inlineStr"/>
      <c r="L176" t="inlineStr"/>
      <c r="M176" t="inlineStr"/>
      <c r="N176" t="inlineStr"/>
      <c r="O176" t="n">
        <v>0</v>
      </c>
      <c r="P176">
        <f>IF(B197=0,0,O176/B197)</f>
        <v/>
      </c>
      <c r="Q176">
        <f>IFERROR(1/IF(Inputs!$B$38="pvp",15,MAX(0.1,Skills!E18-IF(Skills!F18=TRUE,Inputs!$B$32,0))),0)</f>
        <v/>
      </c>
      <c r="R176">
        <f>IF(AND(Inputs!$B$38&lt;&gt;"pvp",Inputs!$B$43&gt;0),(INT(Inputs!$B$43/IF(Inputs!$B$38="pvp",15,MAX(0.1,Skills!E18-IF(Skills!F18=TRUE,Inputs!$B$32,0))))+1),0)</f>
        <v/>
      </c>
    </row>
    <row r="177">
      <c r="A177">
        <f>Skills!A19</f>
        <v/>
      </c>
      <c r="B177">
        <f>Skills!B19</f>
        <v/>
      </c>
      <c r="C177">
        <f>Inputs!$B$3&gt;=110</f>
        <v/>
      </c>
      <c r="D177">
        <f>IF(Skills!C19=1,60+Inputs!$B$25+Inputs!$B$29,IF(Skills!C19=2,90+Inputs!$B$26+Inputs!$B$29,IF(Skills!C19=3,120+Inputs!$B$27+Inputs!$B$29,MAX(0,(Inputs!$B$3-100)*3)+Inputs!$B$28+Inputs!$B$29)))</f>
        <v/>
      </c>
      <c r="E177">
        <f>INDEX(FactorTable!$B$2:$Y$301, MATCH(ROUND(MIN(300,MAX(1,D177)),0), FactorTable!$A$2:$A$301,0), Skills!M19+1)</f>
        <v/>
      </c>
      <c r="F177">
        <f>IF(Skills!N19=TRUE,(Skills!L19/10)*(E177/1000),Skills!L19/10)+Skills!O19</f>
        <v/>
      </c>
      <c r="G177">
        <f>Calc!G19</f>
        <v/>
      </c>
      <c r="H177">
        <f>Calc!H19</f>
        <v/>
      </c>
      <c r="I177">
        <f>IF(Skills!X19&lt;&gt;"",1+(Skills!X19/10)*(Z161/1000)/100,1)</f>
        <v/>
      </c>
      <c r="J177" t="inlineStr"/>
      <c r="K177" t="inlineStr"/>
      <c r="L177" t="inlineStr"/>
      <c r="M177" t="inlineStr"/>
      <c r="N177" t="inlineStr"/>
      <c r="O177" t="n">
        <v>0</v>
      </c>
      <c r="P177">
        <f>IF(B197=0,0,O177/B197)</f>
        <v/>
      </c>
      <c r="Q177">
        <f>IFERROR(1/IF(Inputs!$B$38="pvp",15,MAX(0.1,Skills!E19-IF(Skills!F19=TRUE,Inputs!$B$32,0))),0)</f>
        <v/>
      </c>
      <c r="R177">
        <f>IF(AND(Inputs!$B$38&lt;&gt;"pvp",Inputs!$B$43&gt;0),(INT(Inputs!$B$43/IF(Inputs!$B$38="pvp",15,MAX(0.1,Skills!E19-IF(Skills!F19=TRUE,Inputs!$B$32,0))))+1),0)</f>
        <v/>
      </c>
    </row>
    <row r="178">
      <c r="A178">
        <f>Skills!A20</f>
        <v/>
      </c>
      <c r="B178">
        <f>Skills!B20</f>
        <v/>
      </c>
      <c r="C178">
        <f>TRUE</f>
        <v/>
      </c>
      <c r="D178">
        <f>IF(Skills!C20=1,60+Inputs!$B$25+Inputs!$B$29,IF(Skills!C20=2,90+Inputs!$B$26+Inputs!$B$29,IF(Skills!C20=3,120+Inputs!$B$27+Inputs!$B$29,MAX(0,(Inputs!$B$3-100)*3)+Inputs!$B$28+Inputs!$B$29)))</f>
        <v/>
      </c>
      <c r="E178">
        <f>INDEX(FactorTable!$B$2:$Y$301, MATCH(ROUND(MIN(300,MAX(1,D178)),0), FactorTable!$A$2:$A$301,0), Skills!M20+1)</f>
        <v/>
      </c>
      <c r="F178">
        <f>IF(Skills!N20=TRUE,(Skills!L20/10)*(E178/1000),Skills!L20/10)+Skills!O20</f>
        <v/>
      </c>
      <c r="G178">
        <f>Calc!G20</f>
        <v/>
      </c>
      <c r="H178">
        <f>Calc!H20</f>
        <v/>
      </c>
      <c r="I178">
        <f>IF(Skills!X20&lt;&gt;"",1+(Skills!X20/10)*(Z161/1000)/100,1)</f>
        <v/>
      </c>
      <c r="J178" t="inlineStr"/>
      <c r="K178" t="inlineStr"/>
      <c r="L178" t="inlineStr"/>
      <c r="M178" t="inlineStr"/>
      <c r="N178" t="inlineStr"/>
      <c r="O178" t="n">
        <v>0</v>
      </c>
      <c r="P178">
        <f>IF(B197=0,0,O178/B197)</f>
        <v/>
      </c>
      <c r="Q178">
        <f>IFERROR(1/IF(Inputs!$B$38="pvp",15,MAX(0.1,Skills!E20-IF(Skills!F20=TRUE,Inputs!$B$32,0))),0)</f>
        <v/>
      </c>
      <c r="R178" t="n">
        <v>0</v>
      </c>
    </row>
    <row r="179">
      <c r="A179">
        <f>Skills!A21</f>
        <v/>
      </c>
      <c r="B179">
        <f>Skills!B21</f>
        <v/>
      </c>
      <c r="C179">
        <f>TRUE</f>
        <v/>
      </c>
      <c r="D179">
        <f>IF(Skills!C21=1,60+Inputs!$B$25+Inputs!$B$29,IF(Skills!C21=2,90+Inputs!$B$26+Inputs!$B$29,IF(Skills!C21=3,120+Inputs!$B$27+Inputs!$B$29,MAX(0,(Inputs!$B$3-100)*3)+Inputs!$B$28+Inputs!$B$29)))</f>
        <v/>
      </c>
      <c r="E179">
        <f>INDEX(FactorTable!$B$2:$Y$301, MATCH(ROUND(MIN(300,MAX(1,D179)),0), FactorTable!$A$2:$A$301,0), Skills!M21+1)</f>
        <v/>
      </c>
      <c r="F179">
        <f>IF(Skills!N21=TRUE,(Skills!L21/10)*(E179/1000),Skills!L21/10)+Skills!O21</f>
        <v/>
      </c>
      <c r="G179">
        <f>Calc!G21</f>
        <v/>
      </c>
      <c r="H179">
        <f>Calc!H21</f>
        <v/>
      </c>
      <c r="I179">
        <f>IF(Skills!X21&lt;&gt;"",1+(Skills!X21/10)*(Z161/1000)/100,1)</f>
        <v/>
      </c>
      <c r="J179" t="inlineStr"/>
      <c r="K179" t="inlineStr"/>
      <c r="L179" t="inlineStr"/>
      <c r="M179" t="inlineStr"/>
      <c r="N179" t="inlineStr"/>
      <c r="O179" t="n">
        <v>0</v>
      </c>
      <c r="P179">
        <f>IF(B197=0,0,O179/B197)</f>
        <v/>
      </c>
      <c r="Q179">
        <f>IFERROR(1/IF(Inputs!$B$38="pvp",15,MAX(0.1,Skills!E21-IF(Skills!F21=TRUE,Inputs!$B$32,0))),0)</f>
        <v/>
      </c>
      <c r="R179" t="n">
        <v>0</v>
      </c>
    </row>
    <row r="180">
      <c r="A180">
        <f>Skills!A22</f>
        <v/>
      </c>
      <c r="B180">
        <f>Skills!B22</f>
        <v/>
      </c>
      <c r="C180">
        <f>TRUE</f>
        <v/>
      </c>
      <c r="D180">
        <f>IF(Skills!C22=1,60+Inputs!$B$25+Inputs!$B$29,IF(Skills!C22=2,90+Inputs!$B$26+Inputs!$B$29,IF(Skills!C22=3,120+Inputs!$B$27+Inputs!$B$29,MAX(0,(Inputs!$B$3-100)*3)+Inputs!$B$28+Inputs!$B$29)))</f>
        <v/>
      </c>
      <c r="E180">
        <f>INDEX(FactorTable!$B$2:$Y$301, MATCH(ROUND(MIN(300,MAX(1,D180)),0), FactorTable!$A$2:$A$301,0), Skills!M22+1)</f>
        <v/>
      </c>
      <c r="F180">
        <f>IF(Skills!N22=TRUE,(Skills!L22/10)*(E180/1000),Skills!L22/10)+Skills!O22</f>
        <v/>
      </c>
      <c r="G180">
        <f>Calc!G22</f>
        <v/>
      </c>
      <c r="H180">
        <f>Calc!H22</f>
        <v/>
      </c>
      <c r="I180">
        <f>IF(Skills!X22&lt;&gt;"",1+(Skills!X22/10)*(Z161/1000)/100,1)</f>
        <v/>
      </c>
      <c r="J180" t="inlineStr"/>
      <c r="K180" t="inlineStr"/>
      <c r="L180" t="inlineStr"/>
      <c r="M180" t="inlineStr"/>
      <c r="N180" t="inlineStr"/>
      <c r="O180" t="n">
        <v>0</v>
      </c>
      <c r="P180">
        <f>IF(B197=0,0,O180/B197)</f>
        <v/>
      </c>
      <c r="Q180">
        <f>IFERROR(1/IF(Inputs!$B$38="pvp",15,MAX(0.1,Skills!E22-IF(Skills!F22=TRUE,Inputs!$B$32,0))),0)</f>
        <v/>
      </c>
      <c r="R180" t="n">
        <v>0</v>
      </c>
    </row>
    <row r="181">
      <c r="A181">
        <f>Skills!A23</f>
        <v/>
      </c>
      <c r="B181">
        <f>Skills!B23</f>
        <v/>
      </c>
      <c r="C181">
        <f>TRUE</f>
        <v/>
      </c>
      <c r="D181">
        <f>IF(Skills!C23=1,60+Inputs!$B$25+Inputs!$B$29,IF(Skills!C23=2,90+Inputs!$B$26+Inputs!$B$29,IF(Skills!C23=3,120+Inputs!$B$27+Inputs!$B$29,MAX(0,(Inputs!$B$3-100)*3)+Inputs!$B$28+Inputs!$B$29)))</f>
        <v/>
      </c>
      <c r="E181">
        <f>INDEX(FactorTable!$B$2:$Y$301, MATCH(ROUND(MIN(300,MAX(1,D181)),0), FactorTable!$A$2:$A$301,0), Skills!M23+1)</f>
        <v/>
      </c>
      <c r="F181">
        <f>IF(Skills!N23=TRUE,(Skills!L23/10)*(E181/1000),Skills!L23/10)+Skills!O23</f>
        <v/>
      </c>
      <c r="G181">
        <f>Calc!G23</f>
        <v/>
      </c>
      <c r="H181">
        <f>Calc!H23</f>
        <v/>
      </c>
      <c r="I181">
        <f>IF(Skills!X23&lt;&gt;"",1+(Skills!X23/10)*(Z161/1000)/100,1)</f>
        <v/>
      </c>
      <c r="J181" t="inlineStr"/>
      <c r="K181" t="inlineStr"/>
      <c r="L181" t="inlineStr"/>
      <c r="M181" t="inlineStr"/>
      <c r="N181" t="inlineStr"/>
      <c r="O181" t="n">
        <v>0</v>
      </c>
      <c r="P181">
        <f>IF(B197=0,0,O181/B197)</f>
        <v/>
      </c>
      <c r="Q181">
        <f>IFERROR(1/IF(Inputs!$B$38="pvp",15,MAX(0.1,Skills!E23-IF(Skills!F23=TRUE,Inputs!$B$32,0))),0)</f>
        <v/>
      </c>
      <c r="R181" t="n">
        <v>0</v>
      </c>
    </row>
    <row r="182">
      <c r="A182">
        <f>Skills!A24</f>
        <v/>
      </c>
      <c r="B182">
        <f>Skills!B24</f>
        <v/>
      </c>
      <c r="C182">
        <f>Inputs!$B$3&gt;=115</f>
        <v/>
      </c>
      <c r="D182">
        <f>IF(Skills!C24=1,60+Inputs!$B$25+Inputs!$B$29,IF(Skills!C24=2,90+Inputs!$B$26+Inputs!$B$29,IF(Skills!C24=3,120+Inputs!$B$27+Inputs!$B$29,MAX(0,(Inputs!$B$3-100)*3)+Inputs!$B$28+Inputs!$B$29)))</f>
        <v/>
      </c>
      <c r="E182">
        <f>INDEX(FactorTable!$B$2:$Y$301, MATCH(ROUND(MIN(300,MAX(1,D182)),0), FactorTable!$A$2:$A$301,0), Skills!M24+1)</f>
        <v/>
      </c>
      <c r="F182">
        <f>IF(Skills!N24=TRUE,(Skills!L24/10)*(E182/1000),Skills!L24/10)+Skills!O24</f>
        <v/>
      </c>
      <c r="G182">
        <f>Calc!G24</f>
        <v/>
      </c>
      <c r="H182">
        <f>Calc!H24</f>
        <v/>
      </c>
      <c r="I182">
        <f>IF(Skills!X24&lt;&gt;"",1+(Skills!X24/10)*(Z161/1000)/100,1)</f>
        <v/>
      </c>
      <c r="J182">
        <f>((Inputs!$B$6*(1+Inputs!$B$7/100))+(((Inputs!$B$12*(1+Inputs!$B$13/100))-(Inputs!$B$12*(1+Inputs!$B$13/100)))+0.25*(Inputs!$B$14-Inputs!$B$14))*(1+Inputs!$B$7/100))*(F182/100)</f>
        <v/>
      </c>
      <c r="K182">
        <f>J182*(1+((Inputs!$B$12*(1+Inputs!$B$13/100))*0.01+Inputs!$B$14*0.0025)/100)*(1+Inputs!$B$15/100)*(1+IF(Inputs!$B$38="pvp",0,(1-Summary!$B$56)*(Inputs!$B$20+Skills!P24)+Summary!$B$56*(Inputs!$B$21+Skills!Q24))/100)*(1+(Inputs!$B$16+1)/100)*(5000/(6000+Inputs!$B$42*(1-Inputs!$B$19/100)))*(1+Inputs!$B$24/100)*(1+F181/100)*(1+IF(Inputs!$B$3&gt;=120,F184,0)/100)^5*(1+(IF(Skills!A24="BASIC_ATTACK",Inputs!$B$17,Inputs!$B$18+IF(Inputs!$B$3&gt;=125,F185*5,0)))/100)*(B188*B189*B190*I182)</f>
        <v/>
      </c>
      <c r="L182">
        <f>K182*(MIN(Inputs!$B$22+(F180-Calc!F22),Inputs!$B$23)/100+Inputs!$B$23/100)/2</f>
        <v/>
      </c>
      <c r="M182">
        <f>L182*(1+(Inputs!$B$10+(F179-Calc!F21))/100)</f>
        <v/>
      </c>
      <c r="N182">
        <f>L182*(1-MIN(Inputs!$B$9+(F178-Calc!F20),100)/100)+M182*(MIN(Inputs!$B$9+(F178-Calc!F20),100)/100)</f>
        <v/>
      </c>
      <c r="O182">
        <f>IF(C182,H182*N182*IF(AND(Inputs!$B$38&lt;&gt;"pvp",Inputs!$B$43&gt;0),((Skills!G24*((R182-1)*IF(Skills!H24&gt;0,Skills!I24/Skills!H24,1)+IF(Skills!H24&gt;0,MIN(Skills!I24,MAX(0,Inputs!$B$43-((R182-1)*IF(Inputs!$B$38="pvp",15,MAX(0.1,Skills!E24-IF(Skills!F24=TRUE,Inputs!$B$32,0))))))/Skills!H24,1)))/Inputs!$B$43),G182*Q182)*(1+IF(Inputs!$B$3&gt;=130,0.2*(Skills!I16/Skills!E15+IF(Inputs!$B$3&gt;=126,0.05*(B194+Q171+(H172*B195)/(1+Skills!H14*H172*B195)+Q182),0)*Skills!I16),0))*IF(Inputs!$B$38="pvp",1,(1-Summary!$B$56)*(1)+Summary!$B$56*(MIN(Skills!R24,Inputs!$B$37))),0)</f>
        <v/>
      </c>
      <c r="P182">
        <f>IF(B197=0,0,O182/B197)</f>
        <v/>
      </c>
      <c r="Q182">
        <f>IFERROR(1/IF(Inputs!$B$38="pvp",15,MAX(0.1,Skills!E24-IF(Skills!F24=TRUE,Inputs!$B$32,0))),0)</f>
        <v/>
      </c>
      <c r="R182">
        <f>IF(AND(Inputs!$B$38&lt;&gt;"pvp",Inputs!$B$43&gt;0),(INT(Inputs!$B$43/IF(Inputs!$B$38="pvp",15,MAX(0.1,Skills!E24-IF(Skills!F24=TRUE,Inputs!$B$32,0))))+1),0)</f>
        <v/>
      </c>
    </row>
    <row r="183">
      <c r="A183">
        <f>Skills!A25</f>
        <v/>
      </c>
      <c r="B183">
        <f>Skills!B25</f>
        <v/>
      </c>
      <c r="C183">
        <f>Inputs!$B$3&gt;=117</f>
        <v/>
      </c>
      <c r="D183">
        <f>IF(Skills!C25=1,60+Inputs!$B$25+Inputs!$B$29,IF(Skills!C25=2,90+Inputs!$B$26+Inputs!$B$29,IF(Skills!C25=3,120+Inputs!$B$27+Inputs!$B$29,MAX(0,(Inputs!$B$3-100)*3)+Inputs!$B$28+Inputs!$B$29)))</f>
        <v/>
      </c>
      <c r="E183">
        <f>INDEX(FactorTable!$B$2:$Y$301, MATCH(ROUND(MIN(300,MAX(1,D183)),0), FactorTable!$A$2:$A$301,0), Skills!M25+1)</f>
        <v/>
      </c>
      <c r="F183">
        <f>IF(Skills!N25=TRUE,(Skills!L25/10)*(E183/1000),Skills!L25/10)+Skills!O25</f>
        <v/>
      </c>
      <c r="G183">
        <f>Calc!G25</f>
        <v/>
      </c>
      <c r="H183">
        <f>Calc!H25</f>
        <v/>
      </c>
      <c r="I183">
        <f>IF(Skills!X25&lt;&gt;"",1+(Skills!X25/10)*(Z161/1000)/100,1)</f>
        <v/>
      </c>
      <c r="J183" t="inlineStr"/>
      <c r="K183" t="inlineStr"/>
      <c r="L183" t="inlineStr"/>
      <c r="M183" t="inlineStr"/>
      <c r="N183" t="inlineStr"/>
      <c r="O183" t="n">
        <v>0</v>
      </c>
      <c r="P183">
        <f>IF(B197=0,0,O183/B197)</f>
        <v/>
      </c>
      <c r="Q183">
        <f>IFERROR(1/IF(Inputs!$B$38="pvp",15,MAX(0.1,Skills!E25-IF(Skills!F25=TRUE,Inputs!$B$32,0))),0)</f>
        <v/>
      </c>
      <c r="R183" t="n">
        <v>0</v>
      </c>
    </row>
    <row r="184">
      <c r="A184">
        <f>Skills!A26</f>
        <v/>
      </c>
      <c r="B184">
        <f>Skills!B26</f>
        <v/>
      </c>
      <c r="C184">
        <f>Inputs!$B$3&gt;=120</f>
        <v/>
      </c>
      <c r="D184">
        <f>IF(Skills!C26=1,60+Inputs!$B$25+Inputs!$B$29,IF(Skills!C26=2,90+Inputs!$B$26+Inputs!$B$29,IF(Skills!C26=3,120+Inputs!$B$27+Inputs!$B$29,MAX(0,(Inputs!$B$3-100)*3)+Inputs!$B$28+Inputs!$B$29)))</f>
        <v/>
      </c>
      <c r="E184">
        <f>INDEX(FactorTable!$B$2:$Y$301, MATCH(ROUND(MIN(300,MAX(1,D184)),0), FactorTable!$A$2:$A$301,0), Skills!M26+1)</f>
        <v/>
      </c>
      <c r="F184">
        <f>IF(Skills!N26=TRUE,(Skills!L26/10)*(E184/1000),Skills!L26/10)+Skills!O26</f>
        <v/>
      </c>
      <c r="G184">
        <f>Calc!G26</f>
        <v/>
      </c>
      <c r="H184">
        <f>Calc!H26</f>
        <v/>
      </c>
      <c r="I184">
        <f>IF(Skills!X26&lt;&gt;"",1+(Skills!X26/10)*(Z161/1000)/100,1)</f>
        <v/>
      </c>
      <c r="J184" t="inlineStr"/>
      <c r="K184" t="inlineStr"/>
      <c r="L184" t="inlineStr"/>
      <c r="M184" t="inlineStr"/>
      <c r="N184" t="inlineStr"/>
      <c r="O184" t="n">
        <v>0</v>
      </c>
      <c r="P184">
        <f>IF(B197=0,0,O184/B197)</f>
        <v/>
      </c>
      <c r="Q184">
        <f>IFERROR(1/IF(Inputs!$B$38="pvp",15,MAX(0.1,Skills!E26-IF(Skills!F26=TRUE,Inputs!$B$32,0))),0)</f>
        <v/>
      </c>
      <c r="R184" t="n">
        <v>0</v>
      </c>
    </row>
    <row r="185">
      <c r="A185">
        <f>Skills!A27</f>
        <v/>
      </c>
      <c r="B185">
        <f>Skills!B27</f>
        <v/>
      </c>
      <c r="C185">
        <f>Inputs!$B$3&gt;=125</f>
        <v/>
      </c>
      <c r="D185">
        <f>IF(Skills!C27=1,60+Inputs!$B$25+Inputs!$B$29,IF(Skills!C27=2,90+Inputs!$B$26+Inputs!$B$29,IF(Skills!C27=3,120+Inputs!$B$27+Inputs!$B$29,MAX(0,(Inputs!$B$3-100)*3)+Inputs!$B$28+Inputs!$B$29)))</f>
        <v/>
      </c>
      <c r="E185">
        <f>INDEX(FactorTable!$B$2:$Y$301, MATCH(ROUND(MIN(300,MAX(1,D185)),0), FactorTable!$A$2:$A$301,0), Skills!M27+1)</f>
        <v/>
      </c>
      <c r="F185">
        <f>IF(Skills!N27=TRUE,(Skills!L27/10)*(E185/1000),Skills!L27/10)+Skills!O27</f>
        <v/>
      </c>
      <c r="G185">
        <f>Calc!G27</f>
        <v/>
      </c>
      <c r="H185">
        <f>Calc!H27</f>
        <v/>
      </c>
      <c r="I185">
        <f>IF(Skills!X27&lt;&gt;"",1+(Skills!X27/10)*(Z161/1000)/100,1)</f>
        <v/>
      </c>
      <c r="J185" t="inlineStr"/>
      <c r="K185" t="inlineStr"/>
      <c r="L185" t="inlineStr"/>
      <c r="M185" t="inlineStr"/>
      <c r="N185" t="inlineStr"/>
      <c r="O185" t="n">
        <v>0</v>
      </c>
      <c r="P185">
        <f>IF(B197=0,0,O185/B197)</f>
        <v/>
      </c>
      <c r="Q185">
        <f>IFERROR(1/IF(Inputs!$B$38="pvp",15,MAX(0.1,Skills!E27-IF(Skills!F27=TRUE,Inputs!$B$32,0))),0)</f>
        <v/>
      </c>
      <c r="R185" t="n">
        <v>0</v>
      </c>
    </row>
    <row r="186">
      <c r="A186">
        <f>Skills!A28</f>
        <v/>
      </c>
      <c r="B186">
        <f>Skills!B28</f>
        <v/>
      </c>
      <c r="C186">
        <f>Inputs!$B$3&gt;=118</f>
        <v/>
      </c>
      <c r="D186">
        <f>IF(Skills!C28=1,60+Inputs!$B$25+Inputs!$B$29,IF(Skills!C28=2,90+Inputs!$B$26+Inputs!$B$29,IF(Skills!C28=3,120+Inputs!$B$27+Inputs!$B$29,MAX(0,(Inputs!$B$3-100)*3)+Inputs!$B$28+Inputs!$B$29)))</f>
        <v/>
      </c>
      <c r="E186">
        <f>INDEX(FactorTable!$B$2:$Y$301, MATCH(ROUND(MIN(300,MAX(1,D186)),0), FactorTable!$A$2:$A$301,0), Skills!M28+1)</f>
        <v/>
      </c>
      <c r="F186">
        <f>IF(Skills!N28=TRUE,(Skills!L28/10)*(E186/1000),Skills!L28/10)+Skills!O28</f>
        <v/>
      </c>
      <c r="G186">
        <f>Calc!G28</f>
        <v/>
      </c>
      <c r="H186">
        <f>Calc!H28</f>
        <v/>
      </c>
      <c r="I186">
        <f>IF(Skills!X28&lt;&gt;"",1+(Skills!X28/10)*(Z161/1000)/100,1)</f>
        <v/>
      </c>
      <c r="J186">
        <f>((Inputs!$B$6*(1+Inputs!$B$7/100))+(((Inputs!$B$12*(1+Inputs!$B$13/100))-(Inputs!$B$12*(1+Inputs!$B$13/100)))+0.25*(Inputs!$B$14-Inputs!$B$14))*(1+Inputs!$B$7/100))*(F186/100)</f>
        <v/>
      </c>
      <c r="K186">
        <f>J186*(1+((Inputs!$B$12*(1+Inputs!$B$13/100))*0.01+Inputs!$B$14*0.0025)/100)*(1+Inputs!$B$15/100)*(1+IF(Inputs!$B$38="pvp",0,(1-Summary!$B$56)*(Inputs!$B$20+Skills!P28)+Summary!$B$56*(Inputs!$B$21+Skills!Q28))/100)*(1+(Inputs!$B$16+1)/100)*(5000/(6000+Inputs!$B$42*(1-Inputs!$B$19/100)))*(1+Inputs!$B$24/100)*(1+F181/100)*(1+IF(Inputs!$B$3&gt;=120,F184,0)/100)^5*(1+(IF(Skills!A28="BASIC_ATTACK",Inputs!$B$17,Inputs!$B$18+IF(Inputs!$B$3&gt;=125,F185*5,0)))/100)*(B188*B189*B190*I186)</f>
        <v/>
      </c>
      <c r="L186">
        <f>K186*(MIN(Inputs!$B$22+(F180-Calc!F22),Inputs!$B$23)/100+Inputs!$B$23/100)/2</f>
        <v/>
      </c>
      <c r="M186">
        <f>L186*(1+(Inputs!$B$10+(F179-Calc!F21))/100)</f>
        <v/>
      </c>
      <c r="N186">
        <f>L186*(1-MIN(Inputs!$B$9+(F178-Calc!F20),100)/100)+M186*(MIN(Inputs!$B$9+(F178-Calc!F20),100)/100)</f>
        <v/>
      </c>
      <c r="O186">
        <f>IF(C186,H186*N186*IF(AND(Inputs!$B$38&lt;&gt;"pvp",Inputs!$B$43&gt;0),((Skills!G28*((R186-1)*IF(Skills!H28&gt;0,Skills!I28/Skills!H28,1)+IF(Skills!H28&gt;0,MIN(Skills!I28,MAX(0,Inputs!$B$43-((R186-1)*IF(Inputs!$B$38="pvp",15,MAX(0.1,Skills!E28-IF(Skills!F28=TRUE,Inputs!$B$32,0))))))/Skills!H28,1)))/Inputs!$B$43),G186*Q186)*IF(Inputs!$B$38="pvp",1,(1-Summary!$B$56)*(1)+Summary!$B$56*(MIN(Skills!R28,Inputs!$B$37))),0)</f>
        <v/>
      </c>
      <c r="P186">
        <f>IF(B197=0,0,O186/B197)</f>
        <v/>
      </c>
      <c r="Q186">
        <f>IFERROR(1/IF(Inputs!$B$38="pvp",15,MAX(0.1,Skills!E28-IF(Skills!F28=TRUE,Inputs!$B$32,0))),0)</f>
        <v/>
      </c>
      <c r="R186">
        <f>IF(AND(Inputs!$B$38&lt;&gt;"pvp",Inputs!$B$43&gt;0),(INT(Inputs!$B$43/IF(Inputs!$B$38="pvp",15,MAX(0.1,Skills!E28-IF(Skills!F28=TRUE,Inputs!$B$32,0))))+1),0)</f>
        <v/>
      </c>
    </row>
    <row r="188">
      <c r="A188" t="inlineStr">
        <is>
          <t>Burning Magic Multiplier</t>
        </is>
      </c>
      <c r="B188">
        <f>1+(F169*Skills!Z11)/100</f>
        <v/>
      </c>
    </row>
    <row r="189">
      <c r="A189" t="inlineStr">
        <is>
          <t>Elemental Decrease Multiplier (always-on)</t>
        </is>
      </c>
      <c r="B189">
        <f>1+F170/100</f>
        <v/>
      </c>
    </row>
    <row r="190">
      <c r="A190" t="inlineStr">
        <is>
          <t>Average Buff Multiplier (Magic Guard + Meditation, summed; then Infinity)</t>
        </is>
      </c>
      <c r="B190">
        <f>(1+(F164*IF(AND(Inputs!$B$38&lt;&gt;"pvp",Inputs!$B$43&gt;0),(((R164-1)*(Skills!T6*(1+(Inputs!$B$34+IF(Inputs!$B$3&gt;=117,F183,0))/100))+MIN((Skills!T6*(1+(Inputs!$B$34+IF(Inputs!$B$3&gt;=117,F183,0))/100)),MAX(0,Inputs!$B$43-((R164-1)*Skills!E6))))/Inputs!$B$43),IF(Inputs!$B$38="pvp",MIN((Skills!T6*(1+(Inputs!$B$34+IF(Inputs!$B$3&gt;=117,F183,0))/100)),15)/15,(Skills!T6*(1+(Inputs!$B$34+IF(Inputs!$B$3&gt;=117,F183,0))/100))/Skills!E6))+F175*IF(AND(Inputs!$B$38&lt;&gt;"pvp",Inputs!$B$43&gt;0),(((R175-1)*(Skills!T17*(1+(Inputs!$B$34+IF(Inputs!$B$3&gt;=117,F183,0))/100))+MIN((Skills!T17*(1+(Inputs!$B$34+IF(Inputs!$B$3&gt;=117,F183,0))/100)),MAX(0,Inputs!$B$43-((R175-1)*Skills!E17))))/Inputs!$B$43),IF(Inputs!$B$38="pvp",MIN((Skills!T17*(1+(Inputs!$B$34+IF(Inputs!$B$3&gt;=117,F183,0))/100)),15)/15,(Skills!T17*(1+(Inputs!$B$34+IF(Inputs!$B$3&gt;=117,F183,0))/100))/Skills!E17)))/100)*IF(C177=TRUE,(1+F177*IF(AND(Inputs!$B$38&lt;&gt;"pvp",Inputs!$B$43&gt;0),(((R177-1)*(Skills!T19*(1+(Inputs!$B$34+IF(Inputs!$B$3&gt;=117,F183,0))/100))+MIN((Skills!T19*(1+(Inputs!$B$34+IF(Inputs!$B$3&gt;=117,F183,0))/100)),MAX(0,Inputs!$B$43-((R177-1)*Skills!E19))))/Inputs!$B$43),IF(Inputs!$B$38="pvp",MIN((Skills!T19*(1+(Inputs!$B$34+IF(Inputs!$B$3&gt;=117,F183,0))/100)),15)/15,(Skills!T19*(1+(Inputs!$B$34+IF(Inputs!$B$3&gt;=117,F183,0))/100))/Skills!E19))/100),1)</f>
        <v/>
      </c>
    </row>
    <row r="191">
      <c r="A191" t="inlineStr">
        <is>
          <t>Attack Speed Buff Bonus % (Nimble Feet, averaged)</t>
        </is>
      </c>
      <c r="B191">
        <f>F176*IF(AND(Inputs!$B$38&lt;&gt;"pvp",Inputs!$B$43&gt;0),(((R176-1)*(Skills!T18*(1+(Inputs!$B$34+IF(Inputs!$B$3&gt;=117,F183,0))/100))+MIN((Skills!T18*(1+(Inputs!$B$34+IF(Inputs!$B$3&gt;=117,F183,0))/100)),MAX(0,Inputs!$B$43-((R176-1)*Skills!E18))))/Inputs!$B$43),IF(Inputs!$B$38="pvp",MIN((Skills!T18*(1+(Inputs!$B$34+IF(Inputs!$B$3&gt;=117,F183,0))/100)),15)/15,(Skills!T18*(1+(Inputs!$B$34+IF(Inputs!$B$3&gt;=117,F183,0))/100))/Skills!E18))</f>
        <v/>
      </c>
    </row>
    <row r="192">
      <c r="A192" t="inlineStr">
        <is>
          <t>Actions Per Second</t>
        </is>
      </c>
      <c r="B192">
        <f>1+MIN(150,150*(1-(1-Inputs!$B$11/150)*(1-B191/150)))/100</f>
        <v/>
      </c>
    </row>
    <row r="193">
      <c r="A193" t="inlineStr">
        <is>
          <t>Skill + Buff Cast Rate</t>
        </is>
      </c>
      <c r="B193">
        <f>IF(AND(Inputs!$B$38&lt;&gt;"pvp",Inputs!$B$43&gt;0),SUMPRODUCT((Skills!F2:F28=TRUE)*(C160:C186=TRUE)*R160:R186)/Inputs!$B$43,SUMPRODUCT((Skills!F2:F28=TRUE)*(C160:C186=TRUE)*Q160:Q186))</f>
        <v/>
      </c>
    </row>
    <row r="194">
      <c r="A194" t="inlineStr">
        <is>
          <t>Basic Attacks Per Second</t>
        </is>
      </c>
      <c r="B194">
        <f>MAX(0,B192-B193)</f>
        <v/>
      </c>
    </row>
    <row r="195">
      <c r="A195" t="inlineStr">
        <is>
          <t>Meteor Proc — combined trigger cast rate</t>
        </is>
      </c>
      <c r="B195">
        <f>IF(AND(Inputs!$B$38&lt;&gt;"pvp",Inputs!$B$43&gt;0),SUMPRODUCT((Skills!V2:V28=TRUE)*(C160:C186=TRUE)*R160:R186*Skills!W2:W28)/Inputs!$B$43,SUMPRODUCT((Skills!V2:V28=TRUE)*(C160:C186=TRUE)*Q160:Q186*Skills!W2:W28))+B194</f>
        <v/>
      </c>
    </row>
    <row r="197">
      <c r="A197" s="5" t="inlineStr">
        <is>
          <t>TOTAL DPS</t>
        </is>
      </c>
      <c r="B197" s="5">
        <f>SUM(O160:O186)</f>
        <v/>
      </c>
    </row>
    <row r="200">
      <c r="A200" s="5" t="inlineStr">
        <is>
          <t>Stat: BOSS_DAMAGE %</t>
        </is>
      </c>
    </row>
    <row r="201">
      <c r="A201" s="9" t="inlineStr">
        <is>
          <t>Key</t>
        </is>
      </c>
      <c r="B201" s="9" t="inlineStr">
        <is>
          <t>Name</t>
        </is>
      </c>
      <c r="C201" s="9" t="inlineStr">
        <is>
          <t>Unlocked</t>
        </is>
      </c>
      <c r="D201" s="9" t="inlineStr">
        <is>
          <t>InputLevel</t>
        </is>
      </c>
      <c r="E201" s="9" t="inlineStr">
        <is>
          <t>Factor</t>
        </is>
      </c>
      <c r="F201" s="9" t="inlineStr">
        <is>
          <t>CoefficientPercent</t>
        </is>
      </c>
      <c r="G201" s="9" t="inlineStr">
        <is>
          <t>EffectiveHits</t>
        </is>
      </c>
      <c r="H201" s="9" t="inlineStr">
        <is>
          <t>ProcProbability</t>
        </is>
      </c>
      <c r="I201" s="9" t="inlineStr">
        <is>
          <t>MapleHeroMultiplier</t>
        </is>
      </c>
      <c r="J201" s="9" t="inlineStr">
        <is>
          <t>BaseDamage</t>
        </is>
      </c>
      <c r="K201" s="9" t="inlineStr">
        <is>
          <t>BaseHitDamage</t>
        </is>
      </c>
      <c r="L201" s="9" t="inlineStr">
        <is>
          <t>NonCritAvg</t>
        </is>
      </c>
      <c r="M201" s="9" t="inlineStr">
        <is>
          <t>CritAvg</t>
        </is>
      </c>
      <c r="N201" s="9" t="inlineStr">
        <is>
          <t>ExpectedDamage(perHit)</t>
        </is>
      </c>
      <c r="O201" s="9" t="inlineStr">
        <is>
          <t>DPS</t>
        </is>
      </c>
      <c r="P201" s="9" t="inlineStr">
        <is>
          <t>% of Total</t>
        </is>
      </c>
      <c r="R201" t="inlineStr">
        <is>
          <t>helpers</t>
        </is>
      </c>
    </row>
    <row r="202">
      <c r="A202">
        <f>Skills!A2</f>
        <v/>
      </c>
      <c r="B202">
        <f>Skills!B2</f>
        <v/>
      </c>
      <c r="C202">
        <f>TRUE</f>
        <v/>
      </c>
      <c r="D202" t="inlineStr"/>
      <c r="E202" t="inlineStr"/>
      <c r="F202">
        <f>T204+Skills!O2</f>
        <v/>
      </c>
      <c r="G202">
        <f>Calc!G2</f>
        <v/>
      </c>
      <c r="H202">
        <f>Calc!H2</f>
        <v/>
      </c>
      <c r="I202">
        <f>IF(Skills!X2&lt;&gt;"",1+(Skills!X2/10)*(Z203/1000)/100,1)</f>
        <v/>
      </c>
      <c r="J202">
        <f>((Inputs!$B$6*(1+Inputs!$B$7/100))+(((Inputs!$B$12*(1+Inputs!$B$13/100))-(Inputs!$B$12*(1+Inputs!$B$13/100)))+0.25*(Inputs!$B$14-Inputs!$B$14))*(1+Inputs!$B$7/100))*(F202/100)</f>
        <v/>
      </c>
      <c r="K202">
        <f>J202*(1+((Inputs!$B$12*(1+Inputs!$B$13/100))*0.01+Inputs!$B$14*0.0025)/100)*(1+Inputs!$B$15/100)*(1+IF(Inputs!$B$38="pvp",0,(1-Summary!$B$56)*((Inputs!$B$20+1)+Skills!P2)+Summary!$B$56*(Inputs!$B$21+Skills!Q2))/100)*(1+Inputs!$B$16/100)*(5000/(6000+Inputs!$B$42*(1-Inputs!$B$19/100)))*(1+Inputs!$B$24/100)*(1+F223/100)*(1+IF(Inputs!$B$3&gt;=120,F226,0)/100)^5*(1+(IF(Skills!A2="BASIC_ATTACK",Inputs!$B$17,Inputs!$B$18+IF(Inputs!$B$3&gt;=125,F227*5,0)))/100)*(B230*B231*B232*I202)</f>
        <v/>
      </c>
      <c r="L202">
        <f>K202*(MIN(Inputs!$B$22+(F222-Calc!F22),Inputs!$B$23)/100+Inputs!$B$23/100)/2</f>
        <v/>
      </c>
      <c r="M202">
        <f>L202*(1+(Inputs!$B$10+(F221-Calc!F21))/100)</f>
        <v/>
      </c>
      <c r="N202">
        <f>L202*(1-MIN(Inputs!$B$9+(F220-Calc!F20),100)/100)+M202*(MIN(Inputs!$B$9+(F220-Calc!F20),100)/100)</f>
        <v/>
      </c>
      <c r="O202">
        <f>Skills!G2*N202*B236*IF(Inputs!$B$38="pvp",1,(1-Summary!$B$56)*(1)+Summary!$B$56*(MIN((6+Inputs!$B$33+IF(Inputs!$B$3&gt;=136,1,0)),Inputs!$B$37)))</f>
        <v/>
      </c>
      <c r="P202">
        <f>IF(B239=0,0,O202/B239)</f>
        <v/>
      </c>
      <c r="Q202">
        <f>IFERROR(1/IF(Inputs!$B$38="pvp",15,MAX(0.1,Skills!E2-IF(Skills!F2=TRUE,Inputs!$B$32,0))),0)</f>
        <v/>
      </c>
      <c r="R202" t="n">
        <v>0</v>
      </c>
      <c r="T202">
        <f>MAX(0,(Inputs!$B$3-100)*3)+Inputs!$B$28+Inputs!$B$29</f>
        <v/>
      </c>
      <c r="Z202">
        <f>MAX(0,(Inputs!$B$3-100)*3)+Inputs!$B$28+Inputs!$B$29</f>
        <v/>
      </c>
    </row>
    <row r="203">
      <c r="A203">
        <f>Skills!A3</f>
        <v/>
      </c>
      <c r="B203">
        <f>Skills!B3</f>
        <v/>
      </c>
      <c r="C203">
        <f>TRUE</f>
        <v/>
      </c>
      <c r="D203">
        <f>IF(Skills!C3=1,60+Inputs!$B$25+Inputs!$B$29,IF(Skills!C3=2,90+Inputs!$B$26+Inputs!$B$29,IF(Skills!C3=3,120+Inputs!$B$27+Inputs!$B$29,MAX(0,(Inputs!$B$3-100)*3)+Inputs!$B$28+Inputs!$B$29)))</f>
        <v/>
      </c>
      <c r="E203">
        <f>INDEX(FactorTable!$B$2:$Y$301, MATCH(ROUND(MIN(300,MAX(1,D203)),0), FactorTable!$A$2:$A$301,0), Skills!M3+1)</f>
        <v/>
      </c>
      <c r="F203">
        <f>IF(Skills!N3=TRUE,(Skills!L3/10)*(E203/1000),Skills!L3/10)+Skills!O3</f>
        <v/>
      </c>
      <c r="G203">
        <f>Calc!G3</f>
        <v/>
      </c>
      <c r="H203">
        <f>Calc!H3</f>
        <v/>
      </c>
      <c r="I203">
        <f>IF(Skills!X3&lt;&gt;"",1+(Skills!X3/10)*(Z203/1000)/100,1)</f>
        <v/>
      </c>
      <c r="J203">
        <f>((Inputs!$B$6*(1+Inputs!$B$7/100))+(((Inputs!$B$12*(1+Inputs!$B$13/100))-(Inputs!$B$12*(1+Inputs!$B$13/100)))+0.25*(Inputs!$B$14-Inputs!$B$14))*(1+Inputs!$B$7/100))*(F203/100)</f>
        <v/>
      </c>
      <c r="K203">
        <f>J203*(1+((Inputs!$B$12*(1+Inputs!$B$13/100))*0.01+Inputs!$B$14*0.0025)/100)*(1+Inputs!$B$15/100)*(1+IF(Inputs!$B$38="pvp",0,(1-Summary!$B$56)*((Inputs!$B$20+1)+Skills!P3)+Summary!$B$56*(Inputs!$B$21+Skills!Q3))/100)*(1+Inputs!$B$16/100)*(5000/(6000+Inputs!$B$42*(1-Inputs!$B$19/100)))*(1+Inputs!$B$24/100)*(1+F223/100)*(1+IF(Inputs!$B$3&gt;=120,F226,0)/100)^5*(1+(IF(Skills!A3="BASIC_ATTACK",Inputs!$B$17,Inputs!$B$18+IF(Inputs!$B$3&gt;=125,F227*5,0)))/100)*(B230*B231*B232*I203)</f>
        <v/>
      </c>
      <c r="L203">
        <f>K203*(MIN(Inputs!$B$22+(F222-Calc!F22),Inputs!$B$23)/100+Inputs!$B$23/100)/2</f>
        <v/>
      </c>
      <c r="M203">
        <f>L203*(1+(Inputs!$B$10+(F221-Calc!F21))/100)</f>
        <v/>
      </c>
      <c r="N203">
        <f>L203*(1-MIN(Inputs!$B$9+(F220-Calc!F20),100)/100)+M203*(MIN(Inputs!$B$9+(F220-Calc!F20),100)/100)</f>
        <v/>
      </c>
      <c r="O203">
        <f>IF(C203,H203*N203*IF(AND(Inputs!$B$38&lt;&gt;"pvp",Inputs!$B$43&gt;0),((Skills!G3*((R203-1)*IF(Skills!H3&gt;0,Skills!I3/Skills!H3,1)+IF(Skills!H3&gt;0,MIN(Skills!I3,MAX(0,Inputs!$B$43-((R203-1)*IF(Inputs!$B$38="pvp",15,MAX(0.1,Skills!E3-IF(Skills!F3=TRUE,Inputs!$B$32,0))))))/Skills!H3,1)))/Inputs!$B$43),G203*Q203)*IF(Inputs!$B$38="pvp",1,(1-Summary!$B$56)*(1)+Summary!$B$56*(MIN(Skills!R3,Inputs!$B$37))),0)</f>
        <v/>
      </c>
      <c r="P203">
        <f>IF(B239=0,0,O203/B239)</f>
        <v/>
      </c>
      <c r="Q203">
        <f>IFERROR(1/IF(Inputs!$B$38="pvp",15,MAX(0.1,Skills!E3-IF(Skills!F3=TRUE,Inputs!$B$32,0))),0)</f>
        <v/>
      </c>
      <c r="R203">
        <f>IF(AND(Inputs!$B$38&lt;&gt;"pvp",Inputs!$B$43&gt;0),(INT(Inputs!$B$43/IF(Inputs!$B$38="pvp",15,MAX(0.1,Skills!E3-IF(Skills!F3=TRUE,Inputs!$B$32,0))))+1),0)</f>
        <v/>
      </c>
      <c r="T203">
        <f>INDEX(FactorTable!$B$2:$Y$301, MATCH(ROUND(MIN(300,MAX(1,T202)),0), FactorTable!$A$2:$A$301,0), 22)</f>
        <v/>
      </c>
      <c r="Z203">
        <f>INDEX(FactorTable!$B$2:$Y$301, MATCH(ROUND(MIN(300,MAX(1,Z202)),0), FactorTable!$A$2:$A$301,0), 24)</f>
        <v/>
      </c>
    </row>
    <row r="204">
      <c r="A204">
        <f>Skills!A4</f>
        <v/>
      </c>
      <c r="B204">
        <f>Skills!B4</f>
        <v/>
      </c>
      <c r="C204">
        <f>TRUE</f>
        <v/>
      </c>
      <c r="D204">
        <f>IF(Skills!C4=1,60+Inputs!$B$25+Inputs!$B$29,IF(Skills!C4=2,90+Inputs!$B$26+Inputs!$B$29,IF(Skills!C4=3,120+Inputs!$B$27+Inputs!$B$29,MAX(0,(Inputs!$B$3-100)*3)+Inputs!$B$28+Inputs!$B$29)))</f>
        <v/>
      </c>
      <c r="E204">
        <f>INDEX(FactorTable!$B$2:$Y$301, MATCH(ROUND(MIN(300,MAX(1,D204)),0), FactorTable!$A$2:$A$301,0), Skills!M4+1)</f>
        <v/>
      </c>
      <c r="F204">
        <f>IF(Skills!N4=TRUE,(Skills!L4/10)*(E204/1000),Skills!L4/10)+Skills!O4</f>
        <v/>
      </c>
      <c r="G204">
        <f>Calc!G4</f>
        <v/>
      </c>
      <c r="H204">
        <f>Calc!H4</f>
        <v/>
      </c>
      <c r="I204">
        <f>IF(Skills!X4&lt;&gt;"",1+(Skills!X4/10)*(Z203/1000)/100,1)</f>
        <v/>
      </c>
      <c r="J204">
        <f>((Inputs!$B$6*(1+Inputs!$B$7/100))+(((Inputs!$B$12*(1+Inputs!$B$13/100))-(Inputs!$B$12*(1+Inputs!$B$13/100)))+0.25*(Inputs!$B$14-Inputs!$B$14))*(1+Inputs!$B$7/100))*(F204/100)</f>
        <v/>
      </c>
      <c r="K204">
        <f>J204*(1+((Inputs!$B$12*(1+Inputs!$B$13/100))*0.01+Inputs!$B$14*0.0025)/100)*(1+Inputs!$B$15/100)*(1+IF(Inputs!$B$38="pvp",0,(1-Summary!$B$56)*((Inputs!$B$20+1)+Skills!P4)+Summary!$B$56*(Inputs!$B$21+Skills!Q4))/100)*(1+Inputs!$B$16/100)*(5000/(6000+Inputs!$B$42*(1-Inputs!$B$19/100)))*(1+Inputs!$B$24/100)*(1+F223/100)*(1+IF(Inputs!$B$3&gt;=120,F226,0)/100)^5*(1+(IF(Skills!A4="BASIC_ATTACK",Inputs!$B$17,Inputs!$B$18+IF(Inputs!$B$3&gt;=125,F227*5,0)))/100)*(B230*B231*B232*I204)</f>
        <v/>
      </c>
      <c r="L204">
        <f>K204*(MIN(Inputs!$B$22+(F222-Calc!F22),Inputs!$B$23)/100+Inputs!$B$23/100)/2</f>
        <v/>
      </c>
      <c r="M204">
        <f>L204*(1+(Inputs!$B$10+(F221-Calc!F21))/100)</f>
        <v/>
      </c>
      <c r="N204">
        <f>L204*(1-MIN(Inputs!$B$9+(F220-Calc!F20),100)/100)+M204*(MIN(Inputs!$B$9+(F220-Calc!F20),100)/100)</f>
        <v/>
      </c>
      <c r="O204">
        <f>IF(C204,H204*N204*IF(AND(Inputs!$B$38&lt;&gt;"pvp",Inputs!$B$43&gt;0),((Skills!G4*((R204-1)*IF(Skills!H4&gt;0,Skills!I4/Skills!H4,1)+IF(Skills!H4&gt;0,MIN(Skills!I4,MAX(0,Inputs!$B$43-((R204-1)*IF(Inputs!$B$38="pvp",15,MAX(0.1,Skills!E4-IF(Skills!F4=TRUE,Inputs!$B$32,0))))))/Skills!H4,1)))/Inputs!$B$43),G204*Q204)*IF(Inputs!$B$38="pvp",1,(1-Summary!$B$56)*(1)+Summary!$B$56*(MIN(Skills!R4,Inputs!$B$37))),0)</f>
        <v/>
      </c>
      <c r="P204">
        <f>IF(B239=0,0,O204/B239)</f>
        <v/>
      </c>
      <c r="Q204">
        <f>IFERROR(1/IF(Inputs!$B$38="pvp",15,MAX(0.1,Skills!E4-IF(Skills!F4=TRUE,Inputs!$B$32,0))),0)</f>
        <v/>
      </c>
      <c r="R204">
        <f>IF(AND(Inputs!$B$38&lt;&gt;"pvp",Inputs!$B$43&gt;0),(INT(Inputs!$B$43/IF(Inputs!$B$38="pvp",15,MAX(0.1,Skills!E4-IF(Skills!F4=TRUE,Inputs!$B$32,0))))+1),0)</f>
        <v/>
      </c>
      <c r="T204">
        <f>290*T203/1000</f>
        <v/>
      </c>
    </row>
    <row r="205">
      <c r="A205">
        <f>Skills!A5</f>
        <v/>
      </c>
      <c r="B205">
        <f>Skills!B5</f>
        <v/>
      </c>
      <c r="C205">
        <f>TRUE</f>
        <v/>
      </c>
      <c r="D205">
        <f>IF(Skills!C5=1,60+Inputs!$B$25+Inputs!$B$29,IF(Skills!C5=2,90+Inputs!$B$26+Inputs!$B$29,IF(Skills!C5=3,120+Inputs!$B$27+Inputs!$B$29,MAX(0,(Inputs!$B$3-100)*3)+Inputs!$B$28+Inputs!$B$29)))</f>
        <v/>
      </c>
      <c r="E205">
        <f>INDEX(FactorTable!$B$2:$Y$301, MATCH(ROUND(MIN(300,MAX(1,D205)),0), FactorTable!$A$2:$A$301,0), Skills!M5+1)</f>
        <v/>
      </c>
      <c r="F205">
        <f>IF(Skills!N5=TRUE,(Skills!L5/10)*(E205/1000),Skills!L5/10)+Skills!O5</f>
        <v/>
      </c>
      <c r="G205">
        <f>Calc!G5</f>
        <v/>
      </c>
      <c r="H205">
        <f>Calc!H5</f>
        <v/>
      </c>
      <c r="I205">
        <f>IF(Skills!X5&lt;&gt;"",1+(Skills!X5/10)*(Z203/1000)/100,1)</f>
        <v/>
      </c>
      <c r="J205">
        <f>((Inputs!$B$6*(1+Inputs!$B$7/100))+(((Inputs!$B$12*(1+Inputs!$B$13/100))-(Inputs!$B$12*(1+Inputs!$B$13/100)))+0.25*(Inputs!$B$14-Inputs!$B$14))*(1+Inputs!$B$7/100))*(F205/100)</f>
        <v/>
      </c>
      <c r="K205">
        <f>J205*(1+((Inputs!$B$12*(1+Inputs!$B$13/100))*0.01+Inputs!$B$14*0.0025)/100)*(1+Inputs!$B$15/100)*(1+IF(Inputs!$B$38="pvp",0,(1-Summary!$B$56)*((Inputs!$B$20+1)+Skills!P5)+Summary!$B$56*(Inputs!$B$21+Skills!Q5))/100)*(1+Inputs!$B$16/100)*(5000/(6000+Inputs!$B$42*(1-Inputs!$B$19/100)))*(1+Inputs!$B$24/100)*(1+F223/100)*(1+IF(Inputs!$B$3&gt;=120,F226,0)/100)^5*(1+(IF(Skills!A5="BASIC_ATTACK",Inputs!$B$17,Inputs!$B$18+IF(Inputs!$B$3&gt;=125,F227*5,0)))/100)*(B230*B231*B232*I205)</f>
        <v/>
      </c>
      <c r="L205">
        <f>K205*(MIN(Inputs!$B$22+(F222-Calc!F22),Inputs!$B$23)/100+Inputs!$B$23/100)/2</f>
        <v/>
      </c>
      <c r="M205">
        <f>L205*(1+(Inputs!$B$10+(F221-Calc!F21))/100)</f>
        <v/>
      </c>
      <c r="N205">
        <f>L205*(1-MIN(Inputs!$B$9+(F220-Calc!F20),100)/100)+M205*(MIN(Inputs!$B$9+(F220-Calc!F20),100)/100)</f>
        <v/>
      </c>
      <c r="O205">
        <f>IF(C205,H205*N205*IF(AND(Inputs!$B$38&lt;&gt;"pvp",Inputs!$B$43&gt;0),((Skills!G5*((R205-1)*IF(Skills!H5&gt;0,Skills!I5/Skills!H5,1)+IF(Skills!H5&gt;0,MIN(Skills!I5,MAX(0,Inputs!$B$43-((R205-1)*IF(Inputs!$B$38="pvp",15,MAX(0.1,Skills!E5-IF(Skills!F5=TRUE,Inputs!$B$32,0))))))/Skills!H5,1)))/Inputs!$B$43),G205*Q205)*IF(Inputs!$B$38="pvp",1,(1-Summary!$B$56)*(1)+Summary!$B$56*(MIN(Skills!R5,Inputs!$B$37))),0)</f>
        <v/>
      </c>
      <c r="P205">
        <f>IF(B239=0,0,O205/B239)</f>
        <v/>
      </c>
      <c r="Q205">
        <f>IFERROR(1/IF(Inputs!$B$38="pvp",15,MAX(0.1,Skills!E5-IF(Skills!F5=TRUE,Inputs!$B$32,0))),0)</f>
        <v/>
      </c>
      <c r="R205">
        <f>IF(AND(Inputs!$B$38&lt;&gt;"pvp",Inputs!$B$43&gt;0),(INT(Inputs!$B$43/IF(Inputs!$B$38="pvp",15,MAX(0.1,Skills!E5-IF(Skills!F5=TRUE,Inputs!$B$32,0))))+1),0)</f>
        <v/>
      </c>
    </row>
    <row r="206">
      <c r="A206">
        <f>Skills!A6</f>
        <v/>
      </c>
      <c r="B206">
        <f>Skills!B6</f>
        <v/>
      </c>
      <c r="C206">
        <f>TRUE</f>
        <v/>
      </c>
      <c r="D206">
        <f>IF(Skills!C6=1,60+Inputs!$B$25+Inputs!$B$29,IF(Skills!C6=2,90+Inputs!$B$26+Inputs!$B$29,IF(Skills!C6=3,120+Inputs!$B$27+Inputs!$B$29,MAX(0,(Inputs!$B$3-100)*3)+Inputs!$B$28+Inputs!$B$29)))</f>
        <v/>
      </c>
      <c r="E206">
        <f>INDEX(FactorTable!$B$2:$Y$301, MATCH(ROUND(MIN(300,MAX(1,D206)),0), FactorTable!$A$2:$A$301,0), Skills!M6+1)</f>
        <v/>
      </c>
      <c r="F206">
        <f>IF(Skills!N6=TRUE,(Skills!L6/10)*(E206/1000),Skills!L6/10)+Skills!O6</f>
        <v/>
      </c>
      <c r="G206">
        <f>Calc!G6</f>
        <v/>
      </c>
      <c r="H206">
        <f>Calc!H6</f>
        <v/>
      </c>
      <c r="I206">
        <f>IF(Skills!X6&lt;&gt;"",1+(Skills!X6/10)*(Z203/1000)/100,1)</f>
        <v/>
      </c>
      <c r="J206" t="inlineStr"/>
      <c r="K206" t="inlineStr"/>
      <c r="L206" t="inlineStr"/>
      <c r="M206" t="inlineStr"/>
      <c r="N206" t="inlineStr"/>
      <c r="O206" t="n">
        <v>0</v>
      </c>
      <c r="P206">
        <f>IF(B239=0,0,O206/B239)</f>
        <v/>
      </c>
      <c r="Q206">
        <f>IFERROR(1/IF(Inputs!$B$38="pvp",15,MAX(0.1,Skills!E6-IF(Skills!F6=TRUE,Inputs!$B$32,0))),0)</f>
        <v/>
      </c>
      <c r="R206">
        <f>IF(AND(Inputs!$B$38&lt;&gt;"pvp",Inputs!$B$43&gt;0),(INT(Inputs!$B$43/IF(Inputs!$B$38="pvp",15,MAX(0.1,Skills!E6-IF(Skills!F6=TRUE,Inputs!$B$32,0))))+1),0)</f>
        <v/>
      </c>
    </row>
    <row r="207">
      <c r="A207">
        <f>Skills!A7</f>
        <v/>
      </c>
      <c r="B207">
        <f>Skills!B7</f>
        <v/>
      </c>
      <c r="C207">
        <f>TRUE</f>
        <v/>
      </c>
      <c r="D207">
        <f>IF(Skills!C7=1,60+Inputs!$B$25+Inputs!$B$29,IF(Skills!C7=2,90+Inputs!$B$26+Inputs!$B$29,IF(Skills!C7=3,120+Inputs!$B$27+Inputs!$B$29,MAX(0,(Inputs!$B$3-100)*3)+Inputs!$B$28+Inputs!$B$29)))</f>
        <v/>
      </c>
      <c r="E207">
        <f>INDEX(FactorTable!$B$2:$Y$301, MATCH(ROUND(MIN(300,MAX(1,D207)),0), FactorTable!$A$2:$A$301,0), Skills!M7+1)</f>
        <v/>
      </c>
      <c r="F207">
        <f>IF(Skills!N7=TRUE,(Skills!L7/10)*(E207/1000),Skills!L7/10)+Skills!O7</f>
        <v/>
      </c>
      <c r="G207">
        <f>Calc!G7</f>
        <v/>
      </c>
      <c r="H207">
        <f>Calc!H7</f>
        <v/>
      </c>
      <c r="I207">
        <f>IF(Skills!X7&lt;&gt;"",1+(Skills!X7/10)*(Z203/1000)/100,1)</f>
        <v/>
      </c>
      <c r="J207">
        <f>((Inputs!$B$6*(1+Inputs!$B$7/100))+(((Inputs!$B$12*(1+Inputs!$B$13/100))-(Inputs!$B$12*(1+Inputs!$B$13/100)))+0.25*(Inputs!$B$14-Inputs!$B$14))*(1+Inputs!$B$7/100))*(F207/100)</f>
        <v/>
      </c>
      <c r="K207">
        <f>J207*(1+((Inputs!$B$12*(1+Inputs!$B$13/100))*0.01+Inputs!$B$14*0.0025)/100)*(1+Inputs!$B$15/100)*(1+IF(Inputs!$B$38="pvp",0,(1-Summary!$B$56)*((Inputs!$B$20+1)+Skills!P7)+Summary!$B$56*(Inputs!$B$21+Skills!Q7))/100)*(1+Inputs!$B$16/100)*(5000/(6000+Inputs!$B$42*(1-Inputs!$B$19/100)))*(1+Inputs!$B$24/100)*(1+F223/100)*(1+IF(Inputs!$B$3&gt;=120,F226,0)/100)^5*(1+(IF(Skills!A7="BASIC_ATTACK",Inputs!$B$17,Inputs!$B$18+IF(Inputs!$B$3&gt;=125,F227*5,0)))/100)*(B230*B231*B232*I207)</f>
        <v/>
      </c>
      <c r="L207">
        <f>K207*(MIN(Inputs!$B$22+(F222-Calc!F22),Inputs!$B$23)/100+Inputs!$B$23/100)/2</f>
        <v/>
      </c>
      <c r="M207">
        <f>L207*(1+(Inputs!$B$10+(F221-Calc!F21))/100)</f>
        <v/>
      </c>
      <c r="N207">
        <f>L207*(1-MIN(Inputs!$B$9+(F220-Calc!F20),100)/100)+M207*(MIN(Inputs!$B$9+(F220-Calc!F20),100)/100)</f>
        <v/>
      </c>
      <c r="O207">
        <f>IF(C207,H207*N207*IF(AND(Inputs!$B$38&lt;&gt;"pvp",Inputs!$B$43&gt;0),((Skills!G7*((R207-1)*IF(Skills!H7&gt;0,Skills!I7/Skills!H7,1)+IF(Skills!H7&gt;0,MIN(Skills!I7,MAX(0,Inputs!$B$43-((R207-1)*IF(Inputs!$B$38="pvp",15,MAX(0.1,Skills!E7-IF(Skills!F7=TRUE,Inputs!$B$32,0))))))/Skills!H7,1)))/Inputs!$B$43),G207*Q207)*IF(Inputs!$B$38="pvp",1,(1-Summary!$B$56)*(1)+Summary!$B$56*(MIN(Skills!R7,Inputs!$B$37))),0)</f>
        <v/>
      </c>
      <c r="P207">
        <f>IF(B239=0,0,O207/B239)</f>
        <v/>
      </c>
      <c r="Q207">
        <f>IFERROR(1/IF(Inputs!$B$38="pvp",15,MAX(0.1,Skills!E7-IF(Skills!F7=TRUE,Inputs!$B$32,0))),0)</f>
        <v/>
      </c>
      <c r="R207">
        <f>IF(AND(Inputs!$B$38&lt;&gt;"pvp",Inputs!$B$43&gt;0),(INT(Inputs!$B$43/IF(Inputs!$B$38="pvp",15,MAX(0.1,Skills!E7-IF(Skills!F7=TRUE,Inputs!$B$32,0))))+1),0)</f>
        <v/>
      </c>
    </row>
    <row r="208">
      <c r="A208">
        <f>Skills!A8</f>
        <v/>
      </c>
      <c r="B208">
        <f>Skills!B8</f>
        <v/>
      </c>
      <c r="C208">
        <f>TRUE</f>
        <v/>
      </c>
      <c r="D208">
        <f>IF(Skills!C8=1,60+Inputs!$B$25+Inputs!$B$29,IF(Skills!C8=2,90+Inputs!$B$26+Inputs!$B$29,IF(Skills!C8=3,120+Inputs!$B$27+Inputs!$B$29,MAX(0,(Inputs!$B$3-100)*3)+Inputs!$B$28+Inputs!$B$29)))</f>
        <v/>
      </c>
      <c r="E208">
        <f>INDEX(FactorTable!$B$2:$Y$301, MATCH(ROUND(MIN(300,MAX(1,D208)),0), FactorTable!$A$2:$A$301,0), Skills!M8+1)</f>
        <v/>
      </c>
      <c r="F208">
        <f>IF(Skills!N8=TRUE,(Skills!L8/10)*(E208/1000),Skills!L8/10)+Skills!O8</f>
        <v/>
      </c>
      <c r="G208">
        <f>Calc!G8</f>
        <v/>
      </c>
      <c r="H208">
        <f>Calc!H8</f>
        <v/>
      </c>
      <c r="I208">
        <f>IF(Skills!X8&lt;&gt;"",1+(Skills!X8/10)*(Z203/1000)/100,1)</f>
        <v/>
      </c>
      <c r="J208">
        <f>((Inputs!$B$6*(1+Inputs!$B$7/100))+(((Inputs!$B$12*(1+Inputs!$B$13/100))-(Inputs!$B$12*(1+Inputs!$B$13/100)))+0.25*(Inputs!$B$14-Inputs!$B$14))*(1+Inputs!$B$7/100))*(F208/100)</f>
        <v/>
      </c>
      <c r="K208">
        <f>J208*(1+((Inputs!$B$12*(1+Inputs!$B$13/100))*0.01+Inputs!$B$14*0.0025)/100)*(1+Inputs!$B$15/100)*(1+IF(Inputs!$B$38="pvp",0,(1-Summary!$B$56)*((Inputs!$B$20+1)+Skills!P8)+Summary!$B$56*(Inputs!$B$21+Skills!Q8))/100)*(1+Inputs!$B$16/100)*(5000/(6000+Inputs!$B$42*(1-Inputs!$B$19/100)))*(1+Inputs!$B$24/100)*(1+F223/100)*(1+IF(Inputs!$B$3&gt;=120,F226,0)/100)^5*(1+(IF(Skills!A8="BASIC_ATTACK",Inputs!$B$17,Inputs!$B$18+IF(Inputs!$B$3&gt;=125,F227*5,0)))/100)*(B230*B231*B232*I208)</f>
        <v/>
      </c>
      <c r="L208">
        <f>K208*(MIN(Inputs!$B$22+(F222-Calc!F22),Inputs!$B$23)/100+Inputs!$B$23/100)/2</f>
        <v/>
      </c>
      <c r="M208">
        <f>L208*(1+(Inputs!$B$10+(F221-Calc!F21))/100)</f>
        <v/>
      </c>
      <c r="N208">
        <f>L208*(1-MIN(Inputs!$B$9+(F220-Calc!F20),100)/100)+M208*(MIN(Inputs!$B$9+(F220-Calc!F20),100)/100)</f>
        <v/>
      </c>
      <c r="O208">
        <f>IF(C208,H208*N208*IF(AND(Inputs!$B$38&lt;&gt;"pvp",Inputs!$B$43&gt;0),((Skills!G8*((R208-1)*IF(Skills!H8&gt;0,Skills!I8/Skills!H8,1)+IF(Skills!H8&gt;0,MIN(Skills!I8,MAX(0,Inputs!$B$43-((R208-1)*IF(Inputs!$B$38="pvp",15,MAX(0.1,Skills!E8-IF(Skills!F8=TRUE,Inputs!$B$32,0))))))/Skills!H8,1)))/Inputs!$B$43),G208*Q208)*IF(Inputs!$B$38="pvp",1,(1-Summary!$B$56)*(1)+Summary!$B$56*(MIN(Skills!R8,Inputs!$B$37))),0)</f>
        <v/>
      </c>
      <c r="P208">
        <f>IF(B239=0,0,O208/B239)</f>
        <v/>
      </c>
      <c r="Q208">
        <f>IFERROR(1/IF(Inputs!$B$38="pvp",15,MAX(0.1,Skills!E8-IF(Skills!F8=TRUE,Inputs!$B$32,0))),0)</f>
        <v/>
      </c>
      <c r="R208">
        <f>IF(AND(Inputs!$B$38&lt;&gt;"pvp",Inputs!$B$43&gt;0),(INT(Inputs!$B$43/IF(Inputs!$B$38="pvp",15,MAX(0.1,Skills!E8-IF(Skills!F8=TRUE,Inputs!$B$32,0))))+1),0)</f>
        <v/>
      </c>
    </row>
    <row r="209">
      <c r="A209">
        <f>Skills!A9</f>
        <v/>
      </c>
      <c r="B209">
        <f>Skills!B9</f>
        <v/>
      </c>
      <c r="C209">
        <f>Inputs!$B$3&gt;=103</f>
        <v/>
      </c>
      <c r="D209">
        <f>IF(Skills!C9=1,60+Inputs!$B$25+Inputs!$B$29,IF(Skills!C9=2,90+Inputs!$B$26+Inputs!$B$29,IF(Skills!C9=3,120+Inputs!$B$27+Inputs!$B$29,MAX(0,(Inputs!$B$3-100)*3)+Inputs!$B$28+Inputs!$B$29)))</f>
        <v/>
      </c>
      <c r="E209">
        <f>INDEX(FactorTable!$B$2:$Y$301, MATCH(ROUND(MIN(300,MAX(1,D209)),0), FactorTable!$A$2:$A$301,0), Skills!M9+1)</f>
        <v/>
      </c>
      <c r="F209">
        <f>IF(Skills!N9=TRUE,(Skills!L9/10)*(E209/1000),Skills!L9/10)+Skills!O9</f>
        <v/>
      </c>
      <c r="G209">
        <f>Calc!G9</f>
        <v/>
      </c>
      <c r="H209">
        <f>Calc!H9</f>
        <v/>
      </c>
      <c r="I209">
        <f>IF(Skills!X9&lt;&gt;"",1+(Skills!X9/10)*(Z203/1000)/100,1)</f>
        <v/>
      </c>
      <c r="J209">
        <f>((Inputs!$B$6*(1+Inputs!$B$7/100))+(((Inputs!$B$12*(1+Inputs!$B$13/100))-(Inputs!$B$12*(1+Inputs!$B$13/100)))+0.25*(Inputs!$B$14-Inputs!$B$14))*(1+Inputs!$B$7/100))*(F209/100)</f>
        <v/>
      </c>
      <c r="K209">
        <f>J209*(1+((Inputs!$B$12*(1+Inputs!$B$13/100))*0.01+Inputs!$B$14*0.0025)/100)*(1+Inputs!$B$15/100)*(1+IF(Inputs!$B$38="pvp",0,(1-Summary!$B$56)*((Inputs!$B$20+1)+Skills!P9)+Summary!$B$56*(Inputs!$B$21+Skills!Q9))/100)*(1+Inputs!$B$16/100)*(5000/(6000+Inputs!$B$42*(1-Inputs!$B$19/100)))*(1+Inputs!$B$24/100)*(1+F223/100)*(1+IF(Inputs!$B$3&gt;=120,F226,0)/100)^5*(1+(IF(Skills!A9="BASIC_ATTACK",Inputs!$B$17,Inputs!$B$18+IF(Inputs!$B$3&gt;=125,F227*5,0)))/100)*(B230*B231*B232*I209)</f>
        <v/>
      </c>
      <c r="L209">
        <f>K209*(MIN(Inputs!$B$22+(F222-Calc!F22),Inputs!$B$23)/100+Inputs!$B$23/100)/2</f>
        <v/>
      </c>
      <c r="M209">
        <f>L209*(1+(Inputs!$B$10+(F221-Calc!F21))/100)</f>
        <v/>
      </c>
      <c r="N209">
        <f>L209*(1-MIN(Inputs!$B$9+(F220-Calc!F20),100)/100)+M209*(MIN(Inputs!$B$9+(F220-Calc!F20),100)/100)</f>
        <v/>
      </c>
      <c r="O209">
        <f>IF(C209,H209*N209*IF(AND(Inputs!$B$38&lt;&gt;"pvp",Inputs!$B$43&gt;0),((Skills!G9*((R209-1)*IF(Skills!H9&gt;0,Skills!I9/Skills!H9,1)+IF(Skills!H9&gt;0,MIN(Skills!I9,MAX(0,Inputs!$B$43-((R209-1)*IF(Inputs!$B$38="pvp",15,MAX(0.1,Skills!E9-IF(Skills!F7=TRUE,Inputs!$B$32,0))))))/Skills!H9,1)))/Inputs!$B$43),G209*Q209)*IF(Inputs!$B$38="pvp",1,(1-Summary!$B$56)*(1)+Summary!$B$56*(MIN(Skills!R9,Inputs!$B$37))),0)</f>
        <v/>
      </c>
      <c r="P209">
        <f>IF(B239=0,0,O209/B239)</f>
        <v/>
      </c>
      <c r="Q209">
        <f>IFERROR(1/IF(Inputs!$B$38="pvp",15,MAX(0.1,Skills!E9-IF(Skills!F7=TRUE,Inputs!$B$32,0))),0)</f>
        <v/>
      </c>
      <c r="R209">
        <f>IF(AND(Inputs!$B$38&lt;&gt;"pvp",Inputs!$B$43&gt;0),(INT(Inputs!$B$43/IF(Inputs!$B$38="pvp",15,MAX(0.1,Skills!E9-IF(Skills!F7=TRUE,Inputs!$B$32,0))))+1),0)</f>
        <v/>
      </c>
    </row>
    <row r="210">
      <c r="A210">
        <f>Skills!A10</f>
        <v/>
      </c>
      <c r="B210">
        <f>Skills!B10</f>
        <v/>
      </c>
      <c r="C210">
        <f>TRUE</f>
        <v/>
      </c>
      <c r="D210">
        <f>IF(Skills!C10=1,60+Inputs!$B$25+Inputs!$B$29,IF(Skills!C10=2,90+Inputs!$B$26+Inputs!$B$29,IF(Skills!C10=3,120+Inputs!$B$27+Inputs!$B$29,MAX(0,(Inputs!$B$3-100)*3)+Inputs!$B$28+Inputs!$B$29)))</f>
        <v/>
      </c>
      <c r="E210">
        <f>INDEX(FactorTable!$B$2:$Y$301, MATCH(ROUND(MIN(300,MAX(1,D210)),0), FactorTable!$A$2:$A$301,0), Skills!M10+1)</f>
        <v/>
      </c>
      <c r="F210">
        <f>IF(Skills!N10=TRUE,(Skills!L10/10)*(E210/1000),Skills!L10/10)+Skills!O10</f>
        <v/>
      </c>
      <c r="G210">
        <f>Calc!G10</f>
        <v/>
      </c>
      <c r="H210">
        <f>Calc!H10</f>
        <v/>
      </c>
      <c r="I210">
        <f>IF(Skills!X10&lt;&gt;"",1+(Skills!X10/10)*(Z203/1000)/100,1)</f>
        <v/>
      </c>
      <c r="J210">
        <f>((Inputs!$B$6*(1+Inputs!$B$7/100))+(((Inputs!$B$12*(1+Inputs!$B$13/100))-(Inputs!$B$12*(1+Inputs!$B$13/100)))+0.25*(Inputs!$B$14-Inputs!$B$14))*(1+Inputs!$B$7/100))*(F210/100)</f>
        <v/>
      </c>
      <c r="K210">
        <f>J210*(1+((Inputs!$B$12*(1+Inputs!$B$13/100))*0.01+Inputs!$B$14*0.0025)/100)*(1+Inputs!$B$15/100)*(1+IF(Inputs!$B$38="pvp",0,(1-Summary!$B$56)*((Inputs!$B$20+1)+Skills!P10)+Summary!$B$56*(Inputs!$B$21+Skills!Q10))/100)*(1+Inputs!$B$16/100)*(5000/(6000+Inputs!$B$42*(1-Inputs!$B$19/100)))*(1+Inputs!$B$24/100)*(1+F223/100)*(1+IF(Inputs!$B$3&gt;=120,F226,0)/100)^5*(1+(IF(Skills!A10="BASIC_ATTACK",Inputs!$B$17,Inputs!$B$18+IF(Inputs!$B$3&gt;=125,F227*5,0)))/100)*(B230*B231*B232*I210)</f>
        <v/>
      </c>
      <c r="L210">
        <f>K210*(MIN(Inputs!$B$22+(F222-Calc!F22),Inputs!$B$23)/100+Inputs!$B$23/100)/2</f>
        <v/>
      </c>
      <c r="M210">
        <f>L210*(1+(Inputs!$B$10+(F221-Calc!F21))/100)</f>
        <v/>
      </c>
      <c r="N210">
        <f>L210*(1-MIN(Inputs!$B$9+(F220-Calc!F20),100)/100)+M210*(MIN(Inputs!$B$9+(F220-Calc!F20),100)/100)</f>
        <v/>
      </c>
      <c r="O210">
        <f>IF(C210,H210*N210*IF(AND(Inputs!$B$38&lt;&gt;"pvp",Inputs!$B$43&gt;0),((Skills!G10*((R210-1)*IF(Skills!H10&gt;0,Skills!I10/Skills!H10,1)+IF(Skills!H10&gt;0,MIN(Skills!I10,MAX(0,Inputs!$B$43-((R210-1)*IF(Inputs!$B$38="pvp",15,MAX(0.1,Skills!E10-IF(Skills!F10=TRUE,Inputs!$B$32,0))))))/Skills!H10,1)))/Inputs!$B$43),G210*Q210)*IF(Inputs!$B$38="pvp",1,(1-Summary!$B$56)*(1)+Summary!$B$56*(MIN(Skills!R10,Inputs!$B$37))),0)</f>
        <v/>
      </c>
      <c r="P210">
        <f>IF(B239=0,0,O210/B239)</f>
        <v/>
      </c>
      <c r="Q210">
        <f>IFERROR(1/IF(Inputs!$B$38="pvp",15,MAX(0.1,Skills!E10-IF(Skills!F10=TRUE,Inputs!$B$32,0))),0)</f>
        <v/>
      </c>
      <c r="R210">
        <f>IF(AND(Inputs!$B$38&lt;&gt;"pvp",Inputs!$B$43&gt;0),(INT(Inputs!$B$43/IF(Inputs!$B$38="pvp",15,MAX(0.1,Skills!E10-IF(Skills!F10=TRUE,Inputs!$B$32,0))))+1),0)</f>
        <v/>
      </c>
    </row>
    <row r="211">
      <c r="A211">
        <f>Skills!A11</f>
        <v/>
      </c>
      <c r="B211">
        <f>Skills!B11</f>
        <v/>
      </c>
      <c r="C211">
        <f>TRUE</f>
        <v/>
      </c>
      <c r="D211">
        <f>IF(Skills!C11=1,60+Inputs!$B$25+Inputs!$B$29,IF(Skills!C11=2,90+Inputs!$B$26+Inputs!$B$29,IF(Skills!C11=3,120+Inputs!$B$27+Inputs!$B$29,MAX(0,(Inputs!$B$3-100)*3)+Inputs!$B$28+Inputs!$B$29)))</f>
        <v/>
      </c>
      <c r="E211">
        <f>INDEX(FactorTable!$B$2:$Y$301, MATCH(ROUND(MIN(300,MAX(1,D211)),0), FactorTable!$A$2:$A$301,0), Skills!M11+1)</f>
        <v/>
      </c>
      <c r="F211">
        <f>IF(Skills!N11=TRUE,(Skills!L11/10)*(E211/1000),Skills!L11/10)+Skills!O11</f>
        <v/>
      </c>
      <c r="G211">
        <f>Calc!G11</f>
        <v/>
      </c>
      <c r="H211">
        <f>Calc!H11</f>
        <v/>
      </c>
      <c r="I211">
        <f>IF(Skills!X11&lt;&gt;"",1+(Skills!X11/10)*(Z203/1000)/100,1)</f>
        <v/>
      </c>
      <c r="J211" t="inlineStr"/>
      <c r="K211" t="inlineStr"/>
      <c r="L211" t="inlineStr"/>
      <c r="M211" t="inlineStr"/>
      <c r="N211" t="inlineStr"/>
      <c r="O211" t="n">
        <v>0</v>
      </c>
      <c r="P211">
        <f>IF(B239=0,0,O211/B239)</f>
        <v/>
      </c>
      <c r="Q211">
        <f>IFERROR(1/IF(Inputs!$B$38="pvp",15,MAX(0.1,Skills!E11-IF(Skills!F11=TRUE,Inputs!$B$32,0))),0)</f>
        <v/>
      </c>
      <c r="R211" t="n">
        <v>0</v>
      </c>
    </row>
    <row r="212">
      <c r="A212">
        <f>Skills!A12</f>
        <v/>
      </c>
      <c r="B212">
        <f>Skills!B12</f>
        <v/>
      </c>
      <c r="C212">
        <f>TRUE</f>
        <v/>
      </c>
      <c r="D212">
        <f>IF(Skills!C12=1,60+Inputs!$B$25+Inputs!$B$29,IF(Skills!C12=2,90+Inputs!$B$26+Inputs!$B$29,IF(Skills!C12=3,120+Inputs!$B$27+Inputs!$B$29,MAX(0,(Inputs!$B$3-100)*3)+Inputs!$B$28+Inputs!$B$29)))</f>
        <v/>
      </c>
      <c r="E212">
        <f>INDEX(FactorTable!$B$2:$Y$301, MATCH(ROUND(MIN(300,MAX(1,D212)),0), FactorTable!$A$2:$A$301,0), Skills!M12+1)</f>
        <v/>
      </c>
      <c r="F212">
        <f>IF(Skills!N12=TRUE,(Skills!L12/10)*(E212/1000),Skills!L12/10)+Skills!O12</f>
        <v/>
      </c>
      <c r="G212">
        <f>Calc!G12</f>
        <v/>
      </c>
      <c r="H212">
        <f>Calc!H12</f>
        <v/>
      </c>
      <c r="I212">
        <f>IF(Skills!X12&lt;&gt;"",1+(Skills!X12/10)*(Z203/1000)/100,1)</f>
        <v/>
      </c>
      <c r="J212" t="inlineStr"/>
      <c r="K212" t="inlineStr"/>
      <c r="L212" t="inlineStr"/>
      <c r="M212" t="inlineStr"/>
      <c r="N212" t="inlineStr"/>
      <c r="O212" t="n">
        <v>0</v>
      </c>
      <c r="P212">
        <f>IF(B239=0,0,O212/B239)</f>
        <v/>
      </c>
      <c r="Q212">
        <f>IFERROR(1/IF(Inputs!$B$38="pvp",15,MAX(0.1,Skills!E12-IF(Skills!F12=TRUE,Inputs!$B$32,0))),0)</f>
        <v/>
      </c>
      <c r="R212" t="n">
        <v>0</v>
      </c>
    </row>
    <row r="213">
      <c r="A213">
        <f>Skills!A13</f>
        <v/>
      </c>
      <c r="B213">
        <f>Skills!B13</f>
        <v/>
      </c>
      <c r="C213">
        <f>Inputs!$B$3&gt;=105</f>
        <v/>
      </c>
      <c r="D213">
        <f>IF(Skills!C13=1,60+Inputs!$B$25+Inputs!$B$29,IF(Skills!C13=2,90+Inputs!$B$26+Inputs!$B$29,IF(Skills!C13=3,120+Inputs!$B$27+Inputs!$B$29,MAX(0,(Inputs!$B$3-100)*3)+Inputs!$B$28+Inputs!$B$29)))</f>
        <v/>
      </c>
      <c r="E213">
        <f>INDEX(FactorTable!$B$2:$Y$301, MATCH(ROUND(MIN(300,MAX(1,D213)),0), FactorTable!$A$2:$A$301,0), Skills!M13+1)</f>
        <v/>
      </c>
      <c r="F213">
        <f>IF(Skills!N13=TRUE,(Skills!L13/10)*(E213/1000),Skills!L13/10)+Skills!O13</f>
        <v/>
      </c>
      <c r="G213">
        <f>Calc!G13</f>
        <v/>
      </c>
      <c r="H213">
        <f>Calc!H13</f>
        <v/>
      </c>
      <c r="I213">
        <f>IF(Skills!X13&lt;&gt;"",1+(Skills!X13/10)*(Z203/1000)/100,1)</f>
        <v/>
      </c>
      <c r="J213">
        <f>((Inputs!$B$6*(1+Inputs!$B$7/100))+(((Inputs!$B$12*(1+Inputs!$B$13/100))-(Inputs!$B$12*(1+Inputs!$B$13/100)))+0.25*(Inputs!$B$14-Inputs!$B$14))*(1+Inputs!$B$7/100))*(F213/100)</f>
        <v/>
      </c>
      <c r="K213">
        <f>J213*(1+((Inputs!$B$12*(1+Inputs!$B$13/100))*0.01+Inputs!$B$14*0.0025)/100)*(1+Inputs!$B$15/100)*(1+IF(Inputs!$B$38="pvp",0,(1-Summary!$B$56)*((Inputs!$B$20+1)+Skills!P13)+Summary!$B$56*(Inputs!$B$21+Skills!Q13))/100)*(1+Inputs!$B$16/100)*(5000/(6000+Inputs!$B$42*(1-Inputs!$B$19/100)))*(1+Inputs!$B$24/100)*(1+F223/100)*(1+IF(Inputs!$B$3&gt;=120,F226,0)/100)^5*(1+(IF(Skills!A13="BASIC_ATTACK",Inputs!$B$17,Inputs!$B$18+IF(Inputs!$B$3&gt;=125,F227*5,0)))/100)*(B230*B231*B232*I213)</f>
        <v/>
      </c>
      <c r="L213">
        <f>K213*(MIN(Inputs!$B$22+(F222-Calc!F22),Inputs!$B$23)/100+Inputs!$B$23/100)/2</f>
        <v/>
      </c>
      <c r="M213">
        <f>L213*(1+(Inputs!$B$10+(F221-Calc!F21))/100)</f>
        <v/>
      </c>
      <c r="N213">
        <f>L213*(1-MIN(Inputs!$B$9+(F220-Calc!F20),100)/100)+M213*(MIN(Inputs!$B$9+(F220-Calc!F20),100)/100)</f>
        <v/>
      </c>
      <c r="O213">
        <f>IF(C213,H213*N213*IF(AND(Inputs!$B$38&lt;&gt;"pvp",Inputs!$B$43&gt;0),((Skills!G13*((R213-1)*IF(Skills!H13&gt;0,Skills!I13/Skills!H13,1)+IF(Skills!H13&gt;0,MIN(Skills!I13,MAX(0,Inputs!$B$43-((R213-1)*IF(Inputs!$B$38="pvp",15,MAX(0.1,Skills!E13-IF(Skills!F13=TRUE,Inputs!$B$32,0))))))/Skills!H13,1)))/Inputs!$B$43),G213*Q213)*IF(Inputs!$B$38="pvp",1,(1-Summary!$B$56)*(1)+Summary!$B$56*(MIN(Skills!R13,Inputs!$B$37))),0)</f>
        <v/>
      </c>
      <c r="P213">
        <f>IF(B239=0,0,O213/B239)</f>
        <v/>
      </c>
      <c r="Q213">
        <f>IFERROR(1/IF(Inputs!$B$38="pvp",15,MAX(0.1,Skills!E13-IF(Skills!F13=TRUE,Inputs!$B$32,0))),0)</f>
        <v/>
      </c>
      <c r="R213">
        <f>IF(AND(Inputs!$B$38&lt;&gt;"pvp",Inputs!$B$43&gt;0),(INT(Inputs!$B$43/IF(Inputs!$B$38="pvp",15,MAX(0.1,Skills!E13-IF(Skills!F13=TRUE,Inputs!$B$32,0))))+1),0)</f>
        <v/>
      </c>
    </row>
    <row r="214">
      <c r="A214">
        <f>Skills!A14</f>
        <v/>
      </c>
      <c r="B214">
        <f>Skills!B14</f>
        <v/>
      </c>
      <c r="C214">
        <f>Inputs!$B$3&gt;=113</f>
        <v/>
      </c>
      <c r="D214">
        <f>IF(Skills!C14=1,60+Inputs!$B$25+Inputs!$B$29,IF(Skills!C14=2,90+Inputs!$B$26+Inputs!$B$29,IF(Skills!C14=3,120+Inputs!$B$27+Inputs!$B$29,MAX(0,(Inputs!$B$3-100)*3)+Inputs!$B$28+Inputs!$B$29)))</f>
        <v/>
      </c>
      <c r="E214">
        <f>INDEX(FactorTable!$B$2:$Y$301, MATCH(ROUND(MIN(300,MAX(1,D214)),0), FactorTable!$A$2:$A$301,0), Skills!M14+1)</f>
        <v/>
      </c>
      <c r="F214">
        <f>IF(Skills!N14=TRUE,(Skills!L14/10)*(E214/1000),Skills!L14/10)+Skills!O14</f>
        <v/>
      </c>
      <c r="G214">
        <f>Calc!G14</f>
        <v/>
      </c>
      <c r="H214">
        <f>Calc!H14</f>
        <v/>
      </c>
      <c r="I214">
        <f>IF(Skills!X14&lt;&gt;"",1+(Skills!X14/10)*(Z203/1000)/100,1)</f>
        <v/>
      </c>
      <c r="J214">
        <f>((Inputs!$B$6*(1+Inputs!$B$7/100))+(((Inputs!$B$12*(1+Inputs!$B$13/100))-(Inputs!$B$12*(1+Inputs!$B$13/100)))+0.25*(Inputs!$B$14-Inputs!$B$14))*(1+Inputs!$B$7/100))*(F214/100)</f>
        <v/>
      </c>
      <c r="K214">
        <f>J214*(1+((Inputs!$B$12*(1+Inputs!$B$13/100))*0.01+Inputs!$B$14*0.0025)/100)*(1+Inputs!$B$15/100)*(1+IF(Inputs!$B$38="pvp",0,(1-Summary!$B$56)*((Inputs!$B$20+1)+Skills!P14)+Summary!$B$56*(Inputs!$B$21+Skills!Q14))/100)*(1+Inputs!$B$16/100)*(5000/(6000+Inputs!$B$42*(1-Inputs!$B$19/100)))*(1+Inputs!$B$24/100)*(1+F223/100)*(1+IF(Inputs!$B$3&gt;=120,F226,0)/100)^5*(1+(IF(Skills!A14="BASIC_ATTACK",Inputs!$B$17,Inputs!$B$18+IF(Inputs!$B$3&gt;=125,F227*5,0)))/100)*(B230*B231*B232*I214)</f>
        <v/>
      </c>
      <c r="L214">
        <f>K214*(MIN(Inputs!$B$22+(F222-Calc!F22),Inputs!$B$23)/100+Inputs!$B$23/100)/2</f>
        <v/>
      </c>
      <c r="M214">
        <f>L214*(1+(Inputs!$B$10+(F221-Calc!F21))/100)</f>
        <v/>
      </c>
      <c r="N214">
        <f>L214*(1-MIN(Inputs!$B$9+(F220-Calc!F20),100)/100)+M214*(MIN(Inputs!$B$9+(F220-Calc!F20),100)/100)</f>
        <v/>
      </c>
      <c r="O214">
        <f>IF(C214,(H214*B237)/(1+Skills!H14*H214*B237)*N214*IF(Inputs!$B$38="pvp",1,(1-Summary!$B$56)*(1)+Summary!$B$56*(MIN(Skills!R14,Inputs!$B$37))),0)</f>
        <v/>
      </c>
      <c r="P214">
        <f>IF(B239=0,0,O214/B239)</f>
        <v/>
      </c>
      <c r="Q214">
        <f>IFERROR(1/IF(Inputs!$B$38="pvp",15,MAX(0.1,Skills!E14-IF(Skills!F14=TRUE,Inputs!$B$32,0))),0)</f>
        <v/>
      </c>
      <c r="R214" t="n">
        <v>0</v>
      </c>
    </row>
    <row r="215">
      <c r="A215">
        <f>Skills!A15</f>
        <v/>
      </c>
      <c r="B215">
        <f>Skills!B15</f>
        <v/>
      </c>
      <c r="C215">
        <f>Inputs!$B$3&gt;=107</f>
        <v/>
      </c>
      <c r="D215">
        <f>IF(Skills!C15=1,60+Inputs!$B$25+Inputs!$B$29,IF(Skills!C15=2,90+Inputs!$B$26+Inputs!$B$29,IF(Skills!C15=3,120+Inputs!$B$27+Inputs!$B$29,MAX(0,(Inputs!$B$3-100)*3)+Inputs!$B$28+Inputs!$B$29)))</f>
        <v/>
      </c>
      <c r="E215">
        <f>INDEX(FactorTable!$B$2:$Y$301, MATCH(ROUND(MIN(300,MAX(1,D215)),0), FactorTable!$A$2:$A$301,0), Skills!M15+1)</f>
        <v/>
      </c>
      <c r="F215">
        <f>IF(Skills!N15=TRUE,(Skills!L15/10)*(E215/1000),Skills!L15/10)+Skills!O15</f>
        <v/>
      </c>
      <c r="G215">
        <f>Calc!G15</f>
        <v/>
      </c>
      <c r="H215">
        <f>Calc!H15</f>
        <v/>
      </c>
      <c r="I215">
        <f>IF(Skills!X15&lt;&gt;"",1+(Skills!X15/10)*(Z203/1000)/100,1)</f>
        <v/>
      </c>
      <c r="J215">
        <f>((Inputs!$B$6*(1+Inputs!$B$7/100))+(((Inputs!$B$12*(1+Inputs!$B$13/100))-(Inputs!$B$12*(1+Inputs!$B$13/100)))+0.25*(Inputs!$B$14-Inputs!$B$14))*(1+Inputs!$B$7/100))*(F215/100)</f>
        <v/>
      </c>
      <c r="K215">
        <f>J215*(1+((Inputs!$B$12*(1+Inputs!$B$13/100))*0.01+Inputs!$B$14*0.0025)/100)*(1+Inputs!$B$15/100)*(1+IF(Inputs!$B$38="pvp",0,(1-Summary!$B$56)*((Inputs!$B$20+1)+Skills!P15)+Summary!$B$56*(Inputs!$B$21+Skills!Q15))/100)*(1+Inputs!$B$16/100)*(5000/(6000+Inputs!$B$42*(1-Inputs!$B$19/100)))*(1+Inputs!$B$24/100)*(1+F223/100)*(1+IF(Inputs!$B$3&gt;=120,F226,0)/100)^5*(1+(IF(Skills!A15="BASIC_ATTACK",Inputs!$B$17,Inputs!$B$18+IF(Inputs!$B$3&gt;=125,F227*5,0)))/100)*(B230*B231*B232*I215)</f>
        <v/>
      </c>
      <c r="L215">
        <f>K215*(MIN(Inputs!$B$22+(F222-Calc!F22),Inputs!$B$23)/100+Inputs!$B$23/100)/2</f>
        <v/>
      </c>
      <c r="M215">
        <f>L215*(1+(Inputs!$B$10+(F221-Calc!F21))/100)</f>
        <v/>
      </c>
      <c r="N215">
        <f>L215*(1-MIN(Inputs!$B$9+(F220-Calc!F20),100)/100)+M215*(MIN(Inputs!$B$9+(F220-Calc!F20),100)/100)</f>
        <v/>
      </c>
      <c r="O215">
        <f>IF(C215,H215*N215*IF(AND(Inputs!$B$38&lt;&gt;"pvp",Inputs!$B$43&gt;0),((Skills!G15*((R215-1)*IF(Skills!H15&gt;0,Skills!I15/Skills!H15,1)+IF(Skills!H15&gt;0,MIN(Skills!I15,MAX(0,Inputs!$B$43-((R215-1)*IF(Inputs!$B$38="pvp",15,MAX(0.1,Skills!E15-IF(Skills!F15=TRUE,Inputs!$B$32,0))))))/Skills!H15,1)))/Inputs!$B$43),G215*Q215)*IF(Inputs!$B$38="pvp",1,(1-Summary!$B$56)*(1)+Summary!$B$56*(MIN(Skills!R15,Inputs!$B$37))),0)</f>
        <v/>
      </c>
      <c r="P215">
        <f>IF(B239=0,0,O215/B239)</f>
        <v/>
      </c>
      <c r="Q215">
        <f>IFERROR(1/IF(Inputs!$B$38="pvp",15,MAX(0.1,Skills!E15-IF(Skills!F15=TRUE,Inputs!$B$32,0))),0)</f>
        <v/>
      </c>
      <c r="R215">
        <f>IF(AND(Inputs!$B$38&lt;&gt;"pvp",Inputs!$B$43&gt;0),(INT(Inputs!$B$43/IF(Inputs!$B$38="pvp",15,MAX(0.1,Skills!E15-IF(Skills!F15=TRUE,Inputs!$B$32,0))))+1),0)</f>
        <v/>
      </c>
    </row>
    <row r="216">
      <c r="A216">
        <f>Skills!A16</f>
        <v/>
      </c>
      <c r="B216">
        <f>Skills!B16</f>
        <v/>
      </c>
      <c r="C216">
        <f>Inputs!$B$3&gt;=107</f>
        <v/>
      </c>
      <c r="D216">
        <f>IF(Skills!C16=1,60+Inputs!$B$25+Inputs!$B$29,IF(Skills!C16=2,90+Inputs!$B$26+Inputs!$B$29,IF(Skills!C16=3,120+Inputs!$B$27+Inputs!$B$29,MAX(0,(Inputs!$B$3-100)*3)+Inputs!$B$28+Inputs!$B$29)))</f>
        <v/>
      </c>
      <c r="E216">
        <f>INDEX(FactorTable!$B$2:$Y$301, MATCH(ROUND(MIN(300,MAX(1,D216)),0), FactorTable!$A$2:$A$301,0), Skills!M16+1)</f>
        <v/>
      </c>
      <c r="F216">
        <f>IF(Skills!N16=TRUE,(Skills!L16/10)*(E216/1000),Skills!L16/10)+Skills!O16</f>
        <v/>
      </c>
      <c r="G216">
        <f>Calc!G16</f>
        <v/>
      </c>
      <c r="H216">
        <f>Calc!H16</f>
        <v/>
      </c>
      <c r="I216">
        <f>IF(Skills!X16&lt;&gt;"",1+(Skills!X16/10)*(Z203/1000)/100,1)</f>
        <v/>
      </c>
      <c r="J216">
        <f>((Inputs!$B$6*(1+Inputs!$B$7/100))+(((Inputs!$B$12*(1+Inputs!$B$13/100))-(Inputs!$B$12*(1+Inputs!$B$13/100)))+0.25*(Inputs!$B$14-Inputs!$B$14))*(1+Inputs!$B$7/100))*(F216/100)</f>
        <v/>
      </c>
      <c r="K216">
        <f>J216*(1+((Inputs!$B$12*(1+Inputs!$B$13/100))*0.01+Inputs!$B$14*0.0025)/100)*(1+Inputs!$B$15/100)*(1+IF(Inputs!$B$38="pvp",0,(1-Summary!$B$56)*((Inputs!$B$20+1)+Skills!P16)+Summary!$B$56*(Inputs!$B$21+Skills!Q16))/100)*(1+Inputs!$B$16/100)*(5000/(6000+Inputs!$B$42*(1-Inputs!$B$19/100)))*(1+Inputs!$B$24/100)*(1+F223/100)*(1+IF(Inputs!$B$3&gt;=120,F226,0)/100)^5*(1+(IF(Skills!A16="BASIC_ATTACK",Inputs!$B$17,Inputs!$B$18+IF(Inputs!$B$3&gt;=125,F227*5,0)))/100)*(B230*B231*B232*I216)</f>
        <v/>
      </c>
      <c r="L216">
        <f>K216*(MIN(Inputs!$B$22+(F222-Calc!F22),Inputs!$B$23)/100+Inputs!$B$23/100)/2</f>
        <v/>
      </c>
      <c r="M216">
        <f>L216*(1+(Inputs!$B$10+(F221-Calc!F21))/100)</f>
        <v/>
      </c>
      <c r="N216">
        <f>L216*(1-MIN(Inputs!$B$9+(F220-Calc!F20),100)/100)+M216*(MIN(Inputs!$B$9+(F220-Calc!F20),100)/100)</f>
        <v/>
      </c>
      <c r="O216">
        <f>IF(C216,H216*N216*IF(AND(Inputs!$B$38&lt;&gt;"pvp",Inputs!$B$43&gt;0),((Skills!G16*((R216-1)*IF(Skills!H16&gt;0,Skills!I16/Skills!H16,1)+IF(Skills!H16&gt;0,MIN(Skills!I16,MAX(0,Inputs!$B$43-((R216-1)*IF(Inputs!$B$38="pvp",15,MAX(0.1,Skills!E16-IF(Skills!F16=TRUE,Inputs!$B$32,0))))))/Skills!H16,1)))/Inputs!$B$43),G216*Q216)*(1+IF(Inputs!$B$3&gt;=126,0.05*(B236+Q213+(H214*B237)/(1+Skills!H14*H214*B237)+Q224),0)*Skills!E15)*IF(Inputs!$B$38="pvp",1,(1-Summary!$B$56)*(1)+Summary!$B$56*(MIN(Skills!R16,Inputs!$B$37))),0)</f>
        <v/>
      </c>
      <c r="P216">
        <f>IF(B239=0,0,O216/B239)</f>
        <v/>
      </c>
      <c r="Q216">
        <f>IFERROR(1/IF(Inputs!$B$38="pvp",15,MAX(0.1,Skills!E16-IF(Skills!F16=TRUE,Inputs!$B$32,0))),0)</f>
        <v/>
      </c>
      <c r="R216">
        <f>IF(AND(Inputs!$B$38&lt;&gt;"pvp",Inputs!$B$43&gt;0),(INT(Inputs!$B$43/IF(Inputs!$B$38="pvp",15,MAX(0.1,Skills!E16-IF(Skills!F16=TRUE,Inputs!$B$32,0))))+1),0)</f>
        <v/>
      </c>
    </row>
    <row r="217">
      <c r="A217">
        <f>Skills!A17</f>
        <v/>
      </c>
      <c r="B217">
        <f>Skills!B17</f>
        <v/>
      </c>
      <c r="C217">
        <f>TRUE</f>
        <v/>
      </c>
      <c r="D217">
        <f>IF(Skills!C17=1,60+Inputs!$B$25+Inputs!$B$29,IF(Skills!C17=2,90+Inputs!$B$26+Inputs!$B$29,IF(Skills!C17=3,120+Inputs!$B$27+Inputs!$B$29,MAX(0,(Inputs!$B$3-100)*3)+Inputs!$B$28+Inputs!$B$29)))</f>
        <v/>
      </c>
      <c r="E217">
        <f>INDEX(FactorTable!$B$2:$Y$301, MATCH(ROUND(MIN(300,MAX(1,D217)),0), FactorTable!$A$2:$A$301,0), Skills!M17+1)</f>
        <v/>
      </c>
      <c r="F217">
        <f>IF(Skills!N17=TRUE,(Skills!L17/10)*(E217/1000),Skills!L17/10)+Skills!O17</f>
        <v/>
      </c>
      <c r="G217">
        <f>Calc!G17</f>
        <v/>
      </c>
      <c r="H217">
        <f>Calc!H17</f>
        <v/>
      </c>
      <c r="I217">
        <f>IF(Skills!X17&lt;&gt;"",1+(Skills!X17/10)*(Z203/1000)/100,1)</f>
        <v/>
      </c>
      <c r="J217" t="inlineStr"/>
      <c r="K217" t="inlineStr"/>
      <c r="L217" t="inlineStr"/>
      <c r="M217" t="inlineStr"/>
      <c r="N217" t="inlineStr"/>
      <c r="O217" t="n">
        <v>0</v>
      </c>
      <c r="P217">
        <f>IF(B239=0,0,O217/B239)</f>
        <v/>
      </c>
      <c r="Q217">
        <f>IFERROR(1/IF(Inputs!$B$38="pvp",15,MAX(0.1,Skills!E17-IF(Skills!F17=TRUE,Inputs!$B$32,0))),0)</f>
        <v/>
      </c>
      <c r="R217">
        <f>IF(AND(Inputs!$B$38&lt;&gt;"pvp",Inputs!$B$43&gt;0),(INT(Inputs!$B$43/IF(Inputs!$B$38="pvp",15,MAX(0.1,Skills!E17-IF(Skills!F17=TRUE,Inputs!$B$32,0))))+1),0)</f>
        <v/>
      </c>
    </row>
    <row r="218">
      <c r="A218">
        <f>Skills!A18</f>
        <v/>
      </c>
      <c r="B218">
        <f>Skills!B18</f>
        <v/>
      </c>
      <c r="C218">
        <f>TRUE</f>
        <v/>
      </c>
      <c r="D218">
        <f>IF(Skills!C18=1,60+Inputs!$B$25+Inputs!$B$29,IF(Skills!C18=2,90+Inputs!$B$26+Inputs!$B$29,IF(Skills!C18=3,120+Inputs!$B$27+Inputs!$B$29,MAX(0,(Inputs!$B$3-100)*3)+Inputs!$B$28+Inputs!$B$29)))</f>
        <v/>
      </c>
      <c r="E218">
        <f>INDEX(FactorTable!$B$2:$Y$301, MATCH(ROUND(MIN(300,MAX(1,D218)),0), FactorTable!$A$2:$A$301,0), Skills!M18+1)</f>
        <v/>
      </c>
      <c r="F218">
        <f>IF(Skills!N18=TRUE,(Skills!L18/10)*(E218/1000),Skills!L18/10)+Skills!O18</f>
        <v/>
      </c>
      <c r="G218">
        <f>Calc!G18</f>
        <v/>
      </c>
      <c r="H218">
        <f>Calc!H18</f>
        <v/>
      </c>
      <c r="I218">
        <f>IF(Skills!X18&lt;&gt;"",1+(Skills!X18/10)*(Z203/1000)/100,1)</f>
        <v/>
      </c>
      <c r="J218" t="inlineStr"/>
      <c r="K218" t="inlineStr"/>
      <c r="L218" t="inlineStr"/>
      <c r="M218" t="inlineStr"/>
      <c r="N218" t="inlineStr"/>
      <c r="O218" t="n">
        <v>0</v>
      </c>
      <c r="P218">
        <f>IF(B239=0,0,O218/B239)</f>
        <v/>
      </c>
      <c r="Q218">
        <f>IFERROR(1/IF(Inputs!$B$38="pvp",15,MAX(0.1,Skills!E18-IF(Skills!F18=TRUE,Inputs!$B$32,0))),0)</f>
        <v/>
      </c>
      <c r="R218">
        <f>IF(AND(Inputs!$B$38&lt;&gt;"pvp",Inputs!$B$43&gt;0),(INT(Inputs!$B$43/IF(Inputs!$B$38="pvp",15,MAX(0.1,Skills!E18-IF(Skills!F18=TRUE,Inputs!$B$32,0))))+1),0)</f>
        <v/>
      </c>
    </row>
    <row r="219">
      <c r="A219">
        <f>Skills!A19</f>
        <v/>
      </c>
      <c r="B219">
        <f>Skills!B19</f>
        <v/>
      </c>
      <c r="C219">
        <f>Inputs!$B$3&gt;=110</f>
        <v/>
      </c>
      <c r="D219">
        <f>IF(Skills!C19=1,60+Inputs!$B$25+Inputs!$B$29,IF(Skills!C19=2,90+Inputs!$B$26+Inputs!$B$29,IF(Skills!C19=3,120+Inputs!$B$27+Inputs!$B$29,MAX(0,(Inputs!$B$3-100)*3)+Inputs!$B$28+Inputs!$B$29)))</f>
        <v/>
      </c>
      <c r="E219">
        <f>INDEX(FactorTable!$B$2:$Y$301, MATCH(ROUND(MIN(300,MAX(1,D219)),0), FactorTable!$A$2:$A$301,0), Skills!M19+1)</f>
        <v/>
      </c>
      <c r="F219">
        <f>IF(Skills!N19=TRUE,(Skills!L19/10)*(E219/1000),Skills!L19/10)+Skills!O19</f>
        <v/>
      </c>
      <c r="G219">
        <f>Calc!G19</f>
        <v/>
      </c>
      <c r="H219">
        <f>Calc!H19</f>
        <v/>
      </c>
      <c r="I219">
        <f>IF(Skills!X19&lt;&gt;"",1+(Skills!X19/10)*(Z203/1000)/100,1)</f>
        <v/>
      </c>
      <c r="J219" t="inlineStr"/>
      <c r="K219" t="inlineStr"/>
      <c r="L219" t="inlineStr"/>
      <c r="M219" t="inlineStr"/>
      <c r="N219" t="inlineStr"/>
      <c r="O219" t="n">
        <v>0</v>
      </c>
      <c r="P219">
        <f>IF(B239=0,0,O219/B239)</f>
        <v/>
      </c>
      <c r="Q219">
        <f>IFERROR(1/IF(Inputs!$B$38="pvp",15,MAX(0.1,Skills!E19-IF(Skills!F19=TRUE,Inputs!$B$32,0))),0)</f>
        <v/>
      </c>
      <c r="R219">
        <f>IF(AND(Inputs!$B$38&lt;&gt;"pvp",Inputs!$B$43&gt;0),(INT(Inputs!$B$43/IF(Inputs!$B$38="pvp",15,MAX(0.1,Skills!E19-IF(Skills!F19=TRUE,Inputs!$B$32,0))))+1),0)</f>
        <v/>
      </c>
    </row>
    <row r="220">
      <c r="A220">
        <f>Skills!A20</f>
        <v/>
      </c>
      <c r="B220">
        <f>Skills!B20</f>
        <v/>
      </c>
      <c r="C220">
        <f>TRUE</f>
        <v/>
      </c>
      <c r="D220">
        <f>IF(Skills!C20=1,60+Inputs!$B$25+Inputs!$B$29,IF(Skills!C20=2,90+Inputs!$B$26+Inputs!$B$29,IF(Skills!C20=3,120+Inputs!$B$27+Inputs!$B$29,MAX(0,(Inputs!$B$3-100)*3)+Inputs!$B$28+Inputs!$B$29)))</f>
        <v/>
      </c>
      <c r="E220">
        <f>INDEX(FactorTable!$B$2:$Y$301, MATCH(ROUND(MIN(300,MAX(1,D220)),0), FactorTable!$A$2:$A$301,0), Skills!M20+1)</f>
        <v/>
      </c>
      <c r="F220">
        <f>IF(Skills!N20=TRUE,(Skills!L20/10)*(E220/1000),Skills!L20/10)+Skills!O20</f>
        <v/>
      </c>
      <c r="G220">
        <f>Calc!G20</f>
        <v/>
      </c>
      <c r="H220">
        <f>Calc!H20</f>
        <v/>
      </c>
      <c r="I220">
        <f>IF(Skills!X20&lt;&gt;"",1+(Skills!X20/10)*(Z203/1000)/100,1)</f>
        <v/>
      </c>
      <c r="J220" t="inlineStr"/>
      <c r="K220" t="inlineStr"/>
      <c r="L220" t="inlineStr"/>
      <c r="M220" t="inlineStr"/>
      <c r="N220" t="inlineStr"/>
      <c r="O220" t="n">
        <v>0</v>
      </c>
      <c r="P220">
        <f>IF(B239=0,0,O220/B239)</f>
        <v/>
      </c>
      <c r="Q220">
        <f>IFERROR(1/IF(Inputs!$B$38="pvp",15,MAX(0.1,Skills!E20-IF(Skills!F20=TRUE,Inputs!$B$32,0))),0)</f>
        <v/>
      </c>
      <c r="R220" t="n">
        <v>0</v>
      </c>
    </row>
    <row r="221">
      <c r="A221">
        <f>Skills!A21</f>
        <v/>
      </c>
      <c r="B221">
        <f>Skills!B21</f>
        <v/>
      </c>
      <c r="C221">
        <f>TRUE</f>
        <v/>
      </c>
      <c r="D221">
        <f>IF(Skills!C21=1,60+Inputs!$B$25+Inputs!$B$29,IF(Skills!C21=2,90+Inputs!$B$26+Inputs!$B$29,IF(Skills!C21=3,120+Inputs!$B$27+Inputs!$B$29,MAX(0,(Inputs!$B$3-100)*3)+Inputs!$B$28+Inputs!$B$29)))</f>
        <v/>
      </c>
      <c r="E221">
        <f>INDEX(FactorTable!$B$2:$Y$301, MATCH(ROUND(MIN(300,MAX(1,D221)),0), FactorTable!$A$2:$A$301,0), Skills!M21+1)</f>
        <v/>
      </c>
      <c r="F221">
        <f>IF(Skills!N21=TRUE,(Skills!L21/10)*(E221/1000),Skills!L21/10)+Skills!O21</f>
        <v/>
      </c>
      <c r="G221">
        <f>Calc!G21</f>
        <v/>
      </c>
      <c r="H221">
        <f>Calc!H21</f>
        <v/>
      </c>
      <c r="I221">
        <f>IF(Skills!X21&lt;&gt;"",1+(Skills!X21/10)*(Z203/1000)/100,1)</f>
        <v/>
      </c>
      <c r="J221" t="inlineStr"/>
      <c r="K221" t="inlineStr"/>
      <c r="L221" t="inlineStr"/>
      <c r="M221" t="inlineStr"/>
      <c r="N221" t="inlineStr"/>
      <c r="O221" t="n">
        <v>0</v>
      </c>
      <c r="P221">
        <f>IF(B239=0,0,O221/B239)</f>
        <v/>
      </c>
      <c r="Q221">
        <f>IFERROR(1/IF(Inputs!$B$38="pvp",15,MAX(0.1,Skills!E21-IF(Skills!F21=TRUE,Inputs!$B$32,0))),0)</f>
        <v/>
      </c>
      <c r="R221" t="n">
        <v>0</v>
      </c>
    </row>
    <row r="222">
      <c r="A222">
        <f>Skills!A22</f>
        <v/>
      </c>
      <c r="B222">
        <f>Skills!B22</f>
        <v/>
      </c>
      <c r="C222">
        <f>TRUE</f>
        <v/>
      </c>
      <c r="D222">
        <f>IF(Skills!C22=1,60+Inputs!$B$25+Inputs!$B$29,IF(Skills!C22=2,90+Inputs!$B$26+Inputs!$B$29,IF(Skills!C22=3,120+Inputs!$B$27+Inputs!$B$29,MAX(0,(Inputs!$B$3-100)*3)+Inputs!$B$28+Inputs!$B$29)))</f>
        <v/>
      </c>
      <c r="E222">
        <f>INDEX(FactorTable!$B$2:$Y$301, MATCH(ROUND(MIN(300,MAX(1,D222)),0), FactorTable!$A$2:$A$301,0), Skills!M22+1)</f>
        <v/>
      </c>
      <c r="F222">
        <f>IF(Skills!N22=TRUE,(Skills!L22/10)*(E222/1000),Skills!L22/10)+Skills!O22</f>
        <v/>
      </c>
      <c r="G222">
        <f>Calc!G22</f>
        <v/>
      </c>
      <c r="H222">
        <f>Calc!H22</f>
        <v/>
      </c>
      <c r="I222">
        <f>IF(Skills!X22&lt;&gt;"",1+(Skills!X22/10)*(Z203/1000)/100,1)</f>
        <v/>
      </c>
      <c r="J222" t="inlineStr"/>
      <c r="K222" t="inlineStr"/>
      <c r="L222" t="inlineStr"/>
      <c r="M222" t="inlineStr"/>
      <c r="N222" t="inlineStr"/>
      <c r="O222" t="n">
        <v>0</v>
      </c>
      <c r="P222">
        <f>IF(B239=0,0,O222/B239)</f>
        <v/>
      </c>
      <c r="Q222">
        <f>IFERROR(1/IF(Inputs!$B$38="pvp",15,MAX(0.1,Skills!E22-IF(Skills!F22=TRUE,Inputs!$B$32,0))),0)</f>
        <v/>
      </c>
      <c r="R222" t="n">
        <v>0</v>
      </c>
    </row>
    <row r="223">
      <c r="A223">
        <f>Skills!A23</f>
        <v/>
      </c>
      <c r="B223">
        <f>Skills!B23</f>
        <v/>
      </c>
      <c r="C223">
        <f>TRUE</f>
        <v/>
      </c>
      <c r="D223">
        <f>IF(Skills!C23=1,60+Inputs!$B$25+Inputs!$B$29,IF(Skills!C23=2,90+Inputs!$B$26+Inputs!$B$29,IF(Skills!C23=3,120+Inputs!$B$27+Inputs!$B$29,MAX(0,(Inputs!$B$3-100)*3)+Inputs!$B$28+Inputs!$B$29)))</f>
        <v/>
      </c>
      <c r="E223">
        <f>INDEX(FactorTable!$B$2:$Y$301, MATCH(ROUND(MIN(300,MAX(1,D223)),0), FactorTable!$A$2:$A$301,0), Skills!M23+1)</f>
        <v/>
      </c>
      <c r="F223">
        <f>IF(Skills!N23=TRUE,(Skills!L23/10)*(E223/1000),Skills!L23/10)+Skills!O23</f>
        <v/>
      </c>
      <c r="G223">
        <f>Calc!G23</f>
        <v/>
      </c>
      <c r="H223">
        <f>Calc!H23</f>
        <v/>
      </c>
      <c r="I223">
        <f>IF(Skills!X23&lt;&gt;"",1+(Skills!X23/10)*(Z203/1000)/100,1)</f>
        <v/>
      </c>
      <c r="J223" t="inlineStr"/>
      <c r="K223" t="inlineStr"/>
      <c r="L223" t="inlineStr"/>
      <c r="M223" t="inlineStr"/>
      <c r="N223" t="inlineStr"/>
      <c r="O223" t="n">
        <v>0</v>
      </c>
      <c r="P223">
        <f>IF(B239=0,0,O223/B239)</f>
        <v/>
      </c>
      <c r="Q223">
        <f>IFERROR(1/IF(Inputs!$B$38="pvp",15,MAX(0.1,Skills!E23-IF(Skills!F23=TRUE,Inputs!$B$32,0))),0)</f>
        <v/>
      </c>
      <c r="R223" t="n">
        <v>0</v>
      </c>
    </row>
    <row r="224">
      <c r="A224">
        <f>Skills!A24</f>
        <v/>
      </c>
      <c r="B224">
        <f>Skills!B24</f>
        <v/>
      </c>
      <c r="C224">
        <f>Inputs!$B$3&gt;=115</f>
        <v/>
      </c>
      <c r="D224">
        <f>IF(Skills!C24=1,60+Inputs!$B$25+Inputs!$B$29,IF(Skills!C24=2,90+Inputs!$B$26+Inputs!$B$29,IF(Skills!C24=3,120+Inputs!$B$27+Inputs!$B$29,MAX(0,(Inputs!$B$3-100)*3)+Inputs!$B$28+Inputs!$B$29)))</f>
        <v/>
      </c>
      <c r="E224">
        <f>INDEX(FactorTable!$B$2:$Y$301, MATCH(ROUND(MIN(300,MAX(1,D224)),0), FactorTable!$A$2:$A$301,0), Skills!M24+1)</f>
        <v/>
      </c>
      <c r="F224">
        <f>IF(Skills!N24=TRUE,(Skills!L24/10)*(E224/1000),Skills!L24/10)+Skills!O24</f>
        <v/>
      </c>
      <c r="G224">
        <f>Calc!G24</f>
        <v/>
      </c>
      <c r="H224">
        <f>Calc!H24</f>
        <v/>
      </c>
      <c r="I224">
        <f>IF(Skills!X24&lt;&gt;"",1+(Skills!X24/10)*(Z203/1000)/100,1)</f>
        <v/>
      </c>
      <c r="J224">
        <f>((Inputs!$B$6*(1+Inputs!$B$7/100))+(((Inputs!$B$12*(1+Inputs!$B$13/100))-(Inputs!$B$12*(1+Inputs!$B$13/100)))+0.25*(Inputs!$B$14-Inputs!$B$14))*(1+Inputs!$B$7/100))*(F224/100)</f>
        <v/>
      </c>
      <c r="K224">
        <f>J224*(1+((Inputs!$B$12*(1+Inputs!$B$13/100))*0.01+Inputs!$B$14*0.0025)/100)*(1+Inputs!$B$15/100)*(1+IF(Inputs!$B$38="pvp",0,(1-Summary!$B$56)*((Inputs!$B$20+1)+Skills!P24)+Summary!$B$56*(Inputs!$B$21+Skills!Q24))/100)*(1+Inputs!$B$16/100)*(5000/(6000+Inputs!$B$42*(1-Inputs!$B$19/100)))*(1+Inputs!$B$24/100)*(1+F223/100)*(1+IF(Inputs!$B$3&gt;=120,F226,0)/100)^5*(1+(IF(Skills!A24="BASIC_ATTACK",Inputs!$B$17,Inputs!$B$18+IF(Inputs!$B$3&gt;=125,F227*5,0)))/100)*(B230*B231*B232*I224)</f>
        <v/>
      </c>
      <c r="L224">
        <f>K224*(MIN(Inputs!$B$22+(F222-Calc!F22),Inputs!$B$23)/100+Inputs!$B$23/100)/2</f>
        <v/>
      </c>
      <c r="M224">
        <f>L224*(1+(Inputs!$B$10+(F221-Calc!F21))/100)</f>
        <v/>
      </c>
      <c r="N224">
        <f>L224*(1-MIN(Inputs!$B$9+(F220-Calc!F20),100)/100)+M224*(MIN(Inputs!$B$9+(F220-Calc!F20),100)/100)</f>
        <v/>
      </c>
      <c r="O224">
        <f>IF(C224,H224*N224*IF(AND(Inputs!$B$38&lt;&gt;"pvp",Inputs!$B$43&gt;0),((Skills!G24*((R224-1)*IF(Skills!H24&gt;0,Skills!I24/Skills!H24,1)+IF(Skills!H24&gt;0,MIN(Skills!I24,MAX(0,Inputs!$B$43-((R224-1)*IF(Inputs!$B$38="pvp",15,MAX(0.1,Skills!E24-IF(Skills!F24=TRUE,Inputs!$B$32,0))))))/Skills!H24,1)))/Inputs!$B$43),G224*Q224)*(1+IF(Inputs!$B$3&gt;=130,0.2*(Skills!I16/Skills!E15+IF(Inputs!$B$3&gt;=126,0.05*(B236+Q213+(H214*B237)/(1+Skills!H14*H214*B237)+Q224),0)*Skills!I16),0))*IF(Inputs!$B$38="pvp",1,(1-Summary!$B$56)*(1)+Summary!$B$56*(MIN(Skills!R24,Inputs!$B$37))),0)</f>
        <v/>
      </c>
      <c r="P224">
        <f>IF(B239=0,0,O224/B239)</f>
        <v/>
      </c>
      <c r="Q224">
        <f>IFERROR(1/IF(Inputs!$B$38="pvp",15,MAX(0.1,Skills!E24-IF(Skills!F24=TRUE,Inputs!$B$32,0))),0)</f>
        <v/>
      </c>
      <c r="R224">
        <f>IF(AND(Inputs!$B$38&lt;&gt;"pvp",Inputs!$B$43&gt;0),(INT(Inputs!$B$43/IF(Inputs!$B$38="pvp",15,MAX(0.1,Skills!E24-IF(Skills!F24=TRUE,Inputs!$B$32,0))))+1),0)</f>
        <v/>
      </c>
    </row>
    <row r="225">
      <c r="A225">
        <f>Skills!A25</f>
        <v/>
      </c>
      <c r="B225">
        <f>Skills!B25</f>
        <v/>
      </c>
      <c r="C225">
        <f>Inputs!$B$3&gt;=117</f>
        <v/>
      </c>
      <c r="D225">
        <f>IF(Skills!C25=1,60+Inputs!$B$25+Inputs!$B$29,IF(Skills!C25=2,90+Inputs!$B$26+Inputs!$B$29,IF(Skills!C25=3,120+Inputs!$B$27+Inputs!$B$29,MAX(0,(Inputs!$B$3-100)*3)+Inputs!$B$28+Inputs!$B$29)))</f>
        <v/>
      </c>
      <c r="E225">
        <f>INDEX(FactorTable!$B$2:$Y$301, MATCH(ROUND(MIN(300,MAX(1,D225)),0), FactorTable!$A$2:$A$301,0), Skills!M25+1)</f>
        <v/>
      </c>
      <c r="F225">
        <f>IF(Skills!N25=TRUE,(Skills!L25/10)*(E225/1000),Skills!L25/10)+Skills!O25</f>
        <v/>
      </c>
      <c r="G225">
        <f>Calc!G25</f>
        <v/>
      </c>
      <c r="H225">
        <f>Calc!H25</f>
        <v/>
      </c>
      <c r="I225">
        <f>IF(Skills!X25&lt;&gt;"",1+(Skills!X25/10)*(Z203/1000)/100,1)</f>
        <v/>
      </c>
      <c r="J225" t="inlineStr"/>
      <c r="K225" t="inlineStr"/>
      <c r="L225" t="inlineStr"/>
      <c r="M225" t="inlineStr"/>
      <c r="N225" t="inlineStr"/>
      <c r="O225" t="n">
        <v>0</v>
      </c>
      <c r="P225">
        <f>IF(B239=0,0,O225/B239)</f>
        <v/>
      </c>
      <c r="Q225">
        <f>IFERROR(1/IF(Inputs!$B$38="pvp",15,MAX(0.1,Skills!E25-IF(Skills!F25=TRUE,Inputs!$B$32,0))),0)</f>
        <v/>
      </c>
      <c r="R225" t="n">
        <v>0</v>
      </c>
    </row>
    <row r="226">
      <c r="A226">
        <f>Skills!A26</f>
        <v/>
      </c>
      <c r="B226">
        <f>Skills!B26</f>
        <v/>
      </c>
      <c r="C226">
        <f>Inputs!$B$3&gt;=120</f>
        <v/>
      </c>
      <c r="D226">
        <f>IF(Skills!C26=1,60+Inputs!$B$25+Inputs!$B$29,IF(Skills!C26=2,90+Inputs!$B$26+Inputs!$B$29,IF(Skills!C26=3,120+Inputs!$B$27+Inputs!$B$29,MAX(0,(Inputs!$B$3-100)*3)+Inputs!$B$28+Inputs!$B$29)))</f>
        <v/>
      </c>
      <c r="E226">
        <f>INDEX(FactorTable!$B$2:$Y$301, MATCH(ROUND(MIN(300,MAX(1,D226)),0), FactorTable!$A$2:$A$301,0), Skills!M26+1)</f>
        <v/>
      </c>
      <c r="F226">
        <f>IF(Skills!N26=TRUE,(Skills!L26/10)*(E226/1000),Skills!L26/10)+Skills!O26</f>
        <v/>
      </c>
      <c r="G226">
        <f>Calc!G26</f>
        <v/>
      </c>
      <c r="H226">
        <f>Calc!H26</f>
        <v/>
      </c>
      <c r="I226">
        <f>IF(Skills!X26&lt;&gt;"",1+(Skills!X26/10)*(Z203/1000)/100,1)</f>
        <v/>
      </c>
      <c r="J226" t="inlineStr"/>
      <c r="K226" t="inlineStr"/>
      <c r="L226" t="inlineStr"/>
      <c r="M226" t="inlineStr"/>
      <c r="N226" t="inlineStr"/>
      <c r="O226" t="n">
        <v>0</v>
      </c>
      <c r="P226">
        <f>IF(B239=0,0,O226/B239)</f>
        <v/>
      </c>
      <c r="Q226">
        <f>IFERROR(1/IF(Inputs!$B$38="pvp",15,MAX(0.1,Skills!E26-IF(Skills!F26=TRUE,Inputs!$B$32,0))),0)</f>
        <v/>
      </c>
      <c r="R226" t="n">
        <v>0</v>
      </c>
    </row>
    <row r="227">
      <c r="A227">
        <f>Skills!A27</f>
        <v/>
      </c>
      <c r="B227">
        <f>Skills!B27</f>
        <v/>
      </c>
      <c r="C227">
        <f>Inputs!$B$3&gt;=125</f>
        <v/>
      </c>
      <c r="D227">
        <f>IF(Skills!C27=1,60+Inputs!$B$25+Inputs!$B$29,IF(Skills!C27=2,90+Inputs!$B$26+Inputs!$B$29,IF(Skills!C27=3,120+Inputs!$B$27+Inputs!$B$29,MAX(0,(Inputs!$B$3-100)*3)+Inputs!$B$28+Inputs!$B$29)))</f>
        <v/>
      </c>
      <c r="E227">
        <f>INDEX(FactorTable!$B$2:$Y$301, MATCH(ROUND(MIN(300,MAX(1,D227)),0), FactorTable!$A$2:$A$301,0), Skills!M27+1)</f>
        <v/>
      </c>
      <c r="F227">
        <f>IF(Skills!N27=TRUE,(Skills!L27/10)*(E227/1000),Skills!L27/10)+Skills!O27</f>
        <v/>
      </c>
      <c r="G227">
        <f>Calc!G27</f>
        <v/>
      </c>
      <c r="H227">
        <f>Calc!H27</f>
        <v/>
      </c>
      <c r="I227">
        <f>IF(Skills!X27&lt;&gt;"",1+(Skills!X27/10)*(Z203/1000)/100,1)</f>
        <v/>
      </c>
      <c r="J227" t="inlineStr"/>
      <c r="K227" t="inlineStr"/>
      <c r="L227" t="inlineStr"/>
      <c r="M227" t="inlineStr"/>
      <c r="N227" t="inlineStr"/>
      <c r="O227" t="n">
        <v>0</v>
      </c>
      <c r="P227">
        <f>IF(B239=0,0,O227/B239)</f>
        <v/>
      </c>
      <c r="Q227">
        <f>IFERROR(1/IF(Inputs!$B$38="pvp",15,MAX(0.1,Skills!E27-IF(Skills!F27=TRUE,Inputs!$B$32,0))),0)</f>
        <v/>
      </c>
      <c r="R227" t="n">
        <v>0</v>
      </c>
    </row>
    <row r="228">
      <c r="A228">
        <f>Skills!A28</f>
        <v/>
      </c>
      <c r="B228">
        <f>Skills!B28</f>
        <v/>
      </c>
      <c r="C228">
        <f>Inputs!$B$3&gt;=118</f>
        <v/>
      </c>
      <c r="D228">
        <f>IF(Skills!C28=1,60+Inputs!$B$25+Inputs!$B$29,IF(Skills!C28=2,90+Inputs!$B$26+Inputs!$B$29,IF(Skills!C28=3,120+Inputs!$B$27+Inputs!$B$29,MAX(0,(Inputs!$B$3-100)*3)+Inputs!$B$28+Inputs!$B$29)))</f>
        <v/>
      </c>
      <c r="E228">
        <f>INDEX(FactorTable!$B$2:$Y$301, MATCH(ROUND(MIN(300,MAX(1,D228)),0), FactorTable!$A$2:$A$301,0), Skills!M28+1)</f>
        <v/>
      </c>
      <c r="F228">
        <f>IF(Skills!N28=TRUE,(Skills!L28/10)*(E228/1000),Skills!L28/10)+Skills!O28</f>
        <v/>
      </c>
      <c r="G228">
        <f>Calc!G28</f>
        <v/>
      </c>
      <c r="H228">
        <f>Calc!H28</f>
        <v/>
      </c>
      <c r="I228">
        <f>IF(Skills!X28&lt;&gt;"",1+(Skills!X28/10)*(Z203/1000)/100,1)</f>
        <v/>
      </c>
      <c r="J228">
        <f>((Inputs!$B$6*(1+Inputs!$B$7/100))+(((Inputs!$B$12*(1+Inputs!$B$13/100))-(Inputs!$B$12*(1+Inputs!$B$13/100)))+0.25*(Inputs!$B$14-Inputs!$B$14))*(1+Inputs!$B$7/100))*(F228/100)</f>
        <v/>
      </c>
      <c r="K228">
        <f>J228*(1+((Inputs!$B$12*(1+Inputs!$B$13/100))*0.01+Inputs!$B$14*0.0025)/100)*(1+Inputs!$B$15/100)*(1+IF(Inputs!$B$38="pvp",0,(1-Summary!$B$56)*((Inputs!$B$20+1)+Skills!P28)+Summary!$B$56*(Inputs!$B$21+Skills!Q28))/100)*(1+Inputs!$B$16/100)*(5000/(6000+Inputs!$B$42*(1-Inputs!$B$19/100)))*(1+Inputs!$B$24/100)*(1+F223/100)*(1+IF(Inputs!$B$3&gt;=120,F226,0)/100)^5*(1+(IF(Skills!A28="BASIC_ATTACK",Inputs!$B$17,Inputs!$B$18+IF(Inputs!$B$3&gt;=125,F227*5,0)))/100)*(B230*B231*B232*I228)</f>
        <v/>
      </c>
      <c r="L228">
        <f>K228*(MIN(Inputs!$B$22+(F222-Calc!F22),Inputs!$B$23)/100+Inputs!$B$23/100)/2</f>
        <v/>
      </c>
      <c r="M228">
        <f>L228*(1+(Inputs!$B$10+(F221-Calc!F21))/100)</f>
        <v/>
      </c>
      <c r="N228">
        <f>L228*(1-MIN(Inputs!$B$9+(F220-Calc!F20),100)/100)+M228*(MIN(Inputs!$B$9+(F220-Calc!F20),100)/100)</f>
        <v/>
      </c>
      <c r="O228">
        <f>IF(C228,H228*N228*IF(AND(Inputs!$B$38&lt;&gt;"pvp",Inputs!$B$43&gt;0),((Skills!G28*((R228-1)*IF(Skills!H28&gt;0,Skills!I28/Skills!H28,1)+IF(Skills!H28&gt;0,MIN(Skills!I28,MAX(0,Inputs!$B$43-((R228-1)*IF(Inputs!$B$38="pvp",15,MAX(0.1,Skills!E28-IF(Skills!F28=TRUE,Inputs!$B$32,0))))))/Skills!H28,1)))/Inputs!$B$43),G228*Q228)*IF(Inputs!$B$38="pvp",1,(1-Summary!$B$56)*(1)+Summary!$B$56*(MIN(Skills!R28,Inputs!$B$37))),0)</f>
        <v/>
      </c>
      <c r="P228">
        <f>IF(B239=0,0,O228/B239)</f>
        <v/>
      </c>
      <c r="Q228">
        <f>IFERROR(1/IF(Inputs!$B$38="pvp",15,MAX(0.1,Skills!E28-IF(Skills!F28=TRUE,Inputs!$B$32,0))),0)</f>
        <v/>
      </c>
      <c r="R228">
        <f>IF(AND(Inputs!$B$38&lt;&gt;"pvp",Inputs!$B$43&gt;0),(INT(Inputs!$B$43/IF(Inputs!$B$38="pvp",15,MAX(0.1,Skills!E28-IF(Skills!F28=TRUE,Inputs!$B$32,0))))+1),0)</f>
        <v/>
      </c>
    </row>
    <row r="230">
      <c r="A230" t="inlineStr">
        <is>
          <t>Burning Magic Multiplier</t>
        </is>
      </c>
      <c r="B230">
        <f>1+(F211*Skills!Z11)/100</f>
        <v/>
      </c>
    </row>
    <row r="231">
      <c r="A231" t="inlineStr">
        <is>
          <t>Elemental Decrease Multiplier (always-on)</t>
        </is>
      </c>
      <c r="B231">
        <f>1+F212/100</f>
        <v/>
      </c>
    </row>
    <row r="232">
      <c r="A232" t="inlineStr">
        <is>
          <t>Average Buff Multiplier (Magic Guard + Meditation, summed; then Infinity)</t>
        </is>
      </c>
      <c r="B232">
        <f>(1+(F206*IF(AND(Inputs!$B$38&lt;&gt;"pvp",Inputs!$B$43&gt;0),(((R206-1)*(Skills!T6*(1+(Inputs!$B$34+IF(Inputs!$B$3&gt;=117,F225,0))/100))+MIN((Skills!T6*(1+(Inputs!$B$34+IF(Inputs!$B$3&gt;=117,F225,0))/100)),MAX(0,Inputs!$B$43-((R206-1)*Skills!E6))))/Inputs!$B$43),IF(Inputs!$B$38="pvp",MIN((Skills!T6*(1+(Inputs!$B$34+IF(Inputs!$B$3&gt;=117,F225,0))/100)),15)/15,(Skills!T6*(1+(Inputs!$B$34+IF(Inputs!$B$3&gt;=117,F225,0))/100))/Skills!E6))+F217*IF(AND(Inputs!$B$38&lt;&gt;"pvp",Inputs!$B$43&gt;0),(((R217-1)*(Skills!T17*(1+(Inputs!$B$34+IF(Inputs!$B$3&gt;=117,F225,0))/100))+MIN((Skills!T17*(1+(Inputs!$B$34+IF(Inputs!$B$3&gt;=117,F225,0))/100)),MAX(0,Inputs!$B$43-((R217-1)*Skills!E17))))/Inputs!$B$43),IF(Inputs!$B$38="pvp",MIN((Skills!T17*(1+(Inputs!$B$34+IF(Inputs!$B$3&gt;=117,F225,0))/100)),15)/15,(Skills!T17*(1+(Inputs!$B$34+IF(Inputs!$B$3&gt;=117,F225,0))/100))/Skills!E17)))/100)*IF(C219=TRUE,(1+F219*IF(AND(Inputs!$B$38&lt;&gt;"pvp",Inputs!$B$43&gt;0),(((R219-1)*(Skills!T19*(1+(Inputs!$B$34+IF(Inputs!$B$3&gt;=117,F225,0))/100))+MIN((Skills!T19*(1+(Inputs!$B$34+IF(Inputs!$B$3&gt;=117,F225,0))/100)),MAX(0,Inputs!$B$43-((R219-1)*Skills!E19))))/Inputs!$B$43),IF(Inputs!$B$38="pvp",MIN((Skills!T19*(1+(Inputs!$B$34+IF(Inputs!$B$3&gt;=117,F225,0))/100)),15)/15,(Skills!T19*(1+(Inputs!$B$34+IF(Inputs!$B$3&gt;=117,F225,0))/100))/Skills!E19))/100),1)</f>
        <v/>
      </c>
    </row>
    <row r="233">
      <c r="A233" t="inlineStr">
        <is>
          <t>Attack Speed Buff Bonus % (Nimble Feet, averaged)</t>
        </is>
      </c>
      <c r="B233">
        <f>F218*IF(AND(Inputs!$B$38&lt;&gt;"pvp",Inputs!$B$43&gt;0),(((R218-1)*(Skills!T18*(1+(Inputs!$B$34+IF(Inputs!$B$3&gt;=117,F225,0))/100))+MIN((Skills!T18*(1+(Inputs!$B$34+IF(Inputs!$B$3&gt;=117,F225,0))/100)),MAX(0,Inputs!$B$43-((R218-1)*Skills!E18))))/Inputs!$B$43),IF(Inputs!$B$38="pvp",MIN((Skills!T18*(1+(Inputs!$B$34+IF(Inputs!$B$3&gt;=117,F225,0))/100)),15)/15,(Skills!T18*(1+(Inputs!$B$34+IF(Inputs!$B$3&gt;=117,F225,0))/100))/Skills!E18))</f>
        <v/>
      </c>
    </row>
    <row r="234">
      <c r="A234" t="inlineStr">
        <is>
          <t>Actions Per Second</t>
        </is>
      </c>
      <c r="B234">
        <f>1+MIN(150,150*(1-(1-Inputs!$B$11/150)*(1-B233/150)))/100</f>
        <v/>
      </c>
    </row>
    <row r="235">
      <c r="A235" t="inlineStr">
        <is>
          <t>Skill + Buff Cast Rate</t>
        </is>
      </c>
      <c r="B235">
        <f>IF(AND(Inputs!$B$38&lt;&gt;"pvp",Inputs!$B$43&gt;0),SUMPRODUCT((Skills!F2:F28=TRUE)*(C202:C228=TRUE)*R202:R228)/Inputs!$B$43,SUMPRODUCT((Skills!F2:F28=TRUE)*(C202:C228=TRUE)*Q202:Q228))</f>
        <v/>
      </c>
    </row>
    <row r="236">
      <c r="A236" t="inlineStr">
        <is>
          <t>Basic Attacks Per Second</t>
        </is>
      </c>
      <c r="B236">
        <f>MAX(0,B234-B235)</f>
        <v/>
      </c>
    </row>
    <row r="237">
      <c r="A237" t="inlineStr">
        <is>
          <t>Meteor Proc — combined trigger cast rate</t>
        </is>
      </c>
      <c r="B237">
        <f>IF(AND(Inputs!$B$38&lt;&gt;"pvp",Inputs!$B$43&gt;0),SUMPRODUCT((Skills!V2:V28=TRUE)*(C202:C228=TRUE)*R202:R228*Skills!W2:W28)/Inputs!$B$43,SUMPRODUCT((Skills!V2:V28=TRUE)*(C202:C228=TRUE)*Q202:Q228*Skills!W2:W28))+B236</f>
        <v/>
      </c>
    </row>
    <row r="239">
      <c r="A239" s="5" t="inlineStr">
        <is>
          <t>TOTAL DPS</t>
        </is>
      </c>
      <c r="B239" s="5">
        <f>SUM(O202:O228)</f>
        <v/>
      </c>
    </row>
    <row r="242">
      <c r="A242" s="5" t="inlineStr">
        <is>
          <t>Stat: NORMAL_DAMAGE %</t>
        </is>
      </c>
    </row>
    <row r="243">
      <c r="A243" s="9" t="inlineStr">
        <is>
          <t>Key</t>
        </is>
      </c>
      <c r="B243" s="9" t="inlineStr">
        <is>
          <t>Name</t>
        </is>
      </c>
      <c r="C243" s="9" t="inlineStr">
        <is>
          <t>Unlocked</t>
        </is>
      </c>
      <c r="D243" s="9" t="inlineStr">
        <is>
          <t>InputLevel</t>
        </is>
      </c>
      <c r="E243" s="9" t="inlineStr">
        <is>
          <t>Factor</t>
        </is>
      </c>
      <c r="F243" s="9" t="inlineStr">
        <is>
          <t>CoefficientPercent</t>
        </is>
      </c>
      <c r="G243" s="9" t="inlineStr">
        <is>
          <t>EffectiveHits</t>
        </is>
      </c>
      <c r="H243" s="9" t="inlineStr">
        <is>
          <t>ProcProbability</t>
        </is>
      </c>
      <c r="I243" s="9" t="inlineStr">
        <is>
          <t>MapleHeroMultiplier</t>
        </is>
      </c>
      <c r="J243" s="9" t="inlineStr">
        <is>
          <t>BaseDamage</t>
        </is>
      </c>
      <c r="K243" s="9" t="inlineStr">
        <is>
          <t>BaseHitDamage</t>
        </is>
      </c>
      <c r="L243" s="9" t="inlineStr">
        <is>
          <t>NonCritAvg</t>
        </is>
      </c>
      <c r="M243" s="9" t="inlineStr">
        <is>
          <t>CritAvg</t>
        </is>
      </c>
      <c r="N243" s="9" t="inlineStr">
        <is>
          <t>ExpectedDamage(perHit)</t>
        </is>
      </c>
      <c r="O243" s="9" t="inlineStr">
        <is>
          <t>DPS</t>
        </is>
      </c>
      <c r="P243" s="9" t="inlineStr">
        <is>
          <t>% of Total</t>
        </is>
      </c>
      <c r="R243" t="inlineStr">
        <is>
          <t>helpers</t>
        </is>
      </c>
    </row>
    <row r="244">
      <c r="A244">
        <f>Skills!A2</f>
        <v/>
      </c>
      <c r="B244">
        <f>Skills!B2</f>
        <v/>
      </c>
      <c r="C244">
        <f>TRUE</f>
        <v/>
      </c>
      <c r="D244" t="inlineStr"/>
      <c r="E244" t="inlineStr"/>
      <c r="F244">
        <f>T246+Skills!O2</f>
        <v/>
      </c>
      <c r="G244">
        <f>Calc!G2</f>
        <v/>
      </c>
      <c r="H244">
        <f>Calc!H2</f>
        <v/>
      </c>
      <c r="I244">
        <f>IF(Skills!X2&lt;&gt;"",1+(Skills!X2/10)*(Z245/1000)/100,1)</f>
        <v/>
      </c>
      <c r="J244">
        <f>((Inputs!$B$6*(1+Inputs!$B$7/100))+(((Inputs!$B$12*(1+Inputs!$B$13/100))-(Inputs!$B$12*(1+Inputs!$B$13/100)))+0.25*(Inputs!$B$14-Inputs!$B$14))*(1+Inputs!$B$7/100))*(F244/100)</f>
        <v/>
      </c>
      <c r="K244">
        <f>J244*(1+((Inputs!$B$12*(1+Inputs!$B$13/100))*0.01+Inputs!$B$14*0.0025)/100)*(1+Inputs!$B$15/100)*(1+IF(Inputs!$B$38="pvp",0,(1-Summary!$B$56)*(Inputs!$B$20+Skills!P2)+Summary!$B$56*((Inputs!$B$21+1)+Skills!Q2))/100)*(1+Inputs!$B$16/100)*(5000/(6000+Inputs!$B$42*(1-Inputs!$B$19/100)))*(1+Inputs!$B$24/100)*(1+F265/100)*(1+IF(Inputs!$B$3&gt;=120,F268,0)/100)^5*(1+(IF(Skills!A2="BASIC_ATTACK",Inputs!$B$17,Inputs!$B$18+IF(Inputs!$B$3&gt;=125,F269*5,0)))/100)*(B272*B273*B274*I244)</f>
        <v/>
      </c>
      <c r="L244">
        <f>K244*(MIN(Inputs!$B$22+(F264-Calc!F22),Inputs!$B$23)/100+Inputs!$B$23/100)/2</f>
        <v/>
      </c>
      <c r="M244">
        <f>L244*(1+(Inputs!$B$10+(F263-Calc!F21))/100)</f>
        <v/>
      </c>
      <c r="N244">
        <f>L244*(1-MIN(Inputs!$B$9+(F262-Calc!F20),100)/100)+M244*(MIN(Inputs!$B$9+(F262-Calc!F20),100)/100)</f>
        <v/>
      </c>
      <c r="O244">
        <f>Skills!G2*N244*B278*IF(Inputs!$B$38="pvp",1,(1-Summary!$B$56)*(1)+Summary!$B$56*(MIN((6+Inputs!$B$33+IF(Inputs!$B$3&gt;=136,1,0)),Inputs!$B$37)))</f>
        <v/>
      </c>
      <c r="P244">
        <f>IF(B281=0,0,O244/B281)</f>
        <v/>
      </c>
      <c r="Q244">
        <f>IFERROR(1/IF(Inputs!$B$38="pvp",15,MAX(0.1,Skills!E2-IF(Skills!F2=TRUE,Inputs!$B$32,0))),0)</f>
        <v/>
      </c>
      <c r="R244" t="n">
        <v>0</v>
      </c>
      <c r="T244">
        <f>MAX(0,(Inputs!$B$3-100)*3)+Inputs!$B$28+Inputs!$B$29</f>
        <v/>
      </c>
      <c r="Z244">
        <f>MAX(0,(Inputs!$B$3-100)*3)+Inputs!$B$28+Inputs!$B$29</f>
        <v/>
      </c>
    </row>
    <row r="245">
      <c r="A245">
        <f>Skills!A3</f>
        <v/>
      </c>
      <c r="B245">
        <f>Skills!B3</f>
        <v/>
      </c>
      <c r="C245">
        <f>TRUE</f>
        <v/>
      </c>
      <c r="D245">
        <f>IF(Skills!C3=1,60+Inputs!$B$25+Inputs!$B$29,IF(Skills!C3=2,90+Inputs!$B$26+Inputs!$B$29,IF(Skills!C3=3,120+Inputs!$B$27+Inputs!$B$29,MAX(0,(Inputs!$B$3-100)*3)+Inputs!$B$28+Inputs!$B$29)))</f>
        <v/>
      </c>
      <c r="E245">
        <f>INDEX(FactorTable!$B$2:$Y$301, MATCH(ROUND(MIN(300,MAX(1,D245)),0), FactorTable!$A$2:$A$301,0), Skills!M3+1)</f>
        <v/>
      </c>
      <c r="F245">
        <f>IF(Skills!N3=TRUE,(Skills!L3/10)*(E245/1000),Skills!L3/10)+Skills!O3</f>
        <v/>
      </c>
      <c r="G245">
        <f>Calc!G3</f>
        <v/>
      </c>
      <c r="H245">
        <f>Calc!H3</f>
        <v/>
      </c>
      <c r="I245">
        <f>IF(Skills!X3&lt;&gt;"",1+(Skills!X3/10)*(Z245/1000)/100,1)</f>
        <v/>
      </c>
      <c r="J245">
        <f>((Inputs!$B$6*(1+Inputs!$B$7/100))+(((Inputs!$B$12*(1+Inputs!$B$13/100))-(Inputs!$B$12*(1+Inputs!$B$13/100)))+0.25*(Inputs!$B$14-Inputs!$B$14))*(1+Inputs!$B$7/100))*(F245/100)</f>
        <v/>
      </c>
      <c r="K245">
        <f>J245*(1+((Inputs!$B$12*(1+Inputs!$B$13/100))*0.01+Inputs!$B$14*0.0025)/100)*(1+Inputs!$B$15/100)*(1+IF(Inputs!$B$38="pvp",0,(1-Summary!$B$56)*(Inputs!$B$20+Skills!P3)+Summary!$B$56*((Inputs!$B$21+1)+Skills!Q3))/100)*(1+Inputs!$B$16/100)*(5000/(6000+Inputs!$B$42*(1-Inputs!$B$19/100)))*(1+Inputs!$B$24/100)*(1+F265/100)*(1+IF(Inputs!$B$3&gt;=120,F268,0)/100)^5*(1+(IF(Skills!A3="BASIC_ATTACK",Inputs!$B$17,Inputs!$B$18+IF(Inputs!$B$3&gt;=125,F269*5,0)))/100)*(B272*B273*B274*I245)</f>
        <v/>
      </c>
      <c r="L245">
        <f>K245*(MIN(Inputs!$B$22+(F264-Calc!F22),Inputs!$B$23)/100+Inputs!$B$23/100)/2</f>
        <v/>
      </c>
      <c r="M245">
        <f>L245*(1+(Inputs!$B$10+(F263-Calc!F21))/100)</f>
        <v/>
      </c>
      <c r="N245">
        <f>L245*(1-MIN(Inputs!$B$9+(F262-Calc!F20),100)/100)+M245*(MIN(Inputs!$B$9+(F262-Calc!F20),100)/100)</f>
        <v/>
      </c>
      <c r="O245">
        <f>IF(C245,H245*N245*IF(AND(Inputs!$B$38&lt;&gt;"pvp",Inputs!$B$43&gt;0),((Skills!G3*((R245-1)*IF(Skills!H3&gt;0,Skills!I3/Skills!H3,1)+IF(Skills!H3&gt;0,MIN(Skills!I3,MAX(0,Inputs!$B$43-((R245-1)*IF(Inputs!$B$38="pvp",15,MAX(0.1,Skills!E3-IF(Skills!F3=TRUE,Inputs!$B$32,0))))))/Skills!H3,1)))/Inputs!$B$43),G245*Q245)*IF(Inputs!$B$38="pvp",1,(1-Summary!$B$56)*(1)+Summary!$B$56*(MIN(Skills!R3,Inputs!$B$37))),0)</f>
        <v/>
      </c>
      <c r="P245">
        <f>IF(B281=0,0,O245/B281)</f>
        <v/>
      </c>
      <c r="Q245">
        <f>IFERROR(1/IF(Inputs!$B$38="pvp",15,MAX(0.1,Skills!E3-IF(Skills!F3=TRUE,Inputs!$B$32,0))),0)</f>
        <v/>
      </c>
      <c r="R245">
        <f>IF(AND(Inputs!$B$38&lt;&gt;"pvp",Inputs!$B$43&gt;0),(INT(Inputs!$B$43/IF(Inputs!$B$38="pvp",15,MAX(0.1,Skills!E3-IF(Skills!F3=TRUE,Inputs!$B$32,0))))+1),0)</f>
        <v/>
      </c>
      <c r="T245">
        <f>INDEX(FactorTable!$B$2:$Y$301, MATCH(ROUND(MIN(300,MAX(1,T244)),0), FactorTable!$A$2:$A$301,0), 22)</f>
        <v/>
      </c>
      <c r="Z245">
        <f>INDEX(FactorTable!$B$2:$Y$301, MATCH(ROUND(MIN(300,MAX(1,Z244)),0), FactorTable!$A$2:$A$301,0), 24)</f>
        <v/>
      </c>
    </row>
    <row r="246">
      <c r="A246">
        <f>Skills!A4</f>
        <v/>
      </c>
      <c r="B246">
        <f>Skills!B4</f>
        <v/>
      </c>
      <c r="C246">
        <f>TRUE</f>
        <v/>
      </c>
      <c r="D246">
        <f>IF(Skills!C4=1,60+Inputs!$B$25+Inputs!$B$29,IF(Skills!C4=2,90+Inputs!$B$26+Inputs!$B$29,IF(Skills!C4=3,120+Inputs!$B$27+Inputs!$B$29,MAX(0,(Inputs!$B$3-100)*3)+Inputs!$B$28+Inputs!$B$29)))</f>
        <v/>
      </c>
      <c r="E246">
        <f>INDEX(FactorTable!$B$2:$Y$301, MATCH(ROUND(MIN(300,MAX(1,D246)),0), FactorTable!$A$2:$A$301,0), Skills!M4+1)</f>
        <v/>
      </c>
      <c r="F246">
        <f>IF(Skills!N4=TRUE,(Skills!L4/10)*(E246/1000),Skills!L4/10)+Skills!O4</f>
        <v/>
      </c>
      <c r="G246">
        <f>Calc!G4</f>
        <v/>
      </c>
      <c r="H246">
        <f>Calc!H4</f>
        <v/>
      </c>
      <c r="I246">
        <f>IF(Skills!X4&lt;&gt;"",1+(Skills!X4/10)*(Z245/1000)/100,1)</f>
        <v/>
      </c>
      <c r="J246">
        <f>((Inputs!$B$6*(1+Inputs!$B$7/100))+(((Inputs!$B$12*(1+Inputs!$B$13/100))-(Inputs!$B$12*(1+Inputs!$B$13/100)))+0.25*(Inputs!$B$14-Inputs!$B$14))*(1+Inputs!$B$7/100))*(F246/100)</f>
        <v/>
      </c>
      <c r="K246">
        <f>J246*(1+((Inputs!$B$12*(1+Inputs!$B$13/100))*0.01+Inputs!$B$14*0.0025)/100)*(1+Inputs!$B$15/100)*(1+IF(Inputs!$B$38="pvp",0,(1-Summary!$B$56)*(Inputs!$B$20+Skills!P4)+Summary!$B$56*((Inputs!$B$21+1)+Skills!Q4))/100)*(1+Inputs!$B$16/100)*(5000/(6000+Inputs!$B$42*(1-Inputs!$B$19/100)))*(1+Inputs!$B$24/100)*(1+F265/100)*(1+IF(Inputs!$B$3&gt;=120,F268,0)/100)^5*(1+(IF(Skills!A4="BASIC_ATTACK",Inputs!$B$17,Inputs!$B$18+IF(Inputs!$B$3&gt;=125,F269*5,0)))/100)*(B272*B273*B274*I246)</f>
        <v/>
      </c>
      <c r="L246">
        <f>K246*(MIN(Inputs!$B$22+(F264-Calc!F22),Inputs!$B$23)/100+Inputs!$B$23/100)/2</f>
        <v/>
      </c>
      <c r="M246">
        <f>L246*(1+(Inputs!$B$10+(F263-Calc!F21))/100)</f>
        <v/>
      </c>
      <c r="N246">
        <f>L246*(1-MIN(Inputs!$B$9+(F262-Calc!F20),100)/100)+M246*(MIN(Inputs!$B$9+(F262-Calc!F20),100)/100)</f>
        <v/>
      </c>
      <c r="O246">
        <f>IF(C246,H246*N246*IF(AND(Inputs!$B$38&lt;&gt;"pvp",Inputs!$B$43&gt;0),((Skills!G4*((R246-1)*IF(Skills!H4&gt;0,Skills!I4/Skills!H4,1)+IF(Skills!H4&gt;0,MIN(Skills!I4,MAX(0,Inputs!$B$43-((R246-1)*IF(Inputs!$B$38="pvp",15,MAX(0.1,Skills!E4-IF(Skills!F4=TRUE,Inputs!$B$32,0))))))/Skills!H4,1)))/Inputs!$B$43),G246*Q246)*IF(Inputs!$B$38="pvp",1,(1-Summary!$B$56)*(1)+Summary!$B$56*(MIN(Skills!R4,Inputs!$B$37))),0)</f>
        <v/>
      </c>
      <c r="P246">
        <f>IF(B281=0,0,O246/B281)</f>
        <v/>
      </c>
      <c r="Q246">
        <f>IFERROR(1/IF(Inputs!$B$38="pvp",15,MAX(0.1,Skills!E4-IF(Skills!F4=TRUE,Inputs!$B$32,0))),0)</f>
        <v/>
      </c>
      <c r="R246">
        <f>IF(AND(Inputs!$B$38&lt;&gt;"pvp",Inputs!$B$43&gt;0),(INT(Inputs!$B$43/IF(Inputs!$B$38="pvp",15,MAX(0.1,Skills!E4-IF(Skills!F4=TRUE,Inputs!$B$32,0))))+1),0)</f>
        <v/>
      </c>
      <c r="T246">
        <f>290*T245/1000</f>
        <v/>
      </c>
    </row>
    <row r="247">
      <c r="A247">
        <f>Skills!A5</f>
        <v/>
      </c>
      <c r="B247">
        <f>Skills!B5</f>
        <v/>
      </c>
      <c r="C247">
        <f>TRUE</f>
        <v/>
      </c>
      <c r="D247">
        <f>IF(Skills!C5=1,60+Inputs!$B$25+Inputs!$B$29,IF(Skills!C5=2,90+Inputs!$B$26+Inputs!$B$29,IF(Skills!C5=3,120+Inputs!$B$27+Inputs!$B$29,MAX(0,(Inputs!$B$3-100)*3)+Inputs!$B$28+Inputs!$B$29)))</f>
        <v/>
      </c>
      <c r="E247">
        <f>INDEX(FactorTable!$B$2:$Y$301, MATCH(ROUND(MIN(300,MAX(1,D247)),0), FactorTable!$A$2:$A$301,0), Skills!M5+1)</f>
        <v/>
      </c>
      <c r="F247">
        <f>IF(Skills!N5=TRUE,(Skills!L5/10)*(E247/1000),Skills!L5/10)+Skills!O5</f>
        <v/>
      </c>
      <c r="G247">
        <f>Calc!G5</f>
        <v/>
      </c>
      <c r="H247">
        <f>Calc!H5</f>
        <v/>
      </c>
      <c r="I247">
        <f>IF(Skills!X5&lt;&gt;"",1+(Skills!X5/10)*(Z245/1000)/100,1)</f>
        <v/>
      </c>
      <c r="J247">
        <f>((Inputs!$B$6*(1+Inputs!$B$7/100))+(((Inputs!$B$12*(1+Inputs!$B$13/100))-(Inputs!$B$12*(1+Inputs!$B$13/100)))+0.25*(Inputs!$B$14-Inputs!$B$14))*(1+Inputs!$B$7/100))*(F247/100)</f>
        <v/>
      </c>
      <c r="K247">
        <f>J247*(1+((Inputs!$B$12*(1+Inputs!$B$13/100))*0.01+Inputs!$B$14*0.0025)/100)*(1+Inputs!$B$15/100)*(1+IF(Inputs!$B$38="pvp",0,(1-Summary!$B$56)*(Inputs!$B$20+Skills!P5)+Summary!$B$56*((Inputs!$B$21+1)+Skills!Q5))/100)*(1+Inputs!$B$16/100)*(5000/(6000+Inputs!$B$42*(1-Inputs!$B$19/100)))*(1+Inputs!$B$24/100)*(1+F265/100)*(1+IF(Inputs!$B$3&gt;=120,F268,0)/100)^5*(1+(IF(Skills!A5="BASIC_ATTACK",Inputs!$B$17,Inputs!$B$18+IF(Inputs!$B$3&gt;=125,F269*5,0)))/100)*(B272*B273*B274*I247)</f>
        <v/>
      </c>
      <c r="L247">
        <f>K247*(MIN(Inputs!$B$22+(F264-Calc!F22),Inputs!$B$23)/100+Inputs!$B$23/100)/2</f>
        <v/>
      </c>
      <c r="M247">
        <f>L247*(1+(Inputs!$B$10+(F263-Calc!F21))/100)</f>
        <v/>
      </c>
      <c r="N247">
        <f>L247*(1-MIN(Inputs!$B$9+(F262-Calc!F20),100)/100)+M247*(MIN(Inputs!$B$9+(F262-Calc!F20),100)/100)</f>
        <v/>
      </c>
      <c r="O247">
        <f>IF(C247,H247*N247*IF(AND(Inputs!$B$38&lt;&gt;"pvp",Inputs!$B$43&gt;0),((Skills!G5*((R247-1)*IF(Skills!H5&gt;0,Skills!I5/Skills!H5,1)+IF(Skills!H5&gt;0,MIN(Skills!I5,MAX(0,Inputs!$B$43-((R247-1)*IF(Inputs!$B$38="pvp",15,MAX(0.1,Skills!E5-IF(Skills!F5=TRUE,Inputs!$B$32,0))))))/Skills!H5,1)))/Inputs!$B$43),G247*Q247)*IF(Inputs!$B$38="pvp",1,(1-Summary!$B$56)*(1)+Summary!$B$56*(MIN(Skills!R5,Inputs!$B$37))),0)</f>
        <v/>
      </c>
      <c r="P247">
        <f>IF(B281=0,0,O247/B281)</f>
        <v/>
      </c>
      <c r="Q247">
        <f>IFERROR(1/IF(Inputs!$B$38="pvp",15,MAX(0.1,Skills!E5-IF(Skills!F5=TRUE,Inputs!$B$32,0))),0)</f>
        <v/>
      </c>
      <c r="R247">
        <f>IF(AND(Inputs!$B$38&lt;&gt;"pvp",Inputs!$B$43&gt;0),(INT(Inputs!$B$43/IF(Inputs!$B$38="pvp",15,MAX(0.1,Skills!E5-IF(Skills!F5=TRUE,Inputs!$B$32,0))))+1),0)</f>
        <v/>
      </c>
    </row>
    <row r="248">
      <c r="A248">
        <f>Skills!A6</f>
        <v/>
      </c>
      <c r="B248">
        <f>Skills!B6</f>
        <v/>
      </c>
      <c r="C248">
        <f>TRUE</f>
        <v/>
      </c>
      <c r="D248">
        <f>IF(Skills!C6=1,60+Inputs!$B$25+Inputs!$B$29,IF(Skills!C6=2,90+Inputs!$B$26+Inputs!$B$29,IF(Skills!C6=3,120+Inputs!$B$27+Inputs!$B$29,MAX(0,(Inputs!$B$3-100)*3)+Inputs!$B$28+Inputs!$B$29)))</f>
        <v/>
      </c>
      <c r="E248">
        <f>INDEX(FactorTable!$B$2:$Y$301, MATCH(ROUND(MIN(300,MAX(1,D248)),0), FactorTable!$A$2:$A$301,0), Skills!M6+1)</f>
        <v/>
      </c>
      <c r="F248">
        <f>IF(Skills!N6=TRUE,(Skills!L6/10)*(E248/1000),Skills!L6/10)+Skills!O6</f>
        <v/>
      </c>
      <c r="G248">
        <f>Calc!G6</f>
        <v/>
      </c>
      <c r="H248">
        <f>Calc!H6</f>
        <v/>
      </c>
      <c r="I248">
        <f>IF(Skills!X6&lt;&gt;"",1+(Skills!X6/10)*(Z245/1000)/100,1)</f>
        <v/>
      </c>
      <c r="J248" t="inlineStr"/>
      <c r="K248" t="inlineStr"/>
      <c r="L248" t="inlineStr"/>
      <c r="M248" t="inlineStr"/>
      <c r="N248" t="inlineStr"/>
      <c r="O248" t="n">
        <v>0</v>
      </c>
      <c r="P248">
        <f>IF(B281=0,0,O248/B281)</f>
        <v/>
      </c>
      <c r="Q248">
        <f>IFERROR(1/IF(Inputs!$B$38="pvp",15,MAX(0.1,Skills!E6-IF(Skills!F6=TRUE,Inputs!$B$32,0))),0)</f>
        <v/>
      </c>
      <c r="R248">
        <f>IF(AND(Inputs!$B$38&lt;&gt;"pvp",Inputs!$B$43&gt;0),(INT(Inputs!$B$43/IF(Inputs!$B$38="pvp",15,MAX(0.1,Skills!E6-IF(Skills!F6=TRUE,Inputs!$B$32,0))))+1),0)</f>
        <v/>
      </c>
    </row>
    <row r="249">
      <c r="A249">
        <f>Skills!A7</f>
        <v/>
      </c>
      <c r="B249">
        <f>Skills!B7</f>
        <v/>
      </c>
      <c r="C249">
        <f>TRUE</f>
        <v/>
      </c>
      <c r="D249">
        <f>IF(Skills!C7=1,60+Inputs!$B$25+Inputs!$B$29,IF(Skills!C7=2,90+Inputs!$B$26+Inputs!$B$29,IF(Skills!C7=3,120+Inputs!$B$27+Inputs!$B$29,MAX(0,(Inputs!$B$3-100)*3)+Inputs!$B$28+Inputs!$B$29)))</f>
        <v/>
      </c>
      <c r="E249">
        <f>INDEX(FactorTable!$B$2:$Y$301, MATCH(ROUND(MIN(300,MAX(1,D249)),0), FactorTable!$A$2:$A$301,0), Skills!M7+1)</f>
        <v/>
      </c>
      <c r="F249">
        <f>IF(Skills!N7=TRUE,(Skills!L7/10)*(E249/1000),Skills!L7/10)+Skills!O7</f>
        <v/>
      </c>
      <c r="G249">
        <f>Calc!G7</f>
        <v/>
      </c>
      <c r="H249">
        <f>Calc!H7</f>
        <v/>
      </c>
      <c r="I249">
        <f>IF(Skills!X7&lt;&gt;"",1+(Skills!X7/10)*(Z245/1000)/100,1)</f>
        <v/>
      </c>
      <c r="J249">
        <f>((Inputs!$B$6*(1+Inputs!$B$7/100))+(((Inputs!$B$12*(1+Inputs!$B$13/100))-(Inputs!$B$12*(1+Inputs!$B$13/100)))+0.25*(Inputs!$B$14-Inputs!$B$14))*(1+Inputs!$B$7/100))*(F249/100)</f>
        <v/>
      </c>
      <c r="K249">
        <f>J249*(1+((Inputs!$B$12*(1+Inputs!$B$13/100))*0.01+Inputs!$B$14*0.0025)/100)*(1+Inputs!$B$15/100)*(1+IF(Inputs!$B$38="pvp",0,(1-Summary!$B$56)*(Inputs!$B$20+Skills!P7)+Summary!$B$56*((Inputs!$B$21+1)+Skills!Q7))/100)*(1+Inputs!$B$16/100)*(5000/(6000+Inputs!$B$42*(1-Inputs!$B$19/100)))*(1+Inputs!$B$24/100)*(1+F265/100)*(1+IF(Inputs!$B$3&gt;=120,F268,0)/100)^5*(1+(IF(Skills!A7="BASIC_ATTACK",Inputs!$B$17,Inputs!$B$18+IF(Inputs!$B$3&gt;=125,F269*5,0)))/100)*(B272*B273*B274*I249)</f>
        <v/>
      </c>
      <c r="L249">
        <f>K249*(MIN(Inputs!$B$22+(F264-Calc!F22),Inputs!$B$23)/100+Inputs!$B$23/100)/2</f>
        <v/>
      </c>
      <c r="M249">
        <f>L249*(1+(Inputs!$B$10+(F263-Calc!F21))/100)</f>
        <v/>
      </c>
      <c r="N249">
        <f>L249*(1-MIN(Inputs!$B$9+(F262-Calc!F20),100)/100)+M249*(MIN(Inputs!$B$9+(F262-Calc!F20),100)/100)</f>
        <v/>
      </c>
      <c r="O249">
        <f>IF(C249,H249*N249*IF(AND(Inputs!$B$38&lt;&gt;"pvp",Inputs!$B$43&gt;0),((Skills!G7*((R249-1)*IF(Skills!H7&gt;0,Skills!I7/Skills!H7,1)+IF(Skills!H7&gt;0,MIN(Skills!I7,MAX(0,Inputs!$B$43-((R249-1)*IF(Inputs!$B$38="pvp",15,MAX(0.1,Skills!E7-IF(Skills!F7=TRUE,Inputs!$B$32,0))))))/Skills!H7,1)))/Inputs!$B$43),G249*Q249)*IF(Inputs!$B$38="pvp",1,(1-Summary!$B$56)*(1)+Summary!$B$56*(MIN(Skills!R7,Inputs!$B$37))),0)</f>
        <v/>
      </c>
      <c r="P249">
        <f>IF(B281=0,0,O249/B281)</f>
        <v/>
      </c>
      <c r="Q249">
        <f>IFERROR(1/IF(Inputs!$B$38="pvp",15,MAX(0.1,Skills!E7-IF(Skills!F7=TRUE,Inputs!$B$32,0))),0)</f>
        <v/>
      </c>
      <c r="R249">
        <f>IF(AND(Inputs!$B$38&lt;&gt;"pvp",Inputs!$B$43&gt;0),(INT(Inputs!$B$43/IF(Inputs!$B$38="pvp",15,MAX(0.1,Skills!E7-IF(Skills!F7=TRUE,Inputs!$B$32,0))))+1),0)</f>
        <v/>
      </c>
    </row>
    <row r="250">
      <c r="A250">
        <f>Skills!A8</f>
        <v/>
      </c>
      <c r="B250">
        <f>Skills!B8</f>
        <v/>
      </c>
      <c r="C250">
        <f>TRUE</f>
        <v/>
      </c>
      <c r="D250">
        <f>IF(Skills!C8=1,60+Inputs!$B$25+Inputs!$B$29,IF(Skills!C8=2,90+Inputs!$B$26+Inputs!$B$29,IF(Skills!C8=3,120+Inputs!$B$27+Inputs!$B$29,MAX(0,(Inputs!$B$3-100)*3)+Inputs!$B$28+Inputs!$B$29)))</f>
        <v/>
      </c>
      <c r="E250">
        <f>INDEX(FactorTable!$B$2:$Y$301, MATCH(ROUND(MIN(300,MAX(1,D250)),0), FactorTable!$A$2:$A$301,0), Skills!M8+1)</f>
        <v/>
      </c>
      <c r="F250">
        <f>IF(Skills!N8=TRUE,(Skills!L8/10)*(E250/1000),Skills!L8/10)+Skills!O8</f>
        <v/>
      </c>
      <c r="G250">
        <f>Calc!G8</f>
        <v/>
      </c>
      <c r="H250">
        <f>Calc!H8</f>
        <v/>
      </c>
      <c r="I250">
        <f>IF(Skills!X8&lt;&gt;"",1+(Skills!X8/10)*(Z245/1000)/100,1)</f>
        <v/>
      </c>
      <c r="J250">
        <f>((Inputs!$B$6*(1+Inputs!$B$7/100))+(((Inputs!$B$12*(1+Inputs!$B$13/100))-(Inputs!$B$12*(1+Inputs!$B$13/100)))+0.25*(Inputs!$B$14-Inputs!$B$14))*(1+Inputs!$B$7/100))*(F250/100)</f>
        <v/>
      </c>
      <c r="K250">
        <f>J250*(1+((Inputs!$B$12*(1+Inputs!$B$13/100))*0.01+Inputs!$B$14*0.0025)/100)*(1+Inputs!$B$15/100)*(1+IF(Inputs!$B$38="pvp",0,(1-Summary!$B$56)*(Inputs!$B$20+Skills!P8)+Summary!$B$56*((Inputs!$B$21+1)+Skills!Q8))/100)*(1+Inputs!$B$16/100)*(5000/(6000+Inputs!$B$42*(1-Inputs!$B$19/100)))*(1+Inputs!$B$24/100)*(1+F265/100)*(1+IF(Inputs!$B$3&gt;=120,F268,0)/100)^5*(1+(IF(Skills!A8="BASIC_ATTACK",Inputs!$B$17,Inputs!$B$18+IF(Inputs!$B$3&gt;=125,F269*5,0)))/100)*(B272*B273*B274*I250)</f>
        <v/>
      </c>
      <c r="L250">
        <f>K250*(MIN(Inputs!$B$22+(F264-Calc!F22),Inputs!$B$23)/100+Inputs!$B$23/100)/2</f>
        <v/>
      </c>
      <c r="M250">
        <f>L250*(1+(Inputs!$B$10+(F263-Calc!F21))/100)</f>
        <v/>
      </c>
      <c r="N250">
        <f>L250*(1-MIN(Inputs!$B$9+(F262-Calc!F20),100)/100)+M250*(MIN(Inputs!$B$9+(F262-Calc!F20),100)/100)</f>
        <v/>
      </c>
      <c r="O250">
        <f>IF(C250,H250*N250*IF(AND(Inputs!$B$38&lt;&gt;"pvp",Inputs!$B$43&gt;0),((Skills!G8*((R250-1)*IF(Skills!H8&gt;0,Skills!I8/Skills!H8,1)+IF(Skills!H8&gt;0,MIN(Skills!I8,MAX(0,Inputs!$B$43-((R250-1)*IF(Inputs!$B$38="pvp",15,MAX(0.1,Skills!E8-IF(Skills!F8=TRUE,Inputs!$B$32,0))))))/Skills!H8,1)))/Inputs!$B$43),G250*Q250)*IF(Inputs!$B$38="pvp",1,(1-Summary!$B$56)*(1)+Summary!$B$56*(MIN(Skills!R8,Inputs!$B$37))),0)</f>
        <v/>
      </c>
      <c r="P250">
        <f>IF(B281=0,0,O250/B281)</f>
        <v/>
      </c>
      <c r="Q250">
        <f>IFERROR(1/IF(Inputs!$B$38="pvp",15,MAX(0.1,Skills!E8-IF(Skills!F8=TRUE,Inputs!$B$32,0))),0)</f>
        <v/>
      </c>
      <c r="R250">
        <f>IF(AND(Inputs!$B$38&lt;&gt;"pvp",Inputs!$B$43&gt;0),(INT(Inputs!$B$43/IF(Inputs!$B$38="pvp",15,MAX(0.1,Skills!E8-IF(Skills!F8=TRUE,Inputs!$B$32,0))))+1),0)</f>
        <v/>
      </c>
    </row>
    <row r="251">
      <c r="A251">
        <f>Skills!A9</f>
        <v/>
      </c>
      <c r="B251">
        <f>Skills!B9</f>
        <v/>
      </c>
      <c r="C251">
        <f>Inputs!$B$3&gt;=103</f>
        <v/>
      </c>
      <c r="D251">
        <f>IF(Skills!C9=1,60+Inputs!$B$25+Inputs!$B$29,IF(Skills!C9=2,90+Inputs!$B$26+Inputs!$B$29,IF(Skills!C9=3,120+Inputs!$B$27+Inputs!$B$29,MAX(0,(Inputs!$B$3-100)*3)+Inputs!$B$28+Inputs!$B$29)))</f>
        <v/>
      </c>
      <c r="E251">
        <f>INDEX(FactorTable!$B$2:$Y$301, MATCH(ROUND(MIN(300,MAX(1,D251)),0), FactorTable!$A$2:$A$301,0), Skills!M9+1)</f>
        <v/>
      </c>
      <c r="F251">
        <f>IF(Skills!N9=TRUE,(Skills!L9/10)*(E251/1000),Skills!L9/10)+Skills!O9</f>
        <v/>
      </c>
      <c r="G251">
        <f>Calc!G9</f>
        <v/>
      </c>
      <c r="H251">
        <f>Calc!H9</f>
        <v/>
      </c>
      <c r="I251">
        <f>IF(Skills!X9&lt;&gt;"",1+(Skills!X9/10)*(Z245/1000)/100,1)</f>
        <v/>
      </c>
      <c r="J251">
        <f>((Inputs!$B$6*(1+Inputs!$B$7/100))+(((Inputs!$B$12*(1+Inputs!$B$13/100))-(Inputs!$B$12*(1+Inputs!$B$13/100)))+0.25*(Inputs!$B$14-Inputs!$B$14))*(1+Inputs!$B$7/100))*(F251/100)</f>
        <v/>
      </c>
      <c r="K251">
        <f>J251*(1+((Inputs!$B$12*(1+Inputs!$B$13/100))*0.01+Inputs!$B$14*0.0025)/100)*(1+Inputs!$B$15/100)*(1+IF(Inputs!$B$38="pvp",0,(1-Summary!$B$56)*(Inputs!$B$20+Skills!P9)+Summary!$B$56*((Inputs!$B$21+1)+Skills!Q9))/100)*(1+Inputs!$B$16/100)*(5000/(6000+Inputs!$B$42*(1-Inputs!$B$19/100)))*(1+Inputs!$B$24/100)*(1+F265/100)*(1+IF(Inputs!$B$3&gt;=120,F268,0)/100)^5*(1+(IF(Skills!A9="BASIC_ATTACK",Inputs!$B$17,Inputs!$B$18+IF(Inputs!$B$3&gt;=125,F269*5,0)))/100)*(B272*B273*B274*I251)</f>
        <v/>
      </c>
      <c r="L251">
        <f>K251*(MIN(Inputs!$B$22+(F264-Calc!F22),Inputs!$B$23)/100+Inputs!$B$23/100)/2</f>
        <v/>
      </c>
      <c r="M251">
        <f>L251*(1+(Inputs!$B$10+(F263-Calc!F21))/100)</f>
        <v/>
      </c>
      <c r="N251">
        <f>L251*(1-MIN(Inputs!$B$9+(F262-Calc!F20),100)/100)+M251*(MIN(Inputs!$B$9+(F262-Calc!F20),100)/100)</f>
        <v/>
      </c>
      <c r="O251">
        <f>IF(C251,H251*N251*IF(AND(Inputs!$B$38&lt;&gt;"pvp",Inputs!$B$43&gt;0),((Skills!G9*((R251-1)*IF(Skills!H9&gt;0,Skills!I9/Skills!H9,1)+IF(Skills!H9&gt;0,MIN(Skills!I9,MAX(0,Inputs!$B$43-((R251-1)*IF(Inputs!$B$38="pvp",15,MAX(0.1,Skills!E9-IF(Skills!F7=TRUE,Inputs!$B$32,0))))))/Skills!H9,1)))/Inputs!$B$43),G251*Q251)*IF(Inputs!$B$38="pvp",1,(1-Summary!$B$56)*(1)+Summary!$B$56*(MIN(Skills!R9,Inputs!$B$37))),0)</f>
        <v/>
      </c>
      <c r="P251">
        <f>IF(B281=0,0,O251/B281)</f>
        <v/>
      </c>
      <c r="Q251">
        <f>IFERROR(1/IF(Inputs!$B$38="pvp",15,MAX(0.1,Skills!E9-IF(Skills!F7=TRUE,Inputs!$B$32,0))),0)</f>
        <v/>
      </c>
      <c r="R251">
        <f>IF(AND(Inputs!$B$38&lt;&gt;"pvp",Inputs!$B$43&gt;0),(INT(Inputs!$B$43/IF(Inputs!$B$38="pvp",15,MAX(0.1,Skills!E9-IF(Skills!F7=TRUE,Inputs!$B$32,0))))+1),0)</f>
        <v/>
      </c>
    </row>
    <row r="252">
      <c r="A252">
        <f>Skills!A10</f>
        <v/>
      </c>
      <c r="B252">
        <f>Skills!B10</f>
        <v/>
      </c>
      <c r="C252">
        <f>TRUE</f>
        <v/>
      </c>
      <c r="D252">
        <f>IF(Skills!C10=1,60+Inputs!$B$25+Inputs!$B$29,IF(Skills!C10=2,90+Inputs!$B$26+Inputs!$B$29,IF(Skills!C10=3,120+Inputs!$B$27+Inputs!$B$29,MAX(0,(Inputs!$B$3-100)*3)+Inputs!$B$28+Inputs!$B$29)))</f>
        <v/>
      </c>
      <c r="E252">
        <f>INDEX(FactorTable!$B$2:$Y$301, MATCH(ROUND(MIN(300,MAX(1,D252)),0), FactorTable!$A$2:$A$301,0), Skills!M10+1)</f>
        <v/>
      </c>
      <c r="F252">
        <f>IF(Skills!N10=TRUE,(Skills!L10/10)*(E252/1000),Skills!L10/10)+Skills!O10</f>
        <v/>
      </c>
      <c r="G252">
        <f>Calc!G10</f>
        <v/>
      </c>
      <c r="H252">
        <f>Calc!H10</f>
        <v/>
      </c>
      <c r="I252">
        <f>IF(Skills!X10&lt;&gt;"",1+(Skills!X10/10)*(Z245/1000)/100,1)</f>
        <v/>
      </c>
      <c r="J252">
        <f>((Inputs!$B$6*(1+Inputs!$B$7/100))+(((Inputs!$B$12*(1+Inputs!$B$13/100))-(Inputs!$B$12*(1+Inputs!$B$13/100)))+0.25*(Inputs!$B$14-Inputs!$B$14))*(1+Inputs!$B$7/100))*(F252/100)</f>
        <v/>
      </c>
      <c r="K252">
        <f>J252*(1+((Inputs!$B$12*(1+Inputs!$B$13/100))*0.01+Inputs!$B$14*0.0025)/100)*(1+Inputs!$B$15/100)*(1+IF(Inputs!$B$38="pvp",0,(1-Summary!$B$56)*(Inputs!$B$20+Skills!P10)+Summary!$B$56*((Inputs!$B$21+1)+Skills!Q10))/100)*(1+Inputs!$B$16/100)*(5000/(6000+Inputs!$B$42*(1-Inputs!$B$19/100)))*(1+Inputs!$B$24/100)*(1+F265/100)*(1+IF(Inputs!$B$3&gt;=120,F268,0)/100)^5*(1+(IF(Skills!A10="BASIC_ATTACK",Inputs!$B$17,Inputs!$B$18+IF(Inputs!$B$3&gt;=125,F269*5,0)))/100)*(B272*B273*B274*I252)</f>
        <v/>
      </c>
      <c r="L252">
        <f>K252*(MIN(Inputs!$B$22+(F264-Calc!F22),Inputs!$B$23)/100+Inputs!$B$23/100)/2</f>
        <v/>
      </c>
      <c r="M252">
        <f>L252*(1+(Inputs!$B$10+(F263-Calc!F21))/100)</f>
        <v/>
      </c>
      <c r="N252">
        <f>L252*(1-MIN(Inputs!$B$9+(F262-Calc!F20),100)/100)+M252*(MIN(Inputs!$B$9+(F262-Calc!F20),100)/100)</f>
        <v/>
      </c>
      <c r="O252">
        <f>IF(C252,H252*N252*IF(AND(Inputs!$B$38&lt;&gt;"pvp",Inputs!$B$43&gt;0),((Skills!G10*((R252-1)*IF(Skills!H10&gt;0,Skills!I10/Skills!H10,1)+IF(Skills!H10&gt;0,MIN(Skills!I10,MAX(0,Inputs!$B$43-((R252-1)*IF(Inputs!$B$38="pvp",15,MAX(0.1,Skills!E10-IF(Skills!F10=TRUE,Inputs!$B$32,0))))))/Skills!H10,1)))/Inputs!$B$43),G252*Q252)*IF(Inputs!$B$38="pvp",1,(1-Summary!$B$56)*(1)+Summary!$B$56*(MIN(Skills!R10,Inputs!$B$37))),0)</f>
        <v/>
      </c>
      <c r="P252">
        <f>IF(B281=0,0,O252/B281)</f>
        <v/>
      </c>
      <c r="Q252">
        <f>IFERROR(1/IF(Inputs!$B$38="pvp",15,MAX(0.1,Skills!E10-IF(Skills!F10=TRUE,Inputs!$B$32,0))),0)</f>
        <v/>
      </c>
      <c r="R252">
        <f>IF(AND(Inputs!$B$38&lt;&gt;"pvp",Inputs!$B$43&gt;0),(INT(Inputs!$B$43/IF(Inputs!$B$38="pvp",15,MAX(0.1,Skills!E10-IF(Skills!F10=TRUE,Inputs!$B$32,0))))+1),0)</f>
        <v/>
      </c>
    </row>
    <row r="253">
      <c r="A253">
        <f>Skills!A11</f>
        <v/>
      </c>
      <c r="B253">
        <f>Skills!B11</f>
        <v/>
      </c>
      <c r="C253">
        <f>TRUE</f>
        <v/>
      </c>
      <c r="D253">
        <f>IF(Skills!C11=1,60+Inputs!$B$25+Inputs!$B$29,IF(Skills!C11=2,90+Inputs!$B$26+Inputs!$B$29,IF(Skills!C11=3,120+Inputs!$B$27+Inputs!$B$29,MAX(0,(Inputs!$B$3-100)*3)+Inputs!$B$28+Inputs!$B$29)))</f>
        <v/>
      </c>
      <c r="E253">
        <f>INDEX(FactorTable!$B$2:$Y$301, MATCH(ROUND(MIN(300,MAX(1,D253)),0), FactorTable!$A$2:$A$301,0), Skills!M11+1)</f>
        <v/>
      </c>
      <c r="F253">
        <f>IF(Skills!N11=TRUE,(Skills!L11/10)*(E253/1000),Skills!L11/10)+Skills!O11</f>
        <v/>
      </c>
      <c r="G253">
        <f>Calc!G11</f>
        <v/>
      </c>
      <c r="H253">
        <f>Calc!H11</f>
        <v/>
      </c>
      <c r="I253">
        <f>IF(Skills!X11&lt;&gt;"",1+(Skills!X11/10)*(Z245/1000)/100,1)</f>
        <v/>
      </c>
      <c r="J253" t="inlineStr"/>
      <c r="K253" t="inlineStr"/>
      <c r="L253" t="inlineStr"/>
      <c r="M253" t="inlineStr"/>
      <c r="N253" t="inlineStr"/>
      <c r="O253" t="n">
        <v>0</v>
      </c>
      <c r="P253">
        <f>IF(B281=0,0,O253/B281)</f>
        <v/>
      </c>
      <c r="Q253">
        <f>IFERROR(1/IF(Inputs!$B$38="pvp",15,MAX(0.1,Skills!E11-IF(Skills!F11=TRUE,Inputs!$B$32,0))),0)</f>
        <v/>
      </c>
      <c r="R253" t="n">
        <v>0</v>
      </c>
    </row>
    <row r="254">
      <c r="A254">
        <f>Skills!A12</f>
        <v/>
      </c>
      <c r="B254">
        <f>Skills!B12</f>
        <v/>
      </c>
      <c r="C254">
        <f>TRUE</f>
        <v/>
      </c>
      <c r="D254">
        <f>IF(Skills!C12=1,60+Inputs!$B$25+Inputs!$B$29,IF(Skills!C12=2,90+Inputs!$B$26+Inputs!$B$29,IF(Skills!C12=3,120+Inputs!$B$27+Inputs!$B$29,MAX(0,(Inputs!$B$3-100)*3)+Inputs!$B$28+Inputs!$B$29)))</f>
        <v/>
      </c>
      <c r="E254">
        <f>INDEX(FactorTable!$B$2:$Y$301, MATCH(ROUND(MIN(300,MAX(1,D254)),0), FactorTable!$A$2:$A$301,0), Skills!M12+1)</f>
        <v/>
      </c>
      <c r="F254">
        <f>IF(Skills!N12=TRUE,(Skills!L12/10)*(E254/1000),Skills!L12/10)+Skills!O12</f>
        <v/>
      </c>
      <c r="G254">
        <f>Calc!G12</f>
        <v/>
      </c>
      <c r="H254">
        <f>Calc!H12</f>
        <v/>
      </c>
      <c r="I254">
        <f>IF(Skills!X12&lt;&gt;"",1+(Skills!X12/10)*(Z245/1000)/100,1)</f>
        <v/>
      </c>
      <c r="J254" t="inlineStr"/>
      <c r="K254" t="inlineStr"/>
      <c r="L254" t="inlineStr"/>
      <c r="M254" t="inlineStr"/>
      <c r="N254" t="inlineStr"/>
      <c r="O254" t="n">
        <v>0</v>
      </c>
      <c r="P254">
        <f>IF(B281=0,0,O254/B281)</f>
        <v/>
      </c>
      <c r="Q254">
        <f>IFERROR(1/IF(Inputs!$B$38="pvp",15,MAX(0.1,Skills!E12-IF(Skills!F12=TRUE,Inputs!$B$32,0))),0)</f>
        <v/>
      </c>
      <c r="R254" t="n">
        <v>0</v>
      </c>
    </row>
    <row r="255">
      <c r="A255">
        <f>Skills!A13</f>
        <v/>
      </c>
      <c r="B255">
        <f>Skills!B13</f>
        <v/>
      </c>
      <c r="C255">
        <f>Inputs!$B$3&gt;=105</f>
        <v/>
      </c>
      <c r="D255">
        <f>IF(Skills!C13=1,60+Inputs!$B$25+Inputs!$B$29,IF(Skills!C13=2,90+Inputs!$B$26+Inputs!$B$29,IF(Skills!C13=3,120+Inputs!$B$27+Inputs!$B$29,MAX(0,(Inputs!$B$3-100)*3)+Inputs!$B$28+Inputs!$B$29)))</f>
        <v/>
      </c>
      <c r="E255">
        <f>INDEX(FactorTable!$B$2:$Y$301, MATCH(ROUND(MIN(300,MAX(1,D255)),0), FactorTable!$A$2:$A$301,0), Skills!M13+1)</f>
        <v/>
      </c>
      <c r="F255">
        <f>IF(Skills!N13=TRUE,(Skills!L13/10)*(E255/1000),Skills!L13/10)+Skills!O13</f>
        <v/>
      </c>
      <c r="G255">
        <f>Calc!G13</f>
        <v/>
      </c>
      <c r="H255">
        <f>Calc!H13</f>
        <v/>
      </c>
      <c r="I255">
        <f>IF(Skills!X13&lt;&gt;"",1+(Skills!X13/10)*(Z245/1000)/100,1)</f>
        <v/>
      </c>
      <c r="J255">
        <f>((Inputs!$B$6*(1+Inputs!$B$7/100))+(((Inputs!$B$12*(1+Inputs!$B$13/100))-(Inputs!$B$12*(1+Inputs!$B$13/100)))+0.25*(Inputs!$B$14-Inputs!$B$14))*(1+Inputs!$B$7/100))*(F255/100)</f>
        <v/>
      </c>
      <c r="K255">
        <f>J255*(1+((Inputs!$B$12*(1+Inputs!$B$13/100))*0.01+Inputs!$B$14*0.0025)/100)*(1+Inputs!$B$15/100)*(1+IF(Inputs!$B$38="pvp",0,(1-Summary!$B$56)*(Inputs!$B$20+Skills!P13)+Summary!$B$56*((Inputs!$B$21+1)+Skills!Q13))/100)*(1+Inputs!$B$16/100)*(5000/(6000+Inputs!$B$42*(1-Inputs!$B$19/100)))*(1+Inputs!$B$24/100)*(1+F265/100)*(1+IF(Inputs!$B$3&gt;=120,F268,0)/100)^5*(1+(IF(Skills!A13="BASIC_ATTACK",Inputs!$B$17,Inputs!$B$18+IF(Inputs!$B$3&gt;=125,F269*5,0)))/100)*(B272*B273*B274*I255)</f>
        <v/>
      </c>
      <c r="L255">
        <f>K255*(MIN(Inputs!$B$22+(F264-Calc!F22),Inputs!$B$23)/100+Inputs!$B$23/100)/2</f>
        <v/>
      </c>
      <c r="M255">
        <f>L255*(1+(Inputs!$B$10+(F263-Calc!F21))/100)</f>
        <v/>
      </c>
      <c r="N255">
        <f>L255*(1-MIN(Inputs!$B$9+(F262-Calc!F20),100)/100)+M255*(MIN(Inputs!$B$9+(F262-Calc!F20),100)/100)</f>
        <v/>
      </c>
      <c r="O255">
        <f>IF(C255,H255*N255*IF(AND(Inputs!$B$38&lt;&gt;"pvp",Inputs!$B$43&gt;0),((Skills!G13*((R255-1)*IF(Skills!H13&gt;0,Skills!I13/Skills!H13,1)+IF(Skills!H13&gt;0,MIN(Skills!I13,MAX(0,Inputs!$B$43-((R255-1)*IF(Inputs!$B$38="pvp",15,MAX(0.1,Skills!E13-IF(Skills!F13=TRUE,Inputs!$B$32,0))))))/Skills!H13,1)))/Inputs!$B$43),G255*Q255)*IF(Inputs!$B$38="pvp",1,(1-Summary!$B$56)*(1)+Summary!$B$56*(MIN(Skills!R13,Inputs!$B$37))),0)</f>
        <v/>
      </c>
      <c r="P255">
        <f>IF(B281=0,0,O255/B281)</f>
        <v/>
      </c>
      <c r="Q255">
        <f>IFERROR(1/IF(Inputs!$B$38="pvp",15,MAX(0.1,Skills!E13-IF(Skills!F13=TRUE,Inputs!$B$32,0))),0)</f>
        <v/>
      </c>
      <c r="R255">
        <f>IF(AND(Inputs!$B$38&lt;&gt;"pvp",Inputs!$B$43&gt;0),(INT(Inputs!$B$43/IF(Inputs!$B$38="pvp",15,MAX(0.1,Skills!E13-IF(Skills!F13=TRUE,Inputs!$B$32,0))))+1),0)</f>
        <v/>
      </c>
    </row>
    <row r="256">
      <c r="A256">
        <f>Skills!A14</f>
        <v/>
      </c>
      <c r="B256">
        <f>Skills!B14</f>
        <v/>
      </c>
      <c r="C256">
        <f>Inputs!$B$3&gt;=113</f>
        <v/>
      </c>
      <c r="D256">
        <f>IF(Skills!C14=1,60+Inputs!$B$25+Inputs!$B$29,IF(Skills!C14=2,90+Inputs!$B$26+Inputs!$B$29,IF(Skills!C14=3,120+Inputs!$B$27+Inputs!$B$29,MAX(0,(Inputs!$B$3-100)*3)+Inputs!$B$28+Inputs!$B$29)))</f>
        <v/>
      </c>
      <c r="E256">
        <f>INDEX(FactorTable!$B$2:$Y$301, MATCH(ROUND(MIN(300,MAX(1,D256)),0), FactorTable!$A$2:$A$301,0), Skills!M14+1)</f>
        <v/>
      </c>
      <c r="F256">
        <f>IF(Skills!N14=TRUE,(Skills!L14/10)*(E256/1000),Skills!L14/10)+Skills!O14</f>
        <v/>
      </c>
      <c r="G256">
        <f>Calc!G14</f>
        <v/>
      </c>
      <c r="H256">
        <f>Calc!H14</f>
        <v/>
      </c>
      <c r="I256">
        <f>IF(Skills!X14&lt;&gt;"",1+(Skills!X14/10)*(Z245/1000)/100,1)</f>
        <v/>
      </c>
      <c r="J256">
        <f>((Inputs!$B$6*(1+Inputs!$B$7/100))+(((Inputs!$B$12*(1+Inputs!$B$13/100))-(Inputs!$B$12*(1+Inputs!$B$13/100)))+0.25*(Inputs!$B$14-Inputs!$B$14))*(1+Inputs!$B$7/100))*(F256/100)</f>
        <v/>
      </c>
      <c r="K256">
        <f>J256*(1+((Inputs!$B$12*(1+Inputs!$B$13/100))*0.01+Inputs!$B$14*0.0025)/100)*(1+Inputs!$B$15/100)*(1+IF(Inputs!$B$38="pvp",0,(1-Summary!$B$56)*(Inputs!$B$20+Skills!P14)+Summary!$B$56*((Inputs!$B$21+1)+Skills!Q14))/100)*(1+Inputs!$B$16/100)*(5000/(6000+Inputs!$B$42*(1-Inputs!$B$19/100)))*(1+Inputs!$B$24/100)*(1+F265/100)*(1+IF(Inputs!$B$3&gt;=120,F268,0)/100)^5*(1+(IF(Skills!A14="BASIC_ATTACK",Inputs!$B$17,Inputs!$B$18+IF(Inputs!$B$3&gt;=125,F269*5,0)))/100)*(B272*B273*B274*I256)</f>
        <v/>
      </c>
      <c r="L256">
        <f>K256*(MIN(Inputs!$B$22+(F264-Calc!F22),Inputs!$B$23)/100+Inputs!$B$23/100)/2</f>
        <v/>
      </c>
      <c r="M256">
        <f>L256*(1+(Inputs!$B$10+(F263-Calc!F21))/100)</f>
        <v/>
      </c>
      <c r="N256">
        <f>L256*(1-MIN(Inputs!$B$9+(F262-Calc!F20),100)/100)+M256*(MIN(Inputs!$B$9+(F262-Calc!F20),100)/100)</f>
        <v/>
      </c>
      <c r="O256">
        <f>IF(C256,(H256*B279)/(1+Skills!H14*H256*B279)*N256*IF(Inputs!$B$38="pvp",1,(1-Summary!$B$56)*(1)+Summary!$B$56*(MIN(Skills!R14,Inputs!$B$37))),0)</f>
        <v/>
      </c>
      <c r="P256">
        <f>IF(B281=0,0,O256/B281)</f>
        <v/>
      </c>
      <c r="Q256">
        <f>IFERROR(1/IF(Inputs!$B$38="pvp",15,MAX(0.1,Skills!E14-IF(Skills!F14=TRUE,Inputs!$B$32,0))),0)</f>
        <v/>
      </c>
      <c r="R256" t="n">
        <v>0</v>
      </c>
    </row>
    <row r="257">
      <c r="A257">
        <f>Skills!A15</f>
        <v/>
      </c>
      <c r="B257">
        <f>Skills!B15</f>
        <v/>
      </c>
      <c r="C257">
        <f>Inputs!$B$3&gt;=107</f>
        <v/>
      </c>
      <c r="D257">
        <f>IF(Skills!C15=1,60+Inputs!$B$25+Inputs!$B$29,IF(Skills!C15=2,90+Inputs!$B$26+Inputs!$B$29,IF(Skills!C15=3,120+Inputs!$B$27+Inputs!$B$29,MAX(0,(Inputs!$B$3-100)*3)+Inputs!$B$28+Inputs!$B$29)))</f>
        <v/>
      </c>
      <c r="E257">
        <f>INDEX(FactorTable!$B$2:$Y$301, MATCH(ROUND(MIN(300,MAX(1,D257)),0), FactorTable!$A$2:$A$301,0), Skills!M15+1)</f>
        <v/>
      </c>
      <c r="F257">
        <f>IF(Skills!N15=TRUE,(Skills!L15/10)*(E257/1000),Skills!L15/10)+Skills!O15</f>
        <v/>
      </c>
      <c r="G257">
        <f>Calc!G15</f>
        <v/>
      </c>
      <c r="H257">
        <f>Calc!H15</f>
        <v/>
      </c>
      <c r="I257">
        <f>IF(Skills!X15&lt;&gt;"",1+(Skills!X15/10)*(Z245/1000)/100,1)</f>
        <v/>
      </c>
      <c r="J257">
        <f>((Inputs!$B$6*(1+Inputs!$B$7/100))+(((Inputs!$B$12*(1+Inputs!$B$13/100))-(Inputs!$B$12*(1+Inputs!$B$13/100)))+0.25*(Inputs!$B$14-Inputs!$B$14))*(1+Inputs!$B$7/100))*(F257/100)</f>
        <v/>
      </c>
      <c r="K257">
        <f>J257*(1+((Inputs!$B$12*(1+Inputs!$B$13/100))*0.01+Inputs!$B$14*0.0025)/100)*(1+Inputs!$B$15/100)*(1+IF(Inputs!$B$38="pvp",0,(1-Summary!$B$56)*(Inputs!$B$20+Skills!P15)+Summary!$B$56*((Inputs!$B$21+1)+Skills!Q15))/100)*(1+Inputs!$B$16/100)*(5000/(6000+Inputs!$B$42*(1-Inputs!$B$19/100)))*(1+Inputs!$B$24/100)*(1+F265/100)*(1+IF(Inputs!$B$3&gt;=120,F268,0)/100)^5*(1+(IF(Skills!A15="BASIC_ATTACK",Inputs!$B$17,Inputs!$B$18+IF(Inputs!$B$3&gt;=125,F269*5,0)))/100)*(B272*B273*B274*I257)</f>
        <v/>
      </c>
      <c r="L257">
        <f>K257*(MIN(Inputs!$B$22+(F264-Calc!F22),Inputs!$B$23)/100+Inputs!$B$23/100)/2</f>
        <v/>
      </c>
      <c r="M257">
        <f>L257*(1+(Inputs!$B$10+(F263-Calc!F21))/100)</f>
        <v/>
      </c>
      <c r="N257">
        <f>L257*(1-MIN(Inputs!$B$9+(F262-Calc!F20),100)/100)+M257*(MIN(Inputs!$B$9+(F262-Calc!F20),100)/100)</f>
        <v/>
      </c>
      <c r="O257">
        <f>IF(C257,H257*N257*IF(AND(Inputs!$B$38&lt;&gt;"pvp",Inputs!$B$43&gt;0),((Skills!G15*((R257-1)*IF(Skills!H15&gt;0,Skills!I15/Skills!H15,1)+IF(Skills!H15&gt;0,MIN(Skills!I15,MAX(0,Inputs!$B$43-((R257-1)*IF(Inputs!$B$38="pvp",15,MAX(0.1,Skills!E15-IF(Skills!F15=TRUE,Inputs!$B$32,0))))))/Skills!H15,1)))/Inputs!$B$43),G257*Q257)*IF(Inputs!$B$38="pvp",1,(1-Summary!$B$56)*(1)+Summary!$B$56*(MIN(Skills!R15,Inputs!$B$37))),0)</f>
        <v/>
      </c>
      <c r="P257">
        <f>IF(B281=0,0,O257/B281)</f>
        <v/>
      </c>
      <c r="Q257">
        <f>IFERROR(1/IF(Inputs!$B$38="pvp",15,MAX(0.1,Skills!E15-IF(Skills!F15=TRUE,Inputs!$B$32,0))),0)</f>
        <v/>
      </c>
      <c r="R257">
        <f>IF(AND(Inputs!$B$38&lt;&gt;"pvp",Inputs!$B$43&gt;0),(INT(Inputs!$B$43/IF(Inputs!$B$38="pvp",15,MAX(0.1,Skills!E15-IF(Skills!F15=TRUE,Inputs!$B$32,0))))+1),0)</f>
        <v/>
      </c>
    </row>
    <row r="258">
      <c r="A258">
        <f>Skills!A16</f>
        <v/>
      </c>
      <c r="B258">
        <f>Skills!B16</f>
        <v/>
      </c>
      <c r="C258">
        <f>Inputs!$B$3&gt;=107</f>
        <v/>
      </c>
      <c r="D258">
        <f>IF(Skills!C16=1,60+Inputs!$B$25+Inputs!$B$29,IF(Skills!C16=2,90+Inputs!$B$26+Inputs!$B$29,IF(Skills!C16=3,120+Inputs!$B$27+Inputs!$B$29,MAX(0,(Inputs!$B$3-100)*3)+Inputs!$B$28+Inputs!$B$29)))</f>
        <v/>
      </c>
      <c r="E258">
        <f>INDEX(FactorTable!$B$2:$Y$301, MATCH(ROUND(MIN(300,MAX(1,D258)),0), FactorTable!$A$2:$A$301,0), Skills!M16+1)</f>
        <v/>
      </c>
      <c r="F258">
        <f>IF(Skills!N16=TRUE,(Skills!L16/10)*(E258/1000),Skills!L16/10)+Skills!O16</f>
        <v/>
      </c>
      <c r="G258">
        <f>Calc!G16</f>
        <v/>
      </c>
      <c r="H258">
        <f>Calc!H16</f>
        <v/>
      </c>
      <c r="I258">
        <f>IF(Skills!X16&lt;&gt;"",1+(Skills!X16/10)*(Z245/1000)/100,1)</f>
        <v/>
      </c>
      <c r="J258">
        <f>((Inputs!$B$6*(1+Inputs!$B$7/100))+(((Inputs!$B$12*(1+Inputs!$B$13/100))-(Inputs!$B$12*(1+Inputs!$B$13/100)))+0.25*(Inputs!$B$14-Inputs!$B$14))*(1+Inputs!$B$7/100))*(F258/100)</f>
        <v/>
      </c>
      <c r="K258">
        <f>J258*(1+((Inputs!$B$12*(1+Inputs!$B$13/100))*0.01+Inputs!$B$14*0.0025)/100)*(1+Inputs!$B$15/100)*(1+IF(Inputs!$B$38="pvp",0,(1-Summary!$B$56)*(Inputs!$B$20+Skills!P16)+Summary!$B$56*((Inputs!$B$21+1)+Skills!Q16))/100)*(1+Inputs!$B$16/100)*(5000/(6000+Inputs!$B$42*(1-Inputs!$B$19/100)))*(1+Inputs!$B$24/100)*(1+F265/100)*(1+IF(Inputs!$B$3&gt;=120,F268,0)/100)^5*(1+(IF(Skills!A16="BASIC_ATTACK",Inputs!$B$17,Inputs!$B$18+IF(Inputs!$B$3&gt;=125,F269*5,0)))/100)*(B272*B273*B274*I258)</f>
        <v/>
      </c>
      <c r="L258">
        <f>K258*(MIN(Inputs!$B$22+(F264-Calc!F22),Inputs!$B$23)/100+Inputs!$B$23/100)/2</f>
        <v/>
      </c>
      <c r="M258">
        <f>L258*(1+(Inputs!$B$10+(F263-Calc!F21))/100)</f>
        <v/>
      </c>
      <c r="N258">
        <f>L258*(1-MIN(Inputs!$B$9+(F262-Calc!F20),100)/100)+M258*(MIN(Inputs!$B$9+(F262-Calc!F20),100)/100)</f>
        <v/>
      </c>
      <c r="O258">
        <f>IF(C258,H258*N258*IF(AND(Inputs!$B$38&lt;&gt;"pvp",Inputs!$B$43&gt;0),((Skills!G16*((R258-1)*IF(Skills!H16&gt;0,Skills!I16/Skills!H16,1)+IF(Skills!H16&gt;0,MIN(Skills!I16,MAX(0,Inputs!$B$43-((R258-1)*IF(Inputs!$B$38="pvp",15,MAX(0.1,Skills!E16-IF(Skills!F16=TRUE,Inputs!$B$32,0))))))/Skills!H16,1)))/Inputs!$B$43),G258*Q258)*(1+IF(Inputs!$B$3&gt;=126,0.05*(B278+Q255+(H256*B279)/(1+Skills!H14*H256*B279)+Q266),0)*Skills!E15)*IF(Inputs!$B$38="pvp",1,(1-Summary!$B$56)*(1)+Summary!$B$56*(MIN(Skills!R16,Inputs!$B$37))),0)</f>
        <v/>
      </c>
      <c r="P258">
        <f>IF(B281=0,0,O258/B281)</f>
        <v/>
      </c>
      <c r="Q258">
        <f>IFERROR(1/IF(Inputs!$B$38="pvp",15,MAX(0.1,Skills!E16-IF(Skills!F16=TRUE,Inputs!$B$32,0))),0)</f>
        <v/>
      </c>
      <c r="R258">
        <f>IF(AND(Inputs!$B$38&lt;&gt;"pvp",Inputs!$B$43&gt;0),(INT(Inputs!$B$43/IF(Inputs!$B$38="pvp",15,MAX(0.1,Skills!E16-IF(Skills!F16=TRUE,Inputs!$B$32,0))))+1),0)</f>
        <v/>
      </c>
    </row>
    <row r="259">
      <c r="A259">
        <f>Skills!A17</f>
        <v/>
      </c>
      <c r="B259">
        <f>Skills!B17</f>
        <v/>
      </c>
      <c r="C259">
        <f>TRUE</f>
        <v/>
      </c>
      <c r="D259">
        <f>IF(Skills!C17=1,60+Inputs!$B$25+Inputs!$B$29,IF(Skills!C17=2,90+Inputs!$B$26+Inputs!$B$29,IF(Skills!C17=3,120+Inputs!$B$27+Inputs!$B$29,MAX(0,(Inputs!$B$3-100)*3)+Inputs!$B$28+Inputs!$B$29)))</f>
        <v/>
      </c>
      <c r="E259">
        <f>INDEX(FactorTable!$B$2:$Y$301, MATCH(ROUND(MIN(300,MAX(1,D259)),0), FactorTable!$A$2:$A$301,0), Skills!M17+1)</f>
        <v/>
      </c>
      <c r="F259">
        <f>IF(Skills!N17=TRUE,(Skills!L17/10)*(E259/1000),Skills!L17/10)+Skills!O17</f>
        <v/>
      </c>
      <c r="G259">
        <f>Calc!G17</f>
        <v/>
      </c>
      <c r="H259">
        <f>Calc!H17</f>
        <v/>
      </c>
      <c r="I259">
        <f>IF(Skills!X17&lt;&gt;"",1+(Skills!X17/10)*(Z245/1000)/100,1)</f>
        <v/>
      </c>
      <c r="J259" t="inlineStr"/>
      <c r="K259" t="inlineStr"/>
      <c r="L259" t="inlineStr"/>
      <c r="M259" t="inlineStr"/>
      <c r="N259" t="inlineStr"/>
      <c r="O259" t="n">
        <v>0</v>
      </c>
      <c r="P259">
        <f>IF(B281=0,0,O259/B281)</f>
        <v/>
      </c>
      <c r="Q259">
        <f>IFERROR(1/IF(Inputs!$B$38="pvp",15,MAX(0.1,Skills!E17-IF(Skills!F17=TRUE,Inputs!$B$32,0))),0)</f>
        <v/>
      </c>
      <c r="R259">
        <f>IF(AND(Inputs!$B$38&lt;&gt;"pvp",Inputs!$B$43&gt;0),(INT(Inputs!$B$43/IF(Inputs!$B$38="pvp",15,MAX(0.1,Skills!E17-IF(Skills!F17=TRUE,Inputs!$B$32,0))))+1),0)</f>
        <v/>
      </c>
    </row>
    <row r="260">
      <c r="A260">
        <f>Skills!A18</f>
        <v/>
      </c>
      <c r="B260">
        <f>Skills!B18</f>
        <v/>
      </c>
      <c r="C260">
        <f>TRUE</f>
        <v/>
      </c>
      <c r="D260">
        <f>IF(Skills!C18=1,60+Inputs!$B$25+Inputs!$B$29,IF(Skills!C18=2,90+Inputs!$B$26+Inputs!$B$29,IF(Skills!C18=3,120+Inputs!$B$27+Inputs!$B$29,MAX(0,(Inputs!$B$3-100)*3)+Inputs!$B$28+Inputs!$B$29)))</f>
        <v/>
      </c>
      <c r="E260">
        <f>INDEX(FactorTable!$B$2:$Y$301, MATCH(ROUND(MIN(300,MAX(1,D260)),0), FactorTable!$A$2:$A$301,0), Skills!M18+1)</f>
        <v/>
      </c>
      <c r="F260">
        <f>IF(Skills!N18=TRUE,(Skills!L18/10)*(E260/1000),Skills!L18/10)+Skills!O18</f>
        <v/>
      </c>
      <c r="G260">
        <f>Calc!G18</f>
        <v/>
      </c>
      <c r="H260">
        <f>Calc!H18</f>
        <v/>
      </c>
      <c r="I260">
        <f>IF(Skills!X18&lt;&gt;"",1+(Skills!X18/10)*(Z245/1000)/100,1)</f>
        <v/>
      </c>
      <c r="J260" t="inlineStr"/>
      <c r="K260" t="inlineStr"/>
      <c r="L260" t="inlineStr"/>
      <c r="M260" t="inlineStr"/>
      <c r="N260" t="inlineStr"/>
      <c r="O260" t="n">
        <v>0</v>
      </c>
      <c r="P260">
        <f>IF(B281=0,0,O260/B281)</f>
        <v/>
      </c>
      <c r="Q260">
        <f>IFERROR(1/IF(Inputs!$B$38="pvp",15,MAX(0.1,Skills!E18-IF(Skills!F18=TRUE,Inputs!$B$32,0))),0)</f>
        <v/>
      </c>
      <c r="R260">
        <f>IF(AND(Inputs!$B$38&lt;&gt;"pvp",Inputs!$B$43&gt;0),(INT(Inputs!$B$43/IF(Inputs!$B$38="pvp",15,MAX(0.1,Skills!E18-IF(Skills!F18=TRUE,Inputs!$B$32,0))))+1),0)</f>
        <v/>
      </c>
    </row>
    <row r="261">
      <c r="A261">
        <f>Skills!A19</f>
        <v/>
      </c>
      <c r="B261">
        <f>Skills!B19</f>
        <v/>
      </c>
      <c r="C261">
        <f>Inputs!$B$3&gt;=110</f>
        <v/>
      </c>
      <c r="D261">
        <f>IF(Skills!C19=1,60+Inputs!$B$25+Inputs!$B$29,IF(Skills!C19=2,90+Inputs!$B$26+Inputs!$B$29,IF(Skills!C19=3,120+Inputs!$B$27+Inputs!$B$29,MAX(0,(Inputs!$B$3-100)*3)+Inputs!$B$28+Inputs!$B$29)))</f>
        <v/>
      </c>
      <c r="E261">
        <f>INDEX(FactorTable!$B$2:$Y$301, MATCH(ROUND(MIN(300,MAX(1,D261)),0), FactorTable!$A$2:$A$301,0), Skills!M19+1)</f>
        <v/>
      </c>
      <c r="F261">
        <f>IF(Skills!N19=TRUE,(Skills!L19/10)*(E261/1000),Skills!L19/10)+Skills!O19</f>
        <v/>
      </c>
      <c r="G261">
        <f>Calc!G19</f>
        <v/>
      </c>
      <c r="H261">
        <f>Calc!H19</f>
        <v/>
      </c>
      <c r="I261">
        <f>IF(Skills!X19&lt;&gt;"",1+(Skills!X19/10)*(Z245/1000)/100,1)</f>
        <v/>
      </c>
      <c r="J261" t="inlineStr"/>
      <c r="K261" t="inlineStr"/>
      <c r="L261" t="inlineStr"/>
      <c r="M261" t="inlineStr"/>
      <c r="N261" t="inlineStr"/>
      <c r="O261" t="n">
        <v>0</v>
      </c>
      <c r="P261">
        <f>IF(B281=0,0,O261/B281)</f>
        <v/>
      </c>
      <c r="Q261">
        <f>IFERROR(1/IF(Inputs!$B$38="pvp",15,MAX(0.1,Skills!E19-IF(Skills!F19=TRUE,Inputs!$B$32,0))),0)</f>
        <v/>
      </c>
      <c r="R261">
        <f>IF(AND(Inputs!$B$38&lt;&gt;"pvp",Inputs!$B$43&gt;0),(INT(Inputs!$B$43/IF(Inputs!$B$38="pvp",15,MAX(0.1,Skills!E19-IF(Skills!F19=TRUE,Inputs!$B$32,0))))+1),0)</f>
        <v/>
      </c>
    </row>
    <row r="262">
      <c r="A262">
        <f>Skills!A20</f>
        <v/>
      </c>
      <c r="B262">
        <f>Skills!B20</f>
        <v/>
      </c>
      <c r="C262">
        <f>TRUE</f>
        <v/>
      </c>
      <c r="D262">
        <f>IF(Skills!C20=1,60+Inputs!$B$25+Inputs!$B$29,IF(Skills!C20=2,90+Inputs!$B$26+Inputs!$B$29,IF(Skills!C20=3,120+Inputs!$B$27+Inputs!$B$29,MAX(0,(Inputs!$B$3-100)*3)+Inputs!$B$28+Inputs!$B$29)))</f>
        <v/>
      </c>
      <c r="E262">
        <f>INDEX(FactorTable!$B$2:$Y$301, MATCH(ROUND(MIN(300,MAX(1,D262)),0), FactorTable!$A$2:$A$301,0), Skills!M20+1)</f>
        <v/>
      </c>
      <c r="F262">
        <f>IF(Skills!N20=TRUE,(Skills!L20/10)*(E262/1000),Skills!L20/10)+Skills!O20</f>
        <v/>
      </c>
      <c r="G262">
        <f>Calc!G20</f>
        <v/>
      </c>
      <c r="H262">
        <f>Calc!H20</f>
        <v/>
      </c>
      <c r="I262">
        <f>IF(Skills!X20&lt;&gt;"",1+(Skills!X20/10)*(Z245/1000)/100,1)</f>
        <v/>
      </c>
      <c r="J262" t="inlineStr"/>
      <c r="K262" t="inlineStr"/>
      <c r="L262" t="inlineStr"/>
      <c r="M262" t="inlineStr"/>
      <c r="N262" t="inlineStr"/>
      <c r="O262" t="n">
        <v>0</v>
      </c>
      <c r="P262">
        <f>IF(B281=0,0,O262/B281)</f>
        <v/>
      </c>
      <c r="Q262">
        <f>IFERROR(1/IF(Inputs!$B$38="pvp",15,MAX(0.1,Skills!E20-IF(Skills!F20=TRUE,Inputs!$B$32,0))),0)</f>
        <v/>
      </c>
      <c r="R262" t="n">
        <v>0</v>
      </c>
    </row>
    <row r="263">
      <c r="A263">
        <f>Skills!A21</f>
        <v/>
      </c>
      <c r="B263">
        <f>Skills!B21</f>
        <v/>
      </c>
      <c r="C263">
        <f>TRUE</f>
        <v/>
      </c>
      <c r="D263">
        <f>IF(Skills!C21=1,60+Inputs!$B$25+Inputs!$B$29,IF(Skills!C21=2,90+Inputs!$B$26+Inputs!$B$29,IF(Skills!C21=3,120+Inputs!$B$27+Inputs!$B$29,MAX(0,(Inputs!$B$3-100)*3)+Inputs!$B$28+Inputs!$B$29)))</f>
        <v/>
      </c>
      <c r="E263">
        <f>INDEX(FactorTable!$B$2:$Y$301, MATCH(ROUND(MIN(300,MAX(1,D263)),0), FactorTable!$A$2:$A$301,0), Skills!M21+1)</f>
        <v/>
      </c>
      <c r="F263">
        <f>IF(Skills!N21=TRUE,(Skills!L21/10)*(E263/1000),Skills!L21/10)+Skills!O21</f>
        <v/>
      </c>
      <c r="G263">
        <f>Calc!G21</f>
        <v/>
      </c>
      <c r="H263">
        <f>Calc!H21</f>
        <v/>
      </c>
      <c r="I263">
        <f>IF(Skills!X21&lt;&gt;"",1+(Skills!X21/10)*(Z245/1000)/100,1)</f>
        <v/>
      </c>
      <c r="J263" t="inlineStr"/>
      <c r="K263" t="inlineStr"/>
      <c r="L263" t="inlineStr"/>
      <c r="M263" t="inlineStr"/>
      <c r="N263" t="inlineStr"/>
      <c r="O263" t="n">
        <v>0</v>
      </c>
      <c r="P263">
        <f>IF(B281=0,0,O263/B281)</f>
        <v/>
      </c>
      <c r="Q263">
        <f>IFERROR(1/IF(Inputs!$B$38="pvp",15,MAX(0.1,Skills!E21-IF(Skills!F21=TRUE,Inputs!$B$32,0))),0)</f>
        <v/>
      </c>
      <c r="R263" t="n">
        <v>0</v>
      </c>
    </row>
    <row r="264">
      <c r="A264">
        <f>Skills!A22</f>
        <v/>
      </c>
      <c r="B264">
        <f>Skills!B22</f>
        <v/>
      </c>
      <c r="C264">
        <f>TRUE</f>
        <v/>
      </c>
      <c r="D264">
        <f>IF(Skills!C22=1,60+Inputs!$B$25+Inputs!$B$29,IF(Skills!C22=2,90+Inputs!$B$26+Inputs!$B$29,IF(Skills!C22=3,120+Inputs!$B$27+Inputs!$B$29,MAX(0,(Inputs!$B$3-100)*3)+Inputs!$B$28+Inputs!$B$29)))</f>
        <v/>
      </c>
      <c r="E264">
        <f>INDEX(FactorTable!$B$2:$Y$301, MATCH(ROUND(MIN(300,MAX(1,D264)),0), FactorTable!$A$2:$A$301,0), Skills!M22+1)</f>
        <v/>
      </c>
      <c r="F264">
        <f>IF(Skills!N22=TRUE,(Skills!L22/10)*(E264/1000),Skills!L22/10)+Skills!O22</f>
        <v/>
      </c>
      <c r="G264">
        <f>Calc!G22</f>
        <v/>
      </c>
      <c r="H264">
        <f>Calc!H22</f>
        <v/>
      </c>
      <c r="I264">
        <f>IF(Skills!X22&lt;&gt;"",1+(Skills!X22/10)*(Z245/1000)/100,1)</f>
        <v/>
      </c>
      <c r="J264" t="inlineStr"/>
      <c r="K264" t="inlineStr"/>
      <c r="L264" t="inlineStr"/>
      <c r="M264" t="inlineStr"/>
      <c r="N264" t="inlineStr"/>
      <c r="O264" t="n">
        <v>0</v>
      </c>
      <c r="P264">
        <f>IF(B281=0,0,O264/B281)</f>
        <v/>
      </c>
      <c r="Q264">
        <f>IFERROR(1/IF(Inputs!$B$38="pvp",15,MAX(0.1,Skills!E22-IF(Skills!F22=TRUE,Inputs!$B$32,0))),0)</f>
        <v/>
      </c>
      <c r="R264" t="n">
        <v>0</v>
      </c>
    </row>
    <row r="265">
      <c r="A265">
        <f>Skills!A23</f>
        <v/>
      </c>
      <c r="B265">
        <f>Skills!B23</f>
        <v/>
      </c>
      <c r="C265">
        <f>TRUE</f>
        <v/>
      </c>
      <c r="D265">
        <f>IF(Skills!C23=1,60+Inputs!$B$25+Inputs!$B$29,IF(Skills!C23=2,90+Inputs!$B$26+Inputs!$B$29,IF(Skills!C23=3,120+Inputs!$B$27+Inputs!$B$29,MAX(0,(Inputs!$B$3-100)*3)+Inputs!$B$28+Inputs!$B$29)))</f>
        <v/>
      </c>
      <c r="E265">
        <f>INDEX(FactorTable!$B$2:$Y$301, MATCH(ROUND(MIN(300,MAX(1,D265)),0), FactorTable!$A$2:$A$301,0), Skills!M23+1)</f>
        <v/>
      </c>
      <c r="F265">
        <f>IF(Skills!N23=TRUE,(Skills!L23/10)*(E265/1000),Skills!L23/10)+Skills!O23</f>
        <v/>
      </c>
      <c r="G265">
        <f>Calc!G23</f>
        <v/>
      </c>
      <c r="H265">
        <f>Calc!H23</f>
        <v/>
      </c>
      <c r="I265">
        <f>IF(Skills!X23&lt;&gt;"",1+(Skills!X23/10)*(Z245/1000)/100,1)</f>
        <v/>
      </c>
      <c r="J265" t="inlineStr"/>
      <c r="K265" t="inlineStr"/>
      <c r="L265" t="inlineStr"/>
      <c r="M265" t="inlineStr"/>
      <c r="N265" t="inlineStr"/>
      <c r="O265" t="n">
        <v>0</v>
      </c>
      <c r="P265">
        <f>IF(B281=0,0,O265/B281)</f>
        <v/>
      </c>
      <c r="Q265">
        <f>IFERROR(1/IF(Inputs!$B$38="pvp",15,MAX(0.1,Skills!E23-IF(Skills!F23=TRUE,Inputs!$B$32,0))),0)</f>
        <v/>
      </c>
      <c r="R265" t="n">
        <v>0</v>
      </c>
    </row>
    <row r="266">
      <c r="A266">
        <f>Skills!A24</f>
        <v/>
      </c>
      <c r="B266">
        <f>Skills!B24</f>
        <v/>
      </c>
      <c r="C266">
        <f>Inputs!$B$3&gt;=115</f>
        <v/>
      </c>
      <c r="D266">
        <f>IF(Skills!C24=1,60+Inputs!$B$25+Inputs!$B$29,IF(Skills!C24=2,90+Inputs!$B$26+Inputs!$B$29,IF(Skills!C24=3,120+Inputs!$B$27+Inputs!$B$29,MAX(0,(Inputs!$B$3-100)*3)+Inputs!$B$28+Inputs!$B$29)))</f>
        <v/>
      </c>
      <c r="E266">
        <f>INDEX(FactorTable!$B$2:$Y$301, MATCH(ROUND(MIN(300,MAX(1,D266)),0), FactorTable!$A$2:$A$301,0), Skills!M24+1)</f>
        <v/>
      </c>
      <c r="F266">
        <f>IF(Skills!N24=TRUE,(Skills!L24/10)*(E266/1000),Skills!L24/10)+Skills!O24</f>
        <v/>
      </c>
      <c r="G266">
        <f>Calc!G24</f>
        <v/>
      </c>
      <c r="H266">
        <f>Calc!H24</f>
        <v/>
      </c>
      <c r="I266">
        <f>IF(Skills!X24&lt;&gt;"",1+(Skills!X24/10)*(Z245/1000)/100,1)</f>
        <v/>
      </c>
      <c r="J266">
        <f>((Inputs!$B$6*(1+Inputs!$B$7/100))+(((Inputs!$B$12*(1+Inputs!$B$13/100))-(Inputs!$B$12*(1+Inputs!$B$13/100)))+0.25*(Inputs!$B$14-Inputs!$B$14))*(1+Inputs!$B$7/100))*(F266/100)</f>
        <v/>
      </c>
      <c r="K266">
        <f>J266*(1+((Inputs!$B$12*(1+Inputs!$B$13/100))*0.01+Inputs!$B$14*0.0025)/100)*(1+Inputs!$B$15/100)*(1+IF(Inputs!$B$38="pvp",0,(1-Summary!$B$56)*(Inputs!$B$20+Skills!P24)+Summary!$B$56*((Inputs!$B$21+1)+Skills!Q24))/100)*(1+Inputs!$B$16/100)*(5000/(6000+Inputs!$B$42*(1-Inputs!$B$19/100)))*(1+Inputs!$B$24/100)*(1+F265/100)*(1+IF(Inputs!$B$3&gt;=120,F268,0)/100)^5*(1+(IF(Skills!A24="BASIC_ATTACK",Inputs!$B$17,Inputs!$B$18+IF(Inputs!$B$3&gt;=125,F269*5,0)))/100)*(B272*B273*B274*I266)</f>
        <v/>
      </c>
      <c r="L266">
        <f>K266*(MIN(Inputs!$B$22+(F264-Calc!F22),Inputs!$B$23)/100+Inputs!$B$23/100)/2</f>
        <v/>
      </c>
      <c r="M266">
        <f>L266*(1+(Inputs!$B$10+(F263-Calc!F21))/100)</f>
        <v/>
      </c>
      <c r="N266">
        <f>L266*(1-MIN(Inputs!$B$9+(F262-Calc!F20),100)/100)+M266*(MIN(Inputs!$B$9+(F262-Calc!F20),100)/100)</f>
        <v/>
      </c>
      <c r="O266">
        <f>IF(C266,H266*N266*IF(AND(Inputs!$B$38&lt;&gt;"pvp",Inputs!$B$43&gt;0),((Skills!G24*((R266-1)*IF(Skills!H24&gt;0,Skills!I24/Skills!H24,1)+IF(Skills!H24&gt;0,MIN(Skills!I24,MAX(0,Inputs!$B$43-((R266-1)*IF(Inputs!$B$38="pvp",15,MAX(0.1,Skills!E24-IF(Skills!F24=TRUE,Inputs!$B$32,0))))))/Skills!H24,1)))/Inputs!$B$43),G266*Q266)*(1+IF(Inputs!$B$3&gt;=130,0.2*(Skills!I16/Skills!E15+IF(Inputs!$B$3&gt;=126,0.05*(B278+Q255+(H256*B279)/(1+Skills!H14*H256*B279)+Q266),0)*Skills!I16),0))*IF(Inputs!$B$38="pvp",1,(1-Summary!$B$56)*(1)+Summary!$B$56*(MIN(Skills!R24,Inputs!$B$37))),0)</f>
        <v/>
      </c>
      <c r="P266">
        <f>IF(B281=0,0,O266/B281)</f>
        <v/>
      </c>
      <c r="Q266">
        <f>IFERROR(1/IF(Inputs!$B$38="pvp",15,MAX(0.1,Skills!E24-IF(Skills!F24=TRUE,Inputs!$B$32,0))),0)</f>
        <v/>
      </c>
      <c r="R266">
        <f>IF(AND(Inputs!$B$38&lt;&gt;"pvp",Inputs!$B$43&gt;0),(INT(Inputs!$B$43/IF(Inputs!$B$38="pvp",15,MAX(0.1,Skills!E24-IF(Skills!F24=TRUE,Inputs!$B$32,0))))+1),0)</f>
        <v/>
      </c>
    </row>
    <row r="267">
      <c r="A267">
        <f>Skills!A25</f>
        <v/>
      </c>
      <c r="B267">
        <f>Skills!B25</f>
        <v/>
      </c>
      <c r="C267">
        <f>Inputs!$B$3&gt;=117</f>
        <v/>
      </c>
      <c r="D267">
        <f>IF(Skills!C25=1,60+Inputs!$B$25+Inputs!$B$29,IF(Skills!C25=2,90+Inputs!$B$26+Inputs!$B$29,IF(Skills!C25=3,120+Inputs!$B$27+Inputs!$B$29,MAX(0,(Inputs!$B$3-100)*3)+Inputs!$B$28+Inputs!$B$29)))</f>
        <v/>
      </c>
      <c r="E267">
        <f>INDEX(FactorTable!$B$2:$Y$301, MATCH(ROUND(MIN(300,MAX(1,D267)),0), FactorTable!$A$2:$A$301,0), Skills!M25+1)</f>
        <v/>
      </c>
      <c r="F267">
        <f>IF(Skills!N25=TRUE,(Skills!L25/10)*(E267/1000),Skills!L25/10)+Skills!O25</f>
        <v/>
      </c>
      <c r="G267">
        <f>Calc!G25</f>
        <v/>
      </c>
      <c r="H267">
        <f>Calc!H25</f>
        <v/>
      </c>
      <c r="I267">
        <f>IF(Skills!X25&lt;&gt;"",1+(Skills!X25/10)*(Z245/1000)/100,1)</f>
        <v/>
      </c>
      <c r="J267" t="inlineStr"/>
      <c r="K267" t="inlineStr"/>
      <c r="L267" t="inlineStr"/>
      <c r="M267" t="inlineStr"/>
      <c r="N267" t="inlineStr"/>
      <c r="O267" t="n">
        <v>0</v>
      </c>
      <c r="P267">
        <f>IF(B281=0,0,O267/B281)</f>
        <v/>
      </c>
      <c r="Q267">
        <f>IFERROR(1/IF(Inputs!$B$38="pvp",15,MAX(0.1,Skills!E25-IF(Skills!F25=TRUE,Inputs!$B$32,0))),0)</f>
        <v/>
      </c>
      <c r="R267" t="n">
        <v>0</v>
      </c>
    </row>
    <row r="268">
      <c r="A268">
        <f>Skills!A26</f>
        <v/>
      </c>
      <c r="B268">
        <f>Skills!B26</f>
        <v/>
      </c>
      <c r="C268">
        <f>Inputs!$B$3&gt;=120</f>
        <v/>
      </c>
      <c r="D268">
        <f>IF(Skills!C26=1,60+Inputs!$B$25+Inputs!$B$29,IF(Skills!C26=2,90+Inputs!$B$26+Inputs!$B$29,IF(Skills!C26=3,120+Inputs!$B$27+Inputs!$B$29,MAX(0,(Inputs!$B$3-100)*3)+Inputs!$B$28+Inputs!$B$29)))</f>
        <v/>
      </c>
      <c r="E268">
        <f>INDEX(FactorTable!$B$2:$Y$301, MATCH(ROUND(MIN(300,MAX(1,D268)),0), FactorTable!$A$2:$A$301,0), Skills!M26+1)</f>
        <v/>
      </c>
      <c r="F268">
        <f>IF(Skills!N26=TRUE,(Skills!L26/10)*(E268/1000),Skills!L26/10)+Skills!O26</f>
        <v/>
      </c>
      <c r="G268">
        <f>Calc!G26</f>
        <v/>
      </c>
      <c r="H268">
        <f>Calc!H26</f>
        <v/>
      </c>
      <c r="I268">
        <f>IF(Skills!X26&lt;&gt;"",1+(Skills!X26/10)*(Z245/1000)/100,1)</f>
        <v/>
      </c>
      <c r="J268" t="inlineStr"/>
      <c r="K268" t="inlineStr"/>
      <c r="L268" t="inlineStr"/>
      <c r="M268" t="inlineStr"/>
      <c r="N268" t="inlineStr"/>
      <c r="O268" t="n">
        <v>0</v>
      </c>
      <c r="P268">
        <f>IF(B281=0,0,O268/B281)</f>
        <v/>
      </c>
      <c r="Q268">
        <f>IFERROR(1/IF(Inputs!$B$38="pvp",15,MAX(0.1,Skills!E26-IF(Skills!F26=TRUE,Inputs!$B$32,0))),0)</f>
        <v/>
      </c>
      <c r="R268" t="n">
        <v>0</v>
      </c>
    </row>
    <row r="269">
      <c r="A269">
        <f>Skills!A27</f>
        <v/>
      </c>
      <c r="B269">
        <f>Skills!B27</f>
        <v/>
      </c>
      <c r="C269">
        <f>Inputs!$B$3&gt;=125</f>
        <v/>
      </c>
      <c r="D269">
        <f>IF(Skills!C27=1,60+Inputs!$B$25+Inputs!$B$29,IF(Skills!C27=2,90+Inputs!$B$26+Inputs!$B$29,IF(Skills!C27=3,120+Inputs!$B$27+Inputs!$B$29,MAX(0,(Inputs!$B$3-100)*3)+Inputs!$B$28+Inputs!$B$29)))</f>
        <v/>
      </c>
      <c r="E269">
        <f>INDEX(FactorTable!$B$2:$Y$301, MATCH(ROUND(MIN(300,MAX(1,D269)),0), FactorTable!$A$2:$A$301,0), Skills!M27+1)</f>
        <v/>
      </c>
      <c r="F269">
        <f>IF(Skills!N27=TRUE,(Skills!L27/10)*(E269/1000),Skills!L27/10)+Skills!O27</f>
        <v/>
      </c>
      <c r="G269">
        <f>Calc!G27</f>
        <v/>
      </c>
      <c r="H269">
        <f>Calc!H27</f>
        <v/>
      </c>
      <c r="I269">
        <f>IF(Skills!X27&lt;&gt;"",1+(Skills!X27/10)*(Z245/1000)/100,1)</f>
        <v/>
      </c>
      <c r="J269" t="inlineStr"/>
      <c r="K269" t="inlineStr"/>
      <c r="L269" t="inlineStr"/>
      <c r="M269" t="inlineStr"/>
      <c r="N269" t="inlineStr"/>
      <c r="O269" t="n">
        <v>0</v>
      </c>
      <c r="P269">
        <f>IF(B281=0,0,O269/B281)</f>
        <v/>
      </c>
      <c r="Q269">
        <f>IFERROR(1/IF(Inputs!$B$38="pvp",15,MAX(0.1,Skills!E27-IF(Skills!F27=TRUE,Inputs!$B$32,0))),0)</f>
        <v/>
      </c>
      <c r="R269" t="n">
        <v>0</v>
      </c>
    </row>
    <row r="270">
      <c r="A270">
        <f>Skills!A28</f>
        <v/>
      </c>
      <c r="B270">
        <f>Skills!B28</f>
        <v/>
      </c>
      <c r="C270">
        <f>Inputs!$B$3&gt;=118</f>
        <v/>
      </c>
      <c r="D270">
        <f>IF(Skills!C28=1,60+Inputs!$B$25+Inputs!$B$29,IF(Skills!C28=2,90+Inputs!$B$26+Inputs!$B$29,IF(Skills!C28=3,120+Inputs!$B$27+Inputs!$B$29,MAX(0,(Inputs!$B$3-100)*3)+Inputs!$B$28+Inputs!$B$29)))</f>
        <v/>
      </c>
      <c r="E270">
        <f>INDEX(FactorTable!$B$2:$Y$301, MATCH(ROUND(MIN(300,MAX(1,D270)),0), FactorTable!$A$2:$A$301,0), Skills!M28+1)</f>
        <v/>
      </c>
      <c r="F270">
        <f>IF(Skills!N28=TRUE,(Skills!L28/10)*(E270/1000),Skills!L28/10)+Skills!O28</f>
        <v/>
      </c>
      <c r="G270">
        <f>Calc!G28</f>
        <v/>
      </c>
      <c r="H270">
        <f>Calc!H28</f>
        <v/>
      </c>
      <c r="I270">
        <f>IF(Skills!X28&lt;&gt;"",1+(Skills!X28/10)*(Z245/1000)/100,1)</f>
        <v/>
      </c>
      <c r="J270">
        <f>((Inputs!$B$6*(1+Inputs!$B$7/100))+(((Inputs!$B$12*(1+Inputs!$B$13/100))-(Inputs!$B$12*(1+Inputs!$B$13/100)))+0.25*(Inputs!$B$14-Inputs!$B$14))*(1+Inputs!$B$7/100))*(F270/100)</f>
        <v/>
      </c>
      <c r="K270">
        <f>J270*(1+((Inputs!$B$12*(1+Inputs!$B$13/100))*0.01+Inputs!$B$14*0.0025)/100)*(1+Inputs!$B$15/100)*(1+IF(Inputs!$B$38="pvp",0,(1-Summary!$B$56)*(Inputs!$B$20+Skills!P28)+Summary!$B$56*((Inputs!$B$21+1)+Skills!Q28))/100)*(1+Inputs!$B$16/100)*(5000/(6000+Inputs!$B$42*(1-Inputs!$B$19/100)))*(1+Inputs!$B$24/100)*(1+F265/100)*(1+IF(Inputs!$B$3&gt;=120,F268,0)/100)^5*(1+(IF(Skills!A28="BASIC_ATTACK",Inputs!$B$17,Inputs!$B$18+IF(Inputs!$B$3&gt;=125,F269*5,0)))/100)*(B272*B273*B274*I270)</f>
        <v/>
      </c>
      <c r="L270">
        <f>K270*(MIN(Inputs!$B$22+(F264-Calc!F22),Inputs!$B$23)/100+Inputs!$B$23/100)/2</f>
        <v/>
      </c>
      <c r="M270">
        <f>L270*(1+(Inputs!$B$10+(F263-Calc!F21))/100)</f>
        <v/>
      </c>
      <c r="N270">
        <f>L270*(1-MIN(Inputs!$B$9+(F262-Calc!F20),100)/100)+M270*(MIN(Inputs!$B$9+(F262-Calc!F20),100)/100)</f>
        <v/>
      </c>
      <c r="O270">
        <f>IF(C270,H270*N270*IF(AND(Inputs!$B$38&lt;&gt;"pvp",Inputs!$B$43&gt;0),((Skills!G28*((R270-1)*IF(Skills!H28&gt;0,Skills!I28/Skills!H28,1)+IF(Skills!H28&gt;0,MIN(Skills!I28,MAX(0,Inputs!$B$43-((R270-1)*IF(Inputs!$B$38="pvp",15,MAX(0.1,Skills!E28-IF(Skills!F28=TRUE,Inputs!$B$32,0))))))/Skills!H28,1)))/Inputs!$B$43),G270*Q270)*IF(Inputs!$B$38="pvp",1,(1-Summary!$B$56)*(1)+Summary!$B$56*(MIN(Skills!R28,Inputs!$B$37))),0)</f>
        <v/>
      </c>
      <c r="P270">
        <f>IF(B281=0,0,O270/B281)</f>
        <v/>
      </c>
      <c r="Q270">
        <f>IFERROR(1/IF(Inputs!$B$38="pvp",15,MAX(0.1,Skills!E28-IF(Skills!F28=TRUE,Inputs!$B$32,0))),0)</f>
        <v/>
      </c>
      <c r="R270">
        <f>IF(AND(Inputs!$B$38&lt;&gt;"pvp",Inputs!$B$43&gt;0),(INT(Inputs!$B$43/IF(Inputs!$B$38="pvp",15,MAX(0.1,Skills!E28-IF(Skills!F28=TRUE,Inputs!$B$32,0))))+1),0)</f>
        <v/>
      </c>
    </row>
    <row r="272">
      <c r="A272" t="inlineStr">
        <is>
          <t>Burning Magic Multiplier</t>
        </is>
      </c>
      <c r="B272">
        <f>1+(F253*Skills!Z11)/100</f>
        <v/>
      </c>
    </row>
    <row r="273">
      <c r="A273" t="inlineStr">
        <is>
          <t>Elemental Decrease Multiplier (always-on)</t>
        </is>
      </c>
      <c r="B273">
        <f>1+F254/100</f>
        <v/>
      </c>
    </row>
    <row r="274">
      <c r="A274" t="inlineStr">
        <is>
          <t>Average Buff Multiplier (Magic Guard + Meditation, summed; then Infinity)</t>
        </is>
      </c>
      <c r="B274">
        <f>(1+(F248*IF(AND(Inputs!$B$38&lt;&gt;"pvp",Inputs!$B$43&gt;0),(((R248-1)*(Skills!T6*(1+(Inputs!$B$34+IF(Inputs!$B$3&gt;=117,F267,0))/100))+MIN((Skills!T6*(1+(Inputs!$B$34+IF(Inputs!$B$3&gt;=117,F267,0))/100)),MAX(0,Inputs!$B$43-((R248-1)*Skills!E6))))/Inputs!$B$43),IF(Inputs!$B$38="pvp",MIN((Skills!T6*(1+(Inputs!$B$34+IF(Inputs!$B$3&gt;=117,F267,0))/100)),15)/15,(Skills!T6*(1+(Inputs!$B$34+IF(Inputs!$B$3&gt;=117,F267,0))/100))/Skills!E6))+F259*IF(AND(Inputs!$B$38&lt;&gt;"pvp",Inputs!$B$43&gt;0),(((R259-1)*(Skills!T17*(1+(Inputs!$B$34+IF(Inputs!$B$3&gt;=117,F267,0))/100))+MIN((Skills!T17*(1+(Inputs!$B$34+IF(Inputs!$B$3&gt;=117,F267,0))/100)),MAX(0,Inputs!$B$43-((R259-1)*Skills!E17))))/Inputs!$B$43),IF(Inputs!$B$38="pvp",MIN((Skills!T17*(1+(Inputs!$B$34+IF(Inputs!$B$3&gt;=117,F267,0))/100)),15)/15,(Skills!T17*(1+(Inputs!$B$34+IF(Inputs!$B$3&gt;=117,F267,0))/100))/Skills!E17)))/100)*IF(C261=TRUE,(1+F261*IF(AND(Inputs!$B$38&lt;&gt;"pvp",Inputs!$B$43&gt;0),(((R261-1)*(Skills!T19*(1+(Inputs!$B$34+IF(Inputs!$B$3&gt;=117,F267,0))/100))+MIN((Skills!T19*(1+(Inputs!$B$34+IF(Inputs!$B$3&gt;=117,F267,0))/100)),MAX(0,Inputs!$B$43-((R261-1)*Skills!E19))))/Inputs!$B$43),IF(Inputs!$B$38="pvp",MIN((Skills!T19*(1+(Inputs!$B$34+IF(Inputs!$B$3&gt;=117,F267,0))/100)),15)/15,(Skills!T19*(1+(Inputs!$B$34+IF(Inputs!$B$3&gt;=117,F267,0))/100))/Skills!E19))/100),1)</f>
        <v/>
      </c>
    </row>
    <row r="275">
      <c r="A275" t="inlineStr">
        <is>
          <t>Attack Speed Buff Bonus % (Nimble Feet, averaged)</t>
        </is>
      </c>
      <c r="B275">
        <f>F260*IF(AND(Inputs!$B$38&lt;&gt;"pvp",Inputs!$B$43&gt;0),(((R260-1)*(Skills!T18*(1+(Inputs!$B$34+IF(Inputs!$B$3&gt;=117,F267,0))/100))+MIN((Skills!T18*(1+(Inputs!$B$34+IF(Inputs!$B$3&gt;=117,F267,0))/100)),MAX(0,Inputs!$B$43-((R260-1)*Skills!E18))))/Inputs!$B$43),IF(Inputs!$B$38="pvp",MIN((Skills!T18*(1+(Inputs!$B$34+IF(Inputs!$B$3&gt;=117,F267,0))/100)),15)/15,(Skills!T18*(1+(Inputs!$B$34+IF(Inputs!$B$3&gt;=117,F267,0))/100))/Skills!E18))</f>
        <v/>
      </c>
    </row>
    <row r="276">
      <c r="A276" t="inlineStr">
        <is>
          <t>Actions Per Second</t>
        </is>
      </c>
      <c r="B276">
        <f>1+MIN(150,150*(1-(1-Inputs!$B$11/150)*(1-B275/150)))/100</f>
        <v/>
      </c>
    </row>
    <row r="277">
      <c r="A277" t="inlineStr">
        <is>
          <t>Skill + Buff Cast Rate</t>
        </is>
      </c>
      <c r="B277">
        <f>IF(AND(Inputs!$B$38&lt;&gt;"pvp",Inputs!$B$43&gt;0),SUMPRODUCT((Skills!F2:F28=TRUE)*(C244:C270=TRUE)*R244:R270)/Inputs!$B$43,SUMPRODUCT((Skills!F2:F28=TRUE)*(C244:C270=TRUE)*Q244:Q270))</f>
        <v/>
      </c>
    </row>
    <row r="278">
      <c r="A278" t="inlineStr">
        <is>
          <t>Basic Attacks Per Second</t>
        </is>
      </c>
      <c r="B278">
        <f>MAX(0,B276-B277)</f>
        <v/>
      </c>
    </row>
    <row r="279">
      <c r="A279" t="inlineStr">
        <is>
          <t>Meteor Proc — combined trigger cast rate</t>
        </is>
      </c>
      <c r="B279">
        <f>IF(AND(Inputs!$B$38&lt;&gt;"pvp",Inputs!$B$43&gt;0),SUMPRODUCT((Skills!V2:V28=TRUE)*(C244:C270=TRUE)*R244:R270*Skills!W2:W28)/Inputs!$B$43,SUMPRODUCT((Skills!V2:V28=TRUE)*(C244:C270=TRUE)*Q244:Q270*Skills!W2:W28))+B278</f>
        <v/>
      </c>
    </row>
    <row r="281">
      <c r="A281" s="5" t="inlineStr">
        <is>
          <t>TOTAL DPS</t>
        </is>
      </c>
      <c r="B281" s="5">
        <f>SUM(O244:O270)</f>
        <v/>
      </c>
    </row>
    <row r="284">
      <c r="A284" s="5" t="inlineStr">
        <is>
          <t>Stat: FINAL_DAMAGE % (multiplicative source)</t>
        </is>
      </c>
    </row>
    <row r="285">
      <c r="A285" s="9" t="inlineStr">
        <is>
          <t>Key</t>
        </is>
      </c>
      <c r="B285" s="9" t="inlineStr">
        <is>
          <t>Name</t>
        </is>
      </c>
      <c r="C285" s="9" t="inlineStr">
        <is>
          <t>Unlocked</t>
        </is>
      </c>
      <c r="D285" s="9" t="inlineStr">
        <is>
          <t>InputLevel</t>
        </is>
      </c>
      <c r="E285" s="9" t="inlineStr">
        <is>
          <t>Factor</t>
        </is>
      </c>
      <c r="F285" s="9" t="inlineStr">
        <is>
          <t>CoefficientPercent</t>
        </is>
      </c>
      <c r="G285" s="9" t="inlineStr">
        <is>
          <t>EffectiveHits</t>
        </is>
      </c>
      <c r="H285" s="9" t="inlineStr">
        <is>
          <t>ProcProbability</t>
        </is>
      </c>
      <c r="I285" s="9" t="inlineStr">
        <is>
          <t>MapleHeroMultiplier</t>
        </is>
      </c>
      <c r="J285" s="9" t="inlineStr">
        <is>
          <t>BaseDamage</t>
        </is>
      </c>
      <c r="K285" s="9" t="inlineStr">
        <is>
          <t>BaseHitDamage</t>
        </is>
      </c>
      <c r="L285" s="9" t="inlineStr">
        <is>
          <t>NonCritAvg</t>
        </is>
      </c>
      <c r="M285" s="9" t="inlineStr">
        <is>
          <t>CritAvg</t>
        </is>
      </c>
      <c r="N285" s="9" t="inlineStr">
        <is>
          <t>ExpectedDamage(perHit)</t>
        </is>
      </c>
      <c r="O285" s="9" t="inlineStr">
        <is>
          <t>DPS</t>
        </is>
      </c>
      <c r="P285" s="9" t="inlineStr">
        <is>
          <t>% of Total</t>
        </is>
      </c>
      <c r="R285" t="inlineStr">
        <is>
          <t>helpers</t>
        </is>
      </c>
    </row>
    <row r="286">
      <c r="A286">
        <f>Skills!A2</f>
        <v/>
      </c>
      <c r="B286">
        <f>Skills!B2</f>
        <v/>
      </c>
      <c r="C286">
        <f>TRUE</f>
        <v/>
      </c>
      <c r="D286" t="inlineStr"/>
      <c r="E286" t="inlineStr"/>
      <c r="F286">
        <f>T288+Skills!O2</f>
        <v/>
      </c>
      <c r="G286">
        <f>Calc!G2</f>
        <v/>
      </c>
      <c r="H286">
        <f>Calc!H2</f>
        <v/>
      </c>
      <c r="I286">
        <f>IF(Skills!X2&lt;&gt;"",1+(Skills!X2/10)*(Z287/1000)/100,1)</f>
        <v/>
      </c>
      <c r="J286">
        <f>((Inputs!$B$6*(1+Inputs!$B$7/100))+(((Inputs!$B$12*(1+Inputs!$B$13/100))-(Inputs!$B$12*(1+Inputs!$B$13/100)))+0.25*(Inputs!$B$14-Inputs!$B$14))*(1+Inputs!$B$7/100))*(F286/100)</f>
        <v/>
      </c>
      <c r="K286">
        <f>J286*(1+((Inputs!$B$12*(1+Inputs!$B$13/100))*0.01+Inputs!$B$14*0.0025)/100)*(1+Inputs!$B$15/100)*(1+IF(Inputs!$B$38="pvp",0,(1-Summary!$B$56)*(Inputs!$B$20+Skills!P2)+Summary!$B$56*(Inputs!$B$21+Skills!Q2))/100)*(1+Inputs!$B$16/100)*(5000/(6000+Inputs!$B$42*(1-Inputs!$B$19/100)))*(1+((((1+Inputs!$B$24/100)*(1.01))-1)*100)/100)*(1+F307/100)*(1+IF(Inputs!$B$3&gt;=120,F310,0)/100)^5*(1+(IF(Skills!A2="BASIC_ATTACK",Inputs!$B$17,Inputs!$B$18+IF(Inputs!$B$3&gt;=125,F311*5,0)))/100)*(B314*B315*B316*I286)</f>
        <v/>
      </c>
      <c r="L286">
        <f>K286*(MIN(Inputs!$B$22+(F306-Calc!F22),Inputs!$B$23)/100+Inputs!$B$23/100)/2</f>
        <v/>
      </c>
      <c r="M286">
        <f>L286*(1+(Inputs!$B$10+(F305-Calc!F21))/100)</f>
        <v/>
      </c>
      <c r="N286">
        <f>L286*(1-MIN(Inputs!$B$9+(F304-Calc!F20),100)/100)+M286*(MIN(Inputs!$B$9+(F304-Calc!F20),100)/100)</f>
        <v/>
      </c>
      <c r="O286">
        <f>Skills!G2*N286*B320*IF(Inputs!$B$38="pvp",1,(1-Summary!$B$56)*(1)+Summary!$B$56*(MIN((6+Inputs!$B$33+IF(Inputs!$B$3&gt;=136,1,0)),Inputs!$B$37)))</f>
        <v/>
      </c>
      <c r="P286">
        <f>IF(B323=0,0,O286/B323)</f>
        <v/>
      </c>
      <c r="Q286">
        <f>IFERROR(1/IF(Inputs!$B$38="pvp",15,MAX(0.1,Skills!E2-IF(Skills!F2=TRUE,Inputs!$B$32,0))),0)</f>
        <v/>
      </c>
      <c r="R286" t="n">
        <v>0</v>
      </c>
      <c r="T286">
        <f>MAX(0,(Inputs!$B$3-100)*3)+Inputs!$B$28+Inputs!$B$29</f>
        <v/>
      </c>
      <c r="Z286">
        <f>MAX(0,(Inputs!$B$3-100)*3)+Inputs!$B$28+Inputs!$B$29</f>
        <v/>
      </c>
    </row>
    <row r="287">
      <c r="A287">
        <f>Skills!A3</f>
        <v/>
      </c>
      <c r="B287">
        <f>Skills!B3</f>
        <v/>
      </c>
      <c r="C287">
        <f>TRUE</f>
        <v/>
      </c>
      <c r="D287">
        <f>IF(Skills!C3=1,60+Inputs!$B$25+Inputs!$B$29,IF(Skills!C3=2,90+Inputs!$B$26+Inputs!$B$29,IF(Skills!C3=3,120+Inputs!$B$27+Inputs!$B$29,MAX(0,(Inputs!$B$3-100)*3)+Inputs!$B$28+Inputs!$B$29)))</f>
        <v/>
      </c>
      <c r="E287">
        <f>INDEX(FactorTable!$B$2:$Y$301, MATCH(ROUND(MIN(300,MAX(1,D287)),0), FactorTable!$A$2:$A$301,0), Skills!M3+1)</f>
        <v/>
      </c>
      <c r="F287">
        <f>IF(Skills!N3=TRUE,(Skills!L3/10)*(E287/1000),Skills!L3/10)+Skills!O3</f>
        <v/>
      </c>
      <c r="G287">
        <f>Calc!G3</f>
        <v/>
      </c>
      <c r="H287">
        <f>Calc!H3</f>
        <v/>
      </c>
      <c r="I287">
        <f>IF(Skills!X3&lt;&gt;"",1+(Skills!X3/10)*(Z287/1000)/100,1)</f>
        <v/>
      </c>
      <c r="J287">
        <f>((Inputs!$B$6*(1+Inputs!$B$7/100))+(((Inputs!$B$12*(1+Inputs!$B$13/100))-(Inputs!$B$12*(1+Inputs!$B$13/100)))+0.25*(Inputs!$B$14-Inputs!$B$14))*(1+Inputs!$B$7/100))*(F287/100)</f>
        <v/>
      </c>
      <c r="K287">
        <f>J287*(1+((Inputs!$B$12*(1+Inputs!$B$13/100))*0.01+Inputs!$B$14*0.0025)/100)*(1+Inputs!$B$15/100)*(1+IF(Inputs!$B$38="pvp",0,(1-Summary!$B$56)*(Inputs!$B$20+Skills!P3)+Summary!$B$56*(Inputs!$B$21+Skills!Q3))/100)*(1+Inputs!$B$16/100)*(5000/(6000+Inputs!$B$42*(1-Inputs!$B$19/100)))*(1+((((1+Inputs!$B$24/100)*(1.01))-1)*100)/100)*(1+F307/100)*(1+IF(Inputs!$B$3&gt;=120,F310,0)/100)^5*(1+(IF(Skills!A3="BASIC_ATTACK",Inputs!$B$17,Inputs!$B$18+IF(Inputs!$B$3&gt;=125,F311*5,0)))/100)*(B314*B315*B316*I287)</f>
        <v/>
      </c>
      <c r="L287">
        <f>K287*(MIN(Inputs!$B$22+(F306-Calc!F22),Inputs!$B$23)/100+Inputs!$B$23/100)/2</f>
        <v/>
      </c>
      <c r="M287">
        <f>L287*(1+(Inputs!$B$10+(F305-Calc!F21))/100)</f>
        <v/>
      </c>
      <c r="N287">
        <f>L287*(1-MIN(Inputs!$B$9+(F304-Calc!F20),100)/100)+M287*(MIN(Inputs!$B$9+(F304-Calc!F20),100)/100)</f>
        <v/>
      </c>
      <c r="O287">
        <f>IF(C287,H287*N287*IF(AND(Inputs!$B$38&lt;&gt;"pvp",Inputs!$B$43&gt;0),((Skills!G3*((R287-1)*IF(Skills!H3&gt;0,Skills!I3/Skills!H3,1)+IF(Skills!H3&gt;0,MIN(Skills!I3,MAX(0,Inputs!$B$43-((R287-1)*IF(Inputs!$B$38="pvp",15,MAX(0.1,Skills!E3-IF(Skills!F3=TRUE,Inputs!$B$32,0))))))/Skills!H3,1)))/Inputs!$B$43),G287*Q287)*IF(Inputs!$B$38="pvp",1,(1-Summary!$B$56)*(1)+Summary!$B$56*(MIN(Skills!R3,Inputs!$B$37))),0)</f>
        <v/>
      </c>
      <c r="P287">
        <f>IF(B323=0,0,O287/B323)</f>
        <v/>
      </c>
      <c r="Q287">
        <f>IFERROR(1/IF(Inputs!$B$38="pvp",15,MAX(0.1,Skills!E3-IF(Skills!F3=TRUE,Inputs!$B$32,0))),0)</f>
        <v/>
      </c>
      <c r="R287">
        <f>IF(AND(Inputs!$B$38&lt;&gt;"pvp",Inputs!$B$43&gt;0),(INT(Inputs!$B$43/IF(Inputs!$B$38="pvp",15,MAX(0.1,Skills!E3-IF(Skills!F3=TRUE,Inputs!$B$32,0))))+1),0)</f>
        <v/>
      </c>
      <c r="T287">
        <f>INDEX(FactorTable!$B$2:$Y$301, MATCH(ROUND(MIN(300,MAX(1,T286)),0), FactorTable!$A$2:$A$301,0), 22)</f>
        <v/>
      </c>
      <c r="Z287">
        <f>INDEX(FactorTable!$B$2:$Y$301, MATCH(ROUND(MIN(300,MAX(1,Z286)),0), FactorTable!$A$2:$A$301,0), 24)</f>
        <v/>
      </c>
    </row>
    <row r="288">
      <c r="A288">
        <f>Skills!A4</f>
        <v/>
      </c>
      <c r="B288">
        <f>Skills!B4</f>
        <v/>
      </c>
      <c r="C288">
        <f>TRUE</f>
        <v/>
      </c>
      <c r="D288">
        <f>IF(Skills!C4=1,60+Inputs!$B$25+Inputs!$B$29,IF(Skills!C4=2,90+Inputs!$B$26+Inputs!$B$29,IF(Skills!C4=3,120+Inputs!$B$27+Inputs!$B$29,MAX(0,(Inputs!$B$3-100)*3)+Inputs!$B$28+Inputs!$B$29)))</f>
        <v/>
      </c>
      <c r="E288">
        <f>INDEX(FactorTable!$B$2:$Y$301, MATCH(ROUND(MIN(300,MAX(1,D288)),0), FactorTable!$A$2:$A$301,0), Skills!M4+1)</f>
        <v/>
      </c>
      <c r="F288">
        <f>IF(Skills!N4=TRUE,(Skills!L4/10)*(E288/1000),Skills!L4/10)+Skills!O4</f>
        <v/>
      </c>
      <c r="G288">
        <f>Calc!G4</f>
        <v/>
      </c>
      <c r="H288">
        <f>Calc!H4</f>
        <v/>
      </c>
      <c r="I288">
        <f>IF(Skills!X4&lt;&gt;"",1+(Skills!X4/10)*(Z287/1000)/100,1)</f>
        <v/>
      </c>
      <c r="J288">
        <f>((Inputs!$B$6*(1+Inputs!$B$7/100))+(((Inputs!$B$12*(1+Inputs!$B$13/100))-(Inputs!$B$12*(1+Inputs!$B$13/100)))+0.25*(Inputs!$B$14-Inputs!$B$14))*(1+Inputs!$B$7/100))*(F288/100)</f>
        <v/>
      </c>
      <c r="K288">
        <f>J288*(1+((Inputs!$B$12*(1+Inputs!$B$13/100))*0.01+Inputs!$B$14*0.0025)/100)*(1+Inputs!$B$15/100)*(1+IF(Inputs!$B$38="pvp",0,(1-Summary!$B$56)*(Inputs!$B$20+Skills!P4)+Summary!$B$56*(Inputs!$B$21+Skills!Q4))/100)*(1+Inputs!$B$16/100)*(5000/(6000+Inputs!$B$42*(1-Inputs!$B$19/100)))*(1+((((1+Inputs!$B$24/100)*(1.01))-1)*100)/100)*(1+F307/100)*(1+IF(Inputs!$B$3&gt;=120,F310,0)/100)^5*(1+(IF(Skills!A4="BASIC_ATTACK",Inputs!$B$17,Inputs!$B$18+IF(Inputs!$B$3&gt;=125,F311*5,0)))/100)*(B314*B315*B316*I288)</f>
        <v/>
      </c>
      <c r="L288">
        <f>K288*(MIN(Inputs!$B$22+(F306-Calc!F22),Inputs!$B$23)/100+Inputs!$B$23/100)/2</f>
        <v/>
      </c>
      <c r="M288">
        <f>L288*(1+(Inputs!$B$10+(F305-Calc!F21))/100)</f>
        <v/>
      </c>
      <c r="N288">
        <f>L288*(1-MIN(Inputs!$B$9+(F304-Calc!F20),100)/100)+M288*(MIN(Inputs!$B$9+(F304-Calc!F20),100)/100)</f>
        <v/>
      </c>
      <c r="O288">
        <f>IF(C288,H288*N288*IF(AND(Inputs!$B$38&lt;&gt;"pvp",Inputs!$B$43&gt;0),((Skills!G4*((R288-1)*IF(Skills!H4&gt;0,Skills!I4/Skills!H4,1)+IF(Skills!H4&gt;0,MIN(Skills!I4,MAX(0,Inputs!$B$43-((R288-1)*IF(Inputs!$B$38="pvp",15,MAX(0.1,Skills!E4-IF(Skills!F4=TRUE,Inputs!$B$32,0))))))/Skills!H4,1)))/Inputs!$B$43),G288*Q288)*IF(Inputs!$B$38="pvp",1,(1-Summary!$B$56)*(1)+Summary!$B$56*(MIN(Skills!R4,Inputs!$B$37))),0)</f>
        <v/>
      </c>
      <c r="P288">
        <f>IF(B323=0,0,O288/B323)</f>
        <v/>
      </c>
      <c r="Q288">
        <f>IFERROR(1/IF(Inputs!$B$38="pvp",15,MAX(0.1,Skills!E4-IF(Skills!F4=TRUE,Inputs!$B$32,0))),0)</f>
        <v/>
      </c>
      <c r="R288">
        <f>IF(AND(Inputs!$B$38&lt;&gt;"pvp",Inputs!$B$43&gt;0),(INT(Inputs!$B$43/IF(Inputs!$B$38="pvp",15,MAX(0.1,Skills!E4-IF(Skills!F4=TRUE,Inputs!$B$32,0))))+1),0)</f>
        <v/>
      </c>
      <c r="T288">
        <f>290*T287/1000</f>
        <v/>
      </c>
    </row>
    <row r="289">
      <c r="A289">
        <f>Skills!A5</f>
        <v/>
      </c>
      <c r="B289">
        <f>Skills!B5</f>
        <v/>
      </c>
      <c r="C289">
        <f>TRUE</f>
        <v/>
      </c>
      <c r="D289">
        <f>IF(Skills!C5=1,60+Inputs!$B$25+Inputs!$B$29,IF(Skills!C5=2,90+Inputs!$B$26+Inputs!$B$29,IF(Skills!C5=3,120+Inputs!$B$27+Inputs!$B$29,MAX(0,(Inputs!$B$3-100)*3)+Inputs!$B$28+Inputs!$B$29)))</f>
        <v/>
      </c>
      <c r="E289">
        <f>INDEX(FactorTable!$B$2:$Y$301, MATCH(ROUND(MIN(300,MAX(1,D289)),0), FactorTable!$A$2:$A$301,0), Skills!M5+1)</f>
        <v/>
      </c>
      <c r="F289">
        <f>IF(Skills!N5=TRUE,(Skills!L5/10)*(E289/1000),Skills!L5/10)+Skills!O5</f>
        <v/>
      </c>
      <c r="G289">
        <f>Calc!G5</f>
        <v/>
      </c>
      <c r="H289">
        <f>Calc!H5</f>
        <v/>
      </c>
      <c r="I289">
        <f>IF(Skills!X5&lt;&gt;"",1+(Skills!X5/10)*(Z287/1000)/100,1)</f>
        <v/>
      </c>
      <c r="J289">
        <f>((Inputs!$B$6*(1+Inputs!$B$7/100))+(((Inputs!$B$12*(1+Inputs!$B$13/100))-(Inputs!$B$12*(1+Inputs!$B$13/100)))+0.25*(Inputs!$B$14-Inputs!$B$14))*(1+Inputs!$B$7/100))*(F289/100)</f>
        <v/>
      </c>
      <c r="K289">
        <f>J289*(1+((Inputs!$B$12*(1+Inputs!$B$13/100))*0.01+Inputs!$B$14*0.0025)/100)*(1+Inputs!$B$15/100)*(1+IF(Inputs!$B$38="pvp",0,(1-Summary!$B$56)*(Inputs!$B$20+Skills!P5)+Summary!$B$56*(Inputs!$B$21+Skills!Q5))/100)*(1+Inputs!$B$16/100)*(5000/(6000+Inputs!$B$42*(1-Inputs!$B$19/100)))*(1+((((1+Inputs!$B$24/100)*(1.01))-1)*100)/100)*(1+F307/100)*(1+IF(Inputs!$B$3&gt;=120,F310,0)/100)^5*(1+(IF(Skills!A5="BASIC_ATTACK",Inputs!$B$17,Inputs!$B$18+IF(Inputs!$B$3&gt;=125,F311*5,0)))/100)*(B314*B315*B316*I289)</f>
        <v/>
      </c>
      <c r="L289">
        <f>K289*(MIN(Inputs!$B$22+(F306-Calc!F22),Inputs!$B$23)/100+Inputs!$B$23/100)/2</f>
        <v/>
      </c>
      <c r="M289">
        <f>L289*(1+(Inputs!$B$10+(F305-Calc!F21))/100)</f>
        <v/>
      </c>
      <c r="N289">
        <f>L289*(1-MIN(Inputs!$B$9+(F304-Calc!F20),100)/100)+M289*(MIN(Inputs!$B$9+(F304-Calc!F20),100)/100)</f>
        <v/>
      </c>
      <c r="O289">
        <f>IF(C289,H289*N289*IF(AND(Inputs!$B$38&lt;&gt;"pvp",Inputs!$B$43&gt;0),((Skills!G5*((R289-1)*IF(Skills!H5&gt;0,Skills!I5/Skills!H5,1)+IF(Skills!H5&gt;0,MIN(Skills!I5,MAX(0,Inputs!$B$43-((R289-1)*IF(Inputs!$B$38="pvp",15,MAX(0.1,Skills!E5-IF(Skills!F5=TRUE,Inputs!$B$32,0))))))/Skills!H5,1)))/Inputs!$B$43),G289*Q289)*IF(Inputs!$B$38="pvp",1,(1-Summary!$B$56)*(1)+Summary!$B$56*(MIN(Skills!R5,Inputs!$B$37))),0)</f>
        <v/>
      </c>
      <c r="P289">
        <f>IF(B323=0,0,O289/B323)</f>
        <v/>
      </c>
      <c r="Q289">
        <f>IFERROR(1/IF(Inputs!$B$38="pvp",15,MAX(0.1,Skills!E5-IF(Skills!F5=TRUE,Inputs!$B$32,0))),0)</f>
        <v/>
      </c>
      <c r="R289">
        <f>IF(AND(Inputs!$B$38&lt;&gt;"pvp",Inputs!$B$43&gt;0),(INT(Inputs!$B$43/IF(Inputs!$B$38="pvp",15,MAX(0.1,Skills!E5-IF(Skills!F5=TRUE,Inputs!$B$32,0))))+1),0)</f>
        <v/>
      </c>
    </row>
    <row r="290">
      <c r="A290">
        <f>Skills!A6</f>
        <v/>
      </c>
      <c r="B290">
        <f>Skills!B6</f>
        <v/>
      </c>
      <c r="C290">
        <f>TRUE</f>
        <v/>
      </c>
      <c r="D290">
        <f>IF(Skills!C6=1,60+Inputs!$B$25+Inputs!$B$29,IF(Skills!C6=2,90+Inputs!$B$26+Inputs!$B$29,IF(Skills!C6=3,120+Inputs!$B$27+Inputs!$B$29,MAX(0,(Inputs!$B$3-100)*3)+Inputs!$B$28+Inputs!$B$29)))</f>
        <v/>
      </c>
      <c r="E290">
        <f>INDEX(FactorTable!$B$2:$Y$301, MATCH(ROUND(MIN(300,MAX(1,D290)),0), FactorTable!$A$2:$A$301,0), Skills!M6+1)</f>
        <v/>
      </c>
      <c r="F290">
        <f>IF(Skills!N6=TRUE,(Skills!L6/10)*(E290/1000),Skills!L6/10)+Skills!O6</f>
        <v/>
      </c>
      <c r="G290">
        <f>Calc!G6</f>
        <v/>
      </c>
      <c r="H290">
        <f>Calc!H6</f>
        <v/>
      </c>
      <c r="I290">
        <f>IF(Skills!X6&lt;&gt;"",1+(Skills!X6/10)*(Z287/1000)/100,1)</f>
        <v/>
      </c>
      <c r="J290" t="inlineStr"/>
      <c r="K290" t="inlineStr"/>
      <c r="L290" t="inlineStr"/>
      <c r="M290" t="inlineStr"/>
      <c r="N290" t="inlineStr"/>
      <c r="O290" t="n">
        <v>0</v>
      </c>
      <c r="P290">
        <f>IF(B323=0,0,O290/B323)</f>
        <v/>
      </c>
      <c r="Q290">
        <f>IFERROR(1/IF(Inputs!$B$38="pvp",15,MAX(0.1,Skills!E6-IF(Skills!F6=TRUE,Inputs!$B$32,0))),0)</f>
        <v/>
      </c>
      <c r="R290">
        <f>IF(AND(Inputs!$B$38&lt;&gt;"pvp",Inputs!$B$43&gt;0),(INT(Inputs!$B$43/IF(Inputs!$B$38="pvp",15,MAX(0.1,Skills!E6-IF(Skills!F6=TRUE,Inputs!$B$32,0))))+1),0)</f>
        <v/>
      </c>
    </row>
    <row r="291">
      <c r="A291">
        <f>Skills!A7</f>
        <v/>
      </c>
      <c r="B291">
        <f>Skills!B7</f>
        <v/>
      </c>
      <c r="C291">
        <f>TRUE</f>
        <v/>
      </c>
      <c r="D291">
        <f>IF(Skills!C7=1,60+Inputs!$B$25+Inputs!$B$29,IF(Skills!C7=2,90+Inputs!$B$26+Inputs!$B$29,IF(Skills!C7=3,120+Inputs!$B$27+Inputs!$B$29,MAX(0,(Inputs!$B$3-100)*3)+Inputs!$B$28+Inputs!$B$29)))</f>
        <v/>
      </c>
      <c r="E291">
        <f>INDEX(FactorTable!$B$2:$Y$301, MATCH(ROUND(MIN(300,MAX(1,D291)),0), FactorTable!$A$2:$A$301,0), Skills!M7+1)</f>
        <v/>
      </c>
      <c r="F291">
        <f>IF(Skills!N7=TRUE,(Skills!L7/10)*(E291/1000),Skills!L7/10)+Skills!O7</f>
        <v/>
      </c>
      <c r="G291">
        <f>Calc!G7</f>
        <v/>
      </c>
      <c r="H291">
        <f>Calc!H7</f>
        <v/>
      </c>
      <c r="I291">
        <f>IF(Skills!X7&lt;&gt;"",1+(Skills!X7/10)*(Z287/1000)/100,1)</f>
        <v/>
      </c>
      <c r="J291">
        <f>((Inputs!$B$6*(1+Inputs!$B$7/100))+(((Inputs!$B$12*(1+Inputs!$B$13/100))-(Inputs!$B$12*(1+Inputs!$B$13/100)))+0.25*(Inputs!$B$14-Inputs!$B$14))*(1+Inputs!$B$7/100))*(F291/100)</f>
        <v/>
      </c>
      <c r="K291">
        <f>J291*(1+((Inputs!$B$12*(1+Inputs!$B$13/100))*0.01+Inputs!$B$14*0.0025)/100)*(1+Inputs!$B$15/100)*(1+IF(Inputs!$B$38="pvp",0,(1-Summary!$B$56)*(Inputs!$B$20+Skills!P7)+Summary!$B$56*(Inputs!$B$21+Skills!Q7))/100)*(1+Inputs!$B$16/100)*(5000/(6000+Inputs!$B$42*(1-Inputs!$B$19/100)))*(1+((((1+Inputs!$B$24/100)*(1.01))-1)*100)/100)*(1+F307/100)*(1+IF(Inputs!$B$3&gt;=120,F310,0)/100)^5*(1+(IF(Skills!A7="BASIC_ATTACK",Inputs!$B$17,Inputs!$B$18+IF(Inputs!$B$3&gt;=125,F311*5,0)))/100)*(B314*B315*B316*I291)</f>
        <v/>
      </c>
      <c r="L291">
        <f>K291*(MIN(Inputs!$B$22+(F306-Calc!F22),Inputs!$B$23)/100+Inputs!$B$23/100)/2</f>
        <v/>
      </c>
      <c r="M291">
        <f>L291*(1+(Inputs!$B$10+(F305-Calc!F21))/100)</f>
        <v/>
      </c>
      <c r="N291">
        <f>L291*(1-MIN(Inputs!$B$9+(F304-Calc!F20),100)/100)+M291*(MIN(Inputs!$B$9+(F304-Calc!F20),100)/100)</f>
        <v/>
      </c>
      <c r="O291">
        <f>IF(C291,H291*N291*IF(AND(Inputs!$B$38&lt;&gt;"pvp",Inputs!$B$43&gt;0),((Skills!G7*((R291-1)*IF(Skills!H7&gt;0,Skills!I7/Skills!H7,1)+IF(Skills!H7&gt;0,MIN(Skills!I7,MAX(0,Inputs!$B$43-((R291-1)*IF(Inputs!$B$38="pvp",15,MAX(0.1,Skills!E7-IF(Skills!F7=TRUE,Inputs!$B$32,0))))))/Skills!H7,1)))/Inputs!$B$43),G291*Q291)*IF(Inputs!$B$38="pvp",1,(1-Summary!$B$56)*(1)+Summary!$B$56*(MIN(Skills!R7,Inputs!$B$37))),0)</f>
        <v/>
      </c>
      <c r="P291">
        <f>IF(B323=0,0,O291/B323)</f>
        <v/>
      </c>
      <c r="Q291">
        <f>IFERROR(1/IF(Inputs!$B$38="pvp",15,MAX(0.1,Skills!E7-IF(Skills!F7=TRUE,Inputs!$B$32,0))),0)</f>
        <v/>
      </c>
      <c r="R291">
        <f>IF(AND(Inputs!$B$38&lt;&gt;"pvp",Inputs!$B$43&gt;0),(INT(Inputs!$B$43/IF(Inputs!$B$38="pvp",15,MAX(0.1,Skills!E7-IF(Skills!F7=TRUE,Inputs!$B$32,0))))+1),0)</f>
        <v/>
      </c>
    </row>
    <row r="292">
      <c r="A292">
        <f>Skills!A8</f>
        <v/>
      </c>
      <c r="B292">
        <f>Skills!B8</f>
        <v/>
      </c>
      <c r="C292">
        <f>TRUE</f>
        <v/>
      </c>
      <c r="D292">
        <f>IF(Skills!C8=1,60+Inputs!$B$25+Inputs!$B$29,IF(Skills!C8=2,90+Inputs!$B$26+Inputs!$B$29,IF(Skills!C8=3,120+Inputs!$B$27+Inputs!$B$29,MAX(0,(Inputs!$B$3-100)*3)+Inputs!$B$28+Inputs!$B$29)))</f>
        <v/>
      </c>
      <c r="E292">
        <f>INDEX(FactorTable!$B$2:$Y$301, MATCH(ROUND(MIN(300,MAX(1,D292)),0), FactorTable!$A$2:$A$301,0), Skills!M8+1)</f>
        <v/>
      </c>
      <c r="F292">
        <f>IF(Skills!N8=TRUE,(Skills!L8/10)*(E292/1000),Skills!L8/10)+Skills!O8</f>
        <v/>
      </c>
      <c r="G292">
        <f>Calc!G8</f>
        <v/>
      </c>
      <c r="H292">
        <f>Calc!H8</f>
        <v/>
      </c>
      <c r="I292">
        <f>IF(Skills!X8&lt;&gt;"",1+(Skills!X8/10)*(Z287/1000)/100,1)</f>
        <v/>
      </c>
      <c r="J292">
        <f>((Inputs!$B$6*(1+Inputs!$B$7/100))+(((Inputs!$B$12*(1+Inputs!$B$13/100))-(Inputs!$B$12*(1+Inputs!$B$13/100)))+0.25*(Inputs!$B$14-Inputs!$B$14))*(1+Inputs!$B$7/100))*(F292/100)</f>
        <v/>
      </c>
      <c r="K292">
        <f>J292*(1+((Inputs!$B$12*(1+Inputs!$B$13/100))*0.01+Inputs!$B$14*0.0025)/100)*(1+Inputs!$B$15/100)*(1+IF(Inputs!$B$38="pvp",0,(1-Summary!$B$56)*(Inputs!$B$20+Skills!P8)+Summary!$B$56*(Inputs!$B$21+Skills!Q8))/100)*(1+Inputs!$B$16/100)*(5000/(6000+Inputs!$B$42*(1-Inputs!$B$19/100)))*(1+((((1+Inputs!$B$24/100)*(1.01))-1)*100)/100)*(1+F307/100)*(1+IF(Inputs!$B$3&gt;=120,F310,0)/100)^5*(1+(IF(Skills!A8="BASIC_ATTACK",Inputs!$B$17,Inputs!$B$18+IF(Inputs!$B$3&gt;=125,F311*5,0)))/100)*(B314*B315*B316*I292)</f>
        <v/>
      </c>
      <c r="L292">
        <f>K292*(MIN(Inputs!$B$22+(F306-Calc!F22),Inputs!$B$23)/100+Inputs!$B$23/100)/2</f>
        <v/>
      </c>
      <c r="M292">
        <f>L292*(1+(Inputs!$B$10+(F305-Calc!F21))/100)</f>
        <v/>
      </c>
      <c r="N292">
        <f>L292*(1-MIN(Inputs!$B$9+(F304-Calc!F20),100)/100)+M292*(MIN(Inputs!$B$9+(F304-Calc!F20),100)/100)</f>
        <v/>
      </c>
      <c r="O292">
        <f>IF(C292,H292*N292*IF(AND(Inputs!$B$38&lt;&gt;"pvp",Inputs!$B$43&gt;0),((Skills!G8*((R292-1)*IF(Skills!H8&gt;0,Skills!I8/Skills!H8,1)+IF(Skills!H8&gt;0,MIN(Skills!I8,MAX(0,Inputs!$B$43-((R292-1)*IF(Inputs!$B$38="pvp",15,MAX(0.1,Skills!E8-IF(Skills!F8=TRUE,Inputs!$B$32,0))))))/Skills!H8,1)))/Inputs!$B$43),G292*Q292)*IF(Inputs!$B$38="pvp",1,(1-Summary!$B$56)*(1)+Summary!$B$56*(MIN(Skills!R8,Inputs!$B$37))),0)</f>
        <v/>
      </c>
      <c r="P292">
        <f>IF(B323=0,0,O292/B323)</f>
        <v/>
      </c>
      <c r="Q292">
        <f>IFERROR(1/IF(Inputs!$B$38="pvp",15,MAX(0.1,Skills!E8-IF(Skills!F8=TRUE,Inputs!$B$32,0))),0)</f>
        <v/>
      </c>
      <c r="R292">
        <f>IF(AND(Inputs!$B$38&lt;&gt;"pvp",Inputs!$B$43&gt;0),(INT(Inputs!$B$43/IF(Inputs!$B$38="pvp",15,MAX(0.1,Skills!E8-IF(Skills!F8=TRUE,Inputs!$B$32,0))))+1),0)</f>
        <v/>
      </c>
    </row>
    <row r="293">
      <c r="A293">
        <f>Skills!A9</f>
        <v/>
      </c>
      <c r="B293">
        <f>Skills!B9</f>
        <v/>
      </c>
      <c r="C293">
        <f>Inputs!$B$3&gt;=103</f>
        <v/>
      </c>
      <c r="D293">
        <f>IF(Skills!C9=1,60+Inputs!$B$25+Inputs!$B$29,IF(Skills!C9=2,90+Inputs!$B$26+Inputs!$B$29,IF(Skills!C9=3,120+Inputs!$B$27+Inputs!$B$29,MAX(0,(Inputs!$B$3-100)*3)+Inputs!$B$28+Inputs!$B$29)))</f>
        <v/>
      </c>
      <c r="E293">
        <f>INDEX(FactorTable!$B$2:$Y$301, MATCH(ROUND(MIN(300,MAX(1,D293)),0), FactorTable!$A$2:$A$301,0), Skills!M9+1)</f>
        <v/>
      </c>
      <c r="F293">
        <f>IF(Skills!N9=TRUE,(Skills!L9/10)*(E293/1000),Skills!L9/10)+Skills!O9</f>
        <v/>
      </c>
      <c r="G293">
        <f>Calc!G9</f>
        <v/>
      </c>
      <c r="H293">
        <f>Calc!H9</f>
        <v/>
      </c>
      <c r="I293">
        <f>IF(Skills!X9&lt;&gt;"",1+(Skills!X9/10)*(Z287/1000)/100,1)</f>
        <v/>
      </c>
      <c r="J293">
        <f>((Inputs!$B$6*(1+Inputs!$B$7/100))+(((Inputs!$B$12*(1+Inputs!$B$13/100))-(Inputs!$B$12*(1+Inputs!$B$13/100)))+0.25*(Inputs!$B$14-Inputs!$B$14))*(1+Inputs!$B$7/100))*(F293/100)</f>
        <v/>
      </c>
      <c r="K293">
        <f>J293*(1+((Inputs!$B$12*(1+Inputs!$B$13/100))*0.01+Inputs!$B$14*0.0025)/100)*(1+Inputs!$B$15/100)*(1+IF(Inputs!$B$38="pvp",0,(1-Summary!$B$56)*(Inputs!$B$20+Skills!P9)+Summary!$B$56*(Inputs!$B$21+Skills!Q9))/100)*(1+Inputs!$B$16/100)*(5000/(6000+Inputs!$B$42*(1-Inputs!$B$19/100)))*(1+((((1+Inputs!$B$24/100)*(1.01))-1)*100)/100)*(1+F307/100)*(1+IF(Inputs!$B$3&gt;=120,F310,0)/100)^5*(1+(IF(Skills!A9="BASIC_ATTACK",Inputs!$B$17,Inputs!$B$18+IF(Inputs!$B$3&gt;=125,F311*5,0)))/100)*(B314*B315*B316*I293)</f>
        <v/>
      </c>
      <c r="L293">
        <f>K293*(MIN(Inputs!$B$22+(F306-Calc!F22),Inputs!$B$23)/100+Inputs!$B$23/100)/2</f>
        <v/>
      </c>
      <c r="M293">
        <f>L293*(1+(Inputs!$B$10+(F305-Calc!F21))/100)</f>
        <v/>
      </c>
      <c r="N293">
        <f>L293*(1-MIN(Inputs!$B$9+(F304-Calc!F20),100)/100)+M293*(MIN(Inputs!$B$9+(F304-Calc!F20),100)/100)</f>
        <v/>
      </c>
      <c r="O293">
        <f>IF(C293,H293*N293*IF(AND(Inputs!$B$38&lt;&gt;"pvp",Inputs!$B$43&gt;0),((Skills!G9*((R293-1)*IF(Skills!H9&gt;0,Skills!I9/Skills!H9,1)+IF(Skills!H9&gt;0,MIN(Skills!I9,MAX(0,Inputs!$B$43-((R293-1)*IF(Inputs!$B$38="pvp",15,MAX(0.1,Skills!E9-IF(Skills!F7=TRUE,Inputs!$B$32,0))))))/Skills!H9,1)))/Inputs!$B$43),G293*Q293)*IF(Inputs!$B$38="pvp",1,(1-Summary!$B$56)*(1)+Summary!$B$56*(MIN(Skills!R9,Inputs!$B$37))),0)</f>
        <v/>
      </c>
      <c r="P293">
        <f>IF(B323=0,0,O293/B323)</f>
        <v/>
      </c>
      <c r="Q293">
        <f>IFERROR(1/IF(Inputs!$B$38="pvp",15,MAX(0.1,Skills!E9-IF(Skills!F7=TRUE,Inputs!$B$32,0))),0)</f>
        <v/>
      </c>
      <c r="R293">
        <f>IF(AND(Inputs!$B$38&lt;&gt;"pvp",Inputs!$B$43&gt;0),(INT(Inputs!$B$43/IF(Inputs!$B$38="pvp",15,MAX(0.1,Skills!E9-IF(Skills!F7=TRUE,Inputs!$B$32,0))))+1),0)</f>
        <v/>
      </c>
    </row>
    <row r="294">
      <c r="A294">
        <f>Skills!A10</f>
        <v/>
      </c>
      <c r="B294">
        <f>Skills!B10</f>
        <v/>
      </c>
      <c r="C294">
        <f>TRUE</f>
        <v/>
      </c>
      <c r="D294">
        <f>IF(Skills!C10=1,60+Inputs!$B$25+Inputs!$B$29,IF(Skills!C10=2,90+Inputs!$B$26+Inputs!$B$29,IF(Skills!C10=3,120+Inputs!$B$27+Inputs!$B$29,MAX(0,(Inputs!$B$3-100)*3)+Inputs!$B$28+Inputs!$B$29)))</f>
        <v/>
      </c>
      <c r="E294">
        <f>INDEX(FactorTable!$B$2:$Y$301, MATCH(ROUND(MIN(300,MAX(1,D294)),0), FactorTable!$A$2:$A$301,0), Skills!M10+1)</f>
        <v/>
      </c>
      <c r="F294">
        <f>IF(Skills!N10=TRUE,(Skills!L10/10)*(E294/1000),Skills!L10/10)+Skills!O10</f>
        <v/>
      </c>
      <c r="G294">
        <f>Calc!G10</f>
        <v/>
      </c>
      <c r="H294">
        <f>Calc!H10</f>
        <v/>
      </c>
      <c r="I294">
        <f>IF(Skills!X10&lt;&gt;"",1+(Skills!X10/10)*(Z287/1000)/100,1)</f>
        <v/>
      </c>
      <c r="J294">
        <f>((Inputs!$B$6*(1+Inputs!$B$7/100))+(((Inputs!$B$12*(1+Inputs!$B$13/100))-(Inputs!$B$12*(1+Inputs!$B$13/100)))+0.25*(Inputs!$B$14-Inputs!$B$14))*(1+Inputs!$B$7/100))*(F294/100)</f>
        <v/>
      </c>
      <c r="K294">
        <f>J294*(1+((Inputs!$B$12*(1+Inputs!$B$13/100))*0.01+Inputs!$B$14*0.0025)/100)*(1+Inputs!$B$15/100)*(1+IF(Inputs!$B$38="pvp",0,(1-Summary!$B$56)*(Inputs!$B$20+Skills!P10)+Summary!$B$56*(Inputs!$B$21+Skills!Q10))/100)*(1+Inputs!$B$16/100)*(5000/(6000+Inputs!$B$42*(1-Inputs!$B$19/100)))*(1+((((1+Inputs!$B$24/100)*(1.01))-1)*100)/100)*(1+F307/100)*(1+IF(Inputs!$B$3&gt;=120,F310,0)/100)^5*(1+(IF(Skills!A10="BASIC_ATTACK",Inputs!$B$17,Inputs!$B$18+IF(Inputs!$B$3&gt;=125,F311*5,0)))/100)*(B314*B315*B316*I294)</f>
        <v/>
      </c>
      <c r="L294">
        <f>K294*(MIN(Inputs!$B$22+(F306-Calc!F22),Inputs!$B$23)/100+Inputs!$B$23/100)/2</f>
        <v/>
      </c>
      <c r="M294">
        <f>L294*(1+(Inputs!$B$10+(F305-Calc!F21))/100)</f>
        <v/>
      </c>
      <c r="N294">
        <f>L294*(1-MIN(Inputs!$B$9+(F304-Calc!F20),100)/100)+M294*(MIN(Inputs!$B$9+(F304-Calc!F20),100)/100)</f>
        <v/>
      </c>
      <c r="O294">
        <f>IF(C294,H294*N294*IF(AND(Inputs!$B$38&lt;&gt;"pvp",Inputs!$B$43&gt;0),((Skills!G10*((R294-1)*IF(Skills!H10&gt;0,Skills!I10/Skills!H10,1)+IF(Skills!H10&gt;0,MIN(Skills!I10,MAX(0,Inputs!$B$43-((R294-1)*IF(Inputs!$B$38="pvp",15,MAX(0.1,Skills!E10-IF(Skills!F10=TRUE,Inputs!$B$32,0))))))/Skills!H10,1)))/Inputs!$B$43),G294*Q294)*IF(Inputs!$B$38="pvp",1,(1-Summary!$B$56)*(1)+Summary!$B$56*(MIN(Skills!R10,Inputs!$B$37))),0)</f>
        <v/>
      </c>
      <c r="P294">
        <f>IF(B323=0,0,O294/B323)</f>
        <v/>
      </c>
      <c r="Q294">
        <f>IFERROR(1/IF(Inputs!$B$38="pvp",15,MAX(0.1,Skills!E10-IF(Skills!F10=TRUE,Inputs!$B$32,0))),0)</f>
        <v/>
      </c>
      <c r="R294">
        <f>IF(AND(Inputs!$B$38&lt;&gt;"pvp",Inputs!$B$43&gt;0),(INT(Inputs!$B$43/IF(Inputs!$B$38="pvp",15,MAX(0.1,Skills!E10-IF(Skills!F10=TRUE,Inputs!$B$32,0))))+1),0)</f>
        <v/>
      </c>
    </row>
    <row r="295">
      <c r="A295">
        <f>Skills!A11</f>
        <v/>
      </c>
      <c r="B295">
        <f>Skills!B11</f>
        <v/>
      </c>
      <c r="C295">
        <f>TRUE</f>
        <v/>
      </c>
      <c r="D295">
        <f>IF(Skills!C11=1,60+Inputs!$B$25+Inputs!$B$29,IF(Skills!C11=2,90+Inputs!$B$26+Inputs!$B$29,IF(Skills!C11=3,120+Inputs!$B$27+Inputs!$B$29,MAX(0,(Inputs!$B$3-100)*3)+Inputs!$B$28+Inputs!$B$29)))</f>
        <v/>
      </c>
      <c r="E295">
        <f>INDEX(FactorTable!$B$2:$Y$301, MATCH(ROUND(MIN(300,MAX(1,D295)),0), FactorTable!$A$2:$A$301,0), Skills!M11+1)</f>
        <v/>
      </c>
      <c r="F295">
        <f>IF(Skills!N11=TRUE,(Skills!L11/10)*(E295/1000),Skills!L11/10)+Skills!O11</f>
        <v/>
      </c>
      <c r="G295">
        <f>Calc!G11</f>
        <v/>
      </c>
      <c r="H295">
        <f>Calc!H11</f>
        <v/>
      </c>
      <c r="I295">
        <f>IF(Skills!X11&lt;&gt;"",1+(Skills!X11/10)*(Z287/1000)/100,1)</f>
        <v/>
      </c>
      <c r="J295" t="inlineStr"/>
      <c r="K295" t="inlineStr"/>
      <c r="L295" t="inlineStr"/>
      <c r="M295" t="inlineStr"/>
      <c r="N295" t="inlineStr"/>
      <c r="O295" t="n">
        <v>0</v>
      </c>
      <c r="P295">
        <f>IF(B323=0,0,O295/B323)</f>
        <v/>
      </c>
      <c r="Q295">
        <f>IFERROR(1/IF(Inputs!$B$38="pvp",15,MAX(0.1,Skills!E11-IF(Skills!F11=TRUE,Inputs!$B$32,0))),0)</f>
        <v/>
      </c>
      <c r="R295" t="n">
        <v>0</v>
      </c>
    </row>
    <row r="296">
      <c r="A296">
        <f>Skills!A12</f>
        <v/>
      </c>
      <c r="B296">
        <f>Skills!B12</f>
        <v/>
      </c>
      <c r="C296">
        <f>TRUE</f>
        <v/>
      </c>
      <c r="D296">
        <f>IF(Skills!C12=1,60+Inputs!$B$25+Inputs!$B$29,IF(Skills!C12=2,90+Inputs!$B$26+Inputs!$B$29,IF(Skills!C12=3,120+Inputs!$B$27+Inputs!$B$29,MAX(0,(Inputs!$B$3-100)*3)+Inputs!$B$28+Inputs!$B$29)))</f>
        <v/>
      </c>
      <c r="E296">
        <f>INDEX(FactorTable!$B$2:$Y$301, MATCH(ROUND(MIN(300,MAX(1,D296)),0), FactorTable!$A$2:$A$301,0), Skills!M12+1)</f>
        <v/>
      </c>
      <c r="F296">
        <f>IF(Skills!N12=TRUE,(Skills!L12/10)*(E296/1000),Skills!L12/10)+Skills!O12</f>
        <v/>
      </c>
      <c r="G296">
        <f>Calc!G12</f>
        <v/>
      </c>
      <c r="H296">
        <f>Calc!H12</f>
        <v/>
      </c>
      <c r="I296">
        <f>IF(Skills!X12&lt;&gt;"",1+(Skills!X12/10)*(Z287/1000)/100,1)</f>
        <v/>
      </c>
      <c r="J296" t="inlineStr"/>
      <c r="K296" t="inlineStr"/>
      <c r="L296" t="inlineStr"/>
      <c r="M296" t="inlineStr"/>
      <c r="N296" t="inlineStr"/>
      <c r="O296" t="n">
        <v>0</v>
      </c>
      <c r="P296">
        <f>IF(B323=0,0,O296/B323)</f>
        <v/>
      </c>
      <c r="Q296">
        <f>IFERROR(1/IF(Inputs!$B$38="pvp",15,MAX(0.1,Skills!E12-IF(Skills!F12=TRUE,Inputs!$B$32,0))),0)</f>
        <v/>
      </c>
      <c r="R296" t="n">
        <v>0</v>
      </c>
    </row>
    <row r="297">
      <c r="A297">
        <f>Skills!A13</f>
        <v/>
      </c>
      <c r="B297">
        <f>Skills!B13</f>
        <v/>
      </c>
      <c r="C297">
        <f>Inputs!$B$3&gt;=105</f>
        <v/>
      </c>
      <c r="D297">
        <f>IF(Skills!C13=1,60+Inputs!$B$25+Inputs!$B$29,IF(Skills!C13=2,90+Inputs!$B$26+Inputs!$B$29,IF(Skills!C13=3,120+Inputs!$B$27+Inputs!$B$29,MAX(0,(Inputs!$B$3-100)*3)+Inputs!$B$28+Inputs!$B$29)))</f>
        <v/>
      </c>
      <c r="E297">
        <f>INDEX(FactorTable!$B$2:$Y$301, MATCH(ROUND(MIN(300,MAX(1,D297)),0), FactorTable!$A$2:$A$301,0), Skills!M13+1)</f>
        <v/>
      </c>
      <c r="F297">
        <f>IF(Skills!N13=TRUE,(Skills!L13/10)*(E297/1000),Skills!L13/10)+Skills!O13</f>
        <v/>
      </c>
      <c r="G297">
        <f>Calc!G13</f>
        <v/>
      </c>
      <c r="H297">
        <f>Calc!H13</f>
        <v/>
      </c>
      <c r="I297">
        <f>IF(Skills!X13&lt;&gt;"",1+(Skills!X13/10)*(Z287/1000)/100,1)</f>
        <v/>
      </c>
      <c r="J297">
        <f>((Inputs!$B$6*(1+Inputs!$B$7/100))+(((Inputs!$B$12*(1+Inputs!$B$13/100))-(Inputs!$B$12*(1+Inputs!$B$13/100)))+0.25*(Inputs!$B$14-Inputs!$B$14))*(1+Inputs!$B$7/100))*(F297/100)</f>
        <v/>
      </c>
      <c r="K297">
        <f>J297*(1+((Inputs!$B$12*(1+Inputs!$B$13/100))*0.01+Inputs!$B$14*0.0025)/100)*(1+Inputs!$B$15/100)*(1+IF(Inputs!$B$38="pvp",0,(1-Summary!$B$56)*(Inputs!$B$20+Skills!P13)+Summary!$B$56*(Inputs!$B$21+Skills!Q13))/100)*(1+Inputs!$B$16/100)*(5000/(6000+Inputs!$B$42*(1-Inputs!$B$19/100)))*(1+((((1+Inputs!$B$24/100)*(1.01))-1)*100)/100)*(1+F307/100)*(1+IF(Inputs!$B$3&gt;=120,F310,0)/100)^5*(1+(IF(Skills!A13="BASIC_ATTACK",Inputs!$B$17,Inputs!$B$18+IF(Inputs!$B$3&gt;=125,F311*5,0)))/100)*(B314*B315*B316*I297)</f>
        <v/>
      </c>
      <c r="L297">
        <f>K297*(MIN(Inputs!$B$22+(F306-Calc!F22),Inputs!$B$23)/100+Inputs!$B$23/100)/2</f>
        <v/>
      </c>
      <c r="M297">
        <f>L297*(1+(Inputs!$B$10+(F305-Calc!F21))/100)</f>
        <v/>
      </c>
      <c r="N297">
        <f>L297*(1-MIN(Inputs!$B$9+(F304-Calc!F20),100)/100)+M297*(MIN(Inputs!$B$9+(F304-Calc!F20),100)/100)</f>
        <v/>
      </c>
      <c r="O297">
        <f>IF(C297,H297*N297*IF(AND(Inputs!$B$38&lt;&gt;"pvp",Inputs!$B$43&gt;0),((Skills!G13*((R297-1)*IF(Skills!H13&gt;0,Skills!I13/Skills!H13,1)+IF(Skills!H13&gt;0,MIN(Skills!I13,MAX(0,Inputs!$B$43-((R297-1)*IF(Inputs!$B$38="pvp",15,MAX(0.1,Skills!E13-IF(Skills!F13=TRUE,Inputs!$B$32,0))))))/Skills!H13,1)))/Inputs!$B$43),G297*Q297)*IF(Inputs!$B$38="pvp",1,(1-Summary!$B$56)*(1)+Summary!$B$56*(MIN(Skills!R13,Inputs!$B$37))),0)</f>
        <v/>
      </c>
      <c r="P297">
        <f>IF(B323=0,0,O297/B323)</f>
        <v/>
      </c>
      <c r="Q297">
        <f>IFERROR(1/IF(Inputs!$B$38="pvp",15,MAX(0.1,Skills!E13-IF(Skills!F13=TRUE,Inputs!$B$32,0))),0)</f>
        <v/>
      </c>
      <c r="R297">
        <f>IF(AND(Inputs!$B$38&lt;&gt;"pvp",Inputs!$B$43&gt;0),(INT(Inputs!$B$43/IF(Inputs!$B$38="pvp",15,MAX(0.1,Skills!E13-IF(Skills!F13=TRUE,Inputs!$B$32,0))))+1),0)</f>
        <v/>
      </c>
    </row>
    <row r="298">
      <c r="A298">
        <f>Skills!A14</f>
        <v/>
      </c>
      <c r="B298">
        <f>Skills!B14</f>
        <v/>
      </c>
      <c r="C298">
        <f>Inputs!$B$3&gt;=113</f>
        <v/>
      </c>
      <c r="D298">
        <f>IF(Skills!C14=1,60+Inputs!$B$25+Inputs!$B$29,IF(Skills!C14=2,90+Inputs!$B$26+Inputs!$B$29,IF(Skills!C14=3,120+Inputs!$B$27+Inputs!$B$29,MAX(0,(Inputs!$B$3-100)*3)+Inputs!$B$28+Inputs!$B$29)))</f>
        <v/>
      </c>
      <c r="E298">
        <f>INDEX(FactorTable!$B$2:$Y$301, MATCH(ROUND(MIN(300,MAX(1,D298)),0), FactorTable!$A$2:$A$301,0), Skills!M14+1)</f>
        <v/>
      </c>
      <c r="F298">
        <f>IF(Skills!N14=TRUE,(Skills!L14/10)*(E298/1000),Skills!L14/10)+Skills!O14</f>
        <v/>
      </c>
      <c r="G298">
        <f>Calc!G14</f>
        <v/>
      </c>
      <c r="H298">
        <f>Calc!H14</f>
        <v/>
      </c>
      <c r="I298">
        <f>IF(Skills!X14&lt;&gt;"",1+(Skills!X14/10)*(Z287/1000)/100,1)</f>
        <v/>
      </c>
      <c r="J298">
        <f>((Inputs!$B$6*(1+Inputs!$B$7/100))+(((Inputs!$B$12*(1+Inputs!$B$13/100))-(Inputs!$B$12*(1+Inputs!$B$13/100)))+0.25*(Inputs!$B$14-Inputs!$B$14))*(1+Inputs!$B$7/100))*(F298/100)</f>
        <v/>
      </c>
      <c r="K298">
        <f>J298*(1+((Inputs!$B$12*(1+Inputs!$B$13/100))*0.01+Inputs!$B$14*0.0025)/100)*(1+Inputs!$B$15/100)*(1+IF(Inputs!$B$38="pvp",0,(1-Summary!$B$56)*(Inputs!$B$20+Skills!P14)+Summary!$B$56*(Inputs!$B$21+Skills!Q14))/100)*(1+Inputs!$B$16/100)*(5000/(6000+Inputs!$B$42*(1-Inputs!$B$19/100)))*(1+((((1+Inputs!$B$24/100)*(1.01))-1)*100)/100)*(1+F307/100)*(1+IF(Inputs!$B$3&gt;=120,F310,0)/100)^5*(1+(IF(Skills!A14="BASIC_ATTACK",Inputs!$B$17,Inputs!$B$18+IF(Inputs!$B$3&gt;=125,F311*5,0)))/100)*(B314*B315*B316*I298)</f>
        <v/>
      </c>
      <c r="L298">
        <f>K298*(MIN(Inputs!$B$22+(F306-Calc!F22),Inputs!$B$23)/100+Inputs!$B$23/100)/2</f>
        <v/>
      </c>
      <c r="M298">
        <f>L298*(1+(Inputs!$B$10+(F305-Calc!F21))/100)</f>
        <v/>
      </c>
      <c r="N298">
        <f>L298*(1-MIN(Inputs!$B$9+(F304-Calc!F20),100)/100)+M298*(MIN(Inputs!$B$9+(F304-Calc!F20),100)/100)</f>
        <v/>
      </c>
      <c r="O298">
        <f>IF(C298,(H298*B321)/(1+Skills!H14*H298*B321)*N298*IF(Inputs!$B$38="pvp",1,(1-Summary!$B$56)*(1)+Summary!$B$56*(MIN(Skills!R14,Inputs!$B$37))),0)</f>
        <v/>
      </c>
      <c r="P298">
        <f>IF(B323=0,0,O298/B323)</f>
        <v/>
      </c>
      <c r="Q298">
        <f>IFERROR(1/IF(Inputs!$B$38="pvp",15,MAX(0.1,Skills!E14-IF(Skills!F14=TRUE,Inputs!$B$32,0))),0)</f>
        <v/>
      </c>
      <c r="R298" t="n">
        <v>0</v>
      </c>
    </row>
    <row r="299">
      <c r="A299">
        <f>Skills!A15</f>
        <v/>
      </c>
      <c r="B299">
        <f>Skills!B15</f>
        <v/>
      </c>
      <c r="C299">
        <f>Inputs!$B$3&gt;=107</f>
        <v/>
      </c>
      <c r="D299">
        <f>IF(Skills!C15=1,60+Inputs!$B$25+Inputs!$B$29,IF(Skills!C15=2,90+Inputs!$B$26+Inputs!$B$29,IF(Skills!C15=3,120+Inputs!$B$27+Inputs!$B$29,MAX(0,(Inputs!$B$3-100)*3)+Inputs!$B$28+Inputs!$B$29)))</f>
        <v/>
      </c>
      <c r="E299">
        <f>INDEX(FactorTable!$B$2:$Y$301, MATCH(ROUND(MIN(300,MAX(1,D299)),0), FactorTable!$A$2:$A$301,0), Skills!M15+1)</f>
        <v/>
      </c>
      <c r="F299">
        <f>IF(Skills!N15=TRUE,(Skills!L15/10)*(E299/1000),Skills!L15/10)+Skills!O15</f>
        <v/>
      </c>
      <c r="G299">
        <f>Calc!G15</f>
        <v/>
      </c>
      <c r="H299">
        <f>Calc!H15</f>
        <v/>
      </c>
      <c r="I299">
        <f>IF(Skills!X15&lt;&gt;"",1+(Skills!X15/10)*(Z287/1000)/100,1)</f>
        <v/>
      </c>
      <c r="J299">
        <f>((Inputs!$B$6*(1+Inputs!$B$7/100))+(((Inputs!$B$12*(1+Inputs!$B$13/100))-(Inputs!$B$12*(1+Inputs!$B$13/100)))+0.25*(Inputs!$B$14-Inputs!$B$14))*(1+Inputs!$B$7/100))*(F299/100)</f>
        <v/>
      </c>
      <c r="K299">
        <f>J299*(1+((Inputs!$B$12*(1+Inputs!$B$13/100))*0.01+Inputs!$B$14*0.0025)/100)*(1+Inputs!$B$15/100)*(1+IF(Inputs!$B$38="pvp",0,(1-Summary!$B$56)*(Inputs!$B$20+Skills!P15)+Summary!$B$56*(Inputs!$B$21+Skills!Q15))/100)*(1+Inputs!$B$16/100)*(5000/(6000+Inputs!$B$42*(1-Inputs!$B$19/100)))*(1+((((1+Inputs!$B$24/100)*(1.01))-1)*100)/100)*(1+F307/100)*(1+IF(Inputs!$B$3&gt;=120,F310,0)/100)^5*(1+(IF(Skills!A15="BASIC_ATTACK",Inputs!$B$17,Inputs!$B$18+IF(Inputs!$B$3&gt;=125,F311*5,0)))/100)*(B314*B315*B316*I299)</f>
        <v/>
      </c>
      <c r="L299">
        <f>K299*(MIN(Inputs!$B$22+(F306-Calc!F22),Inputs!$B$23)/100+Inputs!$B$23/100)/2</f>
        <v/>
      </c>
      <c r="M299">
        <f>L299*(1+(Inputs!$B$10+(F305-Calc!F21))/100)</f>
        <v/>
      </c>
      <c r="N299">
        <f>L299*(1-MIN(Inputs!$B$9+(F304-Calc!F20),100)/100)+M299*(MIN(Inputs!$B$9+(F304-Calc!F20),100)/100)</f>
        <v/>
      </c>
      <c r="O299">
        <f>IF(C299,H299*N299*IF(AND(Inputs!$B$38&lt;&gt;"pvp",Inputs!$B$43&gt;0),((Skills!G15*((R299-1)*IF(Skills!H15&gt;0,Skills!I15/Skills!H15,1)+IF(Skills!H15&gt;0,MIN(Skills!I15,MAX(0,Inputs!$B$43-((R299-1)*IF(Inputs!$B$38="pvp",15,MAX(0.1,Skills!E15-IF(Skills!F15=TRUE,Inputs!$B$32,0))))))/Skills!H15,1)))/Inputs!$B$43),G299*Q299)*IF(Inputs!$B$38="pvp",1,(1-Summary!$B$56)*(1)+Summary!$B$56*(MIN(Skills!R15,Inputs!$B$37))),0)</f>
        <v/>
      </c>
      <c r="P299">
        <f>IF(B323=0,0,O299/B323)</f>
        <v/>
      </c>
      <c r="Q299">
        <f>IFERROR(1/IF(Inputs!$B$38="pvp",15,MAX(0.1,Skills!E15-IF(Skills!F15=TRUE,Inputs!$B$32,0))),0)</f>
        <v/>
      </c>
      <c r="R299">
        <f>IF(AND(Inputs!$B$38&lt;&gt;"pvp",Inputs!$B$43&gt;0),(INT(Inputs!$B$43/IF(Inputs!$B$38="pvp",15,MAX(0.1,Skills!E15-IF(Skills!F15=TRUE,Inputs!$B$32,0))))+1),0)</f>
        <v/>
      </c>
    </row>
    <row r="300">
      <c r="A300">
        <f>Skills!A16</f>
        <v/>
      </c>
      <c r="B300">
        <f>Skills!B16</f>
        <v/>
      </c>
      <c r="C300">
        <f>Inputs!$B$3&gt;=107</f>
        <v/>
      </c>
      <c r="D300">
        <f>IF(Skills!C16=1,60+Inputs!$B$25+Inputs!$B$29,IF(Skills!C16=2,90+Inputs!$B$26+Inputs!$B$29,IF(Skills!C16=3,120+Inputs!$B$27+Inputs!$B$29,MAX(0,(Inputs!$B$3-100)*3)+Inputs!$B$28+Inputs!$B$29)))</f>
        <v/>
      </c>
      <c r="E300">
        <f>INDEX(FactorTable!$B$2:$Y$301, MATCH(ROUND(MIN(300,MAX(1,D300)),0), FactorTable!$A$2:$A$301,0), Skills!M16+1)</f>
        <v/>
      </c>
      <c r="F300">
        <f>IF(Skills!N16=TRUE,(Skills!L16/10)*(E300/1000),Skills!L16/10)+Skills!O16</f>
        <v/>
      </c>
      <c r="G300">
        <f>Calc!G16</f>
        <v/>
      </c>
      <c r="H300">
        <f>Calc!H16</f>
        <v/>
      </c>
      <c r="I300">
        <f>IF(Skills!X16&lt;&gt;"",1+(Skills!X16/10)*(Z287/1000)/100,1)</f>
        <v/>
      </c>
      <c r="J300">
        <f>((Inputs!$B$6*(1+Inputs!$B$7/100))+(((Inputs!$B$12*(1+Inputs!$B$13/100))-(Inputs!$B$12*(1+Inputs!$B$13/100)))+0.25*(Inputs!$B$14-Inputs!$B$14))*(1+Inputs!$B$7/100))*(F300/100)</f>
        <v/>
      </c>
      <c r="K300">
        <f>J300*(1+((Inputs!$B$12*(1+Inputs!$B$13/100))*0.01+Inputs!$B$14*0.0025)/100)*(1+Inputs!$B$15/100)*(1+IF(Inputs!$B$38="pvp",0,(1-Summary!$B$56)*(Inputs!$B$20+Skills!P16)+Summary!$B$56*(Inputs!$B$21+Skills!Q16))/100)*(1+Inputs!$B$16/100)*(5000/(6000+Inputs!$B$42*(1-Inputs!$B$19/100)))*(1+((((1+Inputs!$B$24/100)*(1.01))-1)*100)/100)*(1+F307/100)*(1+IF(Inputs!$B$3&gt;=120,F310,0)/100)^5*(1+(IF(Skills!A16="BASIC_ATTACK",Inputs!$B$17,Inputs!$B$18+IF(Inputs!$B$3&gt;=125,F311*5,0)))/100)*(B314*B315*B316*I300)</f>
        <v/>
      </c>
      <c r="L300">
        <f>K300*(MIN(Inputs!$B$22+(F306-Calc!F22),Inputs!$B$23)/100+Inputs!$B$23/100)/2</f>
        <v/>
      </c>
      <c r="M300">
        <f>L300*(1+(Inputs!$B$10+(F305-Calc!F21))/100)</f>
        <v/>
      </c>
      <c r="N300">
        <f>L300*(1-MIN(Inputs!$B$9+(F304-Calc!F20),100)/100)+M300*(MIN(Inputs!$B$9+(F304-Calc!F20),100)/100)</f>
        <v/>
      </c>
      <c r="O300">
        <f>IF(C300,H300*N300*IF(AND(Inputs!$B$38&lt;&gt;"pvp",Inputs!$B$43&gt;0),((Skills!G16*((R300-1)*IF(Skills!H16&gt;0,Skills!I16/Skills!H16,1)+IF(Skills!H16&gt;0,MIN(Skills!I16,MAX(0,Inputs!$B$43-((R300-1)*IF(Inputs!$B$38="pvp",15,MAX(0.1,Skills!E16-IF(Skills!F16=TRUE,Inputs!$B$32,0))))))/Skills!H16,1)))/Inputs!$B$43),G300*Q300)*(1+IF(Inputs!$B$3&gt;=126,0.05*(B320+Q297+(H298*B321)/(1+Skills!H14*H298*B321)+Q308),0)*Skills!E15)*IF(Inputs!$B$38="pvp",1,(1-Summary!$B$56)*(1)+Summary!$B$56*(MIN(Skills!R16,Inputs!$B$37))),0)</f>
        <v/>
      </c>
      <c r="P300">
        <f>IF(B323=0,0,O300/B323)</f>
        <v/>
      </c>
      <c r="Q300">
        <f>IFERROR(1/IF(Inputs!$B$38="pvp",15,MAX(0.1,Skills!E16-IF(Skills!F16=TRUE,Inputs!$B$32,0))),0)</f>
        <v/>
      </c>
      <c r="R300">
        <f>IF(AND(Inputs!$B$38&lt;&gt;"pvp",Inputs!$B$43&gt;0),(INT(Inputs!$B$43/IF(Inputs!$B$38="pvp",15,MAX(0.1,Skills!E16-IF(Skills!F16=TRUE,Inputs!$B$32,0))))+1),0)</f>
        <v/>
      </c>
    </row>
    <row r="301">
      <c r="A301">
        <f>Skills!A17</f>
        <v/>
      </c>
      <c r="B301">
        <f>Skills!B17</f>
        <v/>
      </c>
      <c r="C301">
        <f>TRUE</f>
        <v/>
      </c>
      <c r="D301">
        <f>IF(Skills!C17=1,60+Inputs!$B$25+Inputs!$B$29,IF(Skills!C17=2,90+Inputs!$B$26+Inputs!$B$29,IF(Skills!C17=3,120+Inputs!$B$27+Inputs!$B$29,MAX(0,(Inputs!$B$3-100)*3)+Inputs!$B$28+Inputs!$B$29)))</f>
        <v/>
      </c>
      <c r="E301">
        <f>INDEX(FactorTable!$B$2:$Y$301, MATCH(ROUND(MIN(300,MAX(1,D301)),0), FactorTable!$A$2:$A$301,0), Skills!M17+1)</f>
        <v/>
      </c>
      <c r="F301">
        <f>IF(Skills!N17=TRUE,(Skills!L17/10)*(E301/1000),Skills!L17/10)+Skills!O17</f>
        <v/>
      </c>
      <c r="G301">
        <f>Calc!G17</f>
        <v/>
      </c>
      <c r="H301">
        <f>Calc!H17</f>
        <v/>
      </c>
      <c r="I301">
        <f>IF(Skills!X17&lt;&gt;"",1+(Skills!X17/10)*(Z287/1000)/100,1)</f>
        <v/>
      </c>
      <c r="J301" t="inlineStr"/>
      <c r="K301" t="inlineStr"/>
      <c r="L301" t="inlineStr"/>
      <c r="M301" t="inlineStr"/>
      <c r="N301" t="inlineStr"/>
      <c r="O301" t="n">
        <v>0</v>
      </c>
      <c r="P301">
        <f>IF(B323=0,0,O301/B323)</f>
        <v/>
      </c>
      <c r="Q301">
        <f>IFERROR(1/IF(Inputs!$B$38="pvp",15,MAX(0.1,Skills!E17-IF(Skills!F17=TRUE,Inputs!$B$32,0))),0)</f>
        <v/>
      </c>
      <c r="R301">
        <f>IF(AND(Inputs!$B$38&lt;&gt;"pvp",Inputs!$B$43&gt;0),(INT(Inputs!$B$43/IF(Inputs!$B$38="pvp",15,MAX(0.1,Skills!E17-IF(Skills!F17=TRUE,Inputs!$B$32,0))))+1),0)</f>
        <v/>
      </c>
    </row>
    <row r="302">
      <c r="A302">
        <f>Skills!A18</f>
        <v/>
      </c>
      <c r="B302">
        <f>Skills!B18</f>
        <v/>
      </c>
      <c r="C302">
        <f>TRUE</f>
        <v/>
      </c>
      <c r="D302">
        <f>IF(Skills!C18=1,60+Inputs!$B$25+Inputs!$B$29,IF(Skills!C18=2,90+Inputs!$B$26+Inputs!$B$29,IF(Skills!C18=3,120+Inputs!$B$27+Inputs!$B$29,MAX(0,(Inputs!$B$3-100)*3)+Inputs!$B$28+Inputs!$B$29)))</f>
        <v/>
      </c>
      <c r="E302">
        <f>INDEX(FactorTable!$B$2:$Y$301, MATCH(ROUND(MIN(300,MAX(1,D302)),0), FactorTable!$A$2:$A$301,0), Skills!M18+1)</f>
        <v/>
      </c>
      <c r="F302">
        <f>IF(Skills!N18=TRUE,(Skills!L18/10)*(E302/1000),Skills!L18/10)+Skills!O18</f>
        <v/>
      </c>
      <c r="G302">
        <f>Calc!G18</f>
        <v/>
      </c>
      <c r="H302">
        <f>Calc!H18</f>
        <v/>
      </c>
      <c r="I302">
        <f>IF(Skills!X18&lt;&gt;"",1+(Skills!X18/10)*(Z287/1000)/100,1)</f>
        <v/>
      </c>
      <c r="J302" t="inlineStr"/>
      <c r="K302" t="inlineStr"/>
      <c r="L302" t="inlineStr"/>
      <c r="M302" t="inlineStr"/>
      <c r="N302" t="inlineStr"/>
      <c r="O302" t="n">
        <v>0</v>
      </c>
      <c r="P302">
        <f>IF(B323=0,0,O302/B323)</f>
        <v/>
      </c>
      <c r="Q302">
        <f>IFERROR(1/IF(Inputs!$B$38="pvp",15,MAX(0.1,Skills!E18-IF(Skills!F18=TRUE,Inputs!$B$32,0))),0)</f>
        <v/>
      </c>
      <c r="R302">
        <f>IF(AND(Inputs!$B$38&lt;&gt;"pvp",Inputs!$B$43&gt;0),(INT(Inputs!$B$43/IF(Inputs!$B$38="pvp",15,MAX(0.1,Skills!E18-IF(Skills!F18=TRUE,Inputs!$B$32,0))))+1),0)</f>
        <v/>
      </c>
    </row>
    <row r="303">
      <c r="A303">
        <f>Skills!A19</f>
        <v/>
      </c>
      <c r="B303">
        <f>Skills!B19</f>
        <v/>
      </c>
      <c r="C303">
        <f>Inputs!$B$3&gt;=110</f>
        <v/>
      </c>
      <c r="D303">
        <f>IF(Skills!C19=1,60+Inputs!$B$25+Inputs!$B$29,IF(Skills!C19=2,90+Inputs!$B$26+Inputs!$B$29,IF(Skills!C19=3,120+Inputs!$B$27+Inputs!$B$29,MAX(0,(Inputs!$B$3-100)*3)+Inputs!$B$28+Inputs!$B$29)))</f>
        <v/>
      </c>
      <c r="E303">
        <f>INDEX(FactorTable!$B$2:$Y$301, MATCH(ROUND(MIN(300,MAX(1,D303)),0), FactorTable!$A$2:$A$301,0), Skills!M19+1)</f>
        <v/>
      </c>
      <c r="F303">
        <f>IF(Skills!N19=TRUE,(Skills!L19/10)*(E303/1000),Skills!L19/10)+Skills!O19</f>
        <v/>
      </c>
      <c r="G303">
        <f>Calc!G19</f>
        <v/>
      </c>
      <c r="H303">
        <f>Calc!H19</f>
        <v/>
      </c>
      <c r="I303">
        <f>IF(Skills!X19&lt;&gt;"",1+(Skills!X19/10)*(Z287/1000)/100,1)</f>
        <v/>
      </c>
      <c r="J303" t="inlineStr"/>
      <c r="K303" t="inlineStr"/>
      <c r="L303" t="inlineStr"/>
      <c r="M303" t="inlineStr"/>
      <c r="N303" t="inlineStr"/>
      <c r="O303" t="n">
        <v>0</v>
      </c>
      <c r="P303">
        <f>IF(B323=0,0,O303/B323)</f>
        <v/>
      </c>
      <c r="Q303">
        <f>IFERROR(1/IF(Inputs!$B$38="pvp",15,MAX(0.1,Skills!E19-IF(Skills!F19=TRUE,Inputs!$B$32,0))),0)</f>
        <v/>
      </c>
      <c r="R303">
        <f>IF(AND(Inputs!$B$38&lt;&gt;"pvp",Inputs!$B$43&gt;0),(INT(Inputs!$B$43/IF(Inputs!$B$38="pvp",15,MAX(0.1,Skills!E19-IF(Skills!F19=TRUE,Inputs!$B$32,0))))+1),0)</f>
        <v/>
      </c>
    </row>
    <row r="304">
      <c r="A304">
        <f>Skills!A20</f>
        <v/>
      </c>
      <c r="B304">
        <f>Skills!B20</f>
        <v/>
      </c>
      <c r="C304">
        <f>TRUE</f>
        <v/>
      </c>
      <c r="D304">
        <f>IF(Skills!C20=1,60+Inputs!$B$25+Inputs!$B$29,IF(Skills!C20=2,90+Inputs!$B$26+Inputs!$B$29,IF(Skills!C20=3,120+Inputs!$B$27+Inputs!$B$29,MAX(0,(Inputs!$B$3-100)*3)+Inputs!$B$28+Inputs!$B$29)))</f>
        <v/>
      </c>
      <c r="E304">
        <f>INDEX(FactorTable!$B$2:$Y$301, MATCH(ROUND(MIN(300,MAX(1,D304)),0), FactorTable!$A$2:$A$301,0), Skills!M20+1)</f>
        <v/>
      </c>
      <c r="F304">
        <f>IF(Skills!N20=TRUE,(Skills!L20/10)*(E304/1000),Skills!L20/10)+Skills!O20</f>
        <v/>
      </c>
      <c r="G304">
        <f>Calc!G20</f>
        <v/>
      </c>
      <c r="H304">
        <f>Calc!H20</f>
        <v/>
      </c>
      <c r="I304">
        <f>IF(Skills!X20&lt;&gt;"",1+(Skills!X20/10)*(Z287/1000)/100,1)</f>
        <v/>
      </c>
      <c r="J304" t="inlineStr"/>
      <c r="K304" t="inlineStr"/>
      <c r="L304" t="inlineStr"/>
      <c r="M304" t="inlineStr"/>
      <c r="N304" t="inlineStr"/>
      <c r="O304" t="n">
        <v>0</v>
      </c>
      <c r="P304">
        <f>IF(B323=0,0,O304/B323)</f>
        <v/>
      </c>
      <c r="Q304">
        <f>IFERROR(1/IF(Inputs!$B$38="pvp",15,MAX(0.1,Skills!E20-IF(Skills!F20=TRUE,Inputs!$B$32,0))),0)</f>
        <v/>
      </c>
      <c r="R304" t="n">
        <v>0</v>
      </c>
    </row>
    <row r="305">
      <c r="A305">
        <f>Skills!A21</f>
        <v/>
      </c>
      <c r="B305">
        <f>Skills!B21</f>
        <v/>
      </c>
      <c r="C305">
        <f>TRUE</f>
        <v/>
      </c>
      <c r="D305">
        <f>IF(Skills!C21=1,60+Inputs!$B$25+Inputs!$B$29,IF(Skills!C21=2,90+Inputs!$B$26+Inputs!$B$29,IF(Skills!C21=3,120+Inputs!$B$27+Inputs!$B$29,MAX(0,(Inputs!$B$3-100)*3)+Inputs!$B$28+Inputs!$B$29)))</f>
        <v/>
      </c>
      <c r="E305">
        <f>INDEX(FactorTable!$B$2:$Y$301, MATCH(ROUND(MIN(300,MAX(1,D305)),0), FactorTable!$A$2:$A$301,0), Skills!M21+1)</f>
        <v/>
      </c>
      <c r="F305">
        <f>IF(Skills!N21=TRUE,(Skills!L21/10)*(E305/1000),Skills!L21/10)+Skills!O21</f>
        <v/>
      </c>
      <c r="G305">
        <f>Calc!G21</f>
        <v/>
      </c>
      <c r="H305">
        <f>Calc!H21</f>
        <v/>
      </c>
      <c r="I305">
        <f>IF(Skills!X21&lt;&gt;"",1+(Skills!X21/10)*(Z287/1000)/100,1)</f>
        <v/>
      </c>
      <c r="J305" t="inlineStr"/>
      <c r="K305" t="inlineStr"/>
      <c r="L305" t="inlineStr"/>
      <c r="M305" t="inlineStr"/>
      <c r="N305" t="inlineStr"/>
      <c r="O305" t="n">
        <v>0</v>
      </c>
      <c r="P305">
        <f>IF(B323=0,0,O305/B323)</f>
        <v/>
      </c>
      <c r="Q305">
        <f>IFERROR(1/IF(Inputs!$B$38="pvp",15,MAX(0.1,Skills!E21-IF(Skills!F21=TRUE,Inputs!$B$32,0))),0)</f>
        <v/>
      </c>
      <c r="R305" t="n">
        <v>0</v>
      </c>
    </row>
    <row r="306">
      <c r="A306">
        <f>Skills!A22</f>
        <v/>
      </c>
      <c r="B306">
        <f>Skills!B22</f>
        <v/>
      </c>
      <c r="C306">
        <f>TRUE</f>
        <v/>
      </c>
      <c r="D306">
        <f>IF(Skills!C22=1,60+Inputs!$B$25+Inputs!$B$29,IF(Skills!C22=2,90+Inputs!$B$26+Inputs!$B$29,IF(Skills!C22=3,120+Inputs!$B$27+Inputs!$B$29,MAX(0,(Inputs!$B$3-100)*3)+Inputs!$B$28+Inputs!$B$29)))</f>
        <v/>
      </c>
      <c r="E306">
        <f>INDEX(FactorTable!$B$2:$Y$301, MATCH(ROUND(MIN(300,MAX(1,D306)),0), FactorTable!$A$2:$A$301,0), Skills!M22+1)</f>
        <v/>
      </c>
      <c r="F306">
        <f>IF(Skills!N22=TRUE,(Skills!L22/10)*(E306/1000),Skills!L22/10)+Skills!O22</f>
        <v/>
      </c>
      <c r="G306">
        <f>Calc!G22</f>
        <v/>
      </c>
      <c r="H306">
        <f>Calc!H22</f>
        <v/>
      </c>
      <c r="I306">
        <f>IF(Skills!X22&lt;&gt;"",1+(Skills!X22/10)*(Z287/1000)/100,1)</f>
        <v/>
      </c>
      <c r="J306" t="inlineStr"/>
      <c r="K306" t="inlineStr"/>
      <c r="L306" t="inlineStr"/>
      <c r="M306" t="inlineStr"/>
      <c r="N306" t="inlineStr"/>
      <c r="O306" t="n">
        <v>0</v>
      </c>
      <c r="P306">
        <f>IF(B323=0,0,O306/B323)</f>
        <v/>
      </c>
      <c r="Q306">
        <f>IFERROR(1/IF(Inputs!$B$38="pvp",15,MAX(0.1,Skills!E22-IF(Skills!F22=TRUE,Inputs!$B$32,0))),0)</f>
        <v/>
      </c>
      <c r="R306" t="n">
        <v>0</v>
      </c>
    </row>
    <row r="307">
      <c r="A307">
        <f>Skills!A23</f>
        <v/>
      </c>
      <c r="B307">
        <f>Skills!B23</f>
        <v/>
      </c>
      <c r="C307">
        <f>TRUE</f>
        <v/>
      </c>
      <c r="D307">
        <f>IF(Skills!C23=1,60+Inputs!$B$25+Inputs!$B$29,IF(Skills!C23=2,90+Inputs!$B$26+Inputs!$B$29,IF(Skills!C23=3,120+Inputs!$B$27+Inputs!$B$29,MAX(0,(Inputs!$B$3-100)*3)+Inputs!$B$28+Inputs!$B$29)))</f>
        <v/>
      </c>
      <c r="E307">
        <f>INDEX(FactorTable!$B$2:$Y$301, MATCH(ROUND(MIN(300,MAX(1,D307)),0), FactorTable!$A$2:$A$301,0), Skills!M23+1)</f>
        <v/>
      </c>
      <c r="F307">
        <f>IF(Skills!N23=TRUE,(Skills!L23/10)*(E307/1000),Skills!L23/10)+Skills!O23</f>
        <v/>
      </c>
      <c r="G307">
        <f>Calc!G23</f>
        <v/>
      </c>
      <c r="H307">
        <f>Calc!H23</f>
        <v/>
      </c>
      <c r="I307">
        <f>IF(Skills!X23&lt;&gt;"",1+(Skills!X23/10)*(Z287/1000)/100,1)</f>
        <v/>
      </c>
      <c r="J307" t="inlineStr"/>
      <c r="K307" t="inlineStr"/>
      <c r="L307" t="inlineStr"/>
      <c r="M307" t="inlineStr"/>
      <c r="N307" t="inlineStr"/>
      <c r="O307" t="n">
        <v>0</v>
      </c>
      <c r="P307">
        <f>IF(B323=0,0,O307/B323)</f>
        <v/>
      </c>
      <c r="Q307">
        <f>IFERROR(1/IF(Inputs!$B$38="pvp",15,MAX(0.1,Skills!E23-IF(Skills!F23=TRUE,Inputs!$B$32,0))),0)</f>
        <v/>
      </c>
      <c r="R307" t="n">
        <v>0</v>
      </c>
    </row>
    <row r="308">
      <c r="A308">
        <f>Skills!A24</f>
        <v/>
      </c>
      <c r="B308">
        <f>Skills!B24</f>
        <v/>
      </c>
      <c r="C308">
        <f>Inputs!$B$3&gt;=115</f>
        <v/>
      </c>
      <c r="D308">
        <f>IF(Skills!C24=1,60+Inputs!$B$25+Inputs!$B$29,IF(Skills!C24=2,90+Inputs!$B$26+Inputs!$B$29,IF(Skills!C24=3,120+Inputs!$B$27+Inputs!$B$29,MAX(0,(Inputs!$B$3-100)*3)+Inputs!$B$28+Inputs!$B$29)))</f>
        <v/>
      </c>
      <c r="E308">
        <f>INDEX(FactorTable!$B$2:$Y$301, MATCH(ROUND(MIN(300,MAX(1,D308)),0), FactorTable!$A$2:$A$301,0), Skills!M24+1)</f>
        <v/>
      </c>
      <c r="F308">
        <f>IF(Skills!N24=TRUE,(Skills!L24/10)*(E308/1000),Skills!L24/10)+Skills!O24</f>
        <v/>
      </c>
      <c r="G308">
        <f>Calc!G24</f>
        <v/>
      </c>
      <c r="H308">
        <f>Calc!H24</f>
        <v/>
      </c>
      <c r="I308">
        <f>IF(Skills!X24&lt;&gt;"",1+(Skills!X24/10)*(Z287/1000)/100,1)</f>
        <v/>
      </c>
      <c r="J308">
        <f>((Inputs!$B$6*(1+Inputs!$B$7/100))+(((Inputs!$B$12*(1+Inputs!$B$13/100))-(Inputs!$B$12*(1+Inputs!$B$13/100)))+0.25*(Inputs!$B$14-Inputs!$B$14))*(1+Inputs!$B$7/100))*(F308/100)</f>
        <v/>
      </c>
      <c r="K308">
        <f>J308*(1+((Inputs!$B$12*(1+Inputs!$B$13/100))*0.01+Inputs!$B$14*0.0025)/100)*(1+Inputs!$B$15/100)*(1+IF(Inputs!$B$38="pvp",0,(1-Summary!$B$56)*(Inputs!$B$20+Skills!P24)+Summary!$B$56*(Inputs!$B$21+Skills!Q24))/100)*(1+Inputs!$B$16/100)*(5000/(6000+Inputs!$B$42*(1-Inputs!$B$19/100)))*(1+((((1+Inputs!$B$24/100)*(1.01))-1)*100)/100)*(1+F307/100)*(1+IF(Inputs!$B$3&gt;=120,F310,0)/100)^5*(1+(IF(Skills!A24="BASIC_ATTACK",Inputs!$B$17,Inputs!$B$18+IF(Inputs!$B$3&gt;=125,F311*5,0)))/100)*(B314*B315*B316*I308)</f>
        <v/>
      </c>
      <c r="L308">
        <f>K308*(MIN(Inputs!$B$22+(F306-Calc!F22),Inputs!$B$23)/100+Inputs!$B$23/100)/2</f>
        <v/>
      </c>
      <c r="M308">
        <f>L308*(1+(Inputs!$B$10+(F305-Calc!F21))/100)</f>
        <v/>
      </c>
      <c r="N308">
        <f>L308*(1-MIN(Inputs!$B$9+(F304-Calc!F20),100)/100)+M308*(MIN(Inputs!$B$9+(F304-Calc!F20),100)/100)</f>
        <v/>
      </c>
      <c r="O308">
        <f>IF(C308,H308*N308*IF(AND(Inputs!$B$38&lt;&gt;"pvp",Inputs!$B$43&gt;0),((Skills!G24*((R308-1)*IF(Skills!H24&gt;0,Skills!I24/Skills!H24,1)+IF(Skills!H24&gt;0,MIN(Skills!I24,MAX(0,Inputs!$B$43-((R308-1)*IF(Inputs!$B$38="pvp",15,MAX(0.1,Skills!E24-IF(Skills!F24=TRUE,Inputs!$B$32,0))))))/Skills!H24,1)))/Inputs!$B$43),G308*Q308)*(1+IF(Inputs!$B$3&gt;=130,0.2*(Skills!I16/Skills!E15+IF(Inputs!$B$3&gt;=126,0.05*(B320+Q297+(H298*B321)/(1+Skills!H14*H298*B321)+Q308),0)*Skills!I16),0))*IF(Inputs!$B$38="pvp",1,(1-Summary!$B$56)*(1)+Summary!$B$56*(MIN(Skills!R24,Inputs!$B$37))),0)</f>
        <v/>
      </c>
      <c r="P308">
        <f>IF(B323=0,0,O308/B323)</f>
        <v/>
      </c>
      <c r="Q308">
        <f>IFERROR(1/IF(Inputs!$B$38="pvp",15,MAX(0.1,Skills!E24-IF(Skills!F24=TRUE,Inputs!$B$32,0))),0)</f>
        <v/>
      </c>
      <c r="R308">
        <f>IF(AND(Inputs!$B$38&lt;&gt;"pvp",Inputs!$B$43&gt;0),(INT(Inputs!$B$43/IF(Inputs!$B$38="pvp",15,MAX(0.1,Skills!E24-IF(Skills!F24=TRUE,Inputs!$B$32,0))))+1),0)</f>
        <v/>
      </c>
    </row>
    <row r="309">
      <c r="A309">
        <f>Skills!A25</f>
        <v/>
      </c>
      <c r="B309">
        <f>Skills!B25</f>
        <v/>
      </c>
      <c r="C309">
        <f>Inputs!$B$3&gt;=117</f>
        <v/>
      </c>
      <c r="D309">
        <f>IF(Skills!C25=1,60+Inputs!$B$25+Inputs!$B$29,IF(Skills!C25=2,90+Inputs!$B$26+Inputs!$B$29,IF(Skills!C25=3,120+Inputs!$B$27+Inputs!$B$29,MAX(0,(Inputs!$B$3-100)*3)+Inputs!$B$28+Inputs!$B$29)))</f>
        <v/>
      </c>
      <c r="E309">
        <f>INDEX(FactorTable!$B$2:$Y$301, MATCH(ROUND(MIN(300,MAX(1,D309)),0), FactorTable!$A$2:$A$301,0), Skills!M25+1)</f>
        <v/>
      </c>
      <c r="F309">
        <f>IF(Skills!N25=TRUE,(Skills!L25/10)*(E309/1000),Skills!L25/10)+Skills!O25</f>
        <v/>
      </c>
      <c r="G309">
        <f>Calc!G25</f>
        <v/>
      </c>
      <c r="H309">
        <f>Calc!H25</f>
        <v/>
      </c>
      <c r="I309">
        <f>IF(Skills!X25&lt;&gt;"",1+(Skills!X25/10)*(Z287/1000)/100,1)</f>
        <v/>
      </c>
      <c r="J309" t="inlineStr"/>
      <c r="K309" t="inlineStr"/>
      <c r="L309" t="inlineStr"/>
      <c r="M309" t="inlineStr"/>
      <c r="N309" t="inlineStr"/>
      <c r="O309" t="n">
        <v>0</v>
      </c>
      <c r="P309">
        <f>IF(B323=0,0,O309/B323)</f>
        <v/>
      </c>
      <c r="Q309">
        <f>IFERROR(1/IF(Inputs!$B$38="pvp",15,MAX(0.1,Skills!E25-IF(Skills!F25=TRUE,Inputs!$B$32,0))),0)</f>
        <v/>
      </c>
      <c r="R309" t="n">
        <v>0</v>
      </c>
    </row>
    <row r="310">
      <c r="A310">
        <f>Skills!A26</f>
        <v/>
      </c>
      <c r="B310">
        <f>Skills!B26</f>
        <v/>
      </c>
      <c r="C310">
        <f>Inputs!$B$3&gt;=120</f>
        <v/>
      </c>
      <c r="D310">
        <f>IF(Skills!C26=1,60+Inputs!$B$25+Inputs!$B$29,IF(Skills!C26=2,90+Inputs!$B$26+Inputs!$B$29,IF(Skills!C26=3,120+Inputs!$B$27+Inputs!$B$29,MAX(0,(Inputs!$B$3-100)*3)+Inputs!$B$28+Inputs!$B$29)))</f>
        <v/>
      </c>
      <c r="E310">
        <f>INDEX(FactorTable!$B$2:$Y$301, MATCH(ROUND(MIN(300,MAX(1,D310)),0), FactorTable!$A$2:$A$301,0), Skills!M26+1)</f>
        <v/>
      </c>
      <c r="F310">
        <f>IF(Skills!N26=TRUE,(Skills!L26/10)*(E310/1000),Skills!L26/10)+Skills!O26</f>
        <v/>
      </c>
      <c r="G310">
        <f>Calc!G26</f>
        <v/>
      </c>
      <c r="H310">
        <f>Calc!H26</f>
        <v/>
      </c>
      <c r="I310">
        <f>IF(Skills!X26&lt;&gt;"",1+(Skills!X26/10)*(Z287/1000)/100,1)</f>
        <v/>
      </c>
      <c r="J310" t="inlineStr"/>
      <c r="K310" t="inlineStr"/>
      <c r="L310" t="inlineStr"/>
      <c r="M310" t="inlineStr"/>
      <c r="N310" t="inlineStr"/>
      <c r="O310" t="n">
        <v>0</v>
      </c>
      <c r="P310">
        <f>IF(B323=0,0,O310/B323)</f>
        <v/>
      </c>
      <c r="Q310">
        <f>IFERROR(1/IF(Inputs!$B$38="pvp",15,MAX(0.1,Skills!E26-IF(Skills!F26=TRUE,Inputs!$B$32,0))),0)</f>
        <v/>
      </c>
      <c r="R310" t="n">
        <v>0</v>
      </c>
    </row>
    <row r="311">
      <c r="A311">
        <f>Skills!A27</f>
        <v/>
      </c>
      <c r="B311">
        <f>Skills!B27</f>
        <v/>
      </c>
      <c r="C311">
        <f>Inputs!$B$3&gt;=125</f>
        <v/>
      </c>
      <c r="D311">
        <f>IF(Skills!C27=1,60+Inputs!$B$25+Inputs!$B$29,IF(Skills!C27=2,90+Inputs!$B$26+Inputs!$B$29,IF(Skills!C27=3,120+Inputs!$B$27+Inputs!$B$29,MAX(0,(Inputs!$B$3-100)*3)+Inputs!$B$28+Inputs!$B$29)))</f>
        <v/>
      </c>
      <c r="E311">
        <f>INDEX(FactorTable!$B$2:$Y$301, MATCH(ROUND(MIN(300,MAX(1,D311)),0), FactorTable!$A$2:$A$301,0), Skills!M27+1)</f>
        <v/>
      </c>
      <c r="F311">
        <f>IF(Skills!N27=TRUE,(Skills!L27/10)*(E311/1000),Skills!L27/10)+Skills!O27</f>
        <v/>
      </c>
      <c r="G311">
        <f>Calc!G27</f>
        <v/>
      </c>
      <c r="H311">
        <f>Calc!H27</f>
        <v/>
      </c>
      <c r="I311">
        <f>IF(Skills!X27&lt;&gt;"",1+(Skills!X27/10)*(Z287/1000)/100,1)</f>
        <v/>
      </c>
      <c r="J311" t="inlineStr"/>
      <c r="K311" t="inlineStr"/>
      <c r="L311" t="inlineStr"/>
      <c r="M311" t="inlineStr"/>
      <c r="N311" t="inlineStr"/>
      <c r="O311" t="n">
        <v>0</v>
      </c>
      <c r="P311">
        <f>IF(B323=0,0,O311/B323)</f>
        <v/>
      </c>
      <c r="Q311">
        <f>IFERROR(1/IF(Inputs!$B$38="pvp",15,MAX(0.1,Skills!E27-IF(Skills!F27=TRUE,Inputs!$B$32,0))),0)</f>
        <v/>
      </c>
      <c r="R311" t="n">
        <v>0</v>
      </c>
    </row>
    <row r="312">
      <c r="A312">
        <f>Skills!A28</f>
        <v/>
      </c>
      <c r="B312">
        <f>Skills!B28</f>
        <v/>
      </c>
      <c r="C312">
        <f>Inputs!$B$3&gt;=118</f>
        <v/>
      </c>
      <c r="D312">
        <f>IF(Skills!C28=1,60+Inputs!$B$25+Inputs!$B$29,IF(Skills!C28=2,90+Inputs!$B$26+Inputs!$B$29,IF(Skills!C28=3,120+Inputs!$B$27+Inputs!$B$29,MAX(0,(Inputs!$B$3-100)*3)+Inputs!$B$28+Inputs!$B$29)))</f>
        <v/>
      </c>
      <c r="E312">
        <f>INDEX(FactorTable!$B$2:$Y$301, MATCH(ROUND(MIN(300,MAX(1,D312)),0), FactorTable!$A$2:$A$301,0), Skills!M28+1)</f>
        <v/>
      </c>
      <c r="F312">
        <f>IF(Skills!N28=TRUE,(Skills!L28/10)*(E312/1000),Skills!L28/10)+Skills!O28</f>
        <v/>
      </c>
      <c r="G312">
        <f>Calc!G28</f>
        <v/>
      </c>
      <c r="H312">
        <f>Calc!H28</f>
        <v/>
      </c>
      <c r="I312">
        <f>IF(Skills!X28&lt;&gt;"",1+(Skills!X28/10)*(Z287/1000)/100,1)</f>
        <v/>
      </c>
      <c r="J312">
        <f>((Inputs!$B$6*(1+Inputs!$B$7/100))+(((Inputs!$B$12*(1+Inputs!$B$13/100))-(Inputs!$B$12*(1+Inputs!$B$13/100)))+0.25*(Inputs!$B$14-Inputs!$B$14))*(1+Inputs!$B$7/100))*(F312/100)</f>
        <v/>
      </c>
      <c r="K312">
        <f>J312*(1+((Inputs!$B$12*(1+Inputs!$B$13/100))*0.01+Inputs!$B$14*0.0025)/100)*(1+Inputs!$B$15/100)*(1+IF(Inputs!$B$38="pvp",0,(1-Summary!$B$56)*(Inputs!$B$20+Skills!P28)+Summary!$B$56*(Inputs!$B$21+Skills!Q28))/100)*(1+Inputs!$B$16/100)*(5000/(6000+Inputs!$B$42*(1-Inputs!$B$19/100)))*(1+((((1+Inputs!$B$24/100)*(1.01))-1)*100)/100)*(1+F307/100)*(1+IF(Inputs!$B$3&gt;=120,F310,0)/100)^5*(1+(IF(Skills!A28="BASIC_ATTACK",Inputs!$B$17,Inputs!$B$18+IF(Inputs!$B$3&gt;=125,F311*5,0)))/100)*(B314*B315*B316*I312)</f>
        <v/>
      </c>
      <c r="L312">
        <f>K312*(MIN(Inputs!$B$22+(F306-Calc!F22),Inputs!$B$23)/100+Inputs!$B$23/100)/2</f>
        <v/>
      </c>
      <c r="M312">
        <f>L312*(1+(Inputs!$B$10+(F305-Calc!F21))/100)</f>
        <v/>
      </c>
      <c r="N312">
        <f>L312*(1-MIN(Inputs!$B$9+(F304-Calc!F20),100)/100)+M312*(MIN(Inputs!$B$9+(F304-Calc!F20),100)/100)</f>
        <v/>
      </c>
      <c r="O312">
        <f>IF(C312,H312*N312*IF(AND(Inputs!$B$38&lt;&gt;"pvp",Inputs!$B$43&gt;0),((Skills!G28*((R312-1)*IF(Skills!H28&gt;0,Skills!I28/Skills!H28,1)+IF(Skills!H28&gt;0,MIN(Skills!I28,MAX(0,Inputs!$B$43-((R312-1)*IF(Inputs!$B$38="pvp",15,MAX(0.1,Skills!E28-IF(Skills!F28=TRUE,Inputs!$B$32,0))))))/Skills!H28,1)))/Inputs!$B$43),G312*Q312)*IF(Inputs!$B$38="pvp",1,(1-Summary!$B$56)*(1)+Summary!$B$56*(MIN(Skills!R28,Inputs!$B$37))),0)</f>
        <v/>
      </c>
      <c r="P312">
        <f>IF(B323=0,0,O312/B323)</f>
        <v/>
      </c>
      <c r="Q312">
        <f>IFERROR(1/IF(Inputs!$B$38="pvp",15,MAX(0.1,Skills!E28-IF(Skills!F28=TRUE,Inputs!$B$32,0))),0)</f>
        <v/>
      </c>
      <c r="R312">
        <f>IF(AND(Inputs!$B$38&lt;&gt;"pvp",Inputs!$B$43&gt;0),(INT(Inputs!$B$43/IF(Inputs!$B$38="pvp",15,MAX(0.1,Skills!E28-IF(Skills!F28=TRUE,Inputs!$B$32,0))))+1),0)</f>
        <v/>
      </c>
    </row>
    <row r="314">
      <c r="A314" t="inlineStr">
        <is>
          <t>Burning Magic Multiplier</t>
        </is>
      </c>
      <c r="B314">
        <f>1+(F295*Skills!Z11)/100</f>
        <v/>
      </c>
    </row>
    <row r="315">
      <c r="A315" t="inlineStr">
        <is>
          <t>Elemental Decrease Multiplier (always-on)</t>
        </is>
      </c>
      <c r="B315">
        <f>1+F296/100</f>
        <v/>
      </c>
    </row>
    <row r="316">
      <c r="A316" t="inlineStr">
        <is>
          <t>Average Buff Multiplier (Magic Guard + Meditation, summed; then Infinity)</t>
        </is>
      </c>
      <c r="B316">
        <f>(1+(F290*IF(AND(Inputs!$B$38&lt;&gt;"pvp",Inputs!$B$43&gt;0),(((R290-1)*(Skills!T6*(1+(Inputs!$B$34+IF(Inputs!$B$3&gt;=117,F309,0))/100))+MIN((Skills!T6*(1+(Inputs!$B$34+IF(Inputs!$B$3&gt;=117,F309,0))/100)),MAX(0,Inputs!$B$43-((R290-1)*Skills!E6))))/Inputs!$B$43),IF(Inputs!$B$38="pvp",MIN((Skills!T6*(1+(Inputs!$B$34+IF(Inputs!$B$3&gt;=117,F309,0))/100)),15)/15,(Skills!T6*(1+(Inputs!$B$34+IF(Inputs!$B$3&gt;=117,F309,0))/100))/Skills!E6))+F301*IF(AND(Inputs!$B$38&lt;&gt;"pvp",Inputs!$B$43&gt;0),(((R301-1)*(Skills!T17*(1+(Inputs!$B$34+IF(Inputs!$B$3&gt;=117,F309,0))/100))+MIN((Skills!T17*(1+(Inputs!$B$34+IF(Inputs!$B$3&gt;=117,F309,0))/100)),MAX(0,Inputs!$B$43-((R301-1)*Skills!E17))))/Inputs!$B$43),IF(Inputs!$B$38="pvp",MIN((Skills!T17*(1+(Inputs!$B$34+IF(Inputs!$B$3&gt;=117,F309,0))/100)),15)/15,(Skills!T17*(1+(Inputs!$B$34+IF(Inputs!$B$3&gt;=117,F309,0))/100))/Skills!E17)))/100)*IF(C303=TRUE,(1+F303*IF(AND(Inputs!$B$38&lt;&gt;"pvp",Inputs!$B$43&gt;0),(((R303-1)*(Skills!T19*(1+(Inputs!$B$34+IF(Inputs!$B$3&gt;=117,F309,0))/100))+MIN((Skills!T19*(1+(Inputs!$B$34+IF(Inputs!$B$3&gt;=117,F309,0))/100)),MAX(0,Inputs!$B$43-((R303-1)*Skills!E19))))/Inputs!$B$43),IF(Inputs!$B$38="pvp",MIN((Skills!T19*(1+(Inputs!$B$34+IF(Inputs!$B$3&gt;=117,F309,0))/100)),15)/15,(Skills!T19*(1+(Inputs!$B$34+IF(Inputs!$B$3&gt;=117,F309,0))/100))/Skills!E19))/100),1)</f>
        <v/>
      </c>
    </row>
    <row r="317">
      <c r="A317" t="inlineStr">
        <is>
          <t>Attack Speed Buff Bonus % (Nimble Feet, averaged)</t>
        </is>
      </c>
      <c r="B317">
        <f>F302*IF(AND(Inputs!$B$38&lt;&gt;"pvp",Inputs!$B$43&gt;0),(((R302-1)*(Skills!T18*(1+(Inputs!$B$34+IF(Inputs!$B$3&gt;=117,F309,0))/100))+MIN((Skills!T18*(1+(Inputs!$B$34+IF(Inputs!$B$3&gt;=117,F309,0))/100)),MAX(0,Inputs!$B$43-((R302-1)*Skills!E18))))/Inputs!$B$43),IF(Inputs!$B$38="pvp",MIN((Skills!T18*(1+(Inputs!$B$34+IF(Inputs!$B$3&gt;=117,F309,0))/100)),15)/15,(Skills!T18*(1+(Inputs!$B$34+IF(Inputs!$B$3&gt;=117,F309,0))/100))/Skills!E18))</f>
        <v/>
      </c>
    </row>
    <row r="318">
      <c r="A318" t="inlineStr">
        <is>
          <t>Actions Per Second</t>
        </is>
      </c>
      <c r="B318">
        <f>1+MIN(150,150*(1-(1-Inputs!$B$11/150)*(1-B317/150)))/100</f>
        <v/>
      </c>
    </row>
    <row r="319">
      <c r="A319" t="inlineStr">
        <is>
          <t>Skill + Buff Cast Rate</t>
        </is>
      </c>
      <c r="B319">
        <f>IF(AND(Inputs!$B$38&lt;&gt;"pvp",Inputs!$B$43&gt;0),SUMPRODUCT((Skills!F2:F28=TRUE)*(C286:C312=TRUE)*R286:R312)/Inputs!$B$43,SUMPRODUCT((Skills!F2:F28=TRUE)*(C286:C312=TRUE)*Q286:Q312))</f>
        <v/>
      </c>
    </row>
    <row r="320">
      <c r="A320" t="inlineStr">
        <is>
          <t>Basic Attacks Per Second</t>
        </is>
      </c>
      <c r="B320">
        <f>MAX(0,B318-B319)</f>
        <v/>
      </c>
    </row>
    <row r="321">
      <c r="A321" t="inlineStr">
        <is>
          <t>Meteor Proc — combined trigger cast rate</t>
        </is>
      </c>
      <c r="B321">
        <f>IF(AND(Inputs!$B$38&lt;&gt;"pvp",Inputs!$B$43&gt;0),SUMPRODUCT((Skills!V2:V28=TRUE)*(C286:C312=TRUE)*R286:R312*Skills!W2:W28)/Inputs!$B$43,SUMPRODUCT((Skills!V2:V28=TRUE)*(C286:C312=TRUE)*Q286:Q312*Skills!W2:W28))+B320</f>
        <v/>
      </c>
    </row>
    <row r="323">
      <c r="A323" s="5" t="inlineStr">
        <is>
          <t>TOTAL DPS</t>
        </is>
      </c>
      <c r="B323" s="5">
        <f>SUM(O286:O312)</f>
        <v/>
      </c>
    </row>
    <row r="326">
      <c r="A326" s="5" t="inlineStr">
        <is>
          <t>Stat: MIN_DAMAGE %</t>
        </is>
      </c>
    </row>
    <row r="327">
      <c r="A327" s="9" t="inlineStr">
        <is>
          <t>Key</t>
        </is>
      </c>
      <c r="B327" s="9" t="inlineStr">
        <is>
          <t>Name</t>
        </is>
      </c>
      <c r="C327" s="9" t="inlineStr">
        <is>
          <t>Unlocked</t>
        </is>
      </c>
      <c r="D327" s="9" t="inlineStr">
        <is>
          <t>InputLevel</t>
        </is>
      </c>
      <c r="E327" s="9" t="inlineStr">
        <is>
          <t>Factor</t>
        </is>
      </c>
      <c r="F327" s="9" t="inlineStr">
        <is>
          <t>CoefficientPercent</t>
        </is>
      </c>
      <c r="G327" s="9" t="inlineStr">
        <is>
          <t>EffectiveHits</t>
        </is>
      </c>
      <c r="H327" s="9" t="inlineStr">
        <is>
          <t>ProcProbability</t>
        </is>
      </c>
      <c r="I327" s="9" t="inlineStr">
        <is>
          <t>MapleHeroMultiplier</t>
        </is>
      </c>
      <c r="J327" s="9" t="inlineStr">
        <is>
          <t>BaseDamage</t>
        </is>
      </c>
      <c r="K327" s="9" t="inlineStr">
        <is>
          <t>BaseHitDamage</t>
        </is>
      </c>
      <c r="L327" s="9" t="inlineStr">
        <is>
          <t>NonCritAvg</t>
        </is>
      </c>
      <c r="M327" s="9" t="inlineStr">
        <is>
          <t>CritAvg</t>
        </is>
      </c>
      <c r="N327" s="9" t="inlineStr">
        <is>
          <t>ExpectedDamage(perHit)</t>
        </is>
      </c>
      <c r="O327" s="9" t="inlineStr">
        <is>
          <t>DPS</t>
        </is>
      </c>
      <c r="P327" s="9" t="inlineStr">
        <is>
          <t>% of Total</t>
        </is>
      </c>
      <c r="R327" t="inlineStr">
        <is>
          <t>helpers</t>
        </is>
      </c>
    </row>
    <row r="328">
      <c r="A328">
        <f>Skills!A2</f>
        <v/>
      </c>
      <c r="B328">
        <f>Skills!B2</f>
        <v/>
      </c>
      <c r="C328">
        <f>TRUE</f>
        <v/>
      </c>
      <c r="D328" t="inlineStr"/>
      <c r="E328" t="inlineStr"/>
      <c r="F328">
        <f>T330+Skills!O2</f>
        <v/>
      </c>
      <c r="G328">
        <f>Calc!G2</f>
        <v/>
      </c>
      <c r="H328">
        <f>Calc!H2</f>
        <v/>
      </c>
      <c r="I328">
        <f>IF(Skills!X2&lt;&gt;"",1+(Skills!X2/10)*(Z329/1000)/100,1)</f>
        <v/>
      </c>
      <c r="J328">
        <f>((Inputs!$B$6*(1+Inputs!$B$7/100))+(((Inputs!$B$12*(1+Inputs!$B$13/100))-(Inputs!$B$12*(1+Inputs!$B$13/100)))+0.25*(Inputs!$B$14-Inputs!$B$14))*(1+Inputs!$B$7/100))*(F328/100)</f>
        <v/>
      </c>
      <c r="K328">
        <f>J328*(1+((Inputs!$B$12*(1+Inputs!$B$13/100))*0.01+Inputs!$B$14*0.0025)/100)*(1+Inputs!$B$15/100)*(1+IF(Inputs!$B$38="pvp",0,(1-Summary!$B$56)*(Inputs!$B$20+Skills!P2)+Summary!$B$56*(Inputs!$B$21+Skills!Q2))/100)*(1+Inputs!$B$16/100)*(5000/(6000+Inputs!$B$42*(1-Inputs!$B$19/100)))*(1+Inputs!$B$24/100)*(1+F349/100)*(1+IF(Inputs!$B$3&gt;=120,F352,0)/100)^5*(1+(IF(Skills!A2="BASIC_ATTACK",Inputs!$B$17,Inputs!$B$18+IF(Inputs!$B$3&gt;=125,F353*5,0)))/100)*(B356*B357*B358*I328)</f>
        <v/>
      </c>
      <c r="L328">
        <f>K328*(MIN((Inputs!$B$22+1)+(F348-Calc!F22),Inputs!$B$23)/100+Inputs!$B$23/100)/2</f>
        <v/>
      </c>
      <c r="M328">
        <f>L328*(1+(Inputs!$B$10+(F347-Calc!F21))/100)</f>
        <v/>
      </c>
      <c r="N328">
        <f>L328*(1-MIN(Inputs!$B$9+(F346-Calc!F20),100)/100)+M328*(MIN(Inputs!$B$9+(F346-Calc!F20),100)/100)</f>
        <v/>
      </c>
      <c r="O328">
        <f>Skills!G2*N328*B362*IF(Inputs!$B$38="pvp",1,(1-Summary!$B$56)*(1)+Summary!$B$56*(MIN((6+Inputs!$B$33+IF(Inputs!$B$3&gt;=136,1,0)),Inputs!$B$37)))</f>
        <v/>
      </c>
      <c r="P328">
        <f>IF(B365=0,0,O328/B365)</f>
        <v/>
      </c>
      <c r="Q328">
        <f>IFERROR(1/IF(Inputs!$B$38="pvp",15,MAX(0.1,Skills!E2-IF(Skills!F2=TRUE,Inputs!$B$32,0))),0)</f>
        <v/>
      </c>
      <c r="R328" t="n">
        <v>0</v>
      </c>
      <c r="T328">
        <f>MAX(0,(Inputs!$B$3-100)*3)+Inputs!$B$28+Inputs!$B$29</f>
        <v/>
      </c>
      <c r="Z328">
        <f>MAX(0,(Inputs!$B$3-100)*3)+Inputs!$B$28+Inputs!$B$29</f>
        <v/>
      </c>
    </row>
    <row r="329">
      <c r="A329">
        <f>Skills!A3</f>
        <v/>
      </c>
      <c r="B329">
        <f>Skills!B3</f>
        <v/>
      </c>
      <c r="C329">
        <f>TRUE</f>
        <v/>
      </c>
      <c r="D329">
        <f>IF(Skills!C3=1,60+Inputs!$B$25+Inputs!$B$29,IF(Skills!C3=2,90+Inputs!$B$26+Inputs!$B$29,IF(Skills!C3=3,120+Inputs!$B$27+Inputs!$B$29,MAX(0,(Inputs!$B$3-100)*3)+Inputs!$B$28+Inputs!$B$29)))</f>
        <v/>
      </c>
      <c r="E329">
        <f>INDEX(FactorTable!$B$2:$Y$301, MATCH(ROUND(MIN(300,MAX(1,D329)),0), FactorTable!$A$2:$A$301,0), Skills!M3+1)</f>
        <v/>
      </c>
      <c r="F329">
        <f>IF(Skills!N3=TRUE,(Skills!L3/10)*(E329/1000),Skills!L3/10)+Skills!O3</f>
        <v/>
      </c>
      <c r="G329">
        <f>Calc!G3</f>
        <v/>
      </c>
      <c r="H329">
        <f>Calc!H3</f>
        <v/>
      </c>
      <c r="I329">
        <f>IF(Skills!X3&lt;&gt;"",1+(Skills!X3/10)*(Z329/1000)/100,1)</f>
        <v/>
      </c>
      <c r="J329">
        <f>((Inputs!$B$6*(1+Inputs!$B$7/100))+(((Inputs!$B$12*(1+Inputs!$B$13/100))-(Inputs!$B$12*(1+Inputs!$B$13/100)))+0.25*(Inputs!$B$14-Inputs!$B$14))*(1+Inputs!$B$7/100))*(F329/100)</f>
        <v/>
      </c>
      <c r="K329">
        <f>J329*(1+((Inputs!$B$12*(1+Inputs!$B$13/100))*0.01+Inputs!$B$14*0.0025)/100)*(1+Inputs!$B$15/100)*(1+IF(Inputs!$B$38="pvp",0,(1-Summary!$B$56)*(Inputs!$B$20+Skills!P3)+Summary!$B$56*(Inputs!$B$21+Skills!Q3))/100)*(1+Inputs!$B$16/100)*(5000/(6000+Inputs!$B$42*(1-Inputs!$B$19/100)))*(1+Inputs!$B$24/100)*(1+F349/100)*(1+IF(Inputs!$B$3&gt;=120,F352,0)/100)^5*(1+(IF(Skills!A3="BASIC_ATTACK",Inputs!$B$17,Inputs!$B$18+IF(Inputs!$B$3&gt;=125,F353*5,0)))/100)*(B356*B357*B358*I329)</f>
        <v/>
      </c>
      <c r="L329">
        <f>K329*(MIN((Inputs!$B$22+1)+(F348-Calc!F22),Inputs!$B$23)/100+Inputs!$B$23/100)/2</f>
        <v/>
      </c>
      <c r="M329">
        <f>L329*(1+(Inputs!$B$10+(F347-Calc!F21))/100)</f>
        <v/>
      </c>
      <c r="N329">
        <f>L329*(1-MIN(Inputs!$B$9+(F346-Calc!F20),100)/100)+M329*(MIN(Inputs!$B$9+(F346-Calc!F20),100)/100)</f>
        <v/>
      </c>
      <c r="O329">
        <f>IF(C329,H329*N329*IF(AND(Inputs!$B$38&lt;&gt;"pvp",Inputs!$B$43&gt;0),((Skills!G3*((R329-1)*IF(Skills!H3&gt;0,Skills!I3/Skills!H3,1)+IF(Skills!H3&gt;0,MIN(Skills!I3,MAX(0,Inputs!$B$43-((R329-1)*IF(Inputs!$B$38="pvp",15,MAX(0.1,Skills!E3-IF(Skills!F3=TRUE,Inputs!$B$32,0))))))/Skills!H3,1)))/Inputs!$B$43),G329*Q329)*IF(Inputs!$B$38="pvp",1,(1-Summary!$B$56)*(1)+Summary!$B$56*(MIN(Skills!R3,Inputs!$B$37))),0)</f>
        <v/>
      </c>
      <c r="P329">
        <f>IF(B365=0,0,O329/B365)</f>
        <v/>
      </c>
      <c r="Q329">
        <f>IFERROR(1/IF(Inputs!$B$38="pvp",15,MAX(0.1,Skills!E3-IF(Skills!F3=TRUE,Inputs!$B$32,0))),0)</f>
        <v/>
      </c>
      <c r="R329">
        <f>IF(AND(Inputs!$B$38&lt;&gt;"pvp",Inputs!$B$43&gt;0),(INT(Inputs!$B$43/IF(Inputs!$B$38="pvp",15,MAX(0.1,Skills!E3-IF(Skills!F3=TRUE,Inputs!$B$32,0))))+1),0)</f>
        <v/>
      </c>
      <c r="T329">
        <f>INDEX(FactorTable!$B$2:$Y$301, MATCH(ROUND(MIN(300,MAX(1,T328)),0), FactorTable!$A$2:$A$301,0), 22)</f>
        <v/>
      </c>
      <c r="Z329">
        <f>INDEX(FactorTable!$B$2:$Y$301, MATCH(ROUND(MIN(300,MAX(1,Z328)),0), FactorTable!$A$2:$A$301,0), 24)</f>
        <v/>
      </c>
    </row>
    <row r="330">
      <c r="A330">
        <f>Skills!A4</f>
        <v/>
      </c>
      <c r="B330">
        <f>Skills!B4</f>
        <v/>
      </c>
      <c r="C330">
        <f>TRUE</f>
        <v/>
      </c>
      <c r="D330">
        <f>IF(Skills!C4=1,60+Inputs!$B$25+Inputs!$B$29,IF(Skills!C4=2,90+Inputs!$B$26+Inputs!$B$29,IF(Skills!C4=3,120+Inputs!$B$27+Inputs!$B$29,MAX(0,(Inputs!$B$3-100)*3)+Inputs!$B$28+Inputs!$B$29)))</f>
        <v/>
      </c>
      <c r="E330">
        <f>INDEX(FactorTable!$B$2:$Y$301, MATCH(ROUND(MIN(300,MAX(1,D330)),0), FactorTable!$A$2:$A$301,0), Skills!M4+1)</f>
        <v/>
      </c>
      <c r="F330">
        <f>IF(Skills!N4=TRUE,(Skills!L4/10)*(E330/1000),Skills!L4/10)+Skills!O4</f>
        <v/>
      </c>
      <c r="G330">
        <f>Calc!G4</f>
        <v/>
      </c>
      <c r="H330">
        <f>Calc!H4</f>
        <v/>
      </c>
      <c r="I330">
        <f>IF(Skills!X4&lt;&gt;"",1+(Skills!X4/10)*(Z329/1000)/100,1)</f>
        <v/>
      </c>
      <c r="J330">
        <f>((Inputs!$B$6*(1+Inputs!$B$7/100))+(((Inputs!$B$12*(1+Inputs!$B$13/100))-(Inputs!$B$12*(1+Inputs!$B$13/100)))+0.25*(Inputs!$B$14-Inputs!$B$14))*(1+Inputs!$B$7/100))*(F330/100)</f>
        <v/>
      </c>
      <c r="K330">
        <f>J330*(1+((Inputs!$B$12*(1+Inputs!$B$13/100))*0.01+Inputs!$B$14*0.0025)/100)*(1+Inputs!$B$15/100)*(1+IF(Inputs!$B$38="pvp",0,(1-Summary!$B$56)*(Inputs!$B$20+Skills!P4)+Summary!$B$56*(Inputs!$B$21+Skills!Q4))/100)*(1+Inputs!$B$16/100)*(5000/(6000+Inputs!$B$42*(1-Inputs!$B$19/100)))*(1+Inputs!$B$24/100)*(1+F349/100)*(1+IF(Inputs!$B$3&gt;=120,F352,0)/100)^5*(1+(IF(Skills!A4="BASIC_ATTACK",Inputs!$B$17,Inputs!$B$18+IF(Inputs!$B$3&gt;=125,F353*5,0)))/100)*(B356*B357*B358*I330)</f>
        <v/>
      </c>
      <c r="L330">
        <f>K330*(MIN((Inputs!$B$22+1)+(F348-Calc!F22),Inputs!$B$23)/100+Inputs!$B$23/100)/2</f>
        <v/>
      </c>
      <c r="M330">
        <f>L330*(1+(Inputs!$B$10+(F347-Calc!F21))/100)</f>
        <v/>
      </c>
      <c r="N330">
        <f>L330*(1-MIN(Inputs!$B$9+(F346-Calc!F20),100)/100)+M330*(MIN(Inputs!$B$9+(F346-Calc!F20),100)/100)</f>
        <v/>
      </c>
      <c r="O330">
        <f>IF(C330,H330*N330*IF(AND(Inputs!$B$38&lt;&gt;"pvp",Inputs!$B$43&gt;0),((Skills!G4*((R330-1)*IF(Skills!H4&gt;0,Skills!I4/Skills!H4,1)+IF(Skills!H4&gt;0,MIN(Skills!I4,MAX(0,Inputs!$B$43-((R330-1)*IF(Inputs!$B$38="pvp",15,MAX(0.1,Skills!E4-IF(Skills!F4=TRUE,Inputs!$B$32,0))))))/Skills!H4,1)))/Inputs!$B$43),G330*Q330)*IF(Inputs!$B$38="pvp",1,(1-Summary!$B$56)*(1)+Summary!$B$56*(MIN(Skills!R4,Inputs!$B$37))),0)</f>
        <v/>
      </c>
      <c r="P330">
        <f>IF(B365=0,0,O330/B365)</f>
        <v/>
      </c>
      <c r="Q330">
        <f>IFERROR(1/IF(Inputs!$B$38="pvp",15,MAX(0.1,Skills!E4-IF(Skills!F4=TRUE,Inputs!$B$32,0))),0)</f>
        <v/>
      </c>
      <c r="R330">
        <f>IF(AND(Inputs!$B$38&lt;&gt;"pvp",Inputs!$B$43&gt;0),(INT(Inputs!$B$43/IF(Inputs!$B$38="pvp",15,MAX(0.1,Skills!E4-IF(Skills!F4=TRUE,Inputs!$B$32,0))))+1),0)</f>
        <v/>
      </c>
      <c r="T330">
        <f>290*T329/1000</f>
        <v/>
      </c>
    </row>
    <row r="331">
      <c r="A331">
        <f>Skills!A5</f>
        <v/>
      </c>
      <c r="B331">
        <f>Skills!B5</f>
        <v/>
      </c>
      <c r="C331">
        <f>TRUE</f>
        <v/>
      </c>
      <c r="D331">
        <f>IF(Skills!C5=1,60+Inputs!$B$25+Inputs!$B$29,IF(Skills!C5=2,90+Inputs!$B$26+Inputs!$B$29,IF(Skills!C5=3,120+Inputs!$B$27+Inputs!$B$29,MAX(0,(Inputs!$B$3-100)*3)+Inputs!$B$28+Inputs!$B$29)))</f>
        <v/>
      </c>
      <c r="E331">
        <f>INDEX(FactorTable!$B$2:$Y$301, MATCH(ROUND(MIN(300,MAX(1,D331)),0), FactorTable!$A$2:$A$301,0), Skills!M5+1)</f>
        <v/>
      </c>
      <c r="F331">
        <f>IF(Skills!N5=TRUE,(Skills!L5/10)*(E331/1000),Skills!L5/10)+Skills!O5</f>
        <v/>
      </c>
      <c r="G331">
        <f>Calc!G5</f>
        <v/>
      </c>
      <c r="H331">
        <f>Calc!H5</f>
        <v/>
      </c>
      <c r="I331">
        <f>IF(Skills!X5&lt;&gt;"",1+(Skills!X5/10)*(Z329/1000)/100,1)</f>
        <v/>
      </c>
      <c r="J331">
        <f>((Inputs!$B$6*(1+Inputs!$B$7/100))+(((Inputs!$B$12*(1+Inputs!$B$13/100))-(Inputs!$B$12*(1+Inputs!$B$13/100)))+0.25*(Inputs!$B$14-Inputs!$B$14))*(1+Inputs!$B$7/100))*(F331/100)</f>
        <v/>
      </c>
      <c r="K331">
        <f>J331*(1+((Inputs!$B$12*(1+Inputs!$B$13/100))*0.01+Inputs!$B$14*0.0025)/100)*(1+Inputs!$B$15/100)*(1+IF(Inputs!$B$38="pvp",0,(1-Summary!$B$56)*(Inputs!$B$20+Skills!P5)+Summary!$B$56*(Inputs!$B$21+Skills!Q5))/100)*(1+Inputs!$B$16/100)*(5000/(6000+Inputs!$B$42*(1-Inputs!$B$19/100)))*(1+Inputs!$B$24/100)*(1+F349/100)*(1+IF(Inputs!$B$3&gt;=120,F352,0)/100)^5*(1+(IF(Skills!A5="BASIC_ATTACK",Inputs!$B$17,Inputs!$B$18+IF(Inputs!$B$3&gt;=125,F353*5,0)))/100)*(B356*B357*B358*I331)</f>
        <v/>
      </c>
      <c r="L331">
        <f>K331*(MIN((Inputs!$B$22+1)+(F348-Calc!F22),Inputs!$B$23)/100+Inputs!$B$23/100)/2</f>
        <v/>
      </c>
      <c r="M331">
        <f>L331*(1+(Inputs!$B$10+(F347-Calc!F21))/100)</f>
        <v/>
      </c>
      <c r="N331">
        <f>L331*(1-MIN(Inputs!$B$9+(F346-Calc!F20),100)/100)+M331*(MIN(Inputs!$B$9+(F346-Calc!F20),100)/100)</f>
        <v/>
      </c>
      <c r="O331">
        <f>IF(C331,H331*N331*IF(AND(Inputs!$B$38&lt;&gt;"pvp",Inputs!$B$43&gt;0),((Skills!G5*((R331-1)*IF(Skills!H5&gt;0,Skills!I5/Skills!H5,1)+IF(Skills!H5&gt;0,MIN(Skills!I5,MAX(0,Inputs!$B$43-((R331-1)*IF(Inputs!$B$38="pvp",15,MAX(0.1,Skills!E5-IF(Skills!F5=TRUE,Inputs!$B$32,0))))))/Skills!H5,1)))/Inputs!$B$43),G331*Q331)*IF(Inputs!$B$38="pvp",1,(1-Summary!$B$56)*(1)+Summary!$B$56*(MIN(Skills!R5,Inputs!$B$37))),0)</f>
        <v/>
      </c>
      <c r="P331">
        <f>IF(B365=0,0,O331/B365)</f>
        <v/>
      </c>
      <c r="Q331">
        <f>IFERROR(1/IF(Inputs!$B$38="pvp",15,MAX(0.1,Skills!E5-IF(Skills!F5=TRUE,Inputs!$B$32,0))),0)</f>
        <v/>
      </c>
      <c r="R331">
        <f>IF(AND(Inputs!$B$38&lt;&gt;"pvp",Inputs!$B$43&gt;0),(INT(Inputs!$B$43/IF(Inputs!$B$38="pvp",15,MAX(0.1,Skills!E5-IF(Skills!F5=TRUE,Inputs!$B$32,0))))+1),0)</f>
        <v/>
      </c>
    </row>
    <row r="332">
      <c r="A332">
        <f>Skills!A6</f>
        <v/>
      </c>
      <c r="B332">
        <f>Skills!B6</f>
        <v/>
      </c>
      <c r="C332">
        <f>TRUE</f>
        <v/>
      </c>
      <c r="D332">
        <f>IF(Skills!C6=1,60+Inputs!$B$25+Inputs!$B$29,IF(Skills!C6=2,90+Inputs!$B$26+Inputs!$B$29,IF(Skills!C6=3,120+Inputs!$B$27+Inputs!$B$29,MAX(0,(Inputs!$B$3-100)*3)+Inputs!$B$28+Inputs!$B$29)))</f>
        <v/>
      </c>
      <c r="E332">
        <f>INDEX(FactorTable!$B$2:$Y$301, MATCH(ROUND(MIN(300,MAX(1,D332)),0), FactorTable!$A$2:$A$301,0), Skills!M6+1)</f>
        <v/>
      </c>
      <c r="F332">
        <f>IF(Skills!N6=TRUE,(Skills!L6/10)*(E332/1000),Skills!L6/10)+Skills!O6</f>
        <v/>
      </c>
      <c r="G332">
        <f>Calc!G6</f>
        <v/>
      </c>
      <c r="H332">
        <f>Calc!H6</f>
        <v/>
      </c>
      <c r="I332">
        <f>IF(Skills!X6&lt;&gt;"",1+(Skills!X6/10)*(Z329/1000)/100,1)</f>
        <v/>
      </c>
      <c r="J332" t="inlineStr"/>
      <c r="K332" t="inlineStr"/>
      <c r="L332" t="inlineStr"/>
      <c r="M332" t="inlineStr"/>
      <c r="N332" t="inlineStr"/>
      <c r="O332" t="n">
        <v>0</v>
      </c>
      <c r="P332">
        <f>IF(B365=0,0,O332/B365)</f>
        <v/>
      </c>
      <c r="Q332">
        <f>IFERROR(1/IF(Inputs!$B$38="pvp",15,MAX(0.1,Skills!E6-IF(Skills!F6=TRUE,Inputs!$B$32,0))),0)</f>
        <v/>
      </c>
      <c r="R332">
        <f>IF(AND(Inputs!$B$38&lt;&gt;"pvp",Inputs!$B$43&gt;0),(INT(Inputs!$B$43/IF(Inputs!$B$38="pvp",15,MAX(0.1,Skills!E6-IF(Skills!F6=TRUE,Inputs!$B$32,0))))+1),0)</f>
        <v/>
      </c>
    </row>
    <row r="333">
      <c r="A333">
        <f>Skills!A7</f>
        <v/>
      </c>
      <c r="B333">
        <f>Skills!B7</f>
        <v/>
      </c>
      <c r="C333">
        <f>TRUE</f>
        <v/>
      </c>
      <c r="D333">
        <f>IF(Skills!C7=1,60+Inputs!$B$25+Inputs!$B$29,IF(Skills!C7=2,90+Inputs!$B$26+Inputs!$B$29,IF(Skills!C7=3,120+Inputs!$B$27+Inputs!$B$29,MAX(0,(Inputs!$B$3-100)*3)+Inputs!$B$28+Inputs!$B$29)))</f>
        <v/>
      </c>
      <c r="E333">
        <f>INDEX(FactorTable!$B$2:$Y$301, MATCH(ROUND(MIN(300,MAX(1,D333)),0), FactorTable!$A$2:$A$301,0), Skills!M7+1)</f>
        <v/>
      </c>
      <c r="F333">
        <f>IF(Skills!N7=TRUE,(Skills!L7/10)*(E333/1000),Skills!L7/10)+Skills!O7</f>
        <v/>
      </c>
      <c r="G333">
        <f>Calc!G7</f>
        <v/>
      </c>
      <c r="H333">
        <f>Calc!H7</f>
        <v/>
      </c>
      <c r="I333">
        <f>IF(Skills!X7&lt;&gt;"",1+(Skills!X7/10)*(Z329/1000)/100,1)</f>
        <v/>
      </c>
      <c r="J333">
        <f>((Inputs!$B$6*(1+Inputs!$B$7/100))+(((Inputs!$B$12*(1+Inputs!$B$13/100))-(Inputs!$B$12*(1+Inputs!$B$13/100)))+0.25*(Inputs!$B$14-Inputs!$B$14))*(1+Inputs!$B$7/100))*(F333/100)</f>
        <v/>
      </c>
      <c r="K333">
        <f>J333*(1+((Inputs!$B$12*(1+Inputs!$B$13/100))*0.01+Inputs!$B$14*0.0025)/100)*(1+Inputs!$B$15/100)*(1+IF(Inputs!$B$38="pvp",0,(1-Summary!$B$56)*(Inputs!$B$20+Skills!P7)+Summary!$B$56*(Inputs!$B$21+Skills!Q7))/100)*(1+Inputs!$B$16/100)*(5000/(6000+Inputs!$B$42*(1-Inputs!$B$19/100)))*(1+Inputs!$B$24/100)*(1+F349/100)*(1+IF(Inputs!$B$3&gt;=120,F352,0)/100)^5*(1+(IF(Skills!A7="BASIC_ATTACK",Inputs!$B$17,Inputs!$B$18+IF(Inputs!$B$3&gt;=125,F353*5,0)))/100)*(B356*B357*B358*I333)</f>
        <v/>
      </c>
      <c r="L333">
        <f>K333*(MIN((Inputs!$B$22+1)+(F348-Calc!F22),Inputs!$B$23)/100+Inputs!$B$23/100)/2</f>
        <v/>
      </c>
      <c r="M333">
        <f>L333*(1+(Inputs!$B$10+(F347-Calc!F21))/100)</f>
        <v/>
      </c>
      <c r="N333">
        <f>L333*(1-MIN(Inputs!$B$9+(F346-Calc!F20),100)/100)+M333*(MIN(Inputs!$B$9+(F346-Calc!F20),100)/100)</f>
        <v/>
      </c>
      <c r="O333">
        <f>IF(C333,H333*N333*IF(AND(Inputs!$B$38&lt;&gt;"pvp",Inputs!$B$43&gt;0),((Skills!G7*((R333-1)*IF(Skills!H7&gt;0,Skills!I7/Skills!H7,1)+IF(Skills!H7&gt;0,MIN(Skills!I7,MAX(0,Inputs!$B$43-((R333-1)*IF(Inputs!$B$38="pvp",15,MAX(0.1,Skills!E7-IF(Skills!F7=TRUE,Inputs!$B$32,0))))))/Skills!H7,1)))/Inputs!$B$43),G333*Q333)*IF(Inputs!$B$38="pvp",1,(1-Summary!$B$56)*(1)+Summary!$B$56*(MIN(Skills!R7,Inputs!$B$37))),0)</f>
        <v/>
      </c>
      <c r="P333">
        <f>IF(B365=0,0,O333/B365)</f>
        <v/>
      </c>
      <c r="Q333">
        <f>IFERROR(1/IF(Inputs!$B$38="pvp",15,MAX(0.1,Skills!E7-IF(Skills!F7=TRUE,Inputs!$B$32,0))),0)</f>
        <v/>
      </c>
      <c r="R333">
        <f>IF(AND(Inputs!$B$38&lt;&gt;"pvp",Inputs!$B$43&gt;0),(INT(Inputs!$B$43/IF(Inputs!$B$38="pvp",15,MAX(0.1,Skills!E7-IF(Skills!F7=TRUE,Inputs!$B$32,0))))+1),0)</f>
        <v/>
      </c>
    </row>
    <row r="334">
      <c r="A334">
        <f>Skills!A8</f>
        <v/>
      </c>
      <c r="B334">
        <f>Skills!B8</f>
        <v/>
      </c>
      <c r="C334">
        <f>TRUE</f>
        <v/>
      </c>
      <c r="D334">
        <f>IF(Skills!C8=1,60+Inputs!$B$25+Inputs!$B$29,IF(Skills!C8=2,90+Inputs!$B$26+Inputs!$B$29,IF(Skills!C8=3,120+Inputs!$B$27+Inputs!$B$29,MAX(0,(Inputs!$B$3-100)*3)+Inputs!$B$28+Inputs!$B$29)))</f>
        <v/>
      </c>
      <c r="E334">
        <f>INDEX(FactorTable!$B$2:$Y$301, MATCH(ROUND(MIN(300,MAX(1,D334)),0), FactorTable!$A$2:$A$301,0), Skills!M8+1)</f>
        <v/>
      </c>
      <c r="F334">
        <f>IF(Skills!N8=TRUE,(Skills!L8/10)*(E334/1000),Skills!L8/10)+Skills!O8</f>
        <v/>
      </c>
      <c r="G334">
        <f>Calc!G8</f>
        <v/>
      </c>
      <c r="H334">
        <f>Calc!H8</f>
        <v/>
      </c>
      <c r="I334">
        <f>IF(Skills!X8&lt;&gt;"",1+(Skills!X8/10)*(Z329/1000)/100,1)</f>
        <v/>
      </c>
      <c r="J334">
        <f>((Inputs!$B$6*(1+Inputs!$B$7/100))+(((Inputs!$B$12*(1+Inputs!$B$13/100))-(Inputs!$B$12*(1+Inputs!$B$13/100)))+0.25*(Inputs!$B$14-Inputs!$B$14))*(1+Inputs!$B$7/100))*(F334/100)</f>
        <v/>
      </c>
      <c r="K334">
        <f>J334*(1+((Inputs!$B$12*(1+Inputs!$B$13/100))*0.01+Inputs!$B$14*0.0025)/100)*(1+Inputs!$B$15/100)*(1+IF(Inputs!$B$38="pvp",0,(1-Summary!$B$56)*(Inputs!$B$20+Skills!P8)+Summary!$B$56*(Inputs!$B$21+Skills!Q8))/100)*(1+Inputs!$B$16/100)*(5000/(6000+Inputs!$B$42*(1-Inputs!$B$19/100)))*(1+Inputs!$B$24/100)*(1+F349/100)*(1+IF(Inputs!$B$3&gt;=120,F352,0)/100)^5*(1+(IF(Skills!A8="BASIC_ATTACK",Inputs!$B$17,Inputs!$B$18+IF(Inputs!$B$3&gt;=125,F353*5,0)))/100)*(B356*B357*B358*I334)</f>
        <v/>
      </c>
      <c r="L334">
        <f>K334*(MIN((Inputs!$B$22+1)+(F348-Calc!F22),Inputs!$B$23)/100+Inputs!$B$23/100)/2</f>
        <v/>
      </c>
      <c r="M334">
        <f>L334*(1+(Inputs!$B$10+(F347-Calc!F21))/100)</f>
        <v/>
      </c>
      <c r="N334">
        <f>L334*(1-MIN(Inputs!$B$9+(F346-Calc!F20),100)/100)+M334*(MIN(Inputs!$B$9+(F346-Calc!F20),100)/100)</f>
        <v/>
      </c>
      <c r="O334">
        <f>IF(C334,H334*N334*IF(AND(Inputs!$B$38&lt;&gt;"pvp",Inputs!$B$43&gt;0),((Skills!G8*((R334-1)*IF(Skills!H8&gt;0,Skills!I8/Skills!H8,1)+IF(Skills!H8&gt;0,MIN(Skills!I8,MAX(0,Inputs!$B$43-((R334-1)*IF(Inputs!$B$38="pvp",15,MAX(0.1,Skills!E8-IF(Skills!F8=TRUE,Inputs!$B$32,0))))))/Skills!H8,1)))/Inputs!$B$43),G334*Q334)*IF(Inputs!$B$38="pvp",1,(1-Summary!$B$56)*(1)+Summary!$B$56*(MIN(Skills!R8,Inputs!$B$37))),0)</f>
        <v/>
      </c>
      <c r="P334">
        <f>IF(B365=0,0,O334/B365)</f>
        <v/>
      </c>
      <c r="Q334">
        <f>IFERROR(1/IF(Inputs!$B$38="pvp",15,MAX(0.1,Skills!E8-IF(Skills!F8=TRUE,Inputs!$B$32,0))),0)</f>
        <v/>
      </c>
      <c r="R334">
        <f>IF(AND(Inputs!$B$38&lt;&gt;"pvp",Inputs!$B$43&gt;0),(INT(Inputs!$B$43/IF(Inputs!$B$38="pvp",15,MAX(0.1,Skills!E8-IF(Skills!F8=TRUE,Inputs!$B$32,0))))+1),0)</f>
        <v/>
      </c>
    </row>
    <row r="335">
      <c r="A335">
        <f>Skills!A9</f>
        <v/>
      </c>
      <c r="B335">
        <f>Skills!B9</f>
        <v/>
      </c>
      <c r="C335">
        <f>Inputs!$B$3&gt;=103</f>
        <v/>
      </c>
      <c r="D335">
        <f>IF(Skills!C9=1,60+Inputs!$B$25+Inputs!$B$29,IF(Skills!C9=2,90+Inputs!$B$26+Inputs!$B$29,IF(Skills!C9=3,120+Inputs!$B$27+Inputs!$B$29,MAX(0,(Inputs!$B$3-100)*3)+Inputs!$B$28+Inputs!$B$29)))</f>
        <v/>
      </c>
      <c r="E335">
        <f>INDEX(FactorTable!$B$2:$Y$301, MATCH(ROUND(MIN(300,MAX(1,D335)),0), FactorTable!$A$2:$A$301,0), Skills!M9+1)</f>
        <v/>
      </c>
      <c r="F335">
        <f>IF(Skills!N9=TRUE,(Skills!L9/10)*(E335/1000),Skills!L9/10)+Skills!O9</f>
        <v/>
      </c>
      <c r="G335">
        <f>Calc!G9</f>
        <v/>
      </c>
      <c r="H335">
        <f>Calc!H9</f>
        <v/>
      </c>
      <c r="I335">
        <f>IF(Skills!X9&lt;&gt;"",1+(Skills!X9/10)*(Z329/1000)/100,1)</f>
        <v/>
      </c>
      <c r="J335">
        <f>((Inputs!$B$6*(1+Inputs!$B$7/100))+(((Inputs!$B$12*(1+Inputs!$B$13/100))-(Inputs!$B$12*(1+Inputs!$B$13/100)))+0.25*(Inputs!$B$14-Inputs!$B$14))*(1+Inputs!$B$7/100))*(F335/100)</f>
        <v/>
      </c>
      <c r="K335">
        <f>J335*(1+((Inputs!$B$12*(1+Inputs!$B$13/100))*0.01+Inputs!$B$14*0.0025)/100)*(1+Inputs!$B$15/100)*(1+IF(Inputs!$B$38="pvp",0,(1-Summary!$B$56)*(Inputs!$B$20+Skills!P9)+Summary!$B$56*(Inputs!$B$21+Skills!Q9))/100)*(1+Inputs!$B$16/100)*(5000/(6000+Inputs!$B$42*(1-Inputs!$B$19/100)))*(1+Inputs!$B$24/100)*(1+F349/100)*(1+IF(Inputs!$B$3&gt;=120,F352,0)/100)^5*(1+(IF(Skills!A9="BASIC_ATTACK",Inputs!$B$17,Inputs!$B$18+IF(Inputs!$B$3&gt;=125,F353*5,0)))/100)*(B356*B357*B358*I335)</f>
        <v/>
      </c>
      <c r="L335">
        <f>K335*(MIN((Inputs!$B$22+1)+(F348-Calc!F22),Inputs!$B$23)/100+Inputs!$B$23/100)/2</f>
        <v/>
      </c>
      <c r="M335">
        <f>L335*(1+(Inputs!$B$10+(F347-Calc!F21))/100)</f>
        <v/>
      </c>
      <c r="N335">
        <f>L335*(1-MIN(Inputs!$B$9+(F346-Calc!F20),100)/100)+M335*(MIN(Inputs!$B$9+(F346-Calc!F20),100)/100)</f>
        <v/>
      </c>
      <c r="O335">
        <f>IF(C335,H335*N335*IF(AND(Inputs!$B$38&lt;&gt;"pvp",Inputs!$B$43&gt;0),((Skills!G9*((R335-1)*IF(Skills!H9&gt;0,Skills!I9/Skills!H9,1)+IF(Skills!H9&gt;0,MIN(Skills!I9,MAX(0,Inputs!$B$43-((R335-1)*IF(Inputs!$B$38="pvp",15,MAX(0.1,Skills!E9-IF(Skills!F7=TRUE,Inputs!$B$32,0))))))/Skills!H9,1)))/Inputs!$B$43),G335*Q335)*IF(Inputs!$B$38="pvp",1,(1-Summary!$B$56)*(1)+Summary!$B$56*(MIN(Skills!R9,Inputs!$B$37))),0)</f>
        <v/>
      </c>
      <c r="P335">
        <f>IF(B365=0,0,O335/B365)</f>
        <v/>
      </c>
      <c r="Q335">
        <f>IFERROR(1/IF(Inputs!$B$38="pvp",15,MAX(0.1,Skills!E9-IF(Skills!F7=TRUE,Inputs!$B$32,0))),0)</f>
        <v/>
      </c>
      <c r="R335">
        <f>IF(AND(Inputs!$B$38&lt;&gt;"pvp",Inputs!$B$43&gt;0),(INT(Inputs!$B$43/IF(Inputs!$B$38="pvp",15,MAX(0.1,Skills!E9-IF(Skills!F7=TRUE,Inputs!$B$32,0))))+1),0)</f>
        <v/>
      </c>
    </row>
    <row r="336">
      <c r="A336">
        <f>Skills!A10</f>
        <v/>
      </c>
      <c r="B336">
        <f>Skills!B10</f>
        <v/>
      </c>
      <c r="C336">
        <f>TRUE</f>
        <v/>
      </c>
      <c r="D336">
        <f>IF(Skills!C10=1,60+Inputs!$B$25+Inputs!$B$29,IF(Skills!C10=2,90+Inputs!$B$26+Inputs!$B$29,IF(Skills!C10=3,120+Inputs!$B$27+Inputs!$B$29,MAX(0,(Inputs!$B$3-100)*3)+Inputs!$B$28+Inputs!$B$29)))</f>
        <v/>
      </c>
      <c r="E336">
        <f>INDEX(FactorTable!$B$2:$Y$301, MATCH(ROUND(MIN(300,MAX(1,D336)),0), FactorTable!$A$2:$A$301,0), Skills!M10+1)</f>
        <v/>
      </c>
      <c r="F336">
        <f>IF(Skills!N10=TRUE,(Skills!L10/10)*(E336/1000),Skills!L10/10)+Skills!O10</f>
        <v/>
      </c>
      <c r="G336">
        <f>Calc!G10</f>
        <v/>
      </c>
      <c r="H336">
        <f>Calc!H10</f>
        <v/>
      </c>
      <c r="I336">
        <f>IF(Skills!X10&lt;&gt;"",1+(Skills!X10/10)*(Z329/1000)/100,1)</f>
        <v/>
      </c>
      <c r="J336">
        <f>((Inputs!$B$6*(1+Inputs!$B$7/100))+(((Inputs!$B$12*(1+Inputs!$B$13/100))-(Inputs!$B$12*(1+Inputs!$B$13/100)))+0.25*(Inputs!$B$14-Inputs!$B$14))*(1+Inputs!$B$7/100))*(F336/100)</f>
        <v/>
      </c>
      <c r="K336">
        <f>J336*(1+((Inputs!$B$12*(1+Inputs!$B$13/100))*0.01+Inputs!$B$14*0.0025)/100)*(1+Inputs!$B$15/100)*(1+IF(Inputs!$B$38="pvp",0,(1-Summary!$B$56)*(Inputs!$B$20+Skills!P10)+Summary!$B$56*(Inputs!$B$21+Skills!Q10))/100)*(1+Inputs!$B$16/100)*(5000/(6000+Inputs!$B$42*(1-Inputs!$B$19/100)))*(1+Inputs!$B$24/100)*(1+F349/100)*(1+IF(Inputs!$B$3&gt;=120,F352,0)/100)^5*(1+(IF(Skills!A10="BASIC_ATTACK",Inputs!$B$17,Inputs!$B$18+IF(Inputs!$B$3&gt;=125,F353*5,0)))/100)*(B356*B357*B358*I336)</f>
        <v/>
      </c>
      <c r="L336">
        <f>K336*(MIN((Inputs!$B$22+1)+(F348-Calc!F22),Inputs!$B$23)/100+Inputs!$B$23/100)/2</f>
        <v/>
      </c>
      <c r="M336">
        <f>L336*(1+(Inputs!$B$10+(F347-Calc!F21))/100)</f>
        <v/>
      </c>
      <c r="N336">
        <f>L336*(1-MIN(Inputs!$B$9+(F346-Calc!F20),100)/100)+M336*(MIN(Inputs!$B$9+(F346-Calc!F20),100)/100)</f>
        <v/>
      </c>
      <c r="O336">
        <f>IF(C336,H336*N336*IF(AND(Inputs!$B$38&lt;&gt;"pvp",Inputs!$B$43&gt;0),((Skills!G10*((R336-1)*IF(Skills!H10&gt;0,Skills!I10/Skills!H10,1)+IF(Skills!H10&gt;0,MIN(Skills!I10,MAX(0,Inputs!$B$43-((R336-1)*IF(Inputs!$B$38="pvp",15,MAX(0.1,Skills!E10-IF(Skills!F10=TRUE,Inputs!$B$32,0))))))/Skills!H10,1)))/Inputs!$B$43),G336*Q336)*IF(Inputs!$B$38="pvp",1,(1-Summary!$B$56)*(1)+Summary!$B$56*(MIN(Skills!R10,Inputs!$B$37))),0)</f>
        <v/>
      </c>
      <c r="P336">
        <f>IF(B365=0,0,O336/B365)</f>
        <v/>
      </c>
      <c r="Q336">
        <f>IFERROR(1/IF(Inputs!$B$38="pvp",15,MAX(0.1,Skills!E10-IF(Skills!F10=TRUE,Inputs!$B$32,0))),0)</f>
        <v/>
      </c>
      <c r="R336">
        <f>IF(AND(Inputs!$B$38&lt;&gt;"pvp",Inputs!$B$43&gt;0),(INT(Inputs!$B$43/IF(Inputs!$B$38="pvp",15,MAX(0.1,Skills!E10-IF(Skills!F10=TRUE,Inputs!$B$32,0))))+1),0)</f>
        <v/>
      </c>
    </row>
    <row r="337">
      <c r="A337">
        <f>Skills!A11</f>
        <v/>
      </c>
      <c r="B337">
        <f>Skills!B11</f>
        <v/>
      </c>
      <c r="C337">
        <f>TRUE</f>
        <v/>
      </c>
      <c r="D337">
        <f>IF(Skills!C11=1,60+Inputs!$B$25+Inputs!$B$29,IF(Skills!C11=2,90+Inputs!$B$26+Inputs!$B$29,IF(Skills!C11=3,120+Inputs!$B$27+Inputs!$B$29,MAX(0,(Inputs!$B$3-100)*3)+Inputs!$B$28+Inputs!$B$29)))</f>
        <v/>
      </c>
      <c r="E337">
        <f>INDEX(FactorTable!$B$2:$Y$301, MATCH(ROUND(MIN(300,MAX(1,D337)),0), FactorTable!$A$2:$A$301,0), Skills!M11+1)</f>
        <v/>
      </c>
      <c r="F337">
        <f>IF(Skills!N11=TRUE,(Skills!L11/10)*(E337/1000),Skills!L11/10)+Skills!O11</f>
        <v/>
      </c>
      <c r="G337">
        <f>Calc!G11</f>
        <v/>
      </c>
      <c r="H337">
        <f>Calc!H11</f>
        <v/>
      </c>
      <c r="I337">
        <f>IF(Skills!X11&lt;&gt;"",1+(Skills!X11/10)*(Z329/1000)/100,1)</f>
        <v/>
      </c>
      <c r="J337" t="inlineStr"/>
      <c r="K337" t="inlineStr"/>
      <c r="L337" t="inlineStr"/>
      <c r="M337" t="inlineStr"/>
      <c r="N337" t="inlineStr"/>
      <c r="O337" t="n">
        <v>0</v>
      </c>
      <c r="P337">
        <f>IF(B365=0,0,O337/B365)</f>
        <v/>
      </c>
      <c r="Q337">
        <f>IFERROR(1/IF(Inputs!$B$38="pvp",15,MAX(0.1,Skills!E11-IF(Skills!F11=TRUE,Inputs!$B$32,0))),0)</f>
        <v/>
      </c>
      <c r="R337" t="n">
        <v>0</v>
      </c>
    </row>
    <row r="338">
      <c r="A338">
        <f>Skills!A12</f>
        <v/>
      </c>
      <c r="B338">
        <f>Skills!B12</f>
        <v/>
      </c>
      <c r="C338">
        <f>TRUE</f>
        <v/>
      </c>
      <c r="D338">
        <f>IF(Skills!C12=1,60+Inputs!$B$25+Inputs!$B$29,IF(Skills!C12=2,90+Inputs!$B$26+Inputs!$B$29,IF(Skills!C12=3,120+Inputs!$B$27+Inputs!$B$29,MAX(0,(Inputs!$B$3-100)*3)+Inputs!$B$28+Inputs!$B$29)))</f>
        <v/>
      </c>
      <c r="E338">
        <f>INDEX(FactorTable!$B$2:$Y$301, MATCH(ROUND(MIN(300,MAX(1,D338)),0), FactorTable!$A$2:$A$301,0), Skills!M12+1)</f>
        <v/>
      </c>
      <c r="F338">
        <f>IF(Skills!N12=TRUE,(Skills!L12/10)*(E338/1000),Skills!L12/10)+Skills!O12</f>
        <v/>
      </c>
      <c r="G338">
        <f>Calc!G12</f>
        <v/>
      </c>
      <c r="H338">
        <f>Calc!H12</f>
        <v/>
      </c>
      <c r="I338">
        <f>IF(Skills!X12&lt;&gt;"",1+(Skills!X12/10)*(Z329/1000)/100,1)</f>
        <v/>
      </c>
      <c r="J338" t="inlineStr"/>
      <c r="K338" t="inlineStr"/>
      <c r="L338" t="inlineStr"/>
      <c r="M338" t="inlineStr"/>
      <c r="N338" t="inlineStr"/>
      <c r="O338" t="n">
        <v>0</v>
      </c>
      <c r="P338">
        <f>IF(B365=0,0,O338/B365)</f>
        <v/>
      </c>
      <c r="Q338">
        <f>IFERROR(1/IF(Inputs!$B$38="pvp",15,MAX(0.1,Skills!E12-IF(Skills!F12=TRUE,Inputs!$B$32,0))),0)</f>
        <v/>
      </c>
      <c r="R338" t="n">
        <v>0</v>
      </c>
    </row>
    <row r="339">
      <c r="A339">
        <f>Skills!A13</f>
        <v/>
      </c>
      <c r="B339">
        <f>Skills!B13</f>
        <v/>
      </c>
      <c r="C339">
        <f>Inputs!$B$3&gt;=105</f>
        <v/>
      </c>
      <c r="D339">
        <f>IF(Skills!C13=1,60+Inputs!$B$25+Inputs!$B$29,IF(Skills!C13=2,90+Inputs!$B$26+Inputs!$B$29,IF(Skills!C13=3,120+Inputs!$B$27+Inputs!$B$29,MAX(0,(Inputs!$B$3-100)*3)+Inputs!$B$28+Inputs!$B$29)))</f>
        <v/>
      </c>
      <c r="E339">
        <f>INDEX(FactorTable!$B$2:$Y$301, MATCH(ROUND(MIN(300,MAX(1,D339)),0), FactorTable!$A$2:$A$301,0), Skills!M13+1)</f>
        <v/>
      </c>
      <c r="F339">
        <f>IF(Skills!N13=TRUE,(Skills!L13/10)*(E339/1000),Skills!L13/10)+Skills!O13</f>
        <v/>
      </c>
      <c r="G339">
        <f>Calc!G13</f>
        <v/>
      </c>
      <c r="H339">
        <f>Calc!H13</f>
        <v/>
      </c>
      <c r="I339">
        <f>IF(Skills!X13&lt;&gt;"",1+(Skills!X13/10)*(Z329/1000)/100,1)</f>
        <v/>
      </c>
      <c r="J339">
        <f>((Inputs!$B$6*(1+Inputs!$B$7/100))+(((Inputs!$B$12*(1+Inputs!$B$13/100))-(Inputs!$B$12*(1+Inputs!$B$13/100)))+0.25*(Inputs!$B$14-Inputs!$B$14))*(1+Inputs!$B$7/100))*(F339/100)</f>
        <v/>
      </c>
      <c r="K339">
        <f>J339*(1+((Inputs!$B$12*(1+Inputs!$B$13/100))*0.01+Inputs!$B$14*0.0025)/100)*(1+Inputs!$B$15/100)*(1+IF(Inputs!$B$38="pvp",0,(1-Summary!$B$56)*(Inputs!$B$20+Skills!P13)+Summary!$B$56*(Inputs!$B$21+Skills!Q13))/100)*(1+Inputs!$B$16/100)*(5000/(6000+Inputs!$B$42*(1-Inputs!$B$19/100)))*(1+Inputs!$B$24/100)*(1+F349/100)*(1+IF(Inputs!$B$3&gt;=120,F352,0)/100)^5*(1+(IF(Skills!A13="BASIC_ATTACK",Inputs!$B$17,Inputs!$B$18+IF(Inputs!$B$3&gt;=125,F353*5,0)))/100)*(B356*B357*B358*I339)</f>
        <v/>
      </c>
      <c r="L339">
        <f>K339*(MIN((Inputs!$B$22+1)+(F348-Calc!F22),Inputs!$B$23)/100+Inputs!$B$23/100)/2</f>
        <v/>
      </c>
      <c r="M339">
        <f>L339*(1+(Inputs!$B$10+(F347-Calc!F21))/100)</f>
        <v/>
      </c>
      <c r="N339">
        <f>L339*(1-MIN(Inputs!$B$9+(F346-Calc!F20),100)/100)+M339*(MIN(Inputs!$B$9+(F346-Calc!F20),100)/100)</f>
        <v/>
      </c>
      <c r="O339">
        <f>IF(C339,H339*N339*IF(AND(Inputs!$B$38&lt;&gt;"pvp",Inputs!$B$43&gt;0),((Skills!G13*((R339-1)*IF(Skills!H13&gt;0,Skills!I13/Skills!H13,1)+IF(Skills!H13&gt;0,MIN(Skills!I13,MAX(0,Inputs!$B$43-((R339-1)*IF(Inputs!$B$38="pvp",15,MAX(0.1,Skills!E13-IF(Skills!F13=TRUE,Inputs!$B$32,0))))))/Skills!H13,1)))/Inputs!$B$43),G339*Q339)*IF(Inputs!$B$38="pvp",1,(1-Summary!$B$56)*(1)+Summary!$B$56*(MIN(Skills!R13,Inputs!$B$37))),0)</f>
        <v/>
      </c>
      <c r="P339">
        <f>IF(B365=0,0,O339/B365)</f>
        <v/>
      </c>
      <c r="Q339">
        <f>IFERROR(1/IF(Inputs!$B$38="pvp",15,MAX(0.1,Skills!E13-IF(Skills!F13=TRUE,Inputs!$B$32,0))),0)</f>
        <v/>
      </c>
      <c r="R339">
        <f>IF(AND(Inputs!$B$38&lt;&gt;"pvp",Inputs!$B$43&gt;0),(INT(Inputs!$B$43/IF(Inputs!$B$38="pvp",15,MAX(0.1,Skills!E13-IF(Skills!F13=TRUE,Inputs!$B$32,0))))+1),0)</f>
        <v/>
      </c>
    </row>
    <row r="340">
      <c r="A340">
        <f>Skills!A14</f>
        <v/>
      </c>
      <c r="B340">
        <f>Skills!B14</f>
        <v/>
      </c>
      <c r="C340">
        <f>Inputs!$B$3&gt;=113</f>
        <v/>
      </c>
      <c r="D340">
        <f>IF(Skills!C14=1,60+Inputs!$B$25+Inputs!$B$29,IF(Skills!C14=2,90+Inputs!$B$26+Inputs!$B$29,IF(Skills!C14=3,120+Inputs!$B$27+Inputs!$B$29,MAX(0,(Inputs!$B$3-100)*3)+Inputs!$B$28+Inputs!$B$29)))</f>
        <v/>
      </c>
      <c r="E340">
        <f>INDEX(FactorTable!$B$2:$Y$301, MATCH(ROUND(MIN(300,MAX(1,D340)),0), FactorTable!$A$2:$A$301,0), Skills!M14+1)</f>
        <v/>
      </c>
      <c r="F340">
        <f>IF(Skills!N14=TRUE,(Skills!L14/10)*(E340/1000),Skills!L14/10)+Skills!O14</f>
        <v/>
      </c>
      <c r="G340">
        <f>Calc!G14</f>
        <v/>
      </c>
      <c r="H340">
        <f>Calc!H14</f>
        <v/>
      </c>
      <c r="I340">
        <f>IF(Skills!X14&lt;&gt;"",1+(Skills!X14/10)*(Z329/1000)/100,1)</f>
        <v/>
      </c>
      <c r="J340">
        <f>((Inputs!$B$6*(1+Inputs!$B$7/100))+(((Inputs!$B$12*(1+Inputs!$B$13/100))-(Inputs!$B$12*(1+Inputs!$B$13/100)))+0.25*(Inputs!$B$14-Inputs!$B$14))*(1+Inputs!$B$7/100))*(F340/100)</f>
        <v/>
      </c>
      <c r="K340">
        <f>J340*(1+((Inputs!$B$12*(1+Inputs!$B$13/100))*0.01+Inputs!$B$14*0.0025)/100)*(1+Inputs!$B$15/100)*(1+IF(Inputs!$B$38="pvp",0,(1-Summary!$B$56)*(Inputs!$B$20+Skills!P14)+Summary!$B$56*(Inputs!$B$21+Skills!Q14))/100)*(1+Inputs!$B$16/100)*(5000/(6000+Inputs!$B$42*(1-Inputs!$B$19/100)))*(1+Inputs!$B$24/100)*(1+F349/100)*(1+IF(Inputs!$B$3&gt;=120,F352,0)/100)^5*(1+(IF(Skills!A14="BASIC_ATTACK",Inputs!$B$17,Inputs!$B$18+IF(Inputs!$B$3&gt;=125,F353*5,0)))/100)*(B356*B357*B358*I340)</f>
        <v/>
      </c>
      <c r="L340">
        <f>K340*(MIN((Inputs!$B$22+1)+(F348-Calc!F22),Inputs!$B$23)/100+Inputs!$B$23/100)/2</f>
        <v/>
      </c>
      <c r="M340">
        <f>L340*(1+(Inputs!$B$10+(F347-Calc!F21))/100)</f>
        <v/>
      </c>
      <c r="N340">
        <f>L340*(1-MIN(Inputs!$B$9+(F346-Calc!F20),100)/100)+M340*(MIN(Inputs!$B$9+(F346-Calc!F20),100)/100)</f>
        <v/>
      </c>
      <c r="O340">
        <f>IF(C340,(H340*B363)/(1+Skills!H14*H340*B363)*N340*IF(Inputs!$B$38="pvp",1,(1-Summary!$B$56)*(1)+Summary!$B$56*(MIN(Skills!R14,Inputs!$B$37))),0)</f>
        <v/>
      </c>
      <c r="P340">
        <f>IF(B365=0,0,O340/B365)</f>
        <v/>
      </c>
      <c r="Q340">
        <f>IFERROR(1/IF(Inputs!$B$38="pvp",15,MAX(0.1,Skills!E14-IF(Skills!F14=TRUE,Inputs!$B$32,0))),0)</f>
        <v/>
      </c>
      <c r="R340" t="n">
        <v>0</v>
      </c>
    </row>
    <row r="341">
      <c r="A341">
        <f>Skills!A15</f>
        <v/>
      </c>
      <c r="B341">
        <f>Skills!B15</f>
        <v/>
      </c>
      <c r="C341">
        <f>Inputs!$B$3&gt;=107</f>
        <v/>
      </c>
      <c r="D341">
        <f>IF(Skills!C15=1,60+Inputs!$B$25+Inputs!$B$29,IF(Skills!C15=2,90+Inputs!$B$26+Inputs!$B$29,IF(Skills!C15=3,120+Inputs!$B$27+Inputs!$B$29,MAX(0,(Inputs!$B$3-100)*3)+Inputs!$B$28+Inputs!$B$29)))</f>
        <v/>
      </c>
      <c r="E341">
        <f>INDEX(FactorTable!$B$2:$Y$301, MATCH(ROUND(MIN(300,MAX(1,D341)),0), FactorTable!$A$2:$A$301,0), Skills!M15+1)</f>
        <v/>
      </c>
      <c r="F341">
        <f>IF(Skills!N15=TRUE,(Skills!L15/10)*(E341/1000),Skills!L15/10)+Skills!O15</f>
        <v/>
      </c>
      <c r="G341">
        <f>Calc!G15</f>
        <v/>
      </c>
      <c r="H341">
        <f>Calc!H15</f>
        <v/>
      </c>
      <c r="I341">
        <f>IF(Skills!X15&lt;&gt;"",1+(Skills!X15/10)*(Z329/1000)/100,1)</f>
        <v/>
      </c>
      <c r="J341">
        <f>((Inputs!$B$6*(1+Inputs!$B$7/100))+(((Inputs!$B$12*(1+Inputs!$B$13/100))-(Inputs!$B$12*(1+Inputs!$B$13/100)))+0.25*(Inputs!$B$14-Inputs!$B$14))*(1+Inputs!$B$7/100))*(F341/100)</f>
        <v/>
      </c>
      <c r="K341">
        <f>J341*(1+((Inputs!$B$12*(1+Inputs!$B$13/100))*0.01+Inputs!$B$14*0.0025)/100)*(1+Inputs!$B$15/100)*(1+IF(Inputs!$B$38="pvp",0,(1-Summary!$B$56)*(Inputs!$B$20+Skills!P15)+Summary!$B$56*(Inputs!$B$21+Skills!Q15))/100)*(1+Inputs!$B$16/100)*(5000/(6000+Inputs!$B$42*(1-Inputs!$B$19/100)))*(1+Inputs!$B$24/100)*(1+F349/100)*(1+IF(Inputs!$B$3&gt;=120,F352,0)/100)^5*(1+(IF(Skills!A15="BASIC_ATTACK",Inputs!$B$17,Inputs!$B$18+IF(Inputs!$B$3&gt;=125,F353*5,0)))/100)*(B356*B357*B358*I341)</f>
        <v/>
      </c>
      <c r="L341">
        <f>K341*(MIN((Inputs!$B$22+1)+(F348-Calc!F22),Inputs!$B$23)/100+Inputs!$B$23/100)/2</f>
        <v/>
      </c>
      <c r="M341">
        <f>L341*(1+(Inputs!$B$10+(F347-Calc!F21))/100)</f>
        <v/>
      </c>
      <c r="N341">
        <f>L341*(1-MIN(Inputs!$B$9+(F346-Calc!F20),100)/100)+M341*(MIN(Inputs!$B$9+(F346-Calc!F20),100)/100)</f>
        <v/>
      </c>
      <c r="O341">
        <f>IF(C341,H341*N341*IF(AND(Inputs!$B$38&lt;&gt;"pvp",Inputs!$B$43&gt;0),((Skills!G15*((R341-1)*IF(Skills!H15&gt;0,Skills!I15/Skills!H15,1)+IF(Skills!H15&gt;0,MIN(Skills!I15,MAX(0,Inputs!$B$43-((R341-1)*IF(Inputs!$B$38="pvp",15,MAX(0.1,Skills!E15-IF(Skills!F15=TRUE,Inputs!$B$32,0))))))/Skills!H15,1)))/Inputs!$B$43),G341*Q341)*IF(Inputs!$B$38="pvp",1,(1-Summary!$B$56)*(1)+Summary!$B$56*(MIN(Skills!R15,Inputs!$B$37))),0)</f>
        <v/>
      </c>
      <c r="P341">
        <f>IF(B365=0,0,O341/B365)</f>
        <v/>
      </c>
      <c r="Q341">
        <f>IFERROR(1/IF(Inputs!$B$38="pvp",15,MAX(0.1,Skills!E15-IF(Skills!F15=TRUE,Inputs!$B$32,0))),0)</f>
        <v/>
      </c>
      <c r="R341">
        <f>IF(AND(Inputs!$B$38&lt;&gt;"pvp",Inputs!$B$43&gt;0),(INT(Inputs!$B$43/IF(Inputs!$B$38="pvp",15,MAX(0.1,Skills!E15-IF(Skills!F15=TRUE,Inputs!$B$32,0))))+1),0)</f>
        <v/>
      </c>
    </row>
    <row r="342">
      <c r="A342">
        <f>Skills!A16</f>
        <v/>
      </c>
      <c r="B342">
        <f>Skills!B16</f>
        <v/>
      </c>
      <c r="C342">
        <f>Inputs!$B$3&gt;=107</f>
        <v/>
      </c>
      <c r="D342">
        <f>IF(Skills!C16=1,60+Inputs!$B$25+Inputs!$B$29,IF(Skills!C16=2,90+Inputs!$B$26+Inputs!$B$29,IF(Skills!C16=3,120+Inputs!$B$27+Inputs!$B$29,MAX(0,(Inputs!$B$3-100)*3)+Inputs!$B$28+Inputs!$B$29)))</f>
        <v/>
      </c>
      <c r="E342">
        <f>INDEX(FactorTable!$B$2:$Y$301, MATCH(ROUND(MIN(300,MAX(1,D342)),0), FactorTable!$A$2:$A$301,0), Skills!M16+1)</f>
        <v/>
      </c>
      <c r="F342">
        <f>IF(Skills!N16=TRUE,(Skills!L16/10)*(E342/1000),Skills!L16/10)+Skills!O16</f>
        <v/>
      </c>
      <c r="G342">
        <f>Calc!G16</f>
        <v/>
      </c>
      <c r="H342">
        <f>Calc!H16</f>
        <v/>
      </c>
      <c r="I342">
        <f>IF(Skills!X16&lt;&gt;"",1+(Skills!X16/10)*(Z329/1000)/100,1)</f>
        <v/>
      </c>
      <c r="J342">
        <f>((Inputs!$B$6*(1+Inputs!$B$7/100))+(((Inputs!$B$12*(1+Inputs!$B$13/100))-(Inputs!$B$12*(1+Inputs!$B$13/100)))+0.25*(Inputs!$B$14-Inputs!$B$14))*(1+Inputs!$B$7/100))*(F342/100)</f>
        <v/>
      </c>
      <c r="K342">
        <f>J342*(1+((Inputs!$B$12*(1+Inputs!$B$13/100))*0.01+Inputs!$B$14*0.0025)/100)*(1+Inputs!$B$15/100)*(1+IF(Inputs!$B$38="pvp",0,(1-Summary!$B$56)*(Inputs!$B$20+Skills!P16)+Summary!$B$56*(Inputs!$B$21+Skills!Q16))/100)*(1+Inputs!$B$16/100)*(5000/(6000+Inputs!$B$42*(1-Inputs!$B$19/100)))*(1+Inputs!$B$24/100)*(1+F349/100)*(1+IF(Inputs!$B$3&gt;=120,F352,0)/100)^5*(1+(IF(Skills!A16="BASIC_ATTACK",Inputs!$B$17,Inputs!$B$18+IF(Inputs!$B$3&gt;=125,F353*5,0)))/100)*(B356*B357*B358*I342)</f>
        <v/>
      </c>
      <c r="L342">
        <f>K342*(MIN((Inputs!$B$22+1)+(F348-Calc!F22),Inputs!$B$23)/100+Inputs!$B$23/100)/2</f>
        <v/>
      </c>
      <c r="M342">
        <f>L342*(1+(Inputs!$B$10+(F347-Calc!F21))/100)</f>
        <v/>
      </c>
      <c r="N342">
        <f>L342*(1-MIN(Inputs!$B$9+(F346-Calc!F20),100)/100)+M342*(MIN(Inputs!$B$9+(F346-Calc!F20),100)/100)</f>
        <v/>
      </c>
      <c r="O342">
        <f>IF(C342,H342*N342*IF(AND(Inputs!$B$38&lt;&gt;"pvp",Inputs!$B$43&gt;0),((Skills!G16*((R342-1)*IF(Skills!H16&gt;0,Skills!I16/Skills!H16,1)+IF(Skills!H16&gt;0,MIN(Skills!I16,MAX(0,Inputs!$B$43-((R342-1)*IF(Inputs!$B$38="pvp",15,MAX(0.1,Skills!E16-IF(Skills!F16=TRUE,Inputs!$B$32,0))))))/Skills!H16,1)))/Inputs!$B$43),G342*Q342)*(1+IF(Inputs!$B$3&gt;=126,0.05*(B362+Q339+(H340*B363)/(1+Skills!H14*H340*B363)+Q350),0)*Skills!E15)*IF(Inputs!$B$38="pvp",1,(1-Summary!$B$56)*(1)+Summary!$B$56*(MIN(Skills!R16,Inputs!$B$37))),0)</f>
        <v/>
      </c>
      <c r="P342">
        <f>IF(B365=0,0,O342/B365)</f>
        <v/>
      </c>
      <c r="Q342">
        <f>IFERROR(1/IF(Inputs!$B$38="pvp",15,MAX(0.1,Skills!E16-IF(Skills!F16=TRUE,Inputs!$B$32,0))),0)</f>
        <v/>
      </c>
      <c r="R342">
        <f>IF(AND(Inputs!$B$38&lt;&gt;"pvp",Inputs!$B$43&gt;0),(INT(Inputs!$B$43/IF(Inputs!$B$38="pvp",15,MAX(0.1,Skills!E16-IF(Skills!F16=TRUE,Inputs!$B$32,0))))+1),0)</f>
        <v/>
      </c>
    </row>
    <row r="343">
      <c r="A343">
        <f>Skills!A17</f>
        <v/>
      </c>
      <c r="B343">
        <f>Skills!B17</f>
        <v/>
      </c>
      <c r="C343">
        <f>TRUE</f>
        <v/>
      </c>
      <c r="D343">
        <f>IF(Skills!C17=1,60+Inputs!$B$25+Inputs!$B$29,IF(Skills!C17=2,90+Inputs!$B$26+Inputs!$B$29,IF(Skills!C17=3,120+Inputs!$B$27+Inputs!$B$29,MAX(0,(Inputs!$B$3-100)*3)+Inputs!$B$28+Inputs!$B$29)))</f>
        <v/>
      </c>
      <c r="E343">
        <f>INDEX(FactorTable!$B$2:$Y$301, MATCH(ROUND(MIN(300,MAX(1,D343)),0), FactorTable!$A$2:$A$301,0), Skills!M17+1)</f>
        <v/>
      </c>
      <c r="F343">
        <f>IF(Skills!N17=TRUE,(Skills!L17/10)*(E343/1000),Skills!L17/10)+Skills!O17</f>
        <v/>
      </c>
      <c r="G343">
        <f>Calc!G17</f>
        <v/>
      </c>
      <c r="H343">
        <f>Calc!H17</f>
        <v/>
      </c>
      <c r="I343">
        <f>IF(Skills!X17&lt;&gt;"",1+(Skills!X17/10)*(Z329/1000)/100,1)</f>
        <v/>
      </c>
      <c r="J343" t="inlineStr"/>
      <c r="K343" t="inlineStr"/>
      <c r="L343" t="inlineStr"/>
      <c r="M343" t="inlineStr"/>
      <c r="N343" t="inlineStr"/>
      <c r="O343" t="n">
        <v>0</v>
      </c>
      <c r="P343">
        <f>IF(B365=0,0,O343/B365)</f>
        <v/>
      </c>
      <c r="Q343">
        <f>IFERROR(1/IF(Inputs!$B$38="pvp",15,MAX(0.1,Skills!E17-IF(Skills!F17=TRUE,Inputs!$B$32,0))),0)</f>
        <v/>
      </c>
      <c r="R343">
        <f>IF(AND(Inputs!$B$38&lt;&gt;"pvp",Inputs!$B$43&gt;0),(INT(Inputs!$B$43/IF(Inputs!$B$38="pvp",15,MAX(0.1,Skills!E17-IF(Skills!F17=TRUE,Inputs!$B$32,0))))+1),0)</f>
        <v/>
      </c>
    </row>
    <row r="344">
      <c r="A344">
        <f>Skills!A18</f>
        <v/>
      </c>
      <c r="B344">
        <f>Skills!B18</f>
        <v/>
      </c>
      <c r="C344">
        <f>TRUE</f>
        <v/>
      </c>
      <c r="D344">
        <f>IF(Skills!C18=1,60+Inputs!$B$25+Inputs!$B$29,IF(Skills!C18=2,90+Inputs!$B$26+Inputs!$B$29,IF(Skills!C18=3,120+Inputs!$B$27+Inputs!$B$29,MAX(0,(Inputs!$B$3-100)*3)+Inputs!$B$28+Inputs!$B$29)))</f>
        <v/>
      </c>
      <c r="E344">
        <f>INDEX(FactorTable!$B$2:$Y$301, MATCH(ROUND(MIN(300,MAX(1,D344)),0), FactorTable!$A$2:$A$301,0), Skills!M18+1)</f>
        <v/>
      </c>
      <c r="F344">
        <f>IF(Skills!N18=TRUE,(Skills!L18/10)*(E344/1000),Skills!L18/10)+Skills!O18</f>
        <v/>
      </c>
      <c r="G344">
        <f>Calc!G18</f>
        <v/>
      </c>
      <c r="H344">
        <f>Calc!H18</f>
        <v/>
      </c>
      <c r="I344">
        <f>IF(Skills!X18&lt;&gt;"",1+(Skills!X18/10)*(Z329/1000)/100,1)</f>
        <v/>
      </c>
      <c r="J344" t="inlineStr"/>
      <c r="K344" t="inlineStr"/>
      <c r="L344" t="inlineStr"/>
      <c r="M344" t="inlineStr"/>
      <c r="N344" t="inlineStr"/>
      <c r="O344" t="n">
        <v>0</v>
      </c>
      <c r="P344">
        <f>IF(B365=0,0,O344/B365)</f>
        <v/>
      </c>
      <c r="Q344">
        <f>IFERROR(1/IF(Inputs!$B$38="pvp",15,MAX(0.1,Skills!E18-IF(Skills!F18=TRUE,Inputs!$B$32,0))),0)</f>
        <v/>
      </c>
      <c r="R344">
        <f>IF(AND(Inputs!$B$38&lt;&gt;"pvp",Inputs!$B$43&gt;0),(INT(Inputs!$B$43/IF(Inputs!$B$38="pvp",15,MAX(0.1,Skills!E18-IF(Skills!F18=TRUE,Inputs!$B$32,0))))+1),0)</f>
        <v/>
      </c>
    </row>
    <row r="345">
      <c r="A345">
        <f>Skills!A19</f>
        <v/>
      </c>
      <c r="B345">
        <f>Skills!B19</f>
        <v/>
      </c>
      <c r="C345">
        <f>Inputs!$B$3&gt;=110</f>
        <v/>
      </c>
      <c r="D345">
        <f>IF(Skills!C19=1,60+Inputs!$B$25+Inputs!$B$29,IF(Skills!C19=2,90+Inputs!$B$26+Inputs!$B$29,IF(Skills!C19=3,120+Inputs!$B$27+Inputs!$B$29,MAX(0,(Inputs!$B$3-100)*3)+Inputs!$B$28+Inputs!$B$29)))</f>
        <v/>
      </c>
      <c r="E345">
        <f>INDEX(FactorTable!$B$2:$Y$301, MATCH(ROUND(MIN(300,MAX(1,D345)),0), FactorTable!$A$2:$A$301,0), Skills!M19+1)</f>
        <v/>
      </c>
      <c r="F345">
        <f>IF(Skills!N19=TRUE,(Skills!L19/10)*(E345/1000),Skills!L19/10)+Skills!O19</f>
        <v/>
      </c>
      <c r="G345">
        <f>Calc!G19</f>
        <v/>
      </c>
      <c r="H345">
        <f>Calc!H19</f>
        <v/>
      </c>
      <c r="I345">
        <f>IF(Skills!X19&lt;&gt;"",1+(Skills!X19/10)*(Z329/1000)/100,1)</f>
        <v/>
      </c>
      <c r="J345" t="inlineStr"/>
      <c r="K345" t="inlineStr"/>
      <c r="L345" t="inlineStr"/>
      <c r="M345" t="inlineStr"/>
      <c r="N345" t="inlineStr"/>
      <c r="O345" t="n">
        <v>0</v>
      </c>
      <c r="P345">
        <f>IF(B365=0,0,O345/B365)</f>
        <v/>
      </c>
      <c r="Q345">
        <f>IFERROR(1/IF(Inputs!$B$38="pvp",15,MAX(0.1,Skills!E19-IF(Skills!F19=TRUE,Inputs!$B$32,0))),0)</f>
        <v/>
      </c>
      <c r="R345">
        <f>IF(AND(Inputs!$B$38&lt;&gt;"pvp",Inputs!$B$43&gt;0),(INT(Inputs!$B$43/IF(Inputs!$B$38="pvp",15,MAX(0.1,Skills!E19-IF(Skills!F19=TRUE,Inputs!$B$32,0))))+1),0)</f>
        <v/>
      </c>
    </row>
    <row r="346">
      <c r="A346">
        <f>Skills!A20</f>
        <v/>
      </c>
      <c r="B346">
        <f>Skills!B20</f>
        <v/>
      </c>
      <c r="C346">
        <f>TRUE</f>
        <v/>
      </c>
      <c r="D346">
        <f>IF(Skills!C20=1,60+Inputs!$B$25+Inputs!$B$29,IF(Skills!C20=2,90+Inputs!$B$26+Inputs!$B$29,IF(Skills!C20=3,120+Inputs!$B$27+Inputs!$B$29,MAX(0,(Inputs!$B$3-100)*3)+Inputs!$B$28+Inputs!$B$29)))</f>
        <v/>
      </c>
      <c r="E346">
        <f>INDEX(FactorTable!$B$2:$Y$301, MATCH(ROUND(MIN(300,MAX(1,D346)),0), FactorTable!$A$2:$A$301,0), Skills!M20+1)</f>
        <v/>
      </c>
      <c r="F346">
        <f>IF(Skills!N20=TRUE,(Skills!L20/10)*(E346/1000),Skills!L20/10)+Skills!O20</f>
        <v/>
      </c>
      <c r="G346">
        <f>Calc!G20</f>
        <v/>
      </c>
      <c r="H346">
        <f>Calc!H20</f>
        <v/>
      </c>
      <c r="I346">
        <f>IF(Skills!X20&lt;&gt;"",1+(Skills!X20/10)*(Z329/1000)/100,1)</f>
        <v/>
      </c>
      <c r="J346" t="inlineStr"/>
      <c r="K346" t="inlineStr"/>
      <c r="L346" t="inlineStr"/>
      <c r="M346" t="inlineStr"/>
      <c r="N346" t="inlineStr"/>
      <c r="O346" t="n">
        <v>0</v>
      </c>
      <c r="P346">
        <f>IF(B365=0,0,O346/B365)</f>
        <v/>
      </c>
      <c r="Q346">
        <f>IFERROR(1/IF(Inputs!$B$38="pvp",15,MAX(0.1,Skills!E20-IF(Skills!F20=TRUE,Inputs!$B$32,0))),0)</f>
        <v/>
      </c>
      <c r="R346" t="n">
        <v>0</v>
      </c>
    </row>
    <row r="347">
      <c r="A347">
        <f>Skills!A21</f>
        <v/>
      </c>
      <c r="B347">
        <f>Skills!B21</f>
        <v/>
      </c>
      <c r="C347">
        <f>TRUE</f>
        <v/>
      </c>
      <c r="D347">
        <f>IF(Skills!C21=1,60+Inputs!$B$25+Inputs!$B$29,IF(Skills!C21=2,90+Inputs!$B$26+Inputs!$B$29,IF(Skills!C21=3,120+Inputs!$B$27+Inputs!$B$29,MAX(0,(Inputs!$B$3-100)*3)+Inputs!$B$28+Inputs!$B$29)))</f>
        <v/>
      </c>
      <c r="E347">
        <f>INDEX(FactorTable!$B$2:$Y$301, MATCH(ROUND(MIN(300,MAX(1,D347)),0), FactorTable!$A$2:$A$301,0), Skills!M21+1)</f>
        <v/>
      </c>
      <c r="F347">
        <f>IF(Skills!N21=TRUE,(Skills!L21/10)*(E347/1000),Skills!L21/10)+Skills!O21</f>
        <v/>
      </c>
      <c r="G347">
        <f>Calc!G21</f>
        <v/>
      </c>
      <c r="H347">
        <f>Calc!H21</f>
        <v/>
      </c>
      <c r="I347">
        <f>IF(Skills!X21&lt;&gt;"",1+(Skills!X21/10)*(Z329/1000)/100,1)</f>
        <v/>
      </c>
      <c r="J347" t="inlineStr"/>
      <c r="K347" t="inlineStr"/>
      <c r="L347" t="inlineStr"/>
      <c r="M347" t="inlineStr"/>
      <c r="N347" t="inlineStr"/>
      <c r="O347" t="n">
        <v>0</v>
      </c>
      <c r="P347">
        <f>IF(B365=0,0,O347/B365)</f>
        <v/>
      </c>
      <c r="Q347">
        <f>IFERROR(1/IF(Inputs!$B$38="pvp",15,MAX(0.1,Skills!E21-IF(Skills!F21=TRUE,Inputs!$B$32,0))),0)</f>
        <v/>
      </c>
      <c r="R347" t="n">
        <v>0</v>
      </c>
    </row>
    <row r="348">
      <c r="A348">
        <f>Skills!A22</f>
        <v/>
      </c>
      <c r="B348">
        <f>Skills!B22</f>
        <v/>
      </c>
      <c r="C348">
        <f>TRUE</f>
        <v/>
      </c>
      <c r="D348">
        <f>IF(Skills!C22=1,60+Inputs!$B$25+Inputs!$B$29,IF(Skills!C22=2,90+Inputs!$B$26+Inputs!$B$29,IF(Skills!C22=3,120+Inputs!$B$27+Inputs!$B$29,MAX(0,(Inputs!$B$3-100)*3)+Inputs!$B$28+Inputs!$B$29)))</f>
        <v/>
      </c>
      <c r="E348">
        <f>INDEX(FactorTable!$B$2:$Y$301, MATCH(ROUND(MIN(300,MAX(1,D348)),0), FactorTable!$A$2:$A$301,0), Skills!M22+1)</f>
        <v/>
      </c>
      <c r="F348">
        <f>IF(Skills!N22=TRUE,(Skills!L22/10)*(E348/1000),Skills!L22/10)+Skills!O22</f>
        <v/>
      </c>
      <c r="G348">
        <f>Calc!G22</f>
        <v/>
      </c>
      <c r="H348">
        <f>Calc!H22</f>
        <v/>
      </c>
      <c r="I348">
        <f>IF(Skills!X22&lt;&gt;"",1+(Skills!X22/10)*(Z329/1000)/100,1)</f>
        <v/>
      </c>
      <c r="J348" t="inlineStr"/>
      <c r="K348" t="inlineStr"/>
      <c r="L348" t="inlineStr"/>
      <c r="M348" t="inlineStr"/>
      <c r="N348" t="inlineStr"/>
      <c r="O348" t="n">
        <v>0</v>
      </c>
      <c r="P348">
        <f>IF(B365=0,0,O348/B365)</f>
        <v/>
      </c>
      <c r="Q348">
        <f>IFERROR(1/IF(Inputs!$B$38="pvp",15,MAX(0.1,Skills!E22-IF(Skills!F22=TRUE,Inputs!$B$32,0))),0)</f>
        <v/>
      </c>
      <c r="R348" t="n">
        <v>0</v>
      </c>
    </row>
    <row r="349">
      <c r="A349">
        <f>Skills!A23</f>
        <v/>
      </c>
      <c r="B349">
        <f>Skills!B23</f>
        <v/>
      </c>
      <c r="C349">
        <f>TRUE</f>
        <v/>
      </c>
      <c r="D349">
        <f>IF(Skills!C23=1,60+Inputs!$B$25+Inputs!$B$29,IF(Skills!C23=2,90+Inputs!$B$26+Inputs!$B$29,IF(Skills!C23=3,120+Inputs!$B$27+Inputs!$B$29,MAX(0,(Inputs!$B$3-100)*3)+Inputs!$B$28+Inputs!$B$29)))</f>
        <v/>
      </c>
      <c r="E349">
        <f>INDEX(FactorTable!$B$2:$Y$301, MATCH(ROUND(MIN(300,MAX(1,D349)),0), FactorTable!$A$2:$A$301,0), Skills!M23+1)</f>
        <v/>
      </c>
      <c r="F349">
        <f>IF(Skills!N23=TRUE,(Skills!L23/10)*(E349/1000),Skills!L23/10)+Skills!O23</f>
        <v/>
      </c>
      <c r="G349">
        <f>Calc!G23</f>
        <v/>
      </c>
      <c r="H349">
        <f>Calc!H23</f>
        <v/>
      </c>
      <c r="I349">
        <f>IF(Skills!X23&lt;&gt;"",1+(Skills!X23/10)*(Z329/1000)/100,1)</f>
        <v/>
      </c>
      <c r="J349" t="inlineStr"/>
      <c r="K349" t="inlineStr"/>
      <c r="L349" t="inlineStr"/>
      <c r="M349" t="inlineStr"/>
      <c r="N349" t="inlineStr"/>
      <c r="O349" t="n">
        <v>0</v>
      </c>
      <c r="P349">
        <f>IF(B365=0,0,O349/B365)</f>
        <v/>
      </c>
      <c r="Q349">
        <f>IFERROR(1/IF(Inputs!$B$38="pvp",15,MAX(0.1,Skills!E23-IF(Skills!F23=TRUE,Inputs!$B$32,0))),0)</f>
        <v/>
      </c>
      <c r="R349" t="n">
        <v>0</v>
      </c>
    </row>
    <row r="350">
      <c r="A350">
        <f>Skills!A24</f>
        <v/>
      </c>
      <c r="B350">
        <f>Skills!B24</f>
        <v/>
      </c>
      <c r="C350">
        <f>Inputs!$B$3&gt;=115</f>
        <v/>
      </c>
      <c r="D350">
        <f>IF(Skills!C24=1,60+Inputs!$B$25+Inputs!$B$29,IF(Skills!C24=2,90+Inputs!$B$26+Inputs!$B$29,IF(Skills!C24=3,120+Inputs!$B$27+Inputs!$B$29,MAX(0,(Inputs!$B$3-100)*3)+Inputs!$B$28+Inputs!$B$29)))</f>
        <v/>
      </c>
      <c r="E350">
        <f>INDEX(FactorTable!$B$2:$Y$301, MATCH(ROUND(MIN(300,MAX(1,D350)),0), FactorTable!$A$2:$A$301,0), Skills!M24+1)</f>
        <v/>
      </c>
      <c r="F350">
        <f>IF(Skills!N24=TRUE,(Skills!L24/10)*(E350/1000),Skills!L24/10)+Skills!O24</f>
        <v/>
      </c>
      <c r="G350">
        <f>Calc!G24</f>
        <v/>
      </c>
      <c r="H350">
        <f>Calc!H24</f>
        <v/>
      </c>
      <c r="I350">
        <f>IF(Skills!X24&lt;&gt;"",1+(Skills!X24/10)*(Z329/1000)/100,1)</f>
        <v/>
      </c>
      <c r="J350">
        <f>((Inputs!$B$6*(1+Inputs!$B$7/100))+(((Inputs!$B$12*(1+Inputs!$B$13/100))-(Inputs!$B$12*(1+Inputs!$B$13/100)))+0.25*(Inputs!$B$14-Inputs!$B$14))*(1+Inputs!$B$7/100))*(F350/100)</f>
        <v/>
      </c>
      <c r="K350">
        <f>J350*(1+((Inputs!$B$12*(1+Inputs!$B$13/100))*0.01+Inputs!$B$14*0.0025)/100)*(1+Inputs!$B$15/100)*(1+IF(Inputs!$B$38="pvp",0,(1-Summary!$B$56)*(Inputs!$B$20+Skills!P24)+Summary!$B$56*(Inputs!$B$21+Skills!Q24))/100)*(1+Inputs!$B$16/100)*(5000/(6000+Inputs!$B$42*(1-Inputs!$B$19/100)))*(1+Inputs!$B$24/100)*(1+F349/100)*(1+IF(Inputs!$B$3&gt;=120,F352,0)/100)^5*(1+(IF(Skills!A24="BASIC_ATTACK",Inputs!$B$17,Inputs!$B$18+IF(Inputs!$B$3&gt;=125,F353*5,0)))/100)*(B356*B357*B358*I350)</f>
        <v/>
      </c>
      <c r="L350">
        <f>K350*(MIN((Inputs!$B$22+1)+(F348-Calc!F22),Inputs!$B$23)/100+Inputs!$B$23/100)/2</f>
        <v/>
      </c>
      <c r="M350">
        <f>L350*(1+(Inputs!$B$10+(F347-Calc!F21))/100)</f>
        <v/>
      </c>
      <c r="N350">
        <f>L350*(1-MIN(Inputs!$B$9+(F346-Calc!F20),100)/100)+M350*(MIN(Inputs!$B$9+(F346-Calc!F20),100)/100)</f>
        <v/>
      </c>
      <c r="O350">
        <f>IF(C350,H350*N350*IF(AND(Inputs!$B$38&lt;&gt;"pvp",Inputs!$B$43&gt;0),((Skills!G24*((R350-1)*IF(Skills!H24&gt;0,Skills!I24/Skills!H24,1)+IF(Skills!H24&gt;0,MIN(Skills!I24,MAX(0,Inputs!$B$43-((R350-1)*IF(Inputs!$B$38="pvp",15,MAX(0.1,Skills!E24-IF(Skills!F24=TRUE,Inputs!$B$32,0))))))/Skills!H24,1)))/Inputs!$B$43),G350*Q350)*(1+IF(Inputs!$B$3&gt;=130,0.2*(Skills!I16/Skills!E15+IF(Inputs!$B$3&gt;=126,0.05*(B362+Q339+(H340*B363)/(1+Skills!H14*H340*B363)+Q350),0)*Skills!I16),0))*IF(Inputs!$B$38="pvp",1,(1-Summary!$B$56)*(1)+Summary!$B$56*(MIN(Skills!R24,Inputs!$B$37))),0)</f>
        <v/>
      </c>
      <c r="P350">
        <f>IF(B365=0,0,O350/B365)</f>
        <v/>
      </c>
      <c r="Q350">
        <f>IFERROR(1/IF(Inputs!$B$38="pvp",15,MAX(0.1,Skills!E24-IF(Skills!F24=TRUE,Inputs!$B$32,0))),0)</f>
        <v/>
      </c>
      <c r="R350">
        <f>IF(AND(Inputs!$B$38&lt;&gt;"pvp",Inputs!$B$43&gt;0),(INT(Inputs!$B$43/IF(Inputs!$B$38="pvp",15,MAX(0.1,Skills!E24-IF(Skills!F24=TRUE,Inputs!$B$32,0))))+1),0)</f>
        <v/>
      </c>
    </row>
    <row r="351">
      <c r="A351">
        <f>Skills!A25</f>
        <v/>
      </c>
      <c r="B351">
        <f>Skills!B25</f>
        <v/>
      </c>
      <c r="C351">
        <f>Inputs!$B$3&gt;=117</f>
        <v/>
      </c>
      <c r="D351">
        <f>IF(Skills!C25=1,60+Inputs!$B$25+Inputs!$B$29,IF(Skills!C25=2,90+Inputs!$B$26+Inputs!$B$29,IF(Skills!C25=3,120+Inputs!$B$27+Inputs!$B$29,MAX(0,(Inputs!$B$3-100)*3)+Inputs!$B$28+Inputs!$B$29)))</f>
        <v/>
      </c>
      <c r="E351">
        <f>INDEX(FactorTable!$B$2:$Y$301, MATCH(ROUND(MIN(300,MAX(1,D351)),0), FactorTable!$A$2:$A$301,0), Skills!M25+1)</f>
        <v/>
      </c>
      <c r="F351">
        <f>IF(Skills!N25=TRUE,(Skills!L25/10)*(E351/1000),Skills!L25/10)+Skills!O25</f>
        <v/>
      </c>
      <c r="G351">
        <f>Calc!G25</f>
        <v/>
      </c>
      <c r="H351">
        <f>Calc!H25</f>
        <v/>
      </c>
      <c r="I351">
        <f>IF(Skills!X25&lt;&gt;"",1+(Skills!X25/10)*(Z329/1000)/100,1)</f>
        <v/>
      </c>
      <c r="J351" t="inlineStr"/>
      <c r="K351" t="inlineStr"/>
      <c r="L351" t="inlineStr"/>
      <c r="M351" t="inlineStr"/>
      <c r="N351" t="inlineStr"/>
      <c r="O351" t="n">
        <v>0</v>
      </c>
      <c r="P351">
        <f>IF(B365=0,0,O351/B365)</f>
        <v/>
      </c>
      <c r="Q351">
        <f>IFERROR(1/IF(Inputs!$B$38="pvp",15,MAX(0.1,Skills!E25-IF(Skills!F25=TRUE,Inputs!$B$32,0))),0)</f>
        <v/>
      </c>
      <c r="R351" t="n">
        <v>0</v>
      </c>
    </row>
    <row r="352">
      <c r="A352">
        <f>Skills!A26</f>
        <v/>
      </c>
      <c r="B352">
        <f>Skills!B26</f>
        <v/>
      </c>
      <c r="C352">
        <f>Inputs!$B$3&gt;=120</f>
        <v/>
      </c>
      <c r="D352">
        <f>IF(Skills!C26=1,60+Inputs!$B$25+Inputs!$B$29,IF(Skills!C26=2,90+Inputs!$B$26+Inputs!$B$29,IF(Skills!C26=3,120+Inputs!$B$27+Inputs!$B$29,MAX(0,(Inputs!$B$3-100)*3)+Inputs!$B$28+Inputs!$B$29)))</f>
        <v/>
      </c>
      <c r="E352">
        <f>INDEX(FactorTable!$B$2:$Y$301, MATCH(ROUND(MIN(300,MAX(1,D352)),0), FactorTable!$A$2:$A$301,0), Skills!M26+1)</f>
        <v/>
      </c>
      <c r="F352">
        <f>IF(Skills!N26=TRUE,(Skills!L26/10)*(E352/1000),Skills!L26/10)+Skills!O26</f>
        <v/>
      </c>
      <c r="G352">
        <f>Calc!G26</f>
        <v/>
      </c>
      <c r="H352">
        <f>Calc!H26</f>
        <v/>
      </c>
      <c r="I352">
        <f>IF(Skills!X26&lt;&gt;"",1+(Skills!X26/10)*(Z329/1000)/100,1)</f>
        <v/>
      </c>
      <c r="J352" t="inlineStr"/>
      <c r="K352" t="inlineStr"/>
      <c r="L352" t="inlineStr"/>
      <c r="M352" t="inlineStr"/>
      <c r="N352" t="inlineStr"/>
      <c r="O352" t="n">
        <v>0</v>
      </c>
      <c r="P352">
        <f>IF(B365=0,0,O352/B365)</f>
        <v/>
      </c>
      <c r="Q352">
        <f>IFERROR(1/IF(Inputs!$B$38="pvp",15,MAX(0.1,Skills!E26-IF(Skills!F26=TRUE,Inputs!$B$32,0))),0)</f>
        <v/>
      </c>
      <c r="R352" t="n">
        <v>0</v>
      </c>
    </row>
    <row r="353">
      <c r="A353">
        <f>Skills!A27</f>
        <v/>
      </c>
      <c r="B353">
        <f>Skills!B27</f>
        <v/>
      </c>
      <c r="C353">
        <f>Inputs!$B$3&gt;=125</f>
        <v/>
      </c>
      <c r="D353">
        <f>IF(Skills!C27=1,60+Inputs!$B$25+Inputs!$B$29,IF(Skills!C27=2,90+Inputs!$B$26+Inputs!$B$29,IF(Skills!C27=3,120+Inputs!$B$27+Inputs!$B$29,MAX(0,(Inputs!$B$3-100)*3)+Inputs!$B$28+Inputs!$B$29)))</f>
        <v/>
      </c>
      <c r="E353">
        <f>INDEX(FactorTable!$B$2:$Y$301, MATCH(ROUND(MIN(300,MAX(1,D353)),0), FactorTable!$A$2:$A$301,0), Skills!M27+1)</f>
        <v/>
      </c>
      <c r="F353">
        <f>IF(Skills!N27=TRUE,(Skills!L27/10)*(E353/1000),Skills!L27/10)+Skills!O27</f>
        <v/>
      </c>
      <c r="G353">
        <f>Calc!G27</f>
        <v/>
      </c>
      <c r="H353">
        <f>Calc!H27</f>
        <v/>
      </c>
      <c r="I353">
        <f>IF(Skills!X27&lt;&gt;"",1+(Skills!X27/10)*(Z329/1000)/100,1)</f>
        <v/>
      </c>
      <c r="J353" t="inlineStr"/>
      <c r="K353" t="inlineStr"/>
      <c r="L353" t="inlineStr"/>
      <c r="M353" t="inlineStr"/>
      <c r="N353" t="inlineStr"/>
      <c r="O353" t="n">
        <v>0</v>
      </c>
      <c r="P353">
        <f>IF(B365=0,0,O353/B365)</f>
        <v/>
      </c>
      <c r="Q353">
        <f>IFERROR(1/IF(Inputs!$B$38="pvp",15,MAX(0.1,Skills!E27-IF(Skills!F27=TRUE,Inputs!$B$32,0))),0)</f>
        <v/>
      </c>
      <c r="R353" t="n">
        <v>0</v>
      </c>
    </row>
    <row r="354">
      <c r="A354">
        <f>Skills!A28</f>
        <v/>
      </c>
      <c r="B354">
        <f>Skills!B28</f>
        <v/>
      </c>
      <c r="C354">
        <f>Inputs!$B$3&gt;=118</f>
        <v/>
      </c>
      <c r="D354">
        <f>IF(Skills!C28=1,60+Inputs!$B$25+Inputs!$B$29,IF(Skills!C28=2,90+Inputs!$B$26+Inputs!$B$29,IF(Skills!C28=3,120+Inputs!$B$27+Inputs!$B$29,MAX(0,(Inputs!$B$3-100)*3)+Inputs!$B$28+Inputs!$B$29)))</f>
        <v/>
      </c>
      <c r="E354">
        <f>INDEX(FactorTable!$B$2:$Y$301, MATCH(ROUND(MIN(300,MAX(1,D354)),0), FactorTable!$A$2:$A$301,0), Skills!M28+1)</f>
        <v/>
      </c>
      <c r="F354">
        <f>IF(Skills!N28=TRUE,(Skills!L28/10)*(E354/1000),Skills!L28/10)+Skills!O28</f>
        <v/>
      </c>
      <c r="G354">
        <f>Calc!G28</f>
        <v/>
      </c>
      <c r="H354">
        <f>Calc!H28</f>
        <v/>
      </c>
      <c r="I354">
        <f>IF(Skills!X28&lt;&gt;"",1+(Skills!X28/10)*(Z329/1000)/100,1)</f>
        <v/>
      </c>
      <c r="J354">
        <f>((Inputs!$B$6*(1+Inputs!$B$7/100))+(((Inputs!$B$12*(1+Inputs!$B$13/100))-(Inputs!$B$12*(1+Inputs!$B$13/100)))+0.25*(Inputs!$B$14-Inputs!$B$14))*(1+Inputs!$B$7/100))*(F354/100)</f>
        <v/>
      </c>
      <c r="K354">
        <f>J354*(1+((Inputs!$B$12*(1+Inputs!$B$13/100))*0.01+Inputs!$B$14*0.0025)/100)*(1+Inputs!$B$15/100)*(1+IF(Inputs!$B$38="pvp",0,(1-Summary!$B$56)*(Inputs!$B$20+Skills!P28)+Summary!$B$56*(Inputs!$B$21+Skills!Q28))/100)*(1+Inputs!$B$16/100)*(5000/(6000+Inputs!$B$42*(1-Inputs!$B$19/100)))*(1+Inputs!$B$24/100)*(1+F349/100)*(1+IF(Inputs!$B$3&gt;=120,F352,0)/100)^5*(1+(IF(Skills!A28="BASIC_ATTACK",Inputs!$B$17,Inputs!$B$18+IF(Inputs!$B$3&gt;=125,F353*5,0)))/100)*(B356*B357*B358*I354)</f>
        <v/>
      </c>
      <c r="L354">
        <f>K354*(MIN((Inputs!$B$22+1)+(F348-Calc!F22),Inputs!$B$23)/100+Inputs!$B$23/100)/2</f>
        <v/>
      </c>
      <c r="M354">
        <f>L354*(1+(Inputs!$B$10+(F347-Calc!F21))/100)</f>
        <v/>
      </c>
      <c r="N354">
        <f>L354*(1-MIN(Inputs!$B$9+(F346-Calc!F20),100)/100)+M354*(MIN(Inputs!$B$9+(F346-Calc!F20),100)/100)</f>
        <v/>
      </c>
      <c r="O354">
        <f>IF(C354,H354*N354*IF(AND(Inputs!$B$38&lt;&gt;"pvp",Inputs!$B$43&gt;0),((Skills!G28*((R354-1)*IF(Skills!H28&gt;0,Skills!I28/Skills!H28,1)+IF(Skills!H28&gt;0,MIN(Skills!I28,MAX(0,Inputs!$B$43-((R354-1)*IF(Inputs!$B$38="pvp",15,MAX(0.1,Skills!E28-IF(Skills!F28=TRUE,Inputs!$B$32,0))))))/Skills!H28,1)))/Inputs!$B$43),G354*Q354)*IF(Inputs!$B$38="pvp",1,(1-Summary!$B$56)*(1)+Summary!$B$56*(MIN(Skills!R28,Inputs!$B$37))),0)</f>
        <v/>
      </c>
      <c r="P354">
        <f>IF(B365=0,0,O354/B365)</f>
        <v/>
      </c>
      <c r="Q354">
        <f>IFERROR(1/IF(Inputs!$B$38="pvp",15,MAX(0.1,Skills!E28-IF(Skills!F28=TRUE,Inputs!$B$32,0))),0)</f>
        <v/>
      </c>
      <c r="R354">
        <f>IF(AND(Inputs!$B$38&lt;&gt;"pvp",Inputs!$B$43&gt;0),(INT(Inputs!$B$43/IF(Inputs!$B$38="pvp",15,MAX(0.1,Skills!E28-IF(Skills!F28=TRUE,Inputs!$B$32,0))))+1),0)</f>
        <v/>
      </c>
    </row>
    <row r="356">
      <c r="A356" t="inlineStr">
        <is>
          <t>Burning Magic Multiplier</t>
        </is>
      </c>
      <c r="B356">
        <f>1+(F337*Skills!Z11)/100</f>
        <v/>
      </c>
    </row>
    <row r="357">
      <c r="A357" t="inlineStr">
        <is>
          <t>Elemental Decrease Multiplier (always-on)</t>
        </is>
      </c>
      <c r="B357">
        <f>1+F338/100</f>
        <v/>
      </c>
    </row>
    <row r="358">
      <c r="A358" t="inlineStr">
        <is>
          <t>Average Buff Multiplier (Magic Guard + Meditation, summed; then Infinity)</t>
        </is>
      </c>
      <c r="B358">
        <f>(1+(F332*IF(AND(Inputs!$B$38&lt;&gt;"pvp",Inputs!$B$43&gt;0),(((R332-1)*(Skills!T6*(1+(Inputs!$B$34+IF(Inputs!$B$3&gt;=117,F351,0))/100))+MIN((Skills!T6*(1+(Inputs!$B$34+IF(Inputs!$B$3&gt;=117,F351,0))/100)),MAX(0,Inputs!$B$43-((R332-1)*Skills!E6))))/Inputs!$B$43),IF(Inputs!$B$38="pvp",MIN((Skills!T6*(1+(Inputs!$B$34+IF(Inputs!$B$3&gt;=117,F351,0))/100)),15)/15,(Skills!T6*(1+(Inputs!$B$34+IF(Inputs!$B$3&gt;=117,F351,0))/100))/Skills!E6))+F343*IF(AND(Inputs!$B$38&lt;&gt;"pvp",Inputs!$B$43&gt;0),(((R343-1)*(Skills!T17*(1+(Inputs!$B$34+IF(Inputs!$B$3&gt;=117,F351,0))/100))+MIN((Skills!T17*(1+(Inputs!$B$34+IF(Inputs!$B$3&gt;=117,F351,0))/100)),MAX(0,Inputs!$B$43-((R343-1)*Skills!E17))))/Inputs!$B$43),IF(Inputs!$B$38="pvp",MIN((Skills!T17*(1+(Inputs!$B$34+IF(Inputs!$B$3&gt;=117,F351,0))/100)),15)/15,(Skills!T17*(1+(Inputs!$B$34+IF(Inputs!$B$3&gt;=117,F351,0))/100))/Skills!E17)))/100)*IF(C345=TRUE,(1+F345*IF(AND(Inputs!$B$38&lt;&gt;"pvp",Inputs!$B$43&gt;0),(((R345-1)*(Skills!T19*(1+(Inputs!$B$34+IF(Inputs!$B$3&gt;=117,F351,0))/100))+MIN((Skills!T19*(1+(Inputs!$B$34+IF(Inputs!$B$3&gt;=117,F351,0))/100)),MAX(0,Inputs!$B$43-((R345-1)*Skills!E19))))/Inputs!$B$43),IF(Inputs!$B$38="pvp",MIN((Skills!T19*(1+(Inputs!$B$34+IF(Inputs!$B$3&gt;=117,F351,0))/100)),15)/15,(Skills!T19*(1+(Inputs!$B$34+IF(Inputs!$B$3&gt;=117,F351,0))/100))/Skills!E19))/100),1)</f>
        <v/>
      </c>
    </row>
    <row r="359">
      <c r="A359" t="inlineStr">
        <is>
          <t>Attack Speed Buff Bonus % (Nimble Feet, averaged)</t>
        </is>
      </c>
      <c r="B359">
        <f>F344*IF(AND(Inputs!$B$38&lt;&gt;"pvp",Inputs!$B$43&gt;0),(((R344-1)*(Skills!T18*(1+(Inputs!$B$34+IF(Inputs!$B$3&gt;=117,F351,0))/100))+MIN((Skills!T18*(1+(Inputs!$B$34+IF(Inputs!$B$3&gt;=117,F351,0))/100)),MAX(0,Inputs!$B$43-((R344-1)*Skills!E18))))/Inputs!$B$43),IF(Inputs!$B$38="pvp",MIN((Skills!T18*(1+(Inputs!$B$34+IF(Inputs!$B$3&gt;=117,F351,0))/100)),15)/15,(Skills!T18*(1+(Inputs!$B$34+IF(Inputs!$B$3&gt;=117,F351,0))/100))/Skills!E18))</f>
        <v/>
      </c>
    </row>
    <row r="360">
      <c r="A360" t="inlineStr">
        <is>
          <t>Actions Per Second</t>
        </is>
      </c>
      <c r="B360">
        <f>1+MIN(150,150*(1-(1-Inputs!$B$11/150)*(1-B359/150)))/100</f>
        <v/>
      </c>
    </row>
    <row r="361">
      <c r="A361" t="inlineStr">
        <is>
          <t>Skill + Buff Cast Rate</t>
        </is>
      </c>
      <c r="B361">
        <f>IF(AND(Inputs!$B$38&lt;&gt;"pvp",Inputs!$B$43&gt;0),SUMPRODUCT((Skills!F2:F28=TRUE)*(C328:C354=TRUE)*R328:R354)/Inputs!$B$43,SUMPRODUCT((Skills!F2:F28=TRUE)*(C328:C354=TRUE)*Q328:Q354))</f>
        <v/>
      </c>
    </row>
    <row r="362">
      <c r="A362" t="inlineStr">
        <is>
          <t>Basic Attacks Per Second</t>
        </is>
      </c>
      <c r="B362">
        <f>MAX(0,B360-B361)</f>
        <v/>
      </c>
    </row>
    <row r="363">
      <c r="A363" t="inlineStr">
        <is>
          <t>Meteor Proc — combined trigger cast rate</t>
        </is>
      </c>
      <c r="B363">
        <f>IF(AND(Inputs!$B$38&lt;&gt;"pvp",Inputs!$B$43&gt;0),SUMPRODUCT((Skills!V2:V28=TRUE)*(C328:C354=TRUE)*R328:R354*Skills!W2:W28)/Inputs!$B$43,SUMPRODUCT((Skills!V2:V28=TRUE)*(C328:C354=TRUE)*Q328:Q354*Skills!W2:W28))+B362</f>
        <v/>
      </c>
    </row>
    <row r="365">
      <c r="A365" s="5" t="inlineStr">
        <is>
          <t>TOTAL DPS</t>
        </is>
      </c>
      <c r="B365" s="5">
        <f>SUM(O328:O354)</f>
        <v/>
      </c>
    </row>
    <row r="368">
      <c r="A368" s="5" t="inlineStr">
        <is>
          <t>Stat: MAX_DAMAGE %</t>
        </is>
      </c>
    </row>
    <row r="369">
      <c r="A369" s="9" t="inlineStr">
        <is>
          <t>Key</t>
        </is>
      </c>
      <c r="B369" s="9" t="inlineStr">
        <is>
          <t>Name</t>
        </is>
      </c>
      <c r="C369" s="9" t="inlineStr">
        <is>
          <t>Unlocked</t>
        </is>
      </c>
      <c r="D369" s="9" t="inlineStr">
        <is>
          <t>InputLevel</t>
        </is>
      </c>
      <c r="E369" s="9" t="inlineStr">
        <is>
          <t>Factor</t>
        </is>
      </c>
      <c r="F369" s="9" t="inlineStr">
        <is>
          <t>CoefficientPercent</t>
        </is>
      </c>
      <c r="G369" s="9" t="inlineStr">
        <is>
          <t>EffectiveHits</t>
        </is>
      </c>
      <c r="H369" s="9" t="inlineStr">
        <is>
          <t>ProcProbability</t>
        </is>
      </c>
      <c r="I369" s="9" t="inlineStr">
        <is>
          <t>MapleHeroMultiplier</t>
        </is>
      </c>
      <c r="J369" s="9" t="inlineStr">
        <is>
          <t>BaseDamage</t>
        </is>
      </c>
      <c r="K369" s="9" t="inlineStr">
        <is>
          <t>BaseHitDamage</t>
        </is>
      </c>
      <c r="L369" s="9" t="inlineStr">
        <is>
          <t>NonCritAvg</t>
        </is>
      </c>
      <c r="M369" s="9" t="inlineStr">
        <is>
          <t>CritAvg</t>
        </is>
      </c>
      <c r="N369" s="9" t="inlineStr">
        <is>
          <t>ExpectedDamage(perHit)</t>
        </is>
      </c>
      <c r="O369" s="9" t="inlineStr">
        <is>
          <t>DPS</t>
        </is>
      </c>
      <c r="P369" s="9" t="inlineStr">
        <is>
          <t>% of Total</t>
        </is>
      </c>
      <c r="R369" t="inlineStr">
        <is>
          <t>helpers</t>
        </is>
      </c>
    </row>
    <row r="370">
      <c r="A370">
        <f>Skills!A2</f>
        <v/>
      </c>
      <c r="B370">
        <f>Skills!B2</f>
        <v/>
      </c>
      <c r="C370">
        <f>TRUE</f>
        <v/>
      </c>
      <c r="D370" t="inlineStr"/>
      <c r="E370" t="inlineStr"/>
      <c r="F370">
        <f>T372+Skills!O2</f>
        <v/>
      </c>
      <c r="G370">
        <f>Calc!G2</f>
        <v/>
      </c>
      <c r="H370">
        <f>Calc!H2</f>
        <v/>
      </c>
      <c r="I370">
        <f>IF(Skills!X2&lt;&gt;"",1+(Skills!X2/10)*(Z371/1000)/100,1)</f>
        <v/>
      </c>
      <c r="J370">
        <f>((Inputs!$B$6*(1+Inputs!$B$7/100))+(((Inputs!$B$12*(1+Inputs!$B$13/100))-(Inputs!$B$12*(1+Inputs!$B$13/100)))+0.25*(Inputs!$B$14-Inputs!$B$14))*(1+Inputs!$B$7/100))*(F370/100)</f>
        <v/>
      </c>
      <c r="K370">
        <f>J370*(1+((Inputs!$B$12*(1+Inputs!$B$13/100))*0.01+Inputs!$B$14*0.0025)/100)*(1+Inputs!$B$15/100)*(1+IF(Inputs!$B$38="pvp",0,(1-Summary!$B$56)*(Inputs!$B$20+Skills!P2)+Summary!$B$56*(Inputs!$B$21+Skills!Q2))/100)*(1+Inputs!$B$16/100)*(5000/(6000+Inputs!$B$42*(1-Inputs!$B$19/100)))*(1+Inputs!$B$24/100)*(1+F391/100)*(1+IF(Inputs!$B$3&gt;=120,F394,0)/100)^5*(1+(IF(Skills!A2="BASIC_ATTACK",Inputs!$B$17,Inputs!$B$18+IF(Inputs!$B$3&gt;=125,F395*5,0)))/100)*(B398*B399*B400*I370)</f>
        <v/>
      </c>
      <c r="L370">
        <f>K370*(MIN(Inputs!$B$22+(F390-Calc!F22),(Inputs!$B$23+1))/100+(Inputs!$B$23+1)/100)/2</f>
        <v/>
      </c>
      <c r="M370">
        <f>L370*(1+(Inputs!$B$10+(F389-Calc!F21))/100)</f>
        <v/>
      </c>
      <c r="N370">
        <f>L370*(1-MIN(Inputs!$B$9+(F388-Calc!F20),100)/100)+M370*(MIN(Inputs!$B$9+(F388-Calc!F20),100)/100)</f>
        <v/>
      </c>
      <c r="O370">
        <f>Skills!G2*N370*B404*IF(Inputs!$B$38="pvp",1,(1-Summary!$B$56)*(1)+Summary!$B$56*(MIN((6+Inputs!$B$33+IF(Inputs!$B$3&gt;=136,1,0)),Inputs!$B$37)))</f>
        <v/>
      </c>
      <c r="P370">
        <f>IF(B407=0,0,O370/B407)</f>
        <v/>
      </c>
      <c r="Q370">
        <f>IFERROR(1/IF(Inputs!$B$38="pvp",15,MAX(0.1,Skills!E2-IF(Skills!F2=TRUE,Inputs!$B$32,0))),0)</f>
        <v/>
      </c>
      <c r="R370" t="n">
        <v>0</v>
      </c>
      <c r="T370">
        <f>MAX(0,(Inputs!$B$3-100)*3)+Inputs!$B$28+Inputs!$B$29</f>
        <v/>
      </c>
      <c r="Z370">
        <f>MAX(0,(Inputs!$B$3-100)*3)+Inputs!$B$28+Inputs!$B$29</f>
        <v/>
      </c>
    </row>
    <row r="371">
      <c r="A371">
        <f>Skills!A3</f>
        <v/>
      </c>
      <c r="B371">
        <f>Skills!B3</f>
        <v/>
      </c>
      <c r="C371">
        <f>TRUE</f>
        <v/>
      </c>
      <c r="D371">
        <f>IF(Skills!C3=1,60+Inputs!$B$25+Inputs!$B$29,IF(Skills!C3=2,90+Inputs!$B$26+Inputs!$B$29,IF(Skills!C3=3,120+Inputs!$B$27+Inputs!$B$29,MAX(0,(Inputs!$B$3-100)*3)+Inputs!$B$28+Inputs!$B$29)))</f>
        <v/>
      </c>
      <c r="E371">
        <f>INDEX(FactorTable!$B$2:$Y$301, MATCH(ROUND(MIN(300,MAX(1,D371)),0), FactorTable!$A$2:$A$301,0), Skills!M3+1)</f>
        <v/>
      </c>
      <c r="F371">
        <f>IF(Skills!N3=TRUE,(Skills!L3/10)*(E371/1000),Skills!L3/10)+Skills!O3</f>
        <v/>
      </c>
      <c r="G371">
        <f>Calc!G3</f>
        <v/>
      </c>
      <c r="H371">
        <f>Calc!H3</f>
        <v/>
      </c>
      <c r="I371">
        <f>IF(Skills!X3&lt;&gt;"",1+(Skills!X3/10)*(Z371/1000)/100,1)</f>
        <v/>
      </c>
      <c r="J371">
        <f>((Inputs!$B$6*(1+Inputs!$B$7/100))+(((Inputs!$B$12*(1+Inputs!$B$13/100))-(Inputs!$B$12*(1+Inputs!$B$13/100)))+0.25*(Inputs!$B$14-Inputs!$B$14))*(1+Inputs!$B$7/100))*(F371/100)</f>
        <v/>
      </c>
      <c r="K371">
        <f>J371*(1+((Inputs!$B$12*(1+Inputs!$B$13/100))*0.01+Inputs!$B$14*0.0025)/100)*(1+Inputs!$B$15/100)*(1+IF(Inputs!$B$38="pvp",0,(1-Summary!$B$56)*(Inputs!$B$20+Skills!P3)+Summary!$B$56*(Inputs!$B$21+Skills!Q3))/100)*(1+Inputs!$B$16/100)*(5000/(6000+Inputs!$B$42*(1-Inputs!$B$19/100)))*(1+Inputs!$B$24/100)*(1+F391/100)*(1+IF(Inputs!$B$3&gt;=120,F394,0)/100)^5*(1+(IF(Skills!A3="BASIC_ATTACK",Inputs!$B$17,Inputs!$B$18+IF(Inputs!$B$3&gt;=125,F395*5,0)))/100)*(B398*B399*B400*I371)</f>
        <v/>
      </c>
      <c r="L371">
        <f>K371*(MIN(Inputs!$B$22+(F390-Calc!F22),(Inputs!$B$23+1))/100+(Inputs!$B$23+1)/100)/2</f>
        <v/>
      </c>
      <c r="M371">
        <f>L371*(1+(Inputs!$B$10+(F389-Calc!F21))/100)</f>
        <v/>
      </c>
      <c r="N371">
        <f>L371*(1-MIN(Inputs!$B$9+(F388-Calc!F20),100)/100)+M371*(MIN(Inputs!$B$9+(F388-Calc!F20),100)/100)</f>
        <v/>
      </c>
      <c r="O371">
        <f>IF(C371,H371*N371*IF(AND(Inputs!$B$38&lt;&gt;"pvp",Inputs!$B$43&gt;0),((Skills!G3*((R371-1)*IF(Skills!H3&gt;0,Skills!I3/Skills!H3,1)+IF(Skills!H3&gt;0,MIN(Skills!I3,MAX(0,Inputs!$B$43-((R371-1)*IF(Inputs!$B$38="pvp",15,MAX(0.1,Skills!E3-IF(Skills!F3=TRUE,Inputs!$B$32,0))))))/Skills!H3,1)))/Inputs!$B$43),G371*Q371)*IF(Inputs!$B$38="pvp",1,(1-Summary!$B$56)*(1)+Summary!$B$56*(MIN(Skills!R3,Inputs!$B$37))),0)</f>
        <v/>
      </c>
      <c r="P371">
        <f>IF(B407=0,0,O371/B407)</f>
        <v/>
      </c>
      <c r="Q371">
        <f>IFERROR(1/IF(Inputs!$B$38="pvp",15,MAX(0.1,Skills!E3-IF(Skills!F3=TRUE,Inputs!$B$32,0))),0)</f>
        <v/>
      </c>
      <c r="R371">
        <f>IF(AND(Inputs!$B$38&lt;&gt;"pvp",Inputs!$B$43&gt;0),(INT(Inputs!$B$43/IF(Inputs!$B$38="pvp",15,MAX(0.1,Skills!E3-IF(Skills!F3=TRUE,Inputs!$B$32,0))))+1),0)</f>
        <v/>
      </c>
      <c r="T371">
        <f>INDEX(FactorTable!$B$2:$Y$301, MATCH(ROUND(MIN(300,MAX(1,T370)),0), FactorTable!$A$2:$A$301,0), 22)</f>
        <v/>
      </c>
      <c r="Z371">
        <f>INDEX(FactorTable!$B$2:$Y$301, MATCH(ROUND(MIN(300,MAX(1,Z370)),0), FactorTable!$A$2:$A$301,0), 24)</f>
        <v/>
      </c>
    </row>
    <row r="372">
      <c r="A372">
        <f>Skills!A4</f>
        <v/>
      </c>
      <c r="B372">
        <f>Skills!B4</f>
        <v/>
      </c>
      <c r="C372">
        <f>TRUE</f>
        <v/>
      </c>
      <c r="D372">
        <f>IF(Skills!C4=1,60+Inputs!$B$25+Inputs!$B$29,IF(Skills!C4=2,90+Inputs!$B$26+Inputs!$B$29,IF(Skills!C4=3,120+Inputs!$B$27+Inputs!$B$29,MAX(0,(Inputs!$B$3-100)*3)+Inputs!$B$28+Inputs!$B$29)))</f>
        <v/>
      </c>
      <c r="E372">
        <f>INDEX(FactorTable!$B$2:$Y$301, MATCH(ROUND(MIN(300,MAX(1,D372)),0), FactorTable!$A$2:$A$301,0), Skills!M4+1)</f>
        <v/>
      </c>
      <c r="F372">
        <f>IF(Skills!N4=TRUE,(Skills!L4/10)*(E372/1000),Skills!L4/10)+Skills!O4</f>
        <v/>
      </c>
      <c r="G372">
        <f>Calc!G4</f>
        <v/>
      </c>
      <c r="H372">
        <f>Calc!H4</f>
        <v/>
      </c>
      <c r="I372">
        <f>IF(Skills!X4&lt;&gt;"",1+(Skills!X4/10)*(Z371/1000)/100,1)</f>
        <v/>
      </c>
      <c r="J372">
        <f>((Inputs!$B$6*(1+Inputs!$B$7/100))+(((Inputs!$B$12*(1+Inputs!$B$13/100))-(Inputs!$B$12*(1+Inputs!$B$13/100)))+0.25*(Inputs!$B$14-Inputs!$B$14))*(1+Inputs!$B$7/100))*(F372/100)</f>
        <v/>
      </c>
      <c r="K372">
        <f>J372*(1+((Inputs!$B$12*(1+Inputs!$B$13/100))*0.01+Inputs!$B$14*0.0025)/100)*(1+Inputs!$B$15/100)*(1+IF(Inputs!$B$38="pvp",0,(1-Summary!$B$56)*(Inputs!$B$20+Skills!P4)+Summary!$B$56*(Inputs!$B$21+Skills!Q4))/100)*(1+Inputs!$B$16/100)*(5000/(6000+Inputs!$B$42*(1-Inputs!$B$19/100)))*(1+Inputs!$B$24/100)*(1+F391/100)*(1+IF(Inputs!$B$3&gt;=120,F394,0)/100)^5*(1+(IF(Skills!A4="BASIC_ATTACK",Inputs!$B$17,Inputs!$B$18+IF(Inputs!$B$3&gt;=125,F395*5,0)))/100)*(B398*B399*B400*I372)</f>
        <v/>
      </c>
      <c r="L372">
        <f>K372*(MIN(Inputs!$B$22+(F390-Calc!F22),(Inputs!$B$23+1))/100+(Inputs!$B$23+1)/100)/2</f>
        <v/>
      </c>
      <c r="M372">
        <f>L372*(1+(Inputs!$B$10+(F389-Calc!F21))/100)</f>
        <v/>
      </c>
      <c r="N372">
        <f>L372*(1-MIN(Inputs!$B$9+(F388-Calc!F20),100)/100)+M372*(MIN(Inputs!$B$9+(F388-Calc!F20),100)/100)</f>
        <v/>
      </c>
      <c r="O372">
        <f>IF(C372,H372*N372*IF(AND(Inputs!$B$38&lt;&gt;"pvp",Inputs!$B$43&gt;0),((Skills!G4*((R372-1)*IF(Skills!H4&gt;0,Skills!I4/Skills!H4,1)+IF(Skills!H4&gt;0,MIN(Skills!I4,MAX(0,Inputs!$B$43-((R372-1)*IF(Inputs!$B$38="pvp",15,MAX(0.1,Skills!E4-IF(Skills!F4=TRUE,Inputs!$B$32,0))))))/Skills!H4,1)))/Inputs!$B$43),G372*Q372)*IF(Inputs!$B$38="pvp",1,(1-Summary!$B$56)*(1)+Summary!$B$56*(MIN(Skills!R4,Inputs!$B$37))),0)</f>
        <v/>
      </c>
      <c r="P372">
        <f>IF(B407=0,0,O372/B407)</f>
        <v/>
      </c>
      <c r="Q372">
        <f>IFERROR(1/IF(Inputs!$B$38="pvp",15,MAX(0.1,Skills!E4-IF(Skills!F4=TRUE,Inputs!$B$32,0))),0)</f>
        <v/>
      </c>
      <c r="R372">
        <f>IF(AND(Inputs!$B$38&lt;&gt;"pvp",Inputs!$B$43&gt;0),(INT(Inputs!$B$43/IF(Inputs!$B$38="pvp",15,MAX(0.1,Skills!E4-IF(Skills!F4=TRUE,Inputs!$B$32,0))))+1),0)</f>
        <v/>
      </c>
      <c r="T372">
        <f>290*T371/1000</f>
        <v/>
      </c>
    </row>
    <row r="373">
      <c r="A373">
        <f>Skills!A5</f>
        <v/>
      </c>
      <c r="B373">
        <f>Skills!B5</f>
        <v/>
      </c>
      <c r="C373">
        <f>TRUE</f>
        <v/>
      </c>
      <c r="D373">
        <f>IF(Skills!C5=1,60+Inputs!$B$25+Inputs!$B$29,IF(Skills!C5=2,90+Inputs!$B$26+Inputs!$B$29,IF(Skills!C5=3,120+Inputs!$B$27+Inputs!$B$29,MAX(0,(Inputs!$B$3-100)*3)+Inputs!$B$28+Inputs!$B$29)))</f>
        <v/>
      </c>
      <c r="E373">
        <f>INDEX(FactorTable!$B$2:$Y$301, MATCH(ROUND(MIN(300,MAX(1,D373)),0), FactorTable!$A$2:$A$301,0), Skills!M5+1)</f>
        <v/>
      </c>
      <c r="F373">
        <f>IF(Skills!N5=TRUE,(Skills!L5/10)*(E373/1000),Skills!L5/10)+Skills!O5</f>
        <v/>
      </c>
      <c r="G373">
        <f>Calc!G5</f>
        <v/>
      </c>
      <c r="H373">
        <f>Calc!H5</f>
        <v/>
      </c>
      <c r="I373">
        <f>IF(Skills!X5&lt;&gt;"",1+(Skills!X5/10)*(Z371/1000)/100,1)</f>
        <v/>
      </c>
      <c r="J373">
        <f>((Inputs!$B$6*(1+Inputs!$B$7/100))+(((Inputs!$B$12*(1+Inputs!$B$13/100))-(Inputs!$B$12*(1+Inputs!$B$13/100)))+0.25*(Inputs!$B$14-Inputs!$B$14))*(1+Inputs!$B$7/100))*(F373/100)</f>
        <v/>
      </c>
      <c r="K373">
        <f>J373*(1+((Inputs!$B$12*(1+Inputs!$B$13/100))*0.01+Inputs!$B$14*0.0025)/100)*(1+Inputs!$B$15/100)*(1+IF(Inputs!$B$38="pvp",0,(1-Summary!$B$56)*(Inputs!$B$20+Skills!P5)+Summary!$B$56*(Inputs!$B$21+Skills!Q5))/100)*(1+Inputs!$B$16/100)*(5000/(6000+Inputs!$B$42*(1-Inputs!$B$19/100)))*(1+Inputs!$B$24/100)*(1+F391/100)*(1+IF(Inputs!$B$3&gt;=120,F394,0)/100)^5*(1+(IF(Skills!A5="BASIC_ATTACK",Inputs!$B$17,Inputs!$B$18+IF(Inputs!$B$3&gt;=125,F395*5,0)))/100)*(B398*B399*B400*I373)</f>
        <v/>
      </c>
      <c r="L373">
        <f>K373*(MIN(Inputs!$B$22+(F390-Calc!F22),(Inputs!$B$23+1))/100+(Inputs!$B$23+1)/100)/2</f>
        <v/>
      </c>
      <c r="M373">
        <f>L373*(1+(Inputs!$B$10+(F389-Calc!F21))/100)</f>
        <v/>
      </c>
      <c r="N373">
        <f>L373*(1-MIN(Inputs!$B$9+(F388-Calc!F20),100)/100)+M373*(MIN(Inputs!$B$9+(F388-Calc!F20),100)/100)</f>
        <v/>
      </c>
      <c r="O373">
        <f>IF(C373,H373*N373*IF(AND(Inputs!$B$38&lt;&gt;"pvp",Inputs!$B$43&gt;0),((Skills!G5*((R373-1)*IF(Skills!H5&gt;0,Skills!I5/Skills!H5,1)+IF(Skills!H5&gt;0,MIN(Skills!I5,MAX(0,Inputs!$B$43-((R373-1)*IF(Inputs!$B$38="pvp",15,MAX(0.1,Skills!E5-IF(Skills!F5=TRUE,Inputs!$B$32,0))))))/Skills!H5,1)))/Inputs!$B$43),G373*Q373)*IF(Inputs!$B$38="pvp",1,(1-Summary!$B$56)*(1)+Summary!$B$56*(MIN(Skills!R5,Inputs!$B$37))),0)</f>
        <v/>
      </c>
      <c r="P373">
        <f>IF(B407=0,0,O373/B407)</f>
        <v/>
      </c>
      <c r="Q373">
        <f>IFERROR(1/IF(Inputs!$B$38="pvp",15,MAX(0.1,Skills!E5-IF(Skills!F5=TRUE,Inputs!$B$32,0))),0)</f>
        <v/>
      </c>
      <c r="R373">
        <f>IF(AND(Inputs!$B$38&lt;&gt;"pvp",Inputs!$B$43&gt;0),(INT(Inputs!$B$43/IF(Inputs!$B$38="pvp",15,MAX(0.1,Skills!E5-IF(Skills!F5=TRUE,Inputs!$B$32,0))))+1),0)</f>
        <v/>
      </c>
    </row>
    <row r="374">
      <c r="A374">
        <f>Skills!A6</f>
        <v/>
      </c>
      <c r="B374">
        <f>Skills!B6</f>
        <v/>
      </c>
      <c r="C374">
        <f>TRUE</f>
        <v/>
      </c>
      <c r="D374">
        <f>IF(Skills!C6=1,60+Inputs!$B$25+Inputs!$B$29,IF(Skills!C6=2,90+Inputs!$B$26+Inputs!$B$29,IF(Skills!C6=3,120+Inputs!$B$27+Inputs!$B$29,MAX(0,(Inputs!$B$3-100)*3)+Inputs!$B$28+Inputs!$B$29)))</f>
        <v/>
      </c>
      <c r="E374">
        <f>INDEX(FactorTable!$B$2:$Y$301, MATCH(ROUND(MIN(300,MAX(1,D374)),0), FactorTable!$A$2:$A$301,0), Skills!M6+1)</f>
        <v/>
      </c>
      <c r="F374">
        <f>IF(Skills!N6=TRUE,(Skills!L6/10)*(E374/1000),Skills!L6/10)+Skills!O6</f>
        <v/>
      </c>
      <c r="G374">
        <f>Calc!G6</f>
        <v/>
      </c>
      <c r="H374">
        <f>Calc!H6</f>
        <v/>
      </c>
      <c r="I374">
        <f>IF(Skills!X6&lt;&gt;"",1+(Skills!X6/10)*(Z371/1000)/100,1)</f>
        <v/>
      </c>
      <c r="J374" t="inlineStr"/>
      <c r="K374" t="inlineStr"/>
      <c r="L374" t="inlineStr"/>
      <c r="M374" t="inlineStr"/>
      <c r="N374" t="inlineStr"/>
      <c r="O374" t="n">
        <v>0</v>
      </c>
      <c r="P374">
        <f>IF(B407=0,0,O374/B407)</f>
        <v/>
      </c>
      <c r="Q374">
        <f>IFERROR(1/IF(Inputs!$B$38="pvp",15,MAX(0.1,Skills!E6-IF(Skills!F6=TRUE,Inputs!$B$32,0))),0)</f>
        <v/>
      </c>
      <c r="R374">
        <f>IF(AND(Inputs!$B$38&lt;&gt;"pvp",Inputs!$B$43&gt;0),(INT(Inputs!$B$43/IF(Inputs!$B$38="pvp",15,MAX(0.1,Skills!E6-IF(Skills!F6=TRUE,Inputs!$B$32,0))))+1),0)</f>
        <v/>
      </c>
    </row>
    <row r="375">
      <c r="A375">
        <f>Skills!A7</f>
        <v/>
      </c>
      <c r="B375">
        <f>Skills!B7</f>
        <v/>
      </c>
      <c r="C375">
        <f>TRUE</f>
        <v/>
      </c>
      <c r="D375">
        <f>IF(Skills!C7=1,60+Inputs!$B$25+Inputs!$B$29,IF(Skills!C7=2,90+Inputs!$B$26+Inputs!$B$29,IF(Skills!C7=3,120+Inputs!$B$27+Inputs!$B$29,MAX(0,(Inputs!$B$3-100)*3)+Inputs!$B$28+Inputs!$B$29)))</f>
        <v/>
      </c>
      <c r="E375">
        <f>INDEX(FactorTable!$B$2:$Y$301, MATCH(ROUND(MIN(300,MAX(1,D375)),0), FactorTable!$A$2:$A$301,0), Skills!M7+1)</f>
        <v/>
      </c>
      <c r="F375">
        <f>IF(Skills!N7=TRUE,(Skills!L7/10)*(E375/1000),Skills!L7/10)+Skills!O7</f>
        <v/>
      </c>
      <c r="G375">
        <f>Calc!G7</f>
        <v/>
      </c>
      <c r="H375">
        <f>Calc!H7</f>
        <v/>
      </c>
      <c r="I375">
        <f>IF(Skills!X7&lt;&gt;"",1+(Skills!X7/10)*(Z371/1000)/100,1)</f>
        <v/>
      </c>
      <c r="J375">
        <f>((Inputs!$B$6*(1+Inputs!$B$7/100))+(((Inputs!$B$12*(1+Inputs!$B$13/100))-(Inputs!$B$12*(1+Inputs!$B$13/100)))+0.25*(Inputs!$B$14-Inputs!$B$14))*(1+Inputs!$B$7/100))*(F375/100)</f>
        <v/>
      </c>
      <c r="K375">
        <f>J375*(1+((Inputs!$B$12*(1+Inputs!$B$13/100))*0.01+Inputs!$B$14*0.0025)/100)*(1+Inputs!$B$15/100)*(1+IF(Inputs!$B$38="pvp",0,(1-Summary!$B$56)*(Inputs!$B$20+Skills!P7)+Summary!$B$56*(Inputs!$B$21+Skills!Q7))/100)*(1+Inputs!$B$16/100)*(5000/(6000+Inputs!$B$42*(1-Inputs!$B$19/100)))*(1+Inputs!$B$24/100)*(1+F391/100)*(1+IF(Inputs!$B$3&gt;=120,F394,0)/100)^5*(1+(IF(Skills!A7="BASIC_ATTACK",Inputs!$B$17,Inputs!$B$18+IF(Inputs!$B$3&gt;=125,F395*5,0)))/100)*(B398*B399*B400*I375)</f>
        <v/>
      </c>
      <c r="L375">
        <f>K375*(MIN(Inputs!$B$22+(F390-Calc!F22),(Inputs!$B$23+1))/100+(Inputs!$B$23+1)/100)/2</f>
        <v/>
      </c>
      <c r="M375">
        <f>L375*(1+(Inputs!$B$10+(F389-Calc!F21))/100)</f>
        <v/>
      </c>
      <c r="N375">
        <f>L375*(1-MIN(Inputs!$B$9+(F388-Calc!F20),100)/100)+M375*(MIN(Inputs!$B$9+(F388-Calc!F20),100)/100)</f>
        <v/>
      </c>
      <c r="O375">
        <f>IF(C375,H375*N375*IF(AND(Inputs!$B$38&lt;&gt;"pvp",Inputs!$B$43&gt;0),((Skills!G7*((R375-1)*IF(Skills!H7&gt;0,Skills!I7/Skills!H7,1)+IF(Skills!H7&gt;0,MIN(Skills!I7,MAX(0,Inputs!$B$43-((R375-1)*IF(Inputs!$B$38="pvp",15,MAX(0.1,Skills!E7-IF(Skills!F7=TRUE,Inputs!$B$32,0))))))/Skills!H7,1)))/Inputs!$B$43),G375*Q375)*IF(Inputs!$B$38="pvp",1,(1-Summary!$B$56)*(1)+Summary!$B$56*(MIN(Skills!R7,Inputs!$B$37))),0)</f>
        <v/>
      </c>
      <c r="P375">
        <f>IF(B407=0,0,O375/B407)</f>
        <v/>
      </c>
      <c r="Q375">
        <f>IFERROR(1/IF(Inputs!$B$38="pvp",15,MAX(0.1,Skills!E7-IF(Skills!F7=TRUE,Inputs!$B$32,0))),0)</f>
        <v/>
      </c>
      <c r="R375">
        <f>IF(AND(Inputs!$B$38&lt;&gt;"pvp",Inputs!$B$43&gt;0),(INT(Inputs!$B$43/IF(Inputs!$B$38="pvp",15,MAX(0.1,Skills!E7-IF(Skills!F7=TRUE,Inputs!$B$32,0))))+1),0)</f>
        <v/>
      </c>
    </row>
    <row r="376">
      <c r="A376">
        <f>Skills!A8</f>
        <v/>
      </c>
      <c r="B376">
        <f>Skills!B8</f>
        <v/>
      </c>
      <c r="C376">
        <f>TRUE</f>
        <v/>
      </c>
      <c r="D376">
        <f>IF(Skills!C8=1,60+Inputs!$B$25+Inputs!$B$29,IF(Skills!C8=2,90+Inputs!$B$26+Inputs!$B$29,IF(Skills!C8=3,120+Inputs!$B$27+Inputs!$B$29,MAX(0,(Inputs!$B$3-100)*3)+Inputs!$B$28+Inputs!$B$29)))</f>
        <v/>
      </c>
      <c r="E376">
        <f>INDEX(FactorTable!$B$2:$Y$301, MATCH(ROUND(MIN(300,MAX(1,D376)),0), FactorTable!$A$2:$A$301,0), Skills!M8+1)</f>
        <v/>
      </c>
      <c r="F376">
        <f>IF(Skills!N8=TRUE,(Skills!L8/10)*(E376/1000),Skills!L8/10)+Skills!O8</f>
        <v/>
      </c>
      <c r="G376">
        <f>Calc!G8</f>
        <v/>
      </c>
      <c r="H376">
        <f>Calc!H8</f>
        <v/>
      </c>
      <c r="I376">
        <f>IF(Skills!X8&lt;&gt;"",1+(Skills!X8/10)*(Z371/1000)/100,1)</f>
        <v/>
      </c>
      <c r="J376">
        <f>((Inputs!$B$6*(1+Inputs!$B$7/100))+(((Inputs!$B$12*(1+Inputs!$B$13/100))-(Inputs!$B$12*(1+Inputs!$B$13/100)))+0.25*(Inputs!$B$14-Inputs!$B$14))*(1+Inputs!$B$7/100))*(F376/100)</f>
        <v/>
      </c>
      <c r="K376">
        <f>J376*(1+((Inputs!$B$12*(1+Inputs!$B$13/100))*0.01+Inputs!$B$14*0.0025)/100)*(1+Inputs!$B$15/100)*(1+IF(Inputs!$B$38="pvp",0,(1-Summary!$B$56)*(Inputs!$B$20+Skills!P8)+Summary!$B$56*(Inputs!$B$21+Skills!Q8))/100)*(1+Inputs!$B$16/100)*(5000/(6000+Inputs!$B$42*(1-Inputs!$B$19/100)))*(1+Inputs!$B$24/100)*(1+F391/100)*(1+IF(Inputs!$B$3&gt;=120,F394,0)/100)^5*(1+(IF(Skills!A8="BASIC_ATTACK",Inputs!$B$17,Inputs!$B$18+IF(Inputs!$B$3&gt;=125,F395*5,0)))/100)*(B398*B399*B400*I376)</f>
        <v/>
      </c>
      <c r="L376">
        <f>K376*(MIN(Inputs!$B$22+(F390-Calc!F22),(Inputs!$B$23+1))/100+(Inputs!$B$23+1)/100)/2</f>
        <v/>
      </c>
      <c r="M376">
        <f>L376*(1+(Inputs!$B$10+(F389-Calc!F21))/100)</f>
        <v/>
      </c>
      <c r="N376">
        <f>L376*(1-MIN(Inputs!$B$9+(F388-Calc!F20),100)/100)+M376*(MIN(Inputs!$B$9+(F388-Calc!F20),100)/100)</f>
        <v/>
      </c>
      <c r="O376">
        <f>IF(C376,H376*N376*IF(AND(Inputs!$B$38&lt;&gt;"pvp",Inputs!$B$43&gt;0),((Skills!G8*((R376-1)*IF(Skills!H8&gt;0,Skills!I8/Skills!H8,1)+IF(Skills!H8&gt;0,MIN(Skills!I8,MAX(0,Inputs!$B$43-((R376-1)*IF(Inputs!$B$38="pvp",15,MAX(0.1,Skills!E8-IF(Skills!F8=TRUE,Inputs!$B$32,0))))))/Skills!H8,1)))/Inputs!$B$43),G376*Q376)*IF(Inputs!$B$38="pvp",1,(1-Summary!$B$56)*(1)+Summary!$B$56*(MIN(Skills!R8,Inputs!$B$37))),0)</f>
        <v/>
      </c>
      <c r="P376">
        <f>IF(B407=0,0,O376/B407)</f>
        <v/>
      </c>
      <c r="Q376">
        <f>IFERROR(1/IF(Inputs!$B$38="pvp",15,MAX(0.1,Skills!E8-IF(Skills!F8=TRUE,Inputs!$B$32,0))),0)</f>
        <v/>
      </c>
      <c r="R376">
        <f>IF(AND(Inputs!$B$38&lt;&gt;"pvp",Inputs!$B$43&gt;0),(INT(Inputs!$B$43/IF(Inputs!$B$38="pvp",15,MAX(0.1,Skills!E8-IF(Skills!F8=TRUE,Inputs!$B$32,0))))+1),0)</f>
        <v/>
      </c>
    </row>
    <row r="377">
      <c r="A377">
        <f>Skills!A9</f>
        <v/>
      </c>
      <c r="B377">
        <f>Skills!B9</f>
        <v/>
      </c>
      <c r="C377">
        <f>Inputs!$B$3&gt;=103</f>
        <v/>
      </c>
      <c r="D377">
        <f>IF(Skills!C9=1,60+Inputs!$B$25+Inputs!$B$29,IF(Skills!C9=2,90+Inputs!$B$26+Inputs!$B$29,IF(Skills!C9=3,120+Inputs!$B$27+Inputs!$B$29,MAX(0,(Inputs!$B$3-100)*3)+Inputs!$B$28+Inputs!$B$29)))</f>
        <v/>
      </c>
      <c r="E377">
        <f>INDEX(FactorTable!$B$2:$Y$301, MATCH(ROUND(MIN(300,MAX(1,D377)),0), FactorTable!$A$2:$A$301,0), Skills!M9+1)</f>
        <v/>
      </c>
      <c r="F377">
        <f>IF(Skills!N9=TRUE,(Skills!L9/10)*(E377/1000),Skills!L9/10)+Skills!O9</f>
        <v/>
      </c>
      <c r="G377">
        <f>Calc!G9</f>
        <v/>
      </c>
      <c r="H377">
        <f>Calc!H9</f>
        <v/>
      </c>
      <c r="I377">
        <f>IF(Skills!X9&lt;&gt;"",1+(Skills!X9/10)*(Z371/1000)/100,1)</f>
        <v/>
      </c>
      <c r="J377">
        <f>((Inputs!$B$6*(1+Inputs!$B$7/100))+(((Inputs!$B$12*(1+Inputs!$B$13/100))-(Inputs!$B$12*(1+Inputs!$B$13/100)))+0.25*(Inputs!$B$14-Inputs!$B$14))*(1+Inputs!$B$7/100))*(F377/100)</f>
        <v/>
      </c>
      <c r="K377">
        <f>J377*(1+((Inputs!$B$12*(1+Inputs!$B$13/100))*0.01+Inputs!$B$14*0.0025)/100)*(1+Inputs!$B$15/100)*(1+IF(Inputs!$B$38="pvp",0,(1-Summary!$B$56)*(Inputs!$B$20+Skills!P9)+Summary!$B$56*(Inputs!$B$21+Skills!Q9))/100)*(1+Inputs!$B$16/100)*(5000/(6000+Inputs!$B$42*(1-Inputs!$B$19/100)))*(1+Inputs!$B$24/100)*(1+F391/100)*(1+IF(Inputs!$B$3&gt;=120,F394,0)/100)^5*(1+(IF(Skills!A9="BASIC_ATTACK",Inputs!$B$17,Inputs!$B$18+IF(Inputs!$B$3&gt;=125,F395*5,0)))/100)*(B398*B399*B400*I377)</f>
        <v/>
      </c>
      <c r="L377">
        <f>K377*(MIN(Inputs!$B$22+(F390-Calc!F22),(Inputs!$B$23+1))/100+(Inputs!$B$23+1)/100)/2</f>
        <v/>
      </c>
      <c r="M377">
        <f>L377*(1+(Inputs!$B$10+(F389-Calc!F21))/100)</f>
        <v/>
      </c>
      <c r="N377">
        <f>L377*(1-MIN(Inputs!$B$9+(F388-Calc!F20),100)/100)+M377*(MIN(Inputs!$B$9+(F388-Calc!F20),100)/100)</f>
        <v/>
      </c>
      <c r="O377">
        <f>IF(C377,H377*N377*IF(AND(Inputs!$B$38&lt;&gt;"pvp",Inputs!$B$43&gt;0),((Skills!G9*((R377-1)*IF(Skills!H9&gt;0,Skills!I9/Skills!H9,1)+IF(Skills!H9&gt;0,MIN(Skills!I9,MAX(0,Inputs!$B$43-((R377-1)*IF(Inputs!$B$38="pvp",15,MAX(0.1,Skills!E9-IF(Skills!F7=TRUE,Inputs!$B$32,0))))))/Skills!H9,1)))/Inputs!$B$43),G377*Q377)*IF(Inputs!$B$38="pvp",1,(1-Summary!$B$56)*(1)+Summary!$B$56*(MIN(Skills!R9,Inputs!$B$37))),0)</f>
        <v/>
      </c>
      <c r="P377">
        <f>IF(B407=0,0,O377/B407)</f>
        <v/>
      </c>
      <c r="Q377">
        <f>IFERROR(1/IF(Inputs!$B$38="pvp",15,MAX(0.1,Skills!E9-IF(Skills!F7=TRUE,Inputs!$B$32,0))),0)</f>
        <v/>
      </c>
      <c r="R377">
        <f>IF(AND(Inputs!$B$38&lt;&gt;"pvp",Inputs!$B$43&gt;0),(INT(Inputs!$B$43/IF(Inputs!$B$38="pvp",15,MAX(0.1,Skills!E9-IF(Skills!F7=TRUE,Inputs!$B$32,0))))+1),0)</f>
        <v/>
      </c>
    </row>
    <row r="378">
      <c r="A378">
        <f>Skills!A10</f>
        <v/>
      </c>
      <c r="B378">
        <f>Skills!B10</f>
        <v/>
      </c>
      <c r="C378">
        <f>TRUE</f>
        <v/>
      </c>
      <c r="D378">
        <f>IF(Skills!C10=1,60+Inputs!$B$25+Inputs!$B$29,IF(Skills!C10=2,90+Inputs!$B$26+Inputs!$B$29,IF(Skills!C10=3,120+Inputs!$B$27+Inputs!$B$29,MAX(0,(Inputs!$B$3-100)*3)+Inputs!$B$28+Inputs!$B$29)))</f>
        <v/>
      </c>
      <c r="E378">
        <f>INDEX(FactorTable!$B$2:$Y$301, MATCH(ROUND(MIN(300,MAX(1,D378)),0), FactorTable!$A$2:$A$301,0), Skills!M10+1)</f>
        <v/>
      </c>
      <c r="F378">
        <f>IF(Skills!N10=TRUE,(Skills!L10/10)*(E378/1000),Skills!L10/10)+Skills!O10</f>
        <v/>
      </c>
      <c r="G378">
        <f>Calc!G10</f>
        <v/>
      </c>
      <c r="H378">
        <f>Calc!H10</f>
        <v/>
      </c>
      <c r="I378">
        <f>IF(Skills!X10&lt;&gt;"",1+(Skills!X10/10)*(Z371/1000)/100,1)</f>
        <v/>
      </c>
      <c r="J378">
        <f>((Inputs!$B$6*(1+Inputs!$B$7/100))+(((Inputs!$B$12*(1+Inputs!$B$13/100))-(Inputs!$B$12*(1+Inputs!$B$13/100)))+0.25*(Inputs!$B$14-Inputs!$B$14))*(1+Inputs!$B$7/100))*(F378/100)</f>
        <v/>
      </c>
      <c r="K378">
        <f>J378*(1+((Inputs!$B$12*(1+Inputs!$B$13/100))*0.01+Inputs!$B$14*0.0025)/100)*(1+Inputs!$B$15/100)*(1+IF(Inputs!$B$38="pvp",0,(1-Summary!$B$56)*(Inputs!$B$20+Skills!P10)+Summary!$B$56*(Inputs!$B$21+Skills!Q10))/100)*(1+Inputs!$B$16/100)*(5000/(6000+Inputs!$B$42*(1-Inputs!$B$19/100)))*(1+Inputs!$B$24/100)*(1+F391/100)*(1+IF(Inputs!$B$3&gt;=120,F394,0)/100)^5*(1+(IF(Skills!A10="BASIC_ATTACK",Inputs!$B$17,Inputs!$B$18+IF(Inputs!$B$3&gt;=125,F395*5,0)))/100)*(B398*B399*B400*I378)</f>
        <v/>
      </c>
      <c r="L378">
        <f>K378*(MIN(Inputs!$B$22+(F390-Calc!F22),(Inputs!$B$23+1))/100+(Inputs!$B$23+1)/100)/2</f>
        <v/>
      </c>
      <c r="M378">
        <f>L378*(1+(Inputs!$B$10+(F389-Calc!F21))/100)</f>
        <v/>
      </c>
      <c r="N378">
        <f>L378*(1-MIN(Inputs!$B$9+(F388-Calc!F20),100)/100)+M378*(MIN(Inputs!$B$9+(F388-Calc!F20),100)/100)</f>
        <v/>
      </c>
      <c r="O378">
        <f>IF(C378,H378*N378*IF(AND(Inputs!$B$38&lt;&gt;"pvp",Inputs!$B$43&gt;0),((Skills!G10*((R378-1)*IF(Skills!H10&gt;0,Skills!I10/Skills!H10,1)+IF(Skills!H10&gt;0,MIN(Skills!I10,MAX(0,Inputs!$B$43-((R378-1)*IF(Inputs!$B$38="pvp",15,MAX(0.1,Skills!E10-IF(Skills!F10=TRUE,Inputs!$B$32,0))))))/Skills!H10,1)))/Inputs!$B$43),G378*Q378)*IF(Inputs!$B$38="pvp",1,(1-Summary!$B$56)*(1)+Summary!$B$56*(MIN(Skills!R10,Inputs!$B$37))),0)</f>
        <v/>
      </c>
      <c r="P378">
        <f>IF(B407=0,0,O378/B407)</f>
        <v/>
      </c>
      <c r="Q378">
        <f>IFERROR(1/IF(Inputs!$B$38="pvp",15,MAX(0.1,Skills!E10-IF(Skills!F10=TRUE,Inputs!$B$32,0))),0)</f>
        <v/>
      </c>
      <c r="R378">
        <f>IF(AND(Inputs!$B$38&lt;&gt;"pvp",Inputs!$B$43&gt;0),(INT(Inputs!$B$43/IF(Inputs!$B$38="pvp",15,MAX(0.1,Skills!E10-IF(Skills!F10=TRUE,Inputs!$B$32,0))))+1),0)</f>
        <v/>
      </c>
    </row>
    <row r="379">
      <c r="A379">
        <f>Skills!A11</f>
        <v/>
      </c>
      <c r="B379">
        <f>Skills!B11</f>
        <v/>
      </c>
      <c r="C379">
        <f>TRUE</f>
        <v/>
      </c>
      <c r="D379">
        <f>IF(Skills!C11=1,60+Inputs!$B$25+Inputs!$B$29,IF(Skills!C11=2,90+Inputs!$B$26+Inputs!$B$29,IF(Skills!C11=3,120+Inputs!$B$27+Inputs!$B$29,MAX(0,(Inputs!$B$3-100)*3)+Inputs!$B$28+Inputs!$B$29)))</f>
        <v/>
      </c>
      <c r="E379">
        <f>INDEX(FactorTable!$B$2:$Y$301, MATCH(ROUND(MIN(300,MAX(1,D379)),0), FactorTable!$A$2:$A$301,0), Skills!M11+1)</f>
        <v/>
      </c>
      <c r="F379">
        <f>IF(Skills!N11=TRUE,(Skills!L11/10)*(E379/1000),Skills!L11/10)+Skills!O11</f>
        <v/>
      </c>
      <c r="G379">
        <f>Calc!G11</f>
        <v/>
      </c>
      <c r="H379">
        <f>Calc!H11</f>
        <v/>
      </c>
      <c r="I379">
        <f>IF(Skills!X11&lt;&gt;"",1+(Skills!X11/10)*(Z371/1000)/100,1)</f>
        <v/>
      </c>
      <c r="J379" t="inlineStr"/>
      <c r="K379" t="inlineStr"/>
      <c r="L379" t="inlineStr"/>
      <c r="M379" t="inlineStr"/>
      <c r="N379" t="inlineStr"/>
      <c r="O379" t="n">
        <v>0</v>
      </c>
      <c r="P379">
        <f>IF(B407=0,0,O379/B407)</f>
        <v/>
      </c>
      <c r="Q379">
        <f>IFERROR(1/IF(Inputs!$B$38="pvp",15,MAX(0.1,Skills!E11-IF(Skills!F11=TRUE,Inputs!$B$32,0))),0)</f>
        <v/>
      </c>
      <c r="R379" t="n">
        <v>0</v>
      </c>
    </row>
    <row r="380">
      <c r="A380">
        <f>Skills!A12</f>
        <v/>
      </c>
      <c r="B380">
        <f>Skills!B12</f>
        <v/>
      </c>
      <c r="C380">
        <f>TRUE</f>
        <v/>
      </c>
      <c r="D380">
        <f>IF(Skills!C12=1,60+Inputs!$B$25+Inputs!$B$29,IF(Skills!C12=2,90+Inputs!$B$26+Inputs!$B$29,IF(Skills!C12=3,120+Inputs!$B$27+Inputs!$B$29,MAX(0,(Inputs!$B$3-100)*3)+Inputs!$B$28+Inputs!$B$29)))</f>
        <v/>
      </c>
      <c r="E380">
        <f>INDEX(FactorTable!$B$2:$Y$301, MATCH(ROUND(MIN(300,MAX(1,D380)),0), FactorTable!$A$2:$A$301,0), Skills!M12+1)</f>
        <v/>
      </c>
      <c r="F380">
        <f>IF(Skills!N12=TRUE,(Skills!L12/10)*(E380/1000),Skills!L12/10)+Skills!O12</f>
        <v/>
      </c>
      <c r="G380">
        <f>Calc!G12</f>
        <v/>
      </c>
      <c r="H380">
        <f>Calc!H12</f>
        <v/>
      </c>
      <c r="I380">
        <f>IF(Skills!X12&lt;&gt;"",1+(Skills!X12/10)*(Z371/1000)/100,1)</f>
        <v/>
      </c>
      <c r="J380" t="inlineStr"/>
      <c r="K380" t="inlineStr"/>
      <c r="L380" t="inlineStr"/>
      <c r="M380" t="inlineStr"/>
      <c r="N380" t="inlineStr"/>
      <c r="O380" t="n">
        <v>0</v>
      </c>
      <c r="P380">
        <f>IF(B407=0,0,O380/B407)</f>
        <v/>
      </c>
      <c r="Q380">
        <f>IFERROR(1/IF(Inputs!$B$38="pvp",15,MAX(0.1,Skills!E12-IF(Skills!F12=TRUE,Inputs!$B$32,0))),0)</f>
        <v/>
      </c>
      <c r="R380" t="n">
        <v>0</v>
      </c>
    </row>
    <row r="381">
      <c r="A381">
        <f>Skills!A13</f>
        <v/>
      </c>
      <c r="B381">
        <f>Skills!B13</f>
        <v/>
      </c>
      <c r="C381">
        <f>Inputs!$B$3&gt;=105</f>
        <v/>
      </c>
      <c r="D381">
        <f>IF(Skills!C13=1,60+Inputs!$B$25+Inputs!$B$29,IF(Skills!C13=2,90+Inputs!$B$26+Inputs!$B$29,IF(Skills!C13=3,120+Inputs!$B$27+Inputs!$B$29,MAX(0,(Inputs!$B$3-100)*3)+Inputs!$B$28+Inputs!$B$29)))</f>
        <v/>
      </c>
      <c r="E381">
        <f>INDEX(FactorTable!$B$2:$Y$301, MATCH(ROUND(MIN(300,MAX(1,D381)),0), FactorTable!$A$2:$A$301,0), Skills!M13+1)</f>
        <v/>
      </c>
      <c r="F381">
        <f>IF(Skills!N13=TRUE,(Skills!L13/10)*(E381/1000),Skills!L13/10)+Skills!O13</f>
        <v/>
      </c>
      <c r="G381">
        <f>Calc!G13</f>
        <v/>
      </c>
      <c r="H381">
        <f>Calc!H13</f>
        <v/>
      </c>
      <c r="I381">
        <f>IF(Skills!X13&lt;&gt;"",1+(Skills!X13/10)*(Z371/1000)/100,1)</f>
        <v/>
      </c>
      <c r="J381">
        <f>((Inputs!$B$6*(1+Inputs!$B$7/100))+(((Inputs!$B$12*(1+Inputs!$B$13/100))-(Inputs!$B$12*(1+Inputs!$B$13/100)))+0.25*(Inputs!$B$14-Inputs!$B$14))*(1+Inputs!$B$7/100))*(F381/100)</f>
        <v/>
      </c>
      <c r="K381">
        <f>J381*(1+((Inputs!$B$12*(1+Inputs!$B$13/100))*0.01+Inputs!$B$14*0.0025)/100)*(1+Inputs!$B$15/100)*(1+IF(Inputs!$B$38="pvp",0,(1-Summary!$B$56)*(Inputs!$B$20+Skills!P13)+Summary!$B$56*(Inputs!$B$21+Skills!Q13))/100)*(1+Inputs!$B$16/100)*(5000/(6000+Inputs!$B$42*(1-Inputs!$B$19/100)))*(1+Inputs!$B$24/100)*(1+F391/100)*(1+IF(Inputs!$B$3&gt;=120,F394,0)/100)^5*(1+(IF(Skills!A13="BASIC_ATTACK",Inputs!$B$17,Inputs!$B$18+IF(Inputs!$B$3&gt;=125,F395*5,0)))/100)*(B398*B399*B400*I381)</f>
        <v/>
      </c>
      <c r="L381">
        <f>K381*(MIN(Inputs!$B$22+(F390-Calc!F22),(Inputs!$B$23+1))/100+(Inputs!$B$23+1)/100)/2</f>
        <v/>
      </c>
      <c r="M381">
        <f>L381*(1+(Inputs!$B$10+(F389-Calc!F21))/100)</f>
        <v/>
      </c>
      <c r="N381">
        <f>L381*(1-MIN(Inputs!$B$9+(F388-Calc!F20),100)/100)+M381*(MIN(Inputs!$B$9+(F388-Calc!F20),100)/100)</f>
        <v/>
      </c>
      <c r="O381">
        <f>IF(C381,H381*N381*IF(AND(Inputs!$B$38&lt;&gt;"pvp",Inputs!$B$43&gt;0),((Skills!G13*((R381-1)*IF(Skills!H13&gt;0,Skills!I13/Skills!H13,1)+IF(Skills!H13&gt;0,MIN(Skills!I13,MAX(0,Inputs!$B$43-((R381-1)*IF(Inputs!$B$38="pvp",15,MAX(0.1,Skills!E13-IF(Skills!F13=TRUE,Inputs!$B$32,0))))))/Skills!H13,1)))/Inputs!$B$43),G381*Q381)*IF(Inputs!$B$38="pvp",1,(1-Summary!$B$56)*(1)+Summary!$B$56*(MIN(Skills!R13,Inputs!$B$37))),0)</f>
        <v/>
      </c>
      <c r="P381">
        <f>IF(B407=0,0,O381/B407)</f>
        <v/>
      </c>
      <c r="Q381">
        <f>IFERROR(1/IF(Inputs!$B$38="pvp",15,MAX(0.1,Skills!E13-IF(Skills!F13=TRUE,Inputs!$B$32,0))),0)</f>
        <v/>
      </c>
      <c r="R381">
        <f>IF(AND(Inputs!$B$38&lt;&gt;"pvp",Inputs!$B$43&gt;0),(INT(Inputs!$B$43/IF(Inputs!$B$38="pvp",15,MAX(0.1,Skills!E13-IF(Skills!F13=TRUE,Inputs!$B$32,0))))+1),0)</f>
        <v/>
      </c>
    </row>
    <row r="382">
      <c r="A382">
        <f>Skills!A14</f>
        <v/>
      </c>
      <c r="B382">
        <f>Skills!B14</f>
        <v/>
      </c>
      <c r="C382">
        <f>Inputs!$B$3&gt;=113</f>
        <v/>
      </c>
      <c r="D382">
        <f>IF(Skills!C14=1,60+Inputs!$B$25+Inputs!$B$29,IF(Skills!C14=2,90+Inputs!$B$26+Inputs!$B$29,IF(Skills!C14=3,120+Inputs!$B$27+Inputs!$B$29,MAX(0,(Inputs!$B$3-100)*3)+Inputs!$B$28+Inputs!$B$29)))</f>
        <v/>
      </c>
      <c r="E382">
        <f>INDEX(FactorTable!$B$2:$Y$301, MATCH(ROUND(MIN(300,MAX(1,D382)),0), FactorTable!$A$2:$A$301,0), Skills!M14+1)</f>
        <v/>
      </c>
      <c r="F382">
        <f>IF(Skills!N14=TRUE,(Skills!L14/10)*(E382/1000),Skills!L14/10)+Skills!O14</f>
        <v/>
      </c>
      <c r="G382">
        <f>Calc!G14</f>
        <v/>
      </c>
      <c r="H382">
        <f>Calc!H14</f>
        <v/>
      </c>
      <c r="I382">
        <f>IF(Skills!X14&lt;&gt;"",1+(Skills!X14/10)*(Z371/1000)/100,1)</f>
        <v/>
      </c>
      <c r="J382">
        <f>((Inputs!$B$6*(1+Inputs!$B$7/100))+(((Inputs!$B$12*(1+Inputs!$B$13/100))-(Inputs!$B$12*(1+Inputs!$B$13/100)))+0.25*(Inputs!$B$14-Inputs!$B$14))*(1+Inputs!$B$7/100))*(F382/100)</f>
        <v/>
      </c>
      <c r="K382">
        <f>J382*(1+((Inputs!$B$12*(1+Inputs!$B$13/100))*0.01+Inputs!$B$14*0.0025)/100)*(1+Inputs!$B$15/100)*(1+IF(Inputs!$B$38="pvp",0,(1-Summary!$B$56)*(Inputs!$B$20+Skills!P14)+Summary!$B$56*(Inputs!$B$21+Skills!Q14))/100)*(1+Inputs!$B$16/100)*(5000/(6000+Inputs!$B$42*(1-Inputs!$B$19/100)))*(1+Inputs!$B$24/100)*(1+F391/100)*(1+IF(Inputs!$B$3&gt;=120,F394,0)/100)^5*(1+(IF(Skills!A14="BASIC_ATTACK",Inputs!$B$17,Inputs!$B$18+IF(Inputs!$B$3&gt;=125,F395*5,0)))/100)*(B398*B399*B400*I382)</f>
        <v/>
      </c>
      <c r="L382">
        <f>K382*(MIN(Inputs!$B$22+(F390-Calc!F22),(Inputs!$B$23+1))/100+(Inputs!$B$23+1)/100)/2</f>
        <v/>
      </c>
      <c r="M382">
        <f>L382*(1+(Inputs!$B$10+(F389-Calc!F21))/100)</f>
        <v/>
      </c>
      <c r="N382">
        <f>L382*(1-MIN(Inputs!$B$9+(F388-Calc!F20),100)/100)+M382*(MIN(Inputs!$B$9+(F388-Calc!F20),100)/100)</f>
        <v/>
      </c>
      <c r="O382">
        <f>IF(C382,(H382*B405)/(1+Skills!H14*H382*B405)*N382*IF(Inputs!$B$38="pvp",1,(1-Summary!$B$56)*(1)+Summary!$B$56*(MIN(Skills!R14,Inputs!$B$37))),0)</f>
        <v/>
      </c>
      <c r="P382">
        <f>IF(B407=0,0,O382/B407)</f>
        <v/>
      </c>
      <c r="Q382">
        <f>IFERROR(1/IF(Inputs!$B$38="pvp",15,MAX(0.1,Skills!E14-IF(Skills!F14=TRUE,Inputs!$B$32,0))),0)</f>
        <v/>
      </c>
      <c r="R382" t="n">
        <v>0</v>
      </c>
    </row>
    <row r="383">
      <c r="A383">
        <f>Skills!A15</f>
        <v/>
      </c>
      <c r="B383">
        <f>Skills!B15</f>
        <v/>
      </c>
      <c r="C383">
        <f>Inputs!$B$3&gt;=107</f>
        <v/>
      </c>
      <c r="D383">
        <f>IF(Skills!C15=1,60+Inputs!$B$25+Inputs!$B$29,IF(Skills!C15=2,90+Inputs!$B$26+Inputs!$B$29,IF(Skills!C15=3,120+Inputs!$B$27+Inputs!$B$29,MAX(0,(Inputs!$B$3-100)*3)+Inputs!$B$28+Inputs!$B$29)))</f>
        <v/>
      </c>
      <c r="E383">
        <f>INDEX(FactorTable!$B$2:$Y$301, MATCH(ROUND(MIN(300,MAX(1,D383)),0), FactorTable!$A$2:$A$301,0), Skills!M15+1)</f>
        <v/>
      </c>
      <c r="F383">
        <f>IF(Skills!N15=TRUE,(Skills!L15/10)*(E383/1000),Skills!L15/10)+Skills!O15</f>
        <v/>
      </c>
      <c r="G383">
        <f>Calc!G15</f>
        <v/>
      </c>
      <c r="H383">
        <f>Calc!H15</f>
        <v/>
      </c>
      <c r="I383">
        <f>IF(Skills!X15&lt;&gt;"",1+(Skills!X15/10)*(Z371/1000)/100,1)</f>
        <v/>
      </c>
      <c r="J383">
        <f>((Inputs!$B$6*(1+Inputs!$B$7/100))+(((Inputs!$B$12*(1+Inputs!$B$13/100))-(Inputs!$B$12*(1+Inputs!$B$13/100)))+0.25*(Inputs!$B$14-Inputs!$B$14))*(1+Inputs!$B$7/100))*(F383/100)</f>
        <v/>
      </c>
      <c r="K383">
        <f>J383*(1+((Inputs!$B$12*(1+Inputs!$B$13/100))*0.01+Inputs!$B$14*0.0025)/100)*(1+Inputs!$B$15/100)*(1+IF(Inputs!$B$38="pvp",0,(1-Summary!$B$56)*(Inputs!$B$20+Skills!P15)+Summary!$B$56*(Inputs!$B$21+Skills!Q15))/100)*(1+Inputs!$B$16/100)*(5000/(6000+Inputs!$B$42*(1-Inputs!$B$19/100)))*(1+Inputs!$B$24/100)*(1+F391/100)*(1+IF(Inputs!$B$3&gt;=120,F394,0)/100)^5*(1+(IF(Skills!A15="BASIC_ATTACK",Inputs!$B$17,Inputs!$B$18+IF(Inputs!$B$3&gt;=125,F395*5,0)))/100)*(B398*B399*B400*I383)</f>
        <v/>
      </c>
      <c r="L383">
        <f>K383*(MIN(Inputs!$B$22+(F390-Calc!F22),(Inputs!$B$23+1))/100+(Inputs!$B$23+1)/100)/2</f>
        <v/>
      </c>
      <c r="M383">
        <f>L383*(1+(Inputs!$B$10+(F389-Calc!F21))/100)</f>
        <v/>
      </c>
      <c r="N383">
        <f>L383*(1-MIN(Inputs!$B$9+(F388-Calc!F20),100)/100)+M383*(MIN(Inputs!$B$9+(F388-Calc!F20),100)/100)</f>
        <v/>
      </c>
      <c r="O383">
        <f>IF(C383,H383*N383*IF(AND(Inputs!$B$38&lt;&gt;"pvp",Inputs!$B$43&gt;0),((Skills!G15*((R383-1)*IF(Skills!H15&gt;0,Skills!I15/Skills!H15,1)+IF(Skills!H15&gt;0,MIN(Skills!I15,MAX(0,Inputs!$B$43-((R383-1)*IF(Inputs!$B$38="pvp",15,MAX(0.1,Skills!E15-IF(Skills!F15=TRUE,Inputs!$B$32,0))))))/Skills!H15,1)))/Inputs!$B$43),G383*Q383)*IF(Inputs!$B$38="pvp",1,(1-Summary!$B$56)*(1)+Summary!$B$56*(MIN(Skills!R15,Inputs!$B$37))),0)</f>
        <v/>
      </c>
      <c r="P383">
        <f>IF(B407=0,0,O383/B407)</f>
        <v/>
      </c>
      <c r="Q383">
        <f>IFERROR(1/IF(Inputs!$B$38="pvp",15,MAX(0.1,Skills!E15-IF(Skills!F15=TRUE,Inputs!$B$32,0))),0)</f>
        <v/>
      </c>
      <c r="R383">
        <f>IF(AND(Inputs!$B$38&lt;&gt;"pvp",Inputs!$B$43&gt;0),(INT(Inputs!$B$43/IF(Inputs!$B$38="pvp",15,MAX(0.1,Skills!E15-IF(Skills!F15=TRUE,Inputs!$B$32,0))))+1),0)</f>
        <v/>
      </c>
    </row>
    <row r="384">
      <c r="A384">
        <f>Skills!A16</f>
        <v/>
      </c>
      <c r="B384">
        <f>Skills!B16</f>
        <v/>
      </c>
      <c r="C384">
        <f>Inputs!$B$3&gt;=107</f>
        <v/>
      </c>
      <c r="D384">
        <f>IF(Skills!C16=1,60+Inputs!$B$25+Inputs!$B$29,IF(Skills!C16=2,90+Inputs!$B$26+Inputs!$B$29,IF(Skills!C16=3,120+Inputs!$B$27+Inputs!$B$29,MAX(0,(Inputs!$B$3-100)*3)+Inputs!$B$28+Inputs!$B$29)))</f>
        <v/>
      </c>
      <c r="E384">
        <f>INDEX(FactorTable!$B$2:$Y$301, MATCH(ROUND(MIN(300,MAX(1,D384)),0), FactorTable!$A$2:$A$301,0), Skills!M16+1)</f>
        <v/>
      </c>
      <c r="F384">
        <f>IF(Skills!N16=TRUE,(Skills!L16/10)*(E384/1000),Skills!L16/10)+Skills!O16</f>
        <v/>
      </c>
      <c r="G384">
        <f>Calc!G16</f>
        <v/>
      </c>
      <c r="H384">
        <f>Calc!H16</f>
        <v/>
      </c>
      <c r="I384">
        <f>IF(Skills!X16&lt;&gt;"",1+(Skills!X16/10)*(Z371/1000)/100,1)</f>
        <v/>
      </c>
      <c r="J384">
        <f>((Inputs!$B$6*(1+Inputs!$B$7/100))+(((Inputs!$B$12*(1+Inputs!$B$13/100))-(Inputs!$B$12*(1+Inputs!$B$13/100)))+0.25*(Inputs!$B$14-Inputs!$B$14))*(1+Inputs!$B$7/100))*(F384/100)</f>
        <v/>
      </c>
      <c r="K384">
        <f>J384*(1+((Inputs!$B$12*(1+Inputs!$B$13/100))*0.01+Inputs!$B$14*0.0025)/100)*(1+Inputs!$B$15/100)*(1+IF(Inputs!$B$38="pvp",0,(1-Summary!$B$56)*(Inputs!$B$20+Skills!P16)+Summary!$B$56*(Inputs!$B$21+Skills!Q16))/100)*(1+Inputs!$B$16/100)*(5000/(6000+Inputs!$B$42*(1-Inputs!$B$19/100)))*(1+Inputs!$B$24/100)*(1+F391/100)*(1+IF(Inputs!$B$3&gt;=120,F394,0)/100)^5*(1+(IF(Skills!A16="BASIC_ATTACK",Inputs!$B$17,Inputs!$B$18+IF(Inputs!$B$3&gt;=125,F395*5,0)))/100)*(B398*B399*B400*I384)</f>
        <v/>
      </c>
      <c r="L384">
        <f>K384*(MIN(Inputs!$B$22+(F390-Calc!F22),(Inputs!$B$23+1))/100+(Inputs!$B$23+1)/100)/2</f>
        <v/>
      </c>
      <c r="M384">
        <f>L384*(1+(Inputs!$B$10+(F389-Calc!F21))/100)</f>
        <v/>
      </c>
      <c r="N384">
        <f>L384*(1-MIN(Inputs!$B$9+(F388-Calc!F20),100)/100)+M384*(MIN(Inputs!$B$9+(F388-Calc!F20),100)/100)</f>
        <v/>
      </c>
      <c r="O384">
        <f>IF(C384,H384*N384*IF(AND(Inputs!$B$38&lt;&gt;"pvp",Inputs!$B$43&gt;0),((Skills!G16*((R384-1)*IF(Skills!H16&gt;0,Skills!I16/Skills!H16,1)+IF(Skills!H16&gt;0,MIN(Skills!I16,MAX(0,Inputs!$B$43-((R384-1)*IF(Inputs!$B$38="pvp",15,MAX(0.1,Skills!E16-IF(Skills!F16=TRUE,Inputs!$B$32,0))))))/Skills!H16,1)))/Inputs!$B$43),G384*Q384)*(1+IF(Inputs!$B$3&gt;=126,0.05*(B404+Q381+(H382*B405)/(1+Skills!H14*H382*B405)+Q392),0)*Skills!E15)*IF(Inputs!$B$38="pvp",1,(1-Summary!$B$56)*(1)+Summary!$B$56*(MIN(Skills!R16,Inputs!$B$37))),0)</f>
        <v/>
      </c>
      <c r="P384">
        <f>IF(B407=0,0,O384/B407)</f>
        <v/>
      </c>
      <c r="Q384">
        <f>IFERROR(1/IF(Inputs!$B$38="pvp",15,MAX(0.1,Skills!E16-IF(Skills!F16=TRUE,Inputs!$B$32,0))),0)</f>
        <v/>
      </c>
      <c r="R384">
        <f>IF(AND(Inputs!$B$38&lt;&gt;"pvp",Inputs!$B$43&gt;0),(INT(Inputs!$B$43/IF(Inputs!$B$38="pvp",15,MAX(0.1,Skills!E16-IF(Skills!F16=TRUE,Inputs!$B$32,0))))+1),0)</f>
        <v/>
      </c>
    </row>
    <row r="385">
      <c r="A385">
        <f>Skills!A17</f>
        <v/>
      </c>
      <c r="B385">
        <f>Skills!B17</f>
        <v/>
      </c>
      <c r="C385">
        <f>TRUE</f>
        <v/>
      </c>
      <c r="D385">
        <f>IF(Skills!C17=1,60+Inputs!$B$25+Inputs!$B$29,IF(Skills!C17=2,90+Inputs!$B$26+Inputs!$B$29,IF(Skills!C17=3,120+Inputs!$B$27+Inputs!$B$29,MAX(0,(Inputs!$B$3-100)*3)+Inputs!$B$28+Inputs!$B$29)))</f>
        <v/>
      </c>
      <c r="E385">
        <f>INDEX(FactorTable!$B$2:$Y$301, MATCH(ROUND(MIN(300,MAX(1,D385)),0), FactorTable!$A$2:$A$301,0), Skills!M17+1)</f>
        <v/>
      </c>
      <c r="F385">
        <f>IF(Skills!N17=TRUE,(Skills!L17/10)*(E385/1000),Skills!L17/10)+Skills!O17</f>
        <v/>
      </c>
      <c r="G385">
        <f>Calc!G17</f>
        <v/>
      </c>
      <c r="H385">
        <f>Calc!H17</f>
        <v/>
      </c>
      <c r="I385">
        <f>IF(Skills!X17&lt;&gt;"",1+(Skills!X17/10)*(Z371/1000)/100,1)</f>
        <v/>
      </c>
      <c r="J385" t="inlineStr"/>
      <c r="K385" t="inlineStr"/>
      <c r="L385" t="inlineStr"/>
      <c r="M385" t="inlineStr"/>
      <c r="N385" t="inlineStr"/>
      <c r="O385" t="n">
        <v>0</v>
      </c>
      <c r="P385">
        <f>IF(B407=0,0,O385/B407)</f>
        <v/>
      </c>
      <c r="Q385">
        <f>IFERROR(1/IF(Inputs!$B$38="pvp",15,MAX(0.1,Skills!E17-IF(Skills!F17=TRUE,Inputs!$B$32,0))),0)</f>
        <v/>
      </c>
      <c r="R385">
        <f>IF(AND(Inputs!$B$38&lt;&gt;"pvp",Inputs!$B$43&gt;0),(INT(Inputs!$B$43/IF(Inputs!$B$38="pvp",15,MAX(0.1,Skills!E17-IF(Skills!F17=TRUE,Inputs!$B$32,0))))+1),0)</f>
        <v/>
      </c>
    </row>
    <row r="386">
      <c r="A386">
        <f>Skills!A18</f>
        <v/>
      </c>
      <c r="B386">
        <f>Skills!B18</f>
        <v/>
      </c>
      <c r="C386">
        <f>TRUE</f>
        <v/>
      </c>
      <c r="D386">
        <f>IF(Skills!C18=1,60+Inputs!$B$25+Inputs!$B$29,IF(Skills!C18=2,90+Inputs!$B$26+Inputs!$B$29,IF(Skills!C18=3,120+Inputs!$B$27+Inputs!$B$29,MAX(0,(Inputs!$B$3-100)*3)+Inputs!$B$28+Inputs!$B$29)))</f>
        <v/>
      </c>
      <c r="E386">
        <f>INDEX(FactorTable!$B$2:$Y$301, MATCH(ROUND(MIN(300,MAX(1,D386)),0), FactorTable!$A$2:$A$301,0), Skills!M18+1)</f>
        <v/>
      </c>
      <c r="F386">
        <f>IF(Skills!N18=TRUE,(Skills!L18/10)*(E386/1000),Skills!L18/10)+Skills!O18</f>
        <v/>
      </c>
      <c r="G386">
        <f>Calc!G18</f>
        <v/>
      </c>
      <c r="H386">
        <f>Calc!H18</f>
        <v/>
      </c>
      <c r="I386">
        <f>IF(Skills!X18&lt;&gt;"",1+(Skills!X18/10)*(Z371/1000)/100,1)</f>
        <v/>
      </c>
      <c r="J386" t="inlineStr"/>
      <c r="K386" t="inlineStr"/>
      <c r="L386" t="inlineStr"/>
      <c r="M386" t="inlineStr"/>
      <c r="N386" t="inlineStr"/>
      <c r="O386" t="n">
        <v>0</v>
      </c>
      <c r="P386">
        <f>IF(B407=0,0,O386/B407)</f>
        <v/>
      </c>
      <c r="Q386">
        <f>IFERROR(1/IF(Inputs!$B$38="pvp",15,MAX(0.1,Skills!E18-IF(Skills!F18=TRUE,Inputs!$B$32,0))),0)</f>
        <v/>
      </c>
      <c r="R386">
        <f>IF(AND(Inputs!$B$38&lt;&gt;"pvp",Inputs!$B$43&gt;0),(INT(Inputs!$B$43/IF(Inputs!$B$38="pvp",15,MAX(0.1,Skills!E18-IF(Skills!F18=TRUE,Inputs!$B$32,0))))+1),0)</f>
        <v/>
      </c>
    </row>
    <row r="387">
      <c r="A387">
        <f>Skills!A19</f>
        <v/>
      </c>
      <c r="B387">
        <f>Skills!B19</f>
        <v/>
      </c>
      <c r="C387">
        <f>Inputs!$B$3&gt;=110</f>
        <v/>
      </c>
      <c r="D387">
        <f>IF(Skills!C19=1,60+Inputs!$B$25+Inputs!$B$29,IF(Skills!C19=2,90+Inputs!$B$26+Inputs!$B$29,IF(Skills!C19=3,120+Inputs!$B$27+Inputs!$B$29,MAX(0,(Inputs!$B$3-100)*3)+Inputs!$B$28+Inputs!$B$29)))</f>
        <v/>
      </c>
      <c r="E387">
        <f>INDEX(FactorTable!$B$2:$Y$301, MATCH(ROUND(MIN(300,MAX(1,D387)),0), FactorTable!$A$2:$A$301,0), Skills!M19+1)</f>
        <v/>
      </c>
      <c r="F387">
        <f>IF(Skills!N19=TRUE,(Skills!L19/10)*(E387/1000),Skills!L19/10)+Skills!O19</f>
        <v/>
      </c>
      <c r="G387">
        <f>Calc!G19</f>
        <v/>
      </c>
      <c r="H387">
        <f>Calc!H19</f>
        <v/>
      </c>
      <c r="I387">
        <f>IF(Skills!X19&lt;&gt;"",1+(Skills!X19/10)*(Z371/1000)/100,1)</f>
        <v/>
      </c>
      <c r="J387" t="inlineStr"/>
      <c r="K387" t="inlineStr"/>
      <c r="L387" t="inlineStr"/>
      <c r="M387" t="inlineStr"/>
      <c r="N387" t="inlineStr"/>
      <c r="O387" t="n">
        <v>0</v>
      </c>
      <c r="P387">
        <f>IF(B407=0,0,O387/B407)</f>
        <v/>
      </c>
      <c r="Q387">
        <f>IFERROR(1/IF(Inputs!$B$38="pvp",15,MAX(0.1,Skills!E19-IF(Skills!F19=TRUE,Inputs!$B$32,0))),0)</f>
        <v/>
      </c>
      <c r="R387">
        <f>IF(AND(Inputs!$B$38&lt;&gt;"pvp",Inputs!$B$43&gt;0),(INT(Inputs!$B$43/IF(Inputs!$B$38="pvp",15,MAX(0.1,Skills!E19-IF(Skills!F19=TRUE,Inputs!$B$32,0))))+1),0)</f>
        <v/>
      </c>
    </row>
    <row r="388">
      <c r="A388">
        <f>Skills!A20</f>
        <v/>
      </c>
      <c r="B388">
        <f>Skills!B20</f>
        <v/>
      </c>
      <c r="C388">
        <f>TRUE</f>
        <v/>
      </c>
      <c r="D388">
        <f>IF(Skills!C20=1,60+Inputs!$B$25+Inputs!$B$29,IF(Skills!C20=2,90+Inputs!$B$26+Inputs!$B$29,IF(Skills!C20=3,120+Inputs!$B$27+Inputs!$B$29,MAX(0,(Inputs!$B$3-100)*3)+Inputs!$B$28+Inputs!$B$29)))</f>
        <v/>
      </c>
      <c r="E388">
        <f>INDEX(FactorTable!$B$2:$Y$301, MATCH(ROUND(MIN(300,MAX(1,D388)),0), FactorTable!$A$2:$A$301,0), Skills!M20+1)</f>
        <v/>
      </c>
      <c r="F388">
        <f>IF(Skills!N20=TRUE,(Skills!L20/10)*(E388/1000),Skills!L20/10)+Skills!O20</f>
        <v/>
      </c>
      <c r="G388">
        <f>Calc!G20</f>
        <v/>
      </c>
      <c r="H388">
        <f>Calc!H20</f>
        <v/>
      </c>
      <c r="I388">
        <f>IF(Skills!X20&lt;&gt;"",1+(Skills!X20/10)*(Z371/1000)/100,1)</f>
        <v/>
      </c>
      <c r="J388" t="inlineStr"/>
      <c r="K388" t="inlineStr"/>
      <c r="L388" t="inlineStr"/>
      <c r="M388" t="inlineStr"/>
      <c r="N388" t="inlineStr"/>
      <c r="O388" t="n">
        <v>0</v>
      </c>
      <c r="P388">
        <f>IF(B407=0,0,O388/B407)</f>
        <v/>
      </c>
      <c r="Q388">
        <f>IFERROR(1/IF(Inputs!$B$38="pvp",15,MAX(0.1,Skills!E20-IF(Skills!F20=TRUE,Inputs!$B$32,0))),0)</f>
        <v/>
      </c>
      <c r="R388" t="n">
        <v>0</v>
      </c>
    </row>
    <row r="389">
      <c r="A389">
        <f>Skills!A21</f>
        <v/>
      </c>
      <c r="B389">
        <f>Skills!B21</f>
        <v/>
      </c>
      <c r="C389">
        <f>TRUE</f>
        <v/>
      </c>
      <c r="D389">
        <f>IF(Skills!C21=1,60+Inputs!$B$25+Inputs!$B$29,IF(Skills!C21=2,90+Inputs!$B$26+Inputs!$B$29,IF(Skills!C21=3,120+Inputs!$B$27+Inputs!$B$29,MAX(0,(Inputs!$B$3-100)*3)+Inputs!$B$28+Inputs!$B$29)))</f>
        <v/>
      </c>
      <c r="E389">
        <f>INDEX(FactorTable!$B$2:$Y$301, MATCH(ROUND(MIN(300,MAX(1,D389)),0), FactorTable!$A$2:$A$301,0), Skills!M21+1)</f>
        <v/>
      </c>
      <c r="F389">
        <f>IF(Skills!N21=TRUE,(Skills!L21/10)*(E389/1000),Skills!L21/10)+Skills!O21</f>
        <v/>
      </c>
      <c r="G389">
        <f>Calc!G21</f>
        <v/>
      </c>
      <c r="H389">
        <f>Calc!H21</f>
        <v/>
      </c>
      <c r="I389">
        <f>IF(Skills!X21&lt;&gt;"",1+(Skills!X21/10)*(Z371/1000)/100,1)</f>
        <v/>
      </c>
      <c r="J389" t="inlineStr"/>
      <c r="K389" t="inlineStr"/>
      <c r="L389" t="inlineStr"/>
      <c r="M389" t="inlineStr"/>
      <c r="N389" t="inlineStr"/>
      <c r="O389" t="n">
        <v>0</v>
      </c>
      <c r="P389">
        <f>IF(B407=0,0,O389/B407)</f>
        <v/>
      </c>
      <c r="Q389">
        <f>IFERROR(1/IF(Inputs!$B$38="pvp",15,MAX(0.1,Skills!E21-IF(Skills!F21=TRUE,Inputs!$B$32,0))),0)</f>
        <v/>
      </c>
      <c r="R389" t="n">
        <v>0</v>
      </c>
    </row>
    <row r="390">
      <c r="A390">
        <f>Skills!A22</f>
        <v/>
      </c>
      <c r="B390">
        <f>Skills!B22</f>
        <v/>
      </c>
      <c r="C390">
        <f>TRUE</f>
        <v/>
      </c>
      <c r="D390">
        <f>IF(Skills!C22=1,60+Inputs!$B$25+Inputs!$B$29,IF(Skills!C22=2,90+Inputs!$B$26+Inputs!$B$29,IF(Skills!C22=3,120+Inputs!$B$27+Inputs!$B$29,MAX(0,(Inputs!$B$3-100)*3)+Inputs!$B$28+Inputs!$B$29)))</f>
        <v/>
      </c>
      <c r="E390">
        <f>INDEX(FactorTable!$B$2:$Y$301, MATCH(ROUND(MIN(300,MAX(1,D390)),0), FactorTable!$A$2:$A$301,0), Skills!M22+1)</f>
        <v/>
      </c>
      <c r="F390">
        <f>IF(Skills!N22=TRUE,(Skills!L22/10)*(E390/1000),Skills!L22/10)+Skills!O22</f>
        <v/>
      </c>
      <c r="G390">
        <f>Calc!G22</f>
        <v/>
      </c>
      <c r="H390">
        <f>Calc!H22</f>
        <v/>
      </c>
      <c r="I390">
        <f>IF(Skills!X22&lt;&gt;"",1+(Skills!X22/10)*(Z371/1000)/100,1)</f>
        <v/>
      </c>
      <c r="J390" t="inlineStr"/>
      <c r="K390" t="inlineStr"/>
      <c r="L390" t="inlineStr"/>
      <c r="M390" t="inlineStr"/>
      <c r="N390" t="inlineStr"/>
      <c r="O390" t="n">
        <v>0</v>
      </c>
      <c r="P390">
        <f>IF(B407=0,0,O390/B407)</f>
        <v/>
      </c>
      <c r="Q390">
        <f>IFERROR(1/IF(Inputs!$B$38="pvp",15,MAX(0.1,Skills!E22-IF(Skills!F22=TRUE,Inputs!$B$32,0))),0)</f>
        <v/>
      </c>
      <c r="R390" t="n">
        <v>0</v>
      </c>
    </row>
    <row r="391">
      <c r="A391">
        <f>Skills!A23</f>
        <v/>
      </c>
      <c r="B391">
        <f>Skills!B23</f>
        <v/>
      </c>
      <c r="C391">
        <f>TRUE</f>
        <v/>
      </c>
      <c r="D391">
        <f>IF(Skills!C23=1,60+Inputs!$B$25+Inputs!$B$29,IF(Skills!C23=2,90+Inputs!$B$26+Inputs!$B$29,IF(Skills!C23=3,120+Inputs!$B$27+Inputs!$B$29,MAX(0,(Inputs!$B$3-100)*3)+Inputs!$B$28+Inputs!$B$29)))</f>
        <v/>
      </c>
      <c r="E391">
        <f>INDEX(FactorTable!$B$2:$Y$301, MATCH(ROUND(MIN(300,MAX(1,D391)),0), FactorTable!$A$2:$A$301,0), Skills!M23+1)</f>
        <v/>
      </c>
      <c r="F391">
        <f>IF(Skills!N23=TRUE,(Skills!L23/10)*(E391/1000),Skills!L23/10)+Skills!O23</f>
        <v/>
      </c>
      <c r="G391">
        <f>Calc!G23</f>
        <v/>
      </c>
      <c r="H391">
        <f>Calc!H23</f>
        <v/>
      </c>
      <c r="I391">
        <f>IF(Skills!X23&lt;&gt;"",1+(Skills!X23/10)*(Z371/1000)/100,1)</f>
        <v/>
      </c>
      <c r="J391" t="inlineStr"/>
      <c r="K391" t="inlineStr"/>
      <c r="L391" t="inlineStr"/>
      <c r="M391" t="inlineStr"/>
      <c r="N391" t="inlineStr"/>
      <c r="O391" t="n">
        <v>0</v>
      </c>
      <c r="P391">
        <f>IF(B407=0,0,O391/B407)</f>
        <v/>
      </c>
      <c r="Q391">
        <f>IFERROR(1/IF(Inputs!$B$38="pvp",15,MAX(0.1,Skills!E23-IF(Skills!F23=TRUE,Inputs!$B$32,0))),0)</f>
        <v/>
      </c>
      <c r="R391" t="n">
        <v>0</v>
      </c>
    </row>
    <row r="392">
      <c r="A392">
        <f>Skills!A24</f>
        <v/>
      </c>
      <c r="B392">
        <f>Skills!B24</f>
        <v/>
      </c>
      <c r="C392">
        <f>Inputs!$B$3&gt;=115</f>
        <v/>
      </c>
      <c r="D392">
        <f>IF(Skills!C24=1,60+Inputs!$B$25+Inputs!$B$29,IF(Skills!C24=2,90+Inputs!$B$26+Inputs!$B$29,IF(Skills!C24=3,120+Inputs!$B$27+Inputs!$B$29,MAX(0,(Inputs!$B$3-100)*3)+Inputs!$B$28+Inputs!$B$29)))</f>
        <v/>
      </c>
      <c r="E392">
        <f>INDEX(FactorTable!$B$2:$Y$301, MATCH(ROUND(MIN(300,MAX(1,D392)),0), FactorTable!$A$2:$A$301,0), Skills!M24+1)</f>
        <v/>
      </c>
      <c r="F392">
        <f>IF(Skills!N24=TRUE,(Skills!L24/10)*(E392/1000),Skills!L24/10)+Skills!O24</f>
        <v/>
      </c>
      <c r="G392">
        <f>Calc!G24</f>
        <v/>
      </c>
      <c r="H392">
        <f>Calc!H24</f>
        <v/>
      </c>
      <c r="I392">
        <f>IF(Skills!X24&lt;&gt;"",1+(Skills!X24/10)*(Z371/1000)/100,1)</f>
        <v/>
      </c>
      <c r="J392">
        <f>((Inputs!$B$6*(1+Inputs!$B$7/100))+(((Inputs!$B$12*(1+Inputs!$B$13/100))-(Inputs!$B$12*(1+Inputs!$B$13/100)))+0.25*(Inputs!$B$14-Inputs!$B$14))*(1+Inputs!$B$7/100))*(F392/100)</f>
        <v/>
      </c>
      <c r="K392">
        <f>J392*(1+((Inputs!$B$12*(1+Inputs!$B$13/100))*0.01+Inputs!$B$14*0.0025)/100)*(1+Inputs!$B$15/100)*(1+IF(Inputs!$B$38="pvp",0,(1-Summary!$B$56)*(Inputs!$B$20+Skills!P24)+Summary!$B$56*(Inputs!$B$21+Skills!Q24))/100)*(1+Inputs!$B$16/100)*(5000/(6000+Inputs!$B$42*(1-Inputs!$B$19/100)))*(1+Inputs!$B$24/100)*(1+F391/100)*(1+IF(Inputs!$B$3&gt;=120,F394,0)/100)^5*(1+(IF(Skills!A24="BASIC_ATTACK",Inputs!$B$17,Inputs!$B$18+IF(Inputs!$B$3&gt;=125,F395*5,0)))/100)*(B398*B399*B400*I392)</f>
        <v/>
      </c>
      <c r="L392">
        <f>K392*(MIN(Inputs!$B$22+(F390-Calc!F22),(Inputs!$B$23+1))/100+(Inputs!$B$23+1)/100)/2</f>
        <v/>
      </c>
      <c r="M392">
        <f>L392*(1+(Inputs!$B$10+(F389-Calc!F21))/100)</f>
        <v/>
      </c>
      <c r="N392">
        <f>L392*(1-MIN(Inputs!$B$9+(F388-Calc!F20),100)/100)+M392*(MIN(Inputs!$B$9+(F388-Calc!F20),100)/100)</f>
        <v/>
      </c>
      <c r="O392">
        <f>IF(C392,H392*N392*IF(AND(Inputs!$B$38&lt;&gt;"pvp",Inputs!$B$43&gt;0),((Skills!G24*((R392-1)*IF(Skills!H24&gt;0,Skills!I24/Skills!H24,1)+IF(Skills!H24&gt;0,MIN(Skills!I24,MAX(0,Inputs!$B$43-((R392-1)*IF(Inputs!$B$38="pvp",15,MAX(0.1,Skills!E24-IF(Skills!F24=TRUE,Inputs!$B$32,0))))))/Skills!H24,1)))/Inputs!$B$43),G392*Q392)*(1+IF(Inputs!$B$3&gt;=130,0.2*(Skills!I16/Skills!E15+IF(Inputs!$B$3&gt;=126,0.05*(B404+Q381+(H382*B405)/(1+Skills!H14*H382*B405)+Q392),0)*Skills!I16),0))*IF(Inputs!$B$38="pvp",1,(1-Summary!$B$56)*(1)+Summary!$B$56*(MIN(Skills!R24,Inputs!$B$37))),0)</f>
        <v/>
      </c>
      <c r="P392">
        <f>IF(B407=0,0,O392/B407)</f>
        <v/>
      </c>
      <c r="Q392">
        <f>IFERROR(1/IF(Inputs!$B$38="pvp",15,MAX(0.1,Skills!E24-IF(Skills!F24=TRUE,Inputs!$B$32,0))),0)</f>
        <v/>
      </c>
      <c r="R392">
        <f>IF(AND(Inputs!$B$38&lt;&gt;"pvp",Inputs!$B$43&gt;0),(INT(Inputs!$B$43/IF(Inputs!$B$38="pvp",15,MAX(0.1,Skills!E24-IF(Skills!F24=TRUE,Inputs!$B$32,0))))+1),0)</f>
        <v/>
      </c>
    </row>
    <row r="393">
      <c r="A393">
        <f>Skills!A25</f>
        <v/>
      </c>
      <c r="B393">
        <f>Skills!B25</f>
        <v/>
      </c>
      <c r="C393">
        <f>Inputs!$B$3&gt;=117</f>
        <v/>
      </c>
      <c r="D393">
        <f>IF(Skills!C25=1,60+Inputs!$B$25+Inputs!$B$29,IF(Skills!C25=2,90+Inputs!$B$26+Inputs!$B$29,IF(Skills!C25=3,120+Inputs!$B$27+Inputs!$B$29,MAX(0,(Inputs!$B$3-100)*3)+Inputs!$B$28+Inputs!$B$29)))</f>
        <v/>
      </c>
      <c r="E393">
        <f>INDEX(FactorTable!$B$2:$Y$301, MATCH(ROUND(MIN(300,MAX(1,D393)),0), FactorTable!$A$2:$A$301,0), Skills!M25+1)</f>
        <v/>
      </c>
      <c r="F393">
        <f>IF(Skills!N25=TRUE,(Skills!L25/10)*(E393/1000),Skills!L25/10)+Skills!O25</f>
        <v/>
      </c>
      <c r="G393">
        <f>Calc!G25</f>
        <v/>
      </c>
      <c r="H393">
        <f>Calc!H25</f>
        <v/>
      </c>
      <c r="I393">
        <f>IF(Skills!X25&lt;&gt;"",1+(Skills!X25/10)*(Z371/1000)/100,1)</f>
        <v/>
      </c>
      <c r="J393" t="inlineStr"/>
      <c r="K393" t="inlineStr"/>
      <c r="L393" t="inlineStr"/>
      <c r="M393" t="inlineStr"/>
      <c r="N393" t="inlineStr"/>
      <c r="O393" t="n">
        <v>0</v>
      </c>
      <c r="P393">
        <f>IF(B407=0,0,O393/B407)</f>
        <v/>
      </c>
      <c r="Q393">
        <f>IFERROR(1/IF(Inputs!$B$38="pvp",15,MAX(0.1,Skills!E25-IF(Skills!F25=TRUE,Inputs!$B$32,0))),0)</f>
        <v/>
      </c>
      <c r="R393" t="n">
        <v>0</v>
      </c>
    </row>
    <row r="394">
      <c r="A394">
        <f>Skills!A26</f>
        <v/>
      </c>
      <c r="B394">
        <f>Skills!B26</f>
        <v/>
      </c>
      <c r="C394">
        <f>Inputs!$B$3&gt;=120</f>
        <v/>
      </c>
      <c r="D394">
        <f>IF(Skills!C26=1,60+Inputs!$B$25+Inputs!$B$29,IF(Skills!C26=2,90+Inputs!$B$26+Inputs!$B$29,IF(Skills!C26=3,120+Inputs!$B$27+Inputs!$B$29,MAX(0,(Inputs!$B$3-100)*3)+Inputs!$B$28+Inputs!$B$29)))</f>
        <v/>
      </c>
      <c r="E394">
        <f>INDEX(FactorTable!$B$2:$Y$301, MATCH(ROUND(MIN(300,MAX(1,D394)),0), FactorTable!$A$2:$A$301,0), Skills!M26+1)</f>
        <v/>
      </c>
      <c r="F394">
        <f>IF(Skills!N26=TRUE,(Skills!L26/10)*(E394/1000),Skills!L26/10)+Skills!O26</f>
        <v/>
      </c>
      <c r="G394">
        <f>Calc!G26</f>
        <v/>
      </c>
      <c r="H394">
        <f>Calc!H26</f>
        <v/>
      </c>
      <c r="I394">
        <f>IF(Skills!X26&lt;&gt;"",1+(Skills!X26/10)*(Z371/1000)/100,1)</f>
        <v/>
      </c>
      <c r="J394" t="inlineStr"/>
      <c r="K394" t="inlineStr"/>
      <c r="L394" t="inlineStr"/>
      <c r="M394" t="inlineStr"/>
      <c r="N394" t="inlineStr"/>
      <c r="O394" t="n">
        <v>0</v>
      </c>
      <c r="P394">
        <f>IF(B407=0,0,O394/B407)</f>
        <v/>
      </c>
      <c r="Q394">
        <f>IFERROR(1/IF(Inputs!$B$38="pvp",15,MAX(0.1,Skills!E26-IF(Skills!F26=TRUE,Inputs!$B$32,0))),0)</f>
        <v/>
      </c>
      <c r="R394" t="n">
        <v>0</v>
      </c>
    </row>
    <row r="395">
      <c r="A395">
        <f>Skills!A27</f>
        <v/>
      </c>
      <c r="B395">
        <f>Skills!B27</f>
        <v/>
      </c>
      <c r="C395">
        <f>Inputs!$B$3&gt;=125</f>
        <v/>
      </c>
      <c r="D395">
        <f>IF(Skills!C27=1,60+Inputs!$B$25+Inputs!$B$29,IF(Skills!C27=2,90+Inputs!$B$26+Inputs!$B$29,IF(Skills!C27=3,120+Inputs!$B$27+Inputs!$B$29,MAX(0,(Inputs!$B$3-100)*3)+Inputs!$B$28+Inputs!$B$29)))</f>
        <v/>
      </c>
      <c r="E395">
        <f>INDEX(FactorTable!$B$2:$Y$301, MATCH(ROUND(MIN(300,MAX(1,D395)),0), FactorTable!$A$2:$A$301,0), Skills!M27+1)</f>
        <v/>
      </c>
      <c r="F395">
        <f>IF(Skills!N27=TRUE,(Skills!L27/10)*(E395/1000),Skills!L27/10)+Skills!O27</f>
        <v/>
      </c>
      <c r="G395">
        <f>Calc!G27</f>
        <v/>
      </c>
      <c r="H395">
        <f>Calc!H27</f>
        <v/>
      </c>
      <c r="I395">
        <f>IF(Skills!X27&lt;&gt;"",1+(Skills!X27/10)*(Z371/1000)/100,1)</f>
        <v/>
      </c>
      <c r="J395" t="inlineStr"/>
      <c r="K395" t="inlineStr"/>
      <c r="L395" t="inlineStr"/>
      <c r="M395" t="inlineStr"/>
      <c r="N395" t="inlineStr"/>
      <c r="O395" t="n">
        <v>0</v>
      </c>
      <c r="P395">
        <f>IF(B407=0,0,O395/B407)</f>
        <v/>
      </c>
      <c r="Q395">
        <f>IFERROR(1/IF(Inputs!$B$38="pvp",15,MAX(0.1,Skills!E27-IF(Skills!F27=TRUE,Inputs!$B$32,0))),0)</f>
        <v/>
      </c>
      <c r="R395" t="n">
        <v>0</v>
      </c>
    </row>
    <row r="396">
      <c r="A396">
        <f>Skills!A28</f>
        <v/>
      </c>
      <c r="B396">
        <f>Skills!B28</f>
        <v/>
      </c>
      <c r="C396">
        <f>Inputs!$B$3&gt;=118</f>
        <v/>
      </c>
      <c r="D396">
        <f>IF(Skills!C28=1,60+Inputs!$B$25+Inputs!$B$29,IF(Skills!C28=2,90+Inputs!$B$26+Inputs!$B$29,IF(Skills!C28=3,120+Inputs!$B$27+Inputs!$B$29,MAX(0,(Inputs!$B$3-100)*3)+Inputs!$B$28+Inputs!$B$29)))</f>
        <v/>
      </c>
      <c r="E396">
        <f>INDEX(FactorTable!$B$2:$Y$301, MATCH(ROUND(MIN(300,MAX(1,D396)),0), FactorTable!$A$2:$A$301,0), Skills!M28+1)</f>
        <v/>
      </c>
      <c r="F396">
        <f>IF(Skills!N28=TRUE,(Skills!L28/10)*(E396/1000),Skills!L28/10)+Skills!O28</f>
        <v/>
      </c>
      <c r="G396">
        <f>Calc!G28</f>
        <v/>
      </c>
      <c r="H396">
        <f>Calc!H28</f>
        <v/>
      </c>
      <c r="I396">
        <f>IF(Skills!X28&lt;&gt;"",1+(Skills!X28/10)*(Z371/1000)/100,1)</f>
        <v/>
      </c>
      <c r="J396">
        <f>((Inputs!$B$6*(1+Inputs!$B$7/100))+(((Inputs!$B$12*(1+Inputs!$B$13/100))-(Inputs!$B$12*(1+Inputs!$B$13/100)))+0.25*(Inputs!$B$14-Inputs!$B$14))*(1+Inputs!$B$7/100))*(F396/100)</f>
        <v/>
      </c>
      <c r="K396">
        <f>J396*(1+((Inputs!$B$12*(1+Inputs!$B$13/100))*0.01+Inputs!$B$14*0.0025)/100)*(1+Inputs!$B$15/100)*(1+IF(Inputs!$B$38="pvp",0,(1-Summary!$B$56)*(Inputs!$B$20+Skills!P28)+Summary!$B$56*(Inputs!$B$21+Skills!Q28))/100)*(1+Inputs!$B$16/100)*(5000/(6000+Inputs!$B$42*(1-Inputs!$B$19/100)))*(1+Inputs!$B$24/100)*(1+F391/100)*(1+IF(Inputs!$B$3&gt;=120,F394,0)/100)^5*(1+(IF(Skills!A28="BASIC_ATTACK",Inputs!$B$17,Inputs!$B$18+IF(Inputs!$B$3&gt;=125,F395*5,0)))/100)*(B398*B399*B400*I396)</f>
        <v/>
      </c>
      <c r="L396">
        <f>K396*(MIN(Inputs!$B$22+(F390-Calc!F22),(Inputs!$B$23+1))/100+(Inputs!$B$23+1)/100)/2</f>
        <v/>
      </c>
      <c r="M396">
        <f>L396*(1+(Inputs!$B$10+(F389-Calc!F21))/100)</f>
        <v/>
      </c>
      <c r="N396">
        <f>L396*(1-MIN(Inputs!$B$9+(F388-Calc!F20),100)/100)+M396*(MIN(Inputs!$B$9+(F388-Calc!F20),100)/100)</f>
        <v/>
      </c>
      <c r="O396">
        <f>IF(C396,H396*N396*IF(AND(Inputs!$B$38&lt;&gt;"pvp",Inputs!$B$43&gt;0),((Skills!G28*((R396-1)*IF(Skills!H28&gt;0,Skills!I28/Skills!H28,1)+IF(Skills!H28&gt;0,MIN(Skills!I28,MAX(0,Inputs!$B$43-((R396-1)*IF(Inputs!$B$38="pvp",15,MAX(0.1,Skills!E28-IF(Skills!F28=TRUE,Inputs!$B$32,0))))))/Skills!H28,1)))/Inputs!$B$43),G396*Q396)*IF(Inputs!$B$38="pvp",1,(1-Summary!$B$56)*(1)+Summary!$B$56*(MIN(Skills!R28,Inputs!$B$37))),0)</f>
        <v/>
      </c>
      <c r="P396">
        <f>IF(B407=0,0,O396/B407)</f>
        <v/>
      </c>
      <c r="Q396">
        <f>IFERROR(1/IF(Inputs!$B$38="pvp",15,MAX(0.1,Skills!E28-IF(Skills!F28=TRUE,Inputs!$B$32,0))),0)</f>
        <v/>
      </c>
      <c r="R396">
        <f>IF(AND(Inputs!$B$38&lt;&gt;"pvp",Inputs!$B$43&gt;0),(INT(Inputs!$B$43/IF(Inputs!$B$38="pvp",15,MAX(0.1,Skills!E28-IF(Skills!F28=TRUE,Inputs!$B$32,0))))+1),0)</f>
        <v/>
      </c>
    </row>
    <row r="398">
      <c r="A398" t="inlineStr">
        <is>
          <t>Burning Magic Multiplier</t>
        </is>
      </c>
      <c r="B398">
        <f>1+(F379*Skills!Z11)/100</f>
        <v/>
      </c>
    </row>
    <row r="399">
      <c r="A399" t="inlineStr">
        <is>
          <t>Elemental Decrease Multiplier (always-on)</t>
        </is>
      </c>
      <c r="B399">
        <f>1+F380/100</f>
        <v/>
      </c>
    </row>
    <row r="400">
      <c r="A400" t="inlineStr">
        <is>
          <t>Average Buff Multiplier (Magic Guard + Meditation, summed; then Infinity)</t>
        </is>
      </c>
      <c r="B400">
        <f>(1+(F374*IF(AND(Inputs!$B$38&lt;&gt;"pvp",Inputs!$B$43&gt;0),(((R374-1)*(Skills!T6*(1+(Inputs!$B$34+IF(Inputs!$B$3&gt;=117,F393,0))/100))+MIN((Skills!T6*(1+(Inputs!$B$34+IF(Inputs!$B$3&gt;=117,F393,0))/100)),MAX(0,Inputs!$B$43-((R374-1)*Skills!E6))))/Inputs!$B$43),IF(Inputs!$B$38="pvp",MIN((Skills!T6*(1+(Inputs!$B$34+IF(Inputs!$B$3&gt;=117,F393,0))/100)),15)/15,(Skills!T6*(1+(Inputs!$B$34+IF(Inputs!$B$3&gt;=117,F393,0))/100))/Skills!E6))+F385*IF(AND(Inputs!$B$38&lt;&gt;"pvp",Inputs!$B$43&gt;0),(((R385-1)*(Skills!T17*(1+(Inputs!$B$34+IF(Inputs!$B$3&gt;=117,F393,0))/100))+MIN((Skills!T17*(1+(Inputs!$B$34+IF(Inputs!$B$3&gt;=117,F393,0))/100)),MAX(0,Inputs!$B$43-((R385-1)*Skills!E17))))/Inputs!$B$43),IF(Inputs!$B$38="pvp",MIN((Skills!T17*(1+(Inputs!$B$34+IF(Inputs!$B$3&gt;=117,F393,0))/100)),15)/15,(Skills!T17*(1+(Inputs!$B$34+IF(Inputs!$B$3&gt;=117,F393,0))/100))/Skills!E17)))/100)*IF(C387=TRUE,(1+F387*IF(AND(Inputs!$B$38&lt;&gt;"pvp",Inputs!$B$43&gt;0),(((R387-1)*(Skills!T19*(1+(Inputs!$B$34+IF(Inputs!$B$3&gt;=117,F393,0))/100))+MIN((Skills!T19*(1+(Inputs!$B$34+IF(Inputs!$B$3&gt;=117,F393,0))/100)),MAX(0,Inputs!$B$43-((R387-1)*Skills!E19))))/Inputs!$B$43),IF(Inputs!$B$38="pvp",MIN((Skills!T19*(1+(Inputs!$B$34+IF(Inputs!$B$3&gt;=117,F393,0))/100)),15)/15,(Skills!T19*(1+(Inputs!$B$34+IF(Inputs!$B$3&gt;=117,F393,0))/100))/Skills!E19))/100),1)</f>
        <v/>
      </c>
    </row>
    <row r="401">
      <c r="A401" t="inlineStr">
        <is>
          <t>Attack Speed Buff Bonus % (Nimble Feet, averaged)</t>
        </is>
      </c>
      <c r="B401">
        <f>F386*IF(AND(Inputs!$B$38&lt;&gt;"pvp",Inputs!$B$43&gt;0),(((R386-1)*(Skills!T18*(1+(Inputs!$B$34+IF(Inputs!$B$3&gt;=117,F393,0))/100))+MIN((Skills!T18*(1+(Inputs!$B$34+IF(Inputs!$B$3&gt;=117,F393,0))/100)),MAX(0,Inputs!$B$43-((R386-1)*Skills!E18))))/Inputs!$B$43),IF(Inputs!$B$38="pvp",MIN((Skills!T18*(1+(Inputs!$B$34+IF(Inputs!$B$3&gt;=117,F393,0))/100)),15)/15,(Skills!T18*(1+(Inputs!$B$34+IF(Inputs!$B$3&gt;=117,F393,0))/100))/Skills!E18))</f>
        <v/>
      </c>
    </row>
    <row r="402">
      <c r="A402" t="inlineStr">
        <is>
          <t>Actions Per Second</t>
        </is>
      </c>
      <c r="B402">
        <f>1+MIN(150,150*(1-(1-Inputs!$B$11/150)*(1-B401/150)))/100</f>
        <v/>
      </c>
    </row>
    <row r="403">
      <c r="A403" t="inlineStr">
        <is>
          <t>Skill + Buff Cast Rate</t>
        </is>
      </c>
      <c r="B403">
        <f>IF(AND(Inputs!$B$38&lt;&gt;"pvp",Inputs!$B$43&gt;0),SUMPRODUCT((Skills!F2:F28=TRUE)*(C370:C396=TRUE)*R370:R396)/Inputs!$B$43,SUMPRODUCT((Skills!F2:F28=TRUE)*(C370:C396=TRUE)*Q370:Q396))</f>
        <v/>
      </c>
    </row>
    <row r="404">
      <c r="A404" t="inlineStr">
        <is>
          <t>Basic Attacks Per Second</t>
        </is>
      </c>
      <c r="B404">
        <f>MAX(0,B402-B403)</f>
        <v/>
      </c>
    </row>
    <row r="405">
      <c r="A405" t="inlineStr">
        <is>
          <t>Meteor Proc — combined trigger cast rate</t>
        </is>
      </c>
      <c r="B405">
        <f>IF(AND(Inputs!$B$38&lt;&gt;"pvp",Inputs!$B$43&gt;0),SUMPRODUCT((Skills!V2:V28=TRUE)*(C370:C396=TRUE)*R370:R396*Skills!W2:W28)/Inputs!$B$43,SUMPRODUCT((Skills!V2:V28=TRUE)*(C370:C396=TRUE)*Q370:Q396*Skills!W2:W28))+B404</f>
        <v/>
      </c>
    </row>
    <row r="407">
      <c r="A407" s="5" t="inlineStr">
        <is>
          <t>TOTAL DPS</t>
        </is>
      </c>
      <c r="B407" s="5">
        <f>SUM(O370:O396)</f>
        <v/>
      </c>
    </row>
    <row r="410">
      <c r="A410" s="5" t="inlineStr">
        <is>
          <t>Stat: CRIT_RATE %</t>
        </is>
      </c>
    </row>
    <row r="411">
      <c r="A411" s="9" t="inlineStr">
        <is>
          <t>Key</t>
        </is>
      </c>
      <c r="B411" s="9" t="inlineStr">
        <is>
          <t>Name</t>
        </is>
      </c>
      <c r="C411" s="9" t="inlineStr">
        <is>
          <t>Unlocked</t>
        </is>
      </c>
      <c r="D411" s="9" t="inlineStr">
        <is>
          <t>InputLevel</t>
        </is>
      </c>
      <c r="E411" s="9" t="inlineStr">
        <is>
          <t>Factor</t>
        </is>
      </c>
      <c r="F411" s="9" t="inlineStr">
        <is>
          <t>CoefficientPercent</t>
        </is>
      </c>
      <c r="G411" s="9" t="inlineStr">
        <is>
          <t>EffectiveHits</t>
        </is>
      </c>
      <c r="H411" s="9" t="inlineStr">
        <is>
          <t>ProcProbability</t>
        </is>
      </c>
      <c r="I411" s="9" t="inlineStr">
        <is>
          <t>MapleHeroMultiplier</t>
        </is>
      </c>
      <c r="J411" s="9" t="inlineStr">
        <is>
          <t>BaseDamage</t>
        </is>
      </c>
      <c r="K411" s="9" t="inlineStr">
        <is>
          <t>BaseHitDamage</t>
        </is>
      </c>
      <c r="L411" s="9" t="inlineStr">
        <is>
          <t>NonCritAvg</t>
        </is>
      </c>
      <c r="M411" s="9" t="inlineStr">
        <is>
          <t>CritAvg</t>
        </is>
      </c>
      <c r="N411" s="9" t="inlineStr">
        <is>
          <t>ExpectedDamage(perHit)</t>
        </is>
      </c>
      <c r="O411" s="9" t="inlineStr">
        <is>
          <t>DPS</t>
        </is>
      </c>
      <c r="P411" s="9" t="inlineStr">
        <is>
          <t>% of Total</t>
        </is>
      </c>
      <c r="R411" t="inlineStr">
        <is>
          <t>helpers</t>
        </is>
      </c>
    </row>
    <row r="412">
      <c r="A412">
        <f>Skills!A2</f>
        <v/>
      </c>
      <c r="B412">
        <f>Skills!B2</f>
        <v/>
      </c>
      <c r="C412">
        <f>TRUE</f>
        <v/>
      </c>
      <c r="D412" t="inlineStr"/>
      <c r="E412" t="inlineStr"/>
      <c r="F412">
        <f>T414+Skills!O2</f>
        <v/>
      </c>
      <c r="G412">
        <f>Calc!G2</f>
        <v/>
      </c>
      <c r="H412">
        <f>Calc!H2</f>
        <v/>
      </c>
      <c r="I412">
        <f>IF(Skills!X2&lt;&gt;"",1+(Skills!X2/10)*(Z413/1000)/100,1)</f>
        <v/>
      </c>
      <c r="J412">
        <f>((Inputs!$B$6*(1+Inputs!$B$7/100))+(((Inputs!$B$12*(1+Inputs!$B$13/100))-(Inputs!$B$12*(1+Inputs!$B$13/100)))+0.25*(Inputs!$B$14-Inputs!$B$14))*(1+Inputs!$B$7/100))*(F412/100)</f>
        <v/>
      </c>
      <c r="K412">
        <f>J412*(1+((Inputs!$B$12*(1+Inputs!$B$13/100))*0.01+Inputs!$B$14*0.0025)/100)*(1+Inputs!$B$15/100)*(1+IF(Inputs!$B$38="pvp",0,(1-Summary!$B$56)*(Inputs!$B$20+Skills!P2)+Summary!$B$56*(Inputs!$B$21+Skills!Q2))/100)*(1+Inputs!$B$16/100)*(5000/(6000+Inputs!$B$42*(1-Inputs!$B$19/100)))*(1+Inputs!$B$24/100)*(1+F433/100)*(1+IF(Inputs!$B$3&gt;=120,F436,0)/100)^5*(1+(IF(Skills!A2="BASIC_ATTACK",Inputs!$B$17,Inputs!$B$18+IF(Inputs!$B$3&gt;=125,F437*5,0)))/100)*(B440*B441*B442*I412)</f>
        <v/>
      </c>
      <c r="L412">
        <f>K412*(MIN(Inputs!$B$22+(F432-Calc!F22),Inputs!$B$23)/100+Inputs!$B$23/100)/2</f>
        <v/>
      </c>
      <c r="M412">
        <f>L412*(1+(Inputs!$B$10+(F431-Calc!F21))/100)</f>
        <v/>
      </c>
      <c r="N412">
        <f>L412*(1-MIN((Inputs!$B$9+1)+(F430-Calc!F20),100)/100)+M412*(MIN((Inputs!$B$9+1)+(F430-Calc!F20),100)/100)</f>
        <v/>
      </c>
      <c r="O412">
        <f>Skills!G2*N412*B446*IF(Inputs!$B$38="pvp",1,(1-Summary!$B$56)*(1)+Summary!$B$56*(MIN((6+Inputs!$B$33+IF(Inputs!$B$3&gt;=136,1,0)),Inputs!$B$37)))</f>
        <v/>
      </c>
      <c r="P412">
        <f>IF(B449=0,0,O412/B449)</f>
        <v/>
      </c>
      <c r="Q412">
        <f>IFERROR(1/IF(Inputs!$B$38="pvp",15,MAX(0.1,Skills!E2-IF(Skills!F2=TRUE,Inputs!$B$32,0))),0)</f>
        <v/>
      </c>
      <c r="R412" t="n">
        <v>0</v>
      </c>
      <c r="T412">
        <f>MAX(0,(Inputs!$B$3-100)*3)+Inputs!$B$28+Inputs!$B$29</f>
        <v/>
      </c>
      <c r="Z412">
        <f>MAX(0,(Inputs!$B$3-100)*3)+Inputs!$B$28+Inputs!$B$29</f>
        <v/>
      </c>
    </row>
    <row r="413">
      <c r="A413">
        <f>Skills!A3</f>
        <v/>
      </c>
      <c r="B413">
        <f>Skills!B3</f>
        <v/>
      </c>
      <c r="C413">
        <f>TRUE</f>
        <v/>
      </c>
      <c r="D413">
        <f>IF(Skills!C3=1,60+Inputs!$B$25+Inputs!$B$29,IF(Skills!C3=2,90+Inputs!$B$26+Inputs!$B$29,IF(Skills!C3=3,120+Inputs!$B$27+Inputs!$B$29,MAX(0,(Inputs!$B$3-100)*3)+Inputs!$B$28+Inputs!$B$29)))</f>
        <v/>
      </c>
      <c r="E413">
        <f>INDEX(FactorTable!$B$2:$Y$301, MATCH(ROUND(MIN(300,MAX(1,D413)),0), FactorTable!$A$2:$A$301,0), Skills!M3+1)</f>
        <v/>
      </c>
      <c r="F413">
        <f>IF(Skills!N3=TRUE,(Skills!L3/10)*(E413/1000),Skills!L3/10)+Skills!O3</f>
        <v/>
      </c>
      <c r="G413">
        <f>Calc!G3</f>
        <v/>
      </c>
      <c r="H413">
        <f>Calc!H3</f>
        <v/>
      </c>
      <c r="I413">
        <f>IF(Skills!X3&lt;&gt;"",1+(Skills!X3/10)*(Z413/1000)/100,1)</f>
        <v/>
      </c>
      <c r="J413">
        <f>((Inputs!$B$6*(1+Inputs!$B$7/100))+(((Inputs!$B$12*(1+Inputs!$B$13/100))-(Inputs!$B$12*(1+Inputs!$B$13/100)))+0.25*(Inputs!$B$14-Inputs!$B$14))*(1+Inputs!$B$7/100))*(F413/100)</f>
        <v/>
      </c>
      <c r="K413">
        <f>J413*(1+((Inputs!$B$12*(1+Inputs!$B$13/100))*0.01+Inputs!$B$14*0.0025)/100)*(1+Inputs!$B$15/100)*(1+IF(Inputs!$B$38="pvp",0,(1-Summary!$B$56)*(Inputs!$B$20+Skills!P3)+Summary!$B$56*(Inputs!$B$21+Skills!Q3))/100)*(1+Inputs!$B$16/100)*(5000/(6000+Inputs!$B$42*(1-Inputs!$B$19/100)))*(1+Inputs!$B$24/100)*(1+F433/100)*(1+IF(Inputs!$B$3&gt;=120,F436,0)/100)^5*(1+(IF(Skills!A3="BASIC_ATTACK",Inputs!$B$17,Inputs!$B$18+IF(Inputs!$B$3&gt;=125,F437*5,0)))/100)*(B440*B441*B442*I413)</f>
        <v/>
      </c>
      <c r="L413">
        <f>K413*(MIN(Inputs!$B$22+(F432-Calc!F22),Inputs!$B$23)/100+Inputs!$B$23/100)/2</f>
        <v/>
      </c>
      <c r="M413">
        <f>L413*(1+(Inputs!$B$10+(F431-Calc!F21))/100)</f>
        <v/>
      </c>
      <c r="N413">
        <f>L413*(1-MIN((Inputs!$B$9+1)+(F430-Calc!F20),100)/100)+M413*(MIN((Inputs!$B$9+1)+(F430-Calc!F20),100)/100)</f>
        <v/>
      </c>
      <c r="O413">
        <f>IF(C413,H413*N413*IF(AND(Inputs!$B$38&lt;&gt;"pvp",Inputs!$B$43&gt;0),((Skills!G3*((R413-1)*IF(Skills!H3&gt;0,Skills!I3/Skills!H3,1)+IF(Skills!H3&gt;0,MIN(Skills!I3,MAX(0,Inputs!$B$43-((R413-1)*IF(Inputs!$B$38="pvp",15,MAX(0.1,Skills!E3-IF(Skills!F3=TRUE,Inputs!$B$32,0))))))/Skills!H3,1)))/Inputs!$B$43),G413*Q413)*IF(Inputs!$B$38="pvp",1,(1-Summary!$B$56)*(1)+Summary!$B$56*(MIN(Skills!R3,Inputs!$B$37))),0)</f>
        <v/>
      </c>
      <c r="P413">
        <f>IF(B449=0,0,O413/B449)</f>
        <v/>
      </c>
      <c r="Q413">
        <f>IFERROR(1/IF(Inputs!$B$38="pvp",15,MAX(0.1,Skills!E3-IF(Skills!F3=TRUE,Inputs!$B$32,0))),0)</f>
        <v/>
      </c>
      <c r="R413">
        <f>IF(AND(Inputs!$B$38&lt;&gt;"pvp",Inputs!$B$43&gt;0),(INT(Inputs!$B$43/IF(Inputs!$B$38="pvp",15,MAX(0.1,Skills!E3-IF(Skills!F3=TRUE,Inputs!$B$32,0))))+1),0)</f>
        <v/>
      </c>
      <c r="T413">
        <f>INDEX(FactorTable!$B$2:$Y$301, MATCH(ROUND(MIN(300,MAX(1,T412)),0), FactorTable!$A$2:$A$301,0), 22)</f>
        <v/>
      </c>
      <c r="Z413">
        <f>INDEX(FactorTable!$B$2:$Y$301, MATCH(ROUND(MIN(300,MAX(1,Z412)),0), FactorTable!$A$2:$A$301,0), 24)</f>
        <v/>
      </c>
    </row>
    <row r="414">
      <c r="A414">
        <f>Skills!A4</f>
        <v/>
      </c>
      <c r="B414">
        <f>Skills!B4</f>
        <v/>
      </c>
      <c r="C414">
        <f>TRUE</f>
        <v/>
      </c>
      <c r="D414">
        <f>IF(Skills!C4=1,60+Inputs!$B$25+Inputs!$B$29,IF(Skills!C4=2,90+Inputs!$B$26+Inputs!$B$29,IF(Skills!C4=3,120+Inputs!$B$27+Inputs!$B$29,MAX(0,(Inputs!$B$3-100)*3)+Inputs!$B$28+Inputs!$B$29)))</f>
        <v/>
      </c>
      <c r="E414">
        <f>INDEX(FactorTable!$B$2:$Y$301, MATCH(ROUND(MIN(300,MAX(1,D414)),0), FactorTable!$A$2:$A$301,0), Skills!M4+1)</f>
        <v/>
      </c>
      <c r="F414">
        <f>IF(Skills!N4=TRUE,(Skills!L4/10)*(E414/1000),Skills!L4/10)+Skills!O4</f>
        <v/>
      </c>
      <c r="G414">
        <f>Calc!G4</f>
        <v/>
      </c>
      <c r="H414">
        <f>Calc!H4</f>
        <v/>
      </c>
      <c r="I414">
        <f>IF(Skills!X4&lt;&gt;"",1+(Skills!X4/10)*(Z413/1000)/100,1)</f>
        <v/>
      </c>
      <c r="J414">
        <f>((Inputs!$B$6*(1+Inputs!$B$7/100))+(((Inputs!$B$12*(1+Inputs!$B$13/100))-(Inputs!$B$12*(1+Inputs!$B$13/100)))+0.25*(Inputs!$B$14-Inputs!$B$14))*(1+Inputs!$B$7/100))*(F414/100)</f>
        <v/>
      </c>
      <c r="K414">
        <f>J414*(1+((Inputs!$B$12*(1+Inputs!$B$13/100))*0.01+Inputs!$B$14*0.0025)/100)*(1+Inputs!$B$15/100)*(1+IF(Inputs!$B$38="pvp",0,(1-Summary!$B$56)*(Inputs!$B$20+Skills!P4)+Summary!$B$56*(Inputs!$B$21+Skills!Q4))/100)*(1+Inputs!$B$16/100)*(5000/(6000+Inputs!$B$42*(1-Inputs!$B$19/100)))*(1+Inputs!$B$24/100)*(1+F433/100)*(1+IF(Inputs!$B$3&gt;=120,F436,0)/100)^5*(1+(IF(Skills!A4="BASIC_ATTACK",Inputs!$B$17,Inputs!$B$18+IF(Inputs!$B$3&gt;=125,F437*5,0)))/100)*(B440*B441*B442*I414)</f>
        <v/>
      </c>
      <c r="L414">
        <f>K414*(MIN(Inputs!$B$22+(F432-Calc!F22),Inputs!$B$23)/100+Inputs!$B$23/100)/2</f>
        <v/>
      </c>
      <c r="M414">
        <f>L414*(1+(Inputs!$B$10+(F431-Calc!F21))/100)</f>
        <v/>
      </c>
      <c r="N414">
        <f>L414*(1-MIN((Inputs!$B$9+1)+(F430-Calc!F20),100)/100)+M414*(MIN((Inputs!$B$9+1)+(F430-Calc!F20),100)/100)</f>
        <v/>
      </c>
      <c r="O414">
        <f>IF(C414,H414*N414*IF(AND(Inputs!$B$38&lt;&gt;"pvp",Inputs!$B$43&gt;0),((Skills!G4*((R414-1)*IF(Skills!H4&gt;0,Skills!I4/Skills!H4,1)+IF(Skills!H4&gt;0,MIN(Skills!I4,MAX(0,Inputs!$B$43-((R414-1)*IF(Inputs!$B$38="pvp",15,MAX(0.1,Skills!E4-IF(Skills!F4=TRUE,Inputs!$B$32,0))))))/Skills!H4,1)))/Inputs!$B$43),G414*Q414)*IF(Inputs!$B$38="pvp",1,(1-Summary!$B$56)*(1)+Summary!$B$56*(MIN(Skills!R4,Inputs!$B$37))),0)</f>
        <v/>
      </c>
      <c r="P414">
        <f>IF(B449=0,0,O414/B449)</f>
        <v/>
      </c>
      <c r="Q414">
        <f>IFERROR(1/IF(Inputs!$B$38="pvp",15,MAX(0.1,Skills!E4-IF(Skills!F4=TRUE,Inputs!$B$32,0))),0)</f>
        <v/>
      </c>
      <c r="R414">
        <f>IF(AND(Inputs!$B$38&lt;&gt;"pvp",Inputs!$B$43&gt;0),(INT(Inputs!$B$43/IF(Inputs!$B$38="pvp",15,MAX(0.1,Skills!E4-IF(Skills!F4=TRUE,Inputs!$B$32,0))))+1),0)</f>
        <v/>
      </c>
      <c r="T414">
        <f>290*T413/1000</f>
        <v/>
      </c>
    </row>
    <row r="415">
      <c r="A415">
        <f>Skills!A5</f>
        <v/>
      </c>
      <c r="B415">
        <f>Skills!B5</f>
        <v/>
      </c>
      <c r="C415">
        <f>TRUE</f>
        <v/>
      </c>
      <c r="D415">
        <f>IF(Skills!C5=1,60+Inputs!$B$25+Inputs!$B$29,IF(Skills!C5=2,90+Inputs!$B$26+Inputs!$B$29,IF(Skills!C5=3,120+Inputs!$B$27+Inputs!$B$29,MAX(0,(Inputs!$B$3-100)*3)+Inputs!$B$28+Inputs!$B$29)))</f>
        <v/>
      </c>
      <c r="E415">
        <f>INDEX(FactorTable!$B$2:$Y$301, MATCH(ROUND(MIN(300,MAX(1,D415)),0), FactorTable!$A$2:$A$301,0), Skills!M5+1)</f>
        <v/>
      </c>
      <c r="F415">
        <f>IF(Skills!N5=TRUE,(Skills!L5/10)*(E415/1000),Skills!L5/10)+Skills!O5</f>
        <v/>
      </c>
      <c r="G415">
        <f>Calc!G5</f>
        <v/>
      </c>
      <c r="H415">
        <f>Calc!H5</f>
        <v/>
      </c>
      <c r="I415">
        <f>IF(Skills!X5&lt;&gt;"",1+(Skills!X5/10)*(Z413/1000)/100,1)</f>
        <v/>
      </c>
      <c r="J415">
        <f>((Inputs!$B$6*(1+Inputs!$B$7/100))+(((Inputs!$B$12*(1+Inputs!$B$13/100))-(Inputs!$B$12*(1+Inputs!$B$13/100)))+0.25*(Inputs!$B$14-Inputs!$B$14))*(1+Inputs!$B$7/100))*(F415/100)</f>
        <v/>
      </c>
      <c r="K415">
        <f>J415*(1+((Inputs!$B$12*(1+Inputs!$B$13/100))*0.01+Inputs!$B$14*0.0025)/100)*(1+Inputs!$B$15/100)*(1+IF(Inputs!$B$38="pvp",0,(1-Summary!$B$56)*(Inputs!$B$20+Skills!P5)+Summary!$B$56*(Inputs!$B$21+Skills!Q5))/100)*(1+Inputs!$B$16/100)*(5000/(6000+Inputs!$B$42*(1-Inputs!$B$19/100)))*(1+Inputs!$B$24/100)*(1+F433/100)*(1+IF(Inputs!$B$3&gt;=120,F436,0)/100)^5*(1+(IF(Skills!A5="BASIC_ATTACK",Inputs!$B$17,Inputs!$B$18+IF(Inputs!$B$3&gt;=125,F437*5,0)))/100)*(B440*B441*B442*I415)</f>
        <v/>
      </c>
      <c r="L415">
        <f>K415*(MIN(Inputs!$B$22+(F432-Calc!F22),Inputs!$B$23)/100+Inputs!$B$23/100)/2</f>
        <v/>
      </c>
      <c r="M415">
        <f>L415*(1+(Inputs!$B$10+(F431-Calc!F21))/100)</f>
        <v/>
      </c>
      <c r="N415">
        <f>L415*(1-MIN((Inputs!$B$9+1)+(F430-Calc!F20),100)/100)+M415*(MIN((Inputs!$B$9+1)+(F430-Calc!F20),100)/100)</f>
        <v/>
      </c>
      <c r="O415">
        <f>IF(C415,H415*N415*IF(AND(Inputs!$B$38&lt;&gt;"pvp",Inputs!$B$43&gt;0),((Skills!G5*((R415-1)*IF(Skills!H5&gt;0,Skills!I5/Skills!H5,1)+IF(Skills!H5&gt;0,MIN(Skills!I5,MAX(0,Inputs!$B$43-((R415-1)*IF(Inputs!$B$38="pvp",15,MAX(0.1,Skills!E5-IF(Skills!F5=TRUE,Inputs!$B$32,0))))))/Skills!H5,1)))/Inputs!$B$43),G415*Q415)*IF(Inputs!$B$38="pvp",1,(1-Summary!$B$56)*(1)+Summary!$B$56*(MIN(Skills!R5,Inputs!$B$37))),0)</f>
        <v/>
      </c>
      <c r="P415">
        <f>IF(B449=0,0,O415/B449)</f>
        <v/>
      </c>
      <c r="Q415">
        <f>IFERROR(1/IF(Inputs!$B$38="pvp",15,MAX(0.1,Skills!E5-IF(Skills!F5=TRUE,Inputs!$B$32,0))),0)</f>
        <v/>
      </c>
      <c r="R415">
        <f>IF(AND(Inputs!$B$38&lt;&gt;"pvp",Inputs!$B$43&gt;0),(INT(Inputs!$B$43/IF(Inputs!$B$38="pvp",15,MAX(0.1,Skills!E5-IF(Skills!F5=TRUE,Inputs!$B$32,0))))+1),0)</f>
        <v/>
      </c>
    </row>
    <row r="416">
      <c r="A416">
        <f>Skills!A6</f>
        <v/>
      </c>
      <c r="B416">
        <f>Skills!B6</f>
        <v/>
      </c>
      <c r="C416">
        <f>TRUE</f>
        <v/>
      </c>
      <c r="D416">
        <f>IF(Skills!C6=1,60+Inputs!$B$25+Inputs!$B$29,IF(Skills!C6=2,90+Inputs!$B$26+Inputs!$B$29,IF(Skills!C6=3,120+Inputs!$B$27+Inputs!$B$29,MAX(0,(Inputs!$B$3-100)*3)+Inputs!$B$28+Inputs!$B$29)))</f>
        <v/>
      </c>
      <c r="E416">
        <f>INDEX(FactorTable!$B$2:$Y$301, MATCH(ROUND(MIN(300,MAX(1,D416)),0), FactorTable!$A$2:$A$301,0), Skills!M6+1)</f>
        <v/>
      </c>
      <c r="F416">
        <f>IF(Skills!N6=TRUE,(Skills!L6/10)*(E416/1000),Skills!L6/10)+Skills!O6</f>
        <v/>
      </c>
      <c r="G416">
        <f>Calc!G6</f>
        <v/>
      </c>
      <c r="H416">
        <f>Calc!H6</f>
        <v/>
      </c>
      <c r="I416">
        <f>IF(Skills!X6&lt;&gt;"",1+(Skills!X6/10)*(Z413/1000)/100,1)</f>
        <v/>
      </c>
      <c r="J416" t="inlineStr"/>
      <c r="K416" t="inlineStr"/>
      <c r="L416" t="inlineStr"/>
      <c r="M416" t="inlineStr"/>
      <c r="N416" t="inlineStr"/>
      <c r="O416" t="n">
        <v>0</v>
      </c>
      <c r="P416">
        <f>IF(B449=0,0,O416/B449)</f>
        <v/>
      </c>
      <c r="Q416">
        <f>IFERROR(1/IF(Inputs!$B$38="pvp",15,MAX(0.1,Skills!E6-IF(Skills!F6=TRUE,Inputs!$B$32,0))),0)</f>
        <v/>
      </c>
      <c r="R416">
        <f>IF(AND(Inputs!$B$38&lt;&gt;"pvp",Inputs!$B$43&gt;0),(INT(Inputs!$B$43/IF(Inputs!$B$38="pvp",15,MAX(0.1,Skills!E6-IF(Skills!F6=TRUE,Inputs!$B$32,0))))+1),0)</f>
        <v/>
      </c>
    </row>
    <row r="417">
      <c r="A417">
        <f>Skills!A7</f>
        <v/>
      </c>
      <c r="B417">
        <f>Skills!B7</f>
        <v/>
      </c>
      <c r="C417">
        <f>TRUE</f>
        <v/>
      </c>
      <c r="D417">
        <f>IF(Skills!C7=1,60+Inputs!$B$25+Inputs!$B$29,IF(Skills!C7=2,90+Inputs!$B$26+Inputs!$B$29,IF(Skills!C7=3,120+Inputs!$B$27+Inputs!$B$29,MAX(0,(Inputs!$B$3-100)*3)+Inputs!$B$28+Inputs!$B$29)))</f>
        <v/>
      </c>
      <c r="E417">
        <f>INDEX(FactorTable!$B$2:$Y$301, MATCH(ROUND(MIN(300,MAX(1,D417)),0), FactorTable!$A$2:$A$301,0), Skills!M7+1)</f>
        <v/>
      </c>
      <c r="F417">
        <f>IF(Skills!N7=TRUE,(Skills!L7/10)*(E417/1000),Skills!L7/10)+Skills!O7</f>
        <v/>
      </c>
      <c r="G417">
        <f>Calc!G7</f>
        <v/>
      </c>
      <c r="H417">
        <f>Calc!H7</f>
        <v/>
      </c>
      <c r="I417">
        <f>IF(Skills!X7&lt;&gt;"",1+(Skills!X7/10)*(Z413/1000)/100,1)</f>
        <v/>
      </c>
      <c r="J417">
        <f>((Inputs!$B$6*(1+Inputs!$B$7/100))+(((Inputs!$B$12*(1+Inputs!$B$13/100))-(Inputs!$B$12*(1+Inputs!$B$13/100)))+0.25*(Inputs!$B$14-Inputs!$B$14))*(1+Inputs!$B$7/100))*(F417/100)</f>
        <v/>
      </c>
      <c r="K417">
        <f>J417*(1+((Inputs!$B$12*(1+Inputs!$B$13/100))*0.01+Inputs!$B$14*0.0025)/100)*(1+Inputs!$B$15/100)*(1+IF(Inputs!$B$38="pvp",0,(1-Summary!$B$56)*(Inputs!$B$20+Skills!P7)+Summary!$B$56*(Inputs!$B$21+Skills!Q7))/100)*(1+Inputs!$B$16/100)*(5000/(6000+Inputs!$B$42*(1-Inputs!$B$19/100)))*(1+Inputs!$B$24/100)*(1+F433/100)*(1+IF(Inputs!$B$3&gt;=120,F436,0)/100)^5*(1+(IF(Skills!A7="BASIC_ATTACK",Inputs!$B$17,Inputs!$B$18+IF(Inputs!$B$3&gt;=125,F437*5,0)))/100)*(B440*B441*B442*I417)</f>
        <v/>
      </c>
      <c r="L417">
        <f>K417*(MIN(Inputs!$B$22+(F432-Calc!F22),Inputs!$B$23)/100+Inputs!$B$23/100)/2</f>
        <v/>
      </c>
      <c r="M417">
        <f>L417*(1+(Inputs!$B$10+(F431-Calc!F21))/100)</f>
        <v/>
      </c>
      <c r="N417">
        <f>L417*(1-MIN((Inputs!$B$9+1)+(F430-Calc!F20),100)/100)+M417*(MIN((Inputs!$B$9+1)+(F430-Calc!F20),100)/100)</f>
        <v/>
      </c>
      <c r="O417">
        <f>IF(C417,H417*N417*IF(AND(Inputs!$B$38&lt;&gt;"pvp",Inputs!$B$43&gt;0),((Skills!G7*((R417-1)*IF(Skills!H7&gt;0,Skills!I7/Skills!H7,1)+IF(Skills!H7&gt;0,MIN(Skills!I7,MAX(0,Inputs!$B$43-((R417-1)*IF(Inputs!$B$38="pvp",15,MAX(0.1,Skills!E7-IF(Skills!F7=TRUE,Inputs!$B$32,0))))))/Skills!H7,1)))/Inputs!$B$43),G417*Q417)*IF(Inputs!$B$38="pvp",1,(1-Summary!$B$56)*(1)+Summary!$B$56*(MIN(Skills!R7,Inputs!$B$37))),0)</f>
        <v/>
      </c>
      <c r="P417">
        <f>IF(B449=0,0,O417/B449)</f>
        <v/>
      </c>
      <c r="Q417">
        <f>IFERROR(1/IF(Inputs!$B$38="pvp",15,MAX(0.1,Skills!E7-IF(Skills!F7=TRUE,Inputs!$B$32,0))),0)</f>
        <v/>
      </c>
      <c r="R417">
        <f>IF(AND(Inputs!$B$38&lt;&gt;"pvp",Inputs!$B$43&gt;0),(INT(Inputs!$B$43/IF(Inputs!$B$38="pvp",15,MAX(0.1,Skills!E7-IF(Skills!F7=TRUE,Inputs!$B$32,0))))+1),0)</f>
        <v/>
      </c>
    </row>
    <row r="418">
      <c r="A418">
        <f>Skills!A8</f>
        <v/>
      </c>
      <c r="B418">
        <f>Skills!B8</f>
        <v/>
      </c>
      <c r="C418">
        <f>TRUE</f>
        <v/>
      </c>
      <c r="D418">
        <f>IF(Skills!C8=1,60+Inputs!$B$25+Inputs!$B$29,IF(Skills!C8=2,90+Inputs!$B$26+Inputs!$B$29,IF(Skills!C8=3,120+Inputs!$B$27+Inputs!$B$29,MAX(0,(Inputs!$B$3-100)*3)+Inputs!$B$28+Inputs!$B$29)))</f>
        <v/>
      </c>
      <c r="E418">
        <f>INDEX(FactorTable!$B$2:$Y$301, MATCH(ROUND(MIN(300,MAX(1,D418)),0), FactorTable!$A$2:$A$301,0), Skills!M8+1)</f>
        <v/>
      </c>
      <c r="F418">
        <f>IF(Skills!N8=TRUE,(Skills!L8/10)*(E418/1000),Skills!L8/10)+Skills!O8</f>
        <v/>
      </c>
      <c r="G418">
        <f>Calc!G8</f>
        <v/>
      </c>
      <c r="H418">
        <f>Calc!H8</f>
        <v/>
      </c>
      <c r="I418">
        <f>IF(Skills!X8&lt;&gt;"",1+(Skills!X8/10)*(Z413/1000)/100,1)</f>
        <v/>
      </c>
      <c r="J418">
        <f>((Inputs!$B$6*(1+Inputs!$B$7/100))+(((Inputs!$B$12*(1+Inputs!$B$13/100))-(Inputs!$B$12*(1+Inputs!$B$13/100)))+0.25*(Inputs!$B$14-Inputs!$B$14))*(1+Inputs!$B$7/100))*(F418/100)</f>
        <v/>
      </c>
      <c r="K418">
        <f>J418*(1+((Inputs!$B$12*(1+Inputs!$B$13/100))*0.01+Inputs!$B$14*0.0025)/100)*(1+Inputs!$B$15/100)*(1+IF(Inputs!$B$38="pvp",0,(1-Summary!$B$56)*(Inputs!$B$20+Skills!P8)+Summary!$B$56*(Inputs!$B$21+Skills!Q8))/100)*(1+Inputs!$B$16/100)*(5000/(6000+Inputs!$B$42*(1-Inputs!$B$19/100)))*(1+Inputs!$B$24/100)*(1+F433/100)*(1+IF(Inputs!$B$3&gt;=120,F436,0)/100)^5*(1+(IF(Skills!A8="BASIC_ATTACK",Inputs!$B$17,Inputs!$B$18+IF(Inputs!$B$3&gt;=125,F437*5,0)))/100)*(B440*B441*B442*I418)</f>
        <v/>
      </c>
      <c r="L418">
        <f>K418*(MIN(Inputs!$B$22+(F432-Calc!F22),Inputs!$B$23)/100+Inputs!$B$23/100)/2</f>
        <v/>
      </c>
      <c r="M418">
        <f>L418*(1+(Inputs!$B$10+(F431-Calc!F21))/100)</f>
        <v/>
      </c>
      <c r="N418">
        <f>L418*(1-MIN((Inputs!$B$9+1)+(F430-Calc!F20),100)/100)+M418*(MIN((Inputs!$B$9+1)+(F430-Calc!F20),100)/100)</f>
        <v/>
      </c>
      <c r="O418">
        <f>IF(C418,H418*N418*IF(AND(Inputs!$B$38&lt;&gt;"pvp",Inputs!$B$43&gt;0),((Skills!G8*((R418-1)*IF(Skills!H8&gt;0,Skills!I8/Skills!H8,1)+IF(Skills!H8&gt;0,MIN(Skills!I8,MAX(0,Inputs!$B$43-((R418-1)*IF(Inputs!$B$38="pvp",15,MAX(0.1,Skills!E8-IF(Skills!F8=TRUE,Inputs!$B$32,0))))))/Skills!H8,1)))/Inputs!$B$43),G418*Q418)*IF(Inputs!$B$38="pvp",1,(1-Summary!$B$56)*(1)+Summary!$B$56*(MIN(Skills!R8,Inputs!$B$37))),0)</f>
        <v/>
      </c>
      <c r="P418">
        <f>IF(B449=0,0,O418/B449)</f>
        <v/>
      </c>
      <c r="Q418">
        <f>IFERROR(1/IF(Inputs!$B$38="pvp",15,MAX(0.1,Skills!E8-IF(Skills!F8=TRUE,Inputs!$B$32,0))),0)</f>
        <v/>
      </c>
      <c r="R418">
        <f>IF(AND(Inputs!$B$38&lt;&gt;"pvp",Inputs!$B$43&gt;0),(INT(Inputs!$B$43/IF(Inputs!$B$38="pvp",15,MAX(0.1,Skills!E8-IF(Skills!F8=TRUE,Inputs!$B$32,0))))+1),0)</f>
        <v/>
      </c>
    </row>
    <row r="419">
      <c r="A419">
        <f>Skills!A9</f>
        <v/>
      </c>
      <c r="B419">
        <f>Skills!B9</f>
        <v/>
      </c>
      <c r="C419">
        <f>Inputs!$B$3&gt;=103</f>
        <v/>
      </c>
      <c r="D419">
        <f>IF(Skills!C9=1,60+Inputs!$B$25+Inputs!$B$29,IF(Skills!C9=2,90+Inputs!$B$26+Inputs!$B$29,IF(Skills!C9=3,120+Inputs!$B$27+Inputs!$B$29,MAX(0,(Inputs!$B$3-100)*3)+Inputs!$B$28+Inputs!$B$29)))</f>
        <v/>
      </c>
      <c r="E419">
        <f>INDEX(FactorTable!$B$2:$Y$301, MATCH(ROUND(MIN(300,MAX(1,D419)),0), FactorTable!$A$2:$A$301,0), Skills!M9+1)</f>
        <v/>
      </c>
      <c r="F419">
        <f>IF(Skills!N9=TRUE,(Skills!L9/10)*(E419/1000),Skills!L9/10)+Skills!O9</f>
        <v/>
      </c>
      <c r="G419">
        <f>Calc!G9</f>
        <v/>
      </c>
      <c r="H419">
        <f>Calc!H9</f>
        <v/>
      </c>
      <c r="I419">
        <f>IF(Skills!X9&lt;&gt;"",1+(Skills!X9/10)*(Z413/1000)/100,1)</f>
        <v/>
      </c>
      <c r="J419">
        <f>((Inputs!$B$6*(1+Inputs!$B$7/100))+(((Inputs!$B$12*(1+Inputs!$B$13/100))-(Inputs!$B$12*(1+Inputs!$B$13/100)))+0.25*(Inputs!$B$14-Inputs!$B$14))*(1+Inputs!$B$7/100))*(F419/100)</f>
        <v/>
      </c>
      <c r="K419">
        <f>J419*(1+((Inputs!$B$12*(1+Inputs!$B$13/100))*0.01+Inputs!$B$14*0.0025)/100)*(1+Inputs!$B$15/100)*(1+IF(Inputs!$B$38="pvp",0,(1-Summary!$B$56)*(Inputs!$B$20+Skills!P9)+Summary!$B$56*(Inputs!$B$21+Skills!Q9))/100)*(1+Inputs!$B$16/100)*(5000/(6000+Inputs!$B$42*(1-Inputs!$B$19/100)))*(1+Inputs!$B$24/100)*(1+F433/100)*(1+IF(Inputs!$B$3&gt;=120,F436,0)/100)^5*(1+(IF(Skills!A9="BASIC_ATTACK",Inputs!$B$17,Inputs!$B$18+IF(Inputs!$B$3&gt;=125,F437*5,0)))/100)*(B440*B441*B442*I419)</f>
        <v/>
      </c>
      <c r="L419">
        <f>K419*(MIN(Inputs!$B$22+(F432-Calc!F22),Inputs!$B$23)/100+Inputs!$B$23/100)/2</f>
        <v/>
      </c>
      <c r="M419">
        <f>L419*(1+(Inputs!$B$10+(F431-Calc!F21))/100)</f>
        <v/>
      </c>
      <c r="N419">
        <f>L419*(1-MIN((Inputs!$B$9+1)+(F430-Calc!F20),100)/100)+M419*(MIN((Inputs!$B$9+1)+(F430-Calc!F20),100)/100)</f>
        <v/>
      </c>
      <c r="O419">
        <f>IF(C419,H419*N419*IF(AND(Inputs!$B$38&lt;&gt;"pvp",Inputs!$B$43&gt;0),((Skills!G9*((R419-1)*IF(Skills!H9&gt;0,Skills!I9/Skills!H9,1)+IF(Skills!H9&gt;0,MIN(Skills!I9,MAX(0,Inputs!$B$43-((R419-1)*IF(Inputs!$B$38="pvp",15,MAX(0.1,Skills!E9-IF(Skills!F7=TRUE,Inputs!$B$32,0))))))/Skills!H9,1)))/Inputs!$B$43),G419*Q419)*IF(Inputs!$B$38="pvp",1,(1-Summary!$B$56)*(1)+Summary!$B$56*(MIN(Skills!R9,Inputs!$B$37))),0)</f>
        <v/>
      </c>
      <c r="P419">
        <f>IF(B449=0,0,O419/B449)</f>
        <v/>
      </c>
      <c r="Q419">
        <f>IFERROR(1/IF(Inputs!$B$38="pvp",15,MAX(0.1,Skills!E9-IF(Skills!F7=TRUE,Inputs!$B$32,0))),0)</f>
        <v/>
      </c>
      <c r="R419">
        <f>IF(AND(Inputs!$B$38&lt;&gt;"pvp",Inputs!$B$43&gt;0),(INT(Inputs!$B$43/IF(Inputs!$B$38="pvp",15,MAX(0.1,Skills!E9-IF(Skills!F7=TRUE,Inputs!$B$32,0))))+1),0)</f>
        <v/>
      </c>
    </row>
    <row r="420">
      <c r="A420">
        <f>Skills!A10</f>
        <v/>
      </c>
      <c r="B420">
        <f>Skills!B10</f>
        <v/>
      </c>
      <c r="C420">
        <f>TRUE</f>
        <v/>
      </c>
      <c r="D420">
        <f>IF(Skills!C10=1,60+Inputs!$B$25+Inputs!$B$29,IF(Skills!C10=2,90+Inputs!$B$26+Inputs!$B$29,IF(Skills!C10=3,120+Inputs!$B$27+Inputs!$B$29,MAX(0,(Inputs!$B$3-100)*3)+Inputs!$B$28+Inputs!$B$29)))</f>
        <v/>
      </c>
      <c r="E420">
        <f>INDEX(FactorTable!$B$2:$Y$301, MATCH(ROUND(MIN(300,MAX(1,D420)),0), FactorTable!$A$2:$A$301,0), Skills!M10+1)</f>
        <v/>
      </c>
      <c r="F420">
        <f>IF(Skills!N10=TRUE,(Skills!L10/10)*(E420/1000),Skills!L10/10)+Skills!O10</f>
        <v/>
      </c>
      <c r="G420">
        <f>Calc!G10</f>
        <v/>
      </c>
      <c r="H420">
        <f>Calc!H10</f>
        <v/>
      </c>
      <c r="I420">
        <f>IF(Skills!X10&lt;&gt;"",1+(Skills!X10/10)*(Z413/1000)/100,1)</f>
        <v/>
      </c>
      <c r="J420">
        <f>((Inputs!$B$6*(1+Inputs!$B$7/100))+(((Inputs!$B$12*(1+Inputs!$B$13/100))-(Inputs!$B$12*(1+Inputs!$B$13/100)))+0.25*(Inputs!$B$14-Inputs!$B$14))*(1+Inputs!$B$7/100))*(F420/100)</f>
        <v/>
      </c>
      <c r="K420">
        <f>J420*(1+((Inputs!$B$12*(1+Inputs!$B$13/100))*0.01+Inputs!$B$14*0.0025)/100)*(1+Inputs!$B$15/100)*(1+IF(Inputs!$B$38="pvp",0,(1-Summary!$B$56)*(Inputs!$B$20+Skills!P10)+Summary!$B$56*(Inputs!$B$21+Skills!Q10))/100)*(1+Inputs!$B$16/100)*(5000/(6000+Inputs!$B$42*(1-Inputs!$B$19/100)))*(1+Inputs!$B$24/100)*(1+F433/100)*(1+IF(Inputs!$B$3&gt;=120,F436,0)/100)^5*(1+(IF(Skills!A10="BASIC_ATTACK",Inputs!$B$17,Inputs!$B$18+IF(Inputs!$B$3&gt;=125,F437*5,0)))/100)*(B440*B441*B442*I420)</f>
        <v/>
      </c>
      <c r="L420">
        <f>K420*(MIN(Inputs!$B$22+(F432-Calc!F22),Inputs!$B$23)/100+Inputs!$B$23/100)/2</f>
        <v/>
      </c>
      <c r="M420">
        <f>L420*(1+(Inputs!$B$10+(F431-Calc!F21))/100)</f>
        <v/>
      </c>
      <c r="N420">
        <f>L420*(1-MIN((Inputs!$B$9+1)+(F430-Calc!F20),100)/100)+M420*(MIN((Inputs!$B$9+1)+(F430-Calc!F20),100)/100)</f>
        <v/>
      </c>
      <c r="O420">
        <f>IF(C420,H420*N420*IF(AND(Inputs!$B$38&lt;&gt;"pvp",Inputs!$B$43&gt;0),((Skills!G10*((R420-1)*IF(Skills!H10&gt;0,Skills!I10/Skills!H10,1)+IF(Skills!H10&gt;0,MIN(Skills!I10,MAX(0,Inputs!$B$43-((R420-1)*IF(Inputs!$B$38="pvp",15,MAX(0.1,Skills!E10-IF(Skills!F10=TRUE,Inputs!$B$32,0))))))/Skills!H10,1)))/Inputs!$B$43),G420*Q420)*IF(Inputs!$B$38="pvp",1,(1-Summary!$B$56)*(1)+Summary!$B$56*(MIN(Skills!R10,Inputs!$B$37))),0)</f>
        <v/>
      </c>
      <c r="P420">
        <f>IF(B449=0,0,O420/B449)</f>
        <v/>
      </c>
      <c r="Q420">
        <f>IFERROR(1/IF(Inputs!$B$38="pvp",15,MAX(0.1,Skills!E10-IF(Skills!F10=TRUE,Inputs!$B$32,0))),0)</f>
        <v/>
      </c>
      <c r="R420">
        <f>IF(AND(Inputs!$B$38&lt;&gt;"pvp",Inputs!$B$43&gt;0),(INT(Inputs!$B$43/IF(Inputs!$B$38="pvp",15,MAX(0.1,Skills!E10-IF(Skills!F10=TRUE,Inputs!$B$32,0))))+1),0)</f>
        <v/>
      </c>
    </row>
    <row r="421">
      <c r="A421">
        <f>Skills!A11</f>
        <v/>
      </c>
      <c r="B421">
        <f>Skills!B11</f>
        <v/>
      </c>
      <c r="C421">
        <f>TRUE</f>
        <v/>
      </c>
      <c r="D421">
        <f>IF(Skills!C11=1,60+Inputs!$B$25+Inputs!$B$29,IF(Skills!C11=2,90+Inputs!$B$26+Inputs!$B$29,IF(Skills!C11=3,120+Inputs!$B$27+Inputs!$B$29,MAX(0,(Inputs!$B$3-100)*3)+Inputs!$B$28+Inputs!$B$29)))</f>
        <v/>
      </c>
      <c r="E421">
        <f>INDEX(FactorTable!$B$2:$Y$301, MATCH(ROUND(MIN(300,MAX(1,D421)),0), FactorTable!$A$2:$A$301,0), Skills!M11+1)</f>
        <v/>
      </c>
      <c r="F421">
        <f>IF(Skills!N11=TRUE,(Skills!L11/10)*(E421/1000),Skills!L11/10)+Skills!O11</f>
        <v/>
      </c>
      <c r="G421">
        <f>Calc!G11</f>
        <v/>
      </c>
      <c r="H421">
        <f>Calc!H11</f>
        <v/>
      </c>
      <c r="I421">
        <f>IF(Skills!X11&lt;&gt;"",1+(Skills!X11/10)*(Z413/1000)/100,1)</f>
        <v/>
      </c>
      <c r="J421" t="inlineStr"/>
      <c r="K421" t="inlineStr"/>
      <c r="L421" t="inlineStr"/>
      <c r="M421" t="inlineStr"/>
      <c r="N421" t="inlineStr"/>
      <c r="O421" t="n">
        <v>0</v>
      </c>
      <c r="P421">
        <f>IF(B449=0,0,O421/B449)</f>
        <v/>
      </c>
      <c r="Q421">
        <f>IFERROR(1/IF(Inputs!$B$38="pvp",15,MAX(0.1,Skills!E11-IF(Skills!F11=TRUE,Inputs!$B$32,0))),0)</f>
        <v/>
      </c>
      <c r="R421" t="n">
        <v>0</v>
      </c>
    </row>
    <row r="422">
      <c r="A422">
        <f>Skills!A12</f>
        <v/>
      </c>
      <c r="B422">
        <f>Skills!B12</f>
        <v/>
      </c>
      <c r="C422">
        <f>TRUE</f>
        <v/>
      </c>
      <c r="D422">
        <f>IF(Skills!C12=1,60+Inputs!$B$25+Inputs!$B$29,IF(Skills!C12=2,90+Inputs!$B$26+Inputs!$B$29,IF(Skills!C12=3,120+Inputs!$B$27+Inputs!$B$29,MAX(0,(Inputs!$B$3-100)*3)+Inputs!$B$28+Inputs!$B$29)))</f>
        <v/>
      </c>
      <c r="E422">
        <f>INDEX(FactorTable!$B$2:$Y$301, MATCH(ROUND(MIN(300,MAX(1,D422)),0), FactorTable!$A$2:$A$301,0), Skills!M12+1)</f>
        <v/>
      </c>
      <c r="F422">
        <f>IF(Skills!N12=TRUE,(Skills!L12/10)*(E422/1000),Skills!L12/10)+Skills!O12</f>
        <v/>
      </c>
      <c r="G422">
        <f>Calc!G12</f>
        <v/>
      </c>
      <c r="H422">
        <f>Calc!H12</f>
        <v/>
      </c>
      <c r="I422">
        <f>IF(Skills!X12&lt;&gt;"",1+(Skills!X12/10)*(Z413/1000)/100,1)</f>
        <v/>
      </c>
      <c r="J422" t="inlineStr"/>
      <c r="K422" t="inlineStr"/>
      <c r="L422" t="inlineStr"/>
      <c r="M422" t="inlineStr"/>
      <c r="N422" t="inlineStr"/>
      <c r="O422" t="n">
        <v>0</v>
      </c>
      <c r="P422">
        <f>IF(B449=0,0,O422/B449)</f>
        <v/>
      </c>
      <c r="Q422">
        <f>IFERROR(1/IF(Inputs!$B$38="pvp",15,MAX(0.1,Skills!E12-IF(Skills!F12=TRUE,Inputs!$B$32,0))),0)</f>
        <v/>
      </c>
      <c r="R422" t="n">
        <v>0</v>
      </c>
    </row>
    <row r="423">
      <c r="A423">
        <f>Skills!A13</f>
        <v/>
      </c>
      <c r="B423">
        <f>Skills!B13</f>
        <v/>
      </c>
      <c r="C423">
        <f>Inputs!$B$3&gt;=105</f>
        <v/>
      </c>
      <c r="D423">
        <f>IF(Skills!C13=1,60+Inputs!$B$25+Inputs!$B$29,IF(Skills!C13=2,90+Inputs!$B$26+Inputs!$B$29,IF(Skills!C13=3,120+Inputs!$B$27+Inputs!$B$29,MAX(0,(Inputs!$B$3-100)*3)+Inputs!$B$28+Inputs!$B$29)))</f>
        <v/>
      </c>
      <c r="E423">
        <f>INDEX(FactorTable!$B$2:$Y$301, MATCH(ROUND(MIN(300,MAX(1,D423)),0), FactorTable!$A$2:$A$301,0), Skills!M13+1)</f>
        <v/>
      </c>
      <c r="F423">
        <f>IF(Skills!N13=TRUE,(Skills!L13/10)*(E423/1000),Skills!L13/10)+Skills!O13</f>
        <v/>
      </c>
      <c r="G423">
        <f>Calc!G13</f>
        <v/>
      </c>
      <c r="H423">
        <f>Calc!H13</f>
        <v/>
      </c>
      <c r="I423">
        <f>IF(Skills!X13&lt;&gt;"",1+(Skills!X13/10)*(Z413/1000)/100,1)</f>
        <v/>
      </c>
      <c r="J423">
        <f>((Inputs!$B$6*(1+Inputs!$B$7/100))+(((Inputs!$B$12*(1+Inputs!$B$13/100))-(Inputs!$B$12*(1+Inputs!$B$13/100)))+0.25*(Inputs!$B$14-Inputs!$B$14))*(1+Inputs!$B$7/100))*(F423/100)</f>
        <v/>
      </c>
      <c r="K423">
        <f>J423*(1+((Inputs!$B$12*(1+Inputs!$B$13/100))*0.01+Inputs!$B$14*0.0025)/100)*(1+Inputs!$B$15/100)*(1+IF(Inputs!$B$38="pvp",0,(1-Summary!$B$56)*(Inputs!$B$20+Skills!P13)+Summary!$B$56*(Inputs!$B$21+Skills!Q13))/100)*(1+Inputs!$B$16/100)*(5000/(6000+Inputs!$B$42*(1-Inputs!$B$19/100)))*(1+Inputs!$B$24/100)*(1+F433/100)*(1+IF(Inputs!$B$3&gt;=120,F436,0)/100)^5*(1+(IF(Skills!A13="BASIC_ATTACK",Inputs!$B$17,Inputs!$B$18+IF(Inputs!$B$3&gt;=125,F437*5,0)))/100)*(B440*B441*B442*I423)</f>
        <v/>
      </c>
      <c r="L423">
        <f>K423*(MIN(Inputs!$B$22+(F432-Calc!F22),Inputs!$B$23)/100+Inputs!$B$23/100)/2</f>
        <v/>
      </c>
      <c r="M423">
        <f>L423*(1+(Inputs!$B$10+(F431-Calc!F21))/100)</f>
        <v/>
      </c>
      <c r="N423">
        <f>L423*(1-MIN((Inputs!$B$9+1)+(F430-Calc!F20),100)/100)+M423*(MIN((Inputs!$B$9+1)+(F430-Calc!F20),100)/100)</f>
        <v/>
      </c>
      <c r="O423">
        <f>IF(C423,H423*N423*IF(AND(Inputs!$B$38&lt;&gt;"pvp",Inputs!$B$43&gt;0),((Skills!G13*((R423-1)*IF(Skills!H13&gt;0,Skills!I13/Skills!H13,1)+IF(Skills!H13&gt;0,MIN(Skills!I13,MAX(0,Inputs!$B$43-((R423-1)*IF(Inputs!$B$38="pvp",15,MAX(0.1,Skills!E13-IF(Skills!F13=TRUE,Inputs!$B$32,0))))))/Skills!H13,1)))/Inputs!$B$43),G423*Q423)*IF(Inputs!$B$38="pvp",1,(1-Summary!$B$56)*(1)+Summary!$B$56*(MIN(Skills!R13,Inputs!$B$37))),0)</f>
        <v/>
      </c>
      <c r="P423">
        <f>IF(B449=0,0,O423/B449)</f>
        <v/>
      </c>
      <c r="Q423">
        <f>IFERROR(1/IF(Inputs!$B$38="pvp",15,MAX(0.1,Skills!E13-IF(Skills!F13=TRUE,Inputs!$B$32,0))),0)</f>
        <v/>
      </c>
      <c r="R423">
        <f>IF(AND(Inputs!$B$38&lt;&gt;"pvp",Inputs!$B$43&gt;0),(INT(Inputs!$B$43/IF(Inputs!$B$38="pvp",15,MAX(0.1,Skills!E13-IF(Skills!F13=TRUE,Inputs!$B$32,0))))+1),0)</f>
        <v/>
      </c>
    </row>
    <row r="424">
      <c r="A424">
        <f>Skills!A14</f>
        <v/>
      </c>
      <c r="B424">
        <f>Skills!B14</f>
        <v/>
      </c>
      <c r="C424">
        <f>Inputs!$B$3&gt;=113</f>
        <v/>
      </c>
      <c r="D424">
        <f>IF(Skills!C14=1,60+Inputs!$B$25+Inputs!$B$29,IF(Skills!C14=2,90+Inputs!$B$26+Inputs!$B$29,IF(Skills!C14=3,120+Inputs!$B$27+Inputs!$B$29,MAX(0,(Inputs!$B$3-100)*3)+Inputs!$B$28+Inputs!$B$29)))</f>
        <v/>
      </c>
      <c r="E424">
        <f>INDEX(FactorTable!$B$2:$Y$301, MATCH(ROUND(MIN(300,MAX(1,D424)),0), FactorTable!$A$2:$A$301,0), Skills!M14+1)</f>
        <v/>
      </c>
      <c r="F424">
        <f>IF(Skills!N14=TRUE,(Skills!L14/10)*(E424/1000),Skills!L14/10)+Skills!O14</f>
        <v/>
      </c>
      <c r="G424">
        <f>Calc!G14</f>
        <v/>
      </c>
      <c r="H424">
        <f>Calc!H14</f>
        <v/>
      </c>
      <c r="I424">
        <f>IF(Skills!X14&lt;&gt;"",1+(Skills!X14/10)*(Z413/1000)/100,1)</f>
        <v/>
      </c>
      <c r="J424">
        <f>((Inputs!$B$6*(1+Inputs!$B$7/100))+(((Inputs!$B$12*(1+Inputs!$B$13/100))-(Inputs!$B$12*(1+Inputs!$B$13/100)))+0.25*(Inputs!$B$14-Inputs!$B$14))*(1+Inputs!$B$7/100))*(F424/100)</f>
        <v/>
      </c>
      <c r="K424">
        <f>J424*(1+((Inputs!$B$12*(1+Inputs!$B$13/100))*0.01+Inputs!$B$14*0.0025)/100)*(1+Inputs!$B$15/100)*(1+IF(Inputs!$B$38="pvp",0,(1-Summary!$B$56)*(Inputs!$B$20+Skills!P14)+Summary!$B$56*(Inputs!$B$21+Skills!Q14))/100)*(1+Inputs!$B$16/100)*(5000/(6000+Inputs!$B$42*(1-Inputs!$B$19/100)))*(1+Inputs!$B$24/100)*(1+F433/100)*(1+IF(Inputs!$B$3&gt;=120,F436,0)/100)^5*(1+(IF(Skills!A14="BASIC_ATTACK",Inputs!$B$17,Inputs!$B$18+IF(Inputs!$B$3&gt;=125,F437*5,0)))/100)*(B440*B441*B442*I424)</f>
        <v/>
      </c>
      <c r="L424">
        <f>K424*(MIN(Inputs!$B$22+(F432-Calc!F22),Inputs!$B$23)/100+Inputs!$B$23/100)/2</f>
        <v/>
      </c>
      <c r="M424">
        <f>L424*(1+(Inputs!$B$10+(F431-Calc!F21))/100)</f>
        <v/>
      </c>
      <c r="N424">
        <f>L424*(1-MIN((Inputs!$B$9+1)+(F430-Calc!F20),100)/100)+M424*(MIN((Inputs!$B$9+1)+(F430-Calc!F20),100)/100)</f>
        <v/>
      </c>
      <c r="O424">
        <f>IF(C424,(H424*B447)/(1+Skills!H14*H424*B447)*N424*IF(Inputs!$B$38="pvp",1,(1-Summary!$B$56)*(1)+Summary!$B$56*(MIN(Skills!R14,Inputs!$B$37))),0)</f>
        <v/>
      </c>
      <c r="P424">
        <f>IF(B449=0,0,O424/B449)</f>
        <v/>
      </c>
      <c r="Q424">
        <f>IFERROR(1/IF(Inputs!$B$38="pvp",15,MAX(0.1,Skills!E14-IF(Skills!F14=TRUE,Inputs!$B$32,0))),0)</f>
        <v/>
      </c>
      <c r="R424" t="n">
        <v>0</v>
      </c>
    </row>
    <row r="425">
      <c r="A425">
        <f>Skills!A15</f>
        <v/>
      </c>
      <c r="B425">
        <f>Skills!B15</f>
        <v/>
      </c>
      <c r="C425">
        <f>Inputs!$B$3&gt;=107</f>
        <v/>
      </c>
      <c r="D425">
        <f>IF(Skills!C15=1,60+Inputs!$B$25+Inputs!$B$29,IF(Skills!C15=2,90+Inputs!$B$26+Inputs!$B$29,IF(Skills!C15=3,120+Inputs!$B$27+Inputs!$B$29,MAX(0,(Inputs!$B$3-100)*3)+Inputs!$B$28+Inputs!$B$29)))</f>
        <v/>
      </c>
      <c r="E425">
        <f>INDEX(FactorTable!$B$2:$Y$301, MATCH(ROUND(MIN(300,MAX(1,D425)),0), FactorTable!$A$2:$A$301,0), Skills!M15+1)</f>
        <v/>
      </c>
      <c r="F425">
        <f>IF(Skills!N15=TRUE,(Skills!L15/10)*(E425/1000),Skills!L15/10)+Skills!O15</f>
        <v/>
      </c>
      <c r="G425">
        <f>Calc!G15</f>
        <v/>
      </c>
      <c r="H425">
        <f>Calc!H15</f>
        <v/>
      </c>
      <c r="I425">
        <f>IF(Skills!X15&lt;&gt;"",1+(Skills!X15/10)*(Z413/1000)/100,1)</f>
        <v/>
      </c>
      <c r="J425">
        <f>((Inputs!$B$6*(1+Inputs!$B$7/100))+(((Inputs!$B$12*(1+Inputs!$B$13/100))-(Inputs!$B$12*(1+Inputs!$B$13/100)))+0.25*(Inputs!$B$14-Inputs!$B$14))*(1+Inputs!$B$7/100))*(F425/100)</f>
        <v/>
      </c>
      <c r="K425">
        <f>J425*(1+((Inputs!$B$12*(1+Inputs!$B$13/100))*0.01+Inputs!$B$14*0.0025)/100)*(1+Inputs!$B$15/100)*(1+IF(Inputs!$B$38="pvp",0,(1-Summary!$B$56)*(Inputs!$B$20+Skills!P15)+Summary!$B$56*(Inputs!$B$21+Skills!Q15))/100)*(1+Inputs!$B$16/100)*(5000/(6000+Inputs!$B$42*(1-Inputs!$B$19/100)))*(1+Inputs!$B$24/100)*(1+F433/100)*(1+IF(Inputs!$B$3&gt;=120,F436,0)/100)^5*(1+(IF(Skills!A15="BASIC_ATTACK",Inputs!$B$17,Inputs!$B$18+IF(Inputs!$B$3&gt;=125,F437*5,0)))/100)*(B440*B441*B442*I425)</f>
        <v/>
      </c>
      <c r="L425">
        <f>K425*(MIN(Inputs!$B$22+(F432-Calc!F22),Inputs!$B$23)/100+Inputs!$B$23/100)/2</f>
        <v/>
      </c>
      <c r="M425">
        <f>L425*(1+(Inputs!$B$10+(F431-Calc!F21))/100)</f>
        <v/>
      </c>
      <c r="N425">
        <f>L425*(1-MIN((Inputs!$B$9+1)+(F430-Calc!F20),100)/100)+M425*(MIN((Inputs!$B$9+1)+(F430-Calc!F20),100)/100)</f>
        <v/>
      </c>
      <c r="O425">
        <f>IF(C425,H425*N425*IF(AND(Inputs!$B$38&lt;&gt;"pvp",Inputs!$B$43&gt;0),((Skills!G15*((R425-1)*IF(Skills!H15&gt;0,Skills!I15/Skills!H15,1)+IF(Skills!H15&gt;0,MIN(Skills!I15,MAX(0,Inputs!$B$43-((R425-1)*IF(Inputs!$B$38="pvp",15,MAX(0.1,Skills!E15-IF(Skills!F15=TRUE,Inputs!$B$32,0))))))/Skills!H15,1)))/Inputs!$B$43),G425*Q425)*IF(Inputs!$B$38="pvp",1,(1-Summary!$B$56)*(1)+Summary!$B$56*(MIN(Skills!R15,Inputs!$B$37))),0)</f>
        <v/>
      </c>
      <c r="P425">
        <f>IF(B449=0,0,O425/B449)</f>
        <v/>
      </c>
      <c r="Q425">
        <f>IFERROR(1/IF(Inputs!$B$38="pvp",15,MAX(0.1,Skills!E15-IF(Skills!F15=TRUE,Inputs!$B$32,0))),0)</f>
        <v/>
      </c>
      <c r="R425">
        <f>IF(AND(Inputs!$B$38&lt;&gt;"pvp",Inputs!$B$43&gt;0),(INT(Inputs!$B$43/IF(Inputs!$B$38="pvp",15,MAX(0.1,Skills!E15-IF(Skills!F15=TRUE,Inputs!$B$32,0))))+1),0)</f>
        <v/>
      </c>
    </row>
    <row r="426">
      <c r="A426">
        <f>Skills!A16</f>
        <v/>
      </c>
      <c r="B426">
        <f>Skills!B16</f>
        <v/>
      </c>
      <c r="C426">
        <f>Inputs!$B$3&gt;=107</f>
        <v/>
      </c>
      <c r="D426">
        <f>IF(Skills!C16=1,60+Inputs!$B$25+Inputs!$B$29,IF(Skills!C16=2,90+Inputs!$B$26+Inputs!$B$29,IF(Skills!C16=3,120+Inputs!$B$27+Inputs!$B$29,MAX(0,(Inputs!$B$3-100)*3)+Inputs!$B$28+Inputs!$B$29)))</f>
        <v/>
      </c>
      <c r="E426">
        <f>INDEX(FactorTable!$B$2:$Y$301, MATCH(ROUND(MIN(300,MAX(1,D426)),0), FactorTable!$A$2:$A$301,0), Skills!M16+1)</f>
        <v/>
      </c>
      <c r="F426">
        <f>IF(Skills!N16=TRUE,(Skills!L16/10)*(E426/1000),Skills!L16/10)+Skills!O16</f>
        <v/>
      </c>
      <c r="G426">
        <f>Calc!G16</f>
        <v/>
      </c>
      <c r="H426">
        <f>Calc!H16</f>
        <v/>
      </c>
      <c r="I426">
        <f>IF(Skills!X16&lt;&gt;"",1+(Skills!X16/10)*(Z413/1000)/100,1)</f>
        <v/>
      </c>
      <c r="J426">
        <f>((Inputs!$B$6*(1+Inputs!$B$7/100))+(((Inputs!$B$12*(1+Inputs!$B$13/100))-(Inputs!$B$12*(1+Inputs!$B$13/100)))+0.25*(Inputs!$B$14-Inputs!$B$14))*(1+Inputs!$B$7/100))*(F426/100)</f>
        <v/>
      </c>
      <c r="K426">
        <f>J426*(1+((Inputs!$B$12*(1+Inputs!$B$13/100))*0.01+Inputs!$B$14*0.0025)/100)*(1+Inputs!$B$15/100)*(1+IF(Inputs!$B$38="pvp",0,(1-Summary!$B$56)*(Inputs!$B$20+Skills!P16)+Summary!$B$56*(Inputs!$B$21+Skills!Q16))/100)*(1+Inputs!$B$16/100)*(5000/(6000+Inputs!$B$42*(1-Inputs!$B$19/100)))*(1+Inputs!$B$24/100)*(1+F433/100)*(1+IF(Inputs!$B$3&gt;=120,F436,0)/100)^5*(1+(IF(Skills!A16="BASIC_ATTACK",Inputs!$B$17,Inputs!$B$18+IF(Inputs!$B$3&gt;=125,F437*5,0)))/100)*(B440*B441*B442*I426)</f>
        <v/>
      </c>
      <c r="L426">
        <f>K426*(MIN(Inputs!$B$22+(F432-Calc!F22),Inputs!$B$23)/100+Inputs!$B$23/100)/2</f>
        <v/>
      </c>
      <c r="M426">
        <f>L426*(1+(Inputs!$B$10+(F431-Calc!F21))/100)</f>
        <v/>
      </c>
      <c r="N426">
        <f>L426*(1-MIN((Inputs!$B$9+1)+(F430-Calc!F20),100)/100)+M426*(MIN((Inputs!$B$9+1)+(F430-Calc!F20),100)/100)</f>
        <v/>
      </c>
      <c r="O426">
        <f>IF(C426,H426*N426*IF(AND(Inputs!$B$38&lt;&gt;"pvp",Inputs!$B$43&gt;0),((Skills!G16*((R426-1)*IF(Skills!H16&gt;0,Skills!I16/Skills!H16,1)+IF(Skills!H16&gt;0,MIN(Skills!I16,MAX(0,Inputs!$B$43-((R426-1)*IF(Inputs!$B$38="pvp",15,MAX(0.1,Skills!E16-IF(Skills!F16=TRUE,Inputs!$B$32,0))))))/Skills!H16,1)))/Inputs!$B$43),G426*Q426)*(1+IF(Inputs!$B$3&gt;=126,0.05*(B446+Q423+(H424*B447)/(1+Skills!H14*H424*B447)+Q434),0)*Skills!E15)*IF(Inputs!$B$38="pvp",1,(1-Summary!$B$56)*(1)+Summary!$B$56*(MIN(Skills!R16,Inputs!$B$37))),0)</f>
        <v/>
      </c>
      <c r="P426">
        <f>IF(B449=0,0,O426/B449)</f>
        <v/>
      </c>
      <c r="Q426">
        <f>IFERROR(1/IF(Inputs!$B$38="pvp",15,MAX(0.1,Skills!E16-IF(Skills!F16=TRUE,Inputs!$B$32,0))),0)</f>
        <v/>
      </c>
      <c r="R426">
        <f>IF(AND(Inputs!$B$38&lt;&gt;"pvp",Inputs!$B$43&gt;0),(INT(Inputs!$B$43/IF(Inputs!$B$38="pvp",15,MAX(0.1,Skills!E16-IF(Skills!F16=TRUE,Inputs!$B$32,0))))+1),0)</f>
        <v/>
      </c>
    </row>
    <row r="427">
      <c r="A427">
        <f>Skills!A17</f>
        <v/>
      </c>
      <c r="B427">
        <f>Skills!B17</f>
        <v/>
      </c>
      <c r="C427">
        <f>TRUE</f>
        <v/>
      </c>
      <c r="D427">
        <f>IF(Skills!C17=1,60+Inputs!$B$25+Inputs!$B$29,IF(Skills!C17=2,90+Inputs!$B$26+Inputs!$B$29,IF(Skills!C17=3,120+Inputs!$B$27+Inputs!$B$29,MAX(0,(Inputs!$B$3-100)*3)+Inputs!$B$28+Inputs!$B$29)))</f>
        <v/>
      </c>
      <c r="E427">
        <f>INDEX(FactorTable!$B$2:$Y$301, MATCH(ROUND(MIN(300,MAX(1,D427)),0), FactorTable!$A$2:$A$301,0), Skills!M17+1)</f>
        <v/>
      </c>
      <c r="F427">
        <f>IF(Skills!N17=TRUE,(Skills!L17/10)*(E427/1000),Skills!L17/10)+Skills!O17</f>
        <v/>
      </c>
      <c r="G427">
        <f>Calc!G17</f>
        <v/>
      </c>
      <c r="H427">
        <f>Calc!H17</f>
        <v/>
      </c>
      <c r="I427">
        <f>IF(Skills!X17&lt;&gt;"",1+(Skills!X17/10)*(Z413/1000)/100,1)</f>
        <v/>
      </c>
      <c r="J427" t="inlineStr"/>
      <c r="K427" t="inlineStr"/>
      <c r="L427" t="inlineStr"/>
      <c r="M427" t="inlineStr"/>
      <c r="N427" t="inlineStr"/>
      <c r="O427" t="n">
        <v>0</v>
      </c>
      <c r="P427">
        <f>IF(B449=0,0,O427/B449)</f>
        <v/>
      </c>
      <c r="Q427">
        <f>IFERROR(1/IF(Inputs!$B$38="pvp",15,MAX(0.1,Skills!E17-IF(Skills!F17=TRUE,Inputs!$B$32,0))),0)</f>
        <v/>
      </c>
      <c r="R427">
        <f>IF(AND(Inputs!$B$38&lt;&gt;"pvp",Inputs!$B$43&gt;0),(INT(Inputs!$B$43/IF(Inputs!$B$38="pvp",15,MAX(0.1,Skills!E17-IF(Skills!F17=TRUE,Inputs!$B$32,0))))+1),0)</f>
        <v/>
      </c>
    </row>
    <row r="428">
      <c r="A428">
        <f>Skills!A18</f>
        <v/>
      </c>
      <c r="B428">
        <f>Skills!B18</f>
        <v/>
      </c>
      <c r="C428">
        <f>TRUE</f>
        <v/>
      </c>
      <c r="D428">
        <f>IF(Skills!C18=1,60+Inputs!$B$25+Inputs!$B$29,IF(Skills!C18=2,90+Inputs!$B$26+Inputs!$B$29,IF(Skills!C18=3,120+Inputs!$B$27+Inputs!$B$29,MAX(0,(Inputs!$B$3-100)*3)+Inputs!$B$28+Inputs!$B$29)))</f>
        <v/>
      </c>
      <c r="E428">
        <f>INDEX(FactorTable!$B$2:$Y$301, MATCH(ROUND(MIN(300,MAX(1,D428)),0), FactorTable!$A$2:$A$301,0), Skills!M18+1)</f>
        <v/>
      </c>
      <c r="F428">
        <f>IF(Skills!N18=TRUE,(Skills!L18/10)*(E428/1000),Skills!L18/10)+Skills!O18</f>
        <v/>
      </c>
      <c r="G428">
        <f>Calc!G18</f>
        <v/>
      </c>
      <c r="H428">
        <f>Calc!H18</f>
        <v/>
      </c>
      <c r="I428">
        <f>IF(Skills!X18&lt;&gt;"",1+(Skills!X18/10)*(Z413/1000)/100,1)</f>
        <v/>
      </c>
      <c r="J428" t="inlineStr"/>
      <c r="K428" t="inlineStr"/>
      <c r="L428" t="inlineStr"/>
      <c r="M428" t="inlineStr"/>
      <c r="N428" t="inlineStr"/>
      <c r="O428" t="n">
        <v>0</v>
      </c>
      <c r="P428">
        <f>IF(B449=0,0,O428/B449)</f>
        <v/>
      </c>
      <c r="Q428">
        <f>IFERROR(1/IF(Inputs!$B$38="pvp",15,MAX(0.1,Skills!E18-IF(Skills!F18=TRUE,Inputs!$B$32,0))),0)</f>
        <v/>
      </c>
      <c r="R428">
        <f>IF(AND(Inputs!$B$38&lt;&gt;"pvp",Inputs!$B$43&gt;0),(INT(Inputs!$B$43/IF(Inputs!$B$38="pvp",15,MAX(0.1,Skills!E18-IF(Skills!F18=TRUE,Inputs!$B$32,0))))+1),0)</f>
        <v/>
      </c>
    </row>
    <row r="429">
      <c r="A429">
        <f>Skills!A19</f>
        <v/>
      </c>
      <c r="B429">
        <f>Skills!B19</f>
        <v/>
      </c>
      <c r="C429">
        <f>Inputs!$B$3&gt;=110</f>
        <v/>
      </c>
      <c r="D429">
        <f>IF(Skills!C19=1,60+Inputs!$B$25+Inputs!$B$29,IF(Skills!C19=2,90+Inputs!$B$26+Inputs!$B$29,IF(Skills!C19=3,120+Inputs!$B$27+Inputs!$B$29,MAX(0,(Inputs!$B$3-100)*3)+Inputs!$B$28+Inputs!$B$29)))</f>
        <v/>
      </c>
      <c r="E429">
        <f>INDEX(FactorTable!$B$2:$Y$301, MATCH(ROUND(MIN(300,MAX(1,D429)),0), FactorTable!$A$2:$A$301,0), Skills!M19+1)</f>
        <v/>
      </c>
      <c r="F429">
        <f>IF(Skills!N19=TRUE,(Skills!L19/10)*(E429/1000),Skills!L19/10)+Skills!O19</f>
        <v/>
      </c>
      <c r="G429">
        <f>Calc!G19</f>
        <v/>
      </c>
      <c r="H429">
        <f>Calc!H19</f>
        <v/>
      </c>
      <c r="I429">
        <f>IF(Skills!X19&lt;&gt;"",1+(Skills!X19/10)*(Z413/1000)/100,1)</f>
        <v/>
      </c>
      <c r="J429" t="inlineStr"/>
      <c r="K429" t="inlineStr"/>
      <c r="L429" t="inlineStr"/>
      <c r="M429" t="inlineStr"/>
      <c r="N429" t="inlineStr"/>
      <c r="O429" t="n">
        <v>0</v>
      </c>
      <c r="P429">
        <f>IF(B449=0,0,O429/B449)</f>
        <v/>
      </c>
      <c r="Q429">
        <f>IFERROR(1/IF(Inputs!$B$38="pvp",15,MAX(0.1,Skills!E19-IF(Skills!F19=TRUE,Inputs!$B$32,0))),0)</f>
        <v/>
      </c>
      <c r="R429">
        <f>IF(AND(Inputs!$B$38&lt;&gt;"pvp",Inputs!$B$43&gt;0),(INT(Inputs!$B$43/IF(Inputs!$B$38="pvp",15,MAX(0.1,Skills!E19-IF(Skills!F19=TRUE,Inputs!$B$32,0))))+1),0)</f>
        <v/>
      </c>
    </row>
    <row r="430">
      <c r="A430">
        <f>Skills!A20</f>
        <v/>
      </c>
      <c r="B430">
        <f>Skills!B20</f>
        <v/>
      </c>
      <c r="C430">
        <f>TRUE</f>
        <v/>
      </c>
      <c r="D430">
        <f>IF(Skills!C20=1,60+Inputs!$B$25+Inputs!$B$29,IF(Skills!C20=2,90+Inputs!$B$26+Inputs!$B$29,IF(Skills!C20=3,120+Inputs!$B$27+Inputs!$B$29,MAX(0,(Inputs!$B$3-100)*3)+Inputs!$B$28+Inputs!$B$29)))</f>
        <v/>
      </c>
      <c r="E430">
        <f>INDEX(FactorTable!$B$2:$Y$301, MATCH(ROUND(MIN(300,MAX(1,D430)),0), FactorTable!$A$2:$A$301,0), Skills!M20+1)</f>
        <v/>
      </c>
      <c r="F430">
        <f>IF(Skills!N20=TRUE,(Skills!L20/10)*(E430/1000),Skills!L20/10)+Skills!O20</f>
        <v/>
      </c>
      <c r="G430">
        <f>Calc!G20</f>
        <v/>
      </c>
      <c r="H430">
        <f>Calc!H20</f>
        <v/>
      </c>
      <c r="I430">
        <f>IF(Skills!X20&lt;&gt;"",1+(Skills!X20/10)*(Z413/1000)/100,1)</f>
        <v/>
      </c>
      <c r="J430" t="inlineStr"/>
      <c r="K430" t="inlineStr"/>
      <c r="L430" t="inlineStr"/>
      <c r="M430" t="inlineStr"/>
      <c r="N430" t="inlineStr"/>
      <c r="O430" t="n">
        <v>0</v>
      </c>
      <c r="P430">
        <f>IF(B449=0,0,O430/B449)</f>
        <v/>
      </c>
      <c r="Q430">
        <f>IFERROR(1/IF(Inputs!$B$38="pvp",15,MAX(0.1,Skills!E20-IF(Skills!F20=TRUE,Inputs!$B$32,0))),0)</f>
        <v/>
      </c>
      <c r="R430" t="n">
        <v>0</v>
      </c>
    </row>
    <row r="431">
      <c r="A431">
        <f>Skills!A21</f>
        <v/>
      </c>
      <c r="B431">
        <f>Skills!B21</f>
        <v/>
      </c>
      <c r="C431">
        <f>TRUE</f>
        <v/>
      </c>
      <c r="D431">
        <f>IF(Skills!C21=1,60+Inputs!$B$25+Inputs!$B$29,IF(Skills!C21=2,90+Inputs!$B$26+Inputs!$B$29,IF(Skills!C21=3,120+Inputs!$B$27+Inputs!$B$29,MAX(0,(Inputs!$B$3-100)*3)+Inputs!$B$28+Inputs!$B$29)))</f>
        <v/>
      </c>
      <c r="E431">
        <f>INDEX(FactorTable!$B$2:$Y$301, MATCH(ROUND(MIN(300,MAX(1,D431)),0), FactorTable!$A$2:$A$301,0), Skills!M21+1)</f>
        <v/>
      </c>
      <c r="F431">
        <f>IF(Skills!N21=TRUE,(Skills!L21/10)*(E431/1000),Skills!L21/10)+Skills!O21</f>
        <v/>
      </c>
      <c r="G431">
        <f>Calc!G21</f>
        <v/>
      </c>
      <c r="H431">
        <f>Calc!H21</f>
        <v/>
      </c>
      <c r="I431">
        <f>IF(Skills!X21&lt;&gt;"",1+(Skills!X21/10)*(Z413/1000)/100,1)</f>
        <v/>
      </c>
      <c r="J431" t="inlineStr"/>
      <c r="K431" t="inlineStr"/>
      <c r="L431" t="inlineStr"/>
      <c r="M431" t="inlineStr"/>
      <c r="N431" t="inlineStr"/>
      <c r="O431" t="n">
        <v>0</v>
      </c>
      <c r="P431">
        <f>IF(B449=0,0,O431/B449)</f>
        <v/>
      </c>
      <c r="Q431">
        <f>IFERROR(1/IF(Inputs!$B$38="pvp",15,MAX(0.1,Skills!E21-IF(Skills!F21=TRUE,Inputs!$B$32,0))),0)</f>
        <v/>
      </c>
      <c r="R431" t="n">
        <v>0</v>
      </c>
    </row>
    <row r="432">
      <c r="A432">
        <f>Skills!A22</f>
        <v/>
      </c>
      <c r="B432">
        <f>Skills!B22</f>
        <v/>
      </c>
      <c r="C432">
        <f>TRUE</f>
        <v/>
      </c>
      <c r="D432">
        <f>IF(Skills!C22=1,60+Inputs!$B$25+Inputs!$B$29,IF(Skills!C22=2,90+Inputs!$B$26+Inputs!$B$29,IF(Skills!C22=3,120+Inputs!$B$27+Inputs!$B$29,MAX(0,(Inputs!$B$3-100)*3)+Inputs!$B$28+Inputs!$B$29)))</f>
        <v/>
      </c>
      <c r="E432">
        <f>INDEX(FactorTable!$B$2:$Y$301, MATCH(ROUND(MIN(300,MAX(1,D432)),0), FactorTable!$A$2:$A$301,0), Skills!M22+1)</f>
        <v/>
      </c>
      <c r="F432">
        <f>IF(Skills!N22=TRUE,(Skills!L22/10)*(E432/1000),Skills!L22/10)+Skills!O22</f>
        <v/>
      </c>
      <c r="G432">
        <f>Calc!G22</f>
        <v/>
      </c>
      <c r="H432">
        <f>Calc!H22</f>
        <v/>
      </c>
      <c r="I432">
        <f>IF(Skills!X22&lt;&gt;"",1+(Skills!X22/10)*(Z413/1000)/100,1)</f>
        <v/>
      </c>
      <c r="J432" t="inlineStr"/>
      <c r="K432" t="inlineStr"/>
      <c r="L432" t="inlineStr"/>
      <c r="M432" t="inlineStr"/>
      <c r="N432" t="inlineStr"/>
      <c r="O432" t="n">
        <v>0</v>
      </c>
      <c r="P432">
        <f>IF(B449=0,0,O432/B449)</f>
        <v/>
      </c>
      <c r="Q432">
        <f>IFERROR(1/IF(Inputs!$B$38="pvp",15,MAX(0.1,Skills!E22-IF(Skills!F22=TRUE,Inputs!$B$32,0))),0)</f>
        <v/>
      </c>
      <c r="R432" t="n">
        <v>0</v>
      </c>
    </row>
    <row r="433">
      <c r="A433">
        <f>Skills!A23</f>
        <v/>
      </c>
      <c r="B433">
        <f>Skills!B23</f>
        <v/>
      </c>
      <c r="C433">
        <f>TRUE</f>
        <v/>
      </c>
      <c r="D433">
        <f>IF(Skills!C23=1,60+Inputs!$B$25+Inputs!$B$29,IF(Skills!C23=2,90+Inputs!$B$26+Inputs!$B$29,IF(Skills!C23=3,120+Inputs!$B$27+Inputs!$B$29,MAX(0,(Inputs!$B$3-100)*3)+Inputs!$B$28+Inputs!$B$29)))</f>
        <v/>
      </c>
      <c r="E433">
        <f>INDEX(FactorTable!$B$2:$Y$301, MATCH(ROUND(MIN(300,MAX(1,D433)),0), FactorTable!$A$2:$A$301,0), Skills!M23+1)</f>
        <v/>
      </c>
      <c r="F433">
        <f>IF(Skills!N23=TRUE,(Skills!L23/10)*(E433/1000),Skills!L23/10)+Skills!O23</f>
        <v/>
      </c>
      <c r="G433">
        <f>Calc!G23</f>
        <v/>
      </c>
      <c r="H433">
        <f>Calc!H23</f>
        <v/>
      </c>
      <c r="I433">
        <f>IF(Skills!X23&lt;&gt;"",1+(Skills!X23/10)*(Z413/1000)/100,1)</f>
        <v/>
      </c>
      <c r="J433" t="inlineStr"/>
      <c r="K433" t="inlineStr"/>
      <c r="L433" t="inlineStr"/>
      <c r="M433" t="inlineStr"/>
      <c r="N433" t="inlineStr"/>
      <c r="O433" t="n">
        <v>0</v>
      </c>
      <c r="P433">
        <f>IF(B449=0,0,O433/B449)</f>
        <v/>
      </c>
      <c r="Q433">
        <f>IFERROR(1/IF(Inputs!$B$38="pvp",15,MAX(0.1,Skills!E23-IF(Skills!F23=TRUE,Inputs!$B$32,0))),0)</f>
        <v/>
      </c>
      <c r="R433" t="n">
        <v>0</v>
      </c>
    </row>
    <row r="434">
      <c r="A434">
        <f>Skills!A24</f>
        <v/>
      </c>
      <c r="B434">
        <f>Skills!B24</f>
        <v/>
      </c>
      <c r="C434">
        <f>Inputs!$B$3&gt;=115</f>
        <v/>
      </c>
      <c r="D434">
        <f>IF(Skills!C24=1,60+Inputs!$B$25+Inputs!$B$29,IF(Skills!C24=2,90+Inputs!$B$26+Inputs!$B$29,IF(Skills!C24=3,120+Inputs!$B$27+Inputs!$B$29,MAX(0,(Inputs!$B$3-100)*3)+Inputs!$B$28+Inputs!$B$29)))</f>
        <v/>
      </c>
      <c r="E434">
        <f>INDEX(FactorTable!$B$2:$Y$301, MATCH(ROUND(MIN(300,MAX(1,D434)),0), FactorTable!$A$2:$A$301,0), Skills!M24+1)</f>
        <v/>
      </c>
      <c r="F434">
        <f>IF(Skills!N24=TRUE,(Skills!L24/10)*(E434/1000),Skills!L24/10)+Skills!O24</f>
        <v/>
      </c>
      <c r="G434">
        <f>Calc!G24</f>
        <v/>
      </c>
      <c r="H434">
        <f>Calc!H24</f>
        <v/>
      </c>
      <c r="I434">
        <f>IF(Skills!X24&lt;&gt;"",1+(Skills!X24/10)*(Z413/1000)/100,1)</f>
        <v/>
      </c>
      <c r="J434">
        <f>((Inputs!$B$6*(1+Inputs!$B$7/100))+(((Inputs!$B$12*(1+Inputs!$B$13/100))-(Inputs!$B$12*(1+Inputs!$B$13/100)))+0.25*(Inputs!$B$14-Inputs!$B$14))*(1+Inputs!$B$7/100))*(F434/100)</f>
        <v/>
      </c>
      <c r="K434">
        <f>J434*(1+((Inputs!$B$12*(1+Inputs!$B$13/100))*0.01+Inputs!$B$14*0.0025)/100)*(1+Inputs!$B$15/100)*(1+IF(Inputs!$B$38="pvp",0,(1-Summary!$B$56)*(Inputs!$B$20+Skills!P24)+Summary!$B$56*(Inputs!$B$21+Skills!Q24))/100)*(1+Inputs!$B$16/100)*(5000/(6000+Inputs!$B$42*(1-Inputs!$B$19/100)))*(1+Inputs!$B$24/100)*(1+F433/100)*(1+IF(Inputs!$B$3&gt;=120,F436,0)/100)^5*(1+(IF(Skills!A24="BASIC_ATTACK",Inputs!$B$17,Inputs!$B$18+IF(Inputs!$B$3&gt;=125,F437*5,0)))/100)*(B440*B441*B442*I434)</f>
        <v/>
      </c>
      <c r="L434">
        <f>K434*(MIN(Inputs!$B$22+(F432-Calc!F22),Inputs!$B$23)/100+Inputs!$B$23/100)/2</f>
        <v/>
      </c>
      <c r="M434">
        <f>L434*(1+(Inputs!$B$10+(F431-Calc!F21))/100)</f>
        <v/>
      </c>
      <c r="N434">
        <f>L434*(1-MIN((Inputs!$B$9+1)+(F430-Calc!F20),100)/100)+M434*(MIN((Inputs!$B$9+1)+(F430-Calc!F20),100)/100)</f>
        <v/>
      </c>
      <c r="O434">
        <f>IF(C434,H434*N434*IF(AND(Inputs!$B$38&lt;&gt;"pvp",Inputs!$B$43&gt;0),((Skills!G24*((R434-1)*IF(Skills!H24&gt;0,Skills!I24/Skills!H24,1)+IF(Skills!H24&gt;0,MIN(Skills!I24,MAX(0,Inputs!$B$43-((R434-1)*IF(Inputs!$B$38="pvp",15,MAX(0.1,Skills!E24-IF(Skills!F24=TRUE,Inputs!$B$32,0))))))/Skills!H24,1)))/Inputs!$B$43),G434*Q434)*(1+IF(Inputs!$B$3&gt;=130,0.2*(Skills!I16/Skills!E15+IF(Inputs!$B$3&gt;=126,0.05*(B446+Q423+(H424*B447)/(1+Skills!H14*H424*B447)+Q434),0)*Skills!I16),0))*IF(Inputs!$B$38="pvp",1,(1-Summary!$B$56)*(1)+Summary!$B$56*(MIN(Skills!R24,Inputs!$B$37))),0)</f>
        <v/>
      </c>
      <c r="P434">
        <f>IF(B449=0,0,O434/B449)</f>
        <v/>
      </c>
      <c r="Q434">
        <f>IFERROR(1/IF(Inputs!$B$38="pvp",15,MAX(0.1,Skills!E24-IF(Skills!F24=TRUE,Inputs!$B$32,0))),0)</f>
        <v/>
      </c>
      <c r="R434">
        <f>IF(AND(Inputs!$B$38&lt;&gt;"pvp",Inputs!$B$43&gt;0),(INT(Inputs!$B$43/IF(Inputs!$B$38="pvp",15,MAX(0.1,Skills!E24-IF(Skills!F24=TRUE,Inputs!$B$32,0))))+1),0)</f>
        <v/>
      </c>
    </row>
    <row r="435">
      <c r="A435">
        <f>Skills!A25</f>
        <v/>
      </c>
      <c r="B435">
        <f>Skills!B25</f>
        <v/>
      </c>
      <c r="C435">
        <f>Inputs!$B$3&gt;=117</f>
        <v/>
      </c>
      <c r="D435">
        <f>IF(Skills!C25=1,60+Inputs!$B$25+Inputs!$B$29,IF(Skills!C25=2,90+Inputs!$B$26+Inputs!$B$29,IF(Skills!C25=3,120+Inputs!$B$27+Inputs!$B$29,MAX(0,(Inputs!$B$3-100)*3)+Inputs!$B$28+Inputs!$B$29)))</f>
        <v/>
      </c>
      <c r="E435">
        <f>INDEX(FactorTable!$B$2:$Y$301, MATCH(ROUND(MIN(300,MAX(1,D435)),0), FactorTable!$A$2:$A$301,0), Skills!M25+1)</f>
        <v/>
      </c>
      <c r="F435">
        <f>IF(Skills!N25=TRUE,(Skills!L25/10)*(E435/1000),Skills!L25/10)+Skills!O25</f>
        <v/>
      </c>
      <c r="G435">
        <f>Calc!G25</f>
        <v/>
      </c>
      <c r="H435">
        <f>Calc!H25</f>
        <v/>
      </c>
      <c r="I435">
        <f>IF(Skills!X25&lt;&gt;"",1+(Skills!X25/10)*(Z413/1000)/100,1)</f>
        <v/>
      </c>
      <c r="J435" t="inlineStr"/>
      <c r="K435" t="inlineStr"/>
      <c r="L435" t="inlineStr"/>
      <c r="M435" t="inlineStr"/>
      <c r="N435" t="inlineStr"/>
      <c r="O435" t="n">
        <v>0</v>
      </c>
      <c r="P435">
        <f>IF(B449=0,0,O435/B449)</f>
        <v/>
      </c>
      <c r="Q435">
        <f>IFERROR(1/IF(Inputs!$B$38="pvp",15,MAX(0.1,Skills!E25-IF(Skills!F25=TRUE,Inputs!$B$32,0))),0)</f>
        <v/>
      </c>
      <c r="R435" t="n">
        <v>0</v>
      </c>
    </row>
    <row r="436">
      <c r="A436">
        <f>Skills!A26</f>
        <v/>
      </c>
      <c r="B436">
        <f>Skills!B26</f>
        <v/>
      </c>
      <c r="C436">
        <f>Inputs!$B$3&gt;=120</f>
        <v/>
      </c>
      <c r="D436">
        <f>IF(Skills!C26=1,60+Inputs!$B$25+Inputs!$B$29,IF(Skills!C26=2,90+Inputs!$B$26+Inputs!$B$29,IF(Skills!C26=3,120+Inputs!$B$27+Inputs!$B$29,MAX(0,(Inputs!$B$3-100)*3)+Inputs!$B$28+Inputs!$B$29)))</f>
        <v/>
      </c>
      <c r="E436">
        <f>INDEX(FactorTable!$B$2:$Y$301, MATCH(ROUND(MIN(300,MAX(1,D436)),0), FactorTable!$A$2:$A$301,0), Skills!M26+1)</f>
        <v/>
      </c>
      <c r="F436">
        <f>IF(Skills!N26=TRUE,(Skills!L26/10)*(E436/1000),Skills!L26/10)+Skills!O26</f>
        <v/>
      </c>
      <c r="G436">
        <f>Calc!G26</f>
        <v/>
      </c>
      <c r="H436">
        <f>Calc!H26</f>
        <v/>
      </c>
      <c r="I436">
        <f>IF(Skills!X26&lt;&gt;"",1+(Skills!X26/10)*(Z413/1000)/100,1)</f>
        <v/>
      </c>
      <c r="J436" t="inlineStr"/>
      <c r="K436" t="inlineStr"/>
      <c r="L436" t="inlineStr"/>
      <c r="M436" t="inlineStr"/>
      <c r="N436" t="inlineStr"/>
      <c r="O436" t="n">
        <v>0</v>
      </c>
      <c r="P436">
        <f>IF(B449=0,0,O436/B449)</f>
        <v/>
      </c>
      <c r="Q436">
        <f>IFERROR(1/IF(Inputs!$B$38="pvp",15,MAX(0.1,Skills!E26-IF(Skills!F26=TRUE,Inputs!$B$32,0))),0)</f>
        <v/>
      </c>
      <c r="R436" t="n">
        <v>0</v>
      </c>
    </row>
    <row r="437">
      <c r="A437">
        <f>Skills!A27</f>
        <v/>
      </c>
      <c r="B437">
        <f>Skills!B27</f>
        <v/>
      </c>
      <c r="C437">
        <f>Inputs!$B$3&gt;=125</f>
        <v/>
      </c>
      <c r="D437">
        <f>IF(Skills!C27=1,60+Inputs!$B$25+Inputs!$B$29,IF(Skills!C27=2,90+Inputs!$B$26+Inputs!$B$29,IF(Skills!C27=3,120+Inputs!$B$27+Inputs!$B$29,MAX(0,(Inputs!$B$3-100)*3)+Inputs!$B$28+Inputs!$B$29)))</f>
        <v/>
      </c>
      <c r="E437">
        <f>INDEX(FactorTable!$B$2:$Y$301, MATCH(ROUND(MIN(300,MAX(1,D437)),0), FactorTable!$A$2:$A$301,0), Skills!M27+1)</f>
        <v/>
      </c>
      <c r="F437">
        <f>IF(Skills!N27=TRUE,(Skills!L27/10)*(E437/1000),Skills!L27/10)+Skills!O27</f>
        <v/>
      </c>
      <c r="G437">
        <f>Calc!G27</f>
        <v/>
      </c>
      <c r="H437">
        <f>Calc!H27</f>
        <v/>
      </c>
      <c r="I437">
        <f>IF(Skills!X27&lt;&gt;"",1+(Skills!X27/10)*(Z413/1000)/100,1)</f>
        <v/>
      </c>
      <c r="J437" t="inlineStr"/>
      <c r="K437" t="inlineStr"/>
      <c r="L437" t="inlineStr"/>
      <c r="M437" t="inlineStr"/>
      <c r="N437" t="inlineStr"/>
      <c r="O437" t="n">
        <v>0</v>
      </c>
      <c r="P437">
        <f>IF(B449=0,0,O437/B449)</f>
        <v/>
      </c>
      <c r="Q437">
        <f>IFERROR(1/IF(Inputs!$B$38="pvp",15,MAX(0.1,Skills!E27-IF(Skills!F27=TRUE,Inputs!$B$32,0))),0)</f>
        <v/>
      </c>
      <c r="R437" t="n">
        <v>0</v>
      </c>
    </row>
    <row r="438">
      <c r="A438">
        <f>Skills!A28</f>
        <v/>
      </c>
      <c r="B438">
        <f>Skills!B28</f>
        <v/>
      </c>
      <c r="C438">
        <f>Inputs!$B$3&gt;=118</f>
        <v/>
      </c>
      <c r="D438">
        <f>IF(Skills!C28=1,60+Inputs!$B$25+Inputs!$B$29,IF(Skills!C28=2,90+Inputs!$B$26+Inputs!$B$29,IF(Skills!C28=3,120+Inputs!$B$27+Inputs!$B$29,MAX(0,(Inputs!$B$3-100)*3)+Inputs!$B$28+Inputs!$B$29)))</f>
        <v/>
      </c>
      <c r="E438">
        <f>INDEX(FactorTable!$B$2:$Y$301, MATCH(ROUND(MIN(300,MAX(1,D438)),0), FactorTable!$A$2:$A$301,0), Skills!M28+1)</f>
        <v/>
      </c>
      <c r="F438">
        <f>IF(Skills!N28=TRUE,(Skills!L28/10)*(E438/1000),Skills!L28/10)+Skills!O28</f>
        <v/>
      </c>
      <c r="G438">
        <f>Calc!G28</f>
        <v/>
      </c>
      <c r="H438">
        <f>Calc!H28</f>
        <v/>
      </c>
      <c r="I438">
        <f>IF(Skills!X28&lt;&gt;"",1+(Skills!X28/10)*(Z413/1000)/100,1)</f>
        <v/>
      </c>
      <c r="J438">
        <f>((Inputs!$B$6*(1+Inputs!$B$7/100))+(((Inputs!$B$12*(1+Inputs!$B$13/100))-(Inputs!$B$12*(1+Inputs!$B$13/100)))+0.25*(Inputs!$B$14-Inputs!$B$14))*(1+Inputs!$B$7/100))*(F438/100)</f>
        <v/>
      </c>
      <c r="K438">
        <f>J438*(1+((Inputs!$B$12*(1+Inputs!$B$13/100))*0.01+Inputs!$B$14*0.0025)/100)*(1+Inputs!$B$15/100)*(1+IF(Inputs!$B$38="pvp",0,(1-Summary!$B$56)*(Inputs!$B$20+Skills!P28)+Summary!$B$56*(Inputs!$B$21+Skills!Q28))/100)*(1+Inputs!$B$16/100)*(5000/(6000+Inputs!$B$42*(1-Inputs!$B$19/100)))*(1+Inputs!$B$24/100)*(1+F433/100)*(1+IF(Inputs!$B$3&gt;=120,F436,0)/100)^5*(1+(IF(Skills!A28="BASIC_ATTACK",Inputs!$B$17,Inputs!$B$18+IF(Inputs!$B$3&gt;=125,F437*5,0)))/100)*(B440*B441*B442*I438)</f>
        <v/>
      </c>
      <c r="L438">
        <f>K438*(MIN(Inputs!$B$22+(F432-Calc!F22),Inputs!$B$23)/100+Inputs!$B$23/100)/2</f>
        <v/>
      </c>
      <c r="M438">
        <f>L438*(1+(Inputs!$B$10+(F431-Calc!F21))/100)</f>
        <v/>
      </c>
      <c r="N438">
        <f>L438*(1-MIN((Inputs!$B$9+1)+(F430-Calc!F20),100)/100)+M438*(MIN((Inputs!$B$9+1)+(F430-Calc!F20),100)/100)</f>
        <v/>
      </c>
      <c r="O438">
        <f>IF(C438,H438*N438*IF(AND(Inputs!$B$38&lt;&gt;"pvp",Inputs!$B$43&gt;0),((Skills!G28*((R438-1)*IF(Skills!H28&gt;0,Skills!I28/Skills!H28,1)+IF(Skills!H28&gt;0,MIN(Skills!I28,MAX(0,Inputs!$B$43-((R438-1)*IF(Inputs!$B$38="pvp",15,MAX(0.1,Skills!E28-IF(Skills!F28=TRUE,Inputs!$B$32,0))))))/Skills!H28,1)))/Inputs!$B$43),G438*Q438)*IF(Inputs!$B$38="pvp",1,(1-Summary!$B$56)*(1)+Summary!$B$56*(MIN(Skills!R28,Inputs!$B$37))),0)</f>
        <v/>
      </c>
      <c r="P438">
        <f>IF(B449=0,0,O438/B449)</f>
        <v/>
      </c>
      <c r="Q438">
        <f>IFERROR(1/IF(Inputs!$B$38="pvp",15,MAX(0.1,Skills!E28-IF(Skills!F28=TRUE,Inputs!$B$32,0))),0)</f>
        <v/>
      </c>
      <c r="R438">
        <f>IF(AND(Inputs!$B$38&lt;&gt;"pvp",Inputs!$B$43&gt;0),(INT(Inputs!$B$43/IF(Inputs!$B$38="pvp",15,MAX(0.1,Skills!E28-IF(Skills!F28=TRUE,Inputs!$B$32,0))))+1),0)</f>
        <v/>
      </c>
    </row>
    <row r="440">
      <c r="A440" t="inlineStr">
        <is>
          <t>Burning Magic Multiplier</t>
        </is>
      </c>
      <c r="B440">
        <f>1+(F421*Skills!Z11)/100</f>
        <v/>
      </c>
    </row>
    <row r="441">
      <c r="A441" t="inlineStr">
        <is>
          <t>Elemental Decrease Multiplier (always-on)</t>
        </is>
      </c>
      <c r="B441">
        <f>1+F422/100</f>
        <v/>
      </c>
    </row>
    <row r="442">
      <c r="A442" t="inlineStr">
        <is>
          <t>Average Buff Multiplier (Magic Guard + Meditation, summed; then Infinity)</t>
        </is>
      </c>
      <c r="B442">
        <f>(1+(F416*IF(AND(Inputs!$B$38&lt;&gt;"pvp",Inputs!$B$43&gt;0),(((R416-1)*(Skills!T6*(1+(Inputs!$B$34+IF(Inputs!$B$3&gt;=117,F435,0))/100))+MIN((Skills!T6*(1+(Inputs!$B$34+IF(Inputs!$B$3&gt;=117,F435,0))/100)),MAX(0,Inputs!$B$43-((R416-1)*Skills!E6))))/Inputs!$B$43),IF(Inputs!$B$38="pvp",MIN((Skills!T6*(1+(Inputs!$B$34+IF(Inputs!$B$3&gt;=117,F435,0))/100)),15)/15,(Skills!T6*(1+(Inputs!$B$34+IF(Inputs!$B$3&gt;=117,F435,0))/100))/Skills!E6))+F427*IF(AND(Inputs!$B$38&lt;&gt;"pvp",Inputs!$B$43&gt;0),(((R427-1)*(Skills!T17*(1+(Inputs!$B$34+IF(Inputs!$B$3&gt;=117,F435,0))/100))+MIN((Skills!T17*(1+(Inputs!$B$34+IF(Inputs!$B$3&gt;=117,F435,0))/100)),MAX(0,Inputs!$B$43-((R427-1)*Skills!E17))))/Inputs!$B$43),IF(Inputs!$B$38="pvp",MIN((Skills!T17*(1+(Inputs!$B$34+IF(Inputs!$B$3&gt;=117,F435,0))/100)),15)/15,(Skills!T17*(1+(Inputs!$B$34+IF(Inputs!$B$3&gt;=117,F435,0))/100))/Skills!E17)))/100)*IF(C429=TRUE,(1+F429*IF(AND(Inputs!$B$38&lt;&gt;"pvp",Inputs!$B$43&gt;0),(((R429-1)*(Skills!T19*(1+(Inputs!$B$34+IF(Inputs!$B$3&gt;=117,F435,0))/100))+MIN((Skills!T19*(1+(Inputs!$B$34+IF(Inputs!$B$3&gt;=117,F435,0))/100)),MAX(0,Inputs!$B$43-((R429-1)*Skills!E19))))/Inputs!$B$43),IF(Inputs!$B$38="pvp",MIN((Skills!T19*(1+(Inputs!$B$34+IF(Inputs!$B$3&gt;=117,F435,0))/100)),15)/15,(Skills!T19*(1+(Inputs!$B$34+IF(Inputs!$B$3&gt;=117,F435,0))/100))/Skills!E19))/100),1)</f>
        <v/>
      </c>
    </row>
    <row r="443">
      <c r="A443" t="inlineStr">
        <is>
          <t>Attack Speed Buff Bonus % (Nimble Feet, averaged)</t>
        </is>
      </c>
      <c r="B443">
        <f>F428*IF(AND(Inputs!$B$38&lt;&gt;"pvp",Inputs!$B$43&gt;0),(((R428-1)*(Skills!T18*(1+(Inputs!$B$34+IF(Inputs!$B$3&gt;=117,F435,0))/100))+MIN((Skills!T18*(1+(Inputs!$B$34+IF(Inputs!$B$3&gt;=117,F435,0))/100)),MAX(0,Inputs!$B$43-((R428-1)*Skills!E18))))/Inputs!$B$43),IF(Inputs!$B$38="pvp",MIN((Skills!T18*(1+(Inputs!$B$34+IF(Inputs!$B$3&gt;=117,F435,0))/100)),15)/15,(Skills!T18*(1+(Inputs!$B$34+IF(Inputs!$B$3&gt;=117,F435,0))/100))/Skills!E18))</f>
        <v/>
      </c>
    </row>
    <row r="444">
      <c r="A444" t="inlineStr">
        <is>
          <t>Actions Per Second</t>
        </is>
      </c>
      <c r="B444">
        <f>1+MIN(150,150*(1-(1-Inputs!$B$11/150)*(1-B443/150)))/100</f>
        <v/>
      </c>
    </row>
    <row r="445">
      <c r="A445" t="inlineStr">
        <is>
          <t>Skill + Buff Cast Rate</t>
        </is>
      </c>
      <c r="B445">
        <f>IF(AND(Inputs!$B$38&lt;&gt;"pvp",Inputs!$B$43&gt;0),SUMPRODUCT((Skills!F2:F28=TRUE)*(C412:C438=TRUE)*R412:R438)/Inputs!$B$43,SUMPRODUCT((Skills!F2:F28=TRUE)*(C412:C438=TRUE)*Q412:Q438))</f>
        <v/>
      </c>
    </row>
    <row r="446">
      <c r="A446" t="inlineStr">
        <is>
          <t>Basic Attacks Per Second</t>
        </is>
      </c>
      <c r="B446">
        <f>MAX(0,B444-B445)</f>
        <v/>
      </c>
    </row>
    <row r="447">
      <c r="A447" t="inlineStr">
        <is>
          <t>Meteor Proc — combined trigger cast rate</t>
        </is>
      </c>
      <c r="B447">
        <f>IF(AND(Inputs!$B$38&lt;&gt;"pvp",Inputs!$B$43&gt;0),SUMPRODUCT((Skills!V2:V28=TRUE)*(C412:C438=TRUE)*R412:R438*Skills!W2:W28)/Inputs!$B$43,SUMPRODUCT((Skills!V2:V28=TRUE)*(C412:C438=TRUE)*Q412:Q438*Skills!W2:W28))+B446</f>
        <v/>
      </c>
    </row>
    <row r="449">
      <c r="A449" s="5" t="inlineStr">
        <is>
          <t>TOTAL DPS</t>
        </is>
      </c>
      <c r="B449" s="5">
        <f>SUM(O412:O438)</f>
        <v/>
      </c>
    </row>
    <row r="452">
      <c r="A452" s="5" t="inlineStr">
        <is>
          <t>Stat: CRIT_DAMAGE %</t>
        </is>
      </c>
    </row>
    <row r="453">
      <c r="A453" s="9" t="inlineStr">
        <is>
          <t>Key</t>
        </is>
      </c>
      <c r="B453" s="9" t="inlineStr">
        <is>
          <t>Name</t>
        </is>
      </c>
      <c r="C453" s="9" t="inlineStr">
        <is>
          <t>Unlocked</t>
        </is>
      </c>
      <c r="D453" s="9" t="inlineStr">
        <is>
          <t>InputLevel</t>
        </is>
      </c>
      <c r="E453" s="9" t="inlineStr">
        <is>
          <t>Factor</t>
        </is>
      </c>
      <c r="F453" s="9" t="inlineStr">
        <is>
          <t>CoefficientPercent</t>
        </is>
      </c>
      <c r="G453" s="9" t="inlineStr">
        <is>
          <t>EffectiveHits</t>
        </is>
      </c>
      <c r="H453" s="9" t="inlineStr">
        <is>
          <t>ProcProbability</t>
        </is>
      </c>
      <c r="I453" s="9" t="inlineStr">
        <is>
          <t>MapleHeroMultiplier</t>
        </is>
      </c>
      <c r="J453" s="9" t="inlineStr">
        <is>
          <t>BaseDamage</t>
        </is>
      </c>
      <c r="K453" s="9" t="inlineStr">
        <is>
          <t>BaseHitDamage</t>
        </is>
      </c>
      <c r="L453" s="9" t="inlineStr">
        <is>
          <t>NonCritAvg</t>
        </is>
      </c>
      <c r="M453" s="9" t="inlineStr">
        <is>
          <t>CritAvg</t>
        </is>
      </c>
      <c r="N453" s="9" t="inlineStr">
        <is>
          <t>ExpectedDamage(perHit)</t>
        </is>
      </c>
      <c r="O453" s="9" t="inlineStr">
        <is>
          <t>DPS</t>
        </is>
      </c>
      <c r="P453" s="9" t="inlineStr">
        <is>
          <t>% of Total</t>
        </is>
      </c>
      <c r="R453" t="inlineStr">
        <is>
          <t>helpers</t>
        </is>
      </c>
    </row>
    <row r="454">
      <c r="A454">
        <f>Skills!A2</f>
        <v/>
      </c>
      <c r="B454">
        <f>Skills!B2</f>
        <v/>
      </c>
      <c r="C454">
        <f>TRUE</f>
        <v/>
      </c>
      <c r="D454" t="inlineStr"/>
      <c r="E454" t="inlineStr"/>
      <c r="F454">
        <f>T456+Skills!O2</f>
        <v/>
      </c>
      <c r="G454">
        <f>Calc!G2</f>
        <v/>
      </c>
      <c r="H454">
        <f>Calc!H2</f>
        <v/>
      </c>
      <c r="I454">
        <f>IF(Skills!X2&lt;&gt;"",1+(Skills!X2/10)*(Z455/1000)/100,1)</f>
        <v/>
      </c>
      <c r="J454">
        <f>((Inputs!$B$6*(1+Inputs!$B$7/100))+(((Inputs!$B$12*(1+Inputs!$B$13/100))-(Inputs!$B$12*(1+Inputs!$B$13/100)))+0.25*(Inputs!$B$14-Inputs!$B$14))*(1+Inputs!$B$7/100))*(F454/100)</f>
        <v/>
      </c>
      <c r="K454">
        <f>J454*(1+((Inputs!$B$12*(1+Inputs!$B$13/100))*0.01+Inputs!$B$14*0.0025)/100)*(1+Inputs!$B$15/100)*(1+IF(Inputs!$B$38="pvp",0,(1-Summary!$B$56)*(Inputs!$B$20+Skills!P2)+Summary!$B$56*(Inputs!$B$21+Skills!Q2))/100)*(1+Inputs!$B$16/100)*(5000/(6000+Inputs!$B$42*(1-Inputs!$B$19/100)))*(1+Inputs!$B$24/100)*(1+F475/100)*(1+IF(Inputs!$B$3&gt;=120,F478,0)/100)^5*(1+(IF(Skills!A2="BASIC_ATTACK",Inputs!$B$17,Inputs!$B$18+IF(Inputs!$B$3&gt;=125,F479*5,0)))/100)*(B482*B483*B484*I454)</f>
        <v/>
      </c>
      <c r="L454">
        <f>K454*(MIN(Inputs!$B$22+(F474-Calc!F22),Inputs!$B$23)/100+Inputs!$B$23/100)/2</f>
        <v/>
      </c>
      <c r="M454">
        <f>L454*(1+((Inputs!$B$10+1)+(F473-Calc!F21))/100)</f>
        <v/>
      </c>
      <c r="N454">
        <f>L454*(1-MIN(Inputs!$B$9+(F472-Calc!F20),100)/100)+M454*(MIN(Inputs!$B$9+(F472-Calc!F20),100)/100)</f>
        <v/>
      </c>
      <c r="O454">
        <f>Skills!G2*N454*B488*IF(Inputs!$B$38="pvp",1,(1-Summary!$B$56)*(1)+Summary!$B$56*(MIN((6+Inputs!$B$33+IF(Inputs!$B$3&gt;=136,1,0)),Inputs!$B$37)))</f>
        <v/>
      </c>
      <c r="P454">
        <f>IF(B491=0,0,O454/B491)</f>
        <v/>
      </c>
      <c r="Q454">
        <f>IFERROR(1/IF(Inputs!$B$38="pvp",15,MAX(0.1,Skills!E2-IF(Skills!F2=TRUE,Inputs!$B$32,0))),0)</f>
        <v/>
      </c>
      <c r="R454" t="n">
        <v>0</v>
      </c>
      <c r="T454">
        <f>MAX(0,(Inputs!$B$3-100)*3)+Inputs!$B$28+Inputs!$B$29</f>
        <v/>
      </c>
      <c r="Z454">
        <f>MAX(0,(Inputs!$B$3-100)*3)+Inputs!$B$28+Inputs!$B$29</f>
        <v/>
      </c>
    </row>
    <row r="455">
      <c r="A455">
        <f>Skills!A3</f>
        <v/>
      </c>
      <c r="B455">
        <f>Skills!B3</f>
        <v/>
      </c>
      <c r="C455">
        <f>TRUE</f>
        <v/>
      </c>
      <c r="D455">
        <f>IF(Skills!C3=1,60+Inputs!$B$25+Inputs!$B$29,IF(Skills!C3=2,90+Inputs!$B$26+Inputs!$B$29,IF(Skills!C3=3,120+Inputs!$B$27+Inputs!$B$29,MAX(0,(Inputs!$B$3-100)*3)+Inputs!$B$28+Inputs!$B$29)))</f>
        <v/>
      </c>
      <c r="E455">
        <f>INDEX(FactorTable!$B$2:$Y$301, MATCH(ROUND(MIN(300,MAX(1,D455)),0), FactorTable!$A$2:$A$301,0), Skills!M3+1)</f>
        <v/>
      </c>
      <c r="F455">
        <f>IF(Skills!N3=TRUE,(Skills!L3/10)*(E455/1000),Skills!L3/10)+Skills!O3</f>
        <v/>
      </c>
      <c r="G455">
        <f>Calc!G3</f>
        <v/>
      </c>
      <c r="H455">
        <f>Calc!H3</f>
        <v/>
      </c>
      <c r="I455">
        <f>IF(Skills!X3&lt;&gt;"",1+(Skills!X3/10)*(Z455/1000)/100,1)</f>
        <v/>
      </c>
      <c r="J455">
        <f>((Inputs!$B$6*(1+Inputs!$B$7/100))+(((Inputs!$B$12*(1+Inputs!$B$13/100))-(Inputs!$B$12*(1+Inputs!$B$13/100)))+0.25*(Inputs!$B$14-Inputs!$B$14))*(1+Inputs!$B$7/100))*(F455/100)</f>
        <v/>
      </c>
      <c r="K455">
        <f>J455*(1+((Inputs!$B$12*(1+Inputs!$B$13/100))*0.01+Inputs!$B$14*0.0025)/100)*(1+Inputs!$B$15/100)*(1+IF(Inputs!$B$38="pvp",0,(1-Summary!$B$56)*(Inputs!$B$20+Skills!P3)+Summary!$B$56*(Inputs!$B$21+Skills!Q3))/100)*(1+Inputs!$B$16/100)*(5000/(6000+Inputs!$B$42*(1-Inputs!$B$19/100)))*(1+Inputs!$B$24/100)*(1+F475/100)*(1+IF(Inputs!$B$3&gt;=120,F478,0)/100)^5*(1+(IF(Skills!A3="BASIC_ATTACK",Inputs!$B$17,Inputs!$B$18+IF(Inputs!$B$3&gt;=125,F479*5,0)))/100)*(B482*B483*B484*I455)</f>
        <v/>
      </c>
      <c r="L455">
        <f>K455*(MIN(Inputs!$B$22+(F474-Calc!F22),Inputs!$B$23)/100+Inputs!$B$23/100)/2</f>
        <v/>
      </c>
      <c r="M455">
        <f>L455*(1+((Inputs!$B$10+1)+(F473-Calc!F21))/100)</f>
        <v/>
      </c>
      <c r="N455">
        <f>L455*(1-MIN(Inputs!$B$9+(F472-Calc!F20),100)/100)+M455*(MIN(Inputs!$B$9+(F472-Calc!F20),100)/100)</f>
        <v/>
      </c>
      <c r="O455">
        <f>IF(C455,H455*N455*IF(AND(Inputs!$B$38&lt;&gt;"pvp",Inputs!$B$43&gt;0),((Skills!G3*((R455-1)*IF(Skills!H3&gt;0,Skills!I3/Skills!H3,1)+IF(Skills!H3&gt;0,MIN(Skills!I3,MAX(0,Inputs!$B$43-((R455-1)*IF(Inputs!$B$38="pvp",15,MAX(0.1,Skills!E3-IF(Skills!F3=TRUE,Inputs!$B$32,0))))))/Skills!H3,1)))/Inputs!$B$43),G455*Q455)*IF(Inputs!$B$38="pvp",1,(1-Summary!$B$56)*(1)+Summary!$B$56*(MIN(Skills!R3,Inputs!$B$37))),0)</f>
        <v/>
      </c>
      <c r="P455">
        <f>IF(B491=0,0,O455/B491)</f>
        <v/>
      </c>
      <c r="Q455">
        <f>IFERROR(1/IF(Inputs!$B$38="pvp",15,MAX(0.1,Skills!E3-IF(Skills!F3=TRUE,Inputs!$B$32,0))),0)</f>
        <v/>
      </c>
      <c r="R455">
        <f>IF(AND(Inputs!$B$38&lt;&gt;"pvp",Inputs!$B$43&gt;0),(INT(Inputs!$B$43/IF(Inputs!$B$38="pvp",15,MAX(0.1,Skills!E3-IF(Skills!F3=TRUE,Inputs!$B$32,0))))+1),0)</f>
        <v/>
      </c>
      <c r="T455">
        <f>INDEX(FactorTable!$B$2:$Y$301, MATCH(ROUND(MIN(300,MAX(1,T454)),0), FactorTable!$A$2:$A$301,0), 22)</f>
        <v/>
      </c>
      <c r="Z455">
        <f>INDEX(FactorTable!$B$2:$Y$301, MATCH(ROUND(MIN(300,MAX(1,Z454)),0), FactorTable!$A$2:$A$301,0), 24)</f>
        <v/>
      </c>
    </row>
    <row r="456">
      <c r="A456">
        <f>Skills!A4</f>
        <v/>
      </c>
      <c r="B456">
        <f>Skills!B4</f>
        <v/>
      </c>
      <c r="C456">
        <f>TRUE</f>
        <v/>
      </c>
      <c r="D456">
        <f>IF(Skills!C4=1,60+Inputs!$B$25+Inputs!$B$29,IF(Skills!C4=2,90+Inputs!$B$26+Inputs!$B$29,IF(Skills!C4=3,120+Inputs!$B$27+Inputs!$B$29,MAX(0,(Inputs!$B$3-100)*3)+Inputs!$B$28+Inputs!$B$29)))</f>
        <v/>
      </c>
      <c r="E456">
        <f>INDEX(FactorTable!$B$2:$Y$301, MATCH(ROUND(MIN(300,MAX(1,D456)),0), FactorTable!$A$2:$A$301,0), Skills!M4+1)</f>
        <v/>
      </c>
      <c r="F456">
        <f>IF(Skills!N4=TRUE,(Skills!L4/10)*(E456/1000),Skills!L4/10)+Skills!O4</f>
        <v/>
      </c>
      <c r="G456">
        <f>Calc!G4</f>
        <v/>
      </c>
      <c r="H456">
        <f>Calc!H4</f>
        <v/>
      </c>
      <c r="I456">
        <f>IF(Skills!X4&lt;&gt;"",1+(Skills!X4/10)*(Z455/1000)/100,1)</f>
        <v/>
      </c>
      <c r="J456">
        <f>((Inputs!$B$6*(1+Inputs!$B$7/100))+(((Inputs!$B$12*(1+Inputs!$B$13/100))-(Inputs!$B$12*(1+Inputs!$B$13/100)))+0.25*(Inputs!$B$14-Inputs!$B$14))*(1+Inputs!$B$7/100))*(F456/100)</f>
        <v/>
      </c>
      <c r="K456">
        <f>J456*(1+((Inputs!$B$12*(1+Inputs!$B$13/100))*0.01+Inputs!$B$14*0.0025)/100)*(1+Inputs!$B$15/100)*(1+IF(Inputs!$B$38="pvp",0,(1-Summary!$B$56)*(Inputs!$B$20+Skills!P4)+Summary!$B$56*(Inputs!$B$21+Skills!Q4))/100)*(1+Inputs!$B$16/100)*(5000/(6000+Inputs!$B$42*(1-Inputs!$B$19/100)))*(1+Inputs!$B$24/100)*(1+F475/100)*(1+IF(Inputs!$B$3&gt;=120,F478,0)/100)^5*(1+(IF(Skills!A4="BASIC_ATTACK",Inputs!$B$17,Inputs!$B$18+IF(Inputs!$B$3&gt;=125,F479*5,0)))/100)*(B482*B483*B484*I456)</f>
        <v/>
      </c>
      <c r="L456">
        <f>K456*(MIN(Inputs!$B$22+(F474-Calc!F22),Inputs!$B$23)/100+Inputs!$B$23/100)/2</f>
        <v/>
      </c>
      <c r="M456">
        <f>L456*(1+((Inputs!$B$10+1)+(F473-Calc!F21))/100)</f>
        <v/>
      </c>
      <c r="N456">
        <f>L456*(1-MIN(Inputs!$B$9+(F472-Calc!F20),100)/100)+M456*(MIN(Inputs!$B$9+(F472-Calc!F20),100)/100)</f>
        <v/>
      </c>
      <c r="O456">
        <f>IF(C456,H456*N456*IF(AND(Inputs!$B$38&lt;&gt;"pvp",Inputs!$B$43&gt;0),((Skills!G4*((R456-1)*IF(Skills!H4&gt;0,Skills!I4/Skills!H4,1)+IF(Skills!H4&gt;0,MIN(Skills!I4,MAX(0,Inputs!$B$43-((R456-1)*IF(Inputs!$B$38="pvp",15,MAX(0.1,Skills!E4-IF(Skills!F4=TRUE,Inputs!$B$32,0))))))/Skills!H4,1)))/Inputs!$B$43),G456*Q456)*IF(Inputs!$B$38="pvp",1,(1-Summary!$B$56)*(1)+Summary!$B$56*(MIN(Skills!R4,Inputs!$B$37))),0)</f>
        <v/>
      </c>
      <c r="P456">
        <f>IF(B491=0,0,O456/B491)</f>
        <v/>
      </c>
      <c r="Q456">
        <f>IFERROR(1/IF(Inputs!$B$38="pvp",15,MAX(0.1,Skills!E4-IF(Skills!F4=TRUE,Inputs!$B$32,0))),0)</f>
        <v/>
      </c>
      <c r="R456">
        <f>IF(AND(Inputs!$B$38&lt;&gt;"pvp",Inputs!$B$43&gt;0),(INT(Inputs!$B$43/IF(Inputs!$B$38="pvp",15,MAX(0.1,Skills!E4-IF(Skills!F4=TRUE,Inputs!$B$32,0))))+1),0)</f>
        <v/>
      </c>
      <c r="T456">
        <f>290*T455/1000</f>
        <v/>
      </c>
    </row>
    <row r="457">
      <c r="A457">
        <f>Skills!A5</f>
        <v/>
      </c>
      <c r="B457">
        <f>Skills!B5</f>
        <v/>
      </c>
      <c r="C457">
        <f>TRUE</f>
        <v/>
      </c>
      <c r="D457">
        <f>IF(Skills!C5=1,60+Inputs!$B$25+Inputs!$B$29,IF(Skills!C5=2,90+Inputs!$B$26+Inputs!$B$29,IF(Skills!C5=3,120+Inputs!$B$27+Inputs!$B$29,MAX(0,(Inputs!$B$3-100)*3)+Inputs!$B$28+Inputs!$B$29)))</f>
        <v/>
      </c>
      <c r="E457">
        <f>INDEX(FactorTable!$B$2:$Y$301, MATCH(ROUND(MIN(300,MAX(1,D457)),0), FactorTable!$A$2:$A$301,0), Skills!M5+1)</f>
        <v/>
      </c>
      <c r="F457">
        <f>IF(Skills!N5=TRUE,(Skills!L5/10)*(E457/1000),Skills!L5/10)+Skills!O5</f>
        <v/>
      </c>
      <c r="G457">
        <f>Calc!G5</f>
        <v/>
      </c>
      <c r="H457">
        <f>Calc!H5</f>
        <v/>
      </c>
      <c r="I457">
        <f>IF(Skills!X5&lt;&gt;"",1+(Skills!X5/10)*(Z455/1000)/100,1)</f>
        <v/>
      </c>
      <c r="J457">
        <f>((Inputs!$B$6*(1+Inputs!$B$7/100))+(((Inputs!$B$12*(1+Inputs!$B$13/100))-(Inputs!$B$12*(1+Inputs!$B$13/100)))+0.25*(Inputs!$B$14-Inputs!$B$14))*(1+Inputs!$B$7/100))*(F457/100)</f>
        <v/>
      </c>
      <c r="K457">
        <f>J457*(1+((Inputs!$B$12*(1+Inputs!$B$13/100))*0.01+Inputs!$B$14*0.0025)/100)*(1+Inputs!$B$15/100)*(1+IF(Inputs!$B$38="pvp",0,(1-Summary!$B$56)*(Inputs!$B$20+Skills!P5)+Summary!$B$56*(Inputs!$B$21+Skills!Q5))/100)*(1+Inputs!$B$16/100)*(5000/(6000+Inputs!$B$42*(1-Inputs!$B$19/100)))*(1+Inputs!$B$24/100)*(1+F475/100)*(1+IF(Inputs!$B$3&gt;=120,F478,0)/100)^5*(1+(IF(Skills!A5="BASIC_ATTACK",Inputs!$B$17,Inputs!$B$18+IF(Inputs!$B$3&gt;=125,F479*5,0)))/100)*(B482*B483*B484*I457)</f>
        <v/>
      </c>
      <c r="L457">
        <f>K457*(MIN(Inputs!$B$22+(F474-Calc!F22),Inputs!$B$23)/100+Inputs!$B$23/100)/2</f>
        <v/>
      </c>
      <c r="M457">
        <f>L457*(1+((Inputs!$B$10+1)+(F473-Calc!F21))/100)</f>
        <v/>
      </c>
      <c r="N457">
        <f>L457*(1-MIN(Inputs!$B$9+(F472-Calc!F20),100)/100)+M457*(MIN(Inputs!$B$9+(F472-Calc!F20),100)/100)</f>
        <v/>
      </c>
      <c r="O457">
        <f>IF(C457,H457*N457*IF(AND(Inputs!$B$38&lt;&gt;"pvp",Inputs!$B$43&gt;0),((Skills!G5*((R457-1)*IF(Skills!H5&gt;0,Skills!I5/Skills!H5,1)+IF(Skills!H5&gt;0,MIN(Skills!I5,MAX(0,Inputs!$B$43-((R457-1)*IF(Inputs!$B$38="pvp",15,MAX(0.1,Skills!E5-IF(Skills!F5=TRUE,Inputs!$B$32,0))))))/Skills!H5,1)))/Inputs!$B$43),G457*Q457)*IF(Inputs!$B$38="pvp",1,(1-Summary!$B$56)*(1)+Summary!$B$56*(MIN(Skills!R5,Inputs!$B$37))),0)</f>
        <v/>
      </c>
      <c r="P457">
        <f>IF(B491=0,0,O457/B491)</f>
        <v/>
      </c>
      <c r="Q457">
        <f>IFERROR(1/IF(Inputs!$B$38="pvp",15,MAX(0.1,Skills!E5-IF(Skills!F5=TRUE,Inputs!$B$32,0))),0)</f>
        <v/>
      </c>
      <c r="R457">
        <f>IF(AND(Inputs!$B$38&lt;&gt;"pvp",Inputs!$B$43&gt;0),(INT(Inputs!$B$43/IF(Inputs!$B$38="pvp",15,MAX(0.1,Skills!E5-IF(Skills!F5=TRUE,Inputs!$B$32,0))))+1),0)</f>
        <v/>
      </c>
    </row>
    <row r="458">
      <c r="A458">
        <f>Skills!A6</f>
        <v/>
      </c>
      <c r="B458">
        <f>Skills!B6</f>
        <v/>
      </c>
      <c r="C458">
        <f>TRUE</f>
        <v/>
      </c>
      <c r="D458">
        <f>IF(Skills!C6=1,60+Inputs!$B$25+Inputs!$B$29,IF(Skills!C6=2,90+Inputs!$B$26+Inputs!$B$29,IF(Skills!C6=3,120+Inputs!$B$27+Inputs!$B$29,MAX(0,(Inputs!$B$3-100)*3)+Inputs!$B$28+Inputs!$B$29)))</f>
        <v/>
      </c>
      <c r="E458">
        <f>INDEX(FactorTable!$B$2:$Y$301, MATCH(ROUND(MIN(300,MAX(1,D458)),0), FactorTable!$A$2:$A$301,0), Skills!M6+1)</f>
        <v/>
      </c>
      <c r="F458">
        <f>IF(Skills!N6=TRUE,(Skills!L6/10)*(E458/1000),Skills!L6/10)+Skills!O6</f>
        <v/>
      </c>
      <c r="G458">
        <f>Calc!G6</f>
        <v/>
      </c>
      <c r="H458">
        <f>Calc!H6</f>
        <v/>
      </c>
      <c r="I458">
        <f>IF(Skills!X6&lt;&gt;"",1+(Skills!X6/10)*(Z455/1000)/100,1)</f>
        <v/>
      </c>
      <c r="J458" t="inlineStr"/>
      <c r="K458" t="inlineStr"/>
      <c r="L458" t="inlineStr"/>
      <c r="M458" t="inlineStr"/>
      <c r="N458" t="inlineStr"/>
      <c r="O458" t="n">
        <v>0</v>
      </c>
      <c r="P458">
        <f>IF(B491=0,0,O458/B491)</f>
        <v/>
      </c>
      <c r="Q458">
        <f>IFERROR(1/IF(Inputs!$B$38="pvp",15,MAX(0.1,Skills!E6-IF(Skills!F6=TRUE,Inputs!$B$32,0))),0)</f>
        <v/>
      </c>
      <c r="R458">
        <f>IF(AND(Inputs!$B$38&lt;&gt;"pvp",Inputs!$B$43&gt;0),(INT(Inputs!$B$43/IF(Inputs!$B$38="pvp",15,MAX(0.1,Skills!E6-IF(Skills!F6=TRUE,Inputs!$B$32,0))))+1),0)</f>
        <v/>
      </c>
    </row>
    <row r="459">
      <c r="A459">
        <f>Skills!A7</f>
        <v/>
      </c>
      <c r="B459">
        <f>Skills!B7</f>
        <v/>
      </c>
      <c r="C459">
        <f>TRUE</f>
        <v/>
      </c>
      <c r="D459">
        <f>IF(Skills!C7=1,60+Inputs!$B$25+Inputs!$B$29,IF(Skills!C7=2,90+Inputs!$B$26+Inputs!$B$29,IF(Skills!C7=3,120+Inputs!$B$27+Inputs!$B$29,MAX(0,(Inputs!$B$3-100)*3)+Inputs!$B$28+Inputs!$B$29)))</f>
        <v/>
      </c>
      <c r="E459">
        <f>INDEX(FactorTable!$B$2:$Y$301, MATCH(ROUND(MIN(300,MAX(1,D459)),0), FactorTable!$A$2:$A$301,0), Skills!M7+1)</f>
        <v/>
      </c>
      <c r="F459">
        <f>IF(Skills!N7=TRUE,(Skills!L7/10)*(E459/1000),Skills!L7/10)+Skills!O7</f>
        <v/>
      </c>
      <c r="G459">
        <f>Calc!G7</f>
        <v/>
      </c>
      <c r="H459">
        <f>Calc!H7</f>
        <v/>
      </c>
      <c r="I459">
        <f>IF(Skills!X7&lt;&gt;"",1+(Skills!X7/10)*(Z455/1000)/100,1)</f>
        <v/>
      </c>
      <c r="J459">
        <f>((Inputs!$B$6*(1+Inputs!$B$7/100))+(((Inputs!$B$12*(1+Inputs!$B$13/100))-(Inputs!$B$12*(1+Inputs!$B$13/100)))+0.25*(Inputs!$B$14-Inputs!$B$14))*(1+Inputs!$B$7/100))*(F459/100)</f>
        <v/>
      </c>
      <c r="K459">
        <f>J459*(1+((Inputs!$B$12*(1+Inputs!$B$13/100))*0.01+Inputs!$B$14*0.0025)/100)*(1+Inputs!$B$15/100)*(1+IF(Inputs!$B$38="pvp",0,(1-Summary!$B$56)*(Inputs!$B$20+Skills!P7)+Summary!$B$56*(Inputs!$B$21+Skills!Q7))/100)*(1+Inputs!$B$16/100)*(5000/(6000+Inputs!$B$42*(1-Inputs!$B$19/100)))*(1+Inputs!$B$24/100)*(1+F475/100)*(1+IF(Inputs!$B$3&gt;=120,F478,0)/100)^5*(1+(IF(Skills!A7="BASIC_ATTACK",Inputs!$B$17,Inputs!$B$18+IF(Inputs!$B$3&gt;=125,F479*5,0)))/100)*(B482*B483*B484*I459)</f>
        <v/>
      </c>
      <c r="L459">
        <f>K459*(MIN(Inputs!$B$22+(F474-Calc!F22),Inputs!$B$23)/100+Inputs!$B$23/100)/2</f>
        <v/>
      </c>
      <c r="M459">
        <f>L459*(1+((Inputs!$B$10+1)+(F473-Calc!F21))/100)</f>
        <v/>
      </c>
      <c r="N459">
        <f>L459*(1-MIN(Inputs!$B$9+(F472-Calc!F20),100)/100)+M459*(MIN(Inputs!$B$9+(F472-Calc!F20),100)/100)</f>
        <v/>
      </c>
      <c r="O459">
        <f>IF(C459,H459*N459*IF(AND(Inputs!$B$38&lt;&gt;"pvp",Inputs!$B$43&gt;0),((Skills!G7*((R459-1)*IF(Skills!H7&gt;0,Skills!I7/Skills!H7,1)+IF(Skills!H7&gt;0,MIN(Skills!I7,MAX(0,Inputs!$B$43-((R459-1)*IF(Inputs!$B$38="pvp",15,MAX(0.1,Skills!E7-IF(Skills!F7=TRUE,Inputs!$B$32,0))))))/Skills!H7,1)))/Inputs!$B$43),G459*Q459)*IF(Inputs!$B$38="pvp",1,(1-Summary!$B$56)*(1)+Summary!$B$56*(MIN(Skills!R7,Inputs!$B$37))),0)</f>
        <v/>
      </c>
      <c r="P459">
        <f>IF(B491=0,0,O459/B491)</f>
        <v/>
      </c>
      <c r="Q459">
        <f>IFERROR(1/IF(Inputs!$B$38="pvp",15,MAX(0.1,Skills!E7-IF(Skills!F7=TRUE,Inputs!$B$32,0))),0)</f>
        <v/>
      </c>
      <c r="R459">
        <f>IF(AND(Inputs!$B$38&lt;&gt;"pvp",Inputs!$B$43&gt;0),(INT(Inputs!$B$43/IF(Inputs!$B$38="pvp",15,MAX(0.1,Skills!E7-IF(Skills!F7=TRUE,Inputs!$B$32,0))))+1),0)</f>
        <v/>
      </c>
    </row>
    <row r="460">
      <c r="A460">
        <f>Skills!A8</f>
        <v/>
      </c>
      <c r="B460">
        <f>Skills!B8</f>
        <v/>
      </c>
      <c r="C460">
        <f>TRUE</f>
        <v/>
      </c>
      <c r="D460">
        <f>IF(Skills!C8=1,60+Inputs!$B$25+Inputs!$B$29,IF(Skills!C8=2,90+Inputs!$B$26+Inputs!$B$29,IF(Skills!C8=3,120+Inputs!$B$27+Inputs!$B$29,MAX(0,(Inputs!$B$3-100)*3)+Inputs!$B$28+Inputs!$B$29)))</f>
        <v/>
      </c>
      <c r="E460">
        <f>INDEX(FactorTable!$B$2:$Y$301, MATCH(ROUND(MIN(300,MAX(1,D460)),0), FactorTable!$A$2:$A$301,0), Skills!M8+1)</f>
        <v/>
      </c>
      <c r="F460">
        <f>IF(Skills!N8=TRUE,(Skills!L8/10)*(E460/1000),Skills!L8/10)+Skills!O8</f>
        <v/>
      </c>
      <c r="G460">
        <f>Calc!G8</f>
        <v/>
      </c>
      <c r="H460">
        <f>Calc!H8</f>
        <v/>
      </c>
      <c r="I460">
        <f>IF(Skills!X8&lt;&gt;"",1+(Skills!X8/10)*(Z455/1000)/100,1)</f>
        <v/>
      </c>
      <c r="J460">
        <f>((Inputs!$B$6*(1+Inputs!$B$7/100))+(((Inputs!$B$12*(1+Inputs!$B$13/100))-(Inputs!$B$12*(1+Inputs!$B$13/100)))+0.25*(Inputs!$B$14-Inputs!$B$14))*(1+Inputs!$B$7/100))*(F460/100)</f>
        <v/>
      </c>
      <c r="K460">
        <f>J460*(1+((Inputs!$B$12*(1+Inputs!$B$13/100))*0.01+Inputs!$B$14*0.0025)/100)*(1+Inputs!$B$15/100)*(1+IF(Inputs!$B$38="pvp",0,(1-Summary!$B$56)*(Inputs!$B$20+Skills!P8)+Summary!$B$56*(Inputs!$B$21+Skills!Q8))/100)*(1+Inputs!$B$16/100)*(5000/(6000+Inputs!$B$42*(1-Inputs!$B$19/100)))*(1+Inputs!$B$24/100)*(1+F475/100)*(1+IF(Inputs!$B$3&gt;=120,F478,0)/100)^5*(1+(IF(Skills!A8="BASIC_ATTACK",Inputs!$B$17,Inputs!$B$18+IF(Inputs!$B$3&gt;=125,F479*5,0)))/100)*(B482*B483*B484*I460)</f>
        <v/>
      </c>
      <c r="L460">
        <f>K460*(MIN(Inputs!$B$22+(F474-Calc!F22),Inputs!$B$23)/100+Inputs!$B$23/100)/2</f>
        <v/>
      </c>
      <c r="M460">
        <f>L460*(1+((Inputs!$B$10+1)+(F473-Calc!F21))/100)</f>
        <v/>
      </c>
      <c r="N460">
        <f>L460*(1-MIN(Inputs!$B$9+(F472-Calc!F20),100)/100)+M460*(MIN(Inputs!$B$9+(F472-Calc!F20),100)/100)</f>
        <v/>
      </c>
      <c r="O460">
        <f>IF(C460,H460*N460*IF(AND(Inputs!$B$38&lt;&gt;"pvp",Inputs!$B$43&gt;0),((Skills!G8*((R460-1)*IF(Skills!H8&gt;0,Skills!I8/Skills!H8,1)+IF(Skills!H8&gt;0,MIN(Skills!I8,MAX(0,Inputs!$B$43-((R460-1)*IF(Inputs!$B$38="pvp",15,MAX(0.1,Skills!E8-IF(Skills!F8=TRUE,Inputs!$B$32,0))))))/Skills!H8,1)))/Inputs!$B$43),G460*Q460)*IF(Inputs!$B$38="pvp",1,(1-Summary!$B$56)*(1)+Summary!$B$56*(MIN(Skills!R8,Inputs!$B$37))),0)</f>
        <v/>
      </c>
      <c r="P460">
        <f>IF(B491=0,0,O460/B491)</f>
        <v/>
      </c>
      <c r="Q460">
        <f>IFERROR(1/IF(Inputs!$B$38="pvp",15,MAX(0.1,Skills!E8-IF(Skills!F8=TRUE,Inputs!$B$32,0))),0)</f>
        <v/>
      </c>
      <c r="R460">
        <f>IF(AND(Inputs!$B$38&lt;&gt;"pvp",Inputs!$B$43&gt;0),(INT(Inputs!$B$43/IF(Inputs!$B$38="pvp",15,MAX(0.1,Skills!E8-IF(Skills!F8=TRUE,Inputs!$B$32,0))))+1),0)</f>
        <v/>
      </c>
    </row>
    <row r="461">
      <c r="A461">
        <f>Skills!A9</f>
        <v/>
      </c>
      <c r="B461">
        <f>Skills!B9</f>
        <v/>
      </c>
      <c r="C461">
        <f>Inputs!$B$3&gt;=103</f>
        <v/>
      </c>
      <c r="D461">
        <f>IF(Skills!C9=1,60+Inputs!$B$25+Inputs!$B$29,IF(Skills!C9=2,90+Inputs!$B$26+Inputs!$B$29,IF(Skills!C9=3,120+Inputs!$B$27+Inputs!$B$29,MAX(0,(Inputs!$B$3-100)*3)+Inputs!$B$28+Inputs!$B$29)))</f>
        <v/>
      </c>
      <c r="E461">
        <f>INDEX(FactorTable!$B$2:$Y$301, MATCH(ROUND(MIN(300,MAX(1,D461)),0), FactorTable!$A$2:$A$301,0), Skills!M9+1)</f>
        <v/>
      </c>
      <c r="F461">
        <f>IF(Skills!N9=TRUE,(Skills!L9/10)*(E461/1000),Skills!L9/10)+Skills!O9</f>
        <v/>
      </c>
      <c r="G461">
        <f>Calc!G9</f>
        <v/>
      </c>
      <c r="H461">
        <f>Calc!H9</f>
        <v/>
      </c>
      <c r="I461">
        <f>IF(Skills!X9&lt;&gt;"",1+(Skills!X9/10)*(Z455/1000)/100,1)</f>
        <v/>
      </c>
      <c r="J461">
        <f>((Inputs!$B$6*(1+Inputs!$B$7/100))+(((Inputs!$B$12*(1+Inputs!$B$13/100))-(Inputs!$B$12*(1+Inputs!$B$13/100)))+0.25*(Inputs!$B$14-Inputs!$B$14))*(1+Inputs!$B$7/100))*(F461/100)</f>
        <v/>
      </c>
      <c r="K461">
        <f>J461*(1+((Inputs!$B$12*(1+Inputs!$B$13/100))*0.01+Inputs!$B$14*0.0025)/100)*(1+Inputs!$B$15/100)*(1+IF(Inputs!$B$38="pvp",0,(1-Summary!$B$56)*(Inputs!$B$20+Skills!P9)+Summary!$B$56*(Inputs!$B$21+Skills!Q9))/100)*(1+Inputs!$B$16/100)*(5000/(6000+Inputs!$B$42*(1-Inputs!$B$19/100)))*(1+Inputs!$B$24/100)*(1+F475/100)*(1+IF(Inputs!$B$3&gt;=120,F478,0)/100)^5*(1+(IF(Skills!A9="BASIC_ATTACK",Inputs!$B$17,Inputs!$B$18+IF(Inputs!$B$3&gt;=125,F479*5,0)))/100)*(B482*B483*B484*I461)</f>
        <v/>
      </c>
      <c r="L461">
        <f>K461*(MIN(Inputs!$B$22+(F474-Calc!F22),Inputs!$B$23)/100+Inputs!$B$23/100)/2</f>
        <v/>
      </c>
      <c r="M461">
        <f>L461*(1+((Inputs!$B$10+1)+(F473-Calc!F21))/100)</f>
        <v/>
      </c>
      <c r="N461">
        <f>L461*(1-MIN(Inputs!$B$9+(F472-Calc!F20),100)/100)+M461*(MIN(Inputs!$B$9+(F472-Calc!F20),100)/100)</f>
        <v/>
      </c>
      <c r="O461">
        <f>IF(C461,H461*N461*IF(AND(Inputs!$B$38&lt;&gt;"pvp",Inputs!$B$43&gt;0),((Skills!G9*((R461-1)*IF(Skills!H9&gt;0,Skills!I9/Skills!H9,1)+IF(Skills!H9&gt;0,MIN(Skills!I9,MAX(0,Inputs!$B$43-((R461-1)*IF(Inputs!$B$38="pvp",15,MAX(0.1,Skills!E9-IF(Skills!F7=TRUE,Inputs!$B$32,0))))))/Skills!H9,1)))/Inputs!$B$43),G461*Q461)*IF(Inputs!$B$38="pvp",1,(1-Summary!$B$56)*(1)+Summary!$B$56*(MIN(Skills!R9,Inputs!$B$37))),0)</f>
        <v/>
      </c>
      <c r="P461">
        <f>IF(B491=0,0,O461/B491)</f>
        <v/>
      </c>
      <c r="Q461">
        <f>IFERROR(1/IF(Inputs!$B$38="pvp",15,MAX(0.1,Skills!E9-IF(Skills!F7=TRUE,Inputs!$B$32,0))),0)</f>
        <v/>
      </c>
      <c r="R461">
        <f>IF(AND(Inputs!$B$38&lt;&gt;"pvp",Inputs!$B$43&gt;0),(INT(Inputs!$B$43/IF(Inputs!$B$38="pvp",15,MAX(0.1,Skills!E9-IF(Skills!F7=TRUE,Inputs!$B$32,0))))+1),0)</f>
        <v/>
      </c>
    </row>
    <row r="462">
      <c r="A462">
        <f>Skills!A10</f>
        <v/>
      </c>
      <c r="B462">
        <f>Skills!B10</f>
        <v/>
      </c>
      <c r="C462">
        <f>TRUE</f>
        <v/>
      </c>
      <c r="D462">
        <f>IF(Skills!C10=1,60+Inputs!$B$25+Inputs!$B$29,IF(Skills!C10=2,90+Inputs!$B$26+Inputs!$B$29,IF(Skills!C10=3,120+Inputs!$B$27+Inputs!$B$29,MAX(0,(Inputs!$B$3-100)*3)+Inputs!$B$28+Inputs!$B$29)))</f>
        <v/>
      </c>
      <c r="E462">
        <f>INDEX(FactorTable!$B$2:$Y$301, MATCH(ROUND(MIN(300,MAX(1,D462)),0), FactorTable!$A$2:$A$301,0), Skills!M10+1)</f>
        <v/>
      </c>
      <c r="F462">
        <f>IF(Skills!N10=TRUE,(Skills!L10/10)*(E462/1000),Skills!L10/10)+Skills!O10</f>
        <v/>
      </c>
      <c r="G462">
        <f>Calc!G10</f>
        <v/>
      </c>
      <c r="H462">
        <f>Calc!H10</f>
        <v/>
      </c>
      <c r="I462">
        <f>IF(Skills!X10&lt;&gt;"",1+(Skills!X10/10)*(Z455/1000)/100,1)</f>
        <v/>
      </c>
      <c r="J462">
        <f>((Inputs!$B$6*(1+Inputs!$B$7/100))+(((Inputs!$B$12*(1+Inputs!$B$13/100))-(Inputs!$B$12*(1+Inputs!$B$13/100)))+0.25*(Inputs!$B$14-Inputs!$B$14))*(1+Inputs!$B$7/100))*(F462/100)</f>
        <v/>
      </c>
      <c r="K462">
        <f>J462*(1+((Inputs!$B$12*(1+Inputs!$B$13/100))*0.01+Inputs!$B$14*0.0025)/100)*(1+Inputs!$B$15/100)*(1+IF(Inputs!$B$38="pvp",0,(1-Summary!$B$56)*(Inputs!$B$20+Skills!P10)+Summary!$B$56*(Inputs!$B$21+Skills!Q10))/100)*(1+Inputs!$B$16/100)*(5000/(6000+Inputs!$B$42*(1-Inputs!$B$19/100)))*(1+Inputs!$B$24/100)*(1+F475/100)*(1+IF(Inputs!$B$3&gt;=120,F478,0)/100)^5*(1+(IF(Skills!A10="BASIC_ATTACK",Inputs!$B$17,Inputs!$B$18+IF(Inputs!$B$3&gt;=125,F479*5,0)))/100)*(B482*B483*B484*I462)</f>
        <v/>
      </c>
      <c r="L462">
        <f>K462*(MIN(Inputs!$B$22+(F474-Calc!F22),Inputs!$B$23)/100+Inputs!$B$23/100)/2</f>
        <v/>
      </c>
      <c r="M462">
        <f>L462*(1+((Inputs!$B$10+1)+(F473-Calc!F21))/100)</f>
        <v/>
      </c>
      <c r="N462">
        <f>L462*(1-MIN(Inputs!$B$9+(F472-Calc!F20),100)/100)+M462*(MIN(Inputs!$B$9+(F472-Calc!F20),100)/100)</f>
        <v/>
      </c>
      <c r="O462">
        <f>IF(C462,H462*N462*IF(AND(Inputs!$B$38&lt;&gt;"pvp",Inputs!$B$43&gt;0),((Skills!G10*((R462-1)*IF(Skills!H10&gt;0,Skills!I10/Skills!H10,1)+IF(Skills!H10&gt;0,MIN(Skills!I10,MAX(0,Inputs!$B$43-((R462-1)*IF(Inputs!$B$38="pvp",15,MAX(0.1,Skills!E10-IF(Skills!F10=TRUE,Inputs!$B$32,0))))))/Skills!H10,1)))/Inputs!$B$43),G462*Q462)*IF(Inputs!$B$38="pvp",1,(1-Summary!$B$56)*(1)+Summary!$B$56*(MIN(Skills!R10,Inputs!$B$37))),0)</f>
        <v/>
      </c>
      <c r="P462">
        <f>IF(B491=0,0,O462/B491)</f>
        <v/>
      </c>
      <c r="Q462">
        <f>IFERROR(1/IF(Inputs!$B$38="pvp",15,MAX(0.1,Skills!E10-IF(Skills!F10=TRUE,Inputs!$B$32,0))),0)</f>
        <v/>
      </c>
      <c r="R462">
        <f>IF(AND(Inputs!$B$38&lt;&gt;"pvp",Inputs!$B$43&gt;0),(INT(Inputs!$B$43/IF(Inputs!$B$38="pvp",15,MAX(0.1,Skills!E10-IF(Skills!F10=TRUE,Inputs!$B$32,0))))+1),0)</f>
        <v/>
      </c>
    </row>
    <row r="463">
      <c r="A463">
        <f>Skills!A11</f>
        <v/>
      </c>
      <c r="B463">
        <f>Skills!B11</f>
        <v/>
      </c>
      <c r="C463">
        <f>TRUE</f>
        <v/>
      </c>
      <c r="D463">
        <f>IF(Skills!C11=1,60+Inputs!$B$25+Inputs!$B$29,IF(Skills!C11=2,90+Inputs!$B$26+Inputs!$B$29,IF(Skills!C11=3,120+Inputs!$B$27+Inputs!$B$29,MAX(0,(Inputs!$B$3-100)*3)+Inputs!$B$28+Inputs!$B$29)))</f>
        <v/>
      </c>
      <c r="E463">
        <f>INDEX(FactorTable!$B$2:$Y$301, MATCH(ROUND(MIN(300,MAX(1,D463)),0), FactorTable!$A$2:$A$301,0), Skills!M11+1)</f>
        <v/>
      </c>
      <c r="F463">
        <f>IF(Skills!N11=TRUE,(Skills!L11/10)*(E463/1000),Skills!L11/10)+Skills!O11</f>
        <v/>
      </c>
      <c r="G463">
        <f>Calc!G11</f>
        <v/>
      </c>
      <c r="H463">
        <f>Calc!H11</f>
        <v/>
      </c>
      <c r="I463">
        <f>IF(Skills!X11&lt;&gt;"",1+(Skills!X11/10)*(Z455/1000)/100,1)</f>
        <v/>
      </c>
      <c r="J463" t="inlineStr"/>
      <c r="K463" t="inlineStr"/>
      <c r="L463" t="inlineStr"/>
      <c r="M463" t="inlineStr"/>
      <c r="N463" t="inlineStr"/>
      <c r="O463" t="n">
        <v>0</v>
      </c>
      <c r="P463">
        <f>IF(B491=0,0,O463/B491)</f>
        <v/>
      </c>
      <c r="Q463">
        <f>IFERROR(1/IF(Inputs!$B$38="pvp",15,MAX(0.1,Skills!E11-IF(Skills!F11=TRUE,Inputs!$B$32,0))),0)</f>
        <v/>
      </c>
      <c r="R463" t="n">
        <v>0</v>
      </c>
    </row>
    <row r="464">
      <c r="A464">
        <f>Skills!A12</f>
        <v/>
      </c>
      <c r="B464">
        <f>Skills!B12</f>
        <v/>
      </c>
      <c r="C464">
        <f>TRUE</f>
        <v/>
      </c>
      <c r="D464">
        <f>IF(Skills!C12=1,60+Inputs!$B$25+Inputs!$B$29,IF(Skills!C12=2,90+Inputs!$B$26+Inputs!$B$29,IF(Skills!C12=3,120+Inputs!$B$27+Inputs!$B$29,MAX(0,(Inputs!$B$3-100)*3)+Inputs!$B$28+Inputs!$B$29)))</f>
        <v/>
      </c>
      <c r="E464">
        <f>INDEX(FactorTable!$B$2:$Y$301, MATCH(ROUND(MIN(300,MAX(1,D464)),0), FactorTable!$A$2:$A$301,0), Skills!M12+1)</f>
        <v/>
      </c>
      <c r="F464">
        <f>IF(Skills!N12=TRUE,(Skills!L12/10)*(E464/1000),Skills!L12/10)+Skills!O12</f>
        <v/>
      </c>
      <c r="G464">
        <f>Calc!G12</f>
        <v/>
      </c>
      <c r="H464">
        <f>Calc!H12</f>
        <v/>
      </c>
      <c r="I464">
        <f>IF(Skills!X12&lt;&gt;"",1+(Skills!X12/10)*(Z455/1000)/100,1)</f>
        <v/>
      </c>
      <c r="J464" t="inlineStr"/>
      <c r="K464" t="inlineStr"/>
      <c r="L464" t="inlineStr"/>
      <c r="M464" t="inlineStr"/>
      <c r="N464" t="inlineStr"/>
      <c r="O464" t="n">
        <v>0</v>
      </c>
      <c r="P464">
        <f>IF(B491=0,0,O464/B491)</f>
        <v/>
      </c>
      <c r="Q464">
        <f>IFERROR(1/IF(Inputs!$B$38="pvp",15,MAX(0.1,Skills!E12-IF(Skills!F12=TRUE,Inputs!$B$32,0))),0)</f>
        <v/>
      </c>
      <c r="R464" t="n">
        <v>0</v>
      </c>
    </row>
    <row r="465">
      <c r="A465">
        <f>Skills!A13</f>
        <v/>
      </c>
      <c r="B465">
        <f>Skills!B13</f>
        <v/>
      </c>
      <c r="C465">
        <f>Inputs!$B$3&gt;=105</f>
        <v/>
      </c>
      <c r="D465">
        <f>IF(Skills!C13=1,60+Inputs!$B$25+Inputs!$B$29,IF(Skills!C13=2,90+Inputs!$B$26+Inputs!$B$29,IF(Skills!C13=3,120+Inputs!$B$27+Inputs!$B$29,MAX(0,(Inputs!$B$3-100)*3)+Inputs!$B$28+Inputs!$B$29)))</f>
        <v/>
      </c>
      <c r="E465">
        <f>INDEX(FactorTable!$B$2:$Y$301, MATCH(ROUND(MIN(300,MAX(1,D465)),0), FactorTable!$A$2:$A$301,0), Skills!M13+1)</f>
        <v/>
      </c>
      <c r="F465">
        <f>IF(Skills!N13=TRUE,(Skills!L13/10)*(E465/1000),Skills!L13/10)+Skills!O13</f>
        <v/>
      </c>
      <c r="G465">
        <f>Calc!G13</f>
        <v/>
      </c>
      <c r="H465">
        <f>Calc!H13</f>
        <v/>
      </c>
      <c r="I465">
        <f>IF(Skills!X13&lt;&gt;"",1+(Skills!X13/10)*(Z455/1000)/100,1)</f>
        <v/>
      </c>
      <c r="J465">
        <f>((Inputs!$B$6*(1+Inputs!$B$7/100))+(((Inputs!$B$12*(1+Inputs!$B$13/100))-(Inputs!$B$12*(1+Inputs!$B$13/100)))+0.25*(Inputs!$B$14-Inputs!$B$14))*(1+Inputs!$B$7/100))*(F465/100)</f>
        <v/>
      </c>
      <c r="K465">
        <f>J465*(1+((Inputs!$B$12*(1+Inputs!$B$13/100))*0.01+Inputs!$B$14*0.0025)/100)*(1+Inputs!$B$15/100)*(1+IF(Inputs!$B$38="pvp",0,(1-Summary!$B$56)*(Inputs!$B$20+Skills!P13)+Summary!$B$56*(Inputs!$B$21+Skills!Q13))/100)*(1+Inputs!$B$16/100)*(5000/(6000+Inputs!$B$42*(1-Inputs!$B$19/100)))*(1+Inputs!$B$24/100)*(1+F475/100)*(1+IF(Inputs!$B$3&gt;=120,F478,0)/100)^5*(1+(IF(Skills!A13="BASIC_ATTACK",Inputs!$B$17,Inputs!$B$18+IF(Inputs!$B$3&gt;=125,F479*5,0)))/100)*(B482*B483*B484*I465)</f>
        <v/>
      </c>
      <c r="L465">
        <f>K465*(MIN(Inputs!$B$22+(F474-Calc!F22),Inputs!$B$23)/100+Inputs!$B$23/100)/2</f>
        <v/>
      </c>
      <c r="M465">
        <f>L465*(1+((Inputs!$B$10+1)+(F473-Calc!F21))/100)</f>
        <v/>
      </c>
      <c r="N465">
        <f>L465*(1-MIN(Inputs!$B$9+(F472-Calc!F20),100)/100)+M465*(MIN(Inputs!$B$9+(F472-Calc!F20),100)/100)</f>
        <v/>
      </c>
      <c r="O465">
        <f>IF(C465,H465*N465*IF(AND(Inputs!$B$38&lt;&gt;"pvp",Inputs!$B$43&gt;0),((Skills!G13*((R465-1)*IF(Skills!H13&gt;0,Skills!I13/Skills!H13,1)+IF(Skills!H13&gt;0,MIN(Skills!I13,MAX(0,Inputs!$B$43-((R465-1)*IF(Inputs!$B$38="pvp",15,MAX(0.1,Skills!E13-IF(Skills!F13=TRUE,Inputs!$B$32,0))))))/Skills!H13,1)))/Inputs!$B$43),G465*Q465)*IF(Inputs!$B$38="pvp",1,(1-Summary!$B$56)*(1)+Summary!$B$56*(MIN(Skills!R13,Inputs!$B$37))),0)</f>
        <v/>
      </c>
      <c r="P465">
        <f>IF(B491=0,0,O465/B491)</f>
        <v/>
      </c>
      <c r="Q465">
        <f>IFERROR(1/IF(Inputs!$B$38="pvp",15,MAX(0.1,Skills!E13-IF(Skills!F13=TRUE,Inputs!$B$32,0))),0)</f>
        <v/>
      </c>
      <c r="R465">
        <f>IF(AND(Inputs!$B$38&lt;&gt;"pvp",Inputs!$B$43&gt;0),(INT(Inputs!$B$43/IF(Inputs!$B$38="pvp",15,MAX(0.1,Skills!E13-IF(Skills!F13=TRUE,Inputs!$B$32,0))))+1),0)</f>
        <v/>
      </c>
    </row>
    <row r="466">
      <c r="A466">
        <f>Skills!A14</f>
        <v/>
      </c>
      <c r="B466">
        <f>Skills!B14</f>
        <v/>
      </c>
      <c r="C466">
        <f>Inputs!$B$3&gt;=113</f>
        <v/>
      </c>
      <c r="D466">
        <f>IF(Skills!C14=1,60+Inputs!$B$25+Inputs!$B$29,IF(Skills!C14=2,90+Inputs!$B$26+Inputs!$B$29,IF(Skills!C14=3,120+Inputs!$B$27+Inputs!$B$29,MAX(0,(Inputs!$B$3-100)*3)+Inputs!$B$28+Inputs!$B$29)))</f>
        <v/>
      </c>
      <c r="E466">
        <f>INDEX(FactorTable!$B$2:$Y$301, MATCH(ROUND(MIN(300,MAX(1,D466)),0), FactorTable!$A$2:$A$301,0), Skills!M14+1)</f>
        <v/>
      </c>
      <c r="F466">
        <f>IF(Skills!N14=TRUE,(Skills!L14/10)*(E466/1000),Skills!L14/10)+Skills!O14</f>
        <v/>
      </c>
      <c r="G466">
        <f>Calc!G14</f>
        <v/>
      </c>
      <c r="H466">
        <f>Calc!H14</f>
        <v/>
      </c>
      <c r="I466">
        <f>IF(Skills!X14&lt;&gt;"",1+(Skills!X14/10)*(Z455/1000)/100,1)</f>
        <v/>
      </c>
      <c r="J466">
        <f>((Inputs!$B$6*(1+Inputs!$B$7/100))+(((Inputs!$B$12*(1+Inputs!$B$13/100))-(Inputs!$B$12*(1+Inputs!$B$13/100)))+0.25*(Inputs!$B$14-Inputs!$B$14))*(1+Inputs!$B$7/100))*(F466/100)</f>
        <v/>
      </c>
      <c r="K466">
        <f>J466*(1+((Inputs!$B$12*(1+Inputs!$B$13/100))*0.01+Inputs!$B$14*0.0025)/100)*(1+Inputs!$B$15/100)*(1+IF(Inputs!$B$38="pvp",0,(1-Summary!$B$56)*(Inputs!$B$20+Skills!P14)+Summary!$B$56*(Inputs!$B$21+Skills!Q14))/100)*(1+Inputs!$B$16/100)*(5000/(6000+Inputs!$B$42*(1-Inputs!$B$19/100)))*(1+Inputs!$B$24/100)*(1+F475/100)*(1+IF(Inputs!$B$3&gt;=120,F478,0)/100)^5*(1+(IF(Skills!A14="BASIC_ATTACK",Inputs!$B$17,Inputs!$B$18+IF(Inputs!$B$3&gt;=125,F479*5,0)))/100)*(B482*B483*B484*I466)</f>
        <v/>
      </c>
      <c r="L466">
        <f>K466*(MIN(Inputs!$B$22+(F474-Calc!F22),Inputs!$B$23)/100+Inputs!$B$23/100)/2</f>
        <v/>
      </c>
      <c r="M466">
        <f>L466*(1+((Inputs!$B$10+1)+(F473-Calc!F21))/100)</f>
        <v/>
      </c>
      <c r="N466">
        <f>L466*(1-MIN(Inputs!$B$9+(F472-Calc!F20),100)/100)+M466*(MIN(Inputs!$B$9+(F472-Calc!F20),100)/100)</f>
        <v/>
      </c>
      <c r="O466">
        <f>IF(C466,(H466*B489)/(1+Skills!H14*H466*B489)*N466*IF(Inputs!$B$38="pvp",1,(1-Summary!$B$56)*(1)+Summary!$B$56*(MIN(Skills!R14,Inputs!$B$37))),0)</f>
        <v/>
      </c>
      <c r="P466">
        <f>IF(B491=0,0,O466/B491)</f>
        <v/>
      </c>
      <c r="Q466">
        <f>IFERROR(1/IF(Inputs!$B$38="pvp",15,MAX(0.1,Skills!E14-IF(Skills!F14=TRUE,Inputs!$B$32,0))),0)</f>
        <v/>
      </c>
      <c r="R466" t="n">
        <v>0</v>
      </c>
    </row>
    <row r="467">
      <c r="A467">
        <f>Skills!A15</f>
        <v/>
      </c>
      <c r="B467">
        <f>Skills!B15</f>
        <v/>
      </c>
      <c r="C467">
        <f>Inputs!$B$3&gt;=107</f>
        <v/>
      </c>
      <c r="D467">
        <f>IF(Skills!C15=1,60+Inputs!$B$25+Inputs!$B$29,IF(Skills!C15=2,90+Inputs!$B$26+Inputs!$B$29,IF(Skills!C15=3,120+Inputs!$B$27+Inputs!$B$29,MAX(0,(Inputs!$B$3-100)*3)+Inputs!$B$28+Inputs!$B$29)))</f>
        <v/>
      </c>
      <c r="E467">
        <f>INDEX(FactorTable!$B$2:$Y$301, MATCH(ROUND(MIN(300,MAX(1,D467)),0), FactorTable!$A$2:$A$301,0), Skills!M15+1)</f>
        <v/>
      </c>
      <c r="F467">
        <f>IF(Skills!N15=TRUE,(Skills!L15/10)*(E467/1000),Skills!L15/10)+Skills!O15</f>
        <v/>
      </c>
      <c r="G467">
        <f>Calc!G15</f>
        <v/>
      </c>
      <c r="H467">
        <f>Calc!H15</f>
        <v/>
      </c>
      <c r="I467">
        <f>IF(Skills!X15&lt;&gt;"",1+(Skills!X15/10)*(Z455/1000)/100,1)</f>
        <v/>
      </c>
      <c r="J467">
        <f>((Inputs!$B$6*(1+Inputs!$B$7/100))+(((Inputs!$B$12*(1+Inputs!$B$13/100))-(Inputs!$B$12*(1+Inputs!$B$13/100)))+0.25*(Inputs!$B$14-Inputs!$B$14))*(1+Inputs!$B$7/100))*(F467/100)</f>
        <v/>
      </c>
      <c r="K467">
        <f>J467*(1+((Inputs!$B$12*(1+Inputs!$B$13/100))*0.01+Inputs!$B$14*0.0025)/100)*(1+Inputs!$B$15/100)*(1+IF(Inputs!$B$38="pvp",0,(1-Summary!$B$56)*(Inputs!$B$20+Skills!P15)+Summary!$B$56*(Inputs!$B$21+Skills!Q15))/100)*(1+Inputs!$B$16/100)*(5000/(6000+Inputs!$B$42*(1-Inputs!$B$19/100)))*(1+Inputs!$B$24/100)*(1+F475/100)*(1+IF(Inputs!$B$3&gt;=120,F478,0)/100)^5*(1+(IF(Skills!A15="BASIC_ATTACK",Inputs!$B$17,Inputs!$B$18+IF(Inputs!$B$3&gt;=125,F479*5,0)))/100)*(B482*B483*B484*I467)</f>
        <v/>
      </c>
      <c r="L467">
        <f>K467*(MIN(Inputs!$B$22+(F474-Calc!F22),Inputs!$B$23)/100+Inputs!$B$23/100)/2</f>
        <v/>
      </c>
      <c r="M467">
        <f>L467*(1+((Inputs!$B$10+1)+(F473-Calc!F21))/100)</f>
        <v/>
      </c>
      <c r="N467">
        <f>L467*(1-MIN(Inputs!$B$9+(F472-Calc!F20),100)/100)+M467*(MIN(Inputs!$B$9+(F472-Calc!F20),100)/100)</f>
        <v/>
      </c>
      <c r="O467">
        <f>IF(C467,H467*N467*IF(AND(Inputs!$B$38&lt;&gt;"pvp",Inputs!$B$43&gt;0),((Skills!G15*((R467-1)*IF(Skills!H15&gt;0,Skills!I15/Skills!H15,1)+IF(Skills!H15&gt;0,MIN(Skills!I15,MAX(0,Inputs!$B$43-((R467-1)*IF(Inputs!$B$38="pvp",15,MAX(0.1,Skills!E15-IF(Skills!F15=TRUE,Inputs!$B$32,0))))))/Skills!H15,1)))/Inputs!$B$43),G467*Q467)*IF(Inputs!$B$38="pvp",1,(1-Summary!$B$56)*(1)+Summary!$B$56*(MIN(Skills!R15,Inputs!$B$37))),0)</f>
        <v/>
      </c>
      <c r="P467">
        <f>IF(B491=0,0,O467/B491)</f>
        <v/>
      </c>
      <c r="Q467">
        <f>IFERROR(1/IF(Inputs!$B$38="pvp",15,MAX(0.1,Skills!E15-IF(Skills!F15=TRUE,Inputs!$B$32,0))),0)</f>
        <v/>
      </c>
      <c r="R467">
        <f>IF(AND(Inputs!$B$38&lt;&gt;"pvp",Inputs!$B$43&gt;0),(INT(Inputs!$B$43/IF(Inputs!$B$38="pvp",15,MAX(0.1,Skills!E15-IF(Skills!F15=TRUE,Inputs!$B$32,0))))+1),0)</f>
        <v/>
      </c>
    </row>
    <row r="468">
      <c r="A468">
        <f>Skills!A16</f>
        <v/>
      </c>
      <c r="B468">
        <f>Skills!B16</f>
        <v/>
      </c>
      <c r="C468">
        <f>Inputs!$B$3&gt;=107</f>
        <v/>
      </c>
      <c r="D468">
        <f>IF(Skills!C16=1,60+Inputs!$B$25+Inputs!$B$29,IF(Skills!C16=2,90+Inputs!$B$26+Inputs!$B$29,IF(Skills!C16=3,120+Inputs!$B$27+Inputs!$B$29,MAX(0,(Inputs!$B$3-100)*3)+Inputs!$B$28+Inputs!$B$29)))</f>
        <v/>
      </c>
      <c r="E468">
        <f>INDEX(FactorTable!$B$2:$Y$301, MATCH(ROUND(MIN(300,MAX(1,D468)),0), FactorTable!$A$2:$A$301,0), Skills!M16+1)</f>
        <v/>
      </c>
      <c r="F468">
        <f>IF(Skills!N16=TRUE,(Skills!L16/10)*(E468/1000),Skills!L16/10)+Skills!O16</f>
        <v/>
      </c>
      <c r="G468">
        <f>Calc!G16</f>
        <v/>
      </c>
      <c r="H468">
        <f>Calc!H16</f>
        <v/>
      </c>
      <c r="I468">
        <f>IF(Skills!X16&lt;&gt;"",1+(Skills!X16/10)*(Z455/1000)/100,1)</f>
        <v/>
      </c>
      <c r="J468">
        <f>((Inputs!$B$6*(1+Inputs!$B$7/100))+(((Inputs!$B$12*(1+Inputs!$B$13/100))-(Inputs!$B$12*(1+Inputs!$B$13/100)))+0.25*(Inputs!$B$14-Inputs!$B$14))*(1+Inputs!$B$7/100))*(F468/100)</f>
        <v/>
      </c>
      <c r="K468">
        <f>J468*(1+((Inputs!$B$12*(1+Inputs!$B$13/100))*0.01+Inputs!$B$14*0.0025)/100)*(1+Inputs!$B$15/100)*(1+IF(Inputs!$B$38="pvp",0,(1-Summary!$B$56)*(Inputs!$B$20+Skills!P16)+Summary!$B$56*(Inputs!$B$21+Skills!Q16))/100)*(1+Inputs!$B$16/100)*(5000/(6000+Inputs!$B$42*(1-Inputs!$B$19/100)))*(1+Inputs!$B$24/100)*(1+F475/100)*(1+IF(Inputs!$B$3&gt;=120,F478,0)/100)^5*(1+(IF(Skills!A16="BASIC_ATTACK",Inputs!$B$17,Inputs!$B$18+IF(Inputs!$B$3&gt;=125,F479*5,0)))/100)*(B482*B483*B484*I468)</f>
        <v/>
      </c>
      <c r="L468">
        <f>K468*(MIN(Inputs!$B$22+(F474-Calc!F22),Inputs!$B$23)/100+Inputs!$B$23/100)/2</f>
        <v/>
      </c>
      <c r="M468">
        <f>L468*(1+((Inputs!$B$10+1)+(F473-Calc!F21))/100)</f>
        <v/>
      </c>
      <c r="N468">
        <f>L468*(1-MIN(Inputs!$B$9+(F472-Calc!F20),100)/100)+M468*(MIN(Inputs!$B$9+(F472-Calc!F20),100)/100)</f>
        <v/>
      </c>
      <c r="O468">
        <f>IF(C468,H468*N468*IF(AND(Inputs!$B$38&lt;&gt;"pvp",Inputs!$B$43&gt;0),((Skills!G16*((R468-1)*IF(Skills!H16&gt;0,Skills!I16/Skills!H16,1)+IF(Skills!H16&gt;0,MIN(Skills!I16,MAX(0,Inputs!$B$43-((R468-1)*IF(Inputs!$B$38="pvp",15,MAX(0.1,Skills!E16-IF(Skills!F16=TRUE,Inputs!$B$32,0))))))/Skills!H16,1)))/Inputs!$B$43),G468*Q468)*(1+IF(Inputs!$B$3&gt;=126,0.05*(B488+Q465+(H466*B489)/(1+Skills!H14*H466*B489)+Q476),0)*Skills!E15)*IF(Inputs!$B$38="pvp",1,(1-Summary!$B$56)*(1)+Summary!$B$56*(MIN(Skills!R16,Inputs!$B$37))),0)</f>
        <v/>
      </c>
      <c r="P468">
        <f>IF(B491=0,0,O468/B491)</f>
        <v/>
      </c>
      <c r="Q468">
        <f>IFERROR(1/IF(Inputs!$B$38="pvp",15,MAX(0.1,Skills!E16-IF(Skills!F16=TRUE,Inputs!$B$32,0))),0)</f>
        <v/>
      </c>
      <c r="R468">
        <f>IF(AND(Inputs!$B$38&lt;&gt;"pvp",Inputs!$B$43&gt;0),(INT(Inputs!$B$43/IF(Inputs!$B$38="pvp",15,MAX(0.1,Skills!E16-IF(Skills!F16=TRUE,Inputs!$B$32,0))))+1),0)</f>
        <v/>
      </c>
    </row>
    <row r="469">
      <c r="A469">
        <f>Skills!A17</f>
        <v/>
      </c>
      <c r="B469">
        <f>Skills!B17</f>
        <v/>
      </c>
      <c r="C469">
        <f>TRUE</f>
        <v/>
      </c>
      <c r="D469">
        <f>IF(Skills!C17=1,60+Inputs!$B$25+Inputs!$B$29,IF(Skills!C17=2,90+Inputs!$B$26+Inputs!$B$29,IF(Skills!C17=3,120+Inputs!$B$27+Inputs!$B$29,MAX(0,(Inputs!$B$3-100)*3)+Inputs!$B$28+Inputs!$B$29)))</f>
        <v/>
      </c>
      <c r="E469">
        <f>INDEX(FactorTable!$B$2:$Y$301, MATCH(ROUND(MIN(300,MAX(1,D469)),0), FactorTable!$A$2:$A$301,0), Skills!M17+1)</f>
        <v/>
      </c>
      <c r="F469">
        <f>IF(Skills!N17=TRUE,(Skills!L17/10)*(E469/1000),Skills!L17/10)+Skills!O17</f>
        <v/>
      </c>
      <c r="G469">
        <f>Calc!G17</f>
        <v/>
      </c>
      <c r="H469">
        <f>Calc!H17</f>
        <v/>
      </c>
      <c r="I469">
        <f>IF(Skills!X17&lt;&gt;"",1+(Skills!X17/10)*(Z455/1000)/100,1)</f>
        <v/>
      </c>
      <c r="J469" t="inlineStr"/>
      <c r="K469" t="inlineStr"/>
      <c r="L469" t="inlineStr"/>
      <c r="M469" t="inlineStr"/>
      <c r="N469" t="inlineStr"/>
      <c r="O469" t="n">
        <v>0</v>
      </c>
      <c r="P469">
        <f>IF(B491=0,0,O469/B491)</f>
        <v/>
      </c>
      <c r="Q469">
        <f>IFERROR(1/IF(Inputs!$B$38="pvp",15,MAX(0.1,Skills!E17-IF(Skills!F17=TRUE,Inputs!$B$32,0))),0)</f>
        <v/>
      </c>
      <c r="R469">
        <f>IF(AND(Inputs!$B$38&lt;&gt;"pvp",Inputs!$B$43&gt;0),(INT(Inputs!$B$43/IF(Inputs!$B$38="pvp",15,MAX(0.1,Skills!E17-IF(Skills!F17=TRUE,Inputs!$B$32,0))))+1),0)</f>
        <v/>
      </c>
    </row>
    <row r="470">
      <c r="A470">
        <f>Skills!A18</f>
        <v/>
      </c>
      <c r="B470">
        <f>Skills!B18</f>
        <v/>
      </c>
      <c r="C470">
        <f>TRUE</f>
        <v/>
      </c>
      <c r="D470">
        <f>IF(Skills!C18=1,60+Inputs!$B$25+Inputs!$B$29,IF(Skills!C18=2,90+Inputs!$B$26+Inputs!$B$29,IF(Skills!C18=3,120+Inputs!$B$27+Inputs!$B$29,MAX(0,(Inputs!$B$3-100)*3)+Inputs!$B$28+Inputs!$B$29)))</f>
        <v/>
      </c>
      <c r="E470">
        <f>INDEX(FactorTable!$B$2:$Y$301, MATCH(ROUND(MIN(300,MAX(1,D470)),0), FactorTable!$A$2:$A$301,0), Skills!M18+1)</f>
        <v/>
      </c>
      <c r="F470">
        <f>IF(Skills!N18=TRUE,(Skills!L18/10)*(E470/1000),Skills!L18/10)+Skills!O18</f>
        <v/>
      </c>
      <c r="G470">
        <f>Calc!G18</f>
        <v/>
      </c>
      <c r="H470">
        <f>Calc!H18</f>
        <v/>
      </c>
      <c r="I470">
        <f>IF(Skills!X18&lt;&gt;"",1+(Skills!X18/10)*(Z455/1000)/100,1)</f>
        <v/>
      </c>
      <c r="J470" t="inlineStr"/>
      <c r="K470" t="inlineStr"/>
      <c r="L470" t="inlineStr"/>
      <c r="M470" t="inlineStr"/>
      <c r="N470" t="inlineStr"/>
      <c r="O470" t="n">
        <v>0</v>
      </c>
      <c r="P470">
        <f>IF(B491=0,0,O470/B491)</f>
        <v/>
      </c>
      <c r="Q470">
        <f>IFERROR(1/IF(Inputs!$B$38="pvp",15,MAX(0.1,Skills!E18-IF(Skills!F18=TRUE,Inputs!$B$32,0))),0)</f>
        <v/>
      </c>
      <c r="R470">
        <f>IF(AND(Inputs!$B$38&lt;&gt;"pvp",Inputs!$B$43&gt;0),(INT(Inputs!$B$43/IF(Inputs!$B$38="pvp",15,MAX(0.1,Skills!E18-IF(Skills!F18=TRUE,Inputs!$B$32,0))))+1),0)</f>
        <v/>
      </c>
    </row>
    <row r="471">
      <c r="A471">
        <f>Skills!A19</f>
        <v/>
      </c>
      <c r="B471">
        <f>Skills!B19</f>
        <v/>
      </c>
      <c r="C471">
        <f>Inputs!$B$3&gt;=110</f>
        <v/>
      </c>
      <c r="D471">
        <f>IF(Skills!C19=1,60+Inputs!$B$25+Inputs!$B$29,IF(Skills!C19=2,90+Inputs!$B$26+Inputs!$B$29,IF(Skills!C19=3,120+Inputs!$B$27+Inputs!$B$29,MAX(0,(Inputs!$B$3-100)*3)+Inputs!$B$28+Inputs!$B$29)))</f>
        <v/>
      </c>
      <c r="E471">
        <f>INDEX(FactorTable!$B$2:$Y$301, MATCH(ROUND(MIN(300,MAX(1,D471)),0), FactorTable!$A$2:$A$301,0), Skills!M19+1)</f>
        <v/>
      </c>
      <c r="F471">
        <f>IF(Skills!N19=TRUE,(Skills!L19/10)*(E471/1000),Skills!L19/10)+Skills!O19</f>
        <v/>
      </c>
      <c r="G471">
        <f>Calc!G19</f>
        <v/>
      </c>
      <c r="H471">
        <f>Calc!H19</f>
        <v/>
      </c>
      <c r="I471">
        <f>IF(Skills!X19&lt;&gt;"",1+(Skills!X19/10)*(Z455/1000)/100,1)</f>
        <v/>
      </c>
      <c r="J471" t="inlineStr"/>
      <c r="K471" t="inlineStr"/>
      <c r="L471" t="inlineStr"/>
      <c r="M471" t="inlineStr"/>
      <c r="N471" t="inlineStr"/>
      <c r="O471" t="n">
        <v>0</v>
      </c>
      <c r="P471">
        <f>IF(B491=0,0,O471/B491)</f>
        <v/>
      </c>
      <c r="Q471">
        <f>IFERROR(1/IF(Inputs!$B$38="pvp",15,MAX(0.1,Skills!E19-IF(Skills!F19=TRUE,Inputs!$B$32,0))),0)</f>
        <v/>
      </c>
      <c r="R471">
        <f>IF(AND(Inputs!$B$38&lt;&gt;"pvp",Inputs!$B$43&gt;0),(INT(Inputs!$B$43/IF(Inputs!$B$38="pvp",15,MAX(0.1,Skills!E19-IF(Skills!F19=TRUE,Inputs!$B$32,0))))+1),0)</f>
        <v/>
      </c>
    </row>
    <row r="472">
      <c r="A472">
        <f>Skills!A20</f>
        <v/>
      </c>
      <c r="B472">
        <f>Skills!B20</f>
        <v/>
      </c>
      <c r="C472">
        <f>TRUE</f>
        <v/>
      </c>
      <c r="D472">
        <f>IF(Skills!C20=1,60+Inputs!$B$25+Inputs!$B$29,IF(Skills!C20=2,90+Inputs!$B$26+Inputs!$B$29,IF(Skills!C20=3,120+Inputs!$B$27+Inputs!$B$29,MAX(0,(Inputs!$B$3-100)*3)+Inputs!$B$28+Inputs!$B$29)))</f>
        <v/>
      </c>
      <c r="E472">
        <f>INDEX(FactorTable!$B$2:$Y$301, MATCH(ROUND(MIN(300,MAX(1,D472)),0), FactorTable!$A$2:$A$301,0), Skills!M20+1)</f>
        <v/>
      </c>
      <c r="F472">
        <f>IF(Skills!N20=TRUE,(Skills!L20/10)*(E472/1000),Skills!L20/10)+Skills!O20</f>
        <v/>
      </c>
      <c r="G472">
        <f>Calc!G20</f>
        <v/>
      </c>
      <c r="H472">
        <f>Calc!H20</f>
        <v/>
      </c>
      <c r="I472">
        <f>IF(Skills!X20&lt;&gt;"",1+(Skills!X20/10)*(Z455/1000)/100,1)</f>
        <v/>
      </c>
      <c r="J472" t="inlineStr"/>
      <c r="K472" t="inlineStr"/>
      <c r="L472" t="inlineStr"/>
      <c r="M472" t="inlineStr"/>
      <c r="N472" t="inlineStr"/>
      <c r="O472" t="n">
        <v>0</v>
      </c>
      <c r="P472">
        <f>IF(B491=0,0,O472/B491)</f>
        <v/>
      </c>
      <c r="Q472">
        <f>IFERROR(1/IF(Inputs!$B$38="pvp",15,MAX(0.1,Skills!E20-IF(Skills!F20=TRUE,Inputs!$B$32,0))),0)</f>
        <v/>
      </c>
      <c r="R472" t="n">
        <v>0</v>
      </c>
    </row>
    <row r="473">
      <c r="A473">
        <f>Skills!A21</f>
        <v/>
      </c>
      <c r="B473">
        <f>Skills!B21</f>
        <v/>
      </c>
      <c r="C473">
        <f>TRUE</f>
        <v/>
      </c>
      <c r="D473">
        <f>IF(Skills!C21=1,60+Inputs!$B$25+Inputs!$B$29,IF(Skills!C21=2,90+Inputs!$B$26+Inputs!$B$29,IF(Skills!C21=3,120+Inputs!$B$27+Inputs!$B$29,MAX(0,(Inputs!$B$3-100)*3)+Inputs!$B$28+Inputs!$B$29)))</f>
        <v/>
      </c>
      <c r="E473">
        <f>INDEX(FactorTable!$B$2:$Y$301, MATCH(ROUND(MIN(300,MAX(1,D473)),0), FactorTable!$A$2:$A$301,0), Skills!M21+1)</f>
        <v/>
      </c>
      <c r="F473">
        <f>IF(Skills!N21=TRUE,(Skills!L21/10)*(E473/1000),Skills!L21/10)+Skills!O21</f>
        <v/>
      </c>
      <c r="G473">
        <f>Calc!G21</f>
        <v/>
      </c>
      <c r="H473">
        <f>Calc!H21</f>
        <v/>
      </c>
      <c r="I473">
        <f>IF(Skills!X21&lt;&gt;"",1+(Skills!X21/10)*(Z455/1000)/100,1)</f>
        <v/>
      </c>
      <c r="J473" t="inlineStr"/>
      <c r="K473" t="inlineStr"/>
      <c r="L473" t="inlineStr"/>
      <c r="M473" t="inlineStr"/>
      <c r="N473" t="inlineStr"/>
      <c r="O473" t="n">
        <v>0</v>
      </c>
      <c r="P473">
        <f>IF(B491=0,0,O473/B491)</f>
        <v/>
      </c>
      <c r="Q473">
        <f>IFERROR(1/IF(Inputs!$B$38="pvp",15,MAX(0.1,Skills!E21-IF(Skills!F21=TRUE,Inputs!$B$32,0))),0)</f>
        <v/>
      </c>
      <c r="R473" t="n">
        <v>0</v>
      </c>
    </row>
    <row r="474">
      <c r="A474">
        <f>Skills!A22</f>
        <v/>
      </c>
      <c r="B474">
        <f>Skills!B22</f>
        <v/>
      </c>
      <c r="C474">
        <f>TRUE</f>
        <v/>
      </c>
      <c r="D474">
        <f>IF(Skills!C22=1,60+Inputs!$B$25+Inputs!$B$29,IF(Skills!C22=2,90+Inputs!$B$26+Inputs!$B$29,IF(Skills!C22=3,120+Inputs!$B$27+Inputs!$B$29,MAX(0,(Inputs!$B$3-100)*3)+Inputs!$B$28+Inputs!$B$29)))</f>
        <v/>
      </c>
      <c r="E474">
        <f>INDEX(FactorTable!$B$2:$Y$301, MATCH(ROUND(MIN(300,MAX(1,D474)),0), FactorTable!$A$2:$A$301,0), Skills!M22+1)</f>
        <v/>
      </c>
      <c r="F474">
        <f>IF(Skills!N22=TRUE,(Skills!L22/10)*(E474/1000),Skills!L22/10)+Skills!O22</f>
        <v/>
      </c>
      <c r="G474">
        <f>Calc!G22</f>
        <v/>
      </c>
      <c r="H474">
        <f>Calc!H22</f>
        <v/>
      </c>
      <c r="I474">
        <f>IF(Skills!X22&lt;&gt;"",1+(Skills!X22/10)*(Z455/1000)/100,1)</f>
        <v/>
      </c>
      <c r="J474" t="inlineStr"/>
      <c r="K474" t="inlineStr"/>
      <c r="L474" t="inlineStr"/>
      <c r="M474" t="inlineStr"/>
      <c r="N474" t="inlineStr"/>
      <c r="O474" t="n">
        <v>0</v>
      </c>
      <c r="P474">
        <f>IF(B491=0,0,O474/B491)</f>
        <v/>
      </c>
      <c r="Q474">
        <f>IFERROR(1/IF(Inputs!$B$38="pvp",15,MAX(0.1,Skills!E22-IF(Skills!F22=TRUE,Inputs!$B$32,0))),0)</f>
        <v/>
      </c>
      <c r="R474" t="n">
        <v>0</v>
      </c>
    </row>
    <row r="475">
      <c r="A475">
        <f>Skills!A23</f>
        <v/>
      </c>
      <c r="B475">
        <f>Skills!B23</f>
        <v/>
      </c>
      <c r="C475">
        <f>TRUE</f>
        <v/>
      </c>
      <c r="D475">
        <f>IF(Skills!C23=1,60+Inputs!$B$25+Inputs!$B$29,IF(Skills!C23=2,90+Inputs!$B$26+Inputs!$B$29,IF(Skills!C23=3,120+Inputs!$B$27+Inputs!$B$29,MAX(0,(Inputs!$B$3-100)*3)+Inputs!$B$28+Inputs!$B$29)))</f>
        <v/>
      </c>
      <c r="E475">
        <f>INDEX(FactorTable!$B$2:$Y$301, MATCH(ROUND(MIN(300,MAX(1,D475)),0), FactorTable!$A$2:$A$301,0), Skills!M23+1)</f>
        <v/>
      </c>
      <c r="F475">
        <f>IF(Skills!N23=TRUE,(Skills!L23/10)*(E475/1000),Skills!L23/10)+Skills!O23</f>
        <v/>
      </c>
      <c r="G475">
        <f>Calc!G23</f>
        <v/>
      </c>
      <c r="H475">
        <f>Calc!H23</f>
        <v/>
      </c>
      <c r="I475">
        <f>IF(Skills!X23&lt;&gt;"",1+(Skills!X23/10)*(Z455/1000)/100,1)</f>
        <v/>
      </c>
      <c r="J475" t="inlineStr"/>
      <c r="K475" t="inlineStr"/>
      <c r="L475" t="inlineStr"/>
      <c r="M475" t="inlineStr"/>
      <c r="N475" t="inlineStr"/>
      <c r="O475" t="n">
        <v>0</v>
      </c>
      <c r="P475">
        <f>IF(B491=0,0,O475/B491)</f>
        <v/>
      </c>
      <c r="Q475">
        <f>IFERROR(1/IF(Inputs!$B$38="pvp",15,MAX(0.1,Skills!E23-IF(Skills!F23=TRUE,Inputs!$B$32,0))),0)</f>
        <v/>
      </c>
      <c r="R475" t="n">
        <v>0</v>
      </c>
    </row>
    <row r="476">
      <c r="A476">
        <f>Skills!A24</f>
        <v/>
      </c>
      <c r="B476">
        <f>Skills!B24</f>
        <v/>
      </c>
      <c r="C476">
        <f>Inputs!$B$3&gt;=115</f>
        <v/>
      </c>
      <c r="D476">
        <f>IF(Skills!C24=1,60+Inputs!$B$25+Inputs!$B$29,IF(Skills!C24=2,90+Inputs!$B$26+Inputs!$B$29,IF(Skills!C24=3,120+Inputs!$B$27+Inputs!$B$29,MAX(0,(Inputs!$B$3-100)*3)+Inputs!$B$28+Inputs!$B$29)))</f>
        <v/>
      </c>
      <c r="E476">
        <f>INDEX(FactorTable!$B$2:$Y$301, MATCH(ROUND(MIN(300,MAX(1,D476)),0), FactorTable!$A$2:$A$301,0), Skills!M24+1)</f>
        <v/>
      </c>
      <c r="F476">
        <f>IF(Skills!N24=TRUE,(Skills!L24/10)*(E476/1000),Skills!L24/10)+Skills!O24</f>
        <v/>
      </c>
      <c r="G476">
        <f>Calc!G24</f>
        <v/>
      </c>
      <c r="H476">
        <f>Calc!H24</f>
        <v/>
      </c>
      <c r="I476">
        <f>IF(Skills!X24&lt;&gt;"",1+(Skills!X24/10)*(Z455/1000)/100,1)</f>
        <v/>
      </c>
      <c r="J476">
        <f>((Inputs!$B$6*(1+Inputs!$B$7/100))+(((Inputs!$B$12*(1+Inputs!$B$13/100))-(Inputs!$B$12*(1+Inputs!$B$13/100)))+0.25*(Inputs!$B$14-Inputs!$B$14))*(1+Inputs!$B$7/100))*(F476/100)</f>
        <v/>
      </c>
      <c r="K476">
        <f>J476*(1+((Inputs!$B$12*(1+Inputs!$B$13/100))*0.01+Inputs!$B$14*0.0025)/100)*(1+Inputs!$B$15/100)*(1+IF(Inputs!$B$38="pvp",0,(1-Summary!$B$56)*(Inputs!$B$20+Skills!P24)+Summary!$B$56*(Inputs!$B$21+Skills!Q24))/100)*(1+Inputs!$B$16/100)*(5000/(6000+Inputs!$B$42*(1-Inputs!$B$19/100)))*(1+Inputs!$B$24/100)*(1+F475/100)*(1+IF(Inputs!$B$3&gt;=120,F478,0)/100)^5*(1+(IF(Skills!A24="BASIC_ATTACK",Inputs!$B$17,Inputs!$B$18+IF(Inputs!$B$3&gt;=125,F479*5,0)))/100)*(B482*B483*B484*I476)</f>
        <v/>
      </c>
      <c r="L476">
        <f>K476*(MIN(Inputs!$B$22+(F474-Calc!F22),Inputs!$B$23)/100+Inputs!$B$23/100)/2</f>
        <v/>
      </c>
      <c r="M476">
        <f>L476*(1+((Inputs!$B$10+1)+(F473-Calc!F21))/100)</f>
        <v/>
      </c>
      <c r="N476">
        <f>L476*(1-MIN(Inputs!$B$9+(F472-Calc!F20),100)/100)+M476*(MIN(Inputs!$B$9+(F472-Calc!F20),100)/100)</f>
        <v/>
      </c>
      <c r="O476">
        <f>IF(C476,H476*N476*IF(AND(Inputs!$B$38&lt;&gt;"pvp",Inputs!$B$43&gt;0),((Skills!G24*((R476-1)*IF(Skills!H24&gt;0,Skills!I24/Skills!H24,1)+IF(Skills!H24&gt;0,MIN(Skills!I24,MAX(0,Inputs!$B$43-((R476-1)*IF(Inputs!$B$38="pvp",15,MAX(0.1,Skills!E24-IF(Skills!F24=TRUE,Inputs!$B$32,0))))))/Skills!H24,1)))/Inputs!$B$43),G476*Q476)*(1+IF(Inputs!$B$3&gt;=130,0.2*(Skills!I16/Skills!E15+IF(Inputs!$B$3&gt;=126,0.05*(B488+Q465+(H466*B489)/(1+Skills!H14*H466*B489)+Q476),0)*Skills!I16),0))*IF(Inputs!$B$38="pvp",1,(1-Summary!$B$56)*(1)+Summary!$B$56*(MIN(Skills!R24,Inputs!$B$37))),0)</f>
        <v/>
      </c>
      <c r="P476">
        <f>IF(B491=0,0,O476/B491)</f>
        <v/>
      </c>
      <c r="Q476">
        <f>IFERROR(1/IF(Inputs!$B$38="pvp",15,MAX(0.1,Skills!E24-IF(Skills!F24=TRUE,Inputs!$B$32,0))),0)</f>
        <v/>
      </c>
      <c r="R476">
        <f>IF(AND(Inputs!$B$38&lt;&gt;"pvp",Inputs!$B$43&gt;0),(INT(Inputs!$B$43/IF(Inputs!$B$38="pvp",15,MAX(0.1,Skills!E24-IF(Skills!F24=TRUE,Inputs!$B$32,0))))+1),0)</f>
        <v/>
      </c>
    </row>
    <row r="477">
      <c r="A477">
        <f>Skills!A25</f>
        <v/>
      </c>
      <c r="B477">
        <f>Skills!B25</f>
        <v/>
      </c>
      <c r="C477">
        <f>Inputs!$B$3&gt;=117</f>
        <v/>
      </c>
      <c r="D477">
        <f>IF(Skills!C25=1,60+Inputs!$B$25+Inputs!$B$29,IF(Skills!C25=2,90+Inputs!$B$26+Inputs!$B$29,IF(Skills!C25=3,120+Inputs!$B$27+Inputs!$B$29,MAX(0,(Inputs!$B$3-100)*3)+Inputs!$B$28+Inputs!$B$29)))</f>
        <v/>
      </c>
      <c r="E477">
        <f>INDEX(FactorTable!$B$2:$Y$301, MATCH(ROUND(MIN(300,MAX(1,D477)),0), FactorTable!$A$2:$A$301,0), Skills!M25+1)</f>
        <v/>
      </c>
      <c r="F477">
        <f>IF(Skills!N25=TRUE,(Skills!L25/10)*(E477/1000),Skills!L25/10)+Skills!O25</f>
        <v/>
      </c>
      <c r="G477">
        <f>Calc!G25</f>
        <v/>
      </c>
      <c r="H477">
        <f>Calc!H25</f>
        <v/>
      </c>
      <c r="I477">
        <f>IF(Skills!X25&lt;&gt;"",1+(Skills!X25/10)*(Z455/1000)/100,1)</f>
        <v/>
      </c>
      <c r="J477" t="inlineStr"/>
      <c r="K477" t="inlineStr"/>
      <c r="L477" t="inlineStr"/>
      <c r="M477" t="inlineStr"/>
      <c r="N477" t="inlineStr"/>
      <c r="O477" t="n">
        <v>0</v>
      </c>
      <c r="P477">
        <f>IF(B491=0,0,O477/B491)</f>
        <v/>
      </c>
      <c r="Q477">
        <f>IFERROR(1/IF(Inputs!$B$38="pvp",15,MAX(0.1,Skills!E25-IF(Skills!F25=TRUE,Inputs!$B$32,0))),0)</f>
        <v/>
      </c>
      <c r="R477" t="n">
        <v>0</v>
      </c>
    </row>
    <row r="478">
      <c r="A478">
        <f>Skills!A26</f>
        <v/>
      </c>
      <c r="B478">
        <f>Skills!B26</f>
        <v/>
      </c>
      <c r="C478">
        <f>Inputs!$B$3&gt;=120</f>
        <v/>
      </c>
      <c r="D478">
        <f>IF(Skills!C26=1,60+Inputs!$B$25+Inputs!$B$29,IF(Skills!C26=2,90+Inputs!$B$26+Inputs!$B$29,IF(Skills!C26=3,120+Inputs!$B$27+Inputs!$B$29,MAX(0,(Inputs!$B$3-100)*3)+Inputs!$B$28+Inputs!$B$29)))</f>
        <v/>
      </c>
      <c r="E478">
        <f>INDEX(FactorTable!$B$2:$Y$301, MATCH(ROUND(MIN(300,MAX(1,D478)),0), FactorTable!$A$2:$A$301,0), Skills!M26+1)</f>
        <v/>
      </c>
      <c r="F478">
        <f>IF(Skills!N26=TRUE,(Skills!L26/10)*(E478/1000),Skills!L26/10)+Skills!O26</f>
        <v/>
      </c>
      <c r="G478">
        <f>Calc!G26</f>
        <v/>
      </c>
      <c r="H478">
        <f>Calc!H26</f>
        <v/>
      </c>
      <c r="I478">
        <f>IF(Skills!X26&lt;&gt;"",1+(Skills!X26/10)*(Z455/1000)/100,1)</f>
        <v/>
      </c>
      <c r="J478" t="inlineStr"/>
      <c r="K478" t="inlineStr"/>
      <c r="L478" t="inlineStr"/>
      <c r="M478" t="inlineStr"/>
      <c r="N478" t="inlineStr"/>
      <c r="O478" t="n">
        <v>0</v>
      </c>
      <c r="P478">
        <f>IF(B491=0,0,O478/B491)</f>
        <v/>
      </c>
      <c r="Q478">
        <f>IFERROR(1/IF(Inputs!$B$38="pvp",15,MAX(0.1,Skills!E26-IF(Skills!F26=TRUE,Inputs!$B$32,0))),0)</f>
        <v/>
      </c>
      <c r="R478" t="n">
        <v>0</v>
      </c>
    </row>
    <row r="479">
      <c r="A479">
        <f>Skills!A27</f>
        <v/>
      </c>
      <c r="B479">
        <f>Skills!B27</f>
        <v/>
      </c>
      <c r="C479">
        <f>Inputs!$B$3&gt;=125</f>
        <v/>
      </c>
      <c r="D479">
        <f>IF(Skills!C27=1,60+Inputs!$B$25+Inputs!$B$29,IF(Skills!C27=2,90+Inputs!$B$26+Inputs!$B$29,IF(Skills!C27=3,120+Inputs!$B$27+Inputs!$B$29,MAX(0,(Inputs!$B$3-100)*3)+Inputs!$B$28+Inputs!$B$29)))</f>
        <v/>
      </c>
      <c r="E479">
        <f>INDEX(FactorTable!$B$2:$Y$301, MATCH(ROUND(MIN(300,MAX(1,D479)),0), FactorTable!$A$2:$A$301,0), Skills!M27+1)</f>
        <v/>
      </c>
      <c r="F479">
        <f>IF(Skills!N27=TRUE,(Skills!L27/10)*(E479/1000),Skills!L27/10)+Skills!O27</f>
        <v/>
      </c>
      <c r="G479">
        <f>Calc!G27</f>
        <v/>
      </c>
      <c r="H479">
        <f>Calc!H27</f>
        <v/>
      </c>
      <c r="I479">
        <f>IF(Skills!X27&lt;&gt;"",1+(Skills!X27/10)*(Z455/1000)/100,1)</f>
        <v/>
      </c>
      <c r="J479" t="inlineStr"/>
      <c r="K479" t="inlineStr"/>
      <c r="L479" t="inlineStr"/>
      <c r="M479" t="inlineStr"/>
      <c r="N479" t="inlineStr"/>
      <c r="O479" t="n">
        <v>0</v>
      </c>
      <c r="P479">
        <f>IF(B491=0,0,O479/B491)</f>
        <v/>
      </c>
      <c r="Q479">
        <f>IFERROR(1/IF(Inputs!$B$38="pvp",15,MAX(0.1,Skills!E27-IF(Skills!F27=TRUE,Inputs!$B$32,0))),0)</f>
        <v/>
      </c>
      <c r="R479" t="n">
        <v>0</v>
      </c>
    </row>
    <row r="480">
      <c r="A480">
        <f>Skills!A28</f>
        <v/>
      </c>
      <c r="B480">
        <f>Skills!B28</f>
        <v/>
      </c>
      <c r="C480">
        <f>Inputs!$B$3&gt;=118</f>
        <v/>
      </c>
      <c r="D480">
        <f>IF(Skills!C28=1,60+Inputs!$B$25+Inputs!$B$29,IF(Skills!C28=2,90+Inputs!$B$26+Inputs!$B$29,IF(Skills!C28=3,120+Inputs!$B$27+Inputs!$B$29,MAX(0,(Inputs!$B$3-100)*3)+Inputs!$B$28+Inputs!$B$29)))</f>
        <v/>
      </c>
      <c r="E480">
        <f>INDEX(FactorTable!$B$2:$Y$301, MATCH(ROUND(MIN(300,MAX(1,D480)),0), FactorTable!$A$2:$A$301,0), Skills!M28+1)</f>
        <v/>
      </c>
      <c r="F480">
        <f>IF(Skills!N28=TRUE,(Skills!L28/10)*(E480/1000),Skills!L28/10)+Skills!O28</f>
        <v/>
      </c>
      <c r="G480">
        <f>Calc!G28</f>
        <v/>
      </c>
      <c r="H480">
        <f>Calc!H28</f>
        <v/>
      </c>
      <c r="I480">
        <f>IF(Skills!X28&lt;&gt;"",1+(Skills!X28/10)*(Z455/1000)/100,1)</f>
        <v/>
      </c>
      <c r="J480">
        <f>((Inputs!$B$6*(1+Inputs!$B$7/100))+(((Inputs!$B$12*(1+Inputs!$B$13/100))-(Inputs!$B$12*(1+Inputs!$B$13/100)))+0.25*(Inputs!$B$14-Inputs!$B$14))*(1+Inputs!$B$7/100))*(F480/100)</f>
        <v/>
      </c>
      <c r="K480">
        <f>J480*(1+((Inputs!$B$12*(1+Inputs!$B$13/100))*0.01+Inputs!$B$14*0.0025)/100)*(1+Inputs!$B$15/100)*(1+IF(Inputs!$B$38="pvp",0,(1-Summary!$B$56)*(Inputs!$B$20+Skills!P28)+Summary!$B$56*(Inputs!$B$21+Skills!Q28))/100)*(1+Inputs!$B$16/100)*(5000/(6000+Inputs!$B$42*(1-Inputs!$B$19/100)))*(1+Inputs!$B$24/100)*(1+F475/100)*(1+IF(Inputs!$B$3&gt;=120,F478,0)/100)^5*(1+(IF(Skills!A28="BASIC_ATTACK",Inputs!$B$17,Inputs!$B$18+IF(Inputs!$B$3&gt;=125,F479*5,0)))/100)*(B482*B483*B484*I480)</f>
        <v/>
      </c>
      <c r="L480">
        <f>K480*(MIN(Inputs!$B$22+(F474-Calc!F22),Inputs!$B$23)/100+Inputs!$B$23/100)/2</f>
        <v/>
      </c>
      <c r="M480">
        <f>L480*(1+((Inputs!$B$10+1)+(F473-Calc!F21))/100)</f>
        <v/>
      </c>
      <c r="N480">
        <f>L480*(1-MIN(Inputs!$B$9+(F472-Calc!F20),100)/100)+M480*(MIN(Inputs!$B$9+(F472-Calc!F20),100)/100)</f>
        <v/>
      </c>
      <c r="O480">
        <f>IF(C480,H480*N480*IF(AND(Inputs!$B$38&lt;&gt;"pvp",Inputs!$B$43&gt;0),((Skills!G28*((R480-1)*IF(Skills!H28&gt;0,Skills!I28/Skills!H28,1)+IF(Skills!H28&gt;0,MIN(Skills!I28,MAX(0,Inputs!$B$43-((R480-1)*IF(Inputs!$B$38="pvp",15,MAX(0.1,Skills!E28-IF(Skills!F28=TRUE,Inputs!$B$32,0))))))/Skills!H28,1)))/Inputs!$B$43),G480*Q480)*IF(Inputs!$B$38="pvp",1,(1-Summary!$B$56)*(1)+Summary!$B$56*(MIN(Skills!R28,Inputs!$B$37))),0)</f>
        <v/>
      </c>
      <c r="P480">
        <f>IF(B491=0,0,O480/B491)</f>
        <v/>
      </c>
      <c r="Q480">
        <f>IFERROR(1/IF(Inputs!$B$38="pvp",15,MAX(0.1,Skills!E28-IF(Skills!F28=TRUE,Inputs!$B$32,0))),0)</f>
        <v/>
      </c>
      <c r="R480">
        <f>IF(AND(Inputs!$B$38&lt;&gt;"pvp",Inputs!$B$43&gt;0),(INT(Inputs!$B$43/IF(Inputs!$B$38="pvp",15,MAX(0.1,Skills!E28-IF(Skills!F28=TRUE,Inputs!$B$32,0))))+1),0)</f>
        <v/>
      </c>
    </row>
    <row r="482">
      <c r="A482" t="inlineStr">
        <is>
          <t>Burning Magic Multiplier</t>
        </is>
      </c>
      <c r="B482">
        <f>1+(F463*Skills!Z11)/100</f>
        <v/>
      </c>
    </row>
    <row r="483">
      <c r="A483" t="inlineStr">
        <is>
          <t>Elemental Decrease Multiplier (always-on)</t>
        </is>
      </c>
      <c r="B483">
        <f>1+F464/100</f>
        <v/>
      </c>
    </row>
    <row r="484">
      <c r="A484" t="inlineStr">
        <is>
          <t>Average Buff Multiplier (Magic Guard + Meditation, summed; then Infinity)</t>
        </is>
      </c>
      <c r="B484">
        <f>(1+(F458*IF(AND(Inputs!$B$38&lt;&gt;"pvp",Inputs!$B$43&gt;0),(((R458-1)*(Skills!T6*(1+(Inputs!$B$34+IF(Inputs!$B$3&gt;=117,F477,0))/100))+MIN((Skills!T6*(1+(Inputs!$B$34+IF(Inputs!$B$3&gt;=117,F477,0))/100)),MAX(0,Inputs!$B$43-((R458-1)*Skills!E6))))/Inputs!$B$43),IF(Inputs!$B$38="pvp",MIN((Skills!T6*(1+(Inputs!$B$34+IF(Inputs!$B$3&gt;=117,F477,0))/100)),15)/15,(Skills!T6*(1+(Inputs!$B$34+IF(Inputs!$B$3&gt;=117,F477,0))/100))/Skills!E6))+F469*IF(AND(Inputs!$B$38&lt;&gt;"pvp",Inputs!$B$43&gt;0),(((R469-1)*(Skills!T17*(1+(Inputs!$B$34+IF(Inputs!$B$3&gt;=117,F477,0))/100))+MIN((Skills!T17*(1+(Inputs!$B$34+IF(Inputs!$B$3&gt;=117,F477,0))/100)),MAX(0,Inputs!$B$43-((R469-1)*Skills!E17))))/Inputs!$B$43),IF(Inputs!$B$38="pvp",MIN((Skills!T17*(1+(Inputs!$B$34+IF(Inputs!$B$3&gt;=117,F477,0))/100)),15)/15,(Skills!T17*(1+(Inputs!$B$34+IF(Inputs!$B$3&gt;=117,F477,0))/100))/Skills!E17)))/100)*IF(C471=TRUE,(1+F471*IF(AND(Inputs!$B$38&lt;&gt;"pvp",Inputs!$B$43&gt;0),(((R471-1)*(Skills!T19*(1+(Inputs!$B$34+IF(Inputs!$B$3&gt;=117,F477,0))/100))+MIN((Skills!T19*(1+(Inputs!$B$34+IF(Inputs!$B$3&gt;=117,F477,0))/100)),MAX(0,Inputs!$B$43-((R471-1)*Skills!E19))))/Inputs!$B$43),IF(Inputs!$B$38="pvp",MIN((Skills!T19*(1+(Inputs!$B$34+IF(Inputs!$B$3&gt;=117,F477,0))/100)),15)/15,(Skills!T19*(1+(Inputs!$B$34+IF(Inputs!$B$3&gt;=117,F477,0))/100))/Skills!E19))/100),1)</f>
        <v/>
      </c>
    </row>
    <row r="485">
      <c r="A485" t="inlineStr">
        <is>
          <t>Attack Speed Buff Bonus % (Nimble Feet, averaged)</t>
        </is>
      </c>
      <c r="B485">
        <f>F470*IF(AND(Inputs!$B$38&lt;&gt;"pvp",Inputs!$B$43&gt;0),(((R470-1)*(Skills!T18*(1+(Inputs!$B$34+IF(Inputs!$B$3&gt;=117,F477,0))/100))+MIN((Skills!T18*(1+(Inputs!$B$34+IF(Inputs!$B$3&gt;=117,F477,0))/100)),MAX(0,Inputs!$B$43-((R470-1)*Skills!E18))))/Inputs!$B$43),IF(Inputs!$B$38="pvp",MIN((Skills!T18*(1+(Inputs!$B$34+IF(Inputs!$B$3&gt;=117,F477,0))/100)),15)/15,(Skills!T18*(1+(Inputs!$B$34+IF(Inputs!$B$3&gt;=117,F477,0))/100))/Skills!E18))</f>
        <v/>
      </c>
    </row>
    <row r="486">
      <c r="A486" t="inlineStr">
        <is>
          <t>Actions Per Second</t>
        </is>
      </c>
      <c r="B486">
        <f>1+MIN(150,150*(1-(1-Inputs!$B$11/150)*(1-B485/150)))/100</f>
        <v/>
      </c>
    </row>
    <row r="487">
      <c r="A487" t="inlineStr">
        <is>
          <t>Skill + Buff Cast Rate</t>
        </is>
      </c>
      <c r="B487">
        <f>IF(AND(Inputs!$B$38&lt;&gt;"pvp",Inputs!$B$43&gt;0),SUMPRODUCT((Skills!F2:F28=TRUE)*(C454:C480=TRUE)*R454:R480)/Inputs!$B$43,SUMPRODUCT((Skills!F2:F28=TRUE)*(C454:C480=TRUE)*Q454:Q480))</f>
        <v/>
      </c>
    </row>
    <row r="488">
      <c r="A488" t="inlineStr">
        <is>
          <t>Basic Attacks Per Second</t>
        </is>
      </c>
      <c r="B488">
        <f>MAX(0,B486-B487)</f>
        <v/>
      </c>
    </row>
    <row r="489">
      <c r="A489" t="inlineStr">
        <is>
          <t>Meteor Proc — combined trigger cast rate</t>
        </is>
      </c>
      <c r="B489">
        <f>IF(AND(Inputs!$B$38&lt;&gt;"pvp",Inputs!$B$43&gt;0),SUMPRODUCT((Skills!V2:V28=TRUE)*(C454:C480=TRUE)*R454:R480*Skills!W2:W28)/Inputs!$B$43,SUMPRODUCT((Skills!V2:V28=TRUE)*(C454:C480=TRUE)*Q454:Q480*Skills!W2:W28))+B488</f>
        <v/>
      </c>
    </row>
    <row r="491">
      <c r="A491" s="5" t="inlineStr">
        <is>
          <t>TOTAL DPS</t>
        </is>
      </c>
      <c r="B491" s="5">
        <f>SUM(O454:O480)</f>
        <v/>
      </c>
    </row>
    <row r="494">
      <c r="A494" s="5" t="inlineStr">
        <is>
          <t>Stat: ATTACK_SPEED % (diminishing returns, factor 150)</t>
        </is>
      </c>
    </row>
    <row r="495">
      <c r="A495" s="9" t="inlineStr">
        <is>
          <t>Key</t>
        </is>
      </c>
      <c r="B495" s="9" t="inlineStr">
        <is>
          <t>Name</t>
        </is>
      </c>
      <c r="C495" s="9" t="inlineStr">
        <is>
          <t>Unlocked</t>
        </is>
      </c>
      <c r="D495" s="9" t="inlineStr">
        <is>
          <t>InputLevel</t>
        </is>
      </c>
      <c r="E495" s="9" t="inlineStr">
        <is>
          <t>Factor</t>
        </is>
      </c>
      <c r="F495" s="9" t="inlineStr">
        <is>
          <t>CoefficientPercent</t>
        </is>
      </c>
      <c r="G495" s="9" t="inlineStr">
        <is>
          <t>EffectiveHits</t>
        </is>
      </c>
      <c r="H495" s="9" t="inlineStr">
        <is>
          <t>ProcProbability</t>
        </is>
      </c>
      <c r="I495" s="9" t="inlineStr">
        <is>
          <t>MapleHeroMultiplier</t>
        </is>
      </c>
      <c r="J495" s="9" t="inlineStr">
        <is>
          <t>BaseDamage</t>
        </is>
      </c>
      <c r="K495" s="9" t="inlineStr">
        <is>
          <t>BaseHitDamage</t>
        </is>
      </c>
      <c r="L495" s="9" t="inlineStr">
        <is>
          <t>NonCritAvg</t>
        </is>
      </c>
      <c r="M495" s="9" t="inlineStr">
        <is>
          <t>CritAvg</t>
        </is>
      </c>
      <c r="N495" s="9" t="inlineStr">
        <is>
          <t>ExpectedDamage(perHit)</t>
        </is>
      </c>
      <c r="O495" s="9" t="inlineStr">
        <is>
          <t>DPS</t>
        </is>
      </c>
      <c r="P495" s="9" t="inlineStr">
        <is>
          <t>% of Total</t>
        </is>
      </c>
      <c r="R495" t="inlineStr">
        <is>
          <t>helpers</t>
        </is>
      </c>
    </row>
    <row r="496">
      <c r="A496">
        <f>Skills!A2</f>
        <v/>
      </c>
      <c r="B496">
        <f>Skills!B2</f>
        <v/>
      </c>
      <c r="C496">
        <f>TRUE</f>
        <v/>
      </c>
      <c r="D496" t="inlineStr"/>
      <c r="E496" t="inlineStr"/>
      <c r="F496">
        <f>T498+Skills!O2</f>
        <v/>
      </c>
      <c r="G496">
        <f>Calc!G2</f>
        <v/>
      </c>
      <c r="H496">
        <f>Calc!H2</f>
        <v/>
      </c>
      <c r="I496">
        <f>IF(Skills!X2&lt;&gt;"",1+(Skills!X2/10)*(Z497/1000)/100,1)</f>
        <v/>
      </c>
      <c r="J496">
        <f>((Inputs!$B$6*(1+Inputs!$B$7/100))+(((Inputs!$B$12*(1+Inputs!$B$13/100))-(Inputs!$B$12*(1+Inputs!$B$13/100)))+0.25*(Inputs!$B$14-Inputs!$B$14))*(1+Inputs!$B$7/100))*(F496/100)</f>
        <v/>
      </c>
      <c r="K496">
        <f>J496*(1+((Inputs!$B$12*(1+Inputs!$B$13/100))*0.01+Inputs!$B$14*0.0025)/100)*(1+Inputs!$B$15/100)*(1+IF(Inputs!$B$38="pvp",0,(1-Summary!$B$56)*(Inputs!$B$20+Skills!P2)+Summary!$B$56*(Inputs!$B$21+Skills!Q2))/100)*(1+Inputs!$B$16/100)*(5000/(6000+Inputs!$B$42*(1-Inputs!$B$19/100)))*(1+Inputs!$B$24/100)*(1+F517/100)*(1+IF(Inputs!$B$3&gt;=120,F520,0)/100)^5*(1+(IF(Skills!A2="BASIC_ATTACK",Inputs!$B$17,Inputs!$B$18+IF(Inputs!$B$3&gt;=125,F521*5,0)))/100)*(B524*B525*B526*I496)</f>
        <v/>
      </c>
      <c r="L496">
        <f>K496*(MIN(Inputs!$B$22+(F516-Calc!F22),Inputs!$B$23)/100+Inputs!$B$23/100)/2</f>
        <v/>
      </c>
      <c r="M496">
        <f>L496*(1+(Inputs!$B$10+(F515-Calc!F21))/100)</f>
        <v/>
      </c>
      <c r="N496">
        <f>L496*(1-MIN(Inputs!$B$9+(F514-Calc!F20),100)/100)+M496*(MIN(Inputs!$B$9+(F514-Calc!F20),100)/100)</f>
        <v/>
      </c>
      <c r="O496">
        <f>Skills!G2*N496*B530*IF(Inputs!$B$38="pvp",1,(1-Summary!$B$56)*(1)+Summary!$B$56*(MIN((6+Inputs!$B$33+IF(Inputs!$B$3&gt;=136,1,0)),Inputs!$B$37)))</f>
        <v/>
      </c>
      <c r="P496">
        <f>IF(B533=0,0,O496/B533)</f>
        <v/>
      </c>
      <c r="Q496">
        <f>IFERROR(1/IF(Inputs!$B$38="pvp",15,MAX(0.1,Skills!E2-IF(Skills!F2=TRUE,Inputs!$B$32,0))),0)</f>
        <v/>
      </c>
      <c r="R496" t="n">
        <v>0</v>
      </c>
      <c r="T496">
        <f>MAX(0,(Inputs!$B$3-100)*3)+Inputs!$B$28+Inputs!$B$29</f>
        <v/>
      </c>
      <c r="Z496">
        <f>MAX(0,(Inputs!$B$3-100)*3)+Inputs!$B$28+Inputs!$B$29</f>
        <v/>
      </c>
    </row>
    <row r="497">
      <c r="A497">
        <f>Skills!A3</f>
        <v/>
      </c>
      <c r="B497">
        <f>Skills!B3</f>
        <v/>
      </c>
      <c r="C497">
        <f>TRUE</f>
        <v/>
      </c>
      <c r="D497">
        <f>IF(Skills!C3=1,60+Inputs!$B$25+Inputs!$B$29,IF(Skills!C3=2,90+Inputs!$B$26+Inputs!$B$29,IF(Skills!C3=3,120+Inputs!$B$27+Inputs!$B$29,MAX(0,(Inputs!$B$3-100)*3)+Inputs!$B$28+Inputs!$B$29)))</f>
        <v/>
      </c>
      <c r="E497">
        <f>INDEX(FactorTable!$B$2:$Y$301, MATCH(ROUND(MIN(300,MAX(1,D497)),0), FactorTable!$A$2:$A$301,0), Skills!M3+1)</f>
        <v/>
      </c>
      <c r="F497">
        <f>IF(Skills!N3=TRUE,(Skills!L3/10)*(E497/1000),Skills!L3/10)+Skills!O3</f>
        <v/>
      </c>
      <c r="G497">
        <f>Calc!G3</f>
        <v/>
      </c>
      <c r="H497">
        <f>Calc!H3</f>
        <v/>
      </c>
      <c r="I497">
        <f>IF(Skills!X3&lt;&gt;"",1+(Skills!X3/10)*(Z497/1000)/100,1)</f>
        <v/>
      </c>
      <c r="J497">
        <f>((Inputs!$B$6*(1+Inputs!$B$7/100))+(((Inputs!$B$12*(1+Inputs!$B$13/100))-(Inputs!$B$12*(1+Inputs!$B$13/100)))+0.25*(Inputs!$B$14-Inputs!$B$14))*(1+Inputs!$B$7/100))*(F497/100)</f>
        <v/>
      </c>
      <c r="K497">
        <f>J497*(1+((Inputs!$B$12*(1+Inputs!$B$13/100))*0.01+Inputs!$B$14*0.0025)/100)*(1+Inputs!$B$15/100)*(1+IF(Inputs!$B$38="pvp",0,(1-Summary!$B$56)*(Inputs!$B$20+Skills!P3)+Summary!$B$56*(Inputs!$B$21+Skills!Q3))/100)*(1+Inputs!$B$16/100)*(5000/(6000+Inputs!$B$42*(1-Inputs!$B$19/100)))*(1+Inputs!$B$24/100)*(1+F517/100)*(1+IF(Inputs!$B$3&gt;=120,F520,0)/100)^5*(1+(IF(Skills!A3="BASIC_ATTACK",Inputs!$B$17,Inputs!$B$18+IF(Inputs!$B$3&gt;=125,F521*5,0)))/100)*(B524*B525*B526*I497)</f>
        <v/>
      </c>
      <c r="L497">
        <f>K497*(MIN(Inputs!$B$22+(F516-Calc!F22),Inputs!$B$23)/100+Inputs!$B$23/100)/2</f>
        <v/>
      </c>
      <c r="M497">
        <f>L497*(1+(Inputs!$B$10+(F515-Calc!F21))/100)</f>
        <v/>
      </c>
      <c r="N497">
        <f>L497*(1-MIN(Inputs!$B$9+(F514-Calc!F20),100)/100)+M497*(MIN(Inputs!$B$9+(F514-Calc!F20),100)/100)</f>
        <v/>
      </c>
      <c r="O497">
        <f>IF(C497,H497*N497*IF(AND(Inputs!$B$38&lt;&gt;"pvp",Inputs!$B$43&gt;0),((Skills!G3*((R497-1)*IF(Skills!H3&gt;0,Skills!I3/Skills!H3,1)+IF(Skills!H3&gt;0,MIN(Skills!I3,MAX(0,Inputs!$B$43-((R497-1)*IF(Inputs!$B$38="pvp",15,MAX(0.1,Skills!E3-IF(Skills!F3=TRUE,Inputs!$B$32,0))))))/Skills!H3,1)))/Inputs!$B$43),G497*Q497)*IF(Inputs!$B$38="pvp",1,(1-Summary!$B$56)*(1)+Summary!$B$56*(MIN(Skills!R3,Inputs!$B$37))),0)</f>
        <v/>
      </c>
      <c r="P497">
        <f>IF(B533=0,0,O497/B533)</f>
        <v/>
      </c>
      <c r="Q497">
        <f>IFERROR(1/IF(Inputs!$B$38="pvp",15,MAX(0.1,Skills!E3-IF(Skills!F3=TRUE,Inputs!$B$32,0))),0)</f>
        <v/>
      </c>
      <c r="R497">
        <f>IF(AND(Inputs!$B$38&lt;&gt;"pvp",Inputs!$B$43&gt;0),(INT(Inputs!$B$43/IF(Inputs!$B$38="pvp",15,MAX(0.1,Skills!E3-IF(Skills!F3=TRUE,Inputs!$B$32,0))))+1),0)</f>
        <v/>
      </c>
      <c r="T497">
        <f>INDEX(FactorTable!$B$2:$Y$301, MATCH(ROUND(MIN(300,MAX(1,T496)),0), FactorTable!$A$2:$A$301,0), 22)</f>
        <v/>
      </c>
      <c r="Z497">
        <f>INDEX(FactorTable!$B$2:$Y$301, MATCH(ROUND(MIN(300,MAX(1,Z496)),0), FactorTable!$A$2:$A$301,0), 24)</f>
        <v/>
      </c>
    </row>
    <row r="498">
      <c r="A498">
        <f>Skills!A4</f>
        <v/>
      </c>
      <c r="B498">
        <f>Skills!B4</f>
        <v/>
      </c>
      <c r="C498">
        <f>TRUE</f>
        <v/>
      </c>
      <c r="D498">
        <f>IF(Skills!C4=1,60+Inputs!$B$25+Inputs!$B$29,IF(Skills!C4=2,90+Inputs!$B$26+Inputs!$B$29,IF(Skills!C4=3,120+Inputs!$B$27+Inputs!$B$29,MAX(0,(Inputs!$B$3-100)*3)+Inputs!$B$28+Inputs!$B$29)))</f>
        <v/>
      </c>
      <c r="E498">
        <f>INDEX(FactorTable!$B$2:$Y$301, MATCH(ROUND(MIN(300,MAX(1,D498)),0), FactorTable!$A$2:$A$301,0), Skills!M4+1)</f>
        <v/>
      </c>
      <c r="F498">
        <f>IF(Skills!N4=TRUE,(Skills!L4/10)*(E498/1000),Skills!L4/10)+Skills!O4</f>
        <v/>
      </c>
      <c r="G498">
        <f>Calc!G4</f>
        <v/>
      </c>
      <c r="H498">
        <f>Calc!H4</f>
        <v/>
      </c>
      <c r="I498">
        <f>IF(Skills!X4&lt;&gt;"",1+(Skills!X4/10)*(Z497/1000)/100,1)</f>
        <v/>
      </c>
      <c r="J498">
        <f>((Inputs!$B$6*(1+Inputs!$B$7/100))+(((Inputs!$B$12*(1+Inputs!$B$13/100))-(Inputs!$B$12*(1+Inputs!$B$13/100)))+0.25*(Inputs!$B$14-Inputs!$B$14))*(1+Inputs!$B$7/100))*(F498/100)</f>
        <v/>
      </c>
      <c r="K498">
        <f>J498*(1+((Inputs!$B$12*(1+Inputs!$B$13/100))*0.01+Inputs!$B$14*0.0025)/100)*(1+Inputs!$B$15/100)*(1+IF(Inputs!$B$38="pvp",0,(1-Summary!$B$56)*(Inputs!$B$20+Skills!P4)+Summary!$B$56*(Inputs!$B$21+Skills!Q4))/100)*(1+Inputs!$B$16/100)*(5000/(6000+Inputs!$B$42*(1-Inputs!$B$19/100)))*(1+Inputs!$B$24/100)*(1+F517/100)*(1+IF(Inputs!$B$3&gt;=120,F520,0)/100)^5*(1+(IF(Skills!A4="BASIC_ATTACK",Inputs!$B$17,Inputs!$B$18+IF(Inputs!$B$3&gt;=125,F521*5,0)))/100)*(B524*B525*B526*I498)</f>
        <v/>
      </c>
      <c r="L498">
        <f>K498*(MIN(Inputs!$B$22+(F516-Calc!F22),Inputs!$B$23)/100+Inputs!$B$23/100)/2</f>
        <v/>
      </c>
      <c r="M498">
        <f>L498*(1+(Inputs!$B$10+(F515-Calc!F21))/100)</f>
        <v/>
      </c>
      <c r="N498">
        <f>L498*(1-MIN(Inputs!$B$9+(F514-Calc!F20),100)/100)+M498*(MIN(Inputs!$B$9+(F514-Calc!F20),100)/100)</f>
        <v/>
      </c>
      <c r="O498">
        <f>IF(C498,H498*N498*IF(AND(Inputs!$B$38&lt;&gt;"pvp",Inputs!$B$43&gt;0),((Skills!G4*((R498-1)*IF(Skills!H4&gt;0,Skills!I4/Skills!H4,1)+IF(Skills!H4&gt;0,MIN(Skills!I4,MAX(0,Inputs!$B$43-((R498-1)*IF(Inputs!$B$38="pvp",15,MAX(0.1,Skills!E4-IF(Skills!F4=TRUE,Inputs!$B$32,0))))))/Skills!H4,1)))/Inputs!$B$43),G498*Q498)*IF(Inputs!$B$38="pvp",1,(1-Summary!$B$56)*(1)+Summary!$B$56*(MIN(Skills!R4,Inputs!$B$37))),0)</f>
        <v/>
      </c>
      <c r="P498">
        <f>IF(B533=0,0,O498/B533)</f>
        <v/>
      </c>
      <c r="Q498">
        <f>IFERROR(1/IF(Inputs!$B$38="pvp",15,MAX(0.1,Skills!E4-IF(Skills!F4=TRUE,Inputs!$B$32,0))),0)</f>
        <v/>
      </c>
      <c r="R498">
        <f>IF(AND(Inputs!$B$38&lt;&gt;"pvp",Inputs!$B$43&gt;0),(INT(Inputs!$B$43/IF(Inputs!$B$38="pvp",15,MAX(0.1,Skills!E4-IF(Skills!F4=TRUE,Inputs!$B$32,0))))+1),0)</f>
        <v/>
      </c>
      <c r="T498">
        <f>290*T497/1000</f>
        <v/>
      </c>
    </row>
    <row r="499">
      <c r="A499">
        <f>Skills!A5</f>
        <v/>
      </c>
      <c r="B499">
        <f>Skills!B5</f>
        <v/>
      </c>
      <c r="C499">
        <f>TRUE</f>
        <v/>
      </c>
      <c r="D499">
        <f>IF(Skills!C5=1,60+Inputs!$B$25+Inputs!$B$29,IF(Skills!C5=2,90+Inputs!$B$26+Inputs!$B$29,IF(Skills!C5=3,120+Inputs!$B$27+Inputs!$B$29,MAX(0,(Inputs!$B$3-100)*3)+Inputs!$B$28+Inputs!$B$29)))</f>
        <v/>
      </c>
      <c r="E499">
        <f>INDEX(FactorTable!$B$2:$Y$301, MATCH(ROUND(MIN(300,MAX(1,D499)),0), FactorTable!$A$2:$A$301,0), Skills!M5+1)</f>
        <v/>
      </c>
      <c r="F499">
        <f>IF(Skills!N5=TRUE,(Skills!L5/10)*(E499/1000),Skills!L5/10)+Skills!O5</f>
        <v/>
      </c>
      <c r="G499">
        <f>Calc!G5</f>
        <v/>
      </c>
      <c r="H499">
        <f>Calc!H5</f>
        <v/>
      </c>
      <c r="I499">
        <f>IF(Skills!X5&lt;&gt;"",1+(Skills!X5/10)*(Z497/1000)/100,1)</f>
        <v/>
      </c>
      <c r="J499">
        <f>((Inputs!$B$6*(1+Inputs!$B$7/100))+(((Inputs!$B$12*(1+Inputs!$B$13/100))-(Inputs!$B$12*(1+Inputs!$B$13/100)))+0.25*(Inputs!$B$14-Inputs!$B$14))*(1+Inputs!$B$7/100))*(F499/100)</f>
        <v/>
      </c>
      <c r="K499">
        <f>J499*(1+((Inputs!$B$12*(1+Inputs!$B$13/100))*0.01+Inputs!$B$14*0.0025)/100)*(1+Inputs!$B$15/100)*(1+IF(Inputs!$B$38="pvp",0,(1-Summary!$B$56)*(Inputs!$B$20+Skills!P5)+Summary!$B$56*(Inputs!$B$21+Skills!Q5))/100)*(1+Inputs!$B$16/100)*(5000/(6000+Inputs!$B$42*(1-Inputs!$B$19/100)))*(1+Inputs!$B$24/100)*(1+F517/100)*(1+IF(Inputs!$B$3&gt;=120,F520,0)/100)^5*(1+(IF(Skills!A5="BASIC_ATTACK",Inputs!$B$17,Inputs!$B$18+IF(Inputs!$B$3&gt;=125,F521*5,0)))/100)*(B524*B525*B526*I499)</f>
        <v/>
      </c>
      <c r="L499">
        <f>K499*(MIN(Inputs!$B$22+(F516-Calc!F22),Inputs!$B$23)/100+Inputs!$B$23/100)/2</f>
        <v/>
      </c>
      <c r="M499">
        <f>L499*(1+(Inputs!$B$10+(F515-Calc!F21))/100)</f>
        <v/>
      </c>
      <c r="N499">
        <f>L499*(1-MIN(Inputs!$B$9+(F514-Calc!F20),100)/100)+M499*(MIN(Inputs!$B$9+(F514-Calc!F20),100)/100)</f>
        <v/>
      </c>
      <c r="O499">
        <f>IF(C499,H499*N499*IF(AND(Inputs!$B$38&lt;&gt;"pvp",Inputs!$B$43&gt;0),((Skills!G5*((R499-1)*IF(Skills!H5&gt;0,Skills!I5/Skills!H5,1)+IF(Skills!H5&gt;0,MIN(Skills!I5,MAX(0,Inputs!$B$43-((R499-1)*IF(Inputs!$B$38="pvp",15,MAX(0.1,Skills!E5-IF(Skills!F5=TRUE,Inputs!$B$32,0))))))/Skills!H5,1)))/Inputs!$B$43),G499*Q499)*IF(Inputs!$B$38="pvp",1,(1-Summary!$B$56)*(1)+Summary!$B$56*(MIN(Skills!R5,Inputs!$B$37))),0)</f>
        <v/>
      </c>
      <c r="P499">
        <f>IF(B533=0,0,O499/B533)</f>
        <v/>
      </c>
      <c r="Q499">
        <f>IFERROR(1/IF(Inputs!$B$38="pvp",15,MAX(0.1,Skills!E5-IF(Skills!F5=TRUE,Inputs!$B$32,0))),0)</f>
        <v/>
      </c>
      <c r="R499">
        <f>IF(AND(Inputs!$B$38&lt;&gt;"pvp",Inputs!$B$43&gt;0),(INT(Inputs!$B$43/IF(Inputs!$B$38="pvp",15,MAX(0.1,Skills!E5-IF(Skills!F5=TRUE,Inputs!$B$32,0))))+1),0)</f>
        <v/>
      </c>
    </row>
    <row r="500">
      <c r="A500">
        <f>Skills!A6</f>
        <v/>
      </c>
      <c r="B500">
        <f>Skills!B6</f>
        <v/>
      </c>
      <c r="C500">
        <f>TRUE</f>
        <v/>
      </c>
      <c r="D500">
        <f>IF(Skills!C6=1,60+Inputs!$B$25+Inputs!$B$29,IF(Skills!C6=2,90+Inputs!$B$26+Inputs!$B$29,IF(Skills!C6=3,120+Inputs!$B$27+Inputs!$B$29,MAX(0,(Inputs!$B$3-100)*3)+Inputs!$B$28+Inputs!$B$29)))</f>
        <v/>
      </c>
      <c r="E500">
        <f>INDEX(FactorTable!$B$2:$Y$301, MATCH(ROUND(MIN(300,MAX(1,D500)),0), FactorTable!$A$2:$A$301,0), Skills!M6+1)</f>
        <v/>
      </c>
      <c r="F500">
        <f>IF(Skills!N6=TRUE,(Skills!L6/10)*(E500/1000),Skills!L6/10)+Skills!O6</f>
        <v/>
      </c>
      <c r="G500">
        <f>Calc!G6</f>
        <v/>
      </c>
      <c r="H500">
        <f>Calc!H6</f>
        <v/>
      </c>
      <c r="I500">
        <f>IF(Skills!X6&lt;&gt;"",1+(Skills!X6/10)*(Z497/1000)/100,1)</f>
        <v/>
      </c>
      <c r="J500" t="inlineStr"/>
      <c r="K500" t="inlineStr"/>
      <c r="L500" t="inlineStr"/>
      <c r="M500" t="inlineStr"/>
      <c r="N500" t="inlineStr"/>
      <c r="O500" t="n">
        <v>0</v>
      </c>
      <c r="P500">
        <f>IF(B533=0,0,O500/B533)</f>
        <v/>
      </c>
      <c r="Q500">
        <f>IFERROR(1/IF(Inputs!$B$38="pvp",15,MAX(0.1,Skills!E6-IF(Skills!F6=TRUE,Inputs!$B$32,0))),0)</f>
        <v/>
      </c>
      <c r="R500">
        <f>IF(AND(Inputs!$B$38&lt;&gt;"pvp",Inputs!$B$43&gt;0),(INT(Inputs!$B$43/IF(Inputs!$B$38="pvp",15,MAX(0.1,Skills!E6-IF(Skills!F6=TRUE,Inputs!$B$32,0))))+1),0)</f>
        <v/>
      </c>
    </row>
    <row r="501">
      <c r="A501">
        <f>Skills!A7</f>
        <v/>
      </c>
      <c r="B501">
        <f>Skills!B7</f>
        <v/>
      </c>
      <c r="C501">
        <f>TRUE</f>
        <v/>
      </c>
      <c r="D501">
        <f>IF(Skills!C7=1,60+Inputs!$B$25+Inputs!$B$29,IF(Skills!C7=2,90+Inputs!$B$26+Inputs!$B$29,IF(Skills!C7=3,120+Inputs!$B$27+Inputs!$B$29,MAX(0,(Inputs!$B$3-100)*3)+Inputs!$B$28+Inputs!$B$29)))</f>
        <v/>
      </c>
      <c r="E501">
        <f>INDEX(FactorTable!$B$2:$Y$301, MATCH(ROUND(MIN(300,MAX(1,D501)),0), FactorTable!$A$2:$A$301,0), Skills!M7+1)</f>
        <v/>
      </c>
      <c r="F501">
        <f>IF(Skills!N7=TRUE,(Skills!L7/10)*(E501/1000),Skills!L7/10)+Skills!O7</f>
        <v/>
      </c>
      <c r="G501">
        <f>Calc!G7</f>
        <v/>
      </c>
      <c r="H501">
        <f>Calc!H7</f>
        <v/>
      </c>
      <c r="I501">
        <f>IF(Skills!X7&lt;&gt;"",1+(Skills!X7/10)*(Z497/1000)/100,1)</f>
        <v/>
      </c>
      <c r="J501">
        <f>((Inputs!$B$6*(1+Inputs!$B$7/100))+(((Inputs!$B$12*(1+Inputs!$B$13/100))-(Inputs!$B$12*(1+Inputs!$B$13/100)))+0.25*(Inputs!$B$14-Inputs!$B$14))*(1+Inputs!$B$7/100))*(F501/100)</f>
        <v/>
      </c>
      <c r="K501">
        <f>J501*(1+((Inputs!$B$12*(1+Inputs!$B$13/100))*0.01+Inputs!$B$14*0.0025)/100)*(1+Inputs!$B$15/100)*(1+IF(Inputs!$B$38="pvp",0,(1-Summary!$B$56)*(Inputs!$B$20+Skills!P7)+Summary!$B$56*(Inputs!$B$21+Skills!Q7))/100)*(1+Inputs!$B$16/100)*(5000/(6000+Inputs!$B$42*(1-Inputs!$B$19/100)))*(1+Inputs!$B$24/100)*(1+F517/100)*(1+IF(Inputs!$B$3&gt;=120,F520,0)/100)^5*(1+(IF(Skills!A7="BASIC_ATTACK",Inputs!$B$17,Inputs!$B$18+IF(Inputs!$B$3&gt;=125,F521*5,0)))/100)*(B524*B525*B526*I501)</f>
        <v/>
      </c>
      <c r="L501">
        <f>K501*(MIN(Inputs!$B$22+(F516-Calc!F22),Inputs!$B$23)/100+Inputs!$B$23/100)/2</f>
        <v/>
      </c>
      <c r="M501">
        <f>L501*(1+(Inputs!$B$10+(F515-Calc!F21))/100)</f>
        <v/>
      </c>
      <c r="N501">
        <f>L501*(1-MIN(Inputs!$B$9+(F514-Calc!F20),100)/100)+M501*(MIN(Inputs!$B$9+(F514-Calc!F20),100)/100)</f>
        <v/>
      </c>
      <c r="O501">
        <f>IF(C501,H501*N501*IF(AND(Inputs!$B$38&lt;&gt;"pvp",Inputs!$B$43&gt;0),((Skills!G7*((R501-1)*IF(Skills!H7&gt;0,Skills!I7/Skills!H7,1)+IF(Skills!H7&gt;0,MIN(Skills!I7,MAX(0,Inputs!$B$43-((R501-1)*IF(Inputs!$B$38="pvp",15,MAX(0.1,Skills!E7-IF(Skills!F7=TRUE,Inputs!$B$32,0))))))/Skills!H7,1)))/Inputs!$B$43),G501*Q501)*IF(Inputs!$B$38="pvp",1,(1-Summary!$B$56)*(1)+Summary!$B$56*(MIN(Skills!R7,Inputs!$B$37))),0)</f>
        <v/>
      </c>
      <c r="P501">
        <f>IF(B533=0,0,O501/B533)</f>
        <v/>
      </c>
      <c r="Q501">
        <f>IFERROR(1/IF(Inputs!$B$38="pvp",15,MAX(0.1,Skills!E7-IF(Skills!F7=TRUE,Inputs!$B$32,0))),0)</f>
        <v/>
      </c>
      <c r="R501">
        <f>IF(AND(Inputs!$B$38&lt;&gt;"pvp",Inputs!$B$43&gt;0),(INT(Inputs!$B$43/IF(Inputs!$B$38="pvp",15,MAX(0.1,Skills!E7-IF(Skills!F7=TRUE,Inputs!$B$32,0))))+1),0)</f>
        <v/>
      </c>
    </row>
    <row r="502">
      <c r="A502">
        <f>Skills!A8</f>
        <v/>
      </c>
      <c r="B502">
        <f>Skills!B8</f>
        <v/>
      </c>
      <c r="C502">
        <f>TRUE</f>
        <v/>
      </c>
      <c r="D502">
        <f>IF(Skills!C8=1,60+Inputs!$B$25+Inputs!$B$29,IF(Skills!C8=2,90+Inputs!$B$26+Inputs!$B$29,IF(Skills!C8=3,120+Inputs!$B$27+Inputs!$B$29,MAX(0,(Inputs!$B$3-100)*3)+Inputs!$B$28+Inputs!$B$29)))</f>
        <v/>
      </c>
      <c r="E502">
        <f>INDEX(FactorTable!$B$2:$Y$301, MATCH(ROUND(MIN(300,MAX(1,D502)),0), FactorTable!$A$2:$A$301,0), Skills!M8+1)</f>
        <v/>
      </c>
      <c r="F502">
        <f>IF(Skills!N8=TRUE,(Skills!L8/10)*(E502/1000),Skills!L8/10)+Skills!O8</f>
        <v/>
      </c>
      <c r="G502">
        <f>Calc!G8</f>
        <v/>
      </c>
      <c r="H502">
        <f>Calc!H8</f>
        <v/>
      </c>
      <c r="I502">
        <f>IF(Skills!X8&lt;&gt;"",1+(Skills!X8/10)*(Z497/1000)/100,1)</f>
        <v/>
      </c>
      <c r="J502">
        <f>((Inputs!$B$6*(1+Inputs!$B$7/100))+(((Inputs!$B$12*(1+Inputs!$B$13/100))-(Inputs!$B$12*(1+Inputs!$B$13/100)))+0.25*(Inputs!$B$14-Inputs!$B$14))*(1+Inputs!$B$7/100))*(F502/100)</f>
        <v/>
      </c>
      <c r="K502">
        <f>J502*(1+((Inputs!$B$12*(1+Inputs!$B$13/100))*0.01+Inputs!$B$14*0.0025)/100)*(1+Inputs!$B$15/100)*(1+IF(Inputs!$B$38="pvp",0,(1-Summary!$B$56)*(Inputs!$B$20+Skills!P8)+Summary!$B$56*(Inputs!$B$21+Skills!Q8))/100)*(1+Inputs!$B$16/100)*(5000/(6000+Inputs!$B$42*(1-Inputs!$B$19/100)))*(1+Inputs!$B$24/100)*(1+F517/100)*(1+IF(Inputs!$B$3&gt;=120,F520,0)/100)^5*(1+(IF(Skills!A8="BASIC_ATTACK",Inputs!$B$17,Inputs!$B$18+IF(Inputs!$B$3&gt;=125,F521*5,0)))/100)*(B524*B525*B526*I502)</f>
        <v/>
      </c>
      <c r="L502">
        <f>K502*(MIN(Inputs!$B$22+(F516-Calc!F22),Inputs!$B$23)/100+Inputs!$B$23/100)/2</f>
        <v/>
      </c>
      <c r="M502">
        <f>L502*(1+(Inputs!$B$10+(F515-Calc!F21))/100)</f>
        <v/>
      </c>
      <c r="N502">
        <f>L502*(1-MIN(Inputs!$B$9+(F514-Calc!F20),100)/100)+M502*(MIN(Inputs!$B$9+(F514-Calc!F20),100)/100)</f>
        <v/>
      </c>
      <c r="O502">
        <f>IF(C502,H502*N502*IF(AND(Inputs!$B$38&lt;&gt;"pvp",Inputs!$B$43&gt;0),((Skills!G8*((R502-1)*IF(Skills!H8&gt;0,Skills!I8/Skills!H8,1)+IF(Skills!H8&gt;0,MIN(Skills!I8,MAX(0,Inputs!$B$43-((R502-1)*IF(Inputs!$B$38="pvp",15,MAX(0.1,Skills!E8-IF(Skills!F8=TRUE,Inputs!$B$32,0))))))/Skills!H8,1)))/Inputs!$B$43),G502*Q502)*IF(Inputs!$B$38="pvp",1,(1-Summary!$B$56)*(1)+Summary!$B$56*(MIN(Skills!R8,Inputs!$B$37))),0)</f>
        <v/>
      </c>
      <c r="P502">
        <f>IF(B533=0,0,O502/B533)</f>
        <v/>
      </c>
      <c r="Q502">
        <f>IFERROR(1/IF(Inputs!$B$38="pvp",15,MAX(0.1,Skills!E8-IF(Skills!F8=TRUE,Inputs!$B$32,0))),0)</f>
        <v/>
      </c>
      <c r="R502">
        <f>IF(AND(Inputs!$B$38&lt;&gt;"pvp",Inputs!$B$43&gt;0),(INT(Inputs!$B$43/IF(Inputs!$B$38="pvp",15,MAX(0.1,Skills!E8-IF(Skills!F8=TRUE,Inputs!$B$32,0))))+1),0)</f>
        <v/>
      </c>
    </row>
    <row r="503">
      <c r="A503">
        <f>Skills!A9</f>
        <v/>
      </c>
      <c r="B503">
        <f>Skills!B9</f>
        <v/>
      </c>
      <c r="C503">
        <f>Inputs!$B$3&gt;=103</f>
        <v/>
      </c>
      <c r="D503">
        <f>IF(Skills!C9=1,60+Inputs!$B$25+Inputs!$B$29,IF(Skills!C9=2,90+Inputs!$B$26+Inputs!$B$29,IF(Skills!C9=3,120+Inputs!$B$27+Inputs!$B$29,MAX(0,(Inputs!$B$3-100)*3)+Inputs!$B$28+Inputs!$B$29)))</f>
        <v/>
      </c>
      <c r="E503">
        <f>INDEX(FactorTable!$B$2:$Y$301, MATCH(ROUND(MIN(300,MAX(1,D503)),0), FactorTable!$A$2:$A$301,0), Skills!M9+1)</f>
        <v/>
      </c>
      <c r="F503">
        <f>IF(Skills!N9=TRUE,(Skills!L9/10)*(E503/1000),Skills!L9/10)+Skills!O9</f>
        <v/>
      </c>
      <c r="G503">
        <f>Calc!G9</f>
        <v/>
      </c>
      <c r="H503">
        <f>Calc!H9</f>
        <v/>
      </c>
      <c r="I503">
        <f>IF(Skills!X9&lt;&gt;"",1+(Skills!X9/10)*(Z497/1000)/100,1)</f>
        <v/>
      </c>
      <c r="J503">
        <f>((Inputs!$B$6*(1+Inputs!$B$7/100))+(((Inputs!$B$12*(1+Inputs!$B$13/100))-(Inputs!$B$12*(1+Inputs!$B$13/100)))+0.25*(Inputs!$B$14-Inputs!$B$14))*(1+Inputs!$B$7/100))*(F503/100)</f>
        <v/>
      </c>
      <c r="K503">
        <f>J503*(1+((Inputs!$B$12*(1+Inputs!$B$13/100))*0.01+Inputs!$B$14*0.0025)/100)*(1+Inputs!$B$15/100)*(1+IF(Inputs!$B$38="pvp",0,(1-Summary!$B$56)*(Inputs!$B$20+Skills!P9)+Summary!$B$56*(Inputs!$B$21+Skills!Q9))/100)*(1+Inputs!$B$16/100)*(5000/(6000+Inputs!$B$42*(1-Inputs!$B$19/100)))*(1+Inputs!$B$24/100)*(1+F517/100)*(1+IF(Inputs!$B$3&gt;=120,F520,0)/100)^5*(1+(IF(Skills!A9="BASIC_ATTACK",Inputs!$B$17,Inputs!$B$18+IF(Inputs!$B$3&gt;=125,F521*5,0)))/100)*(B524*B525*B526*I503)</f>
        <v/>
      </c>
      <c r="L503">
        <f>K503*(MIN(Inputs!$B$22+(F516-Calc!F22),Inputs!$B$23)/100+Inputs!$B$23/100)/2</f>
        <v/>
      </c>
      <c r="M503">
        <f>L503*(1+(Inputs!$B$10+(F515-Calc!F21))/100)</f>
        <v/>
      </c>
      <c r="N503">
        <f>L503*(1-MIN(Inputs!$B$9+(F514-Calc!F20),100)/100)+M503*(MIN(Inputs!$B$9+(F514-Calc!F20),100)/100)</f>
        <v/>
      </c>
      <c r="O503">
        <f>IF(C503,H503*N503*IF(AND(Inputs!$B$38&lt;&gt;"pvp",Inputs!$B$43&gt;0),((Skills!G9*((R503-1)*IF(Skills!H9&gt;0,Skills!I9/Skills!H9,1)+IF(Skills!H9&gt;0,MIN(Skills!I9,MAX(0,Inputs!$B$43-((R503-1)*IF(Inputs!$B$38="pvp",15,MAX(0.1,Skills!E9-IF(Skills!F7=TRUE,Inputs!$B$32,0))))))/Skills!H9,1)))/Inputs!$B$43),G503*Q503)*IF(Inputs!$B$38="pvp",1,(1-Summary!$B$56)*(1)+Summary!$B$56*(MIN(Skills!R9,Inputs!$B$37))),0)</f>
        <v/>
      </c>
      <c r="P503">
        <f>IF(B533=0,0,O503/B533)</f>
        <v/>
      </c>
      <c r="Q503">
        <f>IFERROR(1/IF(Inputs!$B$38="pvp",15,MAX(0.1,Skills!E9-IF(Skills!F7=TRUE,Inputs!$B$32,0))),0)</f>
        <v/>
      </c>
      <c r="R503">
        <f>IF(AND(Inputs!$B$38&lt;&gt;"pvp",Inputs!$B$43&gt;0),(INT(Inputs!$B$43/IF(Inputs!$B$38="pvp",15,MAX(0.1,Skills!E9-IF(Skills!F7=TRUE,Inputs!$B$32,0))))+1),0)</f>
        <v/>
      </c>
    </row>
    <row r="504">
      <c r="A504">
        <f>Skills!A10</f>
        <v/>
      </c>
      <c r="B504">
        <f>Skills!B10</f>
        <v/>
      </c>
      <c r="C504">
        <f>TRUE</f>
        <v/>
      </c>
      <c r="D504">
        <f>IF(Skills!C10=1,60+Inputs!$B$25+Inputs!$B$29,IF(Skills!C10=2,90+Inputs!$B$26+Inputs!$B$29,IF(Skills!C10=3,120+Inputs!$B$27+Inputs!$B$29,MAX(0,(Inputs!$B$3-100)*3)+Inputs!$B$28+Inputs!$B$29)))</f>
        <v/>
      </c>
      <c r="E504">
        <f>INDEX(FactorTable!$B$2:$Y$301, MATCH(ROUND(MIN(300,MAX(1,D504)),0), FactorTable!$A$2:$A$301,0), Skills!M10+1)</f>
        <v/>
      </c>
      <c r="F504">
        <f>IF(Skills!N10=TRUE,(Skills!L10/10)*(E504/1000),Skills!L10/10)+Skills!O10</f>
        <v/>
      </c>
      <c r="G504">
        <f>Calc!G10</f>
        <v/>
      </c>
      <c r="H504">
        <f>Calc!H10</f>
        <v/>
      </c>
      <c r="I504">
        <f>IF(Skills!X10&lt;&gt;"",1+(Skills!X10/10)*(Z497/1000)/100,1)</f>
        <v/>
      </c>
      <c r="J504">
        <f>((Inputs!$B$6*(1+Inputs!$B$7/100))+(((Inputs!$B$12*(1+Inputs!$B$13/100))-(Inputs!$B$12*(1+Inputs!$B$13/100)))+0.25*(Inputs!$B$14-Inputs!$B$14))*(1+Inputs!$B$7/100))*(F504/100)</f>
        <v/>
      </c>
      <c r="K504">
        <f>J504*(1+((Inputs!$B$12*(1+Inputs!$B$13/100))*0.01+Inputs!$B$14*0.0025)/100)*(1+Inputs!$B$15/100)*(1+IF(Inputs!$B$38="pvp",0,(1-Summary!$B$56)*(Inputs!$B$20+Skills!P10)+Summary!$B$56*(Inputs!$B$21+Skills!Q10))/100)*(1+Inputs!$B$16/100)*(5000/(6000+Inputs!$B$42*(1-Inputs!$B$19/100)))*(1+Inputs!$B$24/100)*(1+F517/100)*(1+IF(Inputs!$B$3&gt;=120,F520,0)/100)^5*(1+(IF(Skills!A10="BASIC_ATTACK",Inputs!$B$17,Inputs!$B$18+IF(Inputs!$B$3&gt;=125,F521*5,0)))/100)*(B524*B525*B526*I504)</f>
        <v/>
      </c>
      <c r="L504">
        <f>K504*(MIN(Inputs!$B$22+(F516-Calc!F22),Inputs!$B$23)/100+Inputs!$B$23/100)/2</f>
        <v/>
      </c>
      <c r="M504">
        <f>L504*(1+(Inputs!$B$10+(F515-Calc!F21))/100)</f>
        <v/>
      </c>
      <c r="N504">
        <f>L504*(1-MIN(Inputs!$B$9+(F514-Calc!F20),100)/100)+M504*(MIN(Inputs!$B$9+(F514-Calc!F20),100)/100)</f>
        <v/>
      </c>
      <c r="O504">
        <f>IF(C504,H504*N504*IF(AND(Inputs!$B$38&lt;&gt;"pvp",Inputs!$B$43&gt;0),((Skills!G10*((R504-1)*IF(Skills!H10&gt;0,Skills!I10/Skills!H10,1)+IF(Skills!H10&gt;0,MIN(Skills!I10,MAX(0,Inputs!$B$43-((R504-1)*IF(Inputs!$B$38="pvp",15,MAX(0.1,Skills!E10-IF(Skills!F10=TRUE,Inputs!$B$32,0))))))/Skills!H10,1)))/Inputs!$B$43),G504*Q504)*IF(Inputs!$B$38="pvp",1,(1-Summary!$B$56)*(1)+Summary!$B$56*(MIN(Skills!R10,Inputs!$B$37))),0)</f>
        <v/>
      </c>
      <c r="P504">
        <f>IF(B533=0,0,O504/B533)</f>
        <v/>
      </c>
      <c r="Q504">
        <f>IFERROR(1/IF(Inputs!$B$38="pvp",15,MAX(0.1,Skills!E10-IF(Skills!F10=TRUE,Inputs!$B$32,0))),0)</f>
        <v/>
      </c>
      <c r="R504">
        <f>IF(AND(Inputs!$B$38&lt;&gt;"pvp",Inputs!$B$43&gt;0),(INT(Inputs!$B$43/IF(Inputs!$B$38="pvp",15,MAX(0.1,Skills!E10-IF(Skills!F10=TRUE,Inputs!$B$32,0))))+1),0)</f>
        <v/>
      </c>
    </row>
    <row r="505">
      <c r="A505">
        <f>Skills!A11</f>
        <v/>
      </c>
      <c r="B505">
        <f>Skills!B11</f>
        <v/>
      </c>
      <c r="C505">
        <f>TRUE</f>
        <v/>
      </c>
      <c r="D505">
        <f>IF(Skills!C11=1,60+Inputs!$B$25+Inputs!$B$29,IF(Skills!C11=2,90+Inputs!$B$26+Inputs!$B$29,IF(Skills!C11=3,120+Inputs!$B$27+Inputs!$B$29,MAX(0,(Inputs!$B$3-100)*3)+Inputs!$B$28+Inputs!$B$29)))</f>
        <v/>
      </c>
      <c r="E505">
        <f>INDEX(FactorTable!$B$2:$Y$301, MATCH(ROUND(MIN(300,MAX(1,D505)),0), FactorTable!$A$2:$A$301,0), Skills!M11+1)</f>
        <v/>
      </c>
      <c r="F505">
        <f>IF(Skills!N11=TRUE,(Skills!L11/10)*(E505/1000),Skills!L11/10)+Skills!O11</f>
        <v/>
      </c>
      <c r="G505">
        <f>Calc!G11</f>
        <v/>
      </c>
      <c r="H505">
        <f>Calc!H11</f>
        <v/>
      </c>
      <c r="I505">
        <f>IF(Skills!X11&lt;&gt;"",1+(Skills!X11/10)*(Z497/1000)/100,1)</f>
        <v/>
      </c>
      <c r="J505" t="inlineStr"/>
      <c r="K505" t="inlineStr"/>
      <c r="L505" t="inlineStr"/>
      <c r="M505" t="inlineStr"/>
      <c r="N505" t="inlineStr"/>
      <c r="O505" t="n">
        <v>0</v>
      </c>
      <c r="P505">
        <f>IF(B533=0,0,O505/B533)</f>
        <v/>
      </c>
      <c r="Q505">
        <f>IFERROR(1/IF(Inputs!$B$38="pvp",15,MAX(0.1,Skills!E11-IF(Skills!F11=TRUE,Inputs!$B$32,0))),0)</f>
        <v/>
      </c>
      <c r="R505" t="n">
        <v>0</v>
      </c>
    </row>
    <row r="506">
      <c r="A506">
        <f>Skills!A12</f>
        <v/>
      </c>
      <c r="B506">
        <f>Skills!B12</f>
        <v/>
      </c>
      <c r="C506">
        <f>TRUE</f>
        <v/>
      </c>
      <c r="D506">
        <f>IF(Skills!C12=1,60+Inputs!$B$25+Inputs!$B$29,IF(Skills!C12=2,90+Inputs!$B$26+Inputs!$B$29,IF(Skills!C12=3,120+Inputs!$B$27+Inputs!$B$29,MAX(0,(Inputs!$B$3-100)*3)+Inputs!$B$28+Inputs!$B$29)))</f>
        <v/>
      </c>
      <c r="E506">
        <f>INDEX(FactorTable!$B$2:$Y$301, MATCH(ROUND(MIN(300,MAX(1,D506)),0), FactorTable!$A$2:$A$301,0), Skills!M12+1)</f>
        <v/>
      </c>
      <c r="F506">
        <f>IF(Skills!N12=TRUE,(Skills!L12/10)*(E506/1000),Skills!L12/10)+Skills!O12</f>
        <v/>
      </c>
      <c r="G506">
        <f>Calc!G12</f>
        <v/>
      </c>
      <c r="H506">
        <f>Calc!H12</f>
        <v/>
      </c>
      <c r="I506">
        <f>IF(Skills!X12&lt;&gt;"",1+(Skills!X12/10)*(Z497/1000)/100,1)</f>
        <v/>
      </c>
      <c r="J506" t="inlineStr"/>
      <c r="K506" t="inlineStr"/>
      <c r="L506" t="inlineStr"/>
      <c r="M506" t="inlineStr"/>
      <c r="N506" t="inlineStr"/>
      <c r="O506" t="n">
        <v>0</v>
      </c>
      <c r="P506">
        <f>IF(B533=0,0,O506/B533)</f>
        <v/>
      </c>
      <c r="Q506">
        <f>IFERROR(1/IF(Inputs!$B$38="pvp",15,MAX(0.1,Skills!E12-IF(Skills!F12=TRUE,Inputs!$B$32,0))),0)</f>
        <v/>
      </c>
      <c r="R506" t="n">
        <v>0</v>
      </c>
    </row>
    <row r="507">
      <c r="A507">
        <f>Skills!A13</f>
        <v/>
      </c>
      <c r="B507">
        <f>Skills!B13</f>
        <v/>
      </c>
      <c r="C507">
        <f>Inputs!$B$3&gt;=105</f>
        <v/>
      </c>
      <c r="D507">
        <f>IF(Skills!C13=1,60+Inputs!$B$25+Inputs!$B$29,IF(Skills!C13=2,90+Inputs!$B$26+Inputs!$B$29,IF(Skills!C13=3,120+Inputs!$B$27+Inputs!$B$29,MAX(0,(Inputs!$B$3-100)*3)+Inputs!$B$28+Inputs!$B$29)))</f>
        <v/>
      </c>
      <c r="E507">
        <f>INDEX(FactorTable!$B$2:$Y$301, MATCH(ROUND(MIN(300,MAX(1,D507)),0), FactorTable!$A$2:$A$301,0), Skills!M13+1)</f>
        <v/>
      </c>
      <c r="F507">
        <f>IF(Skills!N13=TRUE,(Skills!L13/10)*(E507/1000),Skills!L13/10)+Skills!O13</f>
        <v/>
      </c>
      <c r="G507">
        <f>Calc!G13</f>
        <v/>
      </c>
      <c r="H507">
        <f>Calc!H13</f>
        <v/>
      </c>
      <c r="I507">
        <f>IF(Skills!X13&lt;&gt;"",1+(Skills!X13/10)*(Z497/1000)/100,1)</f>
        <v/>
      </c>
      <c r="J507">
        <f>((Inputs!$B$6*(1+Inputs!$B$7/100))+(((Inputs!$B$12*(1+Inputs!$B$13/100))-(Inputs!$B$12*(1+Inputs!$B$13/100)))+0.25*(Inputs!$B$14-Inputs!$B$14))*(1+Inputs!$B$7/100))*(F507/100)</f>
        <v/>
      </c>
      <c r="K507">
        <f>J507*(1+((Inputs!$B$12*(1+Inputs!$B$13/100))*0.01+Inputs!$B$14*0.0025)/100)*(1+Inputs!$B$15/100)*(1+IF(Inputs!$B$38="pvp",0,(1-Summary!$B$56)*(Inputs!$B$20+Skills!P13)+Summary!$B$56*(Inputs!$B$21+Skills!Q13))/100)*(1+Inputs!$B$16/100)*(5000/(6000+Inputs!$B$42*(1-Inputs!$B$19/100)))*(1+Inputs!$B$24/100)*(1+F517/100)*(1+IF(Inputs!$B$3&gt;=120,F520,0)/100)^5*(1+(IF(Skills!A13="BASIC_ATTACK",Inputs!$B$17,Inputs!$B$18+IF(Inputs!$B$3&gt;=125,F521*5,0)))/100)*(B524*B525*B526*I507)</f>
        <v/>
      </c>
      <c r="L507">
        <f>K507*(MIN(Inputs!$B$22+(F516-Calc!F22),Inputs!$B$23)/100+Inputs!$B$23/100)/2</f>
        <v/>
      </c>
      <c r="M507">
        <f>L507*(1+(Inputs!$B$10+(F515-Calc!F21))/100)</f>
        <v/>
      </c>
      <c r="N507">
        <f>L507*(1-MIN(Inputs!$B$9+(F514-Calc!F20),100)/100)+M507*(MIN(Inputs!$B$9+(F514-Calc!F20),100)/100)</f>
        <v/>
      </c>
      <c r="O507">
        <f>IF(C507,H507*N507*IF(AND(Inputs!$B$38&lt;&gt;"pvp",Inputs!$B$43&gt;0),((Skills!G13*((R507-1)*IF(Skills!H13&gt;0,Skills!I13/Skills!H13,1)+IF(Skills!H13&gt;0,MIN(Skills!I13,MAX(0,Inputs!$B$43-((R507-1)*IF(Inputs!$B$38="pvp",15,MAX(0.1,Skills!E13-IF(Skills!F13=TRUE,Inputs!$B$32,0))))))/Skills!H13,1)))/Inputs!$B$43),G507*Q507)*IF(Inputs!$B$38="pvp",1,(1-Summary!$B$56)*(1)+Summary!$B$56*(MIN(Skills!R13,Inputs!$B$37))),0)</f>
        <v/>
      </c>
      <c r="P507">
        <f>IF(B533=0,0,O507/B533)</f>
        <v/>
      </c>
      <c r="Q507">
        <f>IFERROR(1/IF(Inputs!$B$38="pvp",15,MAX(0.1,Skills!E13-IF(Skills!F13=TRUE,Inputs!$B$32,0))),0)</f>
        <v/>
      </c>
      <c r="R507">
        <f>IF(AND(Inputs!$B$38&lt;&gt;"pvp",Inputs!$B$43&gt;0),(INT(Inputs!$B$43/IF(Inputs!$B$38="pvp",15,MAX(0.1,Skills!E13-IF(Skills!F13=TRUE,Inputs!$B$32,0))))+1),0)</f>
        <v/>
      </c>
    </row>
    <row r="508">
      <c r="A508">
        <f>Skills!A14</f>
        <v/>
      </c>
      <c r="B508">
        <f>Skills!B14</f>
        <v/>
      </c>
      <c r="C508">
        <f>Inputs!$B$3&gt;=113</f>
        <v/>
      </c>
      <c r="D508">
        <f>IF(Skills!C14=1,60+Inputs!$B$25+Inputs!$B$29,IF(Skills!C14=2,90+Inputs!$B$26+Inputs!$B$29,IF(Skills!C14=3,120+Inputs!$B$27+Inputs!$B$29,MAX(0,(Inputs!$B$3-100)*3)+Inputs!$B$28+Inputs!$B$29)))</f>
        <v/>
      </c>
      <c r="E508">
        <f>INDEX(FactorTable!$B$2:$Y$301, MATCH(ROUND(MIN(300,MAX(1,D508)),0), FactorTable!$A$2:$A$301,0), Skills!M14+1)</f>
        <v/>
      </c>
      <c r="F508">
        <f>IF(Skills!N14=TRUE,(Skills!L14/10)*(E508/1000),Skills!L14/10)+Skills!O14</f>
        <v/>
      </c>
      <c r="G508">
        <f>Calc!G14</f>
        <v/>
      </c>
      <c r="H508">
        <f>Calc!H14</f>
        <v/>
      </c>
      <c r="I508">
        <f>IF(Skills!X14&lt;&gt;"",1+(Skills!X14/10)*(Z497/1000)/100,1)</f>
        <v/>
      </c>
      <c r="J508">
        <f>((Inputs!$B$6*(1+Inputs!$B$7/100))+(((Inputs!$B$12*(1+Inputs!$B$13/100))-(Inputs!$B$12*(1+Inputs!$B$13/100)))+0.25*(Inputs!$B$14-Inputs!$B$14))*(1+Inputs!$B$7/100))*(F508/100)</f>
        <v/>
      </c>
      <c r="K508">
        <f>J508*(1+((Inputs!$B$12*(1+Inputs!$B$13/100))*0.01+Inputs!$B$14*0.0025)/100)*(1+Inputs!$B$15/100)*(1+IF(Inputs!$B$38="pvp",0,(1-Summary!$B$56)*(Inputs!$B$20+Skills!P14)+Summary!$B$56*(Inputs!$B$21+Skills!Q14))/100)*(1+Inputs!$B$16/100)*(5000/(6000+Inputs!$B$42*(1-Inputs!$B$19/100)))*(1+Inputs!$B$24/100)*(1+F517/100)*(1+IF(Inputs!$B$3&gt;=120,F520,0)/100)^5*(1+(IF(Skills!A14="BASIC_ATTACK",Inputs!$B$17,Inputs!$B$18+IF(Inputs!$B$3&gt;=125,F521*5,0)))/100)*(B524*B525*B526*I508)</f>
        <v/>
      </c>
      <c r="L508">
        <f>K508*(MIN(Inputs!$B$22+(F516-Calc!F22),Inputs!$B$23)/100+Inputs!$B$23/100)/2</f>
        <v/>
      </c>
      <c r="M508">
        <f>L508*(1+(Inputs!$B$10+(F515-Calc!F21))/100)</f>
        <v/>
      </c>
      <c r="N508">
        <f>L508*(1-MIN(Inputs!$B$9+(F514-Calc!F20),100)/100)+M508*(MIN(Inputs!$B$9+(F514-Calc!F20),100)/100)</f>
        <v/>
      </c>
      <c r="O508">
        <f>IF(C508,(H508*B531)/(1+Skills!H14*H508*B531)*N508*IF(Inputs!$B$38="pvp",1,(1-Summary!$B$56)*(1)+Summary!$B$56*(MIN(Skills!R14,Inputs!$B$37))),0)</f>
        <v/>
      </c>
      <c r="P508">
        <f>IF(B533=0,0,O508/B533)</f>
        <v/>
      </c>
      <c r="Q508">
        <f>IFERROR(1/IF(Inputs!$B$38="pvp",15,MAX(0.1,Skills!E14-IF(Skills!F14=TRUE,Inputs!$B$32,0))),0)</f>
        <v/>
      </c>
      <c r="R508" t="n">
        <v>0</v>
      </c>
    </row>
    <row r="509">
      <c r="A509">
        <f>Skills!A15</f>
        <v/>
      </c>
      <c r="B509">
        <f>Skills!B15</f>
        <v/>
      </c>
      <c r="C509">
        <f>Inputs!$B$3&gt;=107</f>
        <v/>
      </c>
      <c r="D509">
        <f>IF(Skills!C15=1,60+Inputs!$B$25+Inputs!$B$29,IF(Skills!C15=2,90+Inputs!$B$26+Inputs!$B$29,IF(Skills!C15=3,120+Inputs!$B$27+Inputs!$B$29,MAX(0,(Inputs!$B$3-100)*3)+Inputs!$B$28+Inputs!$B$29)))</f>
        <v/>
      </c>
      <c r="E509">
        <f>INDEX(FactorTable!$B$2:$Y$301, MATCH(ROUND(MIN(300,MAX(1,D509)),0), FactorTable!$A$2:$A$301,0), Skills!M15+1)</f>
        <v/>
      </c>
      <c r="F509">
        <f>IF(Skills!N15=TRUE,(Skills!L15/10)*(E509/1000),Skills!L15/10)+Skills!O15</f>
        <v/>
      </c>
      <c r="G509">
        <f>Calc!G15</f>
        <v/>
      </c>
      <c r="H509">
        <f>Calc!H15</f>
        <v/>
      </c>
      <c r="I509">
        <f>IF(Skills!X15&lt;&gt;"",1+(Skills!X15/10)*(Z497/1000)/100,1)</f>
        <v/>
      </c>
      <c r="J509">
        <f>((Inputs!$B$6*(1+Inputs!$B$7/100))+(((Inputs!$B$12*(1+Inputs!$B$13/100))-(Inputs!$B$12*(1+Inputs!$B$13/100)))+0.25*(Inputs!$B$14-Inputs!$B$14))*(1+Inputs!$B$7/100))*(F509/100)</f>
        <v/>
      </c>
      <c r="K509">
        <f>J509*(1+((Inputs!$B$12*(1+Inputs!$B$13/100))*0.01+Inputs!$B$14*0.0025)/100)*(1+Inputs!$B$15/100)*(1+IF(Inputs!$B$38="pvp",0,(1-Summary!$B$56)*(Inputs!$B$20+Skills!P15)+Summary!$B$56*(Inputs!$B$21+Skills!Q15))/100)*(1+Inputs!$B$16/100)*(5000/(6000+Inputs!$B$42*(1-Inputs!$B$19/100)))*(1+Inputs!$B$24/100)*(1+F517/100)*(1+IF(Inputs!$B$3&gt;=120,F520,0)/100)^5*(1+(IF(Skills!A15="BASIC_ATTACK",Inputs!$B$17,Inputs!$B$18+IF(Inputs!$B$3&gt;=125,F521*5,0)))/100)*(B524*B525*B526*I509)</f>
        <v/>
      </c>
      <c r="L509">
        <f>K509*(MIN(Inputs!$B$22+(F516-Calc!F22),Inputs!$B$23)/100+Inputs!$B$23/100)/2</f>
        <v/>
      </c>
      <c r="M509">
        <f>L509*(1+(Inputs!$B$10+(F515-Calc!F21))/100)</f>
        <v/>
      </c>
      <c r="N509">
        <f>L509*(1-MIN(Inputs!$B$9+(F514-Calc!F20),100)/100)+M509*(MIN(Inputs!$B$9+(F514-Calc!F20),100)/100)</f>
        <v/>
      </c>
      <c r="O509">
        <f>IF(C509,H509*N509*IF(AND(Inputs!$B$38&lt;&gt;"pvp",Inputs!$B$43&gt;0),((Skills!G15*((R509-1)*IF(Skills!H15&gt;0,Skills!I15/Skills!H15,1)+IF(Skills!H15&gt;0,MIN(Skills!I15,MAX(0,Inputs!$B$43-((R509-1)*IF(Inputs!$B$38="pvp",15,MAX(0.1,Skills!E15-IF(Skills!F15=TRUE,Inputs!$B$32,0))))))/Skills!H15,1)))/Inputs!$B$43),G509*Q509)*IF(Inputs!$B$38="pvp",1,(1-Summary!$B$56)*(1)+Summary!$B$56*(MIN(Skills!R15,Inputs!$B$37))),0)</f>
        <v/>
      </c>
      <c r="P509">
        <f>IF(B533=0,0,O509/B533)</f>
        <v/>
      </c>
      <c r="Q509">
        <f>IFERROR(1/IF(Inputs!$B$38="pvp",15,MAX(0.1,Skills!E15-IF(Skills!F15=TRUE,Inputs!$B$32,0))),0)</f>
        <v/>
      </c>
      <c r="R509">
        <f>IF(AND(Inputs!$B$38&lt;&gt;"pvp",Inputs!$B$43&gt;0),(INT(Inputs!$B$43/IF(Inputs!$B$38="pvp",15,MAX(0.1,Skills!E15-IF(Skills!F15=TRUE,Inputs!$B$32,0))))+1),0)</f>
        <v/>
      </c>
    </row>
    <row r="510">
      <c r="A510">
        <f>Skills!A16</f>
        <v/>
      </c>
      <c r="B510">
        <f>Skills!B16</f>
        <v/>
      </c>
      <c r="C510">
        <f>Inputs!$B$3&gt;=107</f>
        <v/>
      </c>
      <c r="D510">
        <f>IF(Skills!C16=1,60+Inputs!$B$25+Inputs!$B$29,IF(Skills!C16=2,90+Inputs!$B$26+Inputs!$B$29,IF(Skills!C16=3,120+Inputs!$B$27+Inputs!$B$29,MAX(0,(Inputs!$B$3-100)*3)+Inputs!$B$28+Inputs!$B$29)))</f>
        <v/>
      </c>
      <c r="E510">
        <f>INDEX(FactorTable!$B$2:$Y$301, MATCH(ROUND(MIN(300,MAX(1,D510)),0), FactorTable!$A$2:$A$301,0), Skills!M16+1)</f>
        <v/>
      </c>
      <c r="F510">
        <f>IF(Skills!N16=TRUE,(Skills!L16/10)*(E510/1000),Skills!L16/10)+Skills!O16</f>
        <v/>
      </c>
      <c r="G510">
        <f>Calc!G16</f>
        <v/>
      </c>
      <c r="H510">
        <f>Calc!H16</f>
        <v/>
      </c>
      <c r="I510">
        <f>IF(Skills!X16&lt;&gt;"",1+(Skills!X16/10)*(Z497/1000)/100,1)</f>
        <v/>
      </c>
      <c r="J510">
        <f>((Inputs!$B$6*(1+Inputs!$B$7/100))+(((Inputs!$B$12*(1+Inputs!$B$13/100))-(Inputs!$B$12*(1+Inputs!$B$13/100)))+0.25*(Inputs!$B$14-Inputs!$B$14))*(1+Inputs!$B$7/100))*(F510/100)</f>
        <v/>
      </c>
      <c r="K510">
        <f>J510*(1+((Inputs!$B$12*(1+Inputs!$B$13/100))*0.01+Inputs!$B$14*0.0025)/100)*(1+Inputs!$B$15/100)*(1+IF(Inputs!$B$38="pvp",0,(1-Summary!$B$56)*(Inputs!$B$20+Skills!P16)+Summary!$B$56*(Inputs!$B$21+Skills!Q16))/100)*(1+Inputs!$B$16/100)*(5000/(6000+Inputs!$B$42*(1-Inputs!$B$19/100)))*(1+Inputs!$B$24/100)*(1+F517/100)*(1+IF(Inputs!$B$3&gt;=120,F520,0)/100)^5*(1+(IF(Skills!A16="BASIC_ATTACK",Inputs!$B$17,Inputs!$B$18+IF(Inputs!$B$3&gt;=125,F521*5,0)))/100)*(B524*B525*B526*I510)</f>
        <v/>
      </c>
      <c r="L510">
        <f>K510*(MIN(Inputs!$B$22+(F516-Calc!F22),Inputs!$B$23)/100+Inputs!$B$23/100)/2</f>
        <v/>
      </c>
      <c r="M510">
        <f>L510*(1+(Inputs!$B$10+(F515-Calc!F21))/100)</f>
        <v/>
      </c>
      <c r="N510">
        <f>L510*(1-MIN(Inputs!$B$9+(F514-Calc!F20),100)/100)+M510*(MIN(Inputs!$B$9+(F514-Calc!F20),100)/100)</f>
        <v/>
      </c>
      <c r="O510">
        <f>IF(C510,H510*N510*IF(AND(Inputs!$B$38&lt;&gt;"pvp",Inputs!$B$43&gt;0),((Skills!G16*((R510-1)*IF(Skills!H16&gt;0,Skills!I16/Skills!H16,1)+IF(Skills!H16&gt;0,MIN(Skills!I16,MAX(0,Inputs!$B$43-((R510-1)*IF(Inputs!$B$38="pvp",15,MAX(0.1,Skills!E16-IF(Skills!F16=TRUE,Inputs!$B$32,0))))))/Skills!H16,1)))/Inputs!$B$43),G510*Q510)*(1+IF(Inputs!$B$3&gt;=126,0.05*(B530+Q507+(H508*B531)/(1+Skills!H14*H508*B531)+Q518),0)*Skills!E15)*IF(Inputs!$B$38="pvp",1,(1-Summary!$B$56)*(1)+Summary!$B$56*(MIN(Skills!R16,Inputs!$B$37))),0)</f>
        <v/>
      </c>
      <c r="P510">
        <f>IF(B533=0,0,O510/B533)</f>
        <v/>
      </c>
      <c r="Q510">
        <f>IFERROR(1/IF(Inputs!$B$38="pvp",15,MAX(0.1,Skills!E16-IF(Skills!F16=TRUE,Inputs!$B$32,0))),0)</f>
        <v/>
      </c>
      <c r="R510">
        <f>IF(AND(Inputs!$B$38&lt;&gt;"pvp",Inputs!$B$43&gt;0),(INT(Inputs!$B$43/IF(Inputs!$B$38="pvp",15,MAX(0.1,Skills!E16-IF(Skills!F16=TRUE,Inputs!$B$32,0))))+1),0)</f>
        <v/>
      </c>
    </row>
    <row r="511">
      <c r="A511">
        <f>Skills!A17</f>
        <v/>
      </c>
      <c r="B511">
        <f>Skills!B17</f>
        <v/>
      </c>
      <c r="C511">
        <f>TRUE</f>
        <v/>
      </c>
      <c r="D511">
        <f>IF(Skills!C17=1,60+Inputs!$B$25+Inputs!$B$29,IF(Skills!C17=2,90+Inputs!$B$26+Inputs!$B$29,IF(Skills!C17=3,120+Inputs!$B$27+Inputs!$B$29,MAX(0,(Inputs!$B$3-100)*3)+Inputs!$B$28+Inputs!$B$29)))</f>
        <v/>
      </c>
      <c r="E511">
        <f>INDEX(FactorTable!$B$2:$Y$301, MATCH(ROUND(MIN(300,MAX(1,D511)),0), FactorTable!$A$2:$A$301,0), Skills!M17+1)</f>
        <v/>
      </c>
      <c r="F511">
        <f>IF(Skills!N17=TRUE,(Skills!L17/10)*(E511/1000),Skills!L17/10)+Skills!O17</f>
        <v/>
      </c>
      <c r="G511">
        <f>Calc!G17</f>
        <v/>
      </c>
      <c r="H511">
        <f>Calc!H17</f>
        <v/>
      </c>
      <c r="I511">
        <f>IF(Skills!X17&lt;&gt;"",1+(Skills!X17/10)*(Z497/1000)/100,1)</f>
        <v/>
      </c>
      <c r="J511" t="inlineStr"/>
      <c r="K511" t="inlineStr"/>
      <c r="L511" t="inlineStr"/>
      <c r="M511" t="inlineStr"/>
      <c r="N511" t="inlineStr"/>
      <c r="O511" t="n">
        <v>0</v>
      </c>
      <c r="P511">
        <f>IF(B533=0,0,O511/B533)</f>
        <v/>
      </c>
      <c r="Q511">
        <f>IFERROR(1/IF(Inputs!$B$38="pvp",15,MAX(0.1,Skills!E17-IF(Skills!F17=TRUE,Inputs!$B$32,0))),0)</f>
        <v/>
      </c>
      <c r="R511">
        <f>IF(AND(Inputs!$B$38&lt;&gt;"pvp",Inputs!$B$43&gt;0),(INT(Inputs!$B$43/IF(Inputs!$B$38="pvp",15,MAX(0.1,Skills!E17-IF(Skills!F17=TRUE,Inputs!$B$32,0))))+1),0)</f>
        <v/>
      </c>
    </row>
    <row r="512">
      <c r="A512">
        <f>Skills!A18</f>
        <v/>
      </c>
      <c r="B512">
        <f>Skills!B18</f>
        <v/>
      </c>
      <c r="C512">
        <f>TRUE</f>
        <v/>
      </c>
      <c r="D512">
        <f>IF(Skills!C18=1,60+Inputs!$B$25+Inputs!$B$29,IF(Skills!C18=2,90+Inputs!$B$26+Inputs!$B$29,IF(Skills!C18=3,120+Inputs!$B$27+Inputs!$B$29,MAX(0,(Inputs!$B$3-100)*3)+Inputs!$B$28+Inputs!$B$29)))</f>
        <v/>
      </c>
      <c r="E512">
        <f>INDEX(FactorTable!$B$2:$Y$301, MATCH(ROUND(MIN(300,MAX(1,D512)),0), FactorTable!$A$2:$A$301,0), Skills!M18+1)</f>
        <v/>
      </c>
      <c r="F512">
        <f>IF(Skills!N18=TRUE,(Skills!L18/10)*(E512/1000),Skills!L18/10)+Skills!O18</f>
        <v/>
      </c>
      <c r="G512">
        <f>Calc!G18</f>
        <v/>
      </c>
      <c r="H512">
        <f>Calc!H18</f>
        <v/>
      </c>
      <c r="I512">
        <f>IF(Skills!X18&lt;&gt;"",1+(Skills!X18/10)*(Z497/1000)/100,1)</f>
        <v/>
      </c>
      <c r="J512" t="inlineStr"/>
      <c r="K512" t="inlineStr"/>
      <c r="L512" t="inlineStr"/>
      <c r="M512" t="inlineStr"/>
      <c r="N512" t="inlineStr"/>
      <c r="O512" t="n">
        <v>0</v>
      </c>
      <c r="P512">
        <f>IF(B533=0,0,O512/B533)</f>
        <v/>
      </c>
      <c r="Q512">
        <f>IFERROR(1/IF(Inputs!$B$38="pvp",15,MAX(0.1,Skills!E18-IF(Skills!F18=TRUE,Inputs!$B$32,0))),0)</f>
        <v/>
      </c>
      <c r="R512">
        <f>IF(AND(Inputs!$B$38&lt;&gt;"pvp",Inputs!$B$43&gt;0),(INT(Inputs!$B$43/IF(Inputs!$B$38="pvp",15,MAX(0.1,Skills!E18-IF(Skills!F18=TRUE,Inputs!$B$32,0))))+1),0)</f>
        <v/>
      </c>
    </row>
    <row r="513">
      <c r="A513">
        <f>Skills!A19</f>
        <v/>
      </c>
      <c r="B513">
        <f>Skills!B19</f>
        <v/>
      </c>
      <c r="C513">
        <f>Inputs!$B$3&gt;=110</f>
        <v/>
      </c>
      <c r="D513">
        <f>IF(Skills!C19=1,60+Inputs!$B$25+Inputs!$B$29,IF(Skills!C19=2,90+Inputs!$B$26+Inputs!$B$29,IF(Skills!C19=3,120+Inputs!$B$27+Inputs!$B$29,MAX(0,(Inputs!$B$3-100)*3)+Inputs!$B$28+Inputs!$B$29)))</f>
        <v/>
      </c>
      <c r="E513">
        <f>INDEX(FactorTable!$B$2:$Y$301, MATCH(ROUND(MIN(300,MAX(1,D513)),0), FactorTable!$A$2:$A$301,0), Skills!M19+1)</f>
        <v/>
      </c>
      <c r="F513">
        <f>IF(Skills!N19=TRUE,(Skills!L19/10)*(E513/1000),Skills!L19/10)+Skills!O19</f>
        <v/>
      </c>
      <c r="G513">
        <f>Calc!G19</f>
        <v/>
      </c>
      <c r="H513">
        <f>Calc!H19</f>
        <v/>
      </c>
      <c r="I513">
        <f>IF(Skills!X19&lt;&gt;"",1+(Skills!X19/10)*(Z497/1000)/100,1)</f>
        <v/>
      </c>
      <c r="J513" t="inlineStr"/>
      <c r="K513" t="inlineStr"/>
      <c r="L513" t="inlineStr"/>
      <c r="M513" t="inlineStr"/>
      <c r="N513" t="inlineStr"/>
      <c r="O513" t="n">
        <v>0</v>
      </c>
      <c r="P513">
        <f>IF(B533=0,0,O513/B533)</f>
        <v/>
      </c>
      <c r="Q513">
        <f>IFERROR(1/IF(Inputs!$B$38="pvp",15,MAX(0.1,Skills!E19-IF(Skills!F19=TRUE,Inputs!$B$32,0))),0)</f>
        <v/>
      </c>
      <c r="R513">
        <f>IF(AND(Inputs!$B$38&lt;&gt;"pvp",Inputs!$B$43&gt;0),(INT(Inputs!$B$43/IF(Inputs!$B$38="pvp",15,MAX(0.1,Skills!E19-IF(Skills!F19=TRUE,Inputs!$B$32,0))))+1),0)</f>
        <v/>
      </c>
    </row>
    <row r="514">
      <c r="A514">
        <f>Skills!A20</f>
        <v/>
      </c>
      <c r="B514">
        <f>Skills!B20</f>
        <v/>
      </c>
      <c r="C514">
        <f>TRUE</f>
        <v/>
      </c>
      <c r="D514">
        <f>IF(Skills!C20=1,60+Inputs!$B$25+Inputs!$B$29,IF(Skills!C20=2,90+Inputs!$B$26+Inputs!$B$29,IF(Skills!C20=3,120+Inputs!$B$27+Inputs!$B$29,MAX(0,(Inputs!$B$3-100)*3)+Inputs!$B$28+Inputs!$B$29)))</f>
        <v/>
      </c>
      <c r="E514">
        <f>INDEX(FactorTable!$B$2:$Y$301, MATCH(ROUND(MIN(300,MAX(1,D514)),0), FactorTable!$A$2:$A$301,0), Skills!M20+1)</f>
        <v/>
      </c>
      <c r="F514">
        <f>IF(Skills!N20=TRUE,(Skills!L20/10)*(E514/1000),Skills!L20/10)+Skills!O20</f>
        <v/>
      </c>
      <c r="G514">
        <f>Calc!G20</f>
        <v/>
      </c>
      <c r="H514">
        <f>Calc!H20</f>
        <v/>
      </c>
      <c r="I514">
        <f>IF(Skills!X20&lt;&gt;"",1+(Skills!X20/10)*(Z497/1000)/100,1)</f>
        <v/>
      </c>
      <c r="J514" t="inlineStr"/>
      <c r="K514" t="inlineStr"/>
      <c r="L514" t="inlineStr"/>
      <c r="M514" t="inlineStr"/>
      <c r="N514" t="inlineStr"/>
      <c r="O514" t="n">
        <v>0</v>
      </c>
      <c r="P514">
        <f>IF(B533=0,0,O514/B533)</f>
        <v/>
      </c>
      <c r="Q514">
        <f>IFERROR(1/IF(Inputs!$B$38="pvp",15,MAX(0.1,Skills!E20-IF(Skills!F20=TRUE,Inputs!$B$32,0))),0)</f>
        <v/>
      </c>
      <c r="R514" t="n">
        <v>0</v>
      </c>
    </row>
    <row r="515">
      <c r="A515">
        <f>Skills!A21</f>
        <v/>
      </c>
      <c r="B515">
        <f>Skills!B21</f>
        <v/>
      </c>
      <c r="C515">
        <f>TRUE</f>
        <v/>
      </c>
      <c r="D515">
        <f>IF(Skills!C21=1,60+Inputs!$B$25+Inputs!$B$29,IF(Skills!C21=2,90+Inputs!$B$26+Inputs!$B$29,IF(Skills!C21=3,120+Inputs!$B$27+Inputs!$B$29,MAX(0,(Inputs!$B$3-100)*3)+Inputs!$B$28+Inputs!$B$29)))</f>
        <v/>
      </c>
      <c r="E515">
        <f>INDEX(FactorTable!$B$2:$Y$301, MATCH(ROUND(MIN(300,MAX(1,D515)),0), FactorTable!$A$2:$A$301,0), Skills!M21+1)</f>
        <v/>
      </c>
      <c r="F515">
        <f>IF(Skills!N21=TRUE,(Skills!L21/10)*(E515/1000),Skills!L21/10)+Skills!O21</f>
        <v/>
      </c>
      <c r="G515">
        <f>Calc!G21</f>
        <v/>
      </c>
      <c r="H515">
        <f>Calc!H21</f>
        <v/>
      </c>
      <c r="I515">
        <f>IF(Skills!X21&lt;&gt;"",1+(Skills!X21/10)*(Z497/1000)/100,1)</f>
        <v/>
      </c>
      <c r="J515" t="inlineStr"/>
      <c r="K515" t="inlineStr"/>
      <c r="L515" t="inlineStr"/>
      <c r="M515" t="inlineStr"/>
      <c r="N515" t="inlineStr"/>
      <c r="O515" t="n">
        <v>0</v>
      </c>
      <c r="P515">
        <f>IF(B533=0,0,O515/B533)</f>
        <v/>
      </c>
      <c r="Q515">
        <f>IFERROR(1/IF(Inputs!$B$38="pvp",15,MAX(0.1,Skills!E21-IF(Skills!F21=TRUE,Inputs!$B$32,0))),0)</f>
        <v/>
      </c>
      <c r="R515" t="n">
        <v>0</v>
      </c>
    </row>
    <row r="516">
      <c r="A516">
        <f>Skills!A22</f>
        <v/>
      </c>
      <c r="B516">
        <f>Skills!B22</f>
        <v/>
      </c>
      <c r="C516">
        <f>TRUE</f>
        <v/>
      </c>
      <c r="D516">
        <f>IF(Skills!C22=1,60+Inputs!$B$25+Inputs!$B$29,IF(Skills!C22=2,90+Inputs!$B$26+Inputs!$B$29,IF(Skills!C22=3,120+Inputs!$B$27+Inputs!$B$29,MAX(0,(Inputs!$B$3-100)*3)+Inputs!$B$28+Inputs!$B$29)))</f>
        <v/>
      </c>
      <c r="E516">
        <f>INDEX(FactorTable!$B$2:$Y$301, MATCH(ROUND(MIN(300,MAX(1,D516)),0), FactorTable!$A$2:$A$301,0), Skills!M22+1)</f>
        <v/>
      </c>
      <c r="F516">
        <f>IF(Skills!N22=TRUE,(Skills!L22/10)*(E516/1000),Skills!L22/10)+Skills!O22</f>
        <v/>
      </c>
      <c r="G516">
        <f>Calc!G22</f>
        <v/>
      </c>
      <c r="H516">
        <f>Calc!H22</f>
        <v/>
      </c>
      <c r="I516">
        <f>IF(Skills!X22&lt;&gt;"",1+(Skills!X22/10)*(Z497/1000)/100,1)</f>
        <v/>
      </c>
      <c r="J516" t="inlineStr"/>
      <c r="K516" t="inlineStr"/>
      <c r="L516" t="inlineStr"/>
      <c r="M516" t="inlineStr"/>
      <c r="N516" t="inlineStr"/>
      <c r="O516" t="n">
        <v>0</v>
      </c>
      <c r="P516">
        <f>IF(B533=0,0,O516/B533)</f>
        <v/>
      </c>
      <c r="Q516">
        <f>IFERROR(1/IF(Inputs!$B$38="pvp",15,MAX(0.1,Skills!E22-IF(Skills!F22=TRUE,Inputs!$B$32,0))),0)</f>
        <v/>
      </c>
      <c r="R516" t="n">
        <v>0</v>
      </c>
    </row>
    <row r="517">
      <c r="A517">
        <f>Skills!A23</f>
        <v/>
      </c>
      <c r="B517">
        <f>Skills!B23</f>
        <v/>
      </c>
      <c r="C517">
        <f>TRUE</f>
        <v/>
      </c>
      <c r="D517">
        <f>IF(Skills!C23=1,60+Inputs!$B$25+Inputs!$B$29,IF(Skills!C23=2,90+Inputs!$B$26+Inputs!$B$29,IF(Skills!C23=3,120+Inputs!$B$27+Inputs!$B$29,MAX(0,(Inputs!$B$3-100)*3)+Inputs!$B$28+Inputs!$B$29)))</f>
        <v/>
      </c>
      <c r="E517">
        <f>INDEX(FactorTable!$B$2:$Y$301, MATCH(ROUND(MIN(300,MAX(1,D517)),0), FactorTable!$A$2:$A$301,0), Skills!M23+1)</f>
        <v/>
      </c>
      <c r="F517">
        <f>IF(Skills!N23=TRUE,(Skills!L23/10)*(E517/1000),Skills!L23/10)+Skills!O23</f>
        <v/>
      </c>
      <c r="G517">
        <f>Calc!G23</f>
        <v/>
      </c>
      <c r="H517">
        <f>Calc!H23</f>
        <v/>
      </c>
      <c r="I517">
        <f>IF(Skills!X23&lt;&gt;"",1+(Skills!X23/10)*(Z497/1000)/100,1)</f>
        <v/>
      </c>
      <c r="J517" t="inlineStr"/>
      <c r="K517" t="inlineStr"/>
      <c r="L517" t="inlineStr"/>
      <c r="M517" t="inlineStr"/>
      <c r="N517" t="inlineStr"/>
      <c r="O517" t="n">
        <v>0</v>
      </c>
      <c r="P517">
        <f>IF(B533=0,0,O517/B533)</f>
        <v/>
      </c>
      <c r="Q517">
        <f>IFERROR(1/IF(Inputs!$B$38="pvp",15,MAX(0.1,Skills!E23-IF(Skills!F23=TRUE,Inputs!$B$32,0))),0)</f>
        <v/>
      </c>
      <c r="R517" t="n">
        <v>0</v>
      </c>
    </row>
    <row r="518">
      <c r="A518">
        <f>Skills!A24</f>
        <v/>
      </c>
      <c r="B518">
        <f>Skills!B24</f>
        <v/>
      </c>
      <c r="C518">
        <f>Inputs!$B$3&gt;=115</f>
        <v/>
      </c>
      <c r="D518">
        <f>IF(Skills!C24=1,60+Inputs!$B$25+Inputs!$B$29,IF(Skills!C24=2,90+Inputs!$B$26+Inputs!$B$29,IF(Skills!C24=3,120+Inputs!$B$27+Inputs!$B$29,MAX(0,(Inputs!$B$3-100)*3)+Inputs!$B$28+Inputs!$B$29)))</f>
        <v/>
      </c>
      <c r="E518">
        <f>INDEX(FactorTable!$B$2:$Y$301, MATCH(ROUND(MIN(300,MAX(1,D518)),0), FactorTable!$A$2:$A$301,0), Skills!M24+1)</f>
        <v/>
      </c>
      <c r="F518">
        <f>IF(Skills!N24=TRUE,(Skills!L24/10)*(E518/1000),Skills!L24/10)+Skills!O24</f>
        <v/>
      </c>
      <c r="G518">
        <f>Calc!G24</f>
        <v/>
      </c>
      <c r="H518">
        <f>Calc!H24</f>
        <v/>
      </c>
      <c r="I518">
        <f>IF(Skills!X24&lt;&gt;"",1+(Skills!X24/10)*(Z497/1000)/100,1)</f>
        <v/>
      </c>
      <c r="J518">
        <f>((Inputs!$B$6*(1+Inputs!$B$7/100))+(((Inputs!$B$12*(1+Inputs!$B$13/100))-(Inputs!$B$12*(1+Inputs!$B$13/100)))+0.25*(Inputs!$B$14-Inputs!$B$14))*(1+Inputs!$B$7/100))*(F518/100)</f>
        <v/>
      </c>
      <c r="K518">
        <f>J518*(1+((Inputs!$B$12*(1+Inputs!$B$13/100))*0.01+Inputs!$B$14*0.0025)/100)*(1+Inputs!$B$15/100)*(1+IF(Inputs!$B$38="pvp",0,(1-Summary!$B$56)*(Inputs!$B$20+Skills!P24)+Summary!$B$56*(Inputs!$B$21+Skills!Q24))/100)*(1+Inputs!$B$16/100)*(5000/(6000+Inputs!$B$42*(1-Inputs!$B$19/100)))*(1+Inputs!$B$24/100)*(1+F517/100)*(1+IF(Inputs!$B$3&gt;=120,F520,0)/100)^5*(1+(IF(Skills!A24="BASIC_ATTACK",Inputs!$B$17,Inputs!$B$18+IF(Inputs!$B$3&gt;=125,F521*5,0)))/100)*(B524*B525*B526*I518)</f>
        <v/>
      </c>
      <c r="L518">
        <f>K518*(MIN(Inputs!$B$22+(F516-Calc!F22),Inputs!$B$23)/100+Inputs!$B$23/100)/2</f>
        <v/>
      </c>
      <c r="M518">
        <f>L518*(1+(Inputs!$B$10+(F515-Calc!F21))/100)</f>
        <v/>
      </c>
      <c r="N518">
        <f>L518*(1-MIN(Inputs!$B$9+(F514-Calc!F20),100)/100)+M518*(MIN(Inputs!$B$9+(F514-Calc!F20),100)/100)</f>
        <v/>
      </c>
      <c r="O518">
        <f>IF(C518,H518*N518*IF(AND(Inputs!$B$38&lt;&gt;"pvp",Inputs!$B$43&gt;0),((Skills!G24*((R518-1)*IF(Skills!H24&gt;0,Skills!I24/Skills!H24,1)+IF(Skills!H24&gt;0,MIN(Skills!I24,MAX(0,Inputs!$B$43-((R518-1)*IF(Inputs!$B$38="pvp",15,MAX(0.1,Skills!E24-IF(Skills!F24=TRUE,Inputs!$B$32,0))))))/Skills!H24,1)))/Inputs!$B$43),G518*Q518)*(1+IF(Inputs!$B$3&gt;=130,0.2*(Skills!I16/Skills!E15+IF(Inputs!$B$3&gt;=126,0.05*(B530+Q507+(H508*B531)/(1+Skills!H14*H508*B531)+Q518),0)*Skills!I16),0))*IF(Inputs!$B$38="pvp",1,(1-Summary!$B$56)*(1)+Summary!$B$56*(MIN(Skills!R24,Inputs!$B$37))),0)</f>
        <v/>
      </c>
      <c r="P518">
        <f>IF(B533=0,0,O518/B533)</f>
        <v/>
      </c>
      <c r="Q518">
        <f>IFERROR(1/IF(Inputs!$B$38="pvp",15,MAX(0.1,Skills!E24-IF(Skills!F24=TRUE,Inputs!$B$32,0))),0)</f>
        <v/>
      </c>
      <c r="R518">
        <f>IF(AND(Inputs!$B$38&lt;&gt;"pvp",Inputs!$B$43&gt;0),(INT(Inputs!$B$43/IF(Inputs!$B$38="pvp",15,MAX(0.1,Skills!E24-IF(Skills!F24=TRUE,Inputs!$B$32,0))))+1),0)</f>
        <v/>
      </c>
    </row>
    <row r="519">
      <c r="A519">
        <f>Skills!A25</f>
        <v/>
      </c>
      <c r="B519">
        <f>Skills!B25</f>
        <v/>
      </c>
      <c r="C519">
        <f>Inputs!$B$3&gt;=117</f>
        <v/>
      </c>
      <c r="D519">
        <f>IF(Skills!C25=1,60+Inputs!$B$25+Inputs!$B$29,IF(Skills!C25=2,90+Inputs!$B$26+Inputs!$B$29,IF(Skills!C25=3,120+Inputs!$B$27+Inputs!$B$29,MAX(0,(Inputs!$B$3-100)*3)+Inputs!$B$28+Inputs!$B$29)))</f>
        <v/>
      </c>
      <c r="E519">
        <f>INDEX(FactorTable!$B$2:$Y$301, MATCH(ROUND(MIN(300,MAX(1,D519)),0), FactorTable!$A$2:$A$301,0), Skills!M25+1)</f>
        <v/>
      </c>
      <c r="F519">
        <f>IF(Skills!N25=TRUE,(Skills!L25/10)*(E519/1000),Skills!L25/10)+Skills!O25</f>
        <v/>
      </c>
      <c r="G519">
        <f>Calc!G25</f>
        <v/>
      </c>
      <c r="H519">
        <f>Calc!H25</f>
        <v/>
      </c>
      <c r="I519">
        <f>IF(Skills!X25&lt;&gt;"",1+(Skills!X25/10)*(Z497/1000)/100,1)</f>
        <v/>
      </c>
      <c r="J519" t="inlineStr"/>
      <c r="K519" t="inlineStr"/>
      <c r="L519" t="inlineStr"/>
      <c r="M519" t="inlineStr"/>
      <c r="N519" t="inlineStr"/>
      <c r="O519" t="n">
        <v>0</v>
      </c>
      <c r="P519">
        <f>IF(B533=0,0,O519/B533)</f>
        <v/>
      </c>
      <c r="Q519">
        <f>IFERROR(1/IF(Inputs!$B$38="pvp",15,MAX(0.1,Skills!E25-IF(Skills!F25=TRUE,Inputs!$B$32,0))),0)</f>
        <v/>
      </c>
      <c r="R519" t="n">
        <v>0</v>
      </c>
    </row>
    <row r="520">
      <c r="A520">
        <f>Skills!A26</f>
        <v/>
      </c>
      <c r="B520">
        <f>Skills!B26</f>
        <v/>
      </c>
      <c r="C520">
        <f>Inputs!$B$3&gt;=120</f>
        <v/>
      </c>
      <c r="D520">
        <f>IF(Skills!C26=1,60+Inputs!$B$25+Inputs!$B$29,IF(Skills!C26=2,90+Inputs!$B$26+Inputs!$B$29,IF(Skills!C26=3,120+Inputs!$B$27+Inputs!$B$29,MAX(0,(Inputs!$B$3-100)*3)+Inputs!$B$28+Inputs!$B$29)))</f>
        <v/>
      </c>
      <c r="E520">
        <f>INDEX(FactorTable!$B$2:$Y$301, MATCH(ROUND(MIN(300,MAX(1,D520)),0), FactorTable!$A$2:$A$301,0), Skills!M26+1)</f>
        <v/>
      </c>
      <c r="F520">
        <f>IF(Skills!N26=TRUE,(Skills!L26/10)*(E520/1000),Skills!L26/10)+Skills!O26</f>
        <v/>
      </c>
      <c r="G520">
        <f>Calc!G26</f>
        <v/>
      </c>
      <c r="H520">
        <f>Calc!H26</f>
        <v/>
      </c>
      <c r="I520">
        <f>IF(Skills!X26&lt;&gt;"",1+(Skills!X26/10)*(Z497/1000)/100,1)</f>
        <v/>
      </c>
      <c r="J520" t="inlineStr"/>
      <c r="K520" t="inlineStr"/>
      <c r="L520" t="inlineStr"/>
      <c r="M520" t="inlineStr"/>
      <c r="N520" t="inlineStr"/>
      <c r="O520" t="n">
        <v>0</v>
      </c>
      <c r="P520">
        <f>IF(B533=0,0,O520/B533)</f>
        <v/>
      </c>
      <c r="Q520">
        <f>IFERROR(1/IF(Inputs!$B$38="pvp",15,MAX(0.1,Skills!E26-IF(Skills!F26=TRUE,Inputs!$B$32,0))),0)</f>
        <v/>
      </c>
      <c r="R520" t="n">
        <v>0</v>
      </c>
    </row>
    <row r="521">
      <c r="A521">
        <f>Skills!A27</f>
        <v/>
      </c>
      <c r="B521">
        <f>Skills!B27</f>
        <v/>
      </c>
      <c r="C521">
        <f>Inputs!$B$3&gt;=125</f>
        <v/>
      </c>
      <c r="D521">
        <f>IF(Skills!C27=1,60+Inputs!$B$25+Inputs!$B$29,IF(Skills!C27=2,90+Inputs!$B$26+Inputs!$B$29,IF(Skills!C27=3,120+Inputs!$B$27+Inputs!$B$29,MAX(0,(Inputs!$B$3-100)*3)+Inputs!$B$28+Inputs!$B$29)))</f>
        <v/>
      </c>
      <c r="E521">
        <f>INDEX(FactorTable!$B$2:$Y$301, MATCH(ROUND(MIN(300,MAX(1,D521)),0), FactorTable!$A$2:$A$301,0), Skills!M27+1)</f>
        <v/>
      </c>
      <c r="F521">
        <f>IF(Skills!N27=TRUE,(Skills!L27/10)*(E521/1000),Skills!L27/10)+Skills!O27</f>
        <v/>
      </c>
      <c r="G521">
        <f>Calc!G27</f>
        <v/>
      </c>
      <c r="H521">
        <f>Calc!H27</f>
        <v/>
      </c>
      <c r="I521">
        <f>IF(Skills!X27&lt;&gt;"",1+(Skills!X27/10)*(Z497/1000)/100,1)</f>
        <v/>
      </c>
      <c r="J521" t="inlineStr"/>
      <c r="K521" t="inlineStr"/>
      <c r="L521" t="inlineStr"/>
      <c r="M521" t="inlineStr"/>
      <c r="N521" t="inlineStr"/>
      <c r="O521" t="n">
        <v>0</v>
      </c>
      <c r="P521">
        <f>IF(B533=0,0,O521/B533)</f>
        <v/>
      </c>
      <c r="Q521">
        <f>IFERROR(1/IF(Inputs!$B$38="pvp",15,MAX(0.1,Skills!E27-IF(Skills!F27=TRUE,Inputs!$B$32,0))),0)</f>
        <v/>
      </c>
      <c r="R521" t="n">
        <v>0</v>
      </c>
    </row>
    <row r="522">
      <c r="A522">
        <f>Skills!A28</f>
        <v/>
      </c>
      <c r="B522">
        <f>Skills!B28</f>
        <v/>
      </c>
      <c r="C522">
        <f>Inputs!$B$3&gt;=118</f>
        <v/>
      </c>
      <c r="D522">
        <f>IF(Skills!C28=1,60+Inputs!$B$25+Inputs!$B$29,IF(Skills!C28=2,90+Inputs!$B$26+Inputs!$B$29,IF(Skills!C28=3,120+Inputs!$B$27+Inputs!$B$29,MAX(0,(Inputs!$B$3-100)*3)+Inputs!$B$28+Inputs!$B$29)))</f>
        <v/>
      </c>
      <c r="E522">
        <f>INDEX(FactorTable!$B$2:$Y$301, MATCH(ROUND(MIN(300,MAX(1,D522)),0), FactorTable!$A$2:$A$301,0), Skills!M28+1)</f>
        <v/>
      </c>
      <c r="F522">
        <f>IF(Skills!N28=TRUE,(Skills!L28/10)*(E522/1000),Skills!L28/10)+Skills!O28</f>
        <v/>
      </c>
      <c r="G522">
        <f>Calc!G28</f>
        <v/>
      </c>
      <c r="H522">
        <f>Calc!H28</f>
        <v/>
      </c>
      <c r="I522">
        <f>IF(Skills!X28&lt;&gt;"",1+(Skills!X28/10)*(Z497/1000)/100,1)</f>
        <v/>
      </c>
      <c r="J522">
        <f>((Inputs!$B$6*(1+Inputs!$B$7/100))+(((Inputs!$B$12*(1+Inputs!$B$13/100))-(Inputs!$B$12*(1+Inputs!$B$13/100)))+0.25*(Inputs!$B$14-Inputs!$B$14))*(1+Inputs!$B$7/100))*(F522/100)</f>
        <v/>
      </c>
      <c r="K522">
        <f>J522*(1+((Inputs!$B$12*(1+Inputs!$B$13/100))*0.01+Inputs!$B$14*0.0025)/100)*(1+Inputs!$B$15/100)*(1+IF(Inputs!$B$38="pvp",0,(1-Summary!$B$56)*(Inputs!$B$20+Skills!P28)+Summary!$B$56*(Inputs!$B$21+Skills!Q28))/100)*(1+Inputs!$B$16/100)*(5000/(6000+Inputs!$B$42*(1-Inputs!$B$19/100)))*(1+Inputs!$B$24/100)*(1+F517/100)*(1+IF(Inputs!$B$3&gt;=120,F520,0)/100)^5*(1+(IF(Skills!A28="BASIC_ATTACK",Inputs!$B$17,Inputs!$B$18+IF(Inputs!$B$3&gt;=125,F521*5,0)))/100)*(B524*B525*B526*I522)</f>
        <v/>
      </c>
      <c r="L522">
        <f>K522*(MIN(Inputs!$B$22+(F516-Calc!F22),Inputs!$B$23)/100+Inputs!$B$23/100)/2</f>
        <v/>
      </c>
      <c r="M522">
        <f>L522*(1+(Inputs!$B$10+(F515-Calc!F21))/100)</f>
        <v/>
      </c>
      <c r="N522">
        <f>L522*(1-MIN(Inputs!$B$9+(F514-Calc!F20),100)/100)+M522*(MIN(Inputs!$B$9+(F514-Calc!F20),100)/100)</f>
        <v/>
      </c>
      <c r="O522">
        <f>IF(C522,H522*N522*IF(AND(Inputs!$B$38&lt;&gt;"pvp",Inputs!$B$43&gt;0),((Skills!G28*((R522-1)*IF(Skills!H28&gt;0,Skills!I28/Skills!H28,1)+IF(Skills!H28&gt;0,MIN(Skills!I28,MAX(0,Inputs!$B$43-((R522-1)*IF(Inputs!$B$38="pvp",15,MAX(0.1,Skills!E28-IF(Skills!F28=TRUE,Inputs!$B$32,0))))))/Skills!H28,1)))/Inputs!$B$43),G522*Q522)*IF(Inputs!$B$38="pvp",1,(1-Summary!$B$56)*(1)+Summary!$B$56*(MIN(Skills!R28,Inputs!$B$37))),0)</f>
        <v/>
      </c>
      <c r="P522">
        <f>IF(B533=0,0,O522/B533)</f>
        <v/>
      </c>
      <c r="Q522">
        <f>IFERROR(1/IF(Inputs!$B$38="pvp",15,MAX(0.1,Skills!E28-IF(Skills!F28=TRUE,Inputs!$B$32,0))),0)</f>
        <v/>
      </c>
      <c r="R522">
        <f>IF(AND(Inputs!$B$38&lt;&gt;"pvp",Inputs!$B$43&gt;0),(INT(Inputs!$B$43/IF(Inputs!$B$38="pvp",15,MAX(0.1,Skills!E28-IF(Skills!F28=TRUE,Inputs!$B$32,0))))+1),0)</f>
        <v/>
      </c>
    </row>
    <row r="524">
      <c r="A524" t="inlineStr">
        <is>
          <t>Burning Magic Multiplier</t>
        </is>
      </c>
      <c r="B524">
        <f>1+(F505*Skills!Z11)/100</f>
        <v/>
      </c>
    </row>
    <row r="525">
      <c r="A525" t="inlineStr">
        <is>
          <t>Elemental Decrease Multiplier (always-on)</t>
        </is>
      </c>
      <c r="B525">
        <f>1+F506/100</f>
        <v/>
      </c>
    </row>
    <row r="526">
      <c r="A526" t="inlineStr">
        <is>
          <t>Average Buff Multiplier (Magic Guard + Meditation, summed; then Infinity)</t>
        </is>
      </c>
      <c r="B526">
        <f>(1+(F500*IF(AND(Inputs!$B$38&lt;&gt;"pvp",Inputs!$B$43&gt;0),(((R500-1)*(Skills!T6*(1+(Inputs!$B$34+IF(Inputs!$B$3&gt;=117,F519,0))/100))+MIN((Skills!T6*(1+(Inputs!$B$34+IF(Inputs!$B$3&gt;=117,F519,0))/100)),MAX(0,Inputs!$B$43-((R500-1)*Skills!E6))))/Inputs!$B$43),IF(Inputs!$B$38="pvp",MIN((Skills!T6*(1+(Inputs!$B$34+IF(Inputs!$B$3&gt;=117,F519,0))/100)),15)/15,(Skills!T6*(1+(Inputs!$B$34+IF(Inputs!$B$3&gt;=117,F519,0))/100))/Skills!E6))+F511*IF(AND(Inputs!$B$38&lt;&gt;"pvp",Inputs!$B$43&gt;0),(((R511-1)*(Skills!T17*(1+(Inputs!$B$34+IF(Inputs!$B$3&gt;=117,F519,0))/100))+MIN((Skills!T17*(1+(Inputs!$B$34+IF(Inputs!$B$3&gt;=117,F519,0))/100)),MAX(0,Inputs!$B$43-((R511-1)*Skills!E17))))/Inputs!$B$43),IF(Inputs!$B$38="pvp",MIN((Skills!T17*(1+(Inputs!$B$34+IF(Inputs!$B$3&gt;=117,F519,0))/100)),15)/15,(Skills!T17*(1+(Inputs!$B$34+IF(Inputs!$B$3&gt;=117,F519,0))/100))/Skills!E17)))/100)*IF(C513=TRUE,(1+F513*IF(AND(Inputs!$B$38&lt;&gt;"pvp",Inputs!$B$43&gt;0),(((R513-1)*(Skills!T19*(1+(Inputs!$B$34+IF(Inputs!$B$3&gt;=117,F519,0))/100))+MIN((Skills!T19*(1+(Inputs!$B$34+IF(Inputs!$B$3&gt;=117,F519,0))/100)),MAX(0,Inputs!$B$43-((R513-1)*Skills!E19))))/Inputs!$B$43),IF(Inputs!$B$38="pvp",MIN((Skills!T19*(1+(Inputs!$B$34+IF(Inputs!$B$3&gt;=117,F519,0))/100)),15)/15,(Skills!T19*(1+(Inputs!$B$34+IF(Inputs!$B$3&gt;=117,F519,0))/100))/Skills!E19))/100),1)</f>
        <v/>
      </c>
    </row>
    <row r="527">
      <c r="A527" t="inlineStr">
        <is>
          <t>Attack Speed Buff Bonus % (Nimble Feet, averaged)</t>
        </is>
      </c>
      <c r="B527">
        <f>F512*IF(AND(Inputs!$B$38&lt;&gt;"pvp",Inputs!$B$43&gt;0),(((R512-1)*(Skills!T18*(1+(Inputs!$B$34+IF(Inputs!$B$3&gt;=117,F519,0))/100))+MIN((Skills!T18*(1+(Inputs!$B$34+IF(Inputs!$B$3&gt;=117,F519,0))/100)),MAX(0,Inputs!$B$43-((R512-1)*Skills!E18))))/Inputs!$B$43),IF(Inputs!$B$38="pvp",MIN((Skills!T18*(1+(Inputs!$B$34+IF(Inputs!$B$3&gt;=117,F519,0))/100)),15)/15,(Skills!T18*(1+(Inputs!$B$34+IF(Inputs!$B$3&gt;=117,F519,0))/100))/Skills!E18))</f>
        <v/>
      </c>
    </row>
    <row r="528">
      <c r="A528" t="inlineStr">
        <is>
          <t>Actions Per Second</t>
        </is>
      </c>
      <c r="B528">
        <f>1+MIN(150,150*(1-(1-((1-(1-Inputs!$B$11/150)*(1-1/150))*150)/150)*(1-B527/150)))/100</f>
        <v/>
      </c>
    </row>
    <row r="529">
      <c r="A529" t="inlineStr">
        <is>
          <t>Skill + Buff Cast Rate</t>
        </is>
      </c>
      <c r="B529">
        <f>IF(AND(Inputs!$B$38&lt;&gt;"pvp",Inputs!$B$43&gt;0),SUMPRODUCT((Skills!F2:F28=TRUE)*(C496:C522=TRUE)*R496:R522)/Inputs!$B$43,SUMPRODUCT((Skills!F2:F28=TRUE)*(C496:C522=TRUE)*Q496:Q522))</f>
        <v/>
      </c>
    </row>
    <row r="530">
      <c r="A530" t="inlineStr">
        <is>
          <t>Basic Attacks Per Second</t>
        </is>
      </c>
      <c r="B530">
        <f>MAX(0,B528-B529)</f>
        <v/>
      </c>
    </row>
    <row r="531">
      <c r="A531" t="inlineStr">
        <is>
          <t>Meteor Proc — combined trigger cast rate</t>
        </is>
      </c>
      <c r="B531">
        <f>IF(AND(Inputs!$B$38&lt;&gt;"pvp",Inputs!$B$43&gt;0),SUMPRODUCT((Skills!V2:V28=TRUE)*(C496:C522=TRUE)*R496:R522*Skills!W2:W28)/Inputs!$B$43,SUMPRODUCT((Skills!V2:V28=TRUE)*(C496:C522=TRUE)*Q496:Q522*Skills!W2:W28))+B530</f>
        <v/>
      </c>
    </row>
    <row r="533">
      <c r="A533" s="5" t="inlineStr">
        <is>
          <t>TOTAL DPS</t>
        </is>
      </c>
      <c r="B533" s="5">
        <f>SUM(O496:O522)</f>
        <v/>
      </c>
    </row>
    <row r="536">
      <c r="A536" s="5" t="inlineStr">
        <is>
          <t>Stat: DEF_PEN % (diminishing returns, factor 100)</t>
        </is>
      </c>
    </row>
    <row r="537">
      <c r="A537" s="9" t="inlineStr">
        <is>
          <t>Key</t>
        </is>
      </c>
      <c r="B537" s="9" t="inlineStr">
        <is>
          <t>Name</t>
        </is>
      </c>
      <c r="C537" s="9" t="inlineStr">
        <is>
          <t>Unlocked</t>
        </is>
      </c>
      <c r="D537" s="9" t="inlineStr">
        <is>
          <t>InputLevel</t>
        </is>
      </c>
      <c r="E537" s="9" t="inlineStr">
        <is>
          <t>Factor</t>
        </is>
      </c>
      <c r="F537" s="9" t="inlineStr">
        <is>
          <t>CoefficientPercent</t>
        </is>
      </c>
      <c r="G537" s="9" t="inlineStr">
        <is>
          <t>EffectiveHits</t>
        </is>
      </c>
      <c r="H537" s="9" t="inlineStr">
        <is>
          <t>ProcProbability</t>
        </is>
      </c>
      <c r="I537" s="9" t="inlineStr">
        <is>
          <t>MapleHeroMultiplier</t>
        </is>
      </c>
      <c r="J537" s="9" t="inlineStr">
        <is>
          <t>BaseDamage</t>
        </is>
      </c>
      <c r="K537" s="9" t="inlineStr">
        <is>
          <t>BaseHitDamage</t>
        </is>
      </c>
      <c r="L537" s="9" t="inlineStr">
        <is>
          <t>NonCritAvg</t>
        </is>
      </c>
      <c r="M537" s="9" t="inlineStr">
        <is>
          <t>CritAvg</t>
        </is>
      </c>
      <c r="N537" s="9" t="inlineStr">
        <is>
          <t>ExpectedDamage(perHit)</t>
        </is>
      </c>
      <c r="O537" s="9" t="inlineStr">
        <is>
          <t>DPS</t>
        </is>
      </c>
      <c r="P537" s="9" t="inlineStr">
        <is>
          <t>% of Total</t>
        </is>
      </c>
      <c r="R537" t="inlineStr">
        <is>
          <t>helpers</t>
        </is>
      </c>
    </row>
    <row r="538">
      <c r="A538">
        <f>Skills!A2</f>
        <v/>
      </c>
      <c r="B538">
        <f>Skills!B2</f>
        <v/>
      </c>
      <c r="C538">
        <f>TRUE</f>
        <v/>
      </c>
      <c r="D538" t="inlineStr"/>
      <c r="E538" t="inlineStr"/>
      <c r="F538">
        <f>T540+Skills!O2</f>
        <v/>
      </c>
      <c r="G538">
        <f>Calc!G2</f>
        <v/>
      </c>
      <c r="H538">
        <f>Calc!H2</f>
        <v/>
      </c>
      <c r="I538">
        <f>IF(Skills!X2&lt;&gt;"",1+(Skills!X2/10)*(Z539/1000)/100,1)</f>
        <v/>
      </c>
      <c r="J538">
        <f>((Inputs!$B$6*(1+Inputs!$B$7/100))+(((Inputs!$B$12*(1+Inputs!$B$13/100))-(Inputs!$B$12*(1+Inputs!$B$13/100)))+0.25*(Inputs!$B$14-Inputs!$B$14))*(1+Inputs!$B$7/100))*(F538/100)</f>
        <v/>
      </c>
      <c r="K538">
        <f>J538*(1+((Inputs!$B$12*(1+Inputs!$B$13/100))*0.01+Inputs!$B$14*0.0025)/100)*(1+Inputs!$B$15/100)*(1+IF(Inputs!$B$38="pvp",0,(1-Summary!$B$56)*(Inputs!$B$20+Skills!P2)+Summary!$B$56*(Inputs!$B$21+Skills!Q2))/100)*(1+Inputs!$B$16/100)*(5000/(6000+Inputs!$B$42*(1-((1-(1-Inputs!$B$19/100)*(1-1/100))*100)/100)))*(1+Inputs!$B$24/100)*(1+F559/100)*(1+IF(Inputs!$B$3&gt;=120,F562,0)/100)^5*(1+(IF(Skills!A2="BASIC_ATTACK",Inputs!$B$17,Inputs!$B$18+IF(Inputs!$B$3&gt;=125,F563*5,0)))/100)*(B566*B567*B568*I538)</f>
        <v/>
      </c>
      <c r="L538">
        <f>K538*(MIN(Inputs!$B$22+(F558-Calc!F22),Inputs!$B$23)/100+Inputs!$B$23/100)/2</f>
        <v/>
      </c>
      <c r="M538">
        <f>L538*(1+(Inputs!$B$10+(F557-Calc!F21))/100)</f>
        <v/>
      </c>
      <c r="N538">
        <f>L538*(1-MIN(Inputs!$B$9+(F556-Calc!F20),100)/100)+M538*(MIN(Inputs!$B$9+(F556-Calc!F20),100)/100)</f>
        <v/>
      </c>
      <c r="O538">
        <f>Skills!G2*N538*B572*IF(Inputs!$B$38="pvp",1,(1-Summary!$B$56)*(1)+Summary!$B$56*(MIN((6+Inputs!$B$33+IF(Inputs!$B$3&gt;=136,1,0)),Inputs!$B$37)))</f>
        <v/>
      </c>
      <c r="P538">
        <f>IF(B575=0,0,O538/B575)</f>
        <v/>
      </c>
      <c r="Q538">
        <f>IFERROR(1/IF(Inputs!$B$38="pvp",15,MAX(0.1,Skills!E2-IF(Skills!F2=TRUE,Inputs!$B$32,0))),0)</f>
        <v/>
      </c>
      <c r="R538" t="n">
        <v>0</v>
      </c>
      <c r="T538">
        <f>MAX(0,(Inputs!$B$3-100)*3)+Inputs!$B$28+Inputs!$B$29</f>
        <v/>
      </c>
      <c r="Z538">
        <f>MAX(0,(Inputs!$B$3-100)*3)+Inputs!$B$28+Inputs!$B$29</f>
        <v/>
      </c>
    </row>
    <row r="539">
      <c r="A539">
        <f>Skills!A3</f>
        <v/>
      </c>
      <c r="B539">
        <f>Skills!B3</f>
        <v/>
      </c>
      <c r="C539">
        <f>TRUE</f>
        <v/>
      </c>
      <c r="D539">
        <f>IF(Skills!C3=1,60+Inputs!$B$25+Inputs!$B$29,IF(Skills!C3=2,90+Inputs!$B$26+Inputs!$B$29,IF(Skills!C3=3,120+Inputs!$B$27+Inputs!$B$29,MAX(0,(Inputs!$B$3-100)*3)+Inputs!$B$28+Inputs!$B$29)))</f>
        <v/>
      </c>
      <c r="E539">
        <f>INDEX(FactorTable!$B$2:$Y$301, MATCH(ROUND(MIN(300,MAX(1,D539)),0), FactorTable!$A$2:$A$301,0), Skills!M3+1)</f>
        <v/>
      </c>
      <c r="F539">
        <f>IF(Skills!N3=TRUE,(Skills!L3/10)*(E539/1000),Skills!L3/10)+Skills!O3</f>
        <v/>
      </c>
      <c r="G539">
        <f>Calc!G3</f>
        <v/>
      </c>
      <c r="H539">
        <f>Calc!H3</f>
        <v/>
      </c>
      <c r="I539">
        <f>IF(Skills!X3&lt;&gt;"",1+(Skills!X3/10)*(Z539/1000)/100,1)</f>
        <v/>
      </c>
      <c r="J539">
        <f>((Inputs!$B$6*(1+Inputs!$B$7/100))+(((Inputs!$B$12*(1+Inputs!$B$13/100))-(Inputs!$B$12*(1+Inputs!$B$13/100)))+0.25*(Inputs!$B$14-Inputs!$B$14))*(1+Inputs!$B$7/100))*(F539/100)</f>
        <v/>
      </c>
      <c r="K539">
        <f>J539*(1+((Inputs!$B$12*(1+Inputs!$B$13/100))*0.01+Inputs!$B$14*0.0025)/100)*(1+Inputs!$B$15/100)*(1+IF(Inputs!$B$38="pvp",0,(1-Summary!$B$56)*(Inputs!$B$20+Skills!P3)+Summary!$B$56*(Inputs!$B$21+Skills!Q3))/100)*(1+Inputs!$B$16/100)*(5000/(6000+Inputs!$B$42*(1-((1-(1-Inputs!$B$19/100)*(1-1/100))*100)/100)))*(1+Inputs!$B$24/100)*(1+F559/100)*(1+IF(Inputs!$B$3&gt;=120,F562,0)/100)^5*(1+(IF(Skills!A3="BASIC_ATTACK",Inputs!$B$17,Inputs!$B$18+IF(Inputs!$B$3&gt;=125,F563*5,0)))/100)*(B566*B567*B568*I539)</f>
        <v/>
      </c>
      <c r="L539">
        <f>K539*(MIN(Inputs!$B$22+(F558-Calc!F22),Inputs!$B$23)/100+Inputs!$B$23/100)/2</f>
        <v/>
      </c>
      <c r="M539">
        <f>L539*(1+(Inputs!$B$10+(F557-Calc!F21))/100)</f>
        <v/>
      </c>
      <c r="N539">
        <f>L539*(1-MIN(Inputs!$B$9+(F556-Calc!F20),100)/100)+M539*(MIN(Inputs!$B$9+(F556-Calc!F20),100)/100)</f>
        <v/>
      </c>
      <c r="O539">
        <f>IF(C539,H539*N539*IF(AND(Inputs!$B$38&lt;&gt;"pvp",Inputs!$B$43&gt;0),((Skills!G3*((R539-1)*IF(Skills!H3&gt;0,Skills!I3/Skills!H3,1)+IF(Skills!H3&gt;0,MIN(Skills!I3,MAX(0,Inputs!$B$43-((R539-1)*IF(Inputs!$B$38="pvp",15,MAX(0.1,Skills!E3-IF(Skills!F3=TRUE,Inputs!$B$32,0))))))/Skills!H3,1)))/Inputs!$B$43),G539*Q539)*IF(Inputs!$B$38="pvp",1,(1-Summary!$B$56)*(1)+Summary!$B$56*(MIN(Skills!R3,Inputs!$B$37))),0)</f>
        <v/>
      </c>
      <c r="P539">
        <f>IF(B575=0,0,O539/B575)</f>
        <v/>
      </c>
      <c r="Q539">
        <f>IFERROR(1/IF(Inputs!$B$38="pvp",15,MAX(0.1,Skills!E3-IF(Skills!F3=TRUE,Inputs!$B$32,0))),0)</f>
        <v/>
      </c>
      <c r="R539">
        <f>IF(AND(Inputs!$B$38&lt;&gt;"pvp",Inputs!$B$43&gt;0),(INT(Inputs!$B$43/IF(Inputs!$B$38="pvp",15,MAX(0.1,Skills!E3-IF(Skills!F3=TRUE,Inputs!$B$32,0))))+1),0)</f>
        <v/>
      </c>
      <c r="T539">
        <f>INDEX(FactorTable!$B$2:$Y$301, MATCH(ROUND(MIN(300,MAX(1,T538)),0), FactorTable!$A$2:$A$301,0), 22)</f>
        <v/>
      </c>
      <c r="Z539">
        <f>INDEX(FactorTable!$B$2:$Y$301, MATCH(ROUND(MIN(300,MAX(1,Z538)),0), FactorTable!$A$2:$A$301,0), 24)</f>
        <v/>
      </c>
    </row>
    <row r="540">
      <c r="A540">
        <f>Skills!A4</f>
        <v/>
      </c>
      <c r="B540">
        <f>Skills!B4</f>
        <v/>
      </c>
      <c r="C540">
        <f>TRUE</f>
        <v/>
      </c>
      <c r="D540">
        <f>IF(Skills!C4=1,60+Inputs!$B$25+Inputs!$B$29,IF(Skills!C4=2,90+Inputs!$B$26+Inputs!$B$29,IF(Skills!C4=3,120+Inputs!$B$27+Inputs!$B$29,MAX(0,(Inputs!$B$3-100)*3)+Inputs!$B$28+Inputs!$B$29)))</f>
        <v/>
      </c>
      <c r="E540">
        <f>INDEX(FactorTable!$B$2:$Y$301, MATCH(ROUND(MIN(300,MAX(1,D540)),0), FactorTable!$A$2:$A$301,0), Skills!M4+1)</f>
        <v/>
      </c>
      <c r="F540">
        <f>IF(Skills!N4=TRUE,(Skills!L4/10)*(E540/1000),Skills!L4/10)+Skills!O4</f>
        <v/>
      </c>
      <c r="G540">
        <f>Calc!G4</f>
        <v/>
      </c>
      <c r="H540">
        <f>Calc!H4</f>
        <v/>
      </c>
      <c r="I540">
        <f>IF(Skills!X4&lt;&gt;"",1+(Skills!X4/10)*(Z539/1000)/100,1)</f>
        <v/>
      </c>
      <c r="J540">
        <f>((Inputs!$B$6*(1+Inputs!$B$7/100))+(((Inputs!$B$12*(1+Inputs!$B$13/100))-(Inputs!$B$12*(1+Inputs!$B$13/100)))+0.25*(Inputs!$B$14-Inputs!$B$14))*(1+Inputs!$B$7/100))*(F540/100)</f>
        <v/>
      </c>
      <c r="K540">
        <f>J540*(1+((Inputs!$B$12*(1+Inputs!$B$13/100))*0.01+Inputs!$B$14*0.0025)/100)*(1+Inputs!$B$15/100)*(1+IF(Inputs!$B$38="pvp",0,(1-Summary!$B$56)*(Inputs!$B$20+Skills!P4)+Summary!$B$56*(Inputs!$B$21+Skills!Q4))/100)*(1+Inputs!$B$16/100)*(5000/(6000+Inputs!$B$42*(1-((1-(1-Inputs!$B$19/100)*(1-1/100))*100)/100)))*(1+Inputs!$B$24/100)*(1+F559/100)*(1+IF(Inputs!$B$3&gt;=120,F562,0)/100)^5*(1+(IF(Skills!A4="BASIC_ATTACK",Inputs!$B$17,Inputs!$B$18+IF(Inputs!$B$3&gt;=125,F563*5,0)))/100)*(B566*B567*B568*I540)</f>
        <v/>
      </c>
      <c r="L540">
        <f>K540*(MIN(Inputs!$B$22+(F558-Calc!F22),Inputs!$B$23)/100+Inputs!$B$23/100)/2</f>
        <v/>
      </c>
      <c r="M540">
        <f>L540*(1+(Inputs!$B$10+(F557-Calc!F21))/100)</f>
        <v/>
      </c>
      <c r="N540">
        <f>L540*(1-MIN(Inputs!$B$9+(F556-Calc!F20),100)/100)+M540*(MIN(Inputs!$B$9+(F556-Calc!F20),100)/100)</f>
        <v/>
      </c>
      <c r="O540">
        <f>IF(C540,H540*N540*IF(AND(Inputs!$B$38&lt;&gt;"pvp",Inputs!$B$43&gt;0),((Skills!G4*((R540-1)*IF(Skills!H4&gt;0,Skills!I4/Skills!H4,1)+IF(Skills!H4&gt;0,MIN(Skills!I4,MAX(0,Inputs!$B$43-((R540-1)*IF(Inputs!$B$38="pvp",15,MAX(0.1,Skills!E4-IF(Skills!F4=TRUE,Inputs!$B$32,0))))))/Skills!H4,1)))/Inputs!$B$43),G540*Q540)*IF(Inputs!$B$38="pvp",1,(1-Summary!$B$56)*(1)+Summary!$B$56*(MIN(Skills!R4,Inputs!$B$37))),0)</f>
        <v/>
      </c>
      <c r="P540">
        <f>IF(B575=0,0,O540/B575)</f>
        <v/>
      </c>
      <c r="Q540">
        <f>IFERROR(1/IF(Inputs!$B$38="pvp",15,MAX(0.1,Skills!E4-IF(Skills!F4=TRUE,Inputs!$B$32,0))),0)</f>
        <v/>
      </c>
      <c r="R540">
        <f>IF(AND(Inputs!$B$38&lt;&gt;"pvp",Inputs!$B$43&gt;0),(INT(Inputs!$B$43/IF(Inputs!$B$38="pvp",15,MAX(0.1,Skills!E4-IF(Skills!F4=TRUE,Inputs!$B$32,0))))+1),0)</f>
        <v/>
      </c>
      <c r="T540">
        <f>290*T539/1000</f>
        <v/>
      </c>
    </row>
    <row r="541">
      <c r="A541">
        <f>Skills!A5</f>
        <v/>
      </c>
      <c r="B541">
        <f>Skills!B5</f>
        <v/>
      </c>
      <c r="C541">
        <f>TRUE</f>
        <v/>
      </c>
      <c r="D541">
        <f>IF(Skills!C5=1,60+Inputs!$B$25+Inputs!$B$29,IF(Skills!C5=2,90+Inputs!$B$26+Inputs!$B$29,IF(Skills!C5=3,120+Inputs!$B$27+Inputs!$B$29,MAX(0,(Inputs!$B$3-100)*3)+Inputs!$B$28+Inputs!$B$29)))</f>
        <v/>
      </c>
      <c r="E541">
        <f>INDEX(FactorTable!$B$2:$Y$301, MATCH(ROUND(MIN(300,MAX(1,D541)),0), FactorTable!$A$2:$A$301,0), Skills!M5+1)</f>
        <v/>
      </c>
      <c r="F541">
        <f>IF(Skills!N5=TRUE,(Skills!L5/10)*(E541/1000),Skills!L5/10)+Skills!O5</f>
        <v/>
      </c>
      <c r="G541">
        <f>Calc!G5</f>
        <v/>
      </c>
      <c r="H541">
        <f>Calc!H5</f>
        <v/>
      </c>
      <c r="I541">
        <f>IF(Skills!X5&lt;&gt;"",1+(Skills!X5/10)*(Z539/1000)/100,1)</f>
        <v/>
      </c>
      <c r="J541">
        <f>((Inputs!$B$6*(1+Inputs!$B$7/100))+(((Inputs!$B$12*(1+Inputs!$B$13/100))-(Inputs!$B$12*(1+Inputs!$B$13/100)))+0.25*(Inputs!$B$14-Inputs!$B$14))*(1+Inputs!$B$7/100))*(F541/100)</f>
        <v/>
      </c>
      <c r="K541">
        <f>J541*(1+((Inputs!$B$12*(1+Inputs!$B$13/100))*0.01+Inputs!$B$14*0.0025)/100)*(1+Inputs!$B$15/100)*(1+IF(Inputs!$B$38="pvp",0,(1-Summary!$B$56)*(Inputs!$B$20+Skills!P5)+Summary!$B$56*(Inputs!$B$21+Skills!Q5))/100)*(1+Inputs!$B$16/100)*(5000/(6000+Inputs!$B$42*(1-((1-(1-Inputs!$B$19/100)*(1-1/100))*100)/100)))*(1+Inputs!$B$24/100)*(1+F559/100)*(1+IF(Inputs!$B$3&gt;=120,F562,0)/100)^5*(1+(IF(Skills!A5="BASIC_ATTACK",Inputs!$B$17,Inputs!$B$18+IF(Inputs!$B$3&gt;=125,F563*5,0)))/100)*(B566*B567*B568*I541)</f>
        <v/>
      </c>
      <c r="L541">
        <f>K541*(MIN(Inputs!$B$22+(F558-Calc!F22),Inputs!$B$23)/100+Inputs!$B$23/100)/2</f>
        <v/>
      </c>
      <c r="M541">
        <f>L541*(1+(Inputs!$B$10+(F557-Calc!F21))/100)</f>
        <v/>
      </c>
      <c r="N541">
        <f>L541*(1-MIN(Inputs!$B$9+(F556-Calc!F20),100)/100)+M541*(MIN(Inputs!$B$9+(F556-Calc!F20),100)/100)</f>
        <v/>
      </c>
      <c r="O541">
        <f>IF(C541,H541*N541*IF(AND(Inputs!$B$38&lt;&gt;"pvp",Inputs!$B$43&gt;0),((Skills!G5*((R541-1)*IF(Skills!H5&gt;0,Skills!I5/Skills!H5,1)+IF(Skills!H5&gt;0,MIN(Skills!I5,MAX(0,Inputs!$B$43-((R541-1)*IF(Inputs!$B$38="pvp",15,MAX(0.1,Skills!E5-IF(Skills!F5=TRUE,Inputs!$B$32,0))))))/Skills!H5,1)))/Inputs!$B$43),G541*Q541)*IF(Inputs!$B$38="pvp",1,(1-Summary!$B$56)*(1)+Summary!$B$56*(MIN(Skills!R5,Inputs!$B$37))),0)</f>
        <v/>
      </c>
      <c r="P541">
        <f>IF(B575=0,0,O541/B575)</f>
        <v/>
      </c>
      <c r="Q541">
        <f>IFERROR(1/IF(Inputs!$B$38="pvp",15,MAX(0.1,Skills!E5-IF(Skills!F5=TRUE,Inputs!$B$32,0))),0)</f>
        <v/>
      </c>
      <c r="R541">
        <f>IF(AND(Inputs!$B$38&lt;&gt;"pvp",Inputs!$B$43&gt;0),(INT(Inputs!$B$43/IF(Inputs!$B$38="pvp",15,MAX(0.1,Skills!E5-IF(Skills!F5=TRUE,Inputs!$B$32,0))))+1),0)</f>
        <v/>
      </c>
    </row>
    <row r="542">
      <c r="A542">
        <f>Skills!A6</f>
        <v/>
      </c>
      <c r="B542">
        <f>Skills!B6</f>
        <v/>
      </c>
      <c r="C542">
        <f>TRUE</f>
        <v/>
      </c>
      <c r="D542">
        <f>IF(Skills!C6=1,60+Inputs!$B$25+Inputs!$B$29,IF(Skills!C6=2,90+Inputs!$B$26+Inputs!$B$29,IF(Skills!C6=3,120+Inputs!$B$27+Inputs!$B$29,MAX(0,(Inputs!$B$3-100)*3)+Inputs!$B$28+Inputs!$B$29)))</f>
        <v/>
      </c>
      <c r="E542">
        <f>INDEX(FactorTable!$B$2:$Y$301, MATCH(ROUND(MIN(300,MAX(1,D542)),0), FactorTable!$A$2:$A$301,0), Skills!M6+1)</f>
        <v/>
      </c>
      <c r="F542">
        <f>IF(Skills!N6=TRUE,(Skills!L6/10)*(E542/1000),Skills!L6/10)+Skills!O6</f>
        <v/>
      </c>
      <c r="G542">
        <f>Calc!G6</f>
        <v/>
      </c>
      <c r="H542">
        <f>Calc!H6</f>
        <v/>
      </c>
      <c r="I542">
        <f>IF(Skills!X6&lt;&gt;"",1+(Skills!X6/10)*(Z539/1000)/100,1)</f>
        <v/>
      </c>
      <c r="J542" t="inlineStr"/>
      <c r="K542" t="inlineStr"/>
      <c r="L542" t="inlineStr"/>
      <c r="M542" t="inlineStr"/>
      <c r="N542" t="inlineStr"/>
      <c r="O542" t="n">
        <v>0</v>
      </c>
      <c r="P542">
        <f>IF(B575=0,0,O542/B575)</f>
        <v/>
      </c>
      <c r="Q542">
        <f>IFERROR(1/IF(Inputs!$B$38="pvp",15,MAX(0.1,Skills!E6-IF(Skills!F6=TRUE,Inputs!$B$32,0))),0)</f>
        <v/>
      </c>
      <c r="R542">
        <f>IF(AND(Inputs!$B$38&lt;&gt;"pvp",Inputs!$B$43&gt;0),(INT(Inputs!$B$43/IF(Inputs!$B$38="pvp",15,MAX(0.1,Skills!E6-IF(Skills!F6=TRUE,Inputs!$B$32,0))))+1),0)</f>
        <v/>
      </c>
    </row>
    <row r="543">
      <c r="A543">
        <f>Skills!A7</f>
        <v/>
      </c>
      <c r="B543">
        <f>Skills!B7</f>
        <v/>
      </c>
      <c r="C543">
        <f>TRUE</f>
        <v/>
      </c>
      <c r="D543">
        <f>IF(Skills!C7=1,60+Inputs!$B$25+Inputs!$B$29,IF(Skills!C7=2,90+Inputs!$B$26+Inputs!$B$29,IF(Skills!C7=3,120+Inputs!$B$27+Inputs!$B$29,MAX(0,(Inputs!$B$3-100)*3)+Inputs!$B$28+Inputs!$B$29)))</f>
        <v/>
      </c>
      <c r="E543">
        <f>INDEX(FactorTable!$B$2:$Y$301, MATCH(ROUND(MIN(300,MAX(1,D543)),0), FactorTable!$A$2:$A$301,0), Skills!M7+1)</f>
        <v/>
      </c>
      <c r="F543">
        <f>IF(Skills!N7=TRUE,(Skills!L7/10)*(E543/1000),Skills!L7/10)+Skills!O7</f>
        <v/>
      </c>
      <c r="G543">
        <f>Calc!G7</f>
        <v/>
      </c>
      <c r="H543">
        <f>Calc!H7</f>
        <v/>
      </c>
      <c r="I543">
        <f>IF(Skills!X7&lt;&gt;"",1+(Skills!X7/10)*(Z539/1000)/100,1)</f>
        <v/>
      </c>
      <c r="J543">
        <f>((Inputs!$B$6*(1+Inputs!$B$7/100))+(((Inputs!$B$12*(1+Inputs!$B$13/100))-(Inputs!$B$12*(1+Inputs!$B$13/100)))+0.25*(Inputs!$B$14-Inputs!$B$14))*(1+Inputs!$B$7/100))*(F543/100)</f>
        <v/>
      </c>
      <c r="K543">
        <f>J543*(1+((Inputs!$B$12*(1+Inputs!$B$13/100))*0.01+Inputs!$B$14*0.0025)/100)*(1+Inputs!$B$15/100)*(1+IF(Inputs!$B$38="pvp",0,(1-Summary!$B$56)*(Inputs!$B$20+Skills!P7)+Summary!$B$56*(Inputs!$B$21+Skills!Q7))/100)*(1+Inputs!$B$16/100)*(5000/(6000+Inputs!$B$42*(1-((1-(1-Inputs!$B$19/100)*(1-1/100))*100)/100)))*(1+Inputs!$B$24/100)*(1+F559/100)*(1+IF(Inputs!$B$3&gt;=120,F562,0)/100)^5*(1+(IF(Skills!A7="BASIC_ATTACK",Inputs!$B$17,Inputs!$B$18+IF(Inputs!$B$3&gt;=125,F563*5,0)))/100)*(B566*B567*B568*I543)</f>
        <v/>
      </c>
      <c r="L543">
        <f>K543*(MIN(Inputs!$B$22+(F558-Calc!F22),Inputs!$B$23)/100+Inputs!$B$23/100)/2</f>
        <v/>
      </c>
      <c r="M543">
        <f>L543*(1+(Inputs!$B$10+(F557-Calc!F21))/100)</f>
        <v/>
      </c>
      <c r="N543">
        <f>L543*(1-MIN(Inputs!$B$9+(F556-Calc!F20),100)/100)+M543*(MIN(Inputs!$B$9+(F556-Calc!F20),100)/100)</f>
        <v/>
      </c>
      <c r="O543">
        <f>IF(C543,H543*N543*IF(AND(Inputs!$B$38&lt;&gt;"pvp",Inputs!$B$43&gt;0),((Skills!G7*((R543-1)*IF(Skills!H7&gt;0,Skills!I7/Skills!H7,1)+IF(Skills!H7&gt;0,MIN(Skills!I7,MAX(0,Inputs!$B$43-((R543-1)*IF(Inputs!$B$38="pvp",15,MAX(0.1,Skills!E7-IF(Skills!F7=TRUE,Inputs!$B$32,0))))))/Skills!H7,1)))/Inputs!$B$43),G543*Q543)*IF(Inputs!$B$38="pvp",1,(1-Summary!$B$56)*(1)+Summary!$B$56*(MIN(Skills!R7,Inputs!$B$37))),0)</f>
        <v/>
      </c>
      <c r="P543">
        <f>IF(B575=0,0,O543/B575)</f>
        <v/>
      </c>
      <c r="Q543">
        <f>IFERROR(1/IF(Inputs!$B$38="pvp",15,MAX(0.1,Skills!E7-IF(Skills!F7=TRUE,Inputs!$B$32,0))),0)</f>
        <v/>
      </c>
      <c r="R543">
        <f>IF(AND(Inputs!$B$38&lt;&gt;"pvp",Inputs!$B$43&gt;0),(INT(Inputs!$B$43/IF(Inputs!$B$38="pvp",15,MAX(0.1,Skills!E7-IF(Skills!F7=TRUE,Inputs!$B$32,0))))+1),0)</f>
        <v/>
      </c>
    </row>
    <row r="544">
      <c r="A544">
        <f>Skills!A8</f>
        <v/>
      </c>
      <c r="B544">
        <f>Skills!B8</f>
        <v/>
      </c>
      <c r="C544">
        <f>TRUE</f>
        <v/>
      </c>
      <c r="D544">
        <f>IF(Skills!C8=1,60+Inputs!$B$25+Inputs!$B$29,IF(Skills!C8=2,90+Inputs!$B$26+Inputs!$B$29,IF(Skills!C8=3,120+Inputs!$B$27+Inputs!$B$29,MAX(0,(Inputs!$B$3-100)*3)+Inputs!$B$28+Inputs!$B$29)))</f>
        <v/>
      </c>
      <c r="E544">
        <f>INDEX(FactorTable!$B$2:$Y$301, MATCH(ROUND(MIN(300,MAX(1,D544)),0), FactorTable!$A$2:$A$301,0), Skills!M8+1)</f>
        <v/>
      </c>
      <c r="F544">
        <f>IF(Skills!N8=TRUE,(Skills!L8/10)*(E544/1000),Skills!L8/10)+Skills!O8</f>
        <v/>
      </c>
      <c r="G544">
        <f>Calc!G8</f>
        <v/>
      </c>
      <c r="H544">
        <f>Calc!H8</f>
        <v/>
      </c>
      <c r="I544">
        <f>IF(Skills!X8&lt;&gt;"",1+(Skills!X8/10)*(Z539/1000)/100,1)</f>
        <v/>
      </c>
      <c r="J544">
        <f>((Inputs!$B$6*(1+Inputs!$B$7/100))+(((Inputs!$B$12*(1+Inputs!$B$13/100))-(Inputs!$B$12*(1+Inputs!$B$13/100)))+0.25*(Inputs!$B$14-Inputs!$B$14))*(1+Inputs!$B$7/100))*(F544/100)</f>
        <v/>
      </c>
      <c r="K544">
        <f>J544*(1+((Inputs!$B$12*(1+Inputs!$B$13/100))*0.01+Inputs!$B$14*0.0025)/100)*(1+Inputs!$B$15/100)*(1+IF(Inputs!$B$38="pvp",0,(1-Summary!$B$56)*(Inputs!$B$20+Skills!P8)+Summary!$B$56*(Inputs!$B$21+Skills!Q8))/100)*(1+Inputs!$B$16/100)*(5000/(6000+Inputs!$B$42*(1-((1-(1-Inputs!$B$19/100)*(1-1/100))*100)/100)))*(1+Inputs!$B$24/100)*(1+F559/100)*(1+IF(Inputs!$B$3&gt;=120,F562,0)/100)^5*(1+(IF(Skills!A8="BASIC_ATTACK",Inputs!$B$17,Inputs!$B$18+IF(Inputs!$B$3&gt;=125,F563*5,0)))/100)*(B566*B567*B568*I544)</f>
        <v/>
      </c>
      <c r="L544">
        <f>K544*(MIN(Inputs!$B$22+(F558-Calc!F22),Inputs!$B$23)/100+Inputs!$B$23/100)/2</f>
        <v/>
      </c>
      <c r="M544">
        <f>L544*(1+(Inputs!$B$10+(F557-Calc!F21))/100)</f>
        <v/>
      </c>
      <c r="N544">
        <f>L544*(1-MIN(Inputs!$B$9+(F556-Calc!F20),100)/100)+M544*(MIN(Inputs!$B$9+(F556-Calc!F20),100)/100)</f>
        <v/>
      </c>
      <c r="O544">
        <f>IF(C544,H544*N544*IF(AND(Inputs!$B$38&lt;&gt;"pvp",Inputs!$B$43&gt;0),((Skills!G8*((R544-1)*IF(Skills!H8&gt;0,Skills!I8/Skills!H8,1)+IF(Skills!H8&gt;0,MIN(Skills!I8,MAX(0,Inputs!$B$43-((R544-1)*IF(Inputs!$B$38="pvp",15,MAX(0.1,Skills!E8-IF(Skills!F8=TRUE,Inputs!$B$32,0))))))/Skills!H8,1)))/Inputs!$B$43),G544*Q544)*IF(Inputs!$B$38="pvp",1,(1-Summary!$B$56)*(1)+Summary!$B$56*(MIN(Skills!R8,Inputs!$B$37))),0)</f>
        <v/>
      </c>
      <c r="P544">
        <f>IF(B575=0,0,O544/B575)</f>
        <v/>
      </c>
      <c r="Q544">
        <f>IFERROR(1/IF(Inputs!$B$38="pvp",15,MAX(0.1,Skills!E8-IF(Skills!F8=TRUE,Inputs!$B$32,0))),0)</f>
        <v/>
      </c>
      <c r="R544">
        <f>IF(AND(Inputs!$B$38&lt;&gt;"pvp",Inputs!$B$43&gt;0),(INT(Inputs!$B$43/IF(Inputs!$B$38="pvp",15,MAX(0.1,Skills!E8-IF(Skills!F8=TRUE,Inputs!$B$32,0))))+1),0)</f>
        <v/>
      </c>
    </row>
    <row r="545">
      <c r="A545">
        <f>Skills!A9</f>
        <v/>
      </c>
      <c r="B545">
        <f>Skills!B9</f>
        <v/>
      </c>
      <c r="C545">
        <f>Inputs!$B$3&gt;=103</f>
        <v/>
      </c>
      <c r="D545">
        <f>IF(Skills!C9=1,60+Inputs!$B$25+Inputs!$B$29,IF(Skills!C9=2,90+Inputs!$B$26+Inputs!$B$29,IF(Skills!C9=3,120+Inputs!$B$27+Inputs!$B$29,MAX(0,(Inputs!$B$3-100)*3)+Inputs!$B$28+Inputs!$B$29)))</f>
        <v/>
      </c>
      <c r="E545">
        <f>INDEX(FactorTable!$B$2:$Y$301, MATCH(ROUND(MIN(300,MAX(1,D545)),0), FactorTable!$A$2:$A$301,0), Skills!M9+1)</f>
        <v/>
      </c>
      <c r="F545">
        <f>IF(Skills!N9=TRUE,(Skills!L9/10)*(E545/1000),Skills!L9/10)+Skills!O9</f>
        <v/>
      </c>
      <c r="G545">
        <f>Calc!G9</f>
        <v/>
      </c>
      <c r="H545">
        <f>Calc!H9</f>
        <v/>
      </c>
      <c r="I545">
        <f>IF(Skills!X9&lt;&gt;"",1+(Skills!X9/10)*(Z539/1000)/100,1)</f>
        <v/>
      </c>
      <c r="J545">
        <f>((Inputs!$B$6*(1+Inputs!$B$7/100))+(((Inputs!$B$12*(1+Inputs!$B$13/100))-(Inputs!$B$12*(1+Inputs!$B$13/100)))+0.25*(Inputs!$B$14-Inputs!$B$14))*(1+Inputs!$B$7/100))*(F545/100)</f>
        <v/>
      </c>
      <c r="K545">
        <f>J545*(1+((Inputs!$B$12*(1+Inputs!$B$13/100))*0.01+Inputs!$B$14*0.0025)/100)*(1+Inputs!$B$15/100)*(1+IF(Inputs!$B$38="pvp",0,(1-Summary!$B$56)*(Inputs!$B$20+Skills!P9)+Summary!$B$56*(Inputs!$B$21+Skills!Q9))/100)*(1+Inputs!$B$16/100)*(5000/(6000+Inputs!$B$42*(1-((1-(1-Inputs!$B$19/100)*(1-1/100))*100)/100)))*(1+Inputs!$B$24/100)*(1+F559/100)*(1+IF(Inputs!$B$3&gt;=120,F562,0)/100)^5*(1+(IF(Skills!A9="BASIC_ATTACK",Inputs!$B$17,Inputs!$B$18+IF(Inputs!$B$3&gt;=125,F563*5,0)))/100)*(B566*B567*B568*I545)</f>
        <v/>
      </c>
      <c r="L545">
        <f>K545*(MIN(Inputs!$B$22+(F558-Calc!F22),Inputs!$B$23)/100+Inputs!$B$23/100)/2</f>
        <v/>
      </c>
      <c r="M545">
        <f>L545*(1+(Inputs!$B$10+(F557-Calc!F21))/100)</f>
        <v/>
      </c>
      <c r="N545">
        <f>L545*(1-MIN(Inputs!$B$9+(F556-Calc!F20),100)/100)+M545*(MIN(Inputs!$B$9+(F556-Calc!F20),100)/100)</f>
        <v/>
      </c>
      <c r="O545">
        <f>IF(C545,H545*N545*IF(AND(Inputs!$B$38&lt;&gt;"pvp",Inputs!$B$43&gt;0),((Skills!G9*((R545-1)*IF(Skills!H9&gt;0,Skills!I9/Skills!H9,1)+IF(Skills!H9&gt;0,MIN(Skills!I9,MAX(0,Inputs!$B$43-((R545-1)*IF(Inputs!$B$38="pvp",15,MAX(0.1,Skills!E9-IF(Skills!F7=TRUE,Inputs!$B$32,0))))))/Skills!H9,1)))/Inputs!$B$43),G545*Q545)*IF(Inputs!$B$38="pvp",1,(1-Summary!$B$56)*(1)+Summary!$B$56*(MIN(Skills!R9,Inputs!$B$37))),0)</f>
        <v/>
      </c>
      <c r="P545">
        <f>IF(B575=0,0,O545/B575)</f>
        <v/>
      </c>
      <c r="Q545">
        <f>IFERROR(1/IF(Inputs!$B$38="pvp",15,MAX(0.1,Skills!E9-IF(Skills!F7=TRUE,Inputs!$B$32,0))),0)</f>
        <v/>
      </c>
      <c r="R545">
        <f>IF(AND(Inputs!$B$38&lt;&gt;"pvp",Inputs!$B$43&gt;0),(INT(Inputs!$B$43/IF(Inputs!$B$38="pvp",15,MAX(0.1,Skills!E9-IF(Skills!F7=TRUE,Inputs!$B$32,0))))+1),0)</f>
        <v/>
      </c>
    </row>
    <row r="546">
      <c r="A546">
        <f>Skills!A10</f>
        <v/>
      </c>
      <c r="B546">
        <f>Skills!B10</f>
        <v/>
      </c>
      <c r="C546">
        <f>TRUE</f>
        <v/>
      </c>
      <c r="D546">
        <f>IF(Skills!C10=1,60+Inputs!$B$25+Inputs!$B$29,IF(Skills!C10=2,90+Inputs!$B$26+Inputs!$B$29,IF(Skills!C10=3,120+Inputs!$B$27+Inputs!$B$29,MAX(0,(Inputs!$B$3-100)*3)+Inputs!$B$28+Inputs!$B$29)))</f>
        <v/>
      </c>
      <c r="E546">
        <f>INDEX(FactorTable!$B$2:$Y$301, MATCH(ROUND(MIN(300,MAX(1,D546)),0), FactorTable!$A$2:$A$301,0), Skills!M10+1)</f>
        <v/>
      </c>
      <c r="F546">
        <f>IF(Skills!N10=TRUE,(Skills!L10/10)*(E546/1000),Skills!L10/10)+Skills!O10</f>
        <v/>
      </c>
      <c r="G546">
        <f>Calc!G10</f>
        <v/>
      </c>
      <c r="H546">
        <f>Calc!H10</f>
        <v/>
      </c>
      <c r="I546">
        <f>IF(Skills!X10&lt;&gt;"",1+(Skills!X10/10)*(Z539/1000)/100,1)</f>
        <v/>
      </c>
      <c r="J546">
        <f>((Inputs!$B$6*(1+Inputs!$B$7/100))+(((Inputs!$B$12*(1+Inputs!$B$13/100))-(Inputs!$B$12*(1+Inputs!$B$13/100)))+0.25*(Inputs!$B$14-Inputs!$B$14))*(1+Inputs!$B$7/100))*(F546/100)</f>
        <v/>
      </c>
      <c r="K546">
        <f>J546*(1+((Inputs!$B$12*(1+Inputs!$B$13/100))*0.01+Inputs!$B$14*0.0025)/100)*(1+Inputs!$B$15/100)*(1+IF(Inputs!$B$38="pvp",0,(1-Summary!$B$56)*(Inputs!$B$20+Skills!P10)+Summary!$B$56*(Inputs!$B$21+Skills!Q10))/100)*(1+Inputs!$B$16/100)*(5000/(6000+Inputs!$B$42*(1-((1-(1-Inputs!$B$19/100)*(1-1/100))*100)/100)))*(1+Inputs!$B$24/100)*(1+F559/100)*(1+IF(Inputs!$B$3&gt;=120,F562,0)/100)^5*(1+(IF(Skills!A10="BASIC_ATTACK",Inputs!$B$17,Inputs!$B$18+IF(Inputs!$B$3&gt;=125,F563*5,0)))/100)*(B566*B567*B568*I546)</f>
        <v/>
      </c>
      <c r="L546">
        <f>K546*(MIN(Inputs!$B$22+(F558-Calc!F22),Inputs!$B$23)/100+Inputs!$B$23/100)/2</f>
        <v/>
      </c>
      <c r="M546">
        <f>L546*(1+(Inputs!$B$10+(F557-Calc!F21))/100)</f>
        <v/>
      </c>
      <c r="N546">
        <f>L546*(1-MIN(Inputs!$B$9+(F556-Calc!F20),100)/100)+M546*(MIN(Inputs!$B$9+(F556-Calc!F20),100)/100)</f>
        <v/>
      </c>
      <c r="O546">
        <f>IF(C546,H546*N546*IF(AND(Inputs!$B$38&lt;&gt;"pvp",Inputs!$B$43&gt;0),((Skills!G10*((R546-1)*IF(Skills!H10&gt;0,Skills!I10/Skills!H10,1)+IF(Skills!H10&gt;0,MIN(Skills!I10,MAX(0,Inputs!$B$43-((R546-1)*IF(Inputs!$B$38="pvp",15,MAX(0.1,Skills!E10-IF(Skills!F10=TRUE,Inputs!$B$32,0))))))/Skills!H10,1)))/Inputs!$B$43),G546*Q546)*IF(Inputs!$B$38="pvp",1,(1-Summary!$B$56)*(1)+Summary!$B$56*(MIN(Skills!R10,Inputs!$B$37))),0)</f>
        <v/>
      </c>
      <c r="P546">
        <f>IF(B575=0,0,O546/B575)</f>
        <v/>
      </c>
      <c r="Q546">
        <f>IFERROR(1/IF(Inputs!$B$38="pvp",15,MAX(0.1,Skills!E10-IF(Skills!F10=TRUE,Inputs!$B$32,0))),0)</f>
        <v/>
      </c>
      <c r="R546">
        <f>IF(AND(Inputs!$B$38&lt;&gt;"pvp",Inputs!$B$43&gt;0),(INT(Inputs!$B$43/IF(Inputs!$B$38="pvp",15,MAX(0.1,Skills!E10-IF(Skills!F10=TRUE,Inputs!$B$32,0))))+1),0)</f>
        <v/>
      </c>
    </row>
    <row r="547">
      <c r="A547">
        <f>Skills!A11</f>
        <v/>
      </c>
      <c r="B547">
        <f>Skills!B11</f>
        <v/>
      </c>
      <c r="C547">
        <f>TRUE</f>
        <v/>
      </c>
      <c r="D547">
        <f>IF(Skills!C11=1,60+Inputs!$B$25+Inputs!$B$29,IF(Skills!C11=2,90+Inputs!$B$26+Inputs!$B$29,IF(Skills!C11=3,120+Inputs!$B$27+Inputs!$B$29,MAX(0,(Inputs!$B$3-100)*3)+Inputs!$B$28+Inputs!$B$29)))</f>
        <v/>
      </c>
      <c r="E547">
        <f>INDEX(FactorTable!$B$2:$Y$301, MATCH(ROUND(MIN(300,MAX(1,D547)),0), FactorTable!$A$2:$A$301,0), Skills!M11+1)</f>
        <v/>
      </c>
      <c r="F547">
        <f>IF(Skills!N11=TRUE,(Skills!L11/10)*(E547/1000),Skills!L11/10)+Skills!O11</f>
        <v/>
      </c>
      <c r="G547">
        <f>Calc!G11</f>
        <v/>
      </c>
      <c r="H547">
        <f>Calc!H11</f>
        <v/>
      </c>
      <c r="I547">
        <f>IF(Skills!X11&lt;&gt;"",1+(Skills!X11/10)*(Z539/1000)/100,1)</f>
        <v/>
      </c>
      <c r="J547" t="inlineStr"/>
      <c r="K547" t="inlineStr"/>
      <c r="L547" t="inlineStr"/>
      <c r="M547" t="inlineStr"/>
      <c r="N547" t="inlineStr"/>
      <c r="O547" t="n">
        <v>0</v>
      </c>
      <c r="P547">
        <f>IF(B575=0,0,O547/B575)</f>
        <v/>
      </c>
      <c r="Q547">
        <f>IFERROR(1/IF(Inputs!$B$38="pvp",15,MAX(0.1,Skills!E11-IF(Skills!F11=TRUE,Inputs!$B$32,0))),0)</f>
        <v/>
      </c>
      <c r="R547" t="n">
        <v>0</v>
      </c>
    </row>
    <row r="548">
      <c r="A548">
        <f>Skills!A12</f>
        <v/>
      </c>
      <c r="B548">
        <f>Skills!B12</f>
        <v/>
      </c>
      <c r="C548">
        <f>TRUE</f>
        <v/>
      </c>
      <c r="D548">
        <f>IF(Skills!C12=1,60+Inputs!$B$25+Inputs!$B$29,IF(Skills!C12=2,90+Inputs!$B$26+Inputs!$B$29,IF(Skills!C12=3,120+Inputs!$B$27+Inputs!$B$29,MAX(0,(Inputs!$B$3-100)*3)+Inputs!$B$28+Inputs!$B$29)))</f>
        <v/>
      </c>
      <c r="E548">
        <f>INDEX(FactorTable!$B$2:$Y$301, MATCH(ROUND(MIN(300,MAX(1,D548)),0), FactorTable!$A$2:$A$301,0), Skills!M12+1)</f>
        <v/>
      </c>
      <c r="F548">
        <f>IF(Skills!N12=TRUE,(Skills!L12/10)*(E548/1000),Skills!L12/10)+Skills!O12</f>
        <v/>
      </c>
      <c r="G548">
        <f>Calc!G12</f>
        <v/>
      </c>
      <c r="H548">
        <f>Calc!H12</f>
        <v/>
      </c>
      <c r="I548">
        <f>IF(Skills!X12&lt;&gt;"",1+(Skills!X12/10)*(Z539/1000)/100,1)</f>
        <v/>
      </c>
      <c r="J548" t="inlineStr"/>
      <c r="K548" t="inlineStr"/>
      <c r="L548" t="inlineStr"/>
      <c r="M548" t="inlineStr"/>
      <c r="N548" t="inlineStr"/>
      <c r="O548" t="n">
        <v>0</v>
      </c>
      <c r="P548">
        <f>IF(B575=0,0,O548/B575)</f>
        <v/>
      </c>
      <c r="Q548">
        <f>IFERROR(1/IF(Inputs!$B$38="pvp",15,MAX(0.1,Skills!E12-IF(Skills!F12=TRUE,Inputs!$B$32,0))),0)</f>
        <v/>
      </c>
      <c r="R548" t="n">
        <v>0</v>
      </c>
    </row>
    <row r="549">
      <c r="A549">
        <f>Skills!A13</f>
        <v/>
      </c>
      <c r="B549">
        <f>Skills!B13</f>
        <v/>
      </c>
      <c r="C549">
        <f>Inputs!$B$3&gt;=105</f>
        <v/>
      </c>
      <c r="D549">
        <f>IF(Skills!C13=1,60+Inputs!$B$25+Inputs!$B$29,IF(Skills!C13=2,90+Inputs!$B$26+Inputs!$B$29,IF(Skills!C13=3,120+Inputs!$B$27+Inputs!$B$29,MAX(0,(Inputs!$B$3-100)*3)+Inputs!$B$28+Inputs!$B$29)))</f>
        <v/>
      </c>
      <c r="E549">
        <f>INDEX(FactorTable!$B$2:$Y$301, MATCH(ROUND(MIN(300,MAX(1,D549)),0), FactorTable!$A$2:$A$301,0), Skills!M13+1)</f>
        <v/>
      </c>
      <c r="F549">
        <f>IF(Skills!N13=TRUE,(Skills!L13/10)*(E549/1000),Skills!L13/10)+Skills!O13</f>
        <v/>
      </c>
      <c r="G549">
        <f>Calc!G13</f>
        <v/>
      </c>
      <c r="H549">
        <f>Calc!H13</f>
        <v/>
      </c>
      <c r="I549">
        <f>IF(Skills!X13&lt;&gt;"",1+(Skills!X13/10)*(Z539/1000)/100,1)</f>
        <v/>
      </c>
      <c r="J549">
        <f>((Inputs!$B$6*(1+Inputs!$B$7/100))+(((Inputs!$B$12*(1+Inputs!$B$13/100))-(Inputs!$B$12*(1+Inputs!$B$13/100)))+0.25*(Inputs!$B$14-Inputs!$B$14))*(1+Inputs!$B$7/100))*(F549/100)</f>
        <v/>
      </c>
      <c r="K549">
        <f>J549*(1+((Inputs!$B$12*(1+Inputs!$B$13/100))*0.01+Inputs!$B$14*0.0025)/100)*(1+Inputs!$B$15/100)*(1+IF(Inputs!$B$38="pvp",0,(1-Summary!$B$56)*(Inputs!$B$20+Skills!P13)+Summary!$B$56*(Inputs!$B$21+Skills!Q13))/100)*(1+Inputs!$B$16/100)*(5000/(6000+Inputs!$B$42*(1-((1-(1-Inputs!$B$19/100)*(1-1/100))*100)/100)))*(1+Inputs!$B$24/100)*(1+F559/100)*(1+IF(Inputs!$B$3&gt;=120,F562,0)/100)^5*(1+(IF(Skills!A13="BASIC_ATTACK",Inputs!$B$17,Inputs!$B$18+IF(Inputs!$B$3&gt;=125,F563*5,0)))/100)*(B566*B567*B568*I549)</f>
        <v/>
      </c>
      <c r="L549">
        <f>K549*(MIN(Inputs!$B$22+(F558-Calc!F22),Inputs!$B$23)/100+Inputs!$B$23/100)/2</f>
        <v/>
      </c>
      <c r="M549">
        <f>L549*(1+(Inputs!$B$10+(F557-Calc!F21))/100)</f>
        <v/>
      </c>
      <c r="N549">
        <f>L549*(1-MIN(Inputs!$B$9+(F556-Calc!F20),100)/100)+M549*(MIN(Inputs!$B$9+(F556-Calc!F20),100)/100)</f>
        <v/>
      </c>
      <c r="O549">
        <f>IF(C549,H549*N549*IF(AND(Inputs!$B$38&lt;&gt;"pvp",Inputs!$B$43&gt;0),((Skills!G13*((R549-1)*IF(Skills!H13&gt;0,Skills!I13/Skills!H13,1)+IF(Skills!H13&gt;0,MIN(Skills!I13,MAX(0,Inputs!$B$43-((R549-1)*IF(Inputs!$B$38="pvp",15,MAX(0.1,Skills!E13-IF(Skills!F13=TRUE,Inputs!$B$32,0))))))/Skills!H13,1)))/Inputs!$B$43),G549*Q549)*IF(Inputs!$B$38="pvp",1,(1-Summary!$B$56)*(1)+Summary!$B$56*(MIN(Skills!R13,Inputs!$B$37))),0)</f>
        <v/>
      </c>
      <c r="P549">
        <f>IF(B575=0,0,O549/B575)</f>
        <v/>
      </c>
      <c r="Q549">
        <f>IFERROR(1/IF(Inputs!$B$38="pvp",15,MAX(0.1,Skills!E13-IF(Skills!F13=TRUE,Inputs!$B$32,0))),0)</f>
        <v/>
      </c>
      <c r="R549">
        <f>IF(AND(Inputs!$B$38&lt;&gt;"pvp",Inputs!$B$43&gt;0),(INT(Inputs!$B$43/IF(Inputs!$B$38="pvp",15,MAX(0.1,Skills!E13-IF(Skills!F13=TRUE,Inputs!$B$32,0))))+1),0)</f>
        <v/>
      </c>
    </row>
    <row r="550">
      <c r="A550">
        <f>Skills!A14</f>
        <v/>
      </c>
      <c r="B550">
        <f>Skills!B14</f>
        <v/>
      </c>
      <c r="C550">
        <f>Inputs!$B$3&gt;=113</f>
        <v/>
      </c>
      <c r="D550">
        <f>IF(Skills!C14=1,60+Inputs!$B$25+Inputs!$B$29,IF(Skills!C14=2,90+Inputs!$B$26+Inputs!$B$29,IF(Skills!C14=3,120+Inputs!$B$27+Inputs!$B$29,MAX(0,(Inputs!$B$3-100)*3)+Inputs!$B$28+Inputs!$B$29)))</f>
        <v/>
      </c>
      <c r="E550">
        <f>INDEX(FactorTable!$B$2:$Y$301, MATCH(ROUND(MIN(300,MAX(1,D550)),0), FactorTable!$A$2:$A$301,0), Skills!M14+1)</f>
        <v/>
      </c>
      <c r="F550">
        <f>IF(Skills!N14=TRUE,(Skills!L14/10)*(E550/1000),Skills!L14/10)+Skills!O14</f>
        <v/>
      </c>
      <c r="G550">
        <f>Calc!G14</f>
        <v/>
      </c>
      <c r="H550">
        <f>Calc!H14</f>
        <v/>
      </c>
      <c r="I550">
        <f>IF(Skills!X14&lt;&gt;"",1+(Skills!X14/10)*(Z539/1000)/100,1)</f>
        <v/>
      </c>
      <c r="J550">
        <f>((Inputs!$B$6*(1+Inputs!$B$7/100))+(((Inputs!$B$12*(1+Inputs!$B$13/100))-(Inputs!$B$12*(1+Inputs!$B$13/100)))+0.25*(Inputs!$B$14-Inputs!$B$14))*(1+Inputs!$B$7/100))*(F550/100)</f>
        <v/>
      </c>
      <c r="K550">
        <f>J550*(1+((Inputs!$B$12*(1+Inputs!$B$13/100))*0.01+Inputs!$B$14*0.0025)/100)*(1+Inputs!$B$15/100)*(1+IF(Inputs!$B$38="pvp",0,(1-Summary!$B$56)*(Inputs!$B$20+Skills!P14)+Summary!$B$56*(Inputs!$B$21+Skills!Q14))/100)*(1+Inputs!$B$16/100)*(5000/(6000+Inputs!$B$42*(1-((1-(1-Inputs!$B$19/100)*(1-1/100))*100)/100)))*(1+Inputs!$B$24/100)*(1+F559/100)*(1+IF(Inputs!$B$3&gt;=120,F562,0)/100)^5*(1+(IF(Skills!A14="BASIC_ATTACK",Inputs!$B$17,Inputs!$B$18+IF(Inputs!$B$3&gt;=125,F563*5,0)))/100)*(B566*B567*B568*I550)</f>
        <v/>
      </c>
      <c r="L550">
        <f>K550*(MIN(Inputs!$B$22+(F558-Calc!F22),Inputs!$B$23)/100+Inputs!$B$23/100)/2</f>
        <v/>
      </c>
      <c r="M550">
        <f>L550*(1+(Inputs!$B$10+(F557-Calc!F21))/100)</f>
        <v/>
      </c>
      <c r="N550">
        <f>L550*(1-MIN(Inputs!$B$9+(F556-Calc!F20),100)/100)+M550*(MIN(Inputs!$B$9+(F556-Calc!F20),100)/100)</f>
        <v/>
      </c>
      <c r="O550">
        <f>IF(C550,(H550*B573)/(1+Skills!H14*H550*B573)*N550*IF(Inputs!$B$38="pvp",1,(1-Summary!$B$56)*(1)+Summary!$B$56*(MIN(Skills!R14,Inputs!$B$37))),0)</f>
        <v/>
      </c>
      <c r="P550">
        <f>IF(B575=0,0,O550/B575)</f>
        <v/>
      </c>
      <c r="Q550">
        <f>IFERROR(1/IF(Inputs!$B$38="pvp",15,MAX(0.1,Skills!E14-IF(Skills!F14=TRUE,Inputs!$B$32,0))),0)</f>
        <v/>
      </c>
      <c r="R550" t="n">
        <v>0</v>
      </c>
    </row>
    <row r="551">
      <c r="A551">
        <f>Skills!A15</f>
        <v/>
      </c>
      <c r="B551">
        <f>Skills!B15</f>
        <v/>
      </c>
      <c r="C551">
        <f>Inputs!$B$3&gt;=107</f>
        <v/>
      </c>
      <c r="D551">
        <f>IF(Skills!C15=1,60+Inputs!$B$25+Inputs!$B$29,IF(Skills!C15=2,90+Inputs!$B$26+Inputs!$B$29,IF(Skills!C15=3,120+Inputs!$B$27+Inputs!$B$29,MAX(0,(Inputs!$B$3-100)*3)+Inputs!$B$28+Inputs!$B$29)))</f>
        <v/>
      </c>
      <c r="E551">
        <f>INDEX(FactorTable!$B$2:$Y$301, MATCH(ROUND(MIN(300,MAX(1,D551)),0), FactorTable!$A$2:$A$301,0), Skills!M15+1)</f>
        <v/>
      </c>
      <c r="F551">
        <f>IF(Skills!N15=TRUE,(Skills!L15/10)*(E551/1000),Skills!L15/10)+Skills!O15</f>
        <v/>
      </c>
      <c r="G551">
        <f>Calc!G15</f>
        <v/>
      </c>
      <c r="H551">
        <f>Calc!H15</f>
        <v/>
      </c>
      <c r="I551">
        <f>IF(Skills!X15&lt;&gt;"",1+(Skills!X15/10)*(Z539/1000)/100,1)</f>
        <v/>
      </c>
      <c r="J551">
        <f>((Inputs!$B$6*(1+Inputs!$B$7/100))+(((Inputs!$B$12*(1+Inputs!$B$13/100))-(Inputs!$B$12*(1+Inputs!$B$13/100)))+0.25*(Inputs!$B$14-Inputs!$B$14))*(1+Inputs!$B$7/100))*(F551/100)</f>
        <v/>
      </c>
      <c r="K551">
        <f>J551*(1+((Inputs!$B$12*(1+Inputs!$B$13/100))*0.01+Inputs!$B$14*0.0025)/100)*(1+Inputs!$B$15/100)*(1+IF(Inputs!$B$38="pvp",0,(1-Summary!$B$56)*(Inputs!$B$20+Skills!P15)+Summary!$B$56*(Inputs!$B$21+Skills!Q15))/100)*(1+Inputs!$B$16/100)*(5000/(6000+Inputs!$B$42*(1-((1-(1-Inputs!$B$19/100)*(1-1/100))*100)/100)))*(1+Inputs!$B$24/100)*(1+F559/100)*(1+IF(Inputs!$B$3&gt;=120,F562,0)/100)^5*(1+(IF(Skills!A15="BASIC_ATTACK",Inputs!$B$17,Inputs!$B$18+IF(Inputs!$B$3&gt;=125,F563*5,0)))/100)*(B566*B567*B568*I551)</f>
        <v/>
      </c>
      <c r="L551">
        <f>K551*(MIN(Inputs!$B$22+(F558-Calc!F22),Inputs!$B$23)/100+Inputs!$B$23/100)/2</f>
        <v/>
      </c>
      <c r="M551">
        <f>L551*(1+(Inputs!$B$10+(F557-Calc!F21))/100)</f>
        <v/>
      </c>
      <c r="N551">
        <f>L551*(1-MIN(Inputs!$B$9+(F556-Calc!F20),100)/100)+M551*(MIN(Inputs!$B$9+(F556-Calc!F20),100)/100)</f>
        <v/>
      </c>
      <c r="O551">
        <f>IF(C551,H551*N551*IF(AND(Inputs!$B$38&lt;&gt;"pvp",Inputs!$B$43&gt;0),((Skills!G15*((R551-1)*IF(Skills!H15&gt;0,Skills!I15/Skills!H15,1)+IF(Skills!H15&gt;0,MIN(Skills!I15,MAX(0,Inputs!$B$43-((R551-1)*IF(Inputs!$B$38="pvp",15,MAX(0.1,Skills!E15-IF(Skills!F15=TRUE,Inputs!$B$32,0))))))/Skills!H15,1)))/Inputs!$B$43),G551*Q551)*IF(Inputs!$B$38="pvp",1,(1-Summary!$B$56)*(1)+Summary!$B$56*(MIN(Skills!R15,Inputs!$B$37))),0)</f>
        <v/>
      </c>
      <c r="P551">
        <f>IF(B575=0,0,O551/B575)</f>
        <v/>
      </c>
      <c r="Q551">
        <f>IFERROR(1/IF(Inputs!$B$38="pvp",15,MAX(0.1,Skills!E15-IF(Skills!F15=TRUE,Inputs!$B$32,0))),0)</f>
        <v/>
      </c>
      <c r="R551">
        <f>IF(AND(Inputs!$B$38&lt;&gt;"pvp",Inputs!$B$43&gt;0),(INT(Inputs!$B$43/IF(Inputs!$B$38="pvp",15,MAX(0.1,Skills!E15-IF(Skills!F15=TRUE,Inputs!$B$32,0))))+1),0)</f>
        <v/>
      </c>
    </row>
    <row r="552">
      <c r="A552">
        <f>Skills!A16</f>
        <v/>
      </c>
      <c r="B552">
        <f>Skills!B16</f>
        <v/>
      </c>
      <c r="C552">
        <f>Inputs!$B$3&gt;=107</f>
        <v/>
      </c>
      <c r="D552">
        <f>IF(Skills!C16=1,60+Inputs!$B$25+Inputs!$B$29,IF(Skills!C16=2,90+Inputs!$B$26+Inputs!$B$29,IF(Skills!C16=3,120+Inputs!$B$27+Inputs!$B$29,MAX(0,(Inputs!$B$3-100)*3)+Inputs!$B$28+Inputs!$B$29)))</f>
        <v/>
      </c>
      <c r="E552">
        <f>INDEX(FactorTable!$B$2:$Y$301, MATCH(ROUND(MIN(300,MAX(1,D552)),0), FactorTable!$A$2:$A$301,0), Skills!M16+1)</f>
        <v/>
      </c>
      <c r="F552">
        <f>IF(Skills!N16=TRUE,(Skills!L16/10)*(E552/1000),Skills!L16/10)+Skills!O16</f>
        <v/>
      </c>
      <c r="G552">
        <f>Calc!G16</f>
        <v/>
      </c>
      <c r="H552">
        <f>Calc!H16</f>
        <v/>
      </c>
      <c r="I552">
        <f>IF(Skills!X16&lt;&gt;"",1+(Skills!X16/10)*(Z539/1000)/100,1)</f>
        <v/>
      </c>
      <c r="J552">
        <f>((Inputs!$B$6*(1+Inputs!$B$7/100))+(((Inputs!$B$12*(1+Inputs!$B$13/100))-(Inputs!$B$12*(1+Inputs!$B$13/100)))+0.25*(Inputs!$B$14-Inputs!$B$14))*(1+Inputs!$B$7/100))*(F552/100)</f>
        <v/>
      </c>
      <c r="K552">
        <f>J552*(1+((Inputs!$B$12*(1+Inputs!$B$13/100))*0.01+Inputs!$B$14*0.0025)/100)*(1+Inputs!$B$15/100)*(1+IF(Inputs!$B$38="pvp",0,(1-Summary!$B$56)*(Inputs!$B$20+Skills!P16)+Summary!$B$56*(Inputs!$B$21+Skills!Q16))/100)*(1+Inputs!$B$16/100)*(5000/(6000+Inputs!$B$42*(1-((1-(1-Inputs!$B$19/100)*(1-1/100))*100)/100)))*(1+Inputs!$B$24/100)*(1+F559/100)*(1+IF(Inputs!$B$3&gt;=120,F562,0)/100)^5*(1+(IF(Skills!A16="BASIC_ATTACK",Inputs!$B$17,Inputs!$B$18+IF(Inputs!$B$3&gt;=125,F563*5,0)))/100)*(B566*B567*B568*I552)</f>
        <v/>
      </c>
      <c r="L552">
        <f>K552*(MIN(Inputs!$B$22+(F558-Calc!F22),Inputs!$B$23)/100+Inputs!$B$23/100)/2</f>
        <v/>
      </c>
      <c r="M552">
        <f>L552*(1+(Inputs!$B$10+(F557-Calc!F21))/100)</f>
        <v/>
      </c>
      <c r="N552">
        <f>L552*(1-MIN(Inputs!$B$9+(F556-Calc!F20),100)/100)+M552*(MIN(Inputs!$B$9+(F556-Calc!F20),100)/100)</f>
        <v/>
      </c>
      <c r="O552">
        <f>IF(C552,H552*N552*IF(AND(Inputs!$B$38&lt;&gt;"pvp",Inputs!$B$43&gt;0),((Skills!G16*((R552-1)*IF(Skills!H16&gt;0,Skills!I16/Skills!H16,1)+IF(Skills!H16&gt;0,MIN(Skills!I16,MAX(0,Inputs!$B$43-((R552-1)*IF(Inputs!$B$38="pvp",15,MAX(0.1,Skills!E16-IF(Skills!F16=TRUE,Inputs!$B$32,0))))))/Skills!H16,1)))/Inputs!$B$43),G552*Q552)*(1+IF(Inputs!$B$3&gt;=126,0.05*(B572+Q549+(H550*B573)/(1+Skills!H14*H550*B573)+Q560),0)*Skills!E15)*IF(Inputs!$B$38="pvp",1,(1-Summary!$B$56)*(1)+Summary!$B$56*(MIN(Skills!R16,Inputs!$B$37))),0)</f>
        <v/>
      </c>
      <c r="P552">
        <f>IF(B575=0,0,O552/B575)</f>
        <v/>
      </c>
      <c r="Q552">
        <f>IFERROR(1/IF(Inputs!$B$38="pvp",15,MAX(0.1,Skills!E16-IF(Skills!F16=TRUE,Inputs!$B$32,0))),0)</f>
        <v/>
      </c>
      <c r="R552">
        <f>IF(AND(Inputs!$B$38&lt;&gt;"pvp",Inputs!$B$43&gt;0),(INT(Inputs!$B$43/IF(Inputs!$B$38="pvp",15,MAX(0.1,Skills!E16-IF(Skills!F16=TRUE,Inputs!$B$32,0))))+1),0)</f>
        <v/>
      </c>
    </row>
    <row r="553">
      <c r="A553">
        <f>Skills!A17</f>
        <v/>
      </c>
      <c r="B553">
        <f>Skills!B17</f>
        <v/>
      </c>
      <c r="C553">
        <f>TRUE</f>
        <v/>
      </c>
      <c r="D553">
        <f>IF(Skills!C17=1,60+Inputs!$B$25+Inputs!$B$29,IF(Skills!C17=2,90+Inputs!$B$26+Inputs!$B$29,IF(Skills!C17=3,120+Inputs!$B$27+Inputs!$B$29,MAX(0,(Inputs!$B$3-100)*3)+Inputs!$B$28+Inputs!$B$29)))</f>
        <v/>
      </c>
      <c r="E553">
        <f>INDEX(FactorTable!$B$2:$Y$301, MATCH(ROUND(MIN(300,MAX(1,D553)),0), FactorTable!$A$2:$A$301,0), Skills!M17+1)</f>
        <v/>
      </c>
      <c r="F553">
        <f>IF(Skills!N17=TRUE,(Skills!L17/10)*(E553/1000),Skills!L17/10)+Skills!O17</f>
        <v/>
      </c>
      <c r="G553">
        <f>Calc!G17</f>
        <v/>
      </c>
      <c r="H553">
        <f>Calc!H17</f>
        <v/>
      </c>
      <c r="I553">
        <f>IF(Skills!X17&lt;&gt;"",1+(Skills!X17/10)*(Z539/1000)/100,1)</f>
        <v/>
      </c>
      <c r="J553" t="inlineStr"/>
      <c r="K553" t="inlineStr"/>
      <c r="L553" t="inlineStr"/>
      <c r="M553" t="inlineStr"/>
      <c r="N553" t="inlineStr"/>
      <c r="O553" t="n">
        <v>0</v>
      </c>
      <c r="P553">
        <f>IF(B575=0,0,O553/B575)</f>
        <v/>
      </c>
      <c r="Q553">
        <f>IFERROR(1/IF(Inputs!$B$38="pvp",15,MAX(0.1,Skills!E17-IF(Skills!F17=TRUE,Inputs!$B$32,0))),0)</f>
        <v/>
      </c>
      <c r="R553">
        <f>IF(AND(Inputs!$B$38&lt;&gt;"pvp",Inputs!$B$43&gt;0),(INT(Inputs!$B$43/IF(Inputs!$B$38="pvp",15,MAX(0.1,Skills!E17-IF(Skills!F17=TRUE,Inputs!$B$32,0))))+1),0)</f>
        <v/>
      </c>
    </row>
    <row r="554">
      <c r="A554">
        <f>Skills!A18</f>
        <v/>
      </c>
      <c r="B554">
        <f>Skills!B18</f>
        <v/>
      </c>
      <c r="C554">
        <f>TRUE</f>
        <v/>
      </c>
      <c r="D554">
        <f>IF(Skills!C18=1,60+Inputs!$B$25+Inputs!$B$29,IF(Skills!C18=2,90+Inputs!$B$26+Inputs!$B$29,IF(Skills!C18=3,120+Inputs!$B$27+Inputs!$B$29,MAX(0,(Inputs!$B$3-100)*3)+Inputs!$B$28+Inputs!$B$29)))</f>
        <v/>
      </c>
      <c r="E554">
        <f>INDEX(FactorTable!$B$2:$Y$301, MATCH(ROUND(MIN(300,MAX(1,D554)),0), FactorTable!$A$2:$A$301,0), Skills!M18+1)</f>
        <v/>
      </c>
      <c r="F554">
        <f>IF(Skills!N18=TRUE,(Skills!L18/10)*(E554/1000),Skills!L18/10)+Skills!O18</f>
        <v/>
      </c>
      <c r="G554">
        <f>Calc!G18</f>
        <v/>
      </c>
      <c r="H554">
        <f>Calc!H18</f>
        <v/>
      </c>
      <c r="I554">
        <f>IF(Skills!X18&lt;&gt;"",1+(Skills!X18/10)*(Z539/1000)/100,1)</f>
        <v/>
      </c>
      <c r="J554" t="inlineStr"/>
      <c r="K554" t="inlineStr"/>
      <c r="L554" t="inlineStr"/>
      <c r="M554" t="inlineStr"/>
      <c r="N554" t="inlineStr"/>
      <c r="O554" t="n">
        <v>0</v>
      </c>
      <c r="P554">
        <f>IF(B575=0,0,O554/B575)</f>
        <v/>
      </c>
      <c r="Q554">
        <f>IFERROR(1/IF(Inputs!$B$38="pvp",15,MAX(0.1,Skills!E18-IF(Skills!F18=TRUE,Inputs!$B$32,0))),0)</f>
        <v/>
      </c>
      <c r="R554">
        <f>IF(AND(Inputs!$B$38&lt;&gt;"pvp",Inputs!$B$43&gt;0),(INT(Inputs!$B$43/IF(Inputs!$B$38="pvp",15,MAX(0.1,Skills!E18-IF(Skills!F18=TRUE,Inputs!$B$32,0))))+1),0)</f>
        <v/>
      </c>
    </row>
    <row r="555">
      <c r="A555">
        <f>Skills!A19</f>
        <v/>
      </c>
      <c r="B555">
        <f>Skills!B19</f>
        <v/>
      </c>
      <c r="C555">
        <f>Inputs!$B$3&gt;=110</f>
        <v/>
      </c>
      <c r="D555">
        <f>IF(Skills!C19=1,60+Inputs!$B$25+Inputs!$B$29,IF(Skills!C19=2,90+Inputs!$B$26+Inputs!$B$29,IF(Skills!C19=3,120+Inputs!$B$27+Inputs!$B$29,MAX(0,(Inputs!$B$3-100)*3)+Inputs!$B$28+Inputs!$B$29)))</f>
        <v/>
      </c>
      <c r="E555">
        <f>INDEX(FactorTable!$B$2:$Y$301, MATCH(ROUND(MIN(300,MAX(1,D555)),0), FactorTable!$A$2:$A$301,0), Skills!M19+1)</f>
        <v/>
      </c>
      <c r="F555">
        <f>IF(Skills!N19=TRUE,(Skills!L19/10)*(E555/1000),Skills!L19/10)+Skills!O19</f>
        <v/>
      </c>
      <c r="G555">
        <f>Calc!G19</f>
        <v/>
      </c>
      <c r="H555">
        <f>Calc!H19</f>
        <v/>
      </c>
      <c r="I555">
        <f>IF(Skills!X19&lt;&gt;"",1+(Skills!X19/10)*(Z539/1000)/100,1)</f>
        <v/>
      </c>
      <c r="J555" t="inlineStr"/>
      <c r="K555" t="inlineStr"/>
      <c r="L555" t="inlineStr"/>
      <c r="M555" t="inlineStr"/>
      <c r="N555" t="inlineStr"/>
      <c r="O555" t="n">
        <v>0</v>
      </c>
      <c r="P555">
        <f>IF(B575=0,0,O555/B575)</f>
        <v/>
      </c>
      <c r="Q555">
        <f>IFERROR(1/IF(Inputs!$B$38="pvp",15,MAX(0.1,Skills!E19-IF(Skills!F19=TRUE,Inputs!$B$32,0))),0)</f>
        <v/>
      </c>
      <c r="R555">
        <f>IF(AND(Inputs!$B$38&lt;&gt;"pvp",Inputs!$B$43&gt;0),(INT(Inputs!$B$43/IF(Inputs!$B$38="pvp",15,MAX(0.1,Skills!E19-IF(Skills!F19=TRUE,Inputs!$B$32,0))))+1),0)</f>
        <v/>
      </c>
    </row>
    <row r="556">
      <c r="A556">
        <f>Skills!A20</f>
        <v/>
      </c>
      <c r="B556">
        <f>Skills!B20</f>
        <v/>
      </c>
      <c r="C556">
        <f>TRUE</f>
        <v/>
      </c>
      <c r="D556">
        <f>IF(Skills!C20=1,60+Inputs!$B$25+Inputs!$B$29,IF(Skills!C20=2,90+Inputs!$B$26+Inputs!$B$29,IF(Skills!C20=3,120+Inputs!$B$27+Inputs!$B$29,MAX(0,(Inputs!$B$3-100)*3)+Inputs!$B$28+Inputs!$B$29)))</f>
        <v/>
      </c>
      <c r="E556">
        <f>INDEX(FactorTable!$B$2:$Y$301, MATCH(ROUND(MIN(300,MAX(1,D556)),0), FactorTable!$A$2:$A$301,0), Skills!M20+1)</f>
        <v/>
      </c>
      <c r="F556">
        <f>IF(Skills!N20=TRUE,(Skills!L20/10)*(E556/1000),Skills!L20/10)+Skills!O20</f>
        <v/>
      </c>
      <c r="G556">
        <f>Calc!G20</f>
        <v/>
      </c>
      <c r="H556">
        <f>Calc!H20</f>
        <v/>
      </c>
      <c r="I556">
        <f>IF(Skills!X20&lt;&gt;"",1+(Skills!X20/10)*(Z539/1000)/100,1)</f>
        <v/>
      </c>
      <c r="J556" t="inlineStr"/>
      <c r="K556" t="inlineStr"/>
      <c r="L556" t="inlineStr"/>
      <c r="M556" t="inlineStr"/>
      <c r="N556" t="inlineStr"/>
      <c r="O556" t="n">
        <v>0</v>
      </c>
      <c r="P556">
        <f>IF(B575=0,0,O556/B575)</f>
        <v/>
      </c>
      <c r="Q556">
        <f>IFERROR(1/IF(Inputs!$B$38="pvp",15,MAX(0.1,Skills!E20-IF(Skills!F20=TRUE,Inputs!$B$32,0))),0)</f>
        <v/>
      </c>
      <c r="R556" t="n">
        <v>0</v>
      </c>
    </row>
    <row r="557">
      <c r="A557">
        <f>Skills!A21</f>
        <v/>
      </c>
      <c r="B557">
        <f>Skills!B21</f>
        <v/>
      </c>
      <c r="C557">
        <f>TRUE</f>
        <v/>
      </c>
      <c r="D557">
        <f>IF(Skills!C21=1,60+Inputs!$B$25+Inputs!$B$29,IF(Skills!C21=2,90+Inputs!$B$26+Inputs!$B$29,IF(Skills!C21=3,120+Inputs!$B$27+Inputs!$B$29,MAX(0,(Inputs!$B$3-100)*3)+Inputs!$B$28+Inputs!$B$29)))</f>
        <v/>
      </c>
      <c r="E557">
        <f>INDEX(FactorTable!$B$2:$Y$301, MATCH(ROUND(MIN(300,MAX(1,D557)),0), FactorTable!$A$2:$A$301,0), Skills!M21+1)</f>
        <v/>
      </c>
      <c r="F557">
        <f>IF(Skills!N21=TRUE,(Skills!L21/10)*(E557/1000),Skills!L21/10)+Skills!O21</f>
        <v/>
      </c>
      <c r="G557">
        <f>Calc!G21</f>
        <v/>
      </c>
      <c r="H557">
        <f>Calc!H21</f>
        <v/>
      </c>
      <c r="I557">
        <f>IF(Skills!X21&lt;&gt;"",1+(Skills!X21/10)*(Z539/1000)/100,1)</f>
        <v/>
      </c>
      <c r="J557" t="inlineStr"/>
      <c r="K557" t="inlineStr"/>
      <c r="L557" t="inlineStr"/>
      <c r="M557" t="inlineStr"/>
      <c r="N557" t="inlineStr"/>
      <c r="O557" t="n">
        <v>0</v>
      </c>
      <c r="P557">
        <f>IF(B575=0,0,O557/B575)</f>
        <v/>
      </c>
      <c r="Q557">
        <f>IFERROR(1/IF(Inputs!$B$38="pvp",15,MAX(0.1,Skills!E21-IF(Skills!F21=TRUE,Inputs!$B$32,0))),0)</f>
        <v/>
      </c>
      <c r="R557" t="n">
        <v>0</v>
      </c>
    </row>
    <row r="558">
      <c r="A558">
        <f>Skills!A22</f>
        <v/>
      </c>
      <c r="B558">
        <f>Skills!B22</f>
        <v/>
      </c>
      <c r="C558">
        <f>TRUE</f>
        <v/>
      </c>
      <c r="D558">
        <f>IF(Skills!C22=1,60+Inputs!$B$25+Inputs!$B$29,IF(Skills!C22=2,90+Inputs!$B$26+Inputs!$B$29,IF(Skills!C22=3,120+Inputs!$B$27+Inputs!$B$29,MAX(0,(Inputs!$B$3-100)*3)+Inputs!$B$28+Inputs!$B$29)))</f>
        <v/>
      </c>
      <c r="E558">
        <f>INDEX(FactorTable!$B$2:$Y$301, MATCH(ROUND(MIN(300,MAX(1,D558)),0), FactorTable!$A$2:$A$301,0), Skills!M22+1)</f>
        <v/>
      </c>
      <c r="F558">
        <f>IF(Skills!N22=TRUE,(Skills!L22/10)*(E558/1000),Skills!L22/10)+Skills!O22</f>
        <v/>
      </c>
      <c r="G558">
        <f>Calc!G22</f>
        <v/>
      </c>
      <c r="H558">
        <f>Calc!H22</f>
        <v/>
      </c>
      <c r="I558">
        <f>IF(Skills!X22&lt;&gt;"",1+(Skills!X22/10)*(Z539/1000)/100,1)</f>
        <v/>
      </c>
      <c r="J558" t="inlineStr"/>
      <c r="K558" t="inlineStr"/>
      <c r="L558" t="inlineStr"/>
      <c r="M558" t="inlineStr"/>
      <c r="N558" t="inlineStr"/>
      <c r="O558" t="n">
        <v>0</v>
      </c>
      <c r="P558">
        <f>IF(B575=0,0,O558/B575)</f>
        <v/>
      </c>
      <c r="Q558">
        <f>IFERROR(1/IF(Inputs!$B$38="pvp",15,MAX(0.1,Skills!E22-IF(Skills!F22=TRUE,Inputs!$B$32,0))),0)</f>
        <v/>
      </c>
      <c r="R558" t="n">
        <v>0</v>
      </c>
    </row>
    <row r="559">
      <c r="A559">
        <f>Skills!A23</f>
        <v/>
      </c>
      <c r="B559">
        <f>Skills!B23</f>
        <v/>
      </c>
      <c r="C559">
        <f>TRUE</f>
        <v/>
      </c>
      <c r="D559">
        <f>IF(Skills!C23=1,60+Inputs!$B$25+Inputs!$B$29,IF(Skills!C23=2,90+Inputs!$B$26+Inputs!$B$29,IF(Skills!C23=3,120+Inputs!$B$27+Inputs!$B$29,MAX(0,(Inputs!$B$3-100)*3)+Inputs!$B$28+Inputs!$B$29)))</f>
        <v/>
      </c>
      <c r="E559">
        <f>INDEX(FactorTable!$B$2:$Y$301, MATCH(ROUND(MIN(300,MAX(1,D559)),0), FactorTable!$A$2:$A$301,0), Skills!M23+1)</f>
        <v/>
      </c>
      <c r="F559">
        <f>IF(Skills!N23=TRUE,(Skills!L23/10)*(E559/1000),Skills!L23/10)+Skills!O23</f>
        <v/>
      </c>
      <c r="G559">
        <f>Calc!G23</f>
        <v/>
      </c>
      <c r="H559">
        <f>Calc!H23</f>
        <v/>
      </c>
      <c r="I559">
        <f>IF(Skills!X23&lt;&gt;"",1+(Skills!X23/10)*(Z539/1000)/100,1)</f>
        <v/>
      </c>
      <c r="J559" t="inlineStr"/>
      <c r="K559" t="inlineStr"/>
      <c r="L559" t="inlineStr"/>
      <c r="M559" t="inlineStr"/>
      <c r="N559" t="inlineStr"/>
      <c r="O559" t="n">
        <v>0</v>
      </c>
      <c r="P559">
        <f>IF(B575=0,0,O559/B575)</f>
        <v/>
      </c>
      <c r="Q559">
        <f>IFERROR(1/IF(Inputs!$B$38="pvp",15,MAX(0.1,Skills!E23-IF(Skills!F23=TRUE,Inputs!$B$32,0))),0)</f>
        <v/>
      </c>
      <c r="R559" t="n">
        <v>0</v>
      </c>
    </row>
    <row r="560">
      <c r="A560">
        <f>Skills!A24</f>
        <v/>
      </c>
      <c r="B560">
        <f>Skills!B24</f>
        <v/>
      </c>
      <c r="C560">
        <f>Inputs!$B$3&gt;=115</f>
        <v/>
      </c>
      <c r="D560">
        <f>IF(Skills!C24=1,60+Inputs!$B$25+Inputs!$B$29,IF(Skills!C24=2,90+Inputs!$B$26+Inputs!$B$29,IF(Skills!C24=3,120+Inputs!$B$27+Inputs!$B$29,MAX(0,(Inputs!$B$3-100)*3)+Inputs!$B$28+Inputs!$B$29)))</f>
        <v/>
      </c>
      <c r="E560">
        <f>INDEX(FactorTable!$B$2:$Y$301, MATCH(ROUND(MIN(300,MAX(1,D560)),0), FactorTable!$A$2:$A$301,0), Skills!M24+1)</f>
        <v/>
      </c>
      <c r="F560">
        <f>IF(Skills!N24=TRUE,(Skills!L24/10)*(E560/1000),Skills!L24/10)+Skills!O24</f>
        <v/>
      </c>
      <c r="G560">
        <f>Calc!G24</f>
        <v/>
      </c>
      <c r="H560">
        <f>Calc!H24</f>
        <v/>
      </c>
      <c r="I560">
        <f>IF(Skills!X24&lt;&gt;"",1+(Skills!X24/10)*(Z539/1000)/100,1)</f>
        <v/>
      </c>
      <c r="J560">
        <f>((Inputs!$B$6*(1+Inputs!$B$7/100))+(((Inputs!$B$12*(1+Inputs!$B$13/100))-(Inputs!$B$12*(1+Inputs!$B$13/100)))+0.25*(Inputs!$B$14-Inputs!$B$14))*(1+Inputs!$B$7/100))*(F560/100)</f>
        <v/>
      </c>
      <c r="K560">
        <f>J560*(1+((Inputs!$B$12*(1+Inputs!$B$13/100))*0.01+Inputs!$B$14*0.0025)/100)*(1+Inputs!$B$15/100)*(1+IF(Inputs!$B$38="pvp",0,(1-Summary!$B$56)*(Inputs!$B$20+Skills!P24)+Summary!$B$56*(Inputs!$B$21+Skills!Q24))/100)*(1+Inputs!$B$16/100)*(5000/(6000+Inputs!$B$42*(1-((1-(1-Inputs!$B$19/100)*(1-1/100))*100)/100)))*(1+Inputs!$B$24/100)*(1+F559/100)*(1+IF(Inputs!$B$3&gt;=120,F562,0)/100)^5*(1+(IF(Skills!A24="BASIC_ATTACK",Inputs!$B$17,Inputs!$B$18+IF(Inputs!$B$3&gt;=125,F563*5,0)))/100)*(B566*B567*B568*I560)</f>
        <v/>
      </c>
      <c r="L560">
        <f>K560*(MIN(Inputs!$B$22+(F558-Calc!F22),Inputs!$B$23)/100+Inputs!$B$23/100)/2</f>
        <v/>
      </c>
      <c r="M560">
        <f>L560*(1+(Inputs!$B$10+(F557-Calc!F21))/100)</f>
        <v/>
      </c>
      <c r="N560">
        <f>L560*(1-MIN(Inputs!$B$9+(F556-Calc!F20),100)/100)+M560*(MIN(Inputs!$B$9+(F556-Calc!F20),100)/100)</f>
        <v/>
      </c>
      <c r="O560">
        <f>IF(C560,H560*N560*IF(AND(Inputs!$B$38&lt;&gt;"pvp",Inputs!$B$43&gt;0),((Skills!G24*((R560-1)*IF(Skills!H24&gt;0,Skills!I24/Skills!H24,1)+IF(Skills!H24&gt;0,MIN(Skills!I24,MAX(0,Inputs!$B$43-((R560-1)*IF(Inputs!$B$38="pvp",15,MAX(0.1,Skills!E24-IF(Skills!F24=TRUE,Inputs!$B$32,0))))))/Skills!H24,1)))/Inputs!$B$43),G560*Q560)*(1+IF(Inputs!$B$3&gt;=130,0.2*(Skills!I16/Skills!E15+IF(Inputs!$B$3&gt;=126,0.05*(B572+Q549+(H550*B573)/(1+Skills!H14*H550*B573)+Q560),0)*Skills!I16),0))*IF(Inputs!$B$38="pvp",1,(1-Summary!$B$56)*(1)+Summary!$B$56*(MIN(Skills!R24,Inputs!$B$37))),0)</f>
        <v/>
      </c>
      <c r="P560">
        <f>IF(B575=0,0,O560/B575)</f>
        <v/>
      </c>
      <c r="Q560">
        <f>IFERROR(1/IF(Inputs!$B$38="pvp",15,MAX(0.1,Skills!E24-IF(Skills!F24=TRUE,Inputs!$B$32,0))),0)</f>
        <v/>
      </c>
      <c r="R560">
        <f>IF(AND(Inputs!$B$38&lt;&gt;"pvp",Inputs!$B$43&gt;0),(INT(Inputs!$B$43/IF(Inputs!$B$38="pvp",15,MAX(0.1,Skills!E24-IF(Skills!F24=TRUE,Inputs!$B$32,0))))+1),0)</f>
        <v/>
      </c>
    </row>
    <row r="561">
      <c r="A561">
        <f>Skills!A25</f>
        <v/>
      </c>
      <c r="B561">
        <f>Skills!B25</f>
        <v/>
      </c>
      <c r="C561">
        <f>Inputs!$B$3&gt;=117</f>
        <v/>
      </c>
      <c r="D561">
        <f>IF(Skills!C25=1,60+Inputs!$B$25+Inputs!$B$29,IF(Skills!C25=2,90+Inputs!$B$26+Inputs!$B$29,IF(Skills!C25=3,120+Inputs!$B$27+Inputs!$B$29,MAX(0,(Inputs!$B$3-100)*3)+Inputs!$B$28+Inputs!$B$29)))</f>
        <v/>
      </c>
      <c r="E561">
        <f>INDEX(FactorTable!$B$2:$Y$301, MATCH(ROUND(MIN(300,MAX(1,D561)),0), FactorTable!$A$2:$A$301,0), Skills!M25+1)</f>
        <v/>
      </c>
      <c r="F561">
        <f>IF(Skills!N25=TRUE,(Skills!L25/10)*(E561/1000),Skills!L25/10)+Skills!O25</f>
        <v/>
      </c>
      <c r="G561">
        <f>Calc!G25</f>
        <v/>
      </c>
      <c r="H561">
        <f>Calc!H25</f>
        <v/>
      </c>
      <c r="I561">
        <f>IF(Skills!X25&lt;&gt;"",1+(Skills!X25/10)*(Z539/1000)/100,1)</f>
        <v/>
      </c>
      <c r="J561" t="inlineStr"/>
      <c r="K561" t="inlineStr"/>
      <c r="L561" t="inlineStr"/>
      <c r="M561" t="inlineStr"/>
      <c r="N561" t="inlineStr"/>
      <c r="O561" t="n">
        <v>0</v>
      </c>
      <c r="P561">
        <f>IF(B575=0,0,O561/B575)</f>
        <v/>
      </c>
      <c r="Q561">
        <f>IFERROR(1/IF(Inputs!$B$38="pvp",15,MAX(0.1,Skills!E25-IF(Skills!F25=TRUE,Inputs!$B$32,0))),0)</f>
        <v/>
      </c>
      <c r="R561" t="n">
        <v>0</v>
      </c>
    </row>
    <row r="562">
      <c r="A562">
        <f>Skills!A26</f>
        <v/>
      </c>
      <c r="B562">
        <f>Skills!B26</f>
        <v/>
      </c>
      <c r="C562">
        <f>Inputs!$B$3&gt;=120</f>
        <v/>
      </c>
      <c r="D562">
        <f>IF(Skills!C26=1,60+Inputs!$B$25+Inputs!$B$29,IF(Skills!C26=2,90+Inputs!$B$26+Inputs!$B$29,IF(Skills!C26=3,120+Inputs!$B$27+Inputs!$B$29,MAX(0,(Inputs!$B$3-100)*3)+Inputs!$B$28+Inputs!$B$29)))</f>
        <v/>
      </c>
      <c r="E562">
        <f>INDEX(FactorTable!$B$2:$Y$301, MATCH(ROUND(MIN(300,MAX(1,D562)),0), FactorTable!$A$2:$A$301,0), Skills!M26+1)</f>
        <v/>
      </c>
      <c r="F562">
        <f>IF(Skills!N26=TRUE,(Skills!L26/10)*(E562/1000),Skills!L26/10)+Skills!O26</f>
        <v/>
      </c>
      <c r="G562">
        <f>Calc!G26</f>
        <v/>
      </c>
      <c r="H562">
        <f>Calc!H26</f>
        <v/>
      </c>
      <c r="I562">
        <f>IF(Skills!X26&lt;&gt;"",1+(Skills!X26/10)*(Z539/1000)/100,1)</f>
        <v/>
      </c>
      <c r="J562" t="inlineStr"/>
      <c r="K562" t="inlineStr"/>
      <c r="L562" t="inlineStr"/>
      <c r="M562" t="inlineStr"/>
      <c r="N562" t="inlineStr"/>
      <c r="O562" t="n">
        <v>0</v>
      </c>
      <c r="P562">
        <f>IF(B575=0,0,O562/B575)</f>
        <v/>
      </c>
      <c r="Q562">
        <f>IFERROR(1/IF(Inputs!$B$38="pvp",15,MAX(0.1,Skills!E26-IF(Skills!F26=TRUE,Inputs!$B$32,0))),0)</f>
        <v/>
      </c>
      <c r="R562" t="n">
        <v>0</v>
      </c>
    </row>
    <row r="563">
      <c r="A563">
        <f>Skills!A27</f>
        <v/>
      </c>
      <c r="B563">
        <f>Skills!B27</f>
        <v/>
      </c>
      <c r="C563">
        <f>Inputs!$B$3&gt;=125</f>
        <v/>
      </c>
      <c r="D563">
        <f>IF(Skills!C27=1,60+Inputs!$B$25+Inputs!$B$29,IF(Skills!C27=2,90+Inputs!$B$26+Inputs!$B$29,IF(Skills!C27=3,120+Inputs!$B$27+Inputs!$B$29,MAX(0,(Inputs!$B$3-100)*3)+Inputs!$B$28+Inputs!$B$29)))</f>
        <v/>
      </c>
      <c r="E563">
        <f>INDEX(FactorTable!$B$2:$Y$301, MATCH(ROUND(MIN(300,MAX(1,D563)),0), FactorTable!$A$2:$A$301,0), Skills!M27+1)</f>
        <v/>
      </c>
      <c r="F563">
        <f>IF(Skills!N27=TRUE,(Skills!L27/10)*(E563/1000),Skills!L27/10)+Skills!O27</f>
        <v/>
      </c>
      <c r="G563">
        <f>Calc!G27</f>
        <v/>
      </c>
      <c r="H563">
        <f>Calc!H27</f>
        <v/>
      </c>
      <c r="I563">
        <f>IF(Skills!X27&lt;&gt;"",1+(Skills!X27/10)*(Z539/1000)/100,1)</f>
        <v/>
      </c>
      <c r="J563" t="inlineStr"/>
      <c r="K563" t="inlineStr"/>
      <c r="L563" t="inlineStr"/>
      <c r="M563" t="inlineStr"/>
      <c r="N563" t="inlineStr"/>
      <c r="O563" t="n">
        <v>0</v>
      </c>
      <c r="P563">
        <f>IF(B575=0,0,O563/B575)</f>
        <v/>
      </c>
      <c r="Q563">
        <f>IFERROR(1/IF(Inputs!$B$38="pvp",15,MAX(0.1,Skills!E27-IF(Skills!F27=TRUE,Inputs!$B$32,0))),0)</f>
        <v/>
      </c>
      <c r="R563" t="n">
        <v>0</v>
      </c>
    </row>
    <row r="564">
      <c r="A564">
        <f>Skills!A28</f>
        <v/>
      </c>
      <c r="B564">
        <f>Skills!B28</f>
        <v/>
      </c>
      <c r="C564">
        <f>Inputs!$B$3&gt;=118</f>
        <v/>
      </c>
      <c r="D564">
        <f>IF(Skills!C28=1,60+Inputs!$B$25+Inputs!$B$29,IF(Skills!C28=2,90+Inputs!$B$26+Inputs!$B$29,IF(Skills!C28=3,120+Inputs!$B$27+Inputs!$B$29,MAX(0,(Inputs!$B$3-100)*3)+Inputs!$B$28+Inputs!$B$29)))</f>
        <v/>
      </c>
      <c r="E564">
        <f>INDEX(FactorTable!$B$2:$Y$301, MATCH(ROUND(MIN(300,MAX(1,D564)),0), FactorTable!$A$2:$A$301,0), Skills!M28+1)</f>
        <v/>
      </c>
      <c r="F564">
        <f>IF(Skills!N28=TRUE,(Skills!L28/10)*(E564/1000),Skills!L28/10)+Skills!O28</f>
        <v/>
      </c>
      <c r="G564">
        <f>Calc!G28</f>
        <v/>
      </c>
      <c r="H564">
        <f>Calc!H28</f>
        <v/>
      </c>
      <c r="I564">
        <f>IF(Skills!X28&lt;&gt;"",1+(Skills!X28/10)*(Z539/1000)/100,1)</f>
        <v/>
      </c>
      <c r="J564">
        <f>((Inputs!$B$6*(1+Inputs!$B$7/100))+(((Inputs!$B$12*(1+Inputs!$B$13/100))-(Inputs!$B$12*(1+Inputs!$B$13/100)))+0.25*(Inputs!$B$14-Inputs!$B$14))*(1+Inputs!$B$7/100))*(F564/100)</f>
        <v/>
      </c>
      <c r="K564">
        <f>J564*(1+((Inputs!$B$12*(1+Inputs!$B$13/100))*0.01+Inputs!$B$14*0.0025)/100)*(1+Inputs!$B$15/100)*(1+IF(Inputs!$B$38="pvp",0,(1-Summary!$B$56)*(Inputs!$B$20+Skills!P28)+Summary!$B$56*(Inputs!$B$21+Skills!Q28))/100)*(1+Inputs!$B$16/100)*(5000/(6000+Inputs!$B$42*(1-((1-(1-Inputs!$B$19/100)*(1-1/100))*100)/100)))*(1+Inputs!$B$24/100)*(1+F559/100)*(1+IF(Inputs!$B$3&gt;=120,F562,0)/100)^5*(1+(IF(Skills!A28="BASIC_ATTACK",Inputs!$B$17,Inputs!$B$18+IF(Inputs!$B$3&gt;=125,F563*5,0)))/100)*(B566*B567*B568*I564)</f>
        <v/>
      </c>
      <c r="L564">
        <f>K564*(MIN(Inputs!$B$22+(F558-Calc!F22),Inputs!$B$23)/100+Inputs!$B$23/100)/2</f>
        <v/>
      </c>
      <c r="M564">
        <f>L564*(1+(Inputs!$B$10+(F557-Calc!F21))/100)</f>
        <v/>
      </c>
      <c r="N564">
        <f>L564*(1-MIN(Inputs!$B$9+(F556-Calc!F20),100)/100)+M564*(MIN(Inputs!$B$9+(F556-Calc!F20),100)/100)</f>
        <v/>
      </c>
      <c r="O564">
        <f>IF(C564,H564*N564*IF(AND(Inputs!$B$38&lt;&gt;"pvp",Inputs!$B$43&gt;0),((Skills!G28*((R564-1)*IF(Skills!H28&gt;0,Skills!I28/Skills!H28,1)+IF(Skills!H28&gt;0,MIN(Skills!I28,MAX(0,Inputs!$B$43-((R564-1)*IF(Inputs!$B$38="pvp",15,MAX(0.1,Skills!E28-IF(Skills!F28=TRUE,Inputs!$B$32,0))))))/Skills!H28,1)))/Inputs!$B$43),G564*Q564)*IF(Inputs!$B$38="pvp",1,(1-Summary!$B$56)*(1)+Summary!$B$56*(MIN(Skills!R28,Inputs!$B$37))),0)</f>
        <v/>
      </c>
      <c r="P564">
        <f>IF(B575=0,0,O564/B575)</f>
        <v/>
      </c>
      <c r="Q564">
        <f>IFERROR(1/IF(Inputs!$B$38="pvp",15,MAX(0.1,Skills!E28-IF(Skills!F28=TRUE,Inputs!$B$32,0))),0)</f>
        <v/>
      </c>
      <c r="R564">
        <f>IF(AND(Inputs!$B$38&lt;&gt;"pvp",Inputs!$B$43&gt;0),(INT(Inputs!$B$43/IF(Inputs!$B$38="pvp",15,MAX(0.1,Skills!E28-IF(Skills!F28=TRUE,Inputs!$B$32,0))))+1),0)</f>
        <v/>
      </c>
    </row>
    <row r="566">
      <c r="A566" t="inlineStr">
        <is>
          <t>Burning Magic Multiplier</t>
        </is>
      </c>
      <c r="B566">
        <f>1+(F547*Skills!Z11)/100</f>
        <v/>
      </c>
    </row>
    <row r="567">
      <c r="A567" t="inlineStr">
        <is>
          <t>Elemental Decrease Multiplier (always-on)</t>
        </is>
      </c>
      <c r="B567">
        <f>1+F548/100</f>
        <v/>
      </c>
    </row>
    <row r="568">
      <c r="A568" t="inlineStr">
        <is>
          <t>Average Buff Multiplier (Magic Guard + Meditation, summed; then Infinity)</t>
        </is>
      </c>
      <c r="B568">
        <f>(1+(F542*IF(AND(Inputs!$B$38&lt;&gt;"pvp",Inputs!$B$43&gt;0),(((R542-1)*(Skills!T6*(1+(Inputs!$B$34+IF(Inputs!$B$3&gt;=117,F561,0))/100))+MIN((Skills!T6*(1+(Inputs!$B$34+IF(Inputs!$B$3&gt;=117,F561,0))/100)),MAX(0,Inputs!$B$43-((R542-1)*Skills!E6))))/Inputs!$B$43),IF(Inputs!$B$38="pvp",MIN((Skills!T6*(1+(Inputs!$B$34+IF(Inputs!$B$3&gt;=117,F561,0))/100)),15)/15,(Skills!T6*(1+(Inputs!$B$34+IF(Inputs!$B$3&gt;=117,F561,0))/100))/Skills!E6))+F553*IF(AND(Inputs!$B$38&lt;&gt;"pvp",Inputs!$B$43&gt;0),(((R553-1)*(Skills!T17*(1+(Inputs!$B$34+IF(Inputs!$B$3&gt;=117,F561,0))/100))+MIN((Skills!T17*(1+(Inputs!$B$34+IF(Inputs!$B$3&gt;=117,F561,0))/100)),MAX(0,Inputs!$B$43-((R553-1)*Skills!E17))))/Inputs!$B$43),IF(Inputs!$B$38="pvp",MIN((Skills!T17*(1+(Inputs!$B$34+IF(Inputs!$B$3&gt;=117,F561,0))/100)),15)/15,(Skills!T17*(1+(Inputs!$B$34+IF(Inputs!$B$3&gt;=117,F561,0))/100))/Skills!E17)))/100)*IF(C555=TRUE,(1+F555*IF(AND(Inputs!$B$38&lt;&gt;"pvp",Inputs!$B$43&gt;0),(((R555-1)*(Skills!T19*(1+(Inputs!$B$34+IF(Inputs!$B$3&gt;=117,F561,0))/100))+MIN((Skills!T19*(1+(Inputs!$B$34+IF(Inputs!$B$3&gt;=117,F561,0))/100)),MAX(0,Inputs!$B$43-((R555-1)*Skills!E19))))/Inputs!$B$43),IF(Inputs!$B$38="pvp",MIN((Skills!T19*(1+(Inputs!$B$34+IF(Inputs!$B$3&gt;=117,F561,0))/100)),15)/15,(Skills!T19*(1+(Inputs!$B$34+IF(Inputs!$B$3&gt;=117,F561,0))/100))/Skills!E19))/100),1)</f>
        <v/>
      </c>
    </row>
    <row r="569">
      <c r="A569" t="inlineStr">
        <is>
          <t>Attack Speed Buff Bonus % (Nimble Feet, averaged)</t>
        </is>
      </c>
      <c r="B569">
        <f>F554*IF(AND(Inputs!$B$38&lt;&gt;"pvp",Inputs!$B$43&gt;0),(((R554-1)*(Skills!T18*(1+(Inputs!$B$34+IF(Inputs!$B$3&gt;=117,F561,0))/100))+MIN((Skills!T18*(1+(Inputs!$B$34+IF(Inputs!$B$3&gt;=117,F561,0))/100)),MAX(0,Inputs!$B$43-((R554-1)*Skills!E18))))/Inputs!$B$43),IF(Inputs!$B$38="pvp",MIN((Skills!T18*(1+(Inputs!$B$34+IF(Inputs!$B$3&gt;=117,F561,0))/100)),15)/15,(Skills!T18*(1+(Inputs!$B$34+IF(Inputs!$B$3&gt;=117,F561,0))/100))/Skills!E18))</f>
        <v/>
      </c>
    </row>
    <row r="570">
      <c r="A570" t="inlineStr">
        <is>
          <t>Actions Per Second</t>
        </is>
      </c>
      <c r="B570">
        <f>1+MIN(150,150*(1-(1-Inputs!$B$11/150)*(1-B569/150)))/100</f>
        <v/>
      </c>
    </row>
    <row r="571">
      <c r="A571" t="inlineStr">
        <is>
          <t>Skill + Buff Cast Rate</t>
        </is>
      </c>
      <c r="B571">
        <f>IF(AND(Inputs!$B$38&lt;&gt;"pvp",Inputs!$B$43&gt;0),SUMPRODUCT((Skills!F2:F28=TRUE)*(C538:C564=TRUE)*R538:R564)/Inputs!$B$43,SUMPRODUCT((Skills!F2:F28=TRUE)*(C538:C564=TRUE)*Q538:Q564))</f>
        <v/>
      </c>
    </row>
    <row r="572">
      <c r="A572" t="inlineStr">
        <is>
          <t>Basic Attacks Per Second</t>
        </is>
      </c>
      <c r="B572">
        <f>MAX(0,B570-B571)</f>
        <v/>
      </c>
    </row>
    <row r="573">
      <c r="A573" t="inlineStr">
        <is>
          <t>Meteor Proc — combined trigger cast rate</t>
        </is>
      </c>
      <c r="B573">
        <f>IF(AND(Inputs!$B$38&lt;&gt;"pvp",Inputs!$B$43&gt;0),SUMPRODUCT((Skills!V2:V28=TRUE)*(C538:C564=TRUE)*R538:R564*Skills!W2:W28)/Inputs!$B$43,SUMPRODUCT((Skills!V2:V28=TRUE)*(C538:C564=TRUE)*Q538:Q564*Skills!W2:W28))+B572</f>
        <v/>
      </c>
    </row>
    <row r="575">
      <c r="A575" s="5" t="inlineStr">
        <is>
          <t>TOTAL DPS</t>
        </is>
      </c>
      <c r="B575" s="5">
        <f>SUM(O538:O564)</f>
        <v/>
      </c>
    </row>
    <row r="578">
      <c r="A578" s="5" t="inlineStr">
        <is>
          <t>Stat: BASIC_ATTACK_DAMAGE %</t>
        </is>
      </c>
    </row>
    <row r="579">
      <c r="A579" s="9" t="inlineStr">
        <is>
          <t>Key</t>
        </is>
      </c>
      <c r="B579" s="9" t="inlineStr">
        <is>
          <t>Name</t>
        </is>
      </c>
      <c r="C579" s="9" t="inlineStr">
        <is>
          <t>Unlocked</t>
        </is>
      </c>
      <c r="D579" s="9" t="inlineStr">
        <is>
          <t>InputLevel</t>
        </is>
      </c>
      <c r="E579" s="9" t="inlineStr">
        <is>
          <t>Factor</t>
        </is>
      </c>
      <c r="F579" s="9" t="inlineStr">
        <is>
          <t>CoefficientPercent</t>
        </is>
      </c>
      <c r="G579" s="9" t="inlineStr">
        <is>
          <t>EffectiveHits</t>
        </is>
      </c>
      <c r="H579" s="9" t="inlineStr">
        <is>
          <t>ProcProbability</t>
        </is>
      </c>
      <c r="I579" s="9" t="inlineStr">
        <is>
          <t>MapleHeroMultiplier</t>
        </is>
      </c>
      <c r="J579" s="9" t="inlineStr">
        <is>
          <t>BaseDamage</t>
        </is>
      </c>
      <c r="K579" s="9" t="inlineStr">
        <is>
          <t>BaseHitDamage</t>
        </is>
      </c>
      <c r="L579" s="9" t="inlineStr">
        <is>
          <t>NonCritAvg</t>
        </is>
      </c>
      <c r="M579" s="9" t="inlineStr">
        <is>
          <t>CritAvg</t>
        </is>
      </c>
      <c r="N579" s="9" t="inlineStr">
        <is>
          <t>ExpectedDamage(perHit)</t>
        </is>
      </c>
      <c r="O579" s="9" t="inlineStr">
        <is>
          <t>DPS</t>
        </is>
      </c>
      <c r="P579" s="9" t="inlineStr">
        <is>
          <t>% of Total</t>
        </is>
      </c>
      <c r="R579" t="inlineStr">
        <is>
          <t>helpers</t>
        </is>
      </c>
    </row>
    <row r="580">
      <c r="A580">
        <f>Skills!A2</f>
        <v/>
      </c>
      <c r="B580">
        <f>Skills!B2</f>
        <v/>
      </c>
      <c r="C580">
        <f>TRUE</f>
        <v/>
      </c>
      <c r="D580" t="inlineStr"/>
      <c r="E580" t="inlineStr"/>
      <c r="F580">
        <f>T582+Skills!O2</f>
        <v/>
      </c>
      <c r="G580">
        <f>Calc!G2</f>
        <v/>
      </c>
      <c r="H580">
        <f>Calc!H2</f>
        <v/>
      </c>
      <c r="I580">
        <f>IF(Skills!X2&lt;&gt;"",1+(Skills!X2/10)*(Z581/1000)/100,1)</f>
        <v/>
      </c>
      <c r="J580">
        <f>((Inputs!$B$6*(1+Inputs!$B$7/100))+(((Inputs!$B$12*(1+Inputs!$B$13/100))-(Inputs!$B$12*(1+Inputs!$B$13/100)))+0.25*(Inputs!$B$14-Inputs!$B$14))*(1+Inputs!$B$7/100))*(F580/100)</f>
        <v/>
      </c>
      <c r="K580">
        <f>J580*(1+((Inputs!$B$12*(1+Inputs!$B$13/100))*0.01+Inputs!$B$14*0.0025)/100)*(1+Inputs!$B$15/100)*(1+IF(Inputs!$B$38="pvp",0,(1-Summary!$B$56)*(Inputs!$B$20+Skills!P2)+Summary!$B$56*(Inputs!$B$21+Skills!Q2))/100)*(1+Inputs!$B$16/100)*(5000/(6000+Inputs!$B$42*(1-Inputs!$B$19/100)))*(1+Inputs!$B$24/100)*(1+F601/100)*(1+IF(Inputs!$B$3&gt;=120,F604,0)/100)^5*(1+(IF(Skills!A2="BASIC_ATTACK",(Inputs!$B$17+1),Inputs!$B$18+IF(Inputs!$B$3&gt;=125,F605*5,0)))/100)*(B608*B609*B610*I580)</f>
        <v/>
      </c>
      <c r="L580">
        <f>K580*(MIN(Inputs!$B$22+(F600-Calc!F22),Inputs!$B$23)/100+Inputs!$B$23/100)/2</f>
        <v/>
      </c>
      <c r="M580">
        <f>L580*(1+(Inputs!$B$10+(F599-Calc!F21))/100)</f>
        <v/>
      </c>
      <c r="N580">
        <f>L580*(1-MIN(Inputs!$B$9+(F598-Calc!F20),100)/100)+M580*(MIN(Inputs!$B$9+(F598-Calc!F20),100)/100)</f>
        <v/>
      </c>
      <c r="O580">
        <f>Skills!G2*N580*B614*IF(Inputs!$B$38="pvp",1,(1-Summary!$B$56)*(1)+Summary!$B$56*(MIN((6+Inputs!$B$33+IF(Inputs!$B$3&gt;=136,1,0)),Inputs!$B$37)))</f>
        <v/>
      </c>
      <c r="P580">
        <f>IF(B617=0,0,O580/B617)</f>
        <v/>
      </c>
      <c r="Q580">
        <f>IFERROR(1/IF(Inputs!$B$38="pvp",15,MAX(0.1,Skills!E2-IF(Skills!F2=TRUE,Inputs!$B$32,0))),0)</f>
        <v/>
      </c>
      <c r="R580" t="n">
        <v>0</v>
      </c>
      <c r="T580">
        <f>MAX(0,(Inputs!$B$3-100)*3)+Inputs!$B$28+Inputs!$B$29</f>
        <v/>
      </c>
      <c r="Z580">
        <f>MAX(0,(Inputs!$B$3-100)*3)+Inputs!$B$28+Inputs!$B$29</f>
        <v/>
      </c>
    </row>
    <row r="581">
      <c r="A581">
        <f>Skills!A3</f>
        <v/>
      </c>
      <c r="B581">
        <f>Skills!B3</f>
        <v/>
      </c>
      <c r="C581">
        <f>TRUE</f>
        <v/>
      </c>
      <c r="D581">
        <f>IF(Skills!C3=1,60+Inputs!$B$25+Inputs!$B$29,IF(Skills!C3=2,90+Inputs!$B$26+Inputs!$B$29,IF(Skills!C3=3,120+Inputs!$B$27+Inputs!$B$29,MAX(0,(Inputs!$B$3-100)*3)+Inputs!$B$28+Inputs!$B$29)))</f>
        <v/>
      </c>
      <c r="E581">
        <f>INDEX(FactorTable!$B$2:$Y$301, MATCH(ROUND(MIN(300,MAX(1,D581)),0), FactorTable!$A$2:$A$301,0), Skills!M3+1)</f>
        <v/>
      </c>
      <c r="F581">
        <f>IF(Skills!N3=TRUE,(Skills!L3/10)*(E581/1000),Skills!L3/10)+Skills!O3</f>
        <v/>
      </c>
      <c r="G581">
        <f>Calc!G3</f>
        <v/>
      </c>
      <c r="H581">
        <f>Calc!H3</f>
        <v/>
      </c>
      <c r="I581">
        <f>IF(Skills!X3&lt;&gt;"",1+(Skills!X3/10)*(Z581/1000)/100,1)</f>
        <v/>
      </c>
      <c r="J581">
        <f>((Inputs!$B$6*(1+Inputs!$B$7/100))+(((Inputs!$B$12*(1+Inputs!$B$13/100))-(Inputs!$B$12*(1+Inputs!$B$13/100)))+0.25*(Inputs!$B$14-Inputs!$B$14))*(1+Inputs!$B$7/100))*(F581/100)</f>
        <v/>
      </c>
      <c r="K581">
        <f>J581*(1+((Inputs!$B$12*(1+Inputs!$B$13/100))*0.01+Inputs!$B$14*0.0025)/100)*(1+Inputs!$B$15/100)*(1+IF(Inputs!$B$38="pvp",0,(1-Summary!$B$56)*(Inputs!$B$20+Skills!P3)+Summary!$B$56*(Inputs!$B$21+Skills!Q3))/100)*(1+Inputs!$B$16/100)*(5000/(6000+Inputs!$B$42*(1-Inputs!$B$19/100)))*(1+Inputs!$B$24/100)*(1+F601/100)*(1+IF(Inputs!$B$3&gt;=120,F604,0)/100)^5*(1+(IF(Skills!A3="BASIC_ATTACK",(Inputs!$B$17+1),Inputs!$B$18+IF(Inputs!$B$3&gt;=125,F605*5,0)))/100)*(B608*B609*B610*I581)</f>
        <v/>
      </c>
      <c r="L581">
        <f>K581*(MIN(Inputs!$B$22+(F600-Calc!F22),Inputs!$B$23)/100+Inputs!$B$23/100)/2</f>
        <v/>
      </c>
      <c r="M581">
        <f>L581*(1+(Inputs!$B$10+(F599-Calc!F21))/100)</f>
        <v/>
      </c>
      <c r="N581">
        <f>L581*(1-MIN(Inputs!$B$9+(F598-Calc!F20),100)/100)+M581*(MIN(Inputs!$B$9+(F598-Calc!F20),100)/100)</f>
        <v/>
      </c>
      <c r="O581">
        <f>IF(C581,H581*N581*IF(AND(Inputs!$B$38&lt;&gt;"pvp",Inputs!$B$43&gt;0),((Skills!G3*((R581-1)*IF(Skills!H3&gt;0,Skills!I3/Skills!H3,1)+IF(Skills!H3&gt;0,MIN(Skills!I3,MAX(0,Inputs!$B$43-((R581-1)*IF(Inputs!$B$38="pvp",15,MAX(0.1,Skills!E3-IF(Skills!F3=TRUE,Inputs!$B$32,0))))))/Skills!H3,1)))/Inputs!$B$43),G581*Q581)*IF(Inputs!$B$38="pvp",1,(1-Summary!$B$56)*(1)+Summary!$B$56*(MIN(Skills!R3,Inputs!$B$37))),0)</f>
        <v/>
      </c>
      <c r="P581">
        <f>IF(B617=0,0,O581/B617)</f>
        <v/>
      </c>
      <c r="Q581">
        <f>IFERROR(1/IF(Inputs!$B$38="pvp",15,MAX(0.1,Skills!E3-IF(Skills!F3=TRUE,Inputs!$B$32,0))),0)</f>
        <v/>
      </c>
      <c r="R581">
        <f>IF(AND(Inputs!$B$38&lt;&gt;"pvp",Inputs!$B$43&gt;0),(INT(Inputs!$B$43/IF(Inputs!$B$38="pvp",15,MAX(0.1,Skills!E3-IF(Skills!F3=TRUE,Inputs!$B$32,0))))+1),0)</f>
        <v/>
      </c>
      <c r="T581">
        <f>INDEX(FactorTable!$B$2:$Y$301, MATCH(ROUND(MIN(300,MAX(1,T580)),0), FactorTable!$A$2:$A$301,0), 22)</f>
        <v/>
      </c>
      <c r="Z581">
        <f>INDEX(FactorTable!$B$2:$Y$301, MATCH(ROUND(MIN(300,MAX(1,Z580)),0), FactorTable!$A$2:$A$301,0), 24)</f>
        <v/>
      </c>
    </row>
    <row r="582">
      <c r="A582">
        <f>Skills!A4</f>
        <v/>
      </c>
      <c r="B582">
        <f>Skills!B4</f>
        <v/>
      </c>
      <c r="C582">
        <f>TRUE</f>
        <v/>
      </c>
      <c r="D582">
        <f>IF(Skills!C4=1,60+Inputs!$B$25+Inputs!$B$29,IF(Skills!C4=2,90+Inputs!$B$26+Inputs!$B$29,IF(Skills!C4=3,120+Inputs!$B$27+Inputs!$B$29,MAX(0,(Inputs!$B$3-100)*3)+Inputs!$B$28+Inputs!$B$29)))</f>
        <v/>
      </c>
      <c r="E582">
        <f>INDEX(FactorTable!$B$2:$Y$301, MATCH(ROUND(MIN(300,MAX(1,D582)),0), FactorTable!$A$2:$A$301,0), Skills!M4+1)</f>
        <v/>
      </c>
      <c r="F582">
        <f>IF(Skills!N4=TRUE,(Skills!L4/10)*(E582/1000),Skills!L4/10)+Skills!O4</f>
        <v/>
      </c>
      <c r="G582">
        <f>Calc!G4</f>
        <v/>
      </c>
      <c r="H582">
        <f>Calc!H4</f>
        <v/>
      </c>
      <c r="I582">
        <f>IF(Skills!X4&lt;&gt;"",1+(Skills!X4/10)*(Z581/1000)/100,1)</f>
        <v/>
      </c>
      <c r="J582">
        <f>((Inputs!$B$6*(1+Inputs!$B$7/100))+(((Inputs!$B$12*(1+Inputs!$B$13/100))-(Inputs!$B$12*(1+Inputs!$B$13/100)))+0.25*(Inputs!$B$14-Inputs!$B$14))*(1+Inputs!$B$7/100))*(F582/100)</f>
        <v/>
      </c>
      <c r="K582">
        <f>J582*(1+((Inputs!$B$12*(1+Inputs!$B$13/100))*0.01+Inputs!$B$14*0.0025)/100)*(1+Inputs!$B$15/100)*(1+IF(Inputs!$B$38="pvp",0,(1-Summary!$B$56)*(Inputs!$B$20+Skills!P4)+Summary!$B$56*(Inputs!$B$21+Skills!Q4))/100)*(1+Inputs!$B$16/100)*(5000/(6000+Inputs!$B$42*(1-Inputs!$B$19/100)))*(1+Inputs!$B$24/100)*(1+F601/100)*(1+IF(Inputs!$B$3&gt;=120,F604,0)/100)^5*(1+(IF(Skills!A4="BASIC_ATTACK",(Inputs!$B$17+1),Inputs!$B$18+IF(Inputs!$B$3&gt;=125,F605*5,0)))/100)*(B608*B609*B610*I582)</f>
        <v/>
      </c>
      <c r="L582">
        <f>K582*(MIN(Inputs!$B$22+(F600-Calc!F22),Inputs!$B$23)/100+Inputs!$B$23/100)/2</f>
        <v/>
      </c>
      <c r="M582">
        <f>L582*(1+(Inputs!$B$10+(F599-Calc!F21))/100)</f>
        <v/>
      </c>
      <c r="N582">
        <f>L582*(1-MIN(Inputs!$B$9+(F598-Calc!F20),100)/100)+M582*(MIN(Inputs!$B$9+(F598-Calc!F20),100)/100)</f>
        <v/>
      </c>
      <c r="O582">
        <f>IF(C582,H582*N582*IF(AND(Inputs!$B$38&lt;&gt;"pvp",Inputs!$B$43&gt;0),((Skills!G4*((R582-1)*IF(Skills!H4&gt;0,Skills!I4/Skills!H4,1)+IF(Skills!H4&gt;0,MIN(Skills!I4,MAX(0,Inputs!$B$43-((R582-1)*IF(Inputs!$B$38="pvp",15,MAX(0.1,Skills!E4-IF(Skills!F4=TRUE,Inputs!$B$32,0))))))/Skills!H4,1)))/Inputs!$B$43),G582*Q582)*IF(Inputs!$B$38="pvp",1,(1-Summary!$B$56)*(1)+Summary!$B$56*(MIN(Skills!R4,Inputs!$B$37))),0)</f>
        <v/>
      </c>
      <c r="P582">
        <f>IF(B617=0,0,O582/B617)</f>
        <v/>
      </c>
      <c r="Q582">
        <f>IFERROR(1/IF(Inputs!$B$38="pvp",15,MAX(0.1,Skills!E4-IF(Skills!F4=TRUE,Inputs!$B$32,0))),0)</f>
        <v/>
      </c>
      <c r="R582">
        <f>IF(AND(Inputs!$B$38&lt;&gt;"pvp",Inputs!$B$43&gt;0),(INT(Inputs!$B$43/IF(Inputs!$B$38="pvp",15,MAX(0.1,Skills!E4-IF(Skills!F4=TRUE,Inputs!$B$32,0))))+1),0)</f>
        <v/>
      </c>
      <c r="T582">
        <f>290*T581/1000</f>
        <v/>
      </c>
    </row>
    <row r="583">
      <c r="A583">
        <f>Skills!A5</f>
        <v/>
      </c>
      <c r="B583">
        <f>Skills!B5</f>
        <v/>
      </c>
      <c r="C583">
        <f>TRUE</f>
        <v/>
      </c>
      <c r="D583">
        <f>IF(Skills!C5=1,60+Inputs!$B$25+Inputs!$B$29,IF(Skills!C5=2,90+Inputs!$B$26+Inputs!$B$29,IF(Skills!C5=3,120+Inputs!$B$27+Inputs!$B$29,MAX(0,(Inputs!$B$3-100)*3)+Inputs!$B$28+Inputs!$B$29)))</f>
        <v/>
      </c>
      <c r="E583">
        <f>INDEX(FactorTable!$B$2:$Y$301, MATCH(ROUND(MIN(300,MAX(1,D583)),0), FactorTable!$A$2:$A$301,0), Skills!M5+1)</f>
        <v/>
      </c>
      <c r="F583">
        <f>IF(Skills!N5=TRUE,(Skills!L5/10)*(E583/1000),Skills!L5/10)+Skills!O5</f>
        <v/>
      </c>
      <c r="G583">
        <f>Calc!G5</f>
        <v/>
      </c>
      <c r="H583">
        <f>Calc!H5</f>
        <v/>
      </c>
      <c r="I583">
        <f>IF(Skills!X5&lt;&gt;"",1+(Skills!X5/10)*(Z581/1000)/100,1)</f>
        <v/>
      </c>
      <c r="J583">
        <f>((Inputs!$B$6*(1+Inputs!$B$7/100))+(((Inputs!$B$12*(1+Inputs!$B$13/100))-(Inputs!$B$12*(1+Inputs!$B$13/100)))+0.25*(Inputs!$B$14-Inputs!$B$14))*(1+Inputs!$B$7/100))*(F583/100)</f>
        <v/>
      </c>
      <c r="K583">
        <f>J583*(1+((Inputs!$B$12*(1+Inputs!$B$13/100))*0.01+Inputs!$B$14*0.0025)/100)*(1+Inputs!$B$15/100)*(1+IF(Inputs!$B$38="pvp",0,(1-Summary!$B$56)*(Inputs!$B$20+Skills!P5)+Summary!$B$56*(Inputs!$B$21+Skills!Q5))/100)*(1+Inputs!$B$16/100)*(5000/(6000+Inputs!$B$42*(1-Inputs!$B$19/100)))*(1+Inputs!$B$24/100)*(1+F601/100)*(1+IF(Inputs!$B$3&gt;=120,F604,0)/100)^5*(1+(IF(Skills!A5="BASIC_ATTACK",(Inputs!$B$17+1),Inputs!$B$18+IF(Inputs!$B$3&gt;=125,F605*5,0)))/100)*(B608*B609*B610*I583)</f>
        <v/>
      </c>
      <c r="L583">
        <f>K583*(MIN(Inputs!$B$22+(F600-Calc!F22),Inputs!$B$23)/100+Inputs!$B$23/100)/2</f>
        <v/>
      </c>
      <c r="M583">
        <f>L583*(1+(Inputs!$B$10+(F599-Calc!F21))/100)</f>
        <v/>
      </c>
      <c r="N583">
        <f>L583*(1-MIN(Inputs!$B$9+(F598-Calc!F20),100)/100)+M583*(MIN(Inputs!$B$9+(F598-Calc!F20),100)/100)</f>
        <v/>
      </c>
      <c r="O583">
        <f>IF(C583,H583*N583*IF(AND(Inputs!$B$38&lt;&gt;"pvp",Inputs!$B$43&gt;0),((Skills!G5*((R583-1)*IF(Skills!H5&gt;0,Skills!I5/Skills!H5,1)+IF(Skills!H5&gt;0,MIN(Skills!I5,MAX(0,Inputs!$B$43-((R583-1)*IF(Inputs!$B$38="pvp",15,MAX(0.1,Skills!E5-IF(Skills!F5=TRUE,Inputs!$B$32,0))))))/Skills!H5,1)))/Inputs!$B$43),G583*Q583)*IF(Inputs!$B$38="pvp",1,(1-Summary!$B$56)*(1)+Summary!$B$56*(MIN(Skills!R5,Inputs!$B$37))),0)</f>
        <v/>
      </c>
      <c r="P583">
        <f>IF(B617=0,0,O583/B617)</f>
        <v/>
      </c>
      <c r="Q583">
        <f>IFERROR(1/IF(Inputs!$B$38="pvp",15,MAX(0.1,Skills!E5-IF(Skills!F5=TRUE,Inputs!$B$32,0))),0)</f>
        <v/>
      </c>
      <c r="R583">
        <f>IF(AND(Inputs!$B$38&lt;&gt;"pvp",Inputs!$B$43&gt;0),(INT(Inputs!$B$43/IF(Inputs!$B$38="pvp",15,MAX(0.1,Skills!E5-IF(Skills!F5=TRUE,Inputs!$B$32,0))))+1),0)</f>
        <v/>
      </c>
    </row>
    <row r="584">
      <c r="A584">
        <f>Skills!A6</f>
        <v/>
      </c>
      <c r="B584">
        <f>Skills!B6</f>
        <v/>
      </c>
      <c r="C584">
        <f>TRUE</f>
        <v/>
      </c>
      <c r="D584">
        <f>IF(Skills!C6=1,60+Inputs!$B$25+Inputs!$B$29,IF(Skills!C6=2,90+Inputs!$B$26+Inputs!$B$29,IF(Skills!C6=3,120+Inputs!$B$27+Inputs!$B$29,MAX(0,(Inputs!$B$3-100)*3)+Inputs!$B$28+Inputs!$B$29)))</f>
        <v/>
      </c>
      <c r="E584">
        <f>INDEX(FactorTable!$B$2:$Y$301, MATCH(ROUND(MIN(300,MAX(1,D584)),0), FactorTable!$A$2:$A$301,0), Skills!M6+1)</f>
        <v/>
      </c>
      <c r="F584">
        <f>IF(Skills!N6=TRUE,(Skills!L6/10)*(E584/1000),Skills!L6/10)+Skills!O6</f>
        <v/>
      </c>
      <c r="G584">
        <f>Calc!G6</f>
        <v/>
      </c>
      <c r="H584">
        <f>Calc!H6</f>
        <v/>
      </c>
      <c r="I584">
        <f>IF(Skills!X6&lt;&gt;"",1+(Skills!X6/10)*(Z581/1000)/100,1)</f>
        <v/>
      </c>
      <c r="J584" t="inlineStr"/>
      <c r="K584" t="inlineStr"/>
      <c r="L584" t="inlineStr"/>
      <c r="M584" t="inlineStr"/>
      <c r="N584" t="inlineStr"/>
      <c r="O584" t="n">
        <v>0</v>
      </c>
      <c r="P584">
        <f>IF(B617=0,0,O584/B617)</f>
        <v/>
      </c>
      <c r="Q584">
        <f>IFERROR(1/IF(Inputs!$B$38="pvp",15,MAX(0.1,Skills!E6-IF(Skills!F6=TRUE,Inputs!$B$32,0))),0)</f>
        <v/>
      </c>
      <c r="R584">
        <f>IF(AND(Inputs!$B$38&lt;&gt;"pvp",Inputs!$B$43&gt;0),(INT(Inputs!$B$43/IF(Inputs!$B$38="pvp",15,MAX(0.1,Skills!E6-IF(Skills!F6=TRUE,Inputs!$B$32,0))))+1),0)</f>
        <v/>
      </c>
    </row>
    <row r="585">
      <c r="A585">
        <f>Skills!A7</f>
        <v/>
      </c>
      <c r="B585">
        <f>Skills!B7</f>
        <v/>
      </c>
      <c r="C585">
        <f>TRUE</f>
        <v/>
      </c>
      <c r="D585">
        <f>IF(Skills!C7=1,60+Inputs!$B$25+Inputs!$B$29,IF(Skills!C7=2,90+Inputs!$B$26+Inputs!$B$29,IF(Skills!C7=3,120+Inputs!$B$27+Inputs!$B$29,MAX(0,(Inputs!$B$3-100)*3)+Inputs!$B$28+Inputs!$B$29)))</f>
        <v/>
      </c>
      <c r="E585">
        <f>INDEX(FactorTable!$B$2:$Y$301, MATCH(ROUND(MIN(300,MAX(1,D585)),0), FactorTable!$A$2:$A$301,0), Skills!M7+1)</f>
        <v/>
      </c>
      <c r="F585">
        <f>IF(Skills!N7=TRUE,(Skills!L7/10)*(E585/1000),Skills!L7/10)+Skills!O7</f>
        <v/>
      </c>
      <c r="G585">
        <f>Calc!G7</f>
        <v/>
      </c>
      <c r="H585">
        <f>Calc!H7</f>
        <v/>
      </c>
      <c r="I585">
        <f>IF(Skills!X7&lt;&gt;"",1+(Skills!X7/10)*(Z581/1000)/100,1)</f>
        <v/>
      </c>
      <c r="J585">
        <f>((Inputs!$B$6*(1+Inputs!$B$7/100))+(((Inputs!$B$12*(1+Inputs!$B$13/100))-(Inputs!$B$12*(1+Inputs!$B$13/100)))+0.25*(Inputs!$B$14-Inputs!$B$14))*(1+Inputs!$B$7/100))*(F585/100)</f>
        <v/>
      </c>
      <c r="K585">
        <f>J585*(1+((Inputs!$B$12*(1+Inputs!$B$13/100))*0.01+Inputs!$B$14*0.0025)/100)*(1+Inputs!$B$15/100)*(1+IF(Inputs!$B$38="pvp",0,(1-Summary!$B$56)*(Inputs!$B$20+Skills!P7)+Summary!$B$56*(Inputs!$B$21+Skills!Q7))/100)*(1+Inputs!$B$16/100)*(5000/(6000+Inputs!$B$42*(1-Inputs!$B$19/100)))*(1+Inputs!$B$24/100)*(1+F601/100)*(1+IF(Inputs!$B$3&gt;=120,F604,0)/100)^5*(1+(IF(Skills!A7="BASIC_ATTACK",(Inputs!$B$17+1),Inputs!$B$18+IF(Inputs!$B$3&gt;=125,F605*5,0)))/100)*(B608*B609*B610*I585)</f>
        <v/>
      </c>
      <c r="L585">
        <f>K585*(MIN(Inputs!$B$22+(F600-Calc!F22),Inputs!$B$23)/100+Inputs!$B$23/100)/2</f>
        <v/>
      </c>
      <c r="M585">
        <f>L585*(1+(Inputs!$B$10+(F599-Calc!F21))/100)</f>
        <v/>
      </c>
      <c r="N585">
        <f>L585*(1-MIN(Inputs!$B$9+(F598-Calc!F20),100)/100)+M585*(MIN(Inputs!$B$9+(F598-Calc!F20),100)/100)</f>
        <v/>
      </c>
      <c r="O585">
        <f>IF(C585,H585*N585*IF(AND(Inputs!$B$38&lt;&gt;"pvp",Inputs!$B$43&gt;0),((Skills!G7*((R585-1)*IF(Skills!H7&gt;0,Skills!I7/Skills!H7,1)+IF(Skills!H7&gt;0,MIN(Skills!I7,MAX(0,Inputs!$B$43-((R585-1)*IF(Inputs!$B$38="pvp",15,MAX(0.1,Skills!E7-IF(Skills!F7=TRUE,Inputs!$B$32,0))))))/Skills!H7,1)))/Inputs!$B$43),G585*Q585)*IF(Inputs!$B$38="pvp",1,(1-Summary!$B$56)*(1)+Summary!$B$56*(MIN(Skills!R7,Inputs!$B$37))),0)</f>
        <v/>
      </c>
      <c r="P585">
        <f>IF(B617=0,0,O585/B617)</f>
        <v/>
      </c>
      <c r="Q585">
        <f>IFERROR(1/IF(Inputs!$B$38="pvp",15,MAX(0.1,Skills!E7-IF(Skills!F7=TRUE,Inputs!$B$32,0))),0)</f>
        <v/>
      </c>
      <c r="R585">
        <f>IF(AND(Inputs!$B$38&lt;&gt;"pvp",Inputs!$B$43&gt;0),(INT(Inputs!$B$43/IF(Inputs!$B$38="pvp",15,MAX(0.1,Skills!E7-IF(Skills!F7=TRUE,Inputs!$B$32,0))))+1),0)</f>
        <v/>
      </c>
    </row>
    <row r="586">
      <c r="A586">
        <f>Skills!A8</f>
        <v/>
      </c>
      <c r="B586">
        <f>Skills!B8</f>
        <v/>
      </c>
      <c r="C586">
        <f>TRUE</f>
        <v/>
      </c>
      <c r="D586">
        <f>IF(Skills!C8=1,60+Inputs!$B$25+Inputs!$B$29,IF(Skills!C8=2,90+Inputs!$B$26+Inputs!$B$29,IF(Skills!C8=3,120+Inputs!$B$27+Inputs!$B$29,MAX(0,(Inputs!$B$3-100)*3)+Inputs!$B$28+Inputs!$B$29)))</f>
        <v/>
      </c>
      <c r="E586">
        <f>INDEX(FactorTable!$B$2:$Y$301, MATCH(ROUND(MIN(300,MAX(1,D586)),0), FactorTable!$A$2:$A$301,0), Skills!M8+1)</f>
        <v/>
      </c>
      <c r="F586">
        <f>IF(Skills!N8=TRUE,(Skills!L8/10)*(E586/1000),Skills!L8/10)+Skills!O8</f>
        <v/>
      </c>
      <c r="G586">
        <f>Calc!G8</f>
        <v/>
      </c>
      <c r="H586">
        <f>Calc!H8</f>
        <v/>
      </c>
      <c r="I586">
        <f>IF(Skills!X8&lt;&gt;"",1+(Skills!X8/10)*(Z581/1000)/100,1)</f>
        <v/>
      </c>
      <c r="J586">
        <f>((Inputs!$B$6*(1+Inputs!$B$7/100))+(((Inputs!$B$12*(1+Inputs!$B$13/100))-(Inputs!$B$12*(1+Inputs!$B$13/100)))+0.25*(Inputs!$B$14-Inputs!$B$14))*(1+Inputs!$B$7/100))*(F586/100)</f>
        <v/>
      </c>
      <c r="K586">
        <f>J586*(1+((Inputs!$B$12*(1+Inputs!$B$13/100))*0.01+Inputs!$B$14*0.0025)/100)*(1+Inputs!$B$15/100)*(1+IF(Inputs!$B$38="pvp",0,(1-Summary!$B$56)*(Inputs!$B$20+Skills!P8)+Summary!$B$56*(Inputs!$B$21+Skills!Q8))/100)*(1+Inputs!$B$16/100)*(5000/(6000+Inputs!$B$42*(1-Inputs!$B$19/100)))*(1+Inputs!$B$24/100)*(1+F601/100)*(1+IF(Inputs!$B$3&gt;=120,F604,0)/100)^5*(1+(IF(Skills!A8="BASIC_ATTACK",(Inputs!$B$17+1),Inputs!$B$18+IF(Inputs!$B$3&gt;=125,F605*5,0)))/100)*(B608*B609*B610*I586)</f>
        <v/>
      </c>
      <c r="L586">
        <f>K586*(MIN(Inputs!$B$22+(F600-Calc!F22),Inputs!$B$23)/100+Inputs!$B$23/100)/2</f>
        <v/>
      </c>
      <c r="M586">
        <f>L586*(1+(Inputs!$B$10+(F599-Calc!F21))/100)</f>
        <v/>
      </c>
      <c r="N586">
        <f>L586*(1-MIN(Inputs!$B$9+(F598-Calc!F20),100)/100)+M586*(MIN(Inputs!$B$9+(F598-Calc!F20),100)/100)</f>
        <v/>
      </c>
      <c r="O586">
        <f>IF(C586,H586*N586*IF(AND(Inputs!$B$38&lt;&gt;"pvp",Inputs!$B$43&gt;0),((Skills!G8*((R586-1)*IF(Skills!H8&gt;0,Skills!I8/Skills!H8,1)+IF(Skills!H8&gt;0,MIN(Skills!I8,MAX(0,Inputs!$B$43-((R586-1)*IF(Inputs!$B$38="pvp",15,MAX(0.1,Skills!E8-IF(Skills!F8=TRUE,Inputs!$B$32,0))))))/Skills!H8,1)))/Inputs!$B$43),G586*Q586)*IF(Inputs!$B$38="pvp",1,(1-Summary!$B$56)*(1)+Summary!$B$56*(MIN(Skills!R8,Inputs!$B$37))),0)</f>
        <v/>
      </c>
      <c r="P586">
        <f>IF(B617=0,0,O586/B617)</f>
        <v/>
      </c>
      <c r="Q586">
        <f>IFERROR(1/IF(Inputs!$B$38="pvp",15,MAX(0.1,Skills!E8-IF(Skills!F8=TRUE,Inputs!$B$32,0))),0)</f>
        <v/>
      </c>
      <c r="R586">
        <f>IF(AND(Inputs!$B$38&lt;&gt;"pvp",Inputs!$B$43&gt;0),(INT(Inputs!$B$43/IF(Inputs!$B$38="pvp",15,MAX(0.1,Skills!E8-IF(Skills!F8=TRUE,Inputs!$B$32,0))))+1),0)</f>
        <v/>
      </c>
    </row>
    <row r="587">
      <c r="A587">
        <f>Skills!A9</f>
        <v/>
      </c>
      <c r="B587">
        <f>Skills!B9</f>
        <v/>
      </c>
      <c r="C587">
        <f>Inputs!$B$3&gt;=103</f>
        <v/>
      </c>
      <c r="D587">
        <f>IF(Skills!C9=1,60+Inputs!$B$25+Inputs!$B$29,IF(Skills!C9=2,90+Inputs!$B$26+Inputs!$B$29,IF(Skills!C9=3,120+Inputs!$B$27+Inputs!$B$29,MAX(0,(Inputs!$B$3-100)*3)+Inputs!$B$28+Inputs!$B$29)))</f>
        <v/>
      </c>
      <c r="E587">
        <f>INDEX(FactorTable!$B$2:$Y$301, MATCH(ROUND(MIN(300,MAX(1,D587)),0), FactorTable!$A$2:$A$301,0), Skills!M9+1)</f>
        <v/>
      </c>
      <c r="F587">
        <f>IF(Skills!N9=TRUE,(Skills!L9/10)*(E587/1000),Skills!L9/10)+Skills!O9</f>
        <v/>
      </c>
      <c r="G587">
        <f>Calc!G9</f>
        <v/>
      </c>
      <c r="H587">
        <f>Calc!H9</f>
        <v/>
      </c>
      <c r="I587">
        <f>IF(Skills!X9&lt;&gt;"",1+(Skills!X9/10)*(Z581/1000)/100,1)</f>
        <v/>
      </c>
      <c r="J587">
        <f>((Inputs!$B$6*(1+Inputs!$B$7/100))+(((Inputs!$B$12*(1+Inputs!$B$13/100))-(Inputs!$B$12*(1+Inputs!$B$13/100)))+0.25*(Inputs!$B$14-Inputs!$B$14))*(1+Inputs!$B$7/100))*(F587/100)</f>
        <v/>
      </c>
      <c r="K587">
        <f>J587*(1+((Inputs!$B$12*(1+Inputs!$B$13/100))*0.01+Inputs!$B$14*0.0025)/100)*(1+Inputs!$B$15/100)*(1+IF(Inputs!$B$38="pvp",0,(1-Summary!$B$56)*(Inputs!$B$20+Skills!P9)+Summary!$B$56*(Inputs!$B$21+Skills!Q9))/100)*(1+Inputs!$B$16/100)*(5000/(6000+Inputs!$B$42*(1-Inputs!$B$19/100)))*(1+Inputs!$B$24/100)*(1+F601/100)*(1+IF(Inputs!$B$3&gt;=120,F604,0)/100)^5*(1+(IF(Skills!A9="BASIC_ATTACK",(Inputs!$B$17+1),Inputs!$B$18+IF(Inputs!$B$3&gt;=125,F605*5,0)))/100)*(B608*B609*B610*I587)</f>
        <v/>
      </c>
      <c r="L587">
        <f>K587*(MIN(Inputs!$B$22+(F600-Calc!F22),Inputs!$B$23)/100+Inputs!$B$23/100)/2</f>
        <v/>
      </c>
      <c r="M587">
        <f>L587*(1+(Inputs!$B$10+(F599-Calc!F21))/100)</f>
        <v/>
      </c>
      <c r="N587">
        <f>L587*(1-MIN(Inputs!$B$9+(F598-Calc!F20),100)/100)+M587*(MIN(Inputs!$B$9+(F598-Calc!F20),100)/100)</f>
        <v/>
      </c>
      <c r="O587">
        <f>IF(C587,H587*N587*IF(AND(Inputs!$B$38&lt;&gt;"pvp",Inputs!$B$43&gt;0),((Skills!G9*((R587-1)*IF(Skills!H9&gt;0,Skills!I9/Skills!H9,1)+IF(Skills!H9&gt;0,MIN(Skills!I9,MAX(0,Inputs!$B$43-((R587-1)*IF(Inputs!$B$38="pvp",15,MAX(0.1,Skills!E9-IF(Skills!F7=TRUE,Inputs!$B$32,0))))))/Skills!H9,1)))/Inputs!$B$43),G587*Q587)*IF(Inputs!$B$38="pvp",1,(1-Summary!$B$56)*(1)+Summary!$B$56*(MIN(Skills!R9,Inputs!$B$37))),0)</f>
        <v/>
      </c>
      <c r="P587">
        <f>IF(B617=0,0,O587/B617)</f>
        <v/>
      </c>
      <c r="Q587">
        <f>IFERROR(1/IF(Inputs!$B$38="pvp",15,MAX(0.1,Skills!E9-IF(Skills!F7=TRUE,Inputs!$B$32,0))),0)</f>
        <v/>
      </c>
      <c r="R587">
        <f>IF(AND(Inputs!$B$38&lt;&gt;"pvp",Inputs!$B$43&gt;0),(INT(Inputs!$B$43/IF(Inputs!$B$38="pvp",15,MAX(0.1,Skills!E9-IF(Skills!F7=TRUE,Inputs!$B$32,0))))+1),0)</f>
        <v/>
      </c>
    </row>
    <row r="588">
      <c r="A588">
        <f>Skills!A10</f>
        <v/>
      </c>
      <c r="B588">
        <f>Skills!B10</f>
        <v/>
      </c>
      <c r="C588">
        <f>TRUE</f>
        <v/>
      </c>
      <c r="D588">
        <f>IF(Skills!C10=1,60+Inputs!$B$25+Inputs!$B$29,IF(Skills!C10=2,90+Inputs!$B$26+Inputs!$B$29,IF(Skills!C10=3,120+Inputs!$B$27+Inputs!$B$29,MAX(0,(Inputs!$B$3-100)*3)+Inputs!$B$28+Inputs!$B$29)))</f>
        <v/>
      </c>
      <c r="E588">
        <f>INDEX(FactorTable!$B$2:$Y$301, MATCH(ROUND(MIN(300,MAX(1,D588)),0), FactorTable!$A$2:$A$301,0), Skills!M10+1)</f>
        <v/>
      </c>
      <c r="F588">
        <f>IF(Skills!N10=TRUE,(Skills!L10/10)*(E588/1000),Skills!L10/10)+Skills!O10</f>
        <v/>
      </c>
      <c r="G588">
        <f>Calc!G10</f>
        <v/>
      </c>
      <c r="H588">
        <f>Calc!H10</f>
        <v/>
      </c>
      <c r="I588">
        <f>IF(Skills!X10&lt;&gt;"",1+(Skills!X10/10)*(Z581/1000)/100,1)</f>
        <v/>
      </c>
      <c r="J588">
        <f>((Inputs!$B$6*(1+Inputs!$B$7/100))+(((Inputs!$B$12*(1+Inputs!$B$13/100))-(Inputs!$B$12*(1+Inputs!$B$13/100)))+0.25*(Inputs!$B$14-Inputs!$B$14))*(1+Inputs!$B$7/100))*(F588/100)</f>
        <v/>
      </c>
      <c r="K588">
        <f>J588*(1+((Inputs!$B$12*(1+Inputs!$B$13/100))*0.01+Inputs!$B$14*0.0025)/100)*(1+Inputs!$B$15/100)*(1+IF(Inputs!$B$38="pvp",0,(1-Summary!$B$56)*(Inputs!$B$20+Skills!P10)+Summary!$B$56*(Inputs!$B$21+Skills!Q10))/100)*(1+Inputs!$B$16/100)*(5000/(6000+Inputs!$B$42*(1-Inputs!$B$19/100)))*(1+Inputs!$B$24/100)*(1+F601/100)*(1+IF(Inputs!$B$3&gt;=120,F604,0)/100)^5*(1+(IF(Skills!A10="BASIC_ATTACK",(Inputs!$B$17+1),Inputs!$B$18+IF(Inputs!$B$3&gt;=125,F605*5,0)))/100)*(B608*B609*B610*I588)</f>
        <v/>
      </c>
      <c r="L588">
        <f>K588*(MIN(Inputs!$B$22+(F600-Calc!F22),Inputs!$B$23)/100+Inputs!$B$23/100)/2</f>
        <v/>
      </c>
      <c r="M588">
        <f>L588*(1+(Inputs!$B$10+(F599-Calc!F21))/100)</f>
        <v/>
      </c>
      <c r="N588">
        <f>L588*(1-MIN(Inputs!$B$9+(F598-Calc!F20),100)/100)+M588*(MIN(Inputs!$B$9+(F598-Calc!F20),100)/100)</f>
        <v/>
      </c>
      <c r="O588">
        <f>IF(C588,H588*N588*IF(AND(Inputs!$B$38&lt;&gt;"pvp",Inputs!$B$43&gt;0),((Skills!G10*((R588-1)*IF(Skills!H10&gt;0,Skills!I10/Skills!H10,1)+IF(Skills!H10&gt;0,MIN(Skills!I10,MAX(0,Inputs!$B$43-((R588-1)*IF(Inputs!$B$38="pvp",15,MAX(0.1,Skills!E10-IF(Skills!F10=TRUE,Inputs!$B$32,0))))))/Skills!H10,1)))/Inputs!$B$43),G588*Q588)*IF(Inputs!$B$38="pvp",1,(1-Summary!$B$56)*(1)+Summary!$B$56*(MIN(Skills!R10,Inputs!$B$37))),0)</f>
        <v/>
      </c>
      <c r="P588">
        <f>IF(B617=0,0,O588/B617)</f>
        <v/>
      </c>
      <c r="Q588">
        <f>IFERROR(1/IF(Inputs!$B$38="pvp",15,MAX(0.1,Skills!E10-IF(Skills!F10=TRUE,Inputs!$B$32,0))),0)</f>
        <v/>
      </c>
      <c r="R588">
        <f>IF(AND(Inputs!$B$38&lt;&gt;"pvp",Inputs!$B$43&gt;0),(INT(Inputs!$B$43/IF(Inputs!$B$38="pvp",15,MAX(0.1,Skills!E10-IF(Skills!F10=TRUE,Inputs!$B$32,0))))+1),0)</f>
        <v/>
      </c>
    </row>
    <row r="589">
      <c r="A589">
        <f>Skills!A11</f>
        <v/>
      </c>
      <c r="B589">
        <f>Skills!B11</f>
        <v/>
      </c>
      <c r="C589">
        <f>TRUE</f>
        <v/>
      </c>
      <c r="D589">
        <f>IF(Skills!C11=1,60+Inputs!$B$25+Inputs!$B$29,IF(Skills!C11=2,90+Inputs!$B$26+Inputs!$B$29,IF(Skills!C11=3,120+Inputs!$B$27+Inputs!$B$29,MAX(0,(Inputs!$B$3-100)*3)+Inputs!$B$28+Inputs!$B$29)))</f>
        <v/>
      </c>
      <c r="E589">
        <f>INDEX(FactorTable!$B$2:$Y$301, MATCH(ROUND(MIN(300,MAX(1,D589)),0), FactorTable!$A$2:$A$301,0), Skills!M11+1)</f>
        <v/>
      </c>
      <c r="F589">
        <f>IF(Skills!N11=TRUE,(Skills!L11/10)*(E589/1000),Skills!L11/10)+Skills!O11</f>
        <v/>
      </c>
      <c r="G589">
        <f>Calc!G11</f>
        <v/>
      </c>
      <c r="H589">
        <f>Calc!H11</f>
        <v/>
      </c>
      <c r="I589">
        <f>IF(Skills!X11&lt;&gt;"",1+(Skills!X11/10)*(Z581/1000)/100,1)</f>
        <v/>
      </c>
      <c r="J589" t="inlineStr"/>
      <c r="K589" t="inlineStr"/>
      <c r="L589" t="inlineStr"/>
      <c r="M589" t="inlineStr"/>
      <c r="N589" t="inlineStr"/>
      <c r="O589" t="n">
        <v>0</v>
      </c>
      <c r="P589">
        <f>IF(B617=0,0,O589/B617)</f>
        <v/>
      </c>
      <c r="Q589">
        <f>IFERROR(1/IF(Inputs!$B$38="pvp",15,MAX(0.1,Skills!E11-IF(Skills!F11=TRUE,Inputs!$B$32,0))),0)</f>
        <v/>
      </c>
      <c r="R589" t="n">
        <v>0</v>
      </c>
    </row>
    <row r="590">
      <c r="A590">
        <f>Skills!A12</f>
        <v/>
      </c>
      <c r="B590">
        <f>Skills!B12</f>
        <v/>
      </c>
      <c r="C590">
        <f>TRUE</f>
        <v/>
      </c>
      <c r="D590">
        <f>IF(Skills!C12=1,60+Inputs!$B$25+Inputs!$B$29,IF(Skills!C12=2,90+Inputs!$B$26+Inputs!$B$29,IF(Skills!C12=3,120+Inputs!$B$27+Inputs!$B$29,MAX(0,(Inputs!$B$3-100)*3)+Inputs!$B$28+Inputs!$B$29)))</f>
        <v/>
      </c>
      <c r="E590">
        <f>INDEX(FactorTable!$B$2:$Y$301, MATCH(ROUND(MIN(300,MAX(1,D590)),0), FactorTable!$A$2:$A$301,0), Skills!M12+1)</f>
        <v/>
      </c>
      <c r="F590">
        <f>IF(Skills!N12=TRUE,(Skills!L12/10)*(E590/1000),Skills!L12/10)+Skills!O12</f>
        <v/>
      </c>
      <c r="G590">
        <f>Calc!G12</f>
        <v/>
      </c>
      <c r="H590">
        <f>Calc!H12</f>
        <v/>
      </c>
      <c r="I590">
        <f>IF(Skills!X12&lt;&gt;"",1+(Skills!X12/10)*(Z581/1000)/100,1)</f>
        <v/>
      </c>
      <c r="J590" t="inlineStr"/>
      <c r="K590" t="inlineStr"/>
      <c r="L590" t="inlineStr"/>
      <c r="M590" t="inlineStr"/>
      <c r="N590" t="inlineStr"/>
      <c r="O590" t="n">
        <v>0</v>
      </c>
      <c r="P590">
        <f>IF(B617=0,0,O590/B617)</f>
        <v/>
      </c>
      <c r="Q590">
        <f>IFERROR(1/IF(Inputs!$B$38="pvp",15,MAX(0.1,Skills!E12-IF(Skills!F12=TRUE,Inputs!$B$32,0))),0)</f>
        <v/>
      </c>
      <c r="R590" t="n">
        <v>0</v>
      </c>
    </row>
    <row r="591">
      <c r="A591">
        <f>Skills!A13</f>
        <v/>
      </c>
      <c r="B591">
        <f>Skills!B13</f>
        <v/>
      </c>
      <c r="C591">
        <f>Inputs!$B$3&gt;=105</f>
        <v/>
      </c>
      <c r="D591">
        <f>IF(Skills!C13=1,60+Inputs!$B$25+Inputs!$B$29,IF(Skills!C13=2,90+Inputs!$B$26+Inputs!$B$29,IF(Skills!C13=3,120+Inputs!$B$27+Inputs!$B$29,MAX(0,(Inputs!$B$3-100)*3)+Inputs!$B$28+Inputs!$B$29)))</f>
        <v/>
      </c>
      <c r="E591">
        <f>INDEX(FactorTable!$B$2:$Y$301, MATCH(ROUND(MIN(300,MAX(1,D591)),0), FactorTable!$A$2:$A$301,0), Skills!M13+1)</f>
        <v/>
      </c>
      <c r="F591">
        <f>IF(Skills!N13=TRUE,(Skills!L13/10)*(E591/1000),Skills!L13/10)+Skills!O13</f>
        <v/>
      </c>
      <c r="G591">
        <f>Calc!G13</f>
        <v/>
      </c>
      <c r="H591">
        <f>Calc!H13</f>
        <v/>
      </c>
      <c r="I591">
        <f>IF(Skills!X13&lt;&gt;"",1+(Skills!X13/10)*(Z581/1000)/100,1)</f>
        <v/>
      </c>
      <c r="J591">
        <f>((Inputs!$B$6*(1+Inputs!$B$7/100))+(((Inputs!$B$12*(1+Inputs!$B$13/100))-(Inputs!$B$12*(1+Inputs!$B$13/100)))+0.25*(Inputs!$B$14-Inputs!$B$14))*(1+Inputs!$B$7/100))*(F591/100)</f>
        <v/>
      </c>
      <c r="K591">
        <f>J591*(1+((Inputs!$B$12*(1+Inputs!$B$13/100))*0.01+Inputs!$B$14*0.0025)/100)*(1+Inputs!$B$15/100)*(1+IF(Inputs!$B$38="pvp",0,(1-Summary!$B$56)*(Inputs!$B$20+Skills!P13)+Summary!$B$56*(Inputs!$B$21+Skills!Q13))/100)*(1+Inputs!$B$16/100)*(5000/(6000+Inputs!$B$42*(1-Inputs!$B$19/100)))*(1+Inputs!$B$24/100)*(1+F601/100)*(1+IF(Inputs!$B$3&gt;=120,F604,0)/100)^5*(1+(IF(Skills!A13="BASIC_ATTACK",(Inputs!$B$17+1),Inputs!$B$18+IF(Inputs!$B$3&gt;=125,F605*5,0)))/100)*(B608*B609*B610*I591)</f>
        <v/>
      </c>
      <c r="L591">
        <f>K591*(MIN(Inputs!$B$22+(F600-Calc!F22),Inputs!$B$23)/100+Inputs!$B$23/100)/2</f>
        <v/>
      </c>
      <c r="M591">
        <f>L591*(1+(Inputs!$B$10+(F599-Calc!F21))/100)</f>
        <v/>
      </c>
      <c r="N591">
        <f>L591*(1-MIN(Inputs!$B$9+(F598-Calc!F20),100)/100)+M591*(MIN(Inputs!$B$9+(F598-Calc!F20),100)/100)</f>
        <v/>
      </c>
      <c r="O591">
        <f>IF(C591,H591*N591*IF(AND(Inputs!$B$38&lt;&gt;"pvp",Inputs!$B$43&gt;0),((Skills!G13*((R591-1)*IF(Skills!H13&gt;0,Skills!I13/Skills!H13,1)+IF(Skills!H13&gt;0,MIN(Skills!I13,MAX(0,Inputs!$B$43-((R591-1)*IF(Inputs!$B$38="pvp",15,MAX(0.1,Skills!E13-IF(Skills!F13=TRUE,Inputs!$B$32,0))))))/Skills!H13,1)))/Inputs!$B$43),G591*Q591)*IF(Inputs!$B$38="pvp",1,(1-Summary!$B$56)*(1)+Summary!$B$56*(MIN(Skills!R13,Inputs!$B$37))),0)</f>
        <v/>
      </c>
      <c r="P591">
        <f>IF(B617=0,0,O591/B617)</f>
        <v/>
      </c>
      <c r="Q591">
        <f>IFERROR(1/IF(Inputs!$B$38="pvp",15,MAX(0.1,Skills!E13-IF(Skills!F13=TRUE,Inputs!$B$32,0))),0)</f>
        <v/>
      </c>
      <c r="R591">
        <f>IF(AND(Inputs!$B$38&lt;&gt;"pvp",Inputs!$B$43&gt;0),(INT(Inputs!$B$43/IF(Inputs!$B$38="pvp",15,MAX(0.1,Skills!E13-IF(Skills!F13=TRUE,Inputs!$B$32,0))))+1),0)</f>
        <v/>
      </c>
    </row>
    <row r="592">
      <c r="A592">
        <f>Skills!A14</f>
        <v/>
      </c>
      <c r="B592">
        <f>Skills!B14</f>
        <v/>
      </c>
      <c r="C592">
        <f>Inputs!$B$3&gt;=113</f>
        <v/>
      </c>
      <c r="D592">
        <f>IF(Skills!C14=1,60+Inputs!$B$25+Inputs!$B$29,IF(Skills!C14=2,90+Inputs!$B$26+Inputs!$B$29,IF(Skills!C14=3,120+Inputs!$B$27+Inputs!$B$29,MAX(0,(Inputs!$B$3-100)*3)+Inputs!$B$28+Inputs!$B$29)))</f>
        <v/>
      </c>
      <c r="E592">
        <f>INDEX(FactorTable!$B$2:$Y$301, MATCH(ROUND(MIN(300,MAX(1,D592)),0), FactorTable!$A$2:$A$301,0), Skills!M14+1)</f>
        <v/>
      </c>
      <c r="F592">
        <f>IF(Skills!N14=TRUE,(Skills!L14/10)*(E592/1000),Skills!L14/10)+Skills!O14</f>
        <v/>
      </c>
      <c r="G592">
        <f>Calc!G14</f>
        <v/>
      </c>
      <c r="H592">
        <f>Calc!H14</f>
        <v/>
      </c>
      <c r="I592">
        <f>IF(Skills!X14&lt;&gt;"",1+(Skills!X14/10)*(Z581/1000)/100,1)</f>
        <v/>
      </c>
      <c r="J592">
        <f>((Inputs!$B$6*(1+Inputs!$B$7/100))+(((Inputs!$B$12*(1+Inputs!$B$13/100))-(Inputs!$B$12*(1+Inputs!$B$13/100)))+0.25*(Inputs!$B$14-Inputs!$B$14))*(1+Inputs!$B$7/100))*(F592/100)</f>
        <v/>
      </c>
      <c r="K592">
        <f>J592*(1+((Inputs!$B$12*(1+Inputs!$B$13/100))*0.01+Inputs!$B$14*0.0025)/100)*(1+Inputs!$B$15/100)*(1+IF(Inputs!$B$38="pvp",0,(1-Summary!$B$56)*(Inputs!$B$20+Skills!P14)+Summary!$B$56*(Inputs!$B$21+Skills!Q14))/100)*(1+Inputs!$B$16/100)*(5000/(6000+Inputs!$B$42*(1-Inputs!$B$19/100)))*(1+Inputs!$B$24/100)*(1+F601/100)*(1+IF(Inputs!$B$3&gt;=120,F604,0)/100)^5*(1+(IF(Skills!A14="BASIC_ATTACK",(Inputs!$B$17+1),Inputs!$B$18+IF(Inputs!$B$3&gt;=125,F605*5,0)))/100)*(B608*B609*B610*I592)</f>
        <v/>
      </c>
      <c r="L592">
        <f>K592*(MIN(Inputs!$B$22+(F600-Calc!F22),Inputs!$B$23)/100+Inputs!$B$23/100)/2</f>
        <v/>
      </c>
      <c r="M592">
        <f>L592*(1+(Inputs!$B$10+(F599-Calc!F21))/100)</f>
        <v/>
      </c>
      <c r="N592">
        <f>L592*(1-MIN(Inputs!$B$9+(F598-Calc!F20),100)/100)+M592*(MIN(Inputs!$B$9+(F598-Calc!F20),100)/100)</f>
        <v/>
      </c>
      <c r="O592">
        <f>IF(C592,(H592*B615)/(1+Skills!H14*H592*B615)*N592*IF(Inputs!$B$38="pvp",1,(1-Summary!$B$56)*(1)+Summary!$B$56*(MIN(Skills!R14,Inputs!$B$37))),0)</f>
        <v/>
      </c>
      <c r="P592">
        <f>IF(B617=0,0,O592/B617)</f>
        <v/>
      </c>
      <c r="Q592">
        <f>IFERROR(1/IF(Inputs!$B$38="pvp",15,MAX(0.1,Skills!E14-IF(Skills!F14=TRUE,Inputs!$B$32,0))),0)</f>
        <v/>
      </c>
      <c r="R592" t="n">
        <v>0</v>
      </c>
    </row>
    <row r="593">
      <c r="A593">
        <f>Skills!A15</f>
        <v/>
      </c>
      <c r="B593">
        <f>Skills!B15</f>
        <v/>
      </c>
      <c r="C593">
        <f>Inputs!$B$3&gt;=107</f>
        <v/>
      </c>
      <c r="D593">
        <f>IF(Skills!C15=1,60+Inputs!$B$25+Inputs!$B$29,IF(Skills!C15=2,90+Inputs!$B$26+Inputs!$B$29,IF(Skills!C15=3,120+Inputs!$B$27+Inputs!$B$29,MAX(0,(Inputs!$B$3-100)*3)+Inputs!$B$28+Inputs!$B$29)))</f>
        <v/>
      </c>
      <c r="E593">
        <f>INDEX(FactorTable!$B$2:$Y$301, MATCH(ROUND(MIN(300,MAX(1,D593)),0), FactorTable!$A$2:$A$301,0), Skills!M15+1)</f>
        <v/>
      </c>
      <c r="F593">
        <f>IF(Skills!N15=TRUE,(Skills!L15/10)*(E593/1000),Skills!L15/10)+Skills!O15</f>
        <v/>
      </c>
      <c r="G593">
        <f>Calc!G15</f>
        <v/>
      </c>
      <c r="H593">
        <f>Calc!H15</f>
        <v/>
      </c>
      <c r="I593">
        <f>IF(Skills!X15&lt;&gt;"",1+(Skills!X15/10)*(Z581/1000)/100,1)</f>
        <v/>
      </c>
      <c r="J593">
        <f>((Inputs!$B$6*(1+Inputs!$B$7/100))+(((Inputs!$B$12*(1+Inputs!$B$13/100))-(Inputs!$B$12*(1+Inputs!$B$13/100)))+0.25*(Inputs!$B$14-Inputs!$B$14))*(1+Inputs!$B$7/100))*(F593/100)</f>
        <v/>
      </c>
      <c r="K593">
        <f>J593*(1+((Inputs!$B$12*(1+Inputs!$B$13/100))*0.01+Inputs!$B$14*0.0025)/100)*(1+Inputs!$B$15/100)*(1+IF(Inputs!$B$38="pvp",0,(1-Summary!$B$56)*(Inputs!$B$20+Skills!P15)+Summary!$B$56*(Inputs!$B$21+Skills!Q15))/100)*(1+Inputs!$B$16/100)*(5000/(6000+Inputs!$B$42*(1-Inputs!$B$19/100)))*(1+Inputs!$B$24/100)*(1+F601/100)*(1+IF(Inputs!$B$3&gt;=120,F604,0)/100)^5*(1+(IF(Skills!A15="BASIC_ATTACK",(Inputs!$B$17+1),Inputs!$B$18+IF(Inputs!$B$3&gt;=125,F605*5,0)))/100)*(B608*B609*B610*I593)</f>
        <v/>
      </c>
      <c r="L593">
        <f>K593*(MIN(Inputs!$B$22+(F600-Calc!F22),Inputs!$B$23)/100+Inputs!$B$23/100)/2</f>
        <v/>
      </c>
      <c r="M593">
        <f>L593*(1+(Inputs!$B$10+(F599-Calc!F21))/100)</f>
        <v/>
      </c>
      <c r="N593">
        <f>L593*(1-MIN(Inputs!$B$9+(F598-Calc!F20),100)/100)+M593*(MIN(Inputs!$B$9+(F598-Calc!F20),100)/100)</f>
        <v/>
      </c>
      <c r="O593">
        <f>IF(C593,H593*N593*IF(AND(Inputs!$B$38&lt;&gt;"pvp",Inputs!$B$43&gt;0),((Skills!G15*((R593-1)*IF(Skills!H15&gt;0,Skills!I15/Skills!H15,1)+IF(Skills!H15&gt;0,MIN(Skills!I15,MAX(0,Inputs!$B$43-((R593-1)*IF(Inputs!$B$38="pvp",15,MAX(0.1,Skills!E15-IF(Skills!F15=TRUE,Inputs!$B$32,0))))))/Skills!H15,1)))/Inputs!$B$43),G593*Q593)*IF(Inputs!$B$38="pvp",1,(1-Summary!$B$56)*(1)+Summary!$B$56*(MIN(Skills!R15,Inputs!$B$37))),0)</f>
        <v/>
      </c>
      <c r="P593">
        <f>IF(B617=0,0,O593/B617)</f>
        <v/>
      </c>
      <c r="Q593">
        <f>IFERROR(1/IF(Inputs!$B$38="pvp",15,MAX(0.1,Skills!E15-IF(Skills!F15=TRUE,Inputs!$B$32,0))),0)</f>
        <v/>
      </c>
      <c r="R593">
        <f>IF(AND(Inputs!$B$38&lt;&gt;"pvp",Inputs!$B$43&gt;0),(INT(Inputs!$B$43/IF(Inputs!$B$38="pvp",15,MAX(0.1,Skills!E15-IF(Skills!F15=TRUE,Inputs!$B$32,0))))+1),0)</f>
        <v/>
      </c>
    </row>
    <row r="594">
      <c r="A594">
        <f>Skills!A16</f>
        <v/>
      </c>
      <c r="B594">
        <f>Skills!B16</f>
        <v/>
      </c>
      <c r="C594">
        <f>Inputs!$B$3&gt;=107</f>
        <v/>
      </c>
      <c r="D594">
        <f>IF(Skills!C16=1,60+Inputs!$B$25+Inputs!$B$29,IF(Skills!C16=2,90+Inputs!$B$26+Inputs!$B$29,IF(Skills!C16=3,120+Inputs!$B$27+Inputs!$B$29,MAX(0,(Inputs!$B$3-100)*3)+Inputs!$B$28+Inputs!$B$29)))</f>
        <v/>
      </c>
      <c r="E594">
        <f>INDEX(FactorTable!$B$2:$Y$301, MATCH(ROUND(MIN(300,MAX(1,D594)),0), FactorTable!$A$2:$A$301,0), Skills!M16+1)</f>
        <v/>
      </c>
      <c r="F594">
        <f>IF(Skills!N16=TRUE,(Skills!L16/10)*(E594/1000),Skills!L16/10)+Skills!O16</f>
        <v/>
      </c>
      <c r="G594">
        <f>Calc!G16</f>
        <v/>
      </c>
      <c r="H594">
        <f>Calc!H16</f>
        <v/>
      </c>
      <c r="I594">
        <f>IF(Skills!X16&lt;&gt;"",1+(Skills!X16/10)*(Z581/1000)/100,1)</f>
        <v/>
      </c>
      <c r="J594">
        <f>((Inputs!$B$6*(1+Inputs!$B$7/100))+(((Inputs!$B$12*(1+Inputs!$B$13/100))-(Inputs!$B$12*(1+Inputs!$B$13/100)))+0.25*(Inputs!$B$14-Inputs!$B$14))*(1+Inputs!$B$7/100))*(F594/100)</f>
        <v/>
      </c>
      <c r="K594">
        <f>J594*(1+((Inputs!$B$12*(1+Inputs!$B$13/100))*0.01+Inputs!$B$14*0.0025)/100)*(1+Inputs!$B$15/100)*(1+IF(Inputs!$B$38="pvp",0,(1-Summary!$B$56)*(Inputs!$B$20+Skills!P16)+Summary!$B$56*(Inputs!$B$21+Skills!Q16))/100)*(1+Inputs!$B$16/100)*(5000/(6000+Inputs!$B$42*(1-Inputs!$B$19/100)))*(1+Inputs!$B$24/100)*(1+F601/100)*(1+IF(Inputs!$B$3&gt;=120,F604,0)/100)^5*(1+(IF(Skills!A16="BASIC_ATTACK",(Inputs!$B$17+1),Inputs!$B$18+IF(Inputs!$B$3&gt;=125,F605*5,0)))/100)*(B608*B609*B610*I594)</f>
        <v/>
      </c>
      <c r="L594">
        <f>K594*(MIN(Inputs!$B$22+(F600-Calc!F22),Inputs!$B$23)/100+Inputs!$B$23/100)/2</f>
        <v/>
      </c>
      <c r="M594">
        <f>L594*(1+(Inputs!$B$10+(F599-Calc!F21))/100)</f>
        <v/>
      </c>
      <c r="N594">
        <f>L594*(1-MIN(Inputs!$B$9+(F598-Calc!F20),100)/100)+M594*(MIN(Inputs!$B$9+(F598-Calc!F20),100)/100)</f>
        <v/>
      </c>
      <c r="O594">
        <f>IF(C594,H594*N594*IF(AND(Inputs!$B$38&lt;&gt;"pvp",Inputs!$B$43&gt;0),((Skills!G16*((R594-1)*IF(Skills!H16&gt;0,Skills!I16/Skills!H16,1)+IF(Skills!H16&gt;0,MIN(Skills!I16,MAX(0,Inputs!$B$43-((R594-1)*IF(Inputs!$B$38="pvp",15,MAX(0.1,Skills!E16-IF(Skills!F16=TRUE,Inputs!$B$32,0))))))/Skills!H16,1)))/Inputs!$B$43),G594*Q594)*(1+IF(Inputs!$B$3&gt;=126,0.05*(B614+Q591+(H592*B615)/(1+Skills!H14*H592*B615)+Q602),0)*Skills!E15)*IF(Inputs!$B$38="pvp",1,(1-Summary!$B$56)*(1)+Summary!$B$56*(MIN(Skills!R16,Inputs!$B$37))),0)</f>
        <v/>
      </c>
      <c r="P594">
        <f>IF(B617=0,0,O594/B617)</f>
        <v/>
      </c>
      <c r="Q594">
        <f>IFERROR(1/IF(Inputs!$B$38="pvp",15,MAX(0.1,Skills!E16-IF(Skills!F16=TRUE,Inputs!$B$32,0))),0)</f>
        <v/>
      </c>
      <c r="R594">
        <f>IF(AND(Inputs!$B$38&lt;&gt;"pvp",Inputs!$B$43&gt;0),(INT(Inputs!$B$43/IF(Inputs!$B$38="pvp",15,MAX(0.1,Skills!E16-IF(Skills!F16=TRUE,Inputs!$B$32,0))))+1),0)</f>
        <v/>
      </c>
    </row>
    <row r="595">
      <c r="A595">
        <f>Skills!A17</f>
        <v/>
      </c>
      <c r="B595">
        <f>Skills!B17</f>
        <v/>
      </c>
      <c r="C595">
        <f>TRUE</f>
        <v/>
      </c>
      <c r="D595">
        <f>IF(Skills!C17=1,60+Inputs!$B$25+Inputs!$B$29,IF(Skills!C17=2,90+Inputs!$B$26+Inputs!$B$29,IF(Skills!C17=3,120+Inputs!$B$27+Inputs!$B$29,MAX(0,(Inputs!$B$3-100)*3)+Inputs!$B$28+Inputs!$B$29)))</f>
        <v/>
      </c>
      <c r="E595">
        <f>INDEX(FactorTable!$B$2:$Y$301, MATCH(ROUND(MIN(300,MAX(1,D595)),0), FactorTable!$A$2:$A$301,0), Skills!M17+1)</f>
        <v/>
      </c>
      <c r="F595">
        <f>IF(Skills!N17=TRUE,(Skills!L17/10)*(E595/1000),Skills!L17/10)+Skills!O17</f>
        <v/>
      </c>
      <c r="G595">
        <f>Calc!G17</f>
        <v/>
      </c>
      <c r="H595">
        <f>Calc!H17</f>
        <v/>
      </c>
      <c r="I595">
        <f>IF(Skills!X17&lt;&gt;"",1+(Skills!X17/10)*(Z581/1000)/100,1)</f>
        <v/>
      </c>
      <c r="J595" t="inlineStr"/>
      <c r="K595" t="inlineStr"/>
      <c r="L595" t="inlineStr"/>
      <c r="M595" t="inlineStr"/>
      <c r="N595" t="inlineStr"/>
      <c r="O595" t="n">
        <v>0</v>
      </c>
      <c r="P595">
        <f>IF(B617=0,0,O595/B617)</f>
        <v/>
      </c>
      <c r="Q595">
        <f>IFERROR(1/IF(Inputs!$B$38="pvp",15,MAX(0.1,Skills!E17-IF(Skills!F17=TRUE,Inputs!$B$32,0))),0)</f>
        <v/>
      </c>
      <c r="R595">
        <f>IF(AND(Inputs!$B$38&lt;&gt;"pvp",Inputs!$B$43&gt;0),(INT(Inputs!$B$43/IF(Inputs!$B$38="pvp",15,MAX(0.1,Skills!E17-IF(Skills!F17=TRUE,Inputs!$B$32,0))))+1),0)</f>
        <v/>
      </c>
    </row>
    <row r="596">
      <c r="A596">
        <f>Skills!A18</f>
        <v/>
      </c>
      <c r="B596">
        <f>Skills!B18</f>
        <v/>
      </c>
      <c r="C596">
        <f>TRUE</f>
        <v/>
      </c>
      <c r="D596">
        <f>IF(Skills!C18=1,60+Inputs!$B$25+Inputs!$B$29,IF(Skills!C18=2,90+Inputs!$B$26+Inputs!$B$29,IF(Skills!C18=3,120+Inputs!$B$27+Inputs!$B$29,MAX(0,(Inputs!$B$3-100)*3)+Inputs!$B$28+Inputs!$B$29)))</f>
        <v/>
      </c>
      <c r="E596">
        <f>INDEX(FactorTable!$B$2:$Y$301, MATCH(ROUND(MIN(300,MAX(1,D596)),0), FactorTable!$A$2:$A$301,0), Skills!M18+1)</f>
        <v/>
      </c>
      <c r="F596">
        <f>IF(Skills!N18=TRUE,(Skills!L18/10)*(E596/1000),Skills!L18/10)+Skills!O18</f>
        <v/>
      </c>
      <c r="G596">
        <f>Calc!G18</f>
        <v/>
      </c>
      <c r="H596">
        <f>Calc!H18</f>
        <v/>
      </c>
      <c r="I596">
        <f>IF(Skills!X18&lt;&gt;"",1+(Skills!X18/10)*(Z581/1000)/100,1)</f>
        <v/>
      </c>
      <c r="J596" t="inlineStr"/>
      <c r="K596" t="inlineStr"/>
      <c r="L596" t="inlineStr"/>
      <c r="M596" t="inlineStr"/>
      <c r="N596" t="inlineStr"/>
      <c r="O596" t="n">
        <v>0</v>
      </c>
      <c r="P596">
        <f>IF(B617=0,0,O596/B617)</f>
        <v/>
      </c>
      <c r="Q596">
        <f>IFERROR(1/IF(Inputs!$B$38="pvp",15,MAX(0.1,Skills!E18-IF(Skills!F18=TRUE,Inputs!$B$32,0))),0)</f>
        <v/>
      </c>
      <c r="R596">
        <f>IF(AND(Inputs!$B$38&lt;&gt;"pvp",Inputs!$B$43&gt;0),(INT(Inputs!$B$43/IF(Inputs!$B$38="pvp",15,MAX(0.1,Skills!E18-IF(Skills!F18=TRUE,Inputs!$B$32,0))))+1),0)</f>
        <v/>
      </c>
    </row>
    <row r="597">
      <c r="A597">
        <f>Skills!A19</f>
        <v/>
      </c>
      <c r="B597">
        <f>Skills!B19</f>
        <v/>
      </c>
      <c r="C597">
        <f>Inputs!$B$3&gt;=110</f>
        <v/>
      </c>
      <c r="D597">
        <f>IF(Skills!C19=1,60+Inputs!$B$25+Inputs!$B$29,IF(Skills!C19=2,90+Inputs!$B$26+Inputs!$B$29,IF(Skills!C19=3,120+Inputs!$B$27+Inputs!$B$29,MAX(0,(Inputs!$B$3-100)*3)+Inputs!$B$28+Inputs!$B$29)))</f>
        <v/>
      </c>
      <c r="E597">
        <f>INDEX(FactorTable!$B$2:$Y$301, MATCH(ROUND(MIN(300,MAX(1,D597)),0), FactorTable!$A$2:$A$301,0), Skills!M19+1)</f>
        <v/>
      </c>
      <c r="F597">
        <f>IF(Skills!N19=TRUE,(Skills!L19/10)*(E597/1000),Skills!L19/10)+Skills!O19</f>
        <v/>
      </c>
      <c r="G597">
        <f>Calc!G19</f>
        <v/>
      </c>
      <c r="H597">
        <f>Calc!H19</f>
        <v/>
      </c>
      <c r="I597">
        <f>IF(Skills!X19&lt;&gt;"",1+(Skills!X19/10)*(Z581/1000)/100,1)</f>
        <v/>
      </c>
      <c r="J597" t="inlineStr"/>
      <c r="K597" t="inlineStr"/>
      <c r="L597" t="inlineStr"/>
      <c r="M597" t="inlineStr"/>
      <c r="N597" t="inlineStr"/>
      <c r="O597" t="n">
        <v>0</v>
      </c>
      <c r="P597">
        <f>IF(B617=0,0,O597/B617)</f>
        <v/>
      </c>
      <c r="Q597">
        <f>IFERROR(1/IF(Inputs!$B$38="pvp",15,MAX(0.1,Skills!E19-IF(Skills!F19=TRUE,Inputs!$B$32,0))),0)</f>
        <v/>
      </c>
      <c r="R597">
        <f>IF(AND(Inputs!$B$38&lt;&gt;"pvp",Inputs!$B$43&gt;0),(INT(Inputs!$B$43/IF(Inputs!$B$38="pvp",15,MAX(0.1,Skills!E19-IF(Skills!F19=TRUE,Inputs!$B$32,0))))+1),0)</f>
        <v/>
      </c>
    </row>
    <row r="598">
      <c r="A598">
        <f>Skills!A20</f>
        <v/>
      </c>
      <c r="B598">
        <f>Skills!B20</f>
        <v/>
      </c>
      <c r="C598">
        <f>TRUE</f>
        <v/>
      </c>
      <c r="D598">
        <f>IF(Skills!C20=1,60+Inputs!$B$25+Inputs!$B$29,IF(Skills!C20=2,90+Inputs!$B$26+Inputs!$B$29,IF(Skills!C20=3,120+Inputs!$B$27+Inputs!$B$29,MAX(0,(Inputs!$B$3-100)*3)+Inputs!$B$28+Inputs!$B$29)))</f>
        <v/>
      </c>
      <c r="E598">
        <f>INDEX(FactorTable!$B$2:$Y$301, MATCH(ROUND(MIN(300,MAX(1,D598)),0), FactorTable!$A$2:$A$301,0), Skills!M20+1)</f>
        <v/>
      </c>
      <c r="F598">
        <f>IF(Skills!N20=TRUE,(Skills!L20/10)*(E598/1000),Skills!L20/10)+Skills!O20</f>
        <v/>
      </c>
      <c r="G598">
        <f>Calc!G20</f>
        <v/>
      </c>
      <c r="H598">
        <f>Calc!H20</f>
        <v/>
      </c>
      <c r="I598">
        <f>IF(Skills!X20&lt;&gt;"",1+(Skills!X20/10)*(Z581/1000)/100,1)</f>
        <v/>
      </c>
      <c r="J598" t="inlineStr"/>
      <c r="K598" t="inlineStr"/>
      <c r="L598" t="inlineStr"/>
      <c r="M598" t="inlineStr"/>
      <c r="N598" t="inlineStr"/>
      <c r="O598" t="n">
        <v>0</v>
      </c>
      <c r="P598">
        <f>IF(B617=0,0,O598/B617)</f>
        <v/>
      </c>
      <c r="Q598">
        <f>IFERROR(1/IF(Inputs!$B$38="pvp",15,MAX(0.1,Skills!E20-IF(Skills!F20=TRUE,Inputs!$B$32,0))),0)</f>
        <v/>
      </c>
      <c r="R598" t="n">
        <v>0</v>
      </c>
    </row>
    <row r="599">
      <c r="A599">
        <f>Skills!A21</f>
        <v/>
      </c>
      <c r="B599">
        <f>Skills!B21</f>
        <v/>
      </c>
      <c r="C599">
        <f>TRUE</f>
        <v/>
      </c>
      <c r="D599">
        <f>IF(Skills!C21=1,60+Inputs!$B$25+Inputs!$B$29,IF(Skills!C21=2,90+Inputs!$B$26+Inputs!$B$29,IF(Skills!C21=3,120+Inputs!$B$27+Inputs!$B$29,MAX(0,(Inputs!$B$3-100)*3)+Inputs!$B$28+Inputs!$B$29)))</f>
        <v/>
      </c>
      <c r="E599">
        <f>INDEX(FactorTable!$B$2:$Y$301, MATCH(ROUND(MIN(300,MAX(1,D599)),0), FactorTable!$A$2:$A$301,0), Skills!M21+1)</f>
        <v/>
      </c>
      <c r="F599">
        <f>IF(Skills!N21=TRUE,(Skills!L21/10)*(E599/1000),Skills!L21/10)+Skills!O21</f>
        <v/>
      </c>
      <c r="G599">
        <f>Calc!G21</f>
        <v/>
      </c>
      <c r="H599">
        <f>Calc!H21</f>
        <v/>
      </c>
      <c r="I599">
        <f>IF(Skills!X21&lt;&gt;"",1+(Skills!X21/10)*(Z581/1000)/100,1)</f>
        <v/>
      </c>
      <c r="J599" t="inlineStr"/>
      <c r="K599" t="inlineStr"/>
      <c r="L599" t="inlineStr"/>
      <c r="M599" t="inlineStr"/>
      <c r="N599" t="inlineStr"/>
      <c r="O599" t="n">
        <v>0</v>
      </c>
      <c r="P599">
        <f>IF(B617=0,0,O599/B617)</f>
        <v/>
      </c>
      <c r="Q599">
        <f>IFERROR(1/IF(Inputs!$B$38="pvp",15,MAX(0.1,Skills!E21-IF(Skills!F21=TRUE,Inputs!$B$32,0))),0)</f>
        <v/>
      </c>
      <c r="R599" t="n">
        <v>0</v>
      </c>
    </row>
    <row r="600">
      <c r="A600">
        <f>Skills!A22</f>
        <v/>
      </c>
      <c r="B600">
        <f>Skills!B22</f>
        <v/>
      </c>
      <c r="C600">
        <f>TRUE</f>
        <v/>
      </c>
      <c r="D600">
        <f>IF(Skills!C22=1,60+Inputs!$B$25+Inputs!$B$29,IF(Skills!C22=2,90+Inputs!$B$26+Inputs!$B$29,IF(Skills!C22=3,120+Inputs!$B$27+Inputs!$B$29,MAX(0,(Inputs!$B$3-100)*3)+Inputs!$B$28+Inputs!$B$29)))</f>
        <v/>
      </c>
      <c r="E600">
        <f>INDEX(FactorTable!$B$2:$Y$301, MATCH(ROUND(MIN(300,MAX(1,D600)),0), FactorTable!$A$2:$A$301,0), Skills!M22+1)</f>
        <v/>
      </c>
      <c r="F600">
        <f>IF(Skills!N22=TRUE,(Skills!L22/10)*(E600/1000),Skills!L22/10)+Skills!O22</f>
        <v/>
      </c>
      <c r="G600">
        <f>Calc!G22</f>
        <v/>
      </c>
      <c r="H600">
        <f>Calc!H22</f>
        <v/>
      </c>
      <c r="I600">
        <f>IF(Skills!X22&lt;&gt;"",1+(Skills!X22/10)*(Z581/1000)/100,1)</f>
        <v/>
      </c>
      <c r="J600" t="inlineStr"/>
      <c r="K600" t="inlineStr"/>
      <c r="L600" t="inlineStr"/>
      <c r="M600" t="inlineStr"/>
      <c r="N600" t="inlineStr"/>
      <c r="O600" t="n">
        <v>0</v>
      </c>
      <c r="P600">
        <f>IF(B617=0,0,O600/B617)</f>
        <v/>
      </c>
      <c r="Q600">
        <f>IFERROR(1/IF(Inputs!$B$38="pvp",15,MAX(0.1,Skills!E22-IF(Skills!F22=TRUE,Inputs!$B$32,0))),0)</f>
        <v/>
      </c>
      <c r="R600" t="n">
        <v>0</v>
      </c>
    </row>
    <row r="601">
      <c r="A601">
        <f>Skills!A23</f>
        <v/>
      </c>
      <c r="B601">
        <f>Skills!B23</f>
        <v/>
      </c>
      <c r="C601">
        <f>TRUE</f>
        <v/>
      </c>
      <c r="D601">
        <f>IF(Skills!C23=1,60+Inputs!$B$25+Inputs!$B$29,IF(Skills!C23=2,90+Inputs!$B$26+Inputs!$B$29,IF(Skills!C23=3,120+Inputs!$B$27+Inputs!$B$29,MAX(0,(Inputs!$B$3-100)*3)+Inputs!$B$28+Inputs!$B$29)))</f>
        <v/>
      </c>
      <c r="E601">
        <f>INDEX(FactorTable!$B$2:$Y$301, MATCH(ROUND(MIN(300,MAX(1,D601)),0), FactorTable!$A$2:$A$301,0), Skills!M23+1)</f>
        <v/>
      </c>
      <c r="F601">
        <f>IF(Skills!N23=TRUE,(Skills!L23/10)*(E601/1000),Skills!L23/10)+Skills!O23</f>
        <v/>
      </c>
      <c r="G601">
        <f>Calc!G23</f>
        <v/>
      </c>
      <c r="H601">
        <f>Calc!H23</f>
        <v/>
      </c>
      <c r="I601">
        <f>IF(Skills!X23&lt;&gt;"",1+(Skills!X23/10)*(Z581/1000)/100,1)</f>
        <v/>
      </c>
      <c r="J601" t="inlineStr"/>
      <c r="K601" t="inlineStr"/>
      <c r="L601" t="inlineStr"/>
      <c r="M601" t="inlineStr"/>
      <c r="N601" t="inlineStr"/>
      <c r="O601" t="n">
        <v>0</v>
      </c>
      <c r="P601">
        <f>IF(B617=0,0,O601/B617)</f>
        <v/>
      </c>
      <c r="Q601">
        <f>IFERROR(1/IF(Inputs!$B$38="pvp",15,MAX(0.1,Skills!E23-IF(Skills!F23=TRUE,Inputs!$B$32,0))),0)</f>
        <v/>
      </c>
      <c r="R601" t="n">
        <v>0</v>
      </c>
    </row>
    <row r="602">
      <c r="A602">
        <f>Skills!A24</f>
        <v/>
      </c>
      <c r="B602">
        <f>Skills!B24</f>
        <v/>
      </c>
      <c r="C602">
        <f>Inputs!$B$3&gt;=115</f>
        <v/>
      </c>
      <c r="D602">
        <f>IF(Skills!C24=1,60+Inputs!$B$25+Inputs!$B$29,IF(Skills!C24=2,90+Inputs!$B$26+Inputs!$B$29,IF(Skills!C24=3,120+Inputs!$B$27+Inputs!$B$29,MAX(0,(Inputs!$B$3-100)*3)+Inputs!$B$28+Inputs!$B$29)))</f>
        <v/>
      </c>
      <c r="E602">
        <f>INDEX(FactorTable!$B$2:$Y$301, MATCH(ROUND(MIN(300,MAX(1,D602)),0), FactorTable!$A$2:$A$301,0), Skills!M24+1)</f>
        <v/>
      </c>
      <c r="F602">
        <f>IF(Skills!N24=TRUE,(Skills!L24/10)*(E602/1000),Skills!L24/10)+Skills!O24</f>
        <v/>
      </c>
      <c r="G602">
        <f>Calc!G24</f>
        <v/>
      </c>
      <c r="H602">
        <f>Calc!H24</f>
        <v/>
      </c>
      <c r="I602">
        <f>IF(Skills!X24&lt;&gt;"",1+(Skills!X24/10)*(Z581/1000)/100,1)</f>
        <v/>
      </c>
      <c r="J602">
        <f>((Inputs!$B$6*(1+Inputs!$B$7/100))+(((Inputs!$B$12*(1+Inputs!$B$13/100))-(Inputs!$B$12*(1+Inputs!$B$13/100)))+0.25*(Inputs!$B$14-Inputs!$B$14))*(1+Inputs!$B$7/100))*(F602/100)</f>
        <v/>
      </c>
      <c r="K602">
        <f>J602*(1+((Inputs!$B$12*(1+Inputs!$B$13/100))*0.01+Inputs!$B$14*0.0025)/100)*(1+Inputs!$B$15/100)*(1+IF(Inputs!$B$38="pvp",0,(1-Summary!$B$56)*(Inputs!$B$20+Skills!P24)+Summary!$B$56*(Inputs!$B$21+Skills!Q24))/100)*(1+Inputs!$B$16/100)*(5000/(6000+Inputs!$B$42*(1-Inputs!$B$19/100)))*(1+Inputs!$B$24/100)*(1+F601/100)*(1+IF(Inputs!$B$3&gt;=120,F604,0)/100)^5*(1+(IF(Skills!A24="BASIC_ATTACK",(Inputs!$B$17+1),Inputs!$B$18+IF(Inputs!$B$3&gt;=125,F605*5,0)))/100)*(B608*B609*B610*I602)</f>
        <v/>
      </c>
      <c r="L602">
        <f>K602*(MIN(Inputs!$B$22+(F600-Calc!F22),Inputs!$B$23)/100+Inputs!$B$23/100)/2</f>
        <v/>
      </c>
      <c r="M602">
        <f>L602*(1+(Inputs!$B$10+(F599-Calc!F21))/100)</f>
        <v/>
      </c>
      <c r="N602">
        <f>L602*(1-MIN(Inputs!$B$9+(F598-Calc!F20),100)/100)+M602*(MIN(Inputs!$B$9+(F598-Calc!F20),100)/100)</f>
        <v/>
      </c>
      <c r="O602">
        <f>IF(C602,H602*N602*IF(AND(Inputs!$B$38&lt;&gt;"pvp",Inputs!$B$43&gt;0),((Skills!G24*((R602-1)*IF(Skills!H24&gt;0,Skills!I24/Skills!H24,1)+IF(Skills!H24&gt;0,MIN(Skills!I24,MAX(0,Inputs!$B$43-((R602-1)*IF(Inputs!$B$38="pvp",15,MAX(0.1,Skills!E24-IF(Skills!F24=TRUE,Inputs!$B$32,0))))))/Skills!H24,1)))/Inputs!$B$43),G602*Q602)*(1+IF(Inputs!$B$3&gt;=130,0.2*(Skills!I16/Skills!E15+IF(Inputs!$B$3&gt;=126,0.05*(B614+Q591+(H592*B615)/(1+Skills!H14*H592*B615)+Q602),0)*Skills!I16),0))*IF(Inputs!$B$38="pvp",1,(1-Summary!$B$56)*(1)+Summary!$B$56*(MIN(Skills!R24,Inputs!$B$37))),0)</f>
        <v/>
      </c>
      <c r="P602">
        <f>IF(B617=0,0,O602/B617)</f>
        <v/>
      </c>
      <c r="Q602">
        <f>IFERROR(1/IF(Inputs!$B$38="pvp",15,MAX(0.1,Skills!E24-IF(Skills!F24=TRUE,Inputs!$B$32,0))),0)</f>
        <v/>
      </c>
      <c r="R602">
        <f>IF(AND(Inputs!$B$38&lt;&gt;"pvp",Inputs!$B$43&gt;0),(INT(Inputs!$B$43/IF(Inputs!$B$38="pvp",15,MAX(0.1,Skills!E24-IF(Skills!F24=TRUE,Inputs!$B$32,0))))+1),0)</f>
        <v/>
      </c>
    </row>
    <row r="603">
      <c r="A603">
        <f>Skills!A25</f>
        <v/>
      </c>
      <c r="B603">
        <f>Skills!B25</f>
        <v/>
      </c>
      <c r="C603">
        <f>Inputs!$B$3&gt;=117</f>
        <v/>
      </c>
      <c r="D603">
        <f>IF(Skills!C25=1,60+Inputs!$B$25+Inputs!$B$29,IF(Skills!C25=2,90+Inputs!$B$26+Inputs!$B$29,IF(Skills!C25=3,120+Inputs!$B$27+Inputs!$B$29,MAX(0,(Inputs!$B$3-100)*3)+Inputs!$B$28+Inputs!$B$29)))</f>
        <v/>
      </c>
      <c r="E603">
        <f>INDEX(FactorTable!$B$2:$Y$301, MATCH(ROUND(MIN(300,MAX(1,D603)),0), FactorTable!$A$2:$A$301,0), Skills!M25+1)</f>
        <v/>
      </c>
      <c r="F603">
        <f>IF(Skills!N25=TRUE,(Skills!L25/10)*(E603/1000),Skills!L25/10)+Skills!O25</f>
        <v/>
      </c>
      <c r="G603">
        <f>Calc!G25</f>
        <v/>
      </c>
      <c r="H603">
        <f>Calc!H25</f>
        <v/>
      </c>
      <c r="I603">
        <f>IF(Skills!X25&lt;&gt;"",1+(Skills!X25/10)*(Z581/1000)/100,1)</f>
        <v/>
      </c>
      <c r="J603" t="inlineStr"/>
      <c r="K603" t="inlineStr"/>
      <c r="L603" t="inlineStr"/>
      <c r="M603" t="inlineStr"/>
      <c r="N603" t="inlineStr"/>
      <c r="O603" t="n">
        <v>0</v>
      </c>
      <c r="P603">
        <f>IF(B617=0,0,O603/B617)</f>
        <v/>
      </c>
      <c r="Q603">
        <f>IFERROR(1/IF(Inputs!$B$38="pvp",15,MAX(0.1,Skills!E25-IF(Skills!F25=TRUE,Inputs!$B$32,0))),0)</f>
        <v/>
      </c>
      <c r="R603" t="n">
        <v>0</v>
      </c>
    </row>
    <row r="604">
      <c r="A604">
        <f>Skills!A26</f>
        <v/>
      </c>
      <c r="B604">
        <f>Skills!B26</f>
        <v/>
      </c>
      <c r="C604">
        <f>Inputs!$B$3&gt;=120</f>
        <v/>
      </c>
      <c r="D604">
        <f>IF(Skills!C26=1,60+Inputs!$B$25+Inputs!$B$29,IF(Skills!C26=2,90+Inputs!$B$26+Inputs!$B$29,IF(Skills!C26=3,120+Inputs!$B$27+Inputs!$B$29,MAX(0,(Inputs!$B$3-100)*3)+Inputs!$B$28+Inputs!$B$29)))</f>
        <v/>
      </c>
      <c r="E604">
        <f>INDEX(FactorTable!$B$2:$Y$301, MATCH(ROUND(MIN(300,MAX(1,D604)),0), FactorTable!$A$2:$A$301,0), Skills!M26+1)</f>
        <v/>
      </c>
      <c r="F604">
        <f>IF(Skills!N26=TRUE,(Skills!L26/10)*(E604/1000),Skills!L26/10)+Skills!O26</f>
        <v/>
      </c>
      <c r="G604">
        <f>Calc!G26</f>
        <v/>
      </c>
      <c r="H604">
        <f>Calc!H26</f>
        <v/>
      </c>
      <c r="I604">
        <f>IF(Skills!X26&lt;&gt;"",1+(Skills!X26/10)*(Z581/1000)/100,1)</f>
        <v/>
      </c>
      <c r="J604" t="inlineStr"/>
      <c r="K604" t="inlineStr"/>
      <c r="L604" t="inlineStr"/>
      <c r="M604" t="inlineStr"/>
      <c r="N604" t="inlineStr"/>
      <c r="O604" t="n">
        <v>0</v>
      </c>
      <c r="P604">
        <f>IF(B617=0,0,O604/B617)</f>
        <v/>
      </c>
      <c r="Q604">
        <f>IFERROR(1/IF(Inputs!$B$38="pvp",15,MAX(0.1,Skills!E26-IF(Skills!F26=TRUE,Inputs!$B$32,0))),0)</f>
        <v/>
      </c>
      <c r="R604" t="n">
        <v>0</v>
      </c>
    </row>
    <row r="605">
      <c r="A605">
        <f>Skills!A27</f>
        <v/>
      </c>
      <c r="B605">
        <f>Skills!B27</f>
        <v/>
      </c>
      <c r="C605">
        <f>Inputs!$B$3&gt;=125</f>
        <v/>
      </c>
      <c r="D605">
        <f>IF(Skills!C27=1,60+Inputs!$B$25+Inputs!$B$29,IF(Skills!C27=2,90+Inputs!$B$26+Inputs!$B$29,IF(Skills!C27=3,120+Inputs!$B$27+Inputs!$B$29,MAX(0,(Inputs!$B$3-100)*3)+Inputs!$B$28+Inputs!$B$29)))</f>
        <v/>
      </c>
      <c r="E605">
        <f>INDEX(FactorTable!$B$2:$Y$301, MATCH(ROUND(MIN(300,MAX(1,D605)),0), FactorTable!$A$2:$A$301,0), Skills!M27+1)</f>
        <v/>
      </c>
      <c r="F605">
        <f>IF(Skills!N27=TRUE,(Skills!L27/10)*(E605/1000),Skills!L27/10)+Skills!O27</f>
        <v/>
      </c>
      <c r="G605">
        <f>Calc!G27</f>
        <v/>
      </c>
      <c r="H605">
        <f>Calc!H27</f>
        <v/>
      </c>
      <c r="I605">
        <f>IF(Skills!X27&lt;&gt;"",1+(Skills!X27/10)*(Z581/1000)/100,1)</f>
        <v/>
      </c>
      <c r="J605" t="inlineStr"/>
      <c r="K605" t="inlineStr"/>
      <c r="L605" t="inlineStr"/>
      <c r="M605" t="inlineStr"/>
      <c r="N605" t="inlineStr"/>
      <c r="O605" t="n">
        <v>0</v>
      </c>
      <c r="P605">
        <f>IF(B617=0,0,O605/B617)</f>
        <v/>
      </c>
      <c r="Q605">
        <f>IFERROR(1/IF(Inputs!$B$38="pvp",15,MAX(0.1,Skills!E27-IF(Skills!F27=TRUE,Inputs!$B$32,0))),0)</f>
        <v/>
      </c>
      <c r="R605" t="n">
        <v>0</v>
      </c>
    </row>
    <row r="606">
      <c r="A606">
        <f>Skills!A28</f>
        <v/>
      </c>
      <c r="B606">
        <f>Skills!B28</f>
        <v/>
      </c>
      <c r="C606">
        <f>Inputs!$B$3&gt;=118</f>
        <v/>
      </c>
      <c r="D606">
        <f>IF(Skills!C28=1,60+Inputs!$B$25+Inputs!$B$29,IF(Skills!C28=2,90+Inputs!$B$26+Inputs!$B$29,IF(Skills!C28=3,120+Inputs!$B$27+Inputs!$B$29,MAX(0,(Inputs!$B$3-100)*3)+Inputs!$B$28+Inputs!$B$29)))</f>
        <v/>
      </c>
      <c r="E606">
        <f>INDEX(FactorTable!$B$2:$Y$301, MATCH(ROUND(MIN(300,MAX(1,D606)),0), FactorTable!$A$2:$A$301,0), Skills!M28+1)</f>
        <v/>
      </c>
      <c r="F606">
        <f>IF(Skills!N28=TRUE,(Skills!L28/10)*(E606/1000),Skills!L28/10)+Skills!O28</f>
        <v/>
      </c>
      <c r="G606">
        <f>Calc!G28</f>
        <v/>
      </c>
      <c r="H606">
        <f>Calc!H28</f>
        <v/>
      </c>
      <c r="I606">
        <f>IF(Skills!X28&lt;&gt;"",1+(Skills!X28/10)*(Z581/1000)/100,1)</f>
        <v/>
      </c>
      <c r="J606">
        <f>((Inputs!$B$6*(1+Inputs!$B$7/100))+(((Inputs!$B$12*(1+Inputs!$B$13/100))-(Inputs!$B$12*(1+Inputs!$B$13/100)))+0.25*(Inputs!$B$14-Inputs!$B$14))*(1+Inputs!$B$7/100))*(F606/100)</f>
        <v/>
      </c>
      <c r="K606">
        <f>J606*(1+((Inputs!$B$12*(1+Inputs!$B$13/100))*0.01+Inputs!$B$14*0.0025)/100)*(1+Inputs!$B$15/100)*(1+IF(Inputs!$B$38="pvp",0,(1-Summary!$B$56)*(Inputs!$B$20+Skills!P28)+Summary!$B$56*(Inputs!$B$21+Skills!Q28))/100)*(1+Inputs!$B$16/100)*(5000/(6000+Inputs!$B$42*(1-Inputs!$B$19/100)))*(1+Inputs!$B$24/100)*(1+F601/100)*(1+IF(Inputs!$B$3&gt;=120,F604,0)/100)^5*(1+(IF(Skills!A28="BASIC_ATTACK",(Inputs!$B$17+1),Inputs!$B$18+IF(Inputs!$B$3&gt;=125,F605*5,0)))/100)*(B608*B609*B610*I606)</f>
        <v/>
      </c>
      <c r="L606">
        <f>K606*(MIN(Inputs!$B$22+(F600-Calc!F22),Inputs!$B$23)/100+Inputs!$B$23/100)/2</f>
        <v/>
      </c>
      <c r="M606">
        <f>L606*(1+(Inputs!$B$10+(F599-Calc!F21))/100)</f>
        <v/>
      </c>
      <c r="N606">
        <f>L606*(1-MIN(Inputs!$B$9+(F598-Calc!F20),100)/100)+M606*(MIN(Inputs!$B$9+(F598-Calc!F20),100)/100)</f>
        <v/>
      </c>
      <c r="O606">
        <f>IF(C606,H606*N606*IF(AND(Inputs!$B$38&lt;&gt;"pvp",Inputs!$B$43&gt;0),((Skills!G28*((R606-1)*IF(Skills!H28&gt;0,Skills!I28/Skills!H28,1)+IF(Skills!H28&gt;0,MIN(Skills!I28,MAX(0,Inputs!$B$43-((R606-1)*IF(Inputs!$B$38="pvp",15,MAX(0.1,Skills!E28-IF(Skills!F28=TRUE,Inputs!$B$32,0))))))/Skills!H28,1)))/Inputs!$B$43),G606*Q606)*IF(Inputs!$B$38="pvp",1,(1-Summary!$B$56)*(1)+Summary!$B$56*(MIN(Skills!R28,Inputs!$B$37))),0)</f>
        <v/>
      </c>
      <c r="P606">
        <f>IF(B617=0,0,O606/B617)</f>
        <v/>
      </c>
      <c r="Q606">
        <f>IFERROR(1/IF(Inputs!$B$38="pvp",15,MAX(0.1,Skills!E28-IF(Skills!F28=TRUE,Inputs!$B$32,0))),0)</f>
        <v/>
      </c>
      <c r="R606">
        <f>IF(AND(Inputs!$B$38&lt;&gt;"pvp",Inputs!$B$43&gt;0),(INT(Inputs!$B$43/IF(Inputs!$B$38="pvp",15,MAX(0.1,Skills!E28-IF(Skills!F28=TRUE,Inputs!$B$32,0))))+1),0)</f>
        <v/>
      </c>
    </row>
    <row r="608">
      <c r="A608" t="inlineStr">
        <is>
          <t>Burning Magic Multiplier</t>
        </is>
      </c>
      <c r="B608">
        <f>1+(F589*Skills!Z11)/100</f>
        <v/>
      </c>
    </row>
    <row r="609">
      <c r="A609" t="inlineStr">
        <is>
          <t>Elemental Decrease Multiplier (always-on)</t>
        </is>
      </c>
      <c r="B609">
        <f>1+F590/100</f>
        <v/>
      </c>
    </row>
    <row r="610">
      <c r="A610" t="inlineStr">
        <is>
          <t>Average Buff Multiplier (Magic Guard + Meditation, summed; then Infinity)</t>
        </is>
      </c>
      <c r="B610">
        <f>(1+(F584*IF(AND(Inputs!$B$38&lt;&gt;"pvp",Inputs!$B$43&gt;0),(((R584-1)*(Skills!T6*(1+(Inputs!$B$34+IF(Inputs!$B$3&gt;=117,F603,0))/100))+MIN((Skills!T6*(1+(Inputs!$B$34+IF(Inputs!$B$3&gt;=117,F603,0))/100)),MAX(0,Inputs!$B$43-((R584-1)*Skills!E6))))/Inputs!$B$43),IF(Inputs!$B$38="pvp",MIN((Skills!T6*(1+(Inputs!$B$34+IF(Inputs!$B$3&gt;=117,F603,0))/100)),15)/15,(Skills!T6*(1+(Inputs!$B$34+IF(Inputs!$B$3&gt;=117,F603,0))/100))/Skills!E6))+F595*IF(AND(Inputs!$B$38&lt;&gt;"pvp",Inputs!$B$43&gt;0),(((R595-1)*(Skills!T17*(1+(Inputs!$B$34+IF(Inputs!$B$3&gt;=117,F603,0))/100))+MIN((Skills!T17*(1+(Inputs!$B$34+IF(Inputs!$B$3&gt;=117,F603,0))/100)),MAX(0,Inputs!$B$43-((R595-1)*Skills!E17))))/Inputs!$B$43),IF(Inputs!$B$38="pvp",MIN((Skills!T17*(1+(Inputs!$B$34+IF(Inputs!$B$3&gt;=117,F603,0))/100)),15)/15,(Skills!T17*(1+(Inputs!$B$34+IF(Inputs!$B$3&gt;=117,F603,0))/100))/Skills!E17)))/100)*IF(C597=TRUE,(1+F597*IF(AND(Inputs!$B$38&lt;&gt;"pvp",Inputs!$B$43&gt;0),(((R597-1)*(Skills!T19*(1+(Inputs!$B$34+IF(Inputs!$B$3&gt;=117,F603,0))/100))+MIN((Skills!T19*(1+(Inputs!$B$34+IF(Inputs!$B$3&gt;=117,F603,0))/100)),MAX(0,Inputs!$B$43-((R597-1)*Skills!E19))))/Inputs!$B$43),IF(Inputs!$B$38="pvp",MIN((Skills!T19*(1+(Inputs!$B$34+IF(Inputs!$B$3&gt;=117,F603,0))/100)),15)/15,(Skills!T19*(1+(Inputs!$B$34+IF(Inputs!$B$3&gt;=117,F603,0))/100))/Skills!E19))/100),1)</f>
        <v/>
      </c>
    </row>
    <row r="611">
      <c r="A611" t="inlineStr">
        <is>
          <t>Attack Speed Buff Bonus % (Nimble Feet, averaged)</t>
        </is>
      </c>
      <c r="B611">
        <f>F596*IF(AND(Inputs!$B$38&lt;&gt;"pvp",Inputs!$B$43&gt;0),(((R596-1)*(Skills!T18*(1+(Inputs!$B$34+IF(Inputs!$B$3&gt;=117,F603,0))/100))+MIN((Skills!T18*(1+(Inputs!$B$34+IF(Inputs!$B$3&gt;=117,F603,0))/100)),MAX(0,Inputs!$B$43-((R596-1)*Skills!E18))))/Inputs!$B$43),IF(Inputs!$B$38="pvp",MIN((Skills!T18*(1+(Inputs!$B$34+IF(Inputs!$B$3&gt;=117,F603,0))/100)),15)/15,(Skills!T18*(1+(Inputs!$B$34+IF(Inputs!$B$3&gt;=117,F603,0))/100))/Skills!E18))</f>
        <v/>
      </c>
    </row>
    <row r="612">
      <c r="A612" t="inlineStr">
        <is>
          <t>Actions Per Second</t>
        </is>
      </c>
      <c r="B612">
        <f>1+MIN(150,150*(1-(1-Inputs!$B$11/150)*(1-B611/150)))/100</f>
        <v/>
      </c>
    </row>
    <row r="613">
      <c r="A613" t="inlineStr">
        <is>
          <t>Skill + Buff Cast Rate</t>
        </is>
      </c>
      <c r="B613">
        <f>IF(AND(Inputs!$B$38&lt;&gt;"pvp",Inputs!$B$43&gt;0),SUMPRODUCT((Skills!F2:F28=TRUE)*(C580:C606=TRUE)*R580:R606)/Inputs!$B$43,SUMPRODUCT((Skills!F2:F28=TRUE)*(C580:C606=TRUE)*Q580:Q606))</f>
        <v/>
      </c>
    </row>
    <row r="614">
      <c r="A614" t="inlineStr">
        <is>
          <t>Basic Attacks Per Second</t>
        </is>
      </c>
      <c r="B614">
        <f>MAX(0,B612-B613)</f>
        <v/>
      </c>
    </row>
    <row r="615">
      <c r="A615" t="inlineStr">
        <is>
          <t>Meteor Proc — combined trigger cast rate</t>
        </is>
      </c>
      <c r="B615">
        <f>IF(AND(Inputs!$B$38&lt;&gt;"pvp",Inputs!$B$43&gt;0),SUMPRODUCT((Skills!V2:V28=TRUE)*(C580:C606=TRUE)*R580:R606*Skills!W2:W28)/Inputs!$B$43,SUMPRODUCT((Skills!V2:V28=TRUE)*(C580:C606=TRUE)*Q580:Q606*Skills!W2:W28))+B614</f>
        <v/>
      </c>
    </row>
    <row r="617">
      <c r="A617" s="5" t="inlineStr">
        <is>
          <t>TOTAL DPS</t>
        </is>
      </c>
      <c r="B617" s="5">
        <f>SUM(O580:O606)</f>
        <v/>
      </c>
    </row>
    <row r="620">
      <c r="A620" s="5" t="inlineStr">
        <is>
          <t>Stat: SKILL_DAMAGE %</t>
        </is>
      </c>
    </row>
    <row r="621">
      <c r="A621" s="9" t="inlineStr">
        <is>
          <t>Key</t>
        </is>
      </c>
      <c r="B621" s="9" t="inlineStr">
        <is>
          <t>Name</t>
        </is>
      </c>
      <c r="C621" s="9" t="inlineStr">
        <is>
          <t>Unlocked</t>
        </is>
      </c>
      <c r="D621" s="9" t="inlineStr">
        <is>
          <t>InputLevel</t>
        </is>
      </c>
      <c r="E621" s="9" t="inlineStr">
        <is>
          <t>Factor</t>
        </is>
      </c>
      <c r="F621" s="9" t="inlineStr">
        <is>
          <t>CoefficientPercent</t>
        </is>
      </c>
      <c r="G621" s="9" t="inlineStr">
        <is>
          <t>EffectiveHits</t>
        </is>
      </c>
      <c r="H621" s="9" t="inlineStr">
        <is>
          <t>ProcProbability</t>
        </is>
      </c>
      <c r="I621" s="9" t="inlineStr">
        <is>
          <t>MapleHeroMultiplier</t>
        </is>
      </c>
      <c r="J621" s="9" t="inlineStr">
        <is>
          <t>BaseDamage</t>
        </is>
      </c>
      <c r="K621" s="9" t="inlineStr">
        <is>
          <t>BaseHitDamage</t>
        </is>
      </c>
      <c r="L621" s="9" t="inlineStr">
        <is>
          <t>NonCritAvg</t>
        </is>
      </c>
      <c r="M621" s="9" t="inlineStr">
        <is>
          <t>CritAvg</t>
        </is>
      </c>
      <c r="N621" s="9" t="inlineStr">
        <is>
          <t>ExpectedDamage(perHit)</t>
        </is>
      </c>
      <c r="O621" s="9" t="inlineStr">
        <is>
          <t>DPS</t>
        </is>
      </c>
      <c r="P621" s="9" t="inlineStr">
        <is>
          <t>% of Total</t>
        </is>
      </c>
      <c r="R621" t="inlineStr">
        <is>
          <t>helpers</t>
        </is>
      </c>
    </row>
    <row r="622">
      <c r="A622">
        <f>Skills!A2</f>
        <v/>
      </c>
      <c r="B622">
        <f>Skills!B2</f>
        <v/>
      </c>
      <c r="C622">
        <f>TRUE</f>
        <v/>
      </c>
      <c r="D622" t="inlineStr"/>
      <c r="E622" t="inlineStr"/>
      <c r="F622">
        <f>T624+Skills!O2</f>
        <v/>
      </c>
      <c r="G622">
        <f>Calc!G2</f>
        <v/>
      </c>
      <c r="H622">
        <f>Calc!H2</f>
        <v/>
      </c>
      <c r="I622">
        <f>IF(Skills!X2&lt;&gt;"",1+(Skills!X2/10)*(Z623/1000)/100,1)</f>
        <v/>
      </c>
      <c r="J622">
        <f>((Inputs!$B$6*(1+Inputs!$B$7/100))+(((Inputs!$B$12*(1+Inputs!$B$13/100))-(Inputs!$B$12*(1+Inputs!$B$13/100)))+0.25*(Inputs!$B$14-Inputs!$B$14))*(1+Inputs!$B$7/100))*(F622/100)</f>
        <v/>
      </c>
      <c r="K622">
        <f>J622*(1+((Inputs!$B$12*(1+Inputs!$B$13/100))*0.01+Inputs!$B$14*0.0025)/100)*(1+Inputs!$B$15/100)*(1+IF(Inputs!$B$38="pvp",0,(1-Summary!$B$56)*(Inputs!$B$20+Skills!P2)+Summary!$B$56*(Inputs!$B$21+Skills!Q2))/100)*(1+Inputs!$B$16/100)*(5000/(6000+Inputs!$B$42*(1-Inputs!$B$19/100)))*(1+Inputs!$B$24/100)*(1+F643/100)*(1+IF(Inputs!$B$3&gt;=120,F646,0)/100)^5*(1+(IF(Skills!A2="BASIC_ATTACK",Inputs!$B$17,(Inputs!$B$18+1)+IF(Inputs!$B$3&gt;=125,F647*5,0)))/100)*(B650*B651*B652*I622)</f>
        <v/>
      </c>
      <c r="L622">
        <f>K622*(MIN(Inputs!$B$22+(F642-Calc!F22),Inputs!$B$23)/100+Inputs!$B$23/100)/2</f>
        <v/>
      </c>
      <c r="M622">
        <f>L622*(1+(Inputs!$B$10+(F641-Calc!F21))/100)</f>
        <v/>
      </c>
      <c r="N622">
        <f>L622*(1-MIN(Inputs!$B$9+(F640-Calc!F20),100)/100)+M622*(MIN(Inputs!$B$9+(F640-Calc!F20),100)/100)</f>
        <v/>
      </c>
      <c r="O622">
        <f>Skills!G2*N622*B656*IF(Inputs!$B$38="pvp",1,(1-Summary!$B$56)*(1)+Summary!$B$56*(MIN((6+Inputs!$B$33+IF(Inputs!$B$3&gt;=136,1,0)),Inputs!$B$37)))</f>
        <v/>
      </c>
      <c r="P622">
        <f>IF(B659=0,0,O622/B659)</f>
        <v/>
      </c>
      <c r="Q622">
        <f>IFERROR(1/IF(Inputs!$B$38="pvp",15,MAX(0.1,Skills!E2-IF(Skills!F2=TRUE,Inputs!$B$32,0))),0)</f>
        <v/>
      </c>
      <c r="R622" t="n">
        <v>0</v>
      </c>
      <c r="T622">
        <f>MAX(0,(Inputs!$B$3-100)*3)+Inputs!$B$28+Inputs!$B$29</f>
        <v/>
      </c>
      <c r="Z622">
        <f>MAX(0,(Inputs!$B$3-100)*3)+Inputs!$B$28+Inputs!$B$29</f>
        <v/>
      </c>
    </row>
    <row r="623">
      <c r="A623">
        <f>Skills!A3</f>
        <v/>
      </c>
      <c r="B623">
        <f>Skills!B3</f>
        <v/>
      </c>
      <c r="C623">
        <f>TRUE</f>
        <v/>
      </c>
      <c r="D623">
        <f>IF(Skills!C3=1,60+Inputs!$B$25+Inputs!$B$29,IF(Skills!C3=2,90+Inputs!$B$26+Inputs!$B$29,IF(Skills!C3=3,120+Inputs!$B$27+Inputs!$B$29,MAX(0,(Inputs!$B$3-100)*3)+Inputs!$B$28+Inputs!$B$29)))</f>
        <v/>
      </c>
      <c r="E623">
        <f>INDEX(FactorTable!$B$2:$Y$301, MATCH(ROUND(MIN(300,MAX(1,D623)),0), FactorTable!$A$2:$A$301,0), Skills!M3+1)</f>
        <v/>
      </c>
      <c r="F623">
        <f>IF(Skills!N3=TRUE,(Skills!L3/10)*(E623/1000),Skills!L3/10)+Skills!O3</f>
        <v/>
      </c>
      <c r="G623">
        <f>Calc!G3</f>
        <v/>
      </c>
      <c r="H623">
        <f>Calc!H3</f>
        <v/>
      </c>
      <c r="I623">
        <f>IF(Skills!X3&lt;&gt;"",1+(Skills!X3/10)*(Z623/1000)/100,1)</f>
        <v/>
      </c>
      <c r="J623">
        <f>((Inputs!$B$6*(1+Inputs!$B$7/100))+(((Inputs!$B$12*(1+Inputs!$B$13/100))-(Inputs!$B$12*(1+Inputs!$B$13/100)))+0.25*(Inputs!$B$14-Inputs!$B$14))*(1+Inputs!$B$7/100))*(F623/100)</f>
        <v/>
      </c>
      <c r="K623">
        <f>J623*(1+((Inputs!$B$12*(1+Inputs!$B$13/100))*0.01+Inputs!$B$14*0.0025)/100)*(1+Inputs!$B$15/100)*(1+IF(Inputs!$B$38="pvp",0,(1-Summary!$B$56)*(Inputs!$B$20+Skills!P3)+Summary!$B$56*(Inputs!$B$21+Skills!Q3))/100)*(1+Inputs!$B$16/100)*(5000/(6000+Inputs!$B$42*(1-Inputs!$B$19/100)))*(1+Inputs!$B$24/100)*(1+F643/100)*(1+IF(Inputs!$B$3&gt;=120,F646,0)/100)^5*(1+(IF(Skills!A3="BASIC_ATTACK",Inputs!$B$17,(Inputs!$B$18+1)+IF(Inputs!$B$3&gt;=125,F647*5,0)))/100)*(B650*B651*B652*I623)</f>
        <v/>
      </c>
      <c r="L623">
        <f>K623*(MIN(Inputs!$B$22+(F642-Calc!F22),Inputs!$B$23)/100+Inputs!$B$23/100)/2</f>
        <v/>
      </c>
      <c r="M623">
        <f>L623*(1+(Inputs!$B$10+(F641-Calc!F21))/100)</f>
        <v/>
      </c>
      <c r="N623">
        <f>L623*(1-MIN(Inputs!$B$9+(F640-Calc!F20),100)/100)+M623*(MIN(Inputs!$B$9+(F640-Calc!F20),100)/100)</f>
        <v/>
      </c>
      <c r="O623">
        <f>IF(C623,H623*N623*IF(AND(Inputs!$B$38&lt;&gt;"pvp",Inputs!$B$43&gt;0),((Skills!G3*((R623-1)*IF(Skills!H3&gt;0,Skills!I3/Skills!H3,1)+IF(Skills!H3&gt;0,MIN(Skills!I3,MAX(0,Inputs!$B$43-((R623-1)*IF(Inputs!$B$38="pvp",15,MAX(0.1,Skills!E3-IF(Skills!F3=TRUE,Inputs!$B$32,0))))))/Skills!H3,1)))/Inputs!$B$43),G623*Q623)*IF(Inputs!$B$38="pvp",1,(1-Summary!$B$56)*(1)+Summary!$B$56*(MIN(Skills!R3,Inputs!$B$37))),0)</f>
        <v/>
      </c>
      <c r="P623">
        <f>IF(B659=0,0,O623/B659)</f>
        <v/>
      </c>
      <c r="Q623">
        <f>IFERROR(1/IF(Inputs!$B$38="pvp",15,MAX(0.1,Skills!E3-IF(Skills!F3=TRUE,Inputs!$B$32,0))),0)</f>
        <v/>
      </c>
      <c r="R623">
        <f>IF(AND(Inputs!$B$38&lt;&gt;"pvp",Inputs!$B$43&gt;0),(INT(Inputs!$B$43/IF(Inputs!$B$38="pvp",15,MAX(0.1,Skills!E3-IF(Skills!F3=TRUE,Inputs!$B$32,0))))+1),0)</f>
        <v/>
      </c>
      <c r="T623">
        <f>INDEX(FactorTable!$B$2:$Y$301, MATCH(ROUND(MIN(300,MAX(1,T622)),0), FactorTable!$A$2:$A$301,0), 22)</f>
        <v/>
      </c>
      <c r="Z623">
        <f>INDEX(FactorTable!$B$2:$Y$301, MATCH(ROUND(MIN(300,MAX(1,Z622)),0), FactorTable!$A$2:$A$301,0), 24)</f>
        <v/>
      </c>
    </row>
    <row r="624">
      <c r="A624">
        <f>Skills!A4</f>
        <v/>
      </c>
      <c r="B624">
        <f>Skills!B4</f>
        <v/>
      </c>
      <c r="C624">
        <f>TRUE</f>
        <v/>
      </c>
      <c r="D624">
        <f>IF(Skills!C4=1,60+Inputs!$B$25+Inputs!$B$29,IF(Skills!C4=2,90+Inputs!$B$26+Inputs!$B$29,IF(Skills!C4=3,120+Inputs!$B$27+Inputs!$B$29,MAX(0,(Inputs!$B$3-100)*3)+Inputs!$B$28+Inputs!$B$29)))</f>
        <v/>
      </c>
      <c r="E624">
        <f>INDEX(FactorTable!$B$2:$Y$301, MATCH(ROUND(MIN(300,MAX(1,D624)),0), FactorTable!$A$2:$A$301,0), Skills!M4+1)</f>
        <v/>
      </c>
      <c r="F624">
        <f>IF(Skills!N4=TRUE,(Skills!L4/10)*(E624/1000),Skills!L4/10)+Skills!O4</f>
        <v/>
      </c>
      <c r="G624">
        <f>Calc!G4</f>
        <v/>
      </c>
      <c r="H624">
        <f>Calc!H4</f>
        <v/>
      </c>
      <c r="I624">
        <f>IF(Skills!X4&lt;&gt;"",1+(Skills!X4/10)*(Z623/1000)/100,1)</f>
        <v/>
      </c>
      <c r="J624">
        <f>((Inputs!$B$6*(1+Inputs!$B$7/100))+(((Inputs!$B$12*(1+Inputs!$B$13/100))-(Inputs!$B$12*(1+Inputs!$B$13/100)))+0.25*(Inputs!$B$14-Inputs!$B$14))*(1+Inputs!$B$7/100))*(F624/100)</f>
        <v/>
      </c>
      <c r="K624">
        <f>J624*(1+((Inputs!$B$12*(1+Inputs!$B$13/100))*0.01+Inputs!$B$14*0.0025)/100)*(1+Inputs!$B$15/100)*(1+IF(Inputs!$B$38="pvp",0,(1-Summary!$B$56)*(Inputs!$B$20+Skills!P4)+Summary!$B$56*(Inputs!$B$21+Skills!Q4))/100)*(1+Inputs!$B$16/100)*(5000/(6000+Inputs!$B$42*(1-Inputs!$B$19/100)))*(1+Inputs!$B$24/100)*(1+F643/100)*(1+IF(Inputs!$B$3&gt;=120,F646,0)/100)^5*(1+(IF(Skills!A4="BASIC_ATTACK",Inputs!$B$17,(Inputs!$B$18+1)+IF(Inputs!$B$3&gt;=125,F647*5,0)))/100)*(B650*B651*B652*I624)</f>
        <v/>
      </c>
      <c r="L624">
        <f>K624*(MIN(Inputs!$B$22+(F642-Calc!F22),Inputs!$B$23)/100+Inputs!$B$23/100)/2</f>
        <v/>
      </c>
      <c r="M624">
        <f>L624*(1+(Inputs!$B$10+(F641-Calc!F21))/100)</f>
        <v/>
      </c>
      <c r="N624">
        <f>L624*(1-MIN(Inputs!$B$9+(F640-Calc!F20),100)/100)+M624*(MIN(Inputs!$B$9+(F640-Calc!F20),100)/100)</f>
        <v/>
      </c>
      <c r="O624">
        <f>IF(C624,H624*N624*IF(AND(Inputs!$B$38&lt;&gt;"pvp",Inputs!$B$43&gt;0),((Skills!G4*((R624-1)*IF(Skills!H4&gt;0,Skills!I4/Skills!H4,1)+IF(Skills!H4&gt;0,MIN(Skills!I4,MAX(0,Inputs!$B$43-((R624-1)*IF(Inputs!$B$38="pvp",15,MAX(0.1,Skills!E4-IF(Skills!F4=TRUE,Inputs!$B$32,0))))))/Skills!H4,1)))/Inputs!$B$43),G624*Q624)*IF(Inputs!$B$38="pvp",1,(1-Summary!$B$56)*(1)+Summary!$B$56*(MIN(Skills!R4,Inputs!$B$37))),0)</f>
        <v/>
      </c>
      <c r="P624">
        <f>IF(B659=0,0,O624/B659)</f>
        <v/>
      </c>
      <c r="Q624">
        <f>IFERROR(1/IF(Inputs!$B$38="pvp",15,MAX(0.1,Skills!E4-IF(Skills!F4=TRUE,Inputs!$B$32,0))),0)</f>
        <v/>
      </c>
      <c r="R624">
        <f>IF(AND(Inputs!$B$38&lt;&gt;"pvp",Inputs!$B$43&gt;0),(INT(Inputs!$B$43/IF(Inputs!$B$38="pvp",15,MAX(0.1,Skills!E4-IF(Skills!F4=TRUE,Inputs!$B$32,0))))+1),0)</f>
        <v/>
      </c>
      <c r="T624">
        <f>290*T623/1000</f>
        <v/>
      </c>
    </row>
    <row r="625">
      <c r="A625">
        <f>Skills!A5</f>
        <v/>
      </c>
      <c r="B625">
        <f>Skills!B5</f>
        <v/>
      </c>
      <c r="C625">
        <f>TRUE</f>
        <v/>
      </c>
      <c r="D625">
        <f>IF(Skills!C5=1,60+Inputs!$B$25+Inputs!$B$29,IF(Skills!C5=2,90+Inputs!$B$26+Inputs!$B$29,IF(Skills!C5=3,120+Inputs!$B$27+Inputs!$B$29,MAX(0,(Inputs!$B$3-100)*3)+Inputs!$B$28+Inputs!$B$29)))</f>
        <v/>
      </c>
      <c r="E625">
        <f>INDEX(FactorTable!$B$2:$Y$301, MATCH(ROUND(MIN(300,MAX(1,D625)),0), FactorTable!$A$2:$A$301,0), Skills!M5+1)</f>
        <v/>
      </c>
      <c r="F625">
        <f>IF(Skills!N5=TRUE,(Skills!L5/10)*(E625/1000),Skills!L5/10)+Skills!O5</f>
        <v/>
      </c>
      <c r="G625">
        <f>Calc!G5</f>
        <v/>
      </c>
      <c r="H625">
        <f>Calc!H5</f>
        <v/>
      </c>
      <c r="I625">
        <f>IF(Skills!X5&lt;&gt;"",1+(Skills!X5/10)*(Z623/1000)/100,1)</f>
        <v/>
      </c>
      <c r="J625">
        <f>((Inputs!$B$6*(1+Inputs!$B$7/100))+(((Inputs!$B$12*(1+Inputs!$B$13/100))-(Inputs!$B$12*(1+Inputs!$B$13/100)))+0.25*(Inputs!$B$14-Inputs!$B$14))*(1+Inputs!$B$7/100))*(F625/100)</f>
        <v/>
      </c>
      <c r="K625">
        <f>J625*(1+((Inputs!$B$12*(1+Inputs!$B$13/100))*0.01+Inputs!$B$14*0.0025)/100)*(1+Inputs!$B$15/100)*(1+IF(Inputs!$B$38="pvp",0,(1-Summary!$B$56)*(Inputs!$B$20+Skills!P5)+Summary!$B$56*(Inputs!$B$21+Skills!Q5))/100)*(1+Inputs!$B$16/100)*(5000/(6000+Inputs!$B$42*(1-Inputs!$B$19/100)))*(1+Inputs!$B$24/100)*(1+F643/100)*(1+IF(Inputs!$B$3&gt;=120,F646,0)/100)^5*(1+(IF(Skills!A5="BASIC_ATTACK",Inputs!$B$17,(Inputs!$B$18+1)+IF(Inputs!$B$3&gt;=125,F647*5,0)))/100)*(B650*B651*B652*I625)</f>
        <v/>
      </c>
      <c r="L625">
        <f>K625*(MIN(Inputs!$B$22+(F642-Calc!F22),Inputs!$B$23)/100+Inputs!$B$23/100)/2</f>
        <v/>
      </c>
      <c r="M625">
        <f>L625*(1+(Inputs!$B$10+(F641-Calc!F21))/100)</f>
        <v/>
      </c>
      <c r="N625">
        <f>L625*(1-MIN(Inputs!$B$9+(F640-Calc!F20),100)/100)+M625*(MIN(Inputs!$B$9+(F640-Calc!F20),100)/100)</f>
        <v/>
      </c>
      <c r="O625">
        <f>IF(C625,H625*N625*IF(AND(Inputs!$B$38&lt;&gt;"pvp",Inputs!$B$43&gt;0),((Skills!G5*((R625-1)*IF(Skills!H5&gt;0,Skills!I5/Skills!H5,1)+IF(Skills!H5&gt;0,MIN(Skills!I5,MAX(0,Inputs!$B$43-((R625-1)*IF(Inputs!$B$38="pvp",15,MAX(0.1,Skills!E5-IF(Skills!F5=TRUE,Inputs!$B$32,0))))))/Skills!H5,1)))/Inputs!$B$43),G625*Q625)*IF(Inputs!$B$38="pvp",1,(1-Summary!$B$56)*(1)+Summary!$B$56*(MIN(Skills!R5,Inputs!$B$37))),0)</f>
        <v/>
      </c>
      <c r="P625">
        <f>IF(B659=0,0,O625/B659)</f>
        <v/>
      </c>
      <c r="Q625">
        <f>IFERROR(1/IF(Inputs!$B$38="pvp",15,MAX(0.1,Skills!E5-IF(Skills!F5=TRUE,Inputs!$B$32,0))),0)</f>
        <v/>
      </c>
      <c r="R625">
        <f>IF(AND(Inputs!$B$38&lt;&gt;"pvp",Inputs!$B$43&gt;0),(INT(Inputs!$B$43/IF(Inputs!$B$38="pvp",15,MAX(0.1,Skills!E5-IF(Skills!F5=TRUE,Inputs!$B$32,0))))+1),0)</f>
        <v/>
      </c>
    </row>
    <row r="626">
      <c r="A626">
        <f>Skills!A6</f>
        <v/>
      </c>
      <c r="B626">
        <f>Skills!B6</f>
        <v/>
      </c>
      <c r="C626">
        <f>TRUE</f>
        <v/>
      </c>
      <c r="D626">
        <f>IF(Skills!C6=1,60+Inputs!$B$25+Inputs!$B$29,IF(Skills!C6=2,90+Inputs!$B$26+Inputs!$B$29,IF(Skills!C6=3,120+Inputs!$B$27+Inputs!$B$29,MAX(0,(Inputs!$B$3-100)*3)+Inputs!$B$28+Inputs!$B$29)))</f>
        <v/>
      </c>
      <c r="E626">
        <f>INDEX(FactorTable!$B$2:$Y$301, MATCH(ROUND(MIN(300,MAX(1,D626)),0), FactorTable!$A$2:$A$301,0), Skills!M6+1)</f>
        <v/>
      </c>
      <c r="F626">
        <f>IF(Skills!N6=TRUE,(Skills!L6/10)*(E626/1000),Skills!L6/10)+Skills!O6</f>
        <v/>
      </c>
      <c r="G626">
        <f>Calc!G6</f>
        <v/>
      </c>
      <c r="H626">
        <f>Calc!H6</f>
        <v/>
      </c>
      <c r="I626">
        <f>IF(Skills!X6&lt;&gt;"",1+(Skills!X6/10)*(Z623/1000)/100,1)</f>
        <v/>
      </c>
      <c r="J626" t="inlineStr"/>
      <c r="K626" t="inlineStr"/>
      <c r="L626" t="inlineStr"/>
      <c r="M626" t="inlineStr"/>
      <c r="N626" t="inlineStr"/>
      <c r="O626" t="n">
        <v>0</v>
      </c>
      <c r="P626">
        <f>IF(B659=0,0,O626/B659)</f>
        <v/>
      </c>
      <c r="Q626">
        <f>IFERROR(1/IF(Inputs!$B$38="pvp",15,MAX(0.1,Skills!E6-IF(Skills!F6=TRUE,Inputs!$B$32,0))),0)</f>
        <v/>
      </c>
      <c r="R626">
        <f>IF(AND(Inputs!$B$38&lt;&gt;"pvp",Inputs!$B$43&gt;0),(INT(Inputs!$B$43/IF(Inputs!$B$38="pvp",15,MAX(0.1,Skills!E6-IF(Skills!F6=TRUE,Inputs!$B$32,0))))+1),0)</f>
        <v/>
      </c>
    </row>
    <row r="627">
      <c r="A627">
        <f>Skills!A7</f>
        <v/>
      </c>
      <c r="B627">
        <f>Skills!B7</f>
        <v/>
      </c>
      <c r="C627">
        <f>TRUE</f>
        <v/>
      </c>
      <c r="D627">
        <f>IF(Skills!C7=1,60+Inputs!$B$25+Inputs!$B$29,IF(Skills!C7=2,90+Inputs!$B$26+Inputs!$B$29,IF(Skills!C7=3,120+Inputs!$B$27+Inputs!$B$29,MAX(0,(Inputs!$B$3-100)*3)+Inputs!$B$28+Inputs!$B$29)))</f>
        <v/>
      </c>
      <c r="E627">
        <f>INDEX(FactorTable!$B$2:$Y$301, MATCH(ROUND(MIN(300,MAX(1,D627)),0), FactorTable!$A$2:$A$301,0), Skills!M7+1)</f>
        <v/>
      </c>
      <c r="F627">
        <f>IF(Skills!N7=TRUE,(Skills!L7/10)*(E627/1000),Skills!L7/10)+Skills!O7</f>
        <v/>
      </c>
      <c r="G627">
        <f>Calc!G7</f>
        <v/>
      </c>
      <c r="H627">
        <f>Calc!H7</f>
        <v/>
      </c>
      <c r="I627">
        <f>IF(Skills!X7&lt;&gt;"",1+(Skills!X7/10)*(Z623/1000)/100,1)</f>
        <v/>
      </c>
      <c r="J627">
        <f>((Inputs!$B$6*(1+Inputs!$B$7/100))+(((Inputs!$B$12*(1+Inputs!$B$13/100))-(Inputs!$B$12*(1+Inputs!$B$13/100)))+0.25*(Inputs!$B$14-Inputs!$B$14))*(1+Inputs!$B$7/100))*(F627/100)</f>
        <v/>
      </c>
      <c r="K627">
        <f>J627*(1+((Inputs!$B$12*(1+Inputs!$B$13/100))*0.01+Inputs!$B$14*0.0025)/100)*(1+Inputs!$B$15/100)*(1+IF(Inputs!$B$38="pvp",0,(1-Summary!$B$56)*(Inputs!$B$20+Skills!P7)+Summary!$B$56*(Inputs!$B$21+Skills!Q7))/100)*(1+Inputs!$B$16/100)*(5000/(6000+Inputs!$B$42*(1-Inputs!$B$19/100)))*(1+Inputs!$B$24/100)*(1+F643/100)*(1+IF(Inputs!$B$3&gt;=120,F646,0)/100)^5*(1+(IF(Skills!A7="BASIC_ATTACK",Inputs!$B$17,(Inputs!$B$18+1)+IF(Inputs!$B$3&gt;=125,F647*5,0)))/100)*(B650*B651*B652*I627)</f>
        <v/>
      </c>
      <c r="L627">
        <f>K627*(MIN(Inputs!$B$22+(F642-Calc!F22),Inputs!$B$23)/100+Inputs!$B$23/100)/2</f>
        <v/>
      </c>
      <c r="M627">
        <f>L627*(1+(Inputs!$B$10+(F641-Calc!F21))/100)</f>
        <v/>
      </c>
      <c r="N627">
        <f>L627*(1-MIN(Inputs!$B$9+(F640-Calc!F20),100)/100)+M627*(MIN(Inputs!$B$9+(F640-Calc!F20),100)/100)</f>
        <v/>
      </c>
      <c r="O627">
        <f>IF(C627,H627*N627*IF(AND(Inputs!$B$38&lt;&gt;"pvp",Inputs!$B$43&gt;0),((Skills!G7*((R627-1)*IF(Skills!H7&gt;0,Skills!I7/Skills!H7,1)+IF(Skills!H7&gt;0,MIN(Skills!I7,MAX(0,Inputs!$B$43-((R627-1)*IF(Inputs!$B$38="pvp",15,MAX(0.1,Skills!E7-IF(Skills!F7=TRUE,Inputs!$B$32,0))))))/Skills!H7,1)))/Inputs!$B$43),G627*Q627)*IF(Inputs!$B$38="pvp",1,(1-Summary!$B$56)*(1)+Summary!$B$56*(MIN(Skills!R7,Inputs!$B$37))),0)</f>
        <v/>
      </c>
      <c r="P627">
        <f>IF(B659=0,0,O627/B659)</f>
        <v/>
      </c>
      <c r="Q627">
        <f>IFERROR(1/IF(Inputs!$B$38="pvp",15,MAX(0.1,Skills!E7-IF(Skills!F7=TRUE,Inputs!$B$32,0))),0)</f>
        <v/>
      </c>
      <c r="R627">
        <f>IF(AND(Inputs!$B$38&lt;&gt;"pvp",Inputs!$B$43&gt;0),(INT(Inputs!$B$43/IF(Inputs!$B$38="pvp",15,MAX(0.1,Skills!E7-IF(Skills!F7=TRUE,Inputs!$B$32,0))))+1),0)</f>
        <v/>
      </c>
    </row>
    <row r="628">
      <c r="A628">
        <f>Skills!A8</f>
        <v/>
      </c>
      <c r="B628">
        <f>Skills!B8</f>
        <v/>
      </c>
      <c r="C628">
        <f>TRUE</f>
        <v/>
      </c>
      <c r="D628">
        <f>IF(Skills!C8=1,60+Inputs!$B$25+Inputs!$B$29,IF(Skills!C8=2,90+Inputs!$B$26+Inputs!$B$29,IF(Skills!C8=3,120+Inputs!$B$27+Inputs!$B$29,MAX(0,(Inputs!$B$3-100)*3)+Inputs!$B$28+Inputs!$B$29)))</f>
        <v/>
      </c>
      <c r="E628">
        <f>INDEX(FactorTable!$B$2:$Y$301, MATCH(ROUND(MIN(300,MAX(1,D628)),0), FactorTable!$A$2:$A$301,0), Skills!M8+1)</f>
        <v/>
      </c>
      <c r="F628">
        <f>IF(Skills!N8=TRUE,(Skills!L8/10)*(E628/1000),Skills!L8/10)+Skills!O8</f>
        <v/>
      </c>
      <c r="G628">
        <f>Calc!G8</f>
        <v/>
      </c>
      <c r="H628">
        <f>Calc!H8</f>
        <v/>
      </c>
      <c r="I628">
        <f>IF(Skills!X8&lt;&gt;"",1+(Skills!X8/10)*(Z623/1000)/100,1)</f>
        <v/>
      </c>
      <c r="J628">
        <f>((Inputs!$B$6*(1+Inputs!$B$7/100))+(((Inputs!$B$12*(1+Inputs!$B$13/100))-(Inputs!$B$12*(1+Inputs!$B$13/100)))+0.25*(Inputs!$B$14-Inputs!$B$14))*(1+Inputs!$B$7/100))*(F628/100)</f>
        <v/>
      </c>
      <c r="K628">
        <f>J628*(1+((Inputs!$B$12*(1+Inputs!$B$13/100))*0.01+Inputs!$B$14*0.0025)/100)*(1+Inputs!$B$15/100)*(1+IF(Inputs!$B$38="pvp",0,(1-Summary!$B$56)*(Inputs!$B$20+Skills!P8)+Summary!$B$56*(Inputs!$B$21+Skills!Q8))/100)*(1+Inputs!$B$16/100)*(5000/(6000+Inputs!$B$42*(1-Inputs!$B$19/100)))*(1+Inputs!$B$24/100)*(1+F643/100)*(1+IF(Inputs!$B$3&gt;=120,F646,0)/100)^5*(1+(IF(Skills!A8="BASIC_ATTACK",Inputs!$B$17,(Inputs!$B$18+1)+IF(Inputs!$B$3&gt;=125,F647*5,0)))/100)*(B650*B651*B652*I628)</f>
        <v/>
      </c>
      <c r="L628">
        <f>K628*(MIN(Inputs!$B$22+(F642-Calc!F22),Inputs!$B$23)/100+Inputs!$B$23/100)/2</f>
        <v/>
      </c>
      <c r="M628">
        <f>L628*(1+(Inputs!$B$10+(F641-Calc!F21))/100)</f>
        <v/>
      </c>
      <c r="N628">
        <f>L628*(1-MIN(Inputs!$B$9+(F640-Calc!F20),100)/100)+M628*(MIN(Inputs!$B$9+(F640-Calc!F20),100)/100)</f>
        <v/>
      </c>
      <c r="O628">
        <f>IF(C628,H628*N628*IF(AND(Inputs!$B$38&lt;&gt;"pvp",Inputs!$B$43&gt;0),((Skills!G8*((R628-1)*IF(Skills!H8&gt;0,Skills!I8/Skills!H8,1)+IF(Skills!H8&gt;0,MIN(Skills!I8,MAX(0,Inputs!$B$43-((R628-1)*IF(Inputs!$B$38="pvp",15,MAX(0.1,Skills!E8-IF(Skills!F8=TRUE,Inputs!$B$32,0))))))/Skills!H8,1)))/Inputs!$B$43),G628*Q628)*IF(Inputs!$B$38="pvp",1,(1-Summary!$B$56)*(1)+Summary!$B$56*(MIN(Skills!R8,Inputs!$B$37))),0)</f>
        <v/>
      </c>
      <c r="P628">
        <f>IF(B659=0,0,O628/B659)</f>
        <v/>
      </c>
      <c r="Q628">
        <f>IFERROR(1/IF(Inputs!$B$38="pvp",15,MAX(0.1,Skills!E8-IF(Skills!F8=TRUE,Inputs!$B$32,0))),0)</f>
        <v/>
      </c>
      <c r="R628">
        <f>IF(AND(Inputs!$B$38&lt;&gt;"pvp",Inputs!$B$43&gt;0),(INT(Inputs!$B$43/IF(Inputs!$B$38="pvp",15,MAX(0.1,Skills!E8-IF(Skills!F8=TRUE,Inputs!$B$32,0))))+1),0)</f>
        <v/>
      </c>
    </row>
    <row r="629">
      <c r="A629">
        <f>Skills!A9</f>
        <v/>
      </c>
      <c r="B629">
        <f>Skills!B9</f>
        <v/>
      </c>
      <c r="C629">
        <f>Inputs!$B$3&gt;=103</f>
        <v/>
      </c>
      <c r="D629">
        <f>IF(Skills!C9=1,60+Inputs!$B$25+Inputs!$B$29,IF(Skills!C9=2,90+Inputs!$B$26+Inputs!$B$29,IF(Skills!C9=3,120+Inputs!$B$27+Inputs!$B$29,MAX(0,(Inputs!$B$3-100)*3)+Inputs!$B$28+Inputs!$B$29)))</f>
        <v/>
      </c>
      <c r="E629">
        <f>INDEX(FactorTable!$B$2:$Y$301, MATCH(ROUND(MIN(300,MAX(1,D629)),0), FactorTable!$A$2:$A$301,0), Skills!M9+1)</f>
        <v/>
      </c>
      <c r="F629">
        <f>IF(Skills!N9=TRUE,(Skills!L9/10)*(E629/1000),Skills!L9/10)+Skills!O9</f>
        <v/>
      </c>
      <c r="G629">
        <f>Calc!G9</f>
        <v/>
      </c>
      <c r="H629">
        <f>Calc!H9</f>
        <v/>
      </c>
      <c r="I629">
        <f>IF(Skills!X9&lt;&gt;"",1+(Skills!X9/10)*(Z623/1000)/100,1)</f>
        <v/>
      </c>
      <c r="J629">
        <f>((Inputs!$B$6*(1+Inputs!$B$7/100))+(((Inputs!$B$12*(1+Inputs!$B$13/100))-(Inputs!$B$12*(1+Inputs!$B$13/100)))+0.25*(Inputs!$B$14-Inputs!$B$14))*(1+Inputs!$B$7/100))*(F629/100)</f>
        <v/>
      </c>
      <c r="K629">
        <f>J629*(1+((Inputs!$B$12*(1+Inputs!$B$13/100))*0.01+Inputs!$B$14*0.0025)/100)*(1+Inputs!$B$15/100)*(1+IF(Inputs!$B$38="pvp",0,(1-Summary!$B$56)*(Inputs!$B$20+Skills!P9)+Summary!$B$56*(Inputs!$B$21+Skills!Q9))/100)*(1+Inputs!$B$16/100)*(5000/(6000+Inputs!$B$42*(1-Inputs!$B$19/100)))*(1+Inputs!$B$24/100)*(1+F643/100)*(1+IF(Inputs!$B$3&gt;=120,F646,0)/100)^5*(1+(IF(Skills!A9="BASIC_ATTACK",Inputs!$B$17,(Inputs!$B$18+1)+IF(Inputs!$B$3&gt;=125,F647*5,0)))/100)*(B650*B651*B652*I629)</f>
        <v/>
      </c>
      <c r="L629">
        <f>K629*(MIN(Inputs!$B$22+(F642-Calc!F22),Inputs!$B$23)/100+Inputs!$B$23/100)/2</f>
        <v/>
      </c>
      <c r="M629">
        <f>L629*(1+(Inputs!$B$10+(F641-Calc!F21))/100)</f>
        <v/>
      </c>
      <c r="N629">
        <f>L629*(1-MIN(Inputs!$B$9+(F640-Calc!F20),100)/100)+M629*(MIN(Inputs!$B$9+(F640-Calc!F20),100)/100)</f>
        <v/>
      </c>
      <c r="O629">
        <f>IF(C629,H629*N629*IF(AND(Inputs!$B$38&lt;&gt;"pvp",Inputs!$B$43&gt;0),((Skills!G9*((R629-1)*IF(Skills!H9&gt;0,Skills!I9/Skills!H9,1)+IF(Skills!H9&gt;0,MIN(Skills!I9,MAX(0,Inputs!$B$43-((R629-1)*IF(Inputs!$B$38="pvp",15,MAX(0.1,Skills!E9-IF(Skills!F7=TRUE,Inputs!$B$32,0))))))/Skills!H9,1)))/Inputs!$B$43),G629*Q629)*IF(Inputs!$B$38="pvp",1,(1-Summary!$B$56)*(1)+Summary!$B$56*(MIN(Skills!R9,Inputs!$B$37))),0)</f>
        <v/>
      </c>
      <c r="P629">
        <f>IF(B659=0,0,O629/B659)</f>
        <v/>
      </c>
      <c r="Q629">
        <f>IFERROR(1/IF(Inputs!$B$38="pvp",15,MAX(0.1,Skills!E9-IF(Skills!F7=TRUE,Inputs!$B$32,0))),0)</f>
        <v/>
      </c>
      <c r="R629">
        <f>IF(AND(Inputs!$B$38&lt;&gt;"pvp",Inputs!$B$43&gt;0),(INT(Inputs!$B$43/IF(Inputs!$B$38="pvp",15,MAX(0.1,Skills!E9-IF(Skills!F7=TRUE,Inputs!$B$32,0))))+1),0)</f>
        <v/>
      </c>
    </row>
    <row r="630">
      <c r="A630">
        <f>Skills!A10</f>
        <v/>
      </c>
      <c r="B630">
        <f>Skills!B10</f>
        <v/>
      </c>
      <c r="C630">
        <f>TRUE</f>
        <v/>
      </c>
      <c r="D630">
        <f>IF(Skills!C10=1,60+Inputs!$B$25+Inputs!$B$29,IF(Skills!C10=2,90+Inputs!$B$26+Inputs!$B$29,IF(Skills!C10=3,120+Inputs!$B$27+Inputs!$B$29,MAX(0,(Inputs!$B$3-100)*3)+Inputs!$B$28+Inputs!$B$29)))</f>
        <v/>
      </c>
      <c r="E630">
        <f>INDEX(FactorTable!$B$2:$Y$301, MATCH(ROUND(MIN(300,MAX(1,D630)),0), FactorTable!$A$2:$A$301,0), Skills!M10+1)</f>
        <v/>
      </c>
      <c r="F630">
        <f>IF(Skills!N10=TRUE,(Skills!L10/10)*(E630/1000),Skills!L10/10)+Skills!O10</f>
        <v/>
      </c>
      <c r="G630">
        <f>Calc!G10</f>
        <v/>
      </c>
      <c r="H630">
        <f>Calc!H10</f>
        <v/>
      </c>
      <c r="I630">
        <f>IF(Skills!X10&lt;&gt;"",1+(Skills!X10/10)*(Z623/1000)/100,1)</f>
        <v/>
      </c>
      <c r="J630">
        <f>((Inputs!$B$6*(1+Inputs!$B$7/100))+(((Inputs!$B$12*(1+Inputs!$B$13/100))-(Inputs!$B$12*(1+Inputs!$B$13/100)))+0.25*(Inputs!$B$14-Inputs!$B$14))*(1+Inputs!$B$7/100))*(F630/100)</f>
        <v/>
      </c>
      <c r="K630">
        <f>J630*(1+((Inputs!$B$12*(1+Inputs!$B$13/100))*0.01+Inputs!$B$14*0.0025)/100)*(1+Inputs!$B$15/100)*(1+IF(Inputs!$B$38="pvp",0,(1-Summary!$B$56)*(Inputs!$B$20+Skills!P10)+Summary!$B$56*(Inputs!$B$21+Skills!Q10))/100)*(1+Inputs!$B$16/100)*(5000/(6000+Inputs!$B$42*(1-Inputs!$B$19/100)))*(1+Inputs!$B$24/100)*(1+F643/100)*(1+IF(Inputs!$B$3&gt;=120,F646,0)/100)^5*(1+(IF(Skills!A10="BASIC_ATTACK",Inputs!$B$17,(Inputs!$B$18+1)+IF(Inputs!$B$3&gt;=125,F647*5,0)))/100)*(B650*B651*B652*I630)</f>
        <v/>
      </c>
      <c r="L630">
        <f>K630*(MIN(Inputs!$B$22+(F642-Calc!F22),Inputs!$B$23)/100+Inputs!$B$23/100)/2</f>
        <v/>
      </c>
      <c r="M630">
        <f>L630*(1+(Inputs!$B$10+(F641-Calc!F21))/100)</f>
        <v/>
      </c>
      <c r="N630">
        <f>L630*(1-MIN(Inputs!$B$9+(F640-Calc!F20),100)/100)+M630*(MIN(Inputs!$B$9+(F640-Calc!F20),100)/100)</f>
        <v/>
      </c>
      <c r="O630">
        <f>IF(C630,H630*N630*IF(AND(Inputs!$B$38&lt;&gt;"pvp",Inputs!$B$43&gt;0),((Skills!G10*((R630-1)*IF(Skills!H10&gt;0,Skills!I10/Skills!H10,1)+IF(Skills!H10&gt;0,MIN(Skills!I10,MAX(0,Inputs!$B$43-((R630-1)*IF(Inputs!$B$38="pvp",15,MAX(0.1,Skills!E10-IF(Skills!F10=TRUE,Inputs!$B$32,0))))))/Skills!H10,1)))/Inputs!$B$43),G630*Q630)*IF(Inputs!$B$38="pvp",1,(1-Summary!$B$56)*(1)+Summary!$B$56*(MIN(Skills!R10,Inputs!$B$37))),0)</f>
        <v/>
      </c>
      <c r="P630">
        <f>IF(B659=0,0,O630/B659)</f>
        <v/>
      </c>
      <c r="Q630">
        <f>IFERROR(1/IF(Inputs!$B$38="pvp",15,MAX(0.1,Skills!E10-IF(Skills!F10=TRUE,Inputs!$B$32,0))),0)</f>
        <v/>
      </c>
      <c r="R630">
        <f>IF(AND(Inputs!$B$38&lt;&gt;"pvp",Inputs!$B$43&gt;0),(INT(Inputs!$B$43/IF(Inputs!$B$38="pvp",15,MAX(0.1,Skills!E10-IF(Skills!F10=TRUE,Inputs!$B$32,0))))+1),0)</f>
        <v/>
      </c>
    </row>
    <row r="631">
      <c r="A631">
        <f>Skills!A11</f>
        <v/>
      </c>
      <c r="B631">
        <f>Skills!B11</f>
        <v/>
      </c>
      <c r="C631">
        <f>TRUE</f>
        <v/>
      </c>
      <c r="D631">
        <f>IF(Skills!C11=1,60+Inputs!$B$25+Inputs!$B$29,IF(Skills!C11=2,90+Inputs!$B$26+Inputs!$B$29,IF(Skills!C11=3,120+Inputs!$B$27+Inputs!$B$29,MAX(0,(Inputs!$B$3-100)*3)+Inputs!$B$28+Inputs!$B$29)))</f>
        <v/>
      </c>
      <c r="E631">
        <f>INDEX(FactorTable!$B$2:$Y$301, MATCH(ROUND(MIN(300,MAX(1,D631)),0), FactorTable!$A$2:$A$301,0), Skills!M11+1)</f>
        <v/>
      </c>
      <c r="F631">
        <f>IF(Skills!N11=TRUE,(Skills!L11/10)*(E631/1000),Skills!L11/10)+Skills!O11</f>
        <v/>
      </c>
      <c r="G631">
        <f>Calc!G11</f>
        <v/>
      </c>
      <c r="H631">
        <f>Calc!H11</f>
        <v/>
      </c>
      <c r="I631">
        <f>IF(Skills!X11&lt;&gt;"",1+(Skills!X11/10)*(Z623/1000)/100,1)</f>
        <v/>
      </c>
      <c r="J631" t="inlineStr"/>
      <c r="K631" t="inlineStr"/>
      <c r="L631" t="inlineStr"/>
      <c r="M631" t="inlineStr"/>
      <c r="N631" t="inlineStr"/>
      <c r="O631" t="n">
        <v>0</v>
      </c>
      <c r="P631">
        <f>IF(B659=0,0,O631/B659)</f>
        <v/>
      </c>
      <c r="Q631">
        <f>IFERROR(1/IF(Inputs!$B$38="pvp",15,MAX(0.1,Skills!E11-IF(Skills!F11=TRUE,Inputs!$B$32,0))),0)</f>
        <v/>
      </c>
      <c r="R631" t="n">
        <v>0</v>
      </c>
    </row>
    <row r="632">
      <c r="A632">
        <f>Skills!A12</f>
        <v/>
      </c>
      <c r="B632">
        <f>Skills!B12</f>
        <v/>
      </c>
      <c r="C632">
        <f>TRUE</f>
        <v/>
      </c>
      <c r="D632">
        <f>IF(Skills!C12=1,60+Inputs!$B$25+Inputs!$B$29,IF(Skills!C12=2,90+Inputs!$B$26+Inputs!$B$29,IF(Skills!C12=3,120+Inputs!$B$27+Inputs!$B$29,MAX(0,(Inputs!$B$3-100)*3)+Inputs!$B$28+Inputs!$B$29)))</f>
        <v/>
      </c>
      <c r="E632">
        <f>INDEX(FactorTable!$B$2:$Y$301, MATCH(ROUND(MIN(300,MAX(1,D632)),0), FactorTable!$A$2:$A$301,0), Skills!M12+1)</f>
        <v/>
      </c>
      <c r="F632">
        <f>IF(Skills!N12=TRUE,(Skills!L12/10)*(E632/1000),Skills!L12/10)+Skills!O12</f>
        <v/>
      </c>
      <c r="G632">
        <f>Calc!G12</f>
        <v/>
      </c>
      <c r="H632">
        <f>Calc!H12</f>
        <v/>
      </c>
      <c r="I632">
        <f>IF(Skills!X12&lt;&gt;"",1+(Skills!X12/10)*(Z623/1000)/100,1)</f>
        <v/>
      </c>
      <c r="J632" t="inlineStr"/>
      <c r="K632" t="inlineStr"/>
      <c r="L632" t="inlineStr"/>
      <c r="M632" t="inlineStr"/>
      <c r="N632" t="inlineStr"/>
      <c r="O632" t="n">
        <v>0</v>
      </c>
      <c r="P632">
        <f>IF(B659=0,0,O632/B659)</f>
        <v/>
      </c>
      <c r="Q632">
        <f>IFERROR(1/IF(Inputs!$B$38="pvp",15,MAX(0.1,Skills!E12-IF(Skills!F12=TRUE,Inputs!$B$32,0))),0)</f>
        <v/>
      </c>
      <c r="R632" t="n">
        <v>0</v>
      </c>
    </row>
    <row r="633">
      <c r="A633">
        <f>Skills!A13</f>
        <v/>
      </c>
      <c r="B633">
        <f>Skills!B13</f>
        <v/>
      </c>
      <c r="C633">
        <f>Inputs!$B$3&gt;=105</f>
        <v/>
      </c>
      <c r="D633">
        <f>IF(Skills!C13=1,60+Inputs!$B$25+Inputs!$B$29,IF(Skills!C13=2,90+Inputs!$B$26+Inputs!$B$29,IF(Skills!C13=3,120+Inputs!$B$27+Inputs!$B$29,MAX(0,(Inputs!$B$3-100)*3)+Inputs!$B$28+Inputs!$B$29)))</f>
        <v/>
      </c>
      <c r="E633">
        <f>INDEX(FactorTable!$B$2:$Y$301, MATCH(ROUND(MIN(300,MAX(1,D633)),0), FactorTable!$A$2:$A$301,0), Skills!M13+1)</f>
        <v/>
      </c>
      <c r="F633">
        <f>IF(Skills!N13=TRUE,(Skills!L13/10)*(E633/1000),Skills!L13/10)+Skills!O13</f>
        <v/>
      </c>
      <c r="G633">
        <f>Calc!G13</f>
        <v/>
      </c>
      <c r="H633">
        <f>Calc!H13</f>
        <v/>
      </c>
      <c r="I633">
        <f>IF(Skills!X13&lt;&gt;"",1+(Skills!X13/10)*(Z623/1000)/100,1)</f>
        <v/>
      </c>
      <c r="J633">
        <f>((Inputs!$B$6*(1+Inputs!$B$7/100))+(((Inputs!$B$12*(1+Inputs!$B$13/100))-(Inputs!$B$12*(1+Inputs!$B$13/100)))+0.25*(Inputs!$B$14-Inputs!$B$14))*(1+Inputs!$B$7/100))*(F633/100)</f>
        <v/>
      </c>
      <c r="K633">
        <f>J633*(1+((Inputs!$B$12*(1+Inputs!$B$13/100))*0.01+Inputs!$B$14*0.0025)/100)*(1+Inputs!$B$15/100)*(1+IF(Inputs!$B$38="pvp",0,(1-Summary!$B$56)*(Inputs!$B$20+Skills!P13)+Summary!$B$56*(Inputs!$B$21+Skills!Q13))/100)*(1+Inputs!$B$16/100)*(5000/(6000+Inputs!$B$42*(1-Inputs!$B$19/100)))*(1+Inputs!$B$24/100)*(1+F643/100)*(1+IF(Inputs!$B$3&gt;=120,F646,0)/100)^5*(1+(IF(Skills!A13="BASIC_ATTACK",Inputs!$B$17,(Inputs!$B$18+1)+IF(Inputs!$B$3&gt;=125,F647*5,0)))/100)*(B650*B651*B652*I633)</f>
        <v/>
      </c>
      <c r="L633">
        <f>K633*(MIN(Inputs!$B$22+(F642-Calc!F22),Inputs!$B$23)/100+Inputs!$B$23/100)/2</f>
        <v/>
      </c>
      <c r="M633">
        <f>L633*(1+(Inputs!$B$10+(F641-Calc!F21))/100)</f>
        <v/>
      </c>
      <c r="N633">
        <f>L633*(1-MIN(Inputs!$B$9+(F640-Calc!F20),100)/100)+M633*(MIN(Inputs!$B$9+(F640-Calc!F20),100)/100)</f>
        <v/>
      </c>
      <c r="O633">
        <f>IF(C633,H633*N633*IF(AND(Inputs!$B$38&lt;&gt;"pvp",Inputs!$B$43&gt;0),((Skills!G13*((R633-1)*IF(Skills!H13&gt;0,Skills!I13/Skills!H13,1)+IF(Skills!H13&gt;0,MIN(Skills!I13,MAX(0,Inputs!$B$43-((R633-1)*IF(Inputs!$B$38="pvp",15,MAX(0.1,Skills!E13-IF(Skills!F13=TRUE,Inputs!$B$32,0))))))/Skills!H13,1)))/Inputs!$B$43),G633*Q633)*IF(Inputs!$B$38="pvp",1,(1-Summary!$B$56)*(1)+Summary!$B$56*(MIN(Skills!R13,Inputs!$B$37))),0)</f>
        <v/>
      </c>
      <c r="P633">
        <f>IF(B659=0,0,O633/B659)</f>
        <v/>
      </c>
      <c r="Q633">
        <f>IFERROR(1/IF(Inputs!$B$38="pvp",15,MAX(0.1,Skills!E13-IF(Skills!F13=TRUE,Inputs!$B$32,0))),0)</f>
        <v/>
      </c>
      <c r="R633">
        <f>IF(AND(Inputs!$B$38&lt;&gt;"pvp",Inputs!$B$43&gt;0),(INT(Inputs!$B$43/IF(Inputs!$B$38="pvp",15,MAX(0.1,Skills!E13-IF(Skills!F13=TRUE,Inputs!$B$32,0))))+1),0)</f>
        <v/>
      </c>
    </row>
    <row r="634">
      <c r="A634">
        <f>Skills!A14</f>
        <v/>
      </c>
      <c r="B634">
        <f>Skills!B14</f>
        <v/>
      </c>
      <c r="C634">
        <f>Inputs!$B$3&gt;=113</f>
        <v/>
      </c>
      <c r="D634">
        <f>IF(Skills!C14=1,60+Inputs!$B$25+Inputs!$B$29,IF(Skills!C14=2,90+Inputs!$B$26+Inputs!$B$29,IF(Skills!C14=3,120+Inputs!$B$27+Inputs!$B$29,MAX(0,(Inputs!$B$3-100)*3)+Inputs!$B$28+Inputs!$B$29)))</f>
        <v/>
      </c>
      <c r="E634">
        <f>INDEX(FactorTable!$B$2:$Y$301, MATCH(ROUND(MIN(300,MAX(1,D634)),0), FactorTable!$A$2:$A$301,0), Skills!M14+1)</f>
        <v/>
      </c>
      <c r="F634">
        <f>IF(Skills!N14=TRUE,(Skills!L14/10)*(E634/1000),Skills!L14/10)+Skills!O14</f>
        <v/>
      </c>
      <c r="G634">
        <f>Calc!G14</f>
        <v/>
      </c>
      <c r="H634">
        <f>Calc!H14</f>
        <v/>
      </c>
      <c r="I634">
        <f>IF(Skills!X14&lt;&gt;"",1+(Skills!X14/10)*(Z623/1000)/100,1)</f>
        <v/>
      </c>
      <c r="J634">
        <f>((Inputs!$B$6*(1+Inputs!$B$7/100))+(((Inputs!$B$12*(1+Inputs!$B$13/100))-(Inputs!$B$12*(1+Inputs!$B$13/100)))+0.25*(Inputs!$B$14-Inputs!$B$14))*(1+Inputs!$B$7/100))*(F634/100)</f>
        <v/>
      </c>
      <c r="K634">
        <f>J634*(1+((Inputs!$B$12*(1+Inputs!$B$13/100))*0.01+Inputs!$B$14*0.0025)/100)*(1+Inputs!$B$15/100)*(1+IF(Inputs!$B$38="pvp",0,(1-Summary!$B$56)*(Inputs!$B$20+Skills!P14)+Summary!$B$56*(Inputs!$B$21+Skills!Q14))/100)*(1+Inputs!$B$16/100)*(5000/(6000+Inputs!$B$42*(1-Inputs!$B$19/100)))*(1+Inputs!$B$24/100)*(1+F643/100)*(1+IF(Inputs!$B$3&gt;=120,F646,0)/100)^5*(1+(IF(Skills!A14="BASIC_ATTACK",Inputs!$B$17,(Inputs!$B$18+1)+IF(Inputs!$B$3&gt;=125,F647*5,0)))/100)*(B650*B651*B652*I634)</f>
        <v/>
      </c>
      <c r="L634">
        <f>K634*(MIN(Inputs!$B$22+(F642-Calc!F22),Inputs!$B$23)/100+Inputs!$B$23/100)/2</f>
        <v/>
      </c>
      <c r="M634">
        <f>L634*(1+(Inputs!$B$10+(F641-Calc!F21))/100)</f>
        <v/>
      </c>
      <c r="N634">
        <f>L634*(1-MIN(Inputs!$B$9+(F640-Calc!F20),100)/100)+M634*(MIN(Inputs!$B$9+(F640-Calc!F20),100)/100)</f>
        <v/>
      </c>
      <c r="O634">
        <f>IF(C634,(H634*B657)/(1+Skills!H14*H634*B657)*N634*IF(Inputs!$B$38="pvp",1,(1-Summary!$B$56)*(1)+Summary!$B$56*(MIN(Skills!R14,Inputs!$B$37))),0)</f>
        <v/>
      </c>
      <c r="P634">
        <f>IF(B659=0,0,O634/B659)</f>
        <v/>
      </c>
      <c r="Q634">
        <f>IFERROR(1/IF(Inputs!$B$38="pvp",15,MAX(0.1,Skills!E14-IF(Skills!F14=TRUE,Inputs!$B$32,0))),0)</f>
        <v/>
      </c>
      <c r="R634" t="n">
        <v>0</v>
      </c>
    </row>
    <row r="635">
      <c r="A635">
        <f>Skills!A15</f>
        <v/>
      </c>
      <c r="B635">
        <f>Skills!B15</f>
        <v/>
      </c>
      <c r="C635">
        <f>Inputs!$B$3&gt;=107</f>
        <v/>
      </c>
      <c r="D635">
        <f>IF(Skills!C15=1,60+Inputs!$B$25+Inputs!$B$29,IF(Skills!C15=2,90+Inputs!$B$26+Inputs!$B$29,IF(Skills!C15=3,120+Inputs!$B$27+Inputs!$B$29,MAX(0,(Inputs!$B$3-100)*3)+Inputs!$B$28+Inputs!$B$29)))</f>
        <v/>
      </c>
      <c r="E635">
        <f>INDEX(FactorTable!$B$2:$Y$301, MATCH(ROUND(MIN(300,MAX(1,D635)),0), FactorTable!$A$2:$A$301,0), Skills!M15+1)</f>
        <v/>
      </c>
      <c r="F635">
        <f>IF(Skills!N15=TRUE,(Skills!L15/10)*(E635/1000),Skills!L15/10)+Skills!O15</f>
        <v/>
      </c>
      <c r="G635">
        <f>Calc!G15</f>
        <v/>
      </c>
      <c r="H635">
        <f>Calc!H15</f>
        <v/>
      </c>
      <c r="I635">
        <f>IF(Skills!X15&lt;&gt;"",1+(Skills!X15/10)*(Z623/1000)/100,1)</f>
        <v/>
      </c>
      <c r="J635">
        <f>((Inputs!$B$6*(1+Inputs!$B$7/100))+(((Inputs!$B$12*(1+Inputs!$B$13/100))-(Inputs!$B$12*(1+Inputs!$B$13/100)))+0.25*(Inputs!$B$14-Inputs!$B$14))*(1+Inputs!$B$7/100))*(F635/100)</f>
        <v/>
      </c>
      <c r="K635">
        <f>J635*(1+((Inputs!$B$12*(1+Inputs!$B$13/100))*0.01+Inputs!$B$14*0.0025)/100)*(1+Inputs!$B$15/100)*(1+IF(Inputs!$B$38="pvp",0,(1-Summary!$B$56)*(Inputs!$B$20+Skills!P15)+Summary!$B$56*(Inputs!$B$21+Skills!Q15))/100)*(1+Inputs!$B$16/100)*(5000/(6000+Inputs!$B$42*(1-Inputs!$B$19/100)))*(1+Inputs!$B$24/100)*(1+F643/100)*(1+IF(Inputs!$B$3&gt;=120,F646,0)/100)^5*(1+(IF(Skills!A15="BASIC_ATTACK",Inputs!$B$17,(Inputs!$B$18+1)+IF(Inputs!$B$3&gt;=125,F647*5,0)))/100)*(B650*B651*B652*I635)</f>
        <v/>
      </c>
      <c r="L635">
        <f>K635*(MIN(Inputs!$B$22+(F642-Calc!F22),Inputs!$B$23)/100+Inputs!$B$23/100)/2</f>
        <v/>
      </c>
      <c r="M635">
        <f>L635*(1+(Inputs!$B$10+(F641-Calc!F21))/100)</f>
        <v/>
      </c>
      <c r="N635">
        <f>L635*(1-MIN(Inputs!$B$9+(F640-Calc!F20),100)/100)+M635*(MIN(Inputs!$B$9+(F640-Calc!F20),100)/100)</f>
        <v/>
      </c>
      <c r="O635">
        <f>IF(C635,H635*N635*IF(AND(Inputs!$B$38&lt;&gt;"pvp",Inputs!$B$43&gt;0),((Skills!G15*((R635-1)*IF(Skills!H15&gt;0,Skills!I15/Skills!H15,1)+IF(Skills!H15&gt;0,MIN(Skills!I15,MAX(0,Inputs!$B$43-((R635-1)*IF(Inputs!$B$38="pvp",15,MAX(0.1,Skills!E15-IF(Skills!F15=TRUE,Inputs!$B$32,0))))))/Skills!H15,1)))/Inputs!$B$43),G635*Q635)*IF(Inputs!$B$38="pvp",1,(1-Summary!$B$56)*(1)+Summary!$B$56*(MIN(Skills!R15,Inputs!$B$37))),0)</f>
        <v/>
      </c>
      <c r="P635">
        <f>IF(B659=0,0,O635/B659)</f>
        <v/>
      </c>
      <c r="Q635">
        <f>IFERROR(1/IF(Inputs!$B$38="pvp",15,MAX(0.1,Skills!E15-IF(Skills!F15=TRUE,Inputs!$B$32,0))),0)</f>
        <v/>
      </c>
      <c r="R635">
        <f>IF(AND(Inputs!$B$38&lt;&gt;"pvp",Inputs!$B$43&gt;0),(INT(Inputs!$B$43/IF(Inputs!$B$38="pvp",15,MAX(0.1,Skills!E15-IF(Skills!F15=TRUE,Inputs!$B$32,0))))+1),0)</f>
        <v/>
      </c>
    </row>
    <row r="636">
      <c r="A636">
        <f>Skills!A16</f>
        <v/>
      </c>
      <c r="B636">
        <f>Skills!B16</f>
        <v/>
      </c>
      <c r="C636">
        <f>Inputs!$B$3&gt;=107</f>
        <v/>
      </c>
      <c r="D636">
        <f>IF(Skills!C16=1,60+Inputs!$B$25+Inputs!$B$29,IF(Skills!C16=2,90+Inputs!$B$26+Inputs!$B$29,IF(Skills!C16=3,120+Inputs!$B$27+Inputs!$B$29,MAX(0,(Inputs!$B$3-100)*3)+Inputs!$B$28+Inputs!$B$29)))</f>
        <v/>
      </c>
      <c r="E636">
        <f>INDEX(FactorTable!$B$2:$Y$301, MATCH(ROUND(MIN(300,MAX(1,D636)),0), FactorTable!$A$2:$A$301,0), Skills!M16+1)</f>
        <v/>
      </c>
      <c r="F636">
        <f>IF(Skills!N16=TRUE,(Skills!L16/10)*(E636/1000),Skills!L16/10)+Skills!O16</f>
        <v/>
      </c>
      <c r="G636">
        <f>Calc!G16</f>
        <v/>
      </c>
      <c r="H636">
        <f>Calc!H16</f>
        <v/>
      </c>
      <c r="I636">
        <f>IF(Skills!X16&lt;&gt;"",1+(Skills!X16/10)*(Z623/1000)/100,1)</f>
        <v/>
      </c>
      <c r="J636">
        <f>((Inputs!$B$6*(1+Inputs!$B$7/100))+(((Inputs!$B$12*(1+Inputs!$B$13/100))-(Inputs!$B$12*(1+Inputs!$B$13/100)))+0.25*(Inputs!$B$14-Inputs!$B$14))*(1+Inputs!$B$7/100))*(F636/100)</f>
        <v/>
      </c>
      <c r="K636">
        <f>J636*(1+((Inputs!$B$12*(1+Inputs!$B$13/100))*0.01+Inputs!$B$14*0.0025)/100)*(1+Inputs!$B$15/100)*(1+IF(Inputs!$B$38="pvp",0,(1-Summary!$B$56)*(Inputs!$B$20+Skills!P16)+Summary!$B$56*(Inputs!$B$21+Skills!Q16))/100)*(1+Inputs!$B$16/100)*(5000/(6000+Inputs!$B$42*(1-Inputs!$B$19/100)))*(1+Inputs!$B$24/100)*(1+F643/100)*(1+IF(Inputs!$B$3&gt;=120,F646,0)/100)^5*(1+(IF(Skills!A16="BASIC_ATTACK",Inputs!$B$17,(Inputs!$B$18+1)+IF(Inputs!$B$3&gt;=125,F647*5,0)))/100)*(B650*B651*B652*I636)</f>
        <v/>
      </c>
      <c r="L636">
        <f>K636*(MIN(Inputs!$B$22+(F642-Calc!F22),Inputs!$B$23)/100+Inputs!$B$23/100)/2</f>
        <v/>
      </c>
      <c r="M636">
        <f>L636*(1+(Inputs!$B$10+(F641-Calc!F21))/100)</f>
        <v/>
      </c>
      <c r="N636">
        <f>L636*(1-MIN(Inputs!$B$9+(F640-Calc!F20),100)/100)+M636*(MIN(Inputs!$B$9+(F640-Calc!F20),100)/100)</f>
        <v/>
      </c>
      <c r="O636">
        <f>IF(C636,H636*N636*IF(AND(Inputs!$B$38&lt;&gt;"pvp",Inputs!$B$43&gt;0),((Skills!G16*((R636-1)*IF(Skills!H16&gt;0,Skills!I16/Skills!H16,1)+IF(Skills!H16&gt;0,MIN(Skills!I16,MAX(0,Inputs!$B$43-((R636-1)*IF(Inputs!$B$38="pvp",15,MAX(0.1,Skills!E16-IF(Skills!F16=TRUE,Inputs!$B$32,0))))))/Skills!H16,1)))/Inputs!$B$43),G636*Q636)*(1+IF(Inputs!$B$3&gt;=126,0.05*(B656+Q633+(H634*B657)/(1+Skills!H14*H634*B657)+Q644),0)*Skills!E15)*IF(Inputs!$B$38="pvp",1,(1-Summary!$B$56)*(1)+Summary!$B$56*(MIN(Skills!R16,Inputs!$B$37))),0)</f>
        <v/>
      </c>
      <c r="P636">
        <f>IF(B659=0,0,O636/B659)</f>
        <v/>
      </c>
      <c r="Q636">
        <f>IFERROR(1/IF(Inputs!$B$38="pvp",15,MAX(0.1,Skills!E16-IF(Skills!F16=TRUE,Inputs!$B$32,0))),0)</f>
        <v/>
      </c>
      <c r="R636">
        <f>IF(AND(Inputs!$B$38&lt;&gt;"pvp",Inputs!$B$43&gt;0),(INT(Inputs!$B$43/IF(Inputs!$B$38="pvp",15,MAX(0.1,Skills!E16-IF(Skills!F16=TRUE,Inputs!$B$32,0))))+1),0)</f>
        <v/>
      </c>
    </row>
    <row r="637">
      <c r="A637">
        <f>Skills!A17</f>
        <v/>
      </c>
      <c r="B637">
        <f>Skills!B17</f>
        <v/>
      </c>
      <c r="C637">
        <f>TRUE</f>
        <v/>
      </c>
      <c r="D637">
        <f>IF(Skills!C17=1,60+Inputs!$B$25+Inputs!$B$29,IF(Skills!C17=2,90+Inputs!$B$26+Inputs!$B$29,IF(Skills!C17=3,120+Inputs!$B$27+Inputs!$B$29,MAX(0,(Inputs!$B$3-100)*3)+Inputs!$B$28+Inputs!$B$29)))</f>
        <v/>
      </c>
      <c r="E637">
        <f>INDEX(FactorTable!$B$2:$Y$301, MATCH(ROUND(MIN(300,MAX(1,D637)),0), FactorTable!$A$2:$A$301,0), Skills!M17+1)</f>
        <v/>
      </c>
      <c r="F637">
        <f>IF(Skills!N17=TRUE,(Skills!L17/10)*(E637/1000),Skills!L17/10)+Skills!O17</f>
        <v/>
      </c>
      <c r="G637">
        <f>Calc!G17</f>
        <v/>
      </c>
      <c r="H637">
        <f>Calc!H17</f>
        <v/>
      </c>
      <c r="I637">
        <f>IF(Skills!X17&lt;&gt;"",1+(Skills!X17/10)*(Z623/1000)/100,1)</f>
        <v/>
      </c>
      <c r="J637" t="inlineStr"/>
      <c r="K637" t="inlineStr"/>
      <c r="L637" t="inlineStr"/>
      <c r="M637" t="inlineStr"/>
      <c r="N637" t="inlineStr"/>
      <c r="O637" t="n">
        <v>0</v>
      </c>
      <c r="P637">
        <f>IF(B659=0,0,O637/B659)</f>
        <v/>
      </c>
      <c r="Q637">
        <f>IFERROR(1/IF(Inputs!$B$38="pvp",15,MAX(0.1,Skills!E17-IF(Skills!F17=TRUE,Inputs!$B$32,0))),0)</f>
        <v/>
      </c>
      <c r="R637">
        <f>IF(AND(Inputs!$B$38&lt;&gt;"pvp",Inputs!$B$43&gt;0),(INT(Inputs!$B$43/IF(Inputs!$B$38="pvp",15,MAX(0.1,Skills!E17-IF(Skills!F17=TRUE,Inputs!$B$32,0))))+1),0)</f>
        <v/>
      </c>
    </row>
    <row r="638">
      <c r="A638">
        <f>Skills!A18</f>
        <v/>
      </c>
      <c r="B638">
        <f>Skills!B18</f>
        <v/>
      </c>
      <c r="C638">
        <f>TRUE</f>
        <v/>
      </c>
      <c r="D638">
        <f>IF(Skills!C18=1,60+Inputs!$B$25+Inputs!$B$29,IF(Skills!C18=2,90+Inputs!$B$26+Inputs!$B$29,IF(Skills!C18=3,120+Inputs!$B$27+Inputs!$B$29,MAX(0,(Inputs!$B$3-100)*3)+Inputs!$B$28+Inputs!$B$29)))</f>
        <v/>
      </c>
      <c r="E638">
        <f>INDEX(FactorTable!$B$2:$Y$301, MATCH(ROUND(MIN(300,MAX(1,D638)),0), FactorTable!$A$2:$A$301,0), Skills!M18+1)</f>
        <v/>
      </c>
      <c r="F638">
        <f>IF(Skills!N18=TRUE,(Skills!L18/10)*(E638/1000),Skills!L18/10)+Skills!O18</f>
        <v/>
      </c>
      <c r="G638">
        <f>Calc!G18</f>
        <v/>
      </c>
      <c r="H638">
        <f>Calc!H18</f>
        <v/>
      </c>
      <c r="I638">
        <f>IF(Skills!X18&lt;&gt;"",1+(Skills!X18/10)*(Z623/1000)/100,1)</f>
        <v/>
      </c>
      <c r="J638" t="inlineStr"/>
      <c r="K638" t="inlineStr"/>
      <c r="L638" t="inlineStr"/>
      <c r="M638" t="inlineStr"/>
      <c r="N638" t="inlineStr"/>
      <c r="O638" t="n">
        <v>0</v>
      </c>
      <c r="P638">
        <f>IF(B659=0,0,O638/B659)</f>
        <v/>
      </c>
      <c r="Q638">
        <f>IFERROR(1/IF(Inputs!$B$38="pvp",15,MAX(0.1,Skills!E18-IF(Skills!F18=TRUE,Inputs!$B$32,0))),0)</f>
        <v/>
      </c>
      <c r="R638">
        <f>IF(AND(Inputs!$B$38&lt;&gt;"pvp",Inputs!$B$43&gt;0),(INT(Inputs!$B$43/IF(Inputs!$B$38="pvp",15,MAX(0.1,Skills!E18-IF(Skills!F18=TRUE,Inputs!$B$32,0))))+1),0)</f>
        <v/>
      </c>
    </row>
    <row r="639">
      <c r="A639">
        <f>Skills!A19</f>
        <v/>
      </c>
      <c r="B639">
        <f>Skills!B19</f>
        <v/>
      </c>
      <c r="C639">
        <f>Inputs!$B$3&gt;=110</f>
        <v/>
      </c>
      <c r="D639">
        <f>IF(Skills!C19=1,60+Inputs!$B$25+Inputs!$B$29,IF(Skills!C19=2,90+Inputs!$B$26+Inputs!$B$29,IF(Skills!C19=3,120+Inputs!$B$27+Inputs!$B$29,MAX(0,(Inputs!$B$3-100)*3)+Inputs!$B$28+Inputs!$B$29)))</f>
        <v/>
      </c>
      <c r="E639">
        <f>INDEX(FactorTable!$B$2:$Y$301, MATCH(ROUND(MIN(300,MAX(1,D639)),0), FactorTable!$A$2:$A$301,0), Skills!M19+1)</f>
        <v/>
      </c>
      <c r="F639">
        <f>IF(Skills!N19=TRUE,(Skills!L19/10)*(E639/1000),Skills!L19/10)+Skills!O19</f>
        <v/>
      </c>
      <c r="G639">
        <f>Calc!G19</f>
        <v/>
      </c>
      <c r="H639">
        <f>Calc!H19</f>
        <v/>
      </c>
      <c r="I639">
        <f>IF(Skills!X19&lt;&gt;"",1+(Skills!X19/10)*(Z623/1000)/100,1)</f>
        <v/>
      </c>
      <c r="J639" t="inlineStr"/>
      <c r="K639" t="inlineStr"/>
      <c r="L639" t="inlineStr"/>
      <c r="M639" t="inlineStr"/>
      <c r="N639" t="inlineStr"/>
      <c r="O639" t="n">
        <v>0</v>
      </c>
      <c r="P639">
        <f>IF(B659=0,0,O639/B659)</f>
        <v/>
      </c>
      <c r="Q639">
        <f>IFERROR(1/IF(Inputs!$B$38="pvp",15,MAX(0.1,Skills!E19-IF(Skills!F19=TRUE,Inputs!$B$32,0))),0)</f>
        <v/>
      </c>
      <c r="R639">
        <f>IF(AND(Inputs!$B$38&lt;&gt;"pvp",Inputs!$B$43&gt;0),(INT(Inputs!$B$43/IF(Inputs!$B$38="pvp",15,MAX(0.1,Skills!E19-IF(Skills!F19=TRUE,Inputs!$B$32,0))))+1),0)</f>
        <v/>
      </c>
    </row>
    <row r="640">
      <c r="A640">
        <f>Skills!A20</f>
        <v/>
      </c>
      <c r="B640">
        <f>Skills!B20</f>
        <v/>
      </c>
      <c r="C640">
        <f>TRUE</f>
        <v/>
      </c>
      <c r="D640">
        <f>IF(Skills!C20=1,60+Inputs!$B$25+Inputs!$B$29,IF(Skills!C20=2,90+Inputs!$B$26+Inputs!$B$29,IF(Skills!C20=3,120+Inputs!$B$27+Inputs!$B$29,MAX(0,(Inputs!$B$3-100)*3)+Inputs!$B$28+Inputs!$B$29)))</f>
        <v/>
      </c>
      <c r="E640">
        <f>INDEX(FactorTable!$B$2:$Y$301, MATCH(ROUND(MIN(300,MAX(1,D640)),0), FactorTable!$A$2:$A$301,0), Skills!M20+1)</f>
        <v/>
      </c>
      <c r="F640">
        <f>IF(Skills!N20=TRUE,(Skills!L20/10)*(E640/1000),Skills!L20/10)+Skills!O20</f>
        <v/>
      </c>
      <c r="G640">
        <f>Calc!G20</f>
        <v/>
      </c>
      <c r="H640">
        <f>Calc!H20</f>
        <v/>
      </c>
      <c r="I640">
        <f>IF(Skills!X20&lt;&gt;"",1+(Skills!X20/10)*(Z623/1000)/100,1)</f>
        <v/>
      </c>
      <c r="J640" t="inlineStr"/>
      <c r="K640" t="inlineStr"/>
      <c r="L640" t="inlineStr"/>
      <c r="M640" t="inlineStr"/>
      <c r="N640" t="inlineStr"/>
      <c r="O640" t="n">
        <v>0</v>
      </c>
      <c r="P640">
        <f>IF(B659=0,0,O640/B659)</f>
        <v/>
      </c>
      <c r="Q640">
        <f>IFERROR(1/IF(Inputs!$B$38="pvp",15,MAX(0.1,Skills!E20-IF(Skills!F20=TRUE,Inputs!$B$32,0))),0)</f>
        <v/>
      </c>
      <c r="R640" t="n">
        <v>0</v>
      </c>
    </row>
    <row r="641">
      <c r="A641">
        <f>Skills!A21</f>
        <v/>
      </c>
      <c r="B641">
        <f>Skills!B21</f>
        <v/>
      </c>
      <c r="C641">
        <f>TRUE</f>
        <v/>
      </c>
      <c r="D641">
        <f>IF(Skills!C21=1,60+Inputs!$B$25+Inputs!$B$29,IF(Skills!C21=2,90+Inputs!$B$26+Inputs!$B$29,IF(Skills!C21=3,120+Inputs!$B$27+Inputs!$B$29,MAX(0,(Inputs!$B$3-100)*3)+Inputs!$B$28+Inputs!$B$29)))</f>
        <v/>
      </c>
      <c r="E641">
        <f>INDEX(FactorTable!$B$2:$Y$301, MATCH(ROUND(MIN(300,MAX(1,D641)),0), FactorTable!$A$2:$A$301,0), Skills!M21+1)</f>
        <v/>
      </c>
      <c r="F641">
        <f>IF(Skills!N21=TRUE,(Skills!L21/10)*(E641/1000),Skills!L21/10)+Skills!O21</f>
        <v/>
      </c>
      <c r="G641">
        <f>Calc!G21</f>
        <v/>
      </c>
      <c r="H641">
        <f>Calc!H21</f>
        <v/>
      </c>
      <c r="I641">
        <f>IF(Skills!X21&lt;&gt;"",1+(Skills!X21/10)*(Z623/1000)/100,1)</f>
        <v/>
      </c>
      <c r="J641" t="inlineStr"/>
      <c r="K641" t="inlineStr"/>
      <c r="L641" t="inlineStr"/>
      <c r="M641" t="inlineStr"/>
      <c r="N641" t="inlineStr"/>
      <c r="O641" t="n">
        <v>0</v>
      </c>
      <c r="P641">
        <f>IF(B659=0,0,O641/B659)</f>
        <v/>
      </c>
      <c r="Q641">
        <f>IFERROR(1/IF(Inputs!$B$38="pvp",15,MAX(0.1,Skills!E21-IF(Skills!F21=TRUE,Inputs!$B$32,0))),0)</f>
        <v/>
      </c>
      <c r="R641" t="n">
        <v>0</v>
      </c>
    </row>
    <row r="642">
      <c r="A642">
        <f>Skills!A22</f>
        <v/>
      </c>
      <c r="B642">
        <f>Skills!B22</f>
        <v/>
      </c>
      <c r="C642">
        <f>TRUE</f>
        <v/>
      </c>
      <c r="D642">
        <f>IF(Skills!C22=1,60+Inputs!$B$25+Inputs!$B$29,IF(Skills!C22=2,90+Inputs!$B$26+Inputs!$B$29,IF(Skills!C22=3,120+Inputs!$B$27+Inputs!$B$29,MAX(0,(Inputs!$B$3-100)*3)+Inputs!$B$28+Inputs!$B$29)))</f>
        <v/>
      </c>
      <c r="E642">
        <f>INDEX(FactorTable!$B$2:$Y$301, MATCH(ROUND(MIN(300,MAX(1,D642)),0), FactorTable!$A$2:$A$301,0), Skills!M22+1)</f>
        <v/>
      </c>
      <c r="F642">
        <f>IF(Skills!N22=TRUE,(Skills!L22/10)*(E642/1000),Skills!L22/10)+Skills!O22</f>
        <v/>
      </c>
      <c r="G642">
        <f>Calc!G22</f>
        <v/>
      </c>
      <c r="H642">
        <f>Calc!H22</f>
        <v/>
      </c>
      <c r="I642">
        <f>IF(Skills!X22&lt;&gt;"",1+(Skills!X22/10)*(Z623/1000)/100,1)</f>
        <v/>
      </c>
      <c r="J642" t="inlineStr"/>
      <c r="K642" t="inlineStr"/>
      <c r="L642" t="inlineStr"/>
      <c r="M642" t="inlineStr"/>
      <c r="N642" t="inlineStr"/>
      <c r="O642" t="n">
        <v>0</v>
      </c>
      <c r="P642">
        <f>IF(B659=0,0,O642/B659)</f>
        <v/>
      </c>
      <c r="Q642">
        <f>IFERROR(1/IF(Inputs!$B$38="pvp",15,MAX(0.1,Skills!E22-IF(Skills!F22=TRUE,Inputs!$B$32,0))),0)</f>
        <v/>
      </c>
      <c r="R642" t="n">
        <v>0</v>
      </c>
    </row>
    <row r="643">
      <c r="A643">
        <f>Skills!A23</f>
        <v/>
      </c>
      <c r="B643">
        <f>Skills!B23</f>
        <v/>
      </c>
      <c r="C643">
        <f>TRUE</f>
        <v/>
      </c>
      <c r="D643">
        <f>IF(Skills!C23=1,60+Inputs!$B$25+Inputs!$B$29,IF(Skills!C23=2,90+Inputs!$B$26+Inputs!$B$29,IF(Skills!C23=3,120+Inputs!$B$27+Inputs!$B$29,MAX(0,(Inputs!$B$3-100)*3)+Inputs!$B$28+Inputs!$B$29)))</f>
        <v/>
      </c>
      <c r="E643">
        <f>INDEX(FactorTable!$B$2:$Y$301, MATCH(ROUND(MIN(300,MAX(1,D643)),0), FactorTable!$A$2:$A$301,0), Skills!M23+1)</f>
        <v/>
      </c>
      <c r="F643">
        <f>IF(Skills!N23=TRUE,(Skills!L23/10)*(E643/1000),Skills!L23/10)+Skills!O23</f>
        <v/>
      </c>
      <c r="G643">
        <f>Calc!G23</f>
        <v/>
      </c>
      <c r="H643">
        <f>Calc!H23</f>
        <v/>
      </c>
      <c r="I643">
        <f>IF(Skills!X23&lt;&gt;"",1+(Skills!X23/10)*(Z623/1000)/100,1)</f>
        <v/>
      </c>
      <c r="J643" t="inlineStr"/>
      <c r="K643" t="inlineStr"/>
      <c r="L643" t="inlineStr"/>
      <c r="M643" t="inlineStr"/>
      <c r="N643" t="inlineStr"/>
      <c r="O643" t="n">
        <v>0</v>
      </c>
      <c r="P643">
        <f>IF(B659=0,0,O643/B659)</f>
        <v/>
      </c>
      <c r="Q643">
        <f>IFERROR(1/IF(Inputs!$B$38="pvp",15,MAX(0.1,Skills!E23-IF(Skills!F23=TRUE,Inputs!$B$32,0))),0)</f>
        <v/>
      </c>
      <c r="R643" t="n">
        <v>0</v>
      </c>
    </row>
    <row r="644">
      <c r="A644">
        <f>Skills!A24</f>
        <v/>
      </c>
      <c r="B644">
        <f>Skills!B24</f>
        <v/>
      </c>
      <c r="C644">
        <f>Inputs!$B$3&gt;=115</f>
        <v/>
      </c>
      <c r="D644">
        <f>IF(Skills!C24=1,60+Inputs!$B$25+Inputs!$B$29,IF(Skills!C24=2,90+Inputs!$B$26+Inputs!$B$29,IF(Skills!C24=3,120+Inputs!$B$27+Inputs!$B$29,MAX(0,(Inputs!$B$3-100)*3)+Inputs!$B$28+Inputs!$B$29)))</f>
        <v/>
      </c>
      <c r="E644">
        <f>INDEX(FactorTable!$B$2:$Y$301, MATCH(ROUND(MIN(300,MAX(1,D644)),0), FactorTable!$A$2:$A$301,0), Skills!M24+1)</f>
        <v/>
      </c>
      <c r="F644">
        <f>IF(Skills!N24=TRUE,(Skills!L24/10)*(E644/1000),Skills!L24/10)+Skills!O24</f>
        <v/>
      </c>
      <c r="G644">
        <f>Calc!G24</f>
        <v/>
      </c>
      <c r="H644">
        <f>Calc!H24</f>
        <v/>
      </c>
      <c r="I644">
        <f>IF(Skills!X24&lt;&gt;"",1+(Skills!X24/10)*(Z623/1000)/100,1)</f>
        <v/>
      </c>
      <c r="J644">
        <f>((Inputs!$B$6*(1+Inputs!$B$7/100))+(((Inputs!$B$12*(1+Inputs!$B$13/100))-(Inputs!$B$12*(1+Inputs!$B$13/100)))+0.25*(Inputs!$B$14-Inputs!$B$14))*(1+Inputs!$B$7/100))*(F644/100)</f>
        <v/>
      </c>
      <c r="K644">
        <f>J644*(1+((Inputs!$B$12*(1+Inputs!$B$13/100))*0.01+Inputs!$B$14*0.0025)/100)*(1+Inputs!$B$15/100)*(1+IF(Inputs!$B$38="pvp",0,(1-Summary!$B$56)*(Inputs!$B$20+Skills!P24)+Summary!$B$56*(Inputs!$B$21+Skills!Q24))/100)*(1+Inputs!$B$16/100)*(5000/(6000+Inputs!$B$42*(1-Inputs!$B$19/100)))*(1+Inputs!$B$24/100)*(1+F643/100)*(1+IF(Inputs!$B$3&gt;=120,F646,0)/100)^5*(1+(IF(Skills!A24="BASIC_ATTACK",Inputs!$B$17,(Inputs!$B$18+1)+IF(Inputs!$B$3&gt;=125,F647*5,0)))/100)*(B650*B651*B652*I644)</f>
        <v/>
      </c>
      <c r="L644">
        <f>K644*(MIN(Inputs!$B$22+(F642-Calc!F22),Inputs!$B$23)/100+Inputs!$B$23/100)/2</f>
        <v/>
      </c>
      <c r="M644">
        <f>L644*(1+(Inputs!$B$10+(F641-Calc!F21))/100)</f>
        <v/>
      </c>
      <c r="N644">
        <f>L644*(1-MIN(Inputs!$B$9+(F640-Calc!F20),100)/100)+M644*(MIN(Inputs!$B$9+(F640-Calc!F20),100)/100)</f>
        <v/>
      </c>
      <c r="O644">
        <f>IF(C644,H644*N644*IF(AND(Inputs!$B$38&lt;&gt;"pvp",Inputs!$B$43&gt;0),((Skills!G24*((R644-1)*IF(Skills!H24&gt;0,Skills!I24/Skills!H24,1)+IF(Skills!H24&gt;0,MIN(Skills!I24,MAX(0,Inputs!$B$43-((R644-1)*IF(Inputs!$B$38="pvp",15,MAX(0.1,Skills!E24-IF(Skills!F24=TRUE,Inputs!$B$32,0))))))/Skills!H24,1)))/Inputs!$B$43),G644*Q644)*(1+IF(Inputs!$B$3&gt;=130,0.2*(Skills!I16/Skills!E15+IF(Inputs!$B$3&gt;=126,0.05*(B656+Q633+(H634*B657)/(1+Skills!H14*H634*B657)+Q644),0)*Skills!I16),0))*IF(Inputs!$B$38="pvp",1,(1-Summary!$B$56)*(1)+Summary!$B$56*(MIN(Skills!R24,Inputs!$B$37))),0)</f>
        <v/>
      </c>
      <c r="P644">
        <f>IF(B659=0,0,O644/B659)</f>
        <v/>
      </c>
      <c r="Q644">
        <f>IFERROR(1/IF(Inputs!$B$38="pvp",15,MAX(0.1,Skills!E24-IF(Skills!F24=TRUE,Inputs!$B$32,0))),0)</f>
        <v/>
      </c>
      <c r="R644">
        <f>IF(AND(Inputs!$B$38&lt;&gt;"pvp",Inputs!$B$43&gt;0),(INT(Inputs!$B$43/IF(Inputs!$B$38="pvp",15,MAX(0.1,Skills!E24-IF(Skills!F24=TRUE,Inputs!$B$32,0))))+1),0)</f>
        <v/>
      </c>
    </row>
    <row r="645">
      <c r="A645">
        <f>Skills!A25</f>
        <v/>
      </c>
      <c r="B645">
        <f>Skills!B25</f>
        <v/>
      </c>
      <c r="C645">
        <f>Inputs!$B$3&gt;=117</f>
        <v/>
      </c>
      <c r="D645">
        <f>IF(Skills!C25=1,60+Inputs!$B$25+Inputs!$B$29,IF(Skills!C25=2,90+Inputs!$B$26+Inputs!$B$29,IF(Skills!C25=3,120+Inputs!$B$27+Inputs!$B$29,MAX(0,(Inputs!$B$3-100)*3)+Inputs!$B$28+Inputs!$B$29)))</f>
        <v/>
      </c>
      <c r="E645">
        <f>INDEX(FactorTable!$B$2:$Y$301, MATCH(ROUND(MIN(300,MAX(1,D645)),0), FactorTable!$A$2:$A$301,0), Skills!M25+1)</f>
        <v/>
      </c>
      <c r="F645">
        <f>IF(Skills!N25=TRUE,(Skills!L25/10)*(E645/1000),Skills!L25/10)+Skills!O25</f>
        <v/>
      </c>
      <c r="G645">
        <f>Calc!G25</f>
        <v/>
      </c>
      <c r="H645">
        <f>Calc!H25</f>
        <v/>
      </c>
      <c r="I645">
        <f>IF(Skills!X25&lt;&gt;"",1+(Skills!X25/10)*(Z623/1000)/100,1)</f>
        <v/>
      </c>
      <c r="J645" t="inlineStr"/>
      <c r="K645" t="inlineStr"/>
      <c r="L645" t="inlineStr"/>
      <c r="M645" t="inlineStr"/>
      <c r="N645" t="inlineStr"/>
      <c r="O645" t="n">
        <v>0</v>
      </c>
      <c r="P645">
        <f>IF(B659=0,0,O645/B659)</f>
        <v/>
      </c>
      <c r="Q645">
        <f>IFERROR(1/IF(Inputs!$B$38="pvp",15,MAX(0.1,Skills!E25-IF(Skills!F25=TRUE,Inputs!$B$32,0))),0)</f>
        <v/>
      </c>
      <c r="R645" t="n">
        <v>0</v>
      </c>
    </row>
    <row r="646">
      <c r="A646">
        <f>Skills!A26</f>
        <v/>
      </c>
      <c r="B646">
        <f>Skills!B26</f>
        <v/>
      </c>
      <c r="C646">
        <f>Inputs!$B$3&gt;=120</f>
        <v/>
      </c>
      <c r="D646">
        <f>IF(Skills!C26=1,60+Inputs!$B$25+Inputs!$B$29,IF(Skills!C26=2,90+Inputs!$B$26+Inputs!$B$29,IF(Skills!C26=3,120+Inputs!$B$27+Inputs!$B$29,MAX(0,(Inputs!$B$3-100)*3)+Inputs!$B$28+Inputs!$B$29)))</f>
        <v/>
      </c>
      <c r="E646">
        <f>INDEX(FactorTable!$B$2:$Y$301, MATCH(ROUND(MIN(300,MAX(1,D646)),0), FactorTable!$A$2:$A$301,0), Skills!M26+1)</f>
        <v/>
      </c>
      <c r="F646">
        <f>IF(Skills!N26=TRUE,(Skills!L26/10)*(E646/1000),Skills!L26/10)+Skills!O26</f>
        <v/>
      </c>
      <c r="G646">
        <f>Calc!G26</f>
        <v/>
      </c>
      <c r="H646">
        <f>Calc!H26</f>
        <v/>
      </c>
      <c r="I646">
        <f>IF(Skills!X26&lt;&gt;"",1+(Skills!X26/10)*(Z623/1000)/100,1)</f>
        <v/>
      </c>
      <c r="J646" t="inlineStr"/>
      <c r="K646" t="inlineStr"/>
      <c r="L646" t="inlineStr"/>
      <c r="M646" t="inlineStr"/>
      <c r="N646" t="inlineStr"/>
      <c r="O646" t="n">
        <v>0</v>
      </c>
      <c r="P646">
        <f>IF(B659=0,0,O646/B659)</f>
        <v/>
      </c>
      <c r="Q646">
        <f>IFERROR(1/IF(Inputs!$B$38="pvp",15,MAX(0.1,Skills!E26-IF(Skills!F26=TRUE,Inputs!$B$32,0))),0)</f>
        <v/>
      </c>
      <c r="R646" t="n">
        <v>0</v>
      </c>
    </row>
    <row r="647">
      <c r="A647">
        <f>Skills!A27</f>
        <v/>
      </c>
      <c r="B647">
        <f>Skills!B27</f>
        <v/>
      </c>
      <c r="C647">
        <f>Inputs!$B$3&gt;=125</f>
        <v/>
      </c>
      <c r="D647">
        <f>IF(Skills!C27=1,60+Inputs!$B$25+Inputs!$B$29,IF(Skills!C27=2,90+Inputs!$B$26+Inputs!$B$29,IF(Skills!C27=3,120+Inputs!$B$27+Inputs!$B$29,MAX(0,(Inputs!$B$3-100)*3)+Inputs!$B$28+Inputs!$B$29)))</f>
        <v/>
      </c>
      <c r="E647">
        <f>INDEX(FactorTable!$B$2:$Y$301, MATCH(ROUND(MIN(300,MAX(1,D647)),0), FactorTable!$A$2:$A$301,0), Skills!M27+1)</f>
        <v/>
      </c>
      <c r="F647">
        <f>IF(Skills!N27=TRUE,(Skills!L27/10)*(E647/1000),Skills!L27/10)+Skills!O27</f>
        <v/>
      </c>
      <c r="G647">
        <f>Calc!G27</f>
        <v/>
      </c>
      <c r="H647">
        <f>Calc!H27</f>
        <v/>
      </c>
      <c r="I647">
        <f>IF(Skills!X27&lt;&gt;"",1+(Skills!X27/10)*(Z623/1000)/100,1)</f>
        <v/>
      </c>
      <c r="J647" t="inlineStr"/>
      <c r="K647" t="inlineStr"/>
      <c r="L647" t="inlineStr"/>
      <c r="M647" t="inlineStr"/>
      <c r="N647" t="inlineStr"/>
      <c r="O647" t="n">
        <v>0</v>
      </c>
      <c r="P647">
        <f>IF(B659=0,0,O647/B659)</f>
        <v/>
      </c>
      <c r="Q647">
        <f>IFERROR(1/IF(Inputs!$B$38="pvp",15,MAX(0.1,Skills!E27-IF(Skills!F27=TRUE,Inputs!$B$32,0))),0)</f>
        <v/>
      </c>
      <c r="R647" t="n">
        <v>0</v>
      </c>
    </row>
    <row r="648">
      <c r="A648">
        <f>Skills!A28</f>
        <v/>
      </c>
      <c r="B648">
        <f>Skills!B28</f>
        <v/>
      </c>
      <c r="C648">
        <f>Inputs!$B$3&gt;=118</f>
        <v/>
      </c>
      <c r="D648">
        <f>IF(Skills!C28=1,60+Inputs!$B$25+Inputs!$B$29,IF(Skills!C28=2,90+Inputs!$B$26+Inputs!$B$29,IF(Skills!C28=3,120+Inputs!$B$27+Inputs!$B$29,MAX(0,(Inputs!$B$3-100)*3)+Inputs!$B$28+Inputs!$B$29)))</f>
        <v/>
      </c>
      <c r="E648">
        <f>INDEX(FactorTable!$B$2:$Y$301, MATCH(ROUND(MIN(300,MAX(1,D648)),0), FactorTable!$A$2:$A$301,0), Skills!M28+1)</f>
        <v/>
      </c>
      <c r="F648">
        <f>IF(Skills!N28=TRUE,(Skills!L28/10)*(E648/1000),Skills!L28/10)+Skills!O28</f>
        <v/>
      </c>
      <c r="G648">
        <f>Calc!G28</f>
        <v/>
      </c>
      <c r="H648">
        <f>Calc!H28</f>
        <v/>
      </c>
      <c r="I648">
        <f>IF(Skills!X28&lt;&gt;"",1+(Skills!X28/10)*(Z623/1000)/100,1)</f>
        <v/>
      </c>
      <c r="J648">
        <f>((Inputs!$B$6*(1+Inputs!$B$7/100))+(((Inputs!$B$12*(1+Inputs!$B$13/100))-(Inputs!$B$12*(1+Inputs!$B$13/100)))+0.25*(Inputs!$B$14-Inputs!$B$14))*(1+Inputs!$B$7/100))*(F648/100)</f>
        <v/>
      </c>
      <c r="K648">
        <f>J648*(1+((Inputs!$B$12*(1+Inputs!$B$13/100))*0.01+Inputs!$B$14*0.0025)/100)*(1+Inputs!$B$15/100)*(1+IF(Inputs!$B$38="pvp",0,(1-Summary!$B$56)*(Inputs!$B$20+Skills!P28)+Summary!$B$56*(Inputs!$B$21+Skills!Q28))/100)*(1+Inputs!$B$16/100)*(5000/(6000+Inputs!$B$42*(1-Inputs!$B$19/100)))*(1+Inputs!$B$24/100)*(1+F643/100)*(1+IF(Inputs!$B$3&gt;=120,F646,0)/100)^5*(1+(IF(Skills!A28="BASIC_ATTACK",Inputs!$B$17,(Inputs!$B$18+1)+IF(Inputs!$B$3&gt;=125,F647*5,0)))/100)*(B650*B651*B652*I648)</f>
        <v/>
      </c>
      <c r="L648">
        <f>K648*(MIN(Inputs!$B$22+(F642-Calc!F22),Inputs!$B$23)/100+Inputs!$B$23/100)/2</f>
        <v/>
      </c>
      <c r="M648">
        <f>L648*(1+(Inputs!$B$10+(F641-Calc!F21))/100)</f>
        <v/>
      </c>
      <c r="N648">
        <f>L648*(1-MIN(Inputs!$B$9+(F640-Calc!F20),100)/100)+M648*(MIN(Inputs!$B$9+(F640-Calc!F20),100)/100)</f>
        <v/>
      </c>
      <c r="O648">
        <f>IF(C648,H648*N648*IF(AND(Inputs!$B$38&lt;&gt;"pvp",Inputs!$B$43&gt;0),((Skills!G28*((R648-1)*IF(Skills!H28&gt;0,Skills!I28/Skills!H28,1)+IF(Skills!H28&gt;0,MIN(Skills!I28,MAX(0,Inputs!$B$43-((R648-1)*IF(Inputs!$B$38="pvp",15,MAX(0.1,Skills!E28-IF(Skills!F28=TRUE,Inputs!$B$32,0))))))/Skills!H28,1)))/Inputs!$B$43),G648*Q648)*IF(Inputs!$B$38="pvp",1,(1-Summary!$B$56)*(1)+Summary!$B$56*(MIN(Skills!R28,Inputs!$B$37))),0)</f>
        <v/>
      </c>
      <c r="P648">
        <f>IF(B659=0,0,O648/B659)</f>
        <v/>
      </c>
      <c r="Q648">
        <f>IFERROR(1/IF(Inputs!$B$38="pvp",15,MAX(0.1,Skills!E28-IF(Skills!F28=TRUE,Inputs!$B$32,0))),0)</f>
        <v/>
      </c>
      <c r="R648">
        <f>IF(AND(Inputs!$B$38&lt;&gt;"pvp",Inputs!$B$43&gt;0),(INT(Inputs!$B$43/IF(Inputs!$B$38="pvp",15,MAX(0.1,Skills!E28-IF(Skills!F28=TRUE,Inputs!$B$32,0))))+1),0)</f>
        <v/>
      </c>
    </row>
    <row r="650">
      <c r="A650" t="inlineStr">
        <is>
          <t>Burning Magic Multiplier</t>
        </is>
      </c>
      <c r="B650">
        <f>1+(F631*Skills!Z11)/100</f>
        <v/>
      </c>
    </row>
    <row r="651">
      <c r="A651" t="inlineStr">
        <is>
          <t>Elemental Decrease Multiplier (always-on)</t>
        </is>
      </c>
      <c r="B651">
        <f>1+F632/100</f>
        <v/>
      </c>
    </row>
    <row r="652">
      <c r="A652" t="inlineStr">
        <is>
          <t>Average Buff Multiplier (Magic Guard + Meditation, summed; then Infinity)</t>
        </is>
      </c>
      <c r="B652">
        <f>(1+(F626*IF(AND(Inputs!$B$38&lt;&gt;"pvp",Inputs!$B$43&gt;0),(((R626-1)*(Skills!T6*(1+(Inputs!$B$34+IF(Inputs!$B$3&gt;=117,F645,0))/100))+MIN((Skills!T6*(1+(Inputs!$B$34+IF(Inputs!$B$3&gt;=117,F645,0))/100)),MAX(0,Inputs!$B$43-((R626-1)*Skills!E6))))/Inputs!$B$43),IF(Inputs!$B$38="pvp",MIN((Skills!T6*(1+(Inputs!$B$34+IF(Inputs!$B$3&gt;=117,F645,0))/100)),15)/15,(Skills!T6*(1+(Inputs!$B$34+IF(Inputs!$B$3&gt;=117,F645,0))/100))/Skills!E6))+F637*IF(AND(Inputs!$B$38&lt;&gt;"pvp",Inputs!$B$43&gt;0),(((R637-1)*(Skills!T17*(1+(Inputs!$B$34+IF(Inputs!$B$3&gt;=117,F645,0))/100))+MIN((Skills!T17*(1+(Inputs!$B$34+IF(Inputs!$B$3&gt;=117,F645,0))/100)),MAX(0,Inputs!$B$43-((R637-1)*Skills!E17))))/Inputs!$B$43),IF(Inputs!$B$38="pvp",MIN((Skills!T17*(1+(Inputs!$B$34+IF(Inputs!$B$3&gt;=117,F645,0))/100)),15)/15,(Skills!T17*(1+(Inputs!$B$34+IF(Inputs!$B$3&gt;=117,F645,0))/100))/Skills!E17)))/100)*IF(C639=TRUE,(1+F639*IF(AND(Inputs!$B$38&lt;&gt;"pvp",Inputs!$B$43&gt;0),(((R639-1)*(Skills!T19*(1+(Inputs!$B$34+IF(Inputs!$B$3&gt;=117,F645,0))/100))+MIN((Skills!T19*(1+(Inputs!$B$34+IF(Inputs!$B$3&gt;=117,F645,0))/100)),MAX(0,Inputs!$B$43-((R639-1)*Skills!E19))))/Inputs!$B$43),IF(Inputs!$B$38="pvp",MIN((Skills!T19*(1+(Inputs!$B$34+IF(Inputs!$B$3&gt;=117,F645,0))/100)),15)/15,(Skills!T19*(1+(Inputs!$B$34+IF(Inputs!$B$3&gt;=117,F645,0))/100))/Skills!E19))/100),1)</f>
        <v/>
      </c>
    </row>
    <row r="653">
      <c r="A653" t="inlineStr">
        <is>
          <t>Attack Speed Buff Bonus % (Nimble Feet, averaged)</t>
        </is>
      </c>
      <c r="B653">
        <f>F638*IF(AND(Inputs!$B$38&lt;&gt;"pvp",Inputs!$B$43&gt;0),(((R638-1)*(Skills!T18*(1+(Inputs!$B$34+IF(Inputs!$B$3&gt;=117,F645,0))/100))+MIN((Skills!T18*(1+(Inputs!$B$34+IF(Inputs!$B$3&gt;=117,F645,0))/100)),MAX(0,Inputs!$B$43-((R638-1)*Skills!E18))))/Inputs!$B$43),IF(Inputs!$B$38="pvp",MIN((Skills!T18*(1+(Inputs!$B$34+IF(Inputs!$B$3&gt;=117,F645,0))/100)),15)/15,(Skills!T18*(1+(Inputs!$B$34+IF(Inputs!$B$3&gt;=117,F645,0))/100))/Skills!E18))</f>
        <v/>
      </c>
    </row>
    <row r="654">
      <c r="A654" t="inlineStr">
        <is>
          <t>Actions Per Second</t>
        </is>
      </c>
      <c r="B654">
        <f>1+MIN(150,150*(1-(1-Inputs!$B$11/150)*(1-B653/150)))/100</f>
        <v/>
      </c>
    </row>
    <row r="655">
      <c r="A655" t="inlineStr">
        <is>
          <t>Skill + Buff Cast Rate</t>
        </is>
      </c>
      <c r="B655">
        <f>IF(AND(Inputs!$B$38&lt;&gt;"pvp",Inputs!$B$43&gt;0),SUMPRODUCT((Skills!F2:F28=TRUE)*(C622:C648=TRUE)*R622:R648)/Inputs!$B$43,SUMPRODUCT((Skills!F2:F28=TRUE)*(C622:C648=TRUE)*Q622:Q648))</f>
        <v/>
      </c>
    </row>
    <row r="656">
      <c r="A656" t="inlineStr">
        <is>
          <t>Basic Attacks Per Second</t>
        </is>
      </c>
      <c r="B656">
        <f>MAX(0,B654-B655)</f>
        <v/>
      </c>
    </row>
    <row r="657">
      <c r="A657" t="inlineStr">
        <is>
          <t>Meteor Proc — combined trigger cast rate</t>
        </is>
      </c>
      <c r="B657">
        <f>IF(AND(Inputs!$B$38&lt;&gt;"pvp",Inputs!$B$43&gt;0),SUMPRODUCT((Skills!V2:V28=TRUE)*(C622:C648=TRUE)*R622:R648*Skills!W2:W28)/Inputs!$B$43,SUMPRODUCT((Skills!V2:V28=TRUE)*(C622:C648=TRUE)*Q622:Q648*Skills!W2:W28))+B656</f>
        <v/>
      </c>
    </row>
    <row r="659">
      <c r="A659" s="5" t="inlineStr">
        <is>
          <t>TOTAL DPS</t>
        </is>
      </c>
      <c r="B659" s="5">
        <f>SUM(O622:O648)</f>
        <v/>
      </c>
    </row>
    <row r="662">
      <c r="A662" s="5" t="inlineStr">
        <is>
          <t>Stat: Skill Level Bonus — 1st Job</t>
        </is>
      </c>
    </row>
    <row r="663">
      <c r="A663" s="9" t="inlineStr">
        <is>
          <t>Key</t>
        </is>
      </c>
      <c r="B663" s="9" t="inlineStr">
        <is>
          <t>Name</t>
        </is>
      </c>
      <c r="C663" s="9" t="inlineStr">
        <is>
          <t>Unlocked</t>
        </is>
      </c>
      <c r="D663" s="9" t="inlineStr">
        <is>
          <t>InputLevel</t>
        </is>
      </c>
      <c r="E663" s="9" t="inlineStr">
        <is>
          <t>Factor</t>
        </is>
      </c>
      <c r="F663" s="9" t="inlineStr">
        <is>
          <t>CoefficientPercent</t>
        </is>
      </c>
      <c r="G663" s="9" t="inlineStr">
        <is>
          <t>EffectiveHits</t>
        </is>
      </c>
      <c r="H663" s="9" t="inlineStr">
        <is>
          <t>ProcProbability</t>
        </is>
      </c>
      <c r="I663" s="9" t="inlineStr">
        <is>
          <t>MapleHeroMultiplier</t>
        </is>
      </c>
      <c r="J663" s="9" t="inlineStr">
        <is>
          <t>BaseDamage</t>
        </is>
      </c>
      <c r="K663" s="9" t="inlineStr">
        <is>
          <t>BaseHitDamage</t>
        </is>
      </c>
      <c r="L663" s="9" t="inlineStr">
        <is>
          <t>NonCritAvg</t>
        </is>
      </c>
      <c r="M663" s="9" t="inlineStr">
        <is>
          <t>CritAvg</t>
        </is>
      </c>
      <c r="N663" s="9" t="inlineStr">
        <is>
          <t>ExpectedDamage(perHit)</t>
        </is>
      </c>
      <c r="O663" s="9" t="inlineStr">
        <is>
          <t>DPS</t>
        </is>
      </c>
      <c r="P663" s="9" t="inlineStr">
        <is>
          <t>% of Total</t>
        </is>
      </c>
      <c r="R663" t="inlineStr">
        <is>
          <t>helpers</t>
        </is>
      </c>
    </row>
    <row r="664">
      <c r="A664">
        <f>Skills!A2</f>
        <v/>
      </c>
      <c r="B664">
        <f>Skills!B2</f>
        <v/>
      </c>
      <c r="C664">
        <f>TRUE</f>
        <v/>
      </c>
      <c r="D664" t="inlineStr"/>
      <c r="E664" t="inlineStr"/>
      <c r="F664">
        <f>T666+Skills!O2</f>
        <v/>
      </c>
      <c r="G664">
        <f>Calc!G2</f>
        <v/>
      </c>
      <c r="H664">
        <f>Calc!H2</f>
        <v/>
      </c>
      <c r="I664">
        <f>IF(Skills!X2&lt;&gt;"",1+(Skills!X2/10)*(Z665/1000)/100,1)</f>
        <v/>
      </c>
      <c r="J664">
        <f>((Inputs!$B$6*(1+Inputs!$B$7/100))+(((Inputs!$B$12*(1+Inputs!$B$13/100))-(Inputs!$B$12*(1+Inputs!$B$13/100)))+0.25*(Inputs!$B$14-Inputs!$B$14))*(1+Inputs!$B$7/100))*(F664/100)</f>
        <v/>
      </c>
      <c r="K664">
        <f>J664*(1+((Inputs!$B$12*(1+Inputs!$B$13/100))*0.01+Inputs!$B$14*0.0025)/100)*(1+Inputs!$B$15/100)*(1+IF(Inputs!$B$38="pvp",0,(1-Summary!$B$56)*(Inputs!$B$20+Skills!P2)+Summary!$B$56*(Inputs!$B$21+Skills!Q2))/100)*(1+Inputs!$B$16/100)*(5000/(6000+Inputs!$B$42*(1-Inputs!$B$19/100)))*(1+Inputs!$B$24/100)*(1+F685/100)*(1+IF(Inputs!$B$3&gt;=120,F688,0)/100)^5*(1+(IF(Skills!A2="BASIC_ATTACK",Inputs!$B$17,Inputs!$B$18+IF(Inputs!$B$3&gt;=125,F689*5,0)))/100)*(B692*B693*B694*I664)</f>
        <v/>
      </c>
      <c r="L664">
        <f>K664*(MIN(Inputs!$B$22+(F684-Calc!F22),Inputs!$B$23)/100+Inputs!$B$23/100)/2</f>
        <v/>
      </c>
      <c r="M664">
        <f>L664*(1+(Inputs!$B$10+(F683-Calc!F21))/100)</f>
        <v/>
      </c>
      <c r="N664">
        <f>L664*(1-MIN(Inputs!$B$9+(F682-Calc!F20),100)/100)+M664*(MIN(Inputs!$B$9+(F682-Calc!F20),100)/100)</f>
        <v/>
      </c>
      <c r="O664">
        <f>Skills!G2*N664*B698*IF(Inputs!$B$38="pvp",1,(1-Summary!$B$56)*(1)+Summary!$B$56*(MIN((6+Inputs!$B$33+IF(Inputs!$B$3&gt;=136,1,0)),Inputs!$B$37)))</f>
        <v/>
      </c>
      <c r="P664">
        <f>IF(B701=0,0,O664/B701)</f>
        <v/>
      </c>
      <c r="Q664">
        <f>IFERROR(1/IF(Inputs!$B$38="pvp",15,MAX(0.1,Skills!E2-IF(Skills!F2=TRUE,Inputs!$B$32,0))),0)</f>
        <v/>
      </c>
      <c r="R664" t="n">
        <v>0</v>
      </c>
      <c r="T664">
        <f>MAX(0,(Inputs!$B$3-100)*3)+Inputs!$B$28+Inputs!$B$29</f>
        <v/>
      </c>
      <c r="Z664">
        <f>MAX(0,(Inputs!$B$3-100)*3)+Inputs!$B$28+Inputs!$B$29</f>
        <v/>
      </c>
    </row>
    <row r="665">
      <c r="A665">
        <f>Skills!A3</f>
        <v/>
      </c>
      <c r="B665">
        <f>Skills!B3</f>
        <v/>
      </c>
      <c r="C665">
        <f>TRUE</f>
        <v/>
      </c>
      <c r="D665">
        <f>IF(Skills!C3=1,60+(Inputs!$B$25+1)+Inputs!$B$29,IF(Skills!C3=2,90+Inputs!$B$26+Inputs!$B$29,IF(Skills!C3=3,120+Inputs!$B$27+Inputs!$B$29,MAX(0,(Inputs!$B$3-100)*3)+Inputs!$B$28+Inputs!$B$29)))</f>
        <v/>
      </c>
      <c r="E665">
        <f>INDEX(FactorTable!$B$2:$Y$301, MATCH(ROUND(MIN(300,MAX(1,D665)),0), FactorTable!$A$2:$A$301,0), Skills!M3+1)</f>
        <v/>
      </c>
      <c r="F665">
        <f>IF(Skills!N3=TRUE,(Skills!L3/10)*(E665/1000),Skills!L3/10)+Skills!O3</f>
        <v/>
      </c>
      <c r="G665">
        <f>Calc!G3</f>
        <v/>
      </c>
      <c r="H665">
        <f>Calc!H3</f>
        <v/>
      </c>
      <c r="I665">
        <f>IF(Skills!X3&lt;&gt;"",1+(Skills!X3/10)*(Z665/1000)/100,1)</f>
        <v/>
      </c>
      <c r="J665">
        <f>((Inputs!$B$6*(1+Inputs!$B$7/100))+(((Inputs!$B$12*(1+Inputs!$B$13/100))-(Inputs!$B$12*(1+Inputs!$B$13/100)))+0.25*(Inputs!$B$14-Inputs!$B$14))*(1+Inputs!$B$7/100))*(F665/100)</f>
        <v/>
      </c>
      <c r="K665">
        <f>J665*(1+((Inputs!$B$12*(1+Inputs!$B$13/100))*0.01+Inputs!$B$14*0.0025)/100)*(1+Inputs!$B$15/100)*(1+IF(Inputs!$B$38="pvp",0,(1-Summary!$B$56)*(Inputs!$B$20+Skills!P3)+Summary!$B$56*(Inputs!$B$21+Skills!Q3))/100)*(1+Inputs!$B$16/100)*(5000/(6000+Inputs!$B$42*(1-Inputs!$B$19/100)))*(1+Inputs!$B$24/100)*(1+F685/100)*(1+IF(Inputs!$B$3&gt;=120,F688,0)/100)^5*(1+(IF(Skills!A3="BASIC_ATTACK",Inputs!$B$17,Inputs!$B$18+IF(Inputs!$B$3&gt;=125,F689*5,0)))/100)*(B692*B693*B694*I665)</f>
        <v/>
      </c>
      <c r="L665">
        <f>K665*(MIN(Inputs!$B$22+(F684-Calc!F22),Inputs!$B$23)/100+Inputs!$B$23/100)/2</f>
        <v/>
      </c>
      <c r="M665">
        <f>L665*(1+(Inputs!$B$10+(F683-Calc!F21))/100)</f>
        <v/>
      </c>
      <c r="N665">
        <f>L665*(1-MIN(Inputs!$B$9+(F682-Calc!F20),100)/100)+M665*(MIN(Inputs!$B$9+(F682-Calc!F20),100)/100)</f>
        <v/>
      </c>
      <c r="O665">
        <f>IF(C665,H665*N665*IF(AND(Inputs!$B$38&lt;&gt;"pvp",Inputs!$B$43&gt;0),((Skills!G3*((R665-1)*IF(Skills!H3&gt;0,Skills!I3/Skills!H3,1)+IF(Skills!H3&gt;0,MIN(Skills!I3,MAX(0,Inputs!$B$43-((R665-1)*IF(Inputs!$B$38="pvp",15,MAX(0.1,Skills!E3-IF(Skills!F3=TRUE,Inputs!$B$32,0))))))/Skills!H3,1)))/Inputs!$B$43),G665*Q665)*IF(Inputs!$B$38="pvp",1,(1-Summary!$B$56)*(1)+Summary!$B$56*(MIN(Skills!R3,Inputs!$B$37))),0)</f>
        <v/>
      </c>
      <c r="P665">
        <f>IF(B701=0,0,O665/B701)</f>
        <v/>
      </c>
      <c r="Q665">
        <f>IFERROR(1/IF(Inputs!$B$38="pvp",15,MAX(0.1,Skills!E3-IF(Skills!F3=TRUE,Inputs!$B$32,0))),0)</f>
        <v/>
      </c>
      <c r="R665">
        <f>IF(AND(Inputs!$B$38&lt;&gt;"pvp",Inputs!$B$43&gt;0),(INT(Inputs!$B$43/IF(Inputs!$B$38="pvp",15,MAX(0.1,Skills!E3-IF(Skills!F3=TRUE,Inputs!$B$32,0))))+1),0)</f>
        <v/>
      </c>
      <c r="T665">
        <f>INDEX(FactorTable!$B$2:$Y$301, MATCH(ROUND(MIN(300,MAX(1,T664)),0), FactorTable!$A$2:$A$301,0), 22)</f>
        <v/>
      </c>
      <c r="Z665">
        <f>INDEX(FactorTable!$B$2:$Y$301, MATCH(ROUND(MIN(300,MAX(1,Z664)),0), FactorTable!$A$2:$A$301,0), 24)</f>
        <v/>
      </c>
    </row>
    <row r="666">
      <c r="A666">
        <f>Skills!A4</f>
        <v/>
      </c>
      <c r="B666">
        <f>Skills!B4</f>
        <v/>
      </c>
      <c r="C666">
        <f>TRUE</f>
        <v/>
      </c>
      <c r="D666">
        <f>IF(Skills!C4=1,60+(Inputs!$B$25+1)+Inputs!$B$29,IF(Skills!C4=2,90+Inputs!$B$26+Inputs!$B$29,IF(Skills!C4=3,120+Inputs!$B$27+Inputs!$B$29,MAX(0,(Inputs!$B$3-100)*3)+Inputs!$B$28+Inputs!$B$29)))</f>
        <v/>
      </c>
      <c r="E666">
        <f>INDEX(FactorTable!$B$2:$Y$301, MATCH(ROUND(MIN(300,MAX(1,D666)),0), FactorTable!$A$2:$A$301,0), Skills!M4+1)</f>
        <v/>
      </c>
      <c r="F666">
        <f>IF(Skills!N4=TRUE,(Skills!L4/10)*(E666/1000),Skills!L4/10)+Skills!O4</f>
        <v/>
      </c>
      <c r="G666">
        <f>Calc!G4</f>
        <v/>
      </c>
      <c r="H666">
        <f>Calc!H4</f>
        <v/>
      </c>
      <c r="I666">
        <f>IF(Skills!X4&lt;&gt;"",1+(Skills!X4/10)*(Z665/1000)/100,1)</f>
        <v/>
      </c>
      <c r="J666">
        <f>((Inputs!$B$6*(1+Inputs!$B$7/100))+(((Inputs!$B$12*(1+Inputs!$B$13/100))-(Inputs!$B$12*(1+Inputs!$B$13/100)))+0.25*(Inputs!$B$14-Inputs!$B$14))*(1+Inputs!$B$7/100))*(F666/100)</f>
        <v/>
      </c>
      <c r="K666">
        <f>J666*(1+((Inputs!$B$12*(1+Inputs!$B$13/100))*0.01+Inputs!$B$14*0.0025)/100)*(1+Inputs!$B$15/100)*(1+IF(Inputs!$B$38="pvp",0,(1-Summary!$B$56)*(Inputs!$B$20+Skills!P4)+Summary!$B$56*(Inputs!$B$21+Skills!Q4))/100)*(1+Inputs!$B$16/100)*(5000/(6000+Inputs!$B$42*(1-Inputs!$B$19/100)))*(1+Inputs!$B$24/100)*(1+F685/100)*(1+IF(Inputs!$B$3&gt;=120,F688,0)/100)^5*(1+(IF(Skills!A4="BASIC_ATTACK",Inputs!$B$17,Inputs!$B$18+IF(Inputs!$B$3&gt;=125,F689*5,0)))/100)*(B692*B693*B694*I666)</f>
        <v/>
      </c>
      <c r="L666">
        <f>K666*(MIN(Inputs!$B$22+(F684-Calc!F22),Inputs!$B$23)/100+Inputs!$B$23/100)/2</f>
        <v/>
      </c>
      <c r="M666">
        <f>L666*(1+(Inputs!$B$10+(F683-Calc!F21))/100)</f>
        <v/>
      </c>
      <c r="N666">
        <f>L666*(1-MIN(Inputs!$B$9+(F682-Calc!F20),100)/100)+M666*(MIN(Inputs!$B$9+(F682-Calc!F20),100)/100)</f>
        <v/>
      </c>
      <c r="O666">
        <f>IF(C666,H666*N666*IF(AND(Inputs!$B$38&lt;&gt;"pvp",Inputs!$B$43&gt;0),((Skills!G4*((R666-1)*IF(Skills!H4&gt;0,Skills!I4/Skills!H4,1)+IF(Skills!H4&gt;0,MIN(Skills!I4,MAX(0,Inputs!$B$43-((R666-1)*IF(Inputs!$B$38="pvp",15,MAX(0.1,Skills!E4-IF(Skills!F4=TRUE,Inputs!$B$32,0))))))/Skills!H4,1)))/Inputs!$B$43),G666*Q666)*IF(Inputs!$B$38="pvp",1,(1-Summary!$B$56)*(1)+Summary!$B$56*(MIN(Skills!R4,Inputs!$B$37))),0)</f>
        <v/>
      </c>
      <c r="P666">
        <f>IF(B701=0,0,O666/B701)</f>
        <v/>
      </c>
      <c r="Q666">
        <f>IFERROR(1/IF(Inputs!$B$38="pvp",15,MAX(0.1,Skills!E4-IF(Skills!F4=TRUE,Inputs!$B$32,0))),0)</f>
        <v/>
      </c>
      <c r="R666">
        <f>IF(AND(Inputs!$B$38&lt;&gt;"pvp",Inputs!$B$43&gt;0),(INT(Inputs!$B$43/IF(Inputs!$B$38="pvp",15,MAX(0.1,Skills!E4-IF(Skills!F4=TRUE,Inputs!$B$32,0))))+1),0)</f>
        <v/>
      </c>
      <c r="T666">
        <f>290*T665/1000</f>
        <v/>
      </c>
    </row>
    <row r="667">
      <c r="A667">
        <f>Skills!A5</f>
        <v/>
      </c>
      <c r="B667">
        <f>Skills!B5</f>
        <v/>
      </c>
      <c r="C667">
        <f>TRUE</f>
        <v/>
      </c>
      <c r="D667">
        <f>IF(Skills!C5=1,60+(Inputs!$B$25+1)+Inputs!$B$29,IF(Skills!C5=2,90+Inputs!$B$26+Inputs!$B$29,IF(Skills!C5=3,120+Inputs!$B$27+Inputs!$B$29,MAX(0,(Inputs!$B$3-100)*3)+Inputs!$B$28+Inputs!$B$29)))</f>
        <v/>
      </c>
      <c r="E667">
        <f>INDEX(FactorTable!$B$2:$Y$301, MATCH(ROUND(MIN(300,MAX(1,D667)),0), FactorTable!$A$2:$A$301,0), Skills!M5+1)</f>
        <v/>
      </c>
      <c r="F667">
        <f>IF(Skills!N5=TRUE,(Skills!L5/10)*(E667/1000),Skills!L5/10)+Skills!O5</f>
        <v/>
      </c>
      <c r="G667">
        <f>Calc!G5</f>
        <v/>
      </c>
      <c r="H667">
        <f>Calc!H5</f>
        <v/>
      </c>
      <c r="I667">
        <f>IF(Skills!X5&lt;&gt;"",1+(Skills!X5/10)*(Z665/1000)/100,1)</f>
        <v/>
      </c>
      <c r="J667">
        <f>((Inputs!$B$6*(1+Inputs!$B$7/100))+(((Inputs!$B$12*(1+Inputs!$B$13/100))-(Inputs!$B$12*(1+Inputs!$B$13/100)))+0.25*(Inputs!$B$14-Inputs!$B$14))*(1+Inputs!$B$7/100))*(F667/100)</f>
        <v/>
      </c>
      <c r="K667">
        <f>J667*(1+((Inputs!$B$12*(1+Inputs!$B$13/100))*0.01+Inputs!$B$14*0.0025)/100)*(1+Inputs!$B$15/100)*(1+IF(Inputs!$B$38="pvp",0,(1-Summary!$B$56)*(Inputs!$B$20+Skills!P5)+Summary!$B$56*(Inputs!$B$21+Skills!Q5))/100)*(1+Inputs!$B$16/100)*(5000/(6000+Inputs!$B$42*(1-Inputs!$B$19/100)))*(1+Inputs!$B$24/100)*(1+F685/100)*(1+IF(Inputs!$B$3&gt;=120,F688,0)/100)^5*(1+(IF(Skills!A5="BASIC_ATTACK",Inputs!$B$17,Inputs!$B$18+IF(Inputs!$B$3&gt;=125,F689*5,0)))/100)*(B692*B693*B694*I667)</f>
        <v/>
      </c>
      <c r="L667">
        <f>K667*(MIN(Inputs!$B$22+(F684-Calc!F22),Inputs!$B$23)/100+Inputs!$B$23/100)/2</f>
        <v/>
      </c>
      <c r="M667">
        <f>L667*(1+(Inputs!$B$10+(F683-Calc!F21))/100)</f>
        <v/>
      </c>
      <c r="N667">
        <f>L667*(1-MIN(Inputs!$B$9+(F682-Calc!F20),100)/100)+M667*(MIN(Inputs!$B$9+(F682-Calc!F20),100)/100)</f>
        <v/>
      </c>
      <c r="O667">
        <f>IF(C667,H667*N667*IF(AND(Inputs!$B$38&lt;&gt;"pvp",Inputs!$B$43&gt;0),((Skills!G5*((R667-1)*IF(Skills!H5&gt;0,Skills!I5/Skills!H5,1)+IF(Skills!H5&gt;0,MIN(Skills!I5,MAX(0,Inputs!$B$43-((R667-1)*IF(Inputs!$B$38="pvp",15,MAX(0.1,Skills!E5-IF(Skills!F5=TRUE,Inputs!$B$32,0))))))/Skills!H5,1)))/Inputs!$B$43),G667*Q667)*IF(Inputs!$B$38="pvp",1,(1-Summary!$B$56)*(1)+Summary!$B$56*(MIN(Skills!R5,Inputs!$B$37))),0)</f>
        <v/>
      </c>
      <c r="P667">
        <f>IF(B701=0,0,O667/B701)</f>
        <v/>
      </c>
      <c r="Q667">
        <f>IFERROR(1/IF(Inputs!$B$38="pvp",15,MAX(0.1,Skills!E5-IF(Skills!F5=TRUE,Inputs!$B$32,0))),0)</f>
        <v/>
      </c>
      <c r="R667">
        <f>IF(AND(Inputs!$B$38&lt;&gt;"pvp",Inputs!$B$43&gt;0),(INT(Inputs!$B$43/IF(Inputs!$B$38="pvp",15,MAX(0.1,Skills!E5-IF(Skills!F5=TRUE,Inputs!$B$32,0))))+1),0)</f>
        <v/>
      </c>
    </row>
    <row r="668">
      <c r="A668">
        <f>Skills!A6</f>
        <v/>
      </c>
      <c r="B668">
        <f>Skills!B6</f>
        <v/>
      </c>
      <c r="C668">
        <f>TRUE</f>
        <v/>
      </c>
      <c r="D668">
        <f>IF(Skills!C6=1,60+(Inputs!$B$25+1)+Inputs!$B$29,IF(Skills!C6=2,90+Inputs!$B$26+Inputs!$B$29,IF(Skills!C6=3,120+Inputs!$B$27+Inputs!$B$29,MAX(0,(Inputs!$B$3-100)*3)+Inputs!$B$28+Inputs!$B$29)))</f>
        <v/>
      </c>
      <c r="E668">
        <f>INDEX(FactorTable!$B$2:$Y$301, MATCH(ROUND(MIN(300,MAX(1,D668)),0), FactorTable!$A$2:$A$301,0), Skills!M6+1)</f>
        <v/>
      </c>
      <c r="F668">
        <f>IF(Skills!N6=TRUE,(Skills!L6/10)*(E668/1000),Skills!L6/10)+Skills!O6</f>
        <v/>
      </c>
      <c r="G668">
        <f>Calc!G6</f>
        <v/>
      </c>
      <c r="H668">
        <f>Calc!H6</f>
        <v/>
      </c>
      <c r="I668">
        <f>IF(Skills!X6&lt;&gt;"",1+(Skills!X6/10)*(Z665/1000)/100,1)</f>
        <v/>
      </c>
      <c r="J668" t="inlineStr"/>
      <c r="K668" t="inlineStr"/>
      <c r="L668" t="inlineStr"/>
      <c r="M668" t="inlineStr"/>
      <c r="N668" t="inlineStr"/>
      <c r="O668" t="n">
        <v>0</v>
      </c>
      <c r="P668">
        <f>IF(B701=0,0,O668/B701)</f>
        <v/>
      </c>
      <c r="Q668">
        <f>IFERROR(1/IF(Inputs!$B$38="pvp",15,MAX(0.1,Skills!E6-IF(Skills!F6=TRUE,Inputs!$B$32,0))),0)</f>
        <v/>
      </c>
      <c r="R668">
        <f>IF(AND(Inputs!$B$38&lt;&gt;"pvp",Inputs!$B$43&gt;0),(INT(Inputs!$B$43/IF(Inputs!$B$38="pvp",15,MAX(0.1,Skills!E6-IF(Skills!F6=TRUE,Inputs!$B$32,0))))+1),0)</f>
        <v/>
      </c>
    </row>
    <row r="669">
      <c r="A669">
        <f>Skills!A7</f>
        <v/>
      </c>
      <c r="B669">
        <f>Skills!B7</f>
        <v/>
      </c>
      <c r="C669">
        <f>TRUE</f>
        <v/>
      </c>
      <c r="D669">
        <f>IF(Skills!C7=1,60+(Inputs!$B$25+1)+Inputs!$B$29,IF(Skills!C7=2,90+Inputs!$B$26+Inputs!$B$29,IF(Skills!C7=3,120+Inputs!$B$27+Inputs!$B$29,MAX(0,(Inputs!$B$3-100)*3)+Inputs!$B$28+Inputs!$B$29)))</f>
        <v/>
      </c>
      <c r="E669">
        <f>INDEX(FactorTable!$B$2:$Y$301, MATCH(ROUND(MIN(300,MAX(1,D669)),0), FactorTable!$A$2:$A$301,0), Skills!M7+1)</f>
        <v/>
      </c>
      <c r="F669">
        <f>IF(Skills!N7=TRUE,(Skills!L7/10)*(E669/1000),Skills!L7/10)+Skills!O7</f>
        <v/>
      </c>
      <c r="G669">
        <f>Calc!G7</f>
        <v/>
      </c>
      <c r="H669">
        <f>Calc!H7</f>
        <v/>
      </c>
      <c r="I669">
        <f>IF(Skills!X7&lt;&gt;"",1+(Skills!X7/10)*(Z665/1000)/100,1)</f>
        <v/>
      </c>
      <c r="J669">
        <f>((Inputs!$B$6*(1+Inputs!$B$7/100))+(((Inputs!$B$12*(1+Inputs!$B$13/100))-(Inputs!$B$12*(1+Inputs!$B$13/100)))+0.25*(Inputs!$B$14-Inputs!$B$14))*(1+Inputs!$B$7/100))*(F669/100)</f>
        <v/>
      </c>
      <c r="K669">
        <f>J669*(1+((Inputs!$B$12*(1+Inputs!$B$13/100))*0.01+Inputs!$B$14*0.0025)/100)*(1+Inputs!$B$15/100)*(1+IF(Inputs!$B$38="pvp",0,(1-Summary!$B$56)*(Inputs!$B$20+Skills!P7)+Summary!$B$56*(Inputs!$B$21+Skills!Q7))/100)*(1+Inputs!$B$16/100)*(5000/(6000+Inputs!$B$42*(1-Inputs!$B$19/100)))*(1+Inputs!$B$24/100)*(1+F685/100)*(1+IF(Inputs!$B$3&gt;=120,F688,0)/100)^5*(1+(IF(Skills!A7="BASIC_ATTACK",Inputs!$B$17,Inputs!$B$18+IF(Inputs!$B$3&gt;=125,F689*5,0)))/100)*(B692*B693*B694*I669)</f>
        <v/>
      </c>
      <c r="L669">
        <f>K669*(MIN(Inputs!$B$22+(F684-Calc!F22),Inputs!$B$23)/100+Inputs!$B$23/100)/2</f>
        <v/>
      </c>
      <c r="M669">
        <f>L669*(1+(Inputs!$B$10+(F683-Calc!F21))/100)</f>
        <v/>
      </c>
      <c r="N669">
        <f>L669*(1-MIN(Inputs!$B$9+(F682-Calc!F20),100)/100)+M669*(MIN(Inputs!$B$9+(F682-Calc!F20),100)/100)</f>
        <v/>
      </c>
      <c r="O669">
        <f>IF(C669,H669*N669*IF(AND(Inputs!$B$38&lt;&gt;"pvp",Inputs!$B$43&gt;0),((Skills!G7*((R669-1)*IF(Skills!H7&gt;0,Skills!I7/Skills!H7,1)+IF(Skills!H7&gt;0,MIN(Skills!I7,MAX(0,Inputs!$B$43-((R669-1)*IF(Inputs!$B$38="pvp",15,MAX(0.1,Skills!E7-IF(Skills!F7=TRUE,Inputs!$B$32,0))))))/Skills!H7,1)))/Inputs!$B$43),G669*Q669)*IF(Inputs!$B$38="pvp",1,(1-Summary!$B$56)*(1)+Summary!$B$56*(MIN(Skills!R7,Inputs!$B$37))),0)</f>
        <v/>
      </c>
      <c r="P669">
        <f>IF(B701=0,0,O669/B701)</f>
        <v/>
      </c>
      <c r="Q669">
        <f>IFERROR(1/IF(Inputs!$B$38="pvp",15,MAX(0.1,Skills!E7-IF(Skills!F7=TRUE,Inputs!$B$32,0))),0)</f>
        <v/>
      </c>
      <c r="R669">
        <f>IF(AND(Inputs!$B$38&lt;&gt;"pvp",Inputs!$B$43&gt;0),(INT(Inputs!$B$43/IF(Inputs!$B$38="pvp",15,MAX(0.1,Skills!E7-IF(Skills!F7=TRUE,Inputs!$B$32,0))))+1),0)</f>
        <v/>
      </c>
    </row>
    <row r="670">
      <c r="A670">
        <f>Skills!A8</f>
        <v/>
      </c>
      <c r="B670">
        <f>Skills!B8</f>
        <v/>
      </c>
      <c r="C670">
        <f>TRUE</f>
        <v/>
      </c>
      <c r="D670">
        <f>IF(Skills!C8=1,60+(Inputs!$B$25+1)+Inputs!$B$29,IF(Skills!C8=2,90+Inputs!$B$26+Inputs!$B$29,IF(Skills!C8=3,120+Inputs!$B$27+Inputs!$B$29,MAX(0,(Inputs!$B$3-100)*3)+Inputs!$B$28+Inputs!$B$29)))</f>
        <v/>
      </c>
      <c r="E670">
        <f>INDEX(FactorTable!$B$2:$Y$301, MATCH(ROUND(MIN(300,MAX(1,D670)),0), FactorTable!$A$2:$A$301,0), Skills!M8+1)</f>
        <v/>
      </c>
      <c r="F670">
        <f>IF(Skills!N8=TRUE,(Skills!L8/10)*(E670/1000),Skills!L8/10)+Skills!O8</f>
        <v/>
      </c>
      <c r="G670">
        <f>Calc!G8</f>
        <v/>
      </c>
      <c r="H670">
        <f>Calc!H8</f>
        <v/>
      </c>
      <c r="I670">
        <f>IF(Skills!X8&lt;&gt;"",1+(Skills!X8/10)*(Z665/1000)/100,1)</f>
        <v/>
      </c>
      <c r="J670">
        <f>((Inputs!$B$6*(1+Inputs!$B$7/100))+(((Inputs!$B$12*(1+Inputs!$B$13/100))-(Inputs!$B$12*(1+Inputs!$B$13/100)))+0.25*(Inputs!$B$14-Inputs!$B$14))*(1+Inputs!$B$7/100))*(F670/100)</f>
        <v/>
      </c>
      <c r="K670">
        <f>J670*(1+((Inputs!$B$12*(1+Inputs!$B$13/100))*0.01+Inputs!$B$14*0.0025)/100)*(1+Inputs!$B$15/100)*(1+IF(Inputs!$B$38="pvp",0,(1-Summary!$B$56)*(Inputs!$B$20+Skills!P8)+Summary!$B$56*(Inputs!$B$21+Skills!Q8))/100)*(1+Inputs!$B$16/100)*(5000/(6000+Inputs!$B$42*(1-Inputs!$B$19/100)))*(1+Inputs!$B$24/100)*(1+F685/100)*(1+IF(Inputs!$B$3&gt;=120,F688,0)/100)^5*(1+(IF(Skills!A8="BASIC_ATTACK",Inputs!$B$17,Inputs!$B$18+IF(Inputs!$B$3&gt;=125,F689*5,0)))/100)*(B692*B693*B694*I670)</f>
        <v/>
      </c>
      <c r="L670">
        <f>K670*(MIN(Inputs!$B$22+(F684-Calc!F22),Inputs!$B$23)/100+Inputs!$B$23/100)/2</f>
        <v/>
      </c>
      <c r="M670">
        <f>L670*(1+(Inputs!$B$10+(F683-Calc!F21))/100)</f>
        <v/>
      </c>
      <c r="N670">
        <f>L670*(1-MIN(Inputs!$B$9+(F682-Calc!F20),100)/100)+M670*(MIN(Inputs!$B$9+(F682-Calc!F20),100)/100)</f>
        <v/>
      </c>
      <c r="O670">
        <f>IF(C670,H670*N670*IF(AND(Inputs!$B$38&lt;&gt;"pvp",Inputs!$B$43&gt;0),((Skills!G8*((R670-1)*IF(Skills!H8&gt;0,Skills!I8/Skills!H8,1)+IF(Skills!H8&gt;0,MIN(Skills!I8,MAX(0,Inputs!$B$43-((R670-1)*IF(Inputs!$B$38="pvp",15,MAX(0.1,Skills!E8-IF(Skills!F8=TRUE,Inputs!$B$32,0))))))/Skills!H8,1)))/Inputs!$B$43),G670*Q670)*IF(Inputs!$B$38="pvp",1,(1-Summary!$B$56)*(1)+Summary!$B$56*(MIN(Skills!R8,Inputs!$B$37))),0)</f>
        <v/>
      </c>
      <c r="P670">
        <f>IF(B701=0,0,O670/B701)</f>
        <v/>
      </c>
      <c r="Q670">
        <f>IFERROR(1/IF(Inputs!$B$38="pvp",15,MAX(0.1,Skills!E8-IF(Skills!F8=TRUE,Inputs!$B$32,0))),0)</f>
        <v/>
      </c>
      <c r="R670">
        <f>IF(AND(Inputs!$B$38&lt;&gt;"pvp",Inputs!$B$43&gt;0),(INT(Inputs!$B$43/IF(Inputs!$B$38="pvp",15,MAX(0.1,Skills!E8-IF(Skills!F8=TRUE,Inputs!$B$32,0))))+1),0)</f>
        <v/>
      </c>
    </row>
    <row r="671">
      <c r="A671">
        <f>Skills!A9</f>
        <v/>
      </c>
      <c r="B671">
        <f>Skills!B9</f>
        <v/>
      </c>
      <c r="C671">
        <f>Inputs!$B$3&gt;=103</f>
        <v/>
      </c>
      <c r="D671">
        <f>IF(Skills!C9=1,60+(Inputs!$B$25+1)+Inputs!$B$29,IF(Skills!C9=2,90+Inputs!$B$26+Inputs!$B$29,IF(Skills!C9=3,120+Inputs!$B$27+Inputs!$B$29,MAX(0,(Inputs!$B$3-100)*3)+Inputs!$B$28+Inputs!$B$29)))</f>
        <v/>
      </c>
      <c r="E671">
        <f>INDEX(FactorTable!$B$2:$Y$301, MATCH(ROUND(MIN(300,MAX(1,D671)),0), FactorTable!$A$2:$A$301,0), Skills!M9+1)</f>
        <v/>
      </c>
      <c r="F671">
        <f>IF(Skills!N9=TRUE,(Skills!L9/10)*(E671/1000),Skills!L9/10)+Skills!O9</f>
        <v/>
      </c>
      <c r="G671">
        <f>Calc!G9</f>
        <v/>
      </c>
      <c r="H671">
        <f>Calc!H9</f>
        <v/>
      </c>
      <c r="I671">
        <f>IF(Skills!X9&lt;&gt;"",1+(Skills!X9/10)*(Z665/1000)/100,1)</f>
        <v/>
      </c>
      <c r="J671">
        <f>((Inputs!$B$6*(1+Inputs!$B$7/100))+(((Inputs!$B$12*(1+Inputs!$B$13/100))-(Inputs!$B$12*(1+Inputs!$B$13/100)))+0.25*(Inputs!$B$14-Inputs!$B$14))*(1+Inputs!$B$7/100))*(F671/100)</f>
        <v/>
      </c>
      <c r="K671">
        <f>J671*(1+((Inputs!$B$12*(1+Inputs!$B$13/100))*0.01+Inputs!$B$14*0.0025)/100)*(1+Inputs!$B$15/100)*(1+IF(Inputs!$B$38="pvp",0,(1-Summary!$B$56)*(Inputs!$B$20+Skills!P9)+Summary!$B$56*(Inputs!$B$21+Skills!Q9))/100)*(1+Inputs!$B$16/100)*(5000/(6000+Inputs!$B$42*(1-Inputs!$B$19/100)))*(1+Inputs!$B$24/100)*(1+F685/100)*(1+IF(Inputs!$B$3&gt;=120,F688,0)/100)^5*(1+(IF(Skills!A9="BASIC_ATTACK",Inputs!$B$17,Inputs!$B$18+IF(Inputs!$B$3&gt;=125,F689*5,0)))/100)*(B692*B693*B694*I671)</f>
        <v/>
      </c>
      <c r="L671">
        <f>K671*(MIN(Inputs!$B$22+(F684-Calc!F22),Inputs!$B$23)/100+Inputs!$B$23/100)/2</f>
        <v/>
      </c>
      <c r="M671">
        <f>L671*(1+(Inputs!$B$10+(F683-Calc!F21))/100)</f>
        <v/>
      </c>
      <c r="N671">
        <f>L671*(1-MIN(Inputs!$B$9+(F682-Calc!F20),100)/100)+M671*(MIN(Inputs!$B$9+(F682-Calc!F20),100)/100)</f>
        <v/>
      </c>
      <c r="O671">
        <f>IF(C671,H671*N671*IF(AND(Inputs!$B$38&lt;&gt;"pvp",Inputs!$B$43&gt;0),((Skills!G9*((R671-1)*IF(Skills!H9&gt;0,Skills!I9/Skills!H9,1)+IF(Skills!H9&gt;0,MIN(Skills!I9,MAX(0,Inputs!$B$43-((R671-1)*IF(Inputs!$B$38="pvp",15,MAX(0.1,Skills!E9-IF(Skills!F7=TRUE,Inputs!$B$32,0))))))/Skills!H9,1)))/Inputs!$B$43),G671*Q671)*IF(Inputs!$B$38="pvp",1,(1-Summary!$B$56)*(1)+Summary!$B$56*(MIN(Skills!R9,Inputs!$B$37))),0)</f>
        <v/>
      </c>
      <c r="P671">
        <f>IF(B701=0,0,O671/B701)</f>
        <v/>
      </c>
      <c r="Q671">
        <f>IFERROR(1/IF(Inputs!$B$38="pvp",15,MAX(0.1,Skills!E9-IF(Skills!F7=TRUE,Inputs!$B$32,0))),0)</f>
        <v/>
      </c>
      <c r="R671">
        <f>IF(AND(Inputs!$B$38&lt;&gt;"pvp",Inputs!$B$43&gt;0),(INT(Inputs!$B$43/IF(Inputs!$B$38="pvp",15,MAX(0.1,Skills!E9-IF(Skills!F7=TRUE,Inputs!$B$32,0))))+1),0)</f>
        <v/>
      </c>
    </row>
    <row r="672">
      <c r="A672">
        <f>Skills!A10</f>
        <v/>
      </c>
      <c r="B672">
        <f>Skills!B10</f>
        <v/>
      </c>
      <c r="C672">
        <f>TRUE</f>
        <v/>
      </c>
      <c r="D672">
        <f>IF(Skills!C10=1,60+(Inputs!$B$25+1)+Inputs!$B$29,IF(Skills!C10=2,90+Inputs!$B$26+Inputs!$B$29,IF(Skills!C10=3,120+Inputs!$B$27+Inputs!$B$29,MAX(0,(Inputs!$B$3-100)*3)+Inputs!$B$28+Inputs!$B$29)))</f>
        <v/>
      </c>
      <c r="E672">
        <f>INDEX(FactorTable!$B$2:$Y$301, MATCH(ROUND(MIN(300,MAX(1,D672)),0), FactorTable!$A$2:$A$301,0), Skills!M10+1)</f>
        <v/>
      </c>
      <c r="F672">
        <f>IF(Skills!N10=TRUE,(Skills!L10/10)*(E672/1000),Skills!L10/10)+Skills!O10</f>
        <v/>
      </c>
      <c r="G672">
        <f>Calc!G10</f>
        <v/>
      </c>
      <c r="H672">
        <f>Calc!H10</f>
        <v/>
      </c>
      <c r="I672">
        <f>IF(Skills!X10&lt;&gt;"",1+(Skills!X10/10)*(Z665/1000)/100,1)</f>
        <v/>
      </c>
      <c r="J672">
        <f>((Inputs!$B$6*(1+Inputs!$B$7/100))+(((Inputs!$B$12*(1+Inputs!$B$13/100))-(Inputs!$B$12*(1+Inputs!$B$13/100)))+0.25*(Inputs!$B$14-Inputs!$B$14))*(1+Inputs!$B$7/100))*(F672/100)</f>
        <v/>
      </c>
      <c r="K672">
        <f>J672*(1+((Inputs!$B$12*(1+Inputs!$B$13/100))*0.01+Inputs!$B$14*0.0025)/100)*(1+Inputs!$B$15/100)*(1+IF(Inputs!$B$38="pvp",0,(1-Summary!$B$56)*(Inputs!$B$20+Skills!P10)+Summary!$B$56*(Inputs!$B$21+Skills!Q10))/100)*(1+Inputs!$B$16/100)*(5000/(6000+Inputs!$B$42*(1-Inputs!$B$19/100)))*(1+Inputs!$B$24/100)*(1+F685/100)*(1+IF(Inputs!$B$3&gt;=120,F688,0)/100)^5*(1+(IF(Skills!A10="BASIC_ATTACK",Inputs!$B$17,Inputs!$B$18+IF(Inputs!$B$3&gt;=125,F689*5,0)))/100)*(B692*B693*B694*I672)</f>
        <v/>
      </c>
      <c r="L672">
        <f>K672*(MIN(Inputs!$B$22+(F684-Calc!F22),Inputs!$B$23)/100+Inputs!$B$23/100)/2</f>
        <v/>
      </c>
      <c r="M672">
        <f>L672*(1+(Inputs!$B$10+(F683-Calc!F21))/100)</f>
        <v/>
      </c>
      <c r="N672">
        <f>L672*(1-MIN(Inputs!$B$9+(F682-Calc!F20),100)/100)+M672*(MIN(Inputs!$B$9+(F682-Calc!F20),100)/100)</f>
        <v/>
      </c>
      <c r="O672">
        <f>IF(C672,H672*N672*IF(AND(Inputs!$B$38&lt;&gt;"pvp",Inputs!$B$43&gt;0),((Skills!G10*((R672-1)*IF(Skills!H10&gt;0,Skills!I10/Skills!H10,1)+IF(Skills!H10&gt;0,MIN(Skills!I10,MAX(0,Inputs!$B$43-((R672-1)*IF(Inputs!$B$38="pvp",15,MAX(0.1,Skills!E10-IF(Skills!F10=TRUE,Inputs!$B$32,0))))))/Skills!H10,1)))/Inputs!$B$43),G672*Q672)*IF(Inputs!$B$38="pvp",1,(1-Summary!$B$56)*(1)+Summary!$B$56*(MIN(Skills!R10,Inputs!$B$37))),0)</f>
        <v/>
      </c>
      <c r="P672">
        <f>IF(B701=0,0,O672/B701)</f>
        <v/>
      </c>
      <c r="Q672">
        <f>IFERROR(1/IF(Inputs!$B$38="pvp",15,MAX(0.1,Skills!E10-IF(Skills!F10=TRUE,Inputs!$B$32,0))),0)</f>
        <v/>
      </c>
      <c r="R672">
        <f>IF(AND(Inputs!$B$38&lt;&gt;"pvp",Inputs!$B$43&gt;0),(INT(Inputs!$B$43/IF(Inputs!$B$38="pvp",15,MAX(0.1,Skills!E10-IF(Skills!F10=TRUE,Inputs!$B$32,0))))+1),0)</f>
        <v/>
      </c>
    </row>
    <row r="673">
      <c r="A673">
        <f>Skills!A11</f>
        <v/>
      </c>
      <c r="B673">
        <f>Skills!B11</f>
        <v/>
      </c>
      <c r="C673">
        <f>TRUE</f>
        <v/>
      </c>
      <c r="D673">
        <f>IF(Skills!C11=1,60+(Inputs!$B$25+1)+Inputs!$B$29,IF(Skills!C11=2,90+Inputs!$B$26+Inputs!$B$29,IF(Skills!C11=3,120+Inputs!$B$27+Inputs!$B$29,MAX(0,(Inputs!$B$3-100)*3)+Inputs!$B$28+Inputs!$B$29)))</f>
        <v/>
      </c>
      <c r="E673">
        <f>INDEX(FactorTable!$B$2:$Y$301, MATCH(ROUND(MIN(300,MAX(1,D673)),0), FactorTable!$A$2:$A$301,0), Skills!M11+1)</f>
        <v/>
      </c>
      <c r="F673">
        <f>IF(Skills!N11=TRUE,(Skills!L11/10)*(E673/1000),Skills!L11/10)+Skills!O11</f>
        <v/>
      </c>
      <c r="G673">
        <f>Calc!G11</f>
        <v/>
      </c>
      <c r="H673">
        <f>Calc!H11</f>
        <v/>
      </c>
      <c r="I673">
        <f>IF(Skills!X11&lt;&gt;"",1+(Skills!X11/10)*(Z665/1000)/100,1)</f>
        <v/>
      </c>
      <c r="J673" t="inlineStr"/>
      <c r="K673" t="inlineStr"/>
      <c r="L673" t="inlineStr"/>
      <c r="M673" t="inlineStr"/>
      <c r="N673" t="inlineStr"/>
      <c r="O673" t="n">
        <v>0</v>
      </c>
      <c r="P673">
        <f>IF(B701=0,0,O673/B701)</f>
        <v/>
      </c>
      <c r="Q673">
        <f>IFERROR(1/IF(Inputs!$B$38="pvp",15,MAX(0.1,Skills!E11-IF(Skills!F11=TRUE,Inputs!$B$32,0))),0)</f>
        <v/>
      </c>
      <c r="R673" t="n">
        <v>0</v>
      </c>
    </row>
    <row r="674">
      <c r="A674">
        <f>Skills!A12</f>
        <v/>
      </c>
      <c r="B674">
        <f>Skills!B12</f>
        <v/>
      </c>
      <c r="C674">
        <f>TRUE</f>
        <v/>
      </c>
      <c r="D674">
        <f>IF(Skills!C12=1,60+(Inputs!$B$25+1)+Inputs!$B$29,IF(Skills!C12=2,90+Inputs!$B$26+Inputs!$B$29,IF(Skills!C12=3,120+Inputs!$B$27+Inputs!$B$29,MAX(0,(Inputs!$B$3-100)*3)+Inputs!$B$28+Inputs!$B$29)))</f>
        <v/>
      </c>
      <c r="E674">
        <f>INDEX(FactorTable!$B$2:$Y$301, MATCH(ROUND(MIN(300,MAX(1,D674)),0), FactorTable!$A$2:$A$301,0), Skills!M12+1)</f>
        <v/>
      </c>
      <c r="F674">
        <f>IF(Skills!N12=TRUE,(Skills!L12/10)*(E674/1000),Skills!L12/10)+Skills!O12</f>
        <v/>
      </c>
      <c r="G674">
        <f>Calc!G12</f>
        <v/>
      </c>
      <c r="H674">
        <f>Calc!H12</f>
        <v/>
      </c>
      <c r="I674">
        <f>IF(Skills!X12&lt;&gt;"",1+(Skills!X12/10)*(Z665/1000)/100,1)</f>
        <v/>
      </c>
      <c r="J674" t="inlineStr"/>
      <c r="K674" t="inlineStr"/>
      <c r="L674" t="inlineStr"/>
      <c r="M674" t="inlineStr"/>
      <c r="N674" t="inlineStr"/>
      <c r="O674" t="n">
        <v>0</v>
      </c>
      <c r="P674">
        <f>IF(B701=0,0,O674/B701)</f>
        <v/>
      </c>
      <c r="Q674">
        <f>IFERROR(1/IF(Inputs!$B$38="pvp",15,MAX(0.1,Skills!E12-IF(Skills!F12=TRUE,Inputs!$B$32,0))),0)</f>
        <v/>
      </c>
      <c r="R674" t="n">
        <v>0</v>
      </c>
    </row>
    <row r="675">
      <c r="A675">
        <f>Skills!A13</f>
        <v/>
      </c>
      <c r="B675">
        <f>Skills!B13</f>
        <v/>
      </c>
      <c r="C675">
        <f>Inputs!$B$3&gt;=105</f>
        <v/>
      </c>
      <c r="D675">
        <f>IF(Skills!C13=1,60+(Inputs!$B$25+1)+Inputs!$B$29,IF(Skills!C13=2,90+Inputs!$B$26+Inputs!$B$29,IF(Skills!C13=3,120+Inputs!$B$27+Inputs!$B$29,MAX(0,(Inputs!$B$3-100)*3)+Inputs!$B$28+Inputs!$B$29)))</f>
        <v/>
      </c>
      <c r="E675">
        <f>INDEX(FactorTable!$B$2:$Y$301, MATCH(ROUND(MIN(300,MAX(1,D675)),0), FactorTable!$A$2:$A$301,0), Skills!M13+1)</f>
        <v/>
      </c>
      <c r="F675">
        <f>IF(Skills!N13=TRUE,(Skills!L13/10)*(E675/1000),Skills!L13/10)+Skills!O13</f>
        <v/>
      </c>
      <c r="G675">
        <f>Calc!G13</f>
        <v/>
      </c>
      <c r="H675">
        <f>Calc!H13</f>
        <v/>
      </c>
      <c r="I675">
        <f>IF(Skills!X13&lt;&gt;"",1+(Skills!X13/10)*(Z665/1000)/100,1)</f>
        <v/>
      </c>
      <c r="J675">
        <f>((Inputs!$B$6*(1+Inputs!$B$7/100))+(((Inputs!$B$12*(1+Inputs!$B$13/100))-(Inputs!$B$12*(1+Inputs!$B$13/100)))+0.25*(Inputs!$B$14-Inputs!$B$14))*(1+Inputs!$B$7/100))*(F675/100)</f>
        <v/>
      </c>
      <c r="K675">
        <f>J675*(1+((Inputs!$B$12*(1+Inputs!$B$13/100))*0.01+Inputs!$B$14*0.0025)/100)*(1+Inputs!$B$15/100)*(1+IF(Inputs!$B$38="pvp",0,(1-Summary!$B$56)*(Inputs!$B$20+Skills!P13)+Summary!$B$56*(Inputs!$B$21+Skills!Q13))/100)*(1+Inputs!$B$16/100)*(5000/(6000+Inputs!$B$42*(1-Inputs!$B$19/100)))*(1+Inputs!$B$24/100)*(1+F685/100)*(1+IF(Inputs!$B$3&gt;=120,F688,0)/100)^5*(1+(IF(Skills!A13="BASIC_ATTACK",Inputs!$B$17,Inputs!$B$18+IF(Inputs!$B$3&gt;=125,F689*5,0)))/100)*(B692*B693*B694*I675)</f>
        <v/>
      </c>
      <c r="L675">
        <f>K675*(MIN(Inputs!$B$22+(F684-Calc!F22),Inputs!$B$23)/100+Inputs!$B$23/100)/2</f>
        <v/>
      </c>
      <c r="M675">
        <f>L675*(1+(Inputs!$B$10+(F683-Calc!F21))/100)</f>
        <v/>
      </c>
      <c r="N675">
        <f>L675*(1-MIN(Inputs!$B$9+(F682-Calc!F20),100)/100)+M675*(MIN(Inputs!$B$9+(F682-Calc!F20),100)/100)</f>
        <v/>
      </c>
      <c r="O675">
        <f>IF(C675,H675*N675*IF(AND(Inputs!$B$38&lt;&gt;"pvp",Inputs!$B$43&gt;0),((Skills!G13*((R675-1)*IF(Skills!H13&gt;0,Skills!I13/Skills!H13,1)+IF(Skills!H13&gt;0,MIN(Skills!I13,MAX(0,Inputs!$B$43-((R675-1)*IF(Inputs!$B$38="pvp",15,MAX(0.1,Skills!E13-IF(Skills!F13=TRUE,Inputs!$B$32,0))))))/Skills!H13,1)))/Inputs!$B$43),G675*Q675)*IF(Inputs!$B$38="pvp",1,(1-Summary!$B$56)*(1)+Summary!$B$56*(MIN(Skills!R13,Inputs!$B$37))),0)</f>
        <v/>
      </c>
      <c r="P675">
        <f>IF(B701=0,0,O675/B701)</f>
        <v/>
      </c>
      <c r="Q675">
        <f>IFERROR(1/IF(Inputs!$B$38="pvp",15,MAX(0.1,Skills!E13-IF(Skills!F13=TRUE,Inputs!$B$32,0))),0)</f>
        <v/>
      </c>
      <c r="R675">
        <f>IF(AND(Inputs!$B$38&lt;&gt;"pvp",Inputs!$B$43&gt;0),(INT(Inputs!$B$43/IF(Inputs!$B$38="pvp",15,MAX(0.1,Skills!E13-IF(Skills!F13=TRUE,Inputs!$B$32,0))))+1),0)</f>
        <v/>
      </c>
    </row>
    <row r="676">
      <c r="A676">
        <f>Skills!A14</f>
        <v/>
      </c>
      <c r="B676">
        <f>Skills!B14</f>
        <v/>
      </c>
      <c r="C676">
        <f>Inputs!$B$3&gt;=113</f>
        <v/>
      </c>
      <c r="D676">
        <f>IF(Skills!C14=1,60+(Inputs!$B$25+1)+Inputs!$B$29,IF(Skills!C14=2,90+Inputs!$B$26+Inputs!$B$29,IF(Skills!C14=3,120+Inputs!$B$27+Inputs!$B$29,MAX(0,(Inputs!$B$3-100)*3)+Inputs!$B$28+Inputs!$B$29)))</f>
        <v/>
      </c>
      <c r="E676">
        <f>INDEX(FactorTable!$B$2:$Y$301, MATCH(ROUND(MIN(300,MAX(1,D676)),0), FactorTable!$A$2:$A$301,0), Skills!M14+1)</f>
        <v/>
      </c>
      <c r="F676">
        <f>IF(Skills!N14=TRUE,(Skills!L14/10)*(E676/1000),Skills!L14/10)+Skills!O14</f>
        <v/>
      </c>
      <c r="G676">
        <f>Calc!G14</f>
        <v/>
      </c>
      <c r="H676">
        <f>Calc!H14</f>
        <v/>
      </c>
      <c r="I676">
        <f>IF(Skills!X14&lt;&gt;"",1+(Skills!X14/10)*(Z665/1000)/100,1)</f>
        <v/>
      </c>
      <c r="J676">
        <f>((Inputs!$B$6*(1+Inputs!$B$7/100))+(((Inputs!$B$12*(1+Inputs!$B$13/100))-(Inputs!$B$12*(1+Inputs!$B$13/100)))+0.25*(Inputs!$B$14-Inputs!$B$14))*(1+Inputs!$B$7/100))*(F676/100)</f>
        <v/>
      </c>
      <c r="K676">
        <f>J676*(1+((Inputs!$B$12*(1+Inputs!$B$13/100))*0.01+Inputs!$B$14*0.0025)/100)*(1+Inputs!$B$15/100)*(1+IF(Inputs!$B$38="pvp",0,(1-Summary!$B$56)*(Inputs!$B$20+Skills!P14)+Summary!$B$56*(Inputs!$B$21+Skills!Q14))/100)*(1+Inputs!$B$16/100)*(5000/(6000+Inputs!$B$42*(1-Inputs!$B$19/100)))*(1+Inputs!$B$24/100)*(1+F685/100)*(1+IF(Inputs!$B$3&gt;=120,F688,0)/100)^5*(1+(IF(Skills!A14="BASIC_ATTACK",Inputs!$B$17,Inputs!$B$18+IF(Inputs!$B$3&gt;=125,F689*5,0)))/100)*(B692*B693*B694*I676)</f>
        <v/>
      </c>
      <c r="L676">
        <f>K676*(MIN(Inputs!$B$22+(F684-Calc!F22),Inputs!$B$23)/100+Inputs!$B$23/100)/2</f>
        <v/>
      </c>
      <c r="M676">
        <f>L676*(1+(Inputs!$B$10+(F683-Calc!F21))/100)</f>
        <v/>
      </c>
      <c r="N676">
        <f>L676*(1-MIN(Inputs!$B$9+(F682-Calc!F20),100)/100)+M676*(MIN(Inputs!$B$9+(F682-Calc!F20),100)/100)</f>
        <v/>
      </c>
      <c r="O676">
        <f>IF(C676,(H676*B699)/(1+Skills!H14*H676*B699)*N676*IF(Inputs!$B$38="pvp",1,(1-Summary!$B$56)*(1)+Summary!$B$56*(MIN(Skills!R14,Inputs!$B$37))),0)</f>
        <v/>
      </c>
      <c r="P676">
        <f>IF(B701=0,0,O676/B701)</f>
        <v/>
      </c>
      <c r="Q676">
        <f>IFERROR(1/IF(Inputs!$B$38="pvp",15,MAX(0.1,Skills!E14-IF(Skills!F14=TRUE,Inputs!$B$32,0))),0)</f>
        <v/>
      </c>
      <c r="R676" t="n">
        <v>0</v>
      </c>
    </row>
    <row r="677">
      <c r="A677">
        <f>Skills!A15</f>
        <v/>
      </c>
      <c r="B677">
        <f>Skills!B15</f>
        <v/>
      </c>
      <c r="C677">
        <f>Inputs!$B$3&gt;=107</f>
        <v/>
      </c>
      <c r="D677">
        <f>IF(Skills!C15=1,60+(Inputs!$B$25+1)+Inputs!$B$29,IF(Skills!C15=2,90+Inputs!$B$26+Inputs!$B$29,IF(Skills!C15=3,120+Inputs!$B$27+Inputs!$B$29,MAX(0,(Inputs!$B$3-100)*3)+Inputs!$B$28+Inputs!$B$29)))</f>
        <v/>
      </c>
      <c r="E677">
        <f>INDEX(FactorTable!$B$2:$Y$301, MATCH(ROUND(MIN(300,MAX(1,D677)),0), FactorTable!$A$2:$A$301,0), Skills!M15+1)</f>
        <v/>
      </c>
      <c r="F677">
        <f>IF(Skills!N15=TRUE,(Skills!L15/10)*(E677/1000),Skills!L15/10)+Skills!O15</f>
        <v/>
      </c>
      <c r="G677">
        <f>Calc!G15</f>
        <v/>
      </c>
      <c r="H677">
        <f>Calc!H15</f>
        <v/>
      </c>
      <c r="I677">
        <f>IF(Skills!X15&lt;&gt;"",1+(Skills!X15/10)*(Z665/1000)/100,1)</f>
        <v/>
      </c>
      <c r="J677">
        <f>((Inputs!$B$6*(1+Inputs!$B$7/100))+(((Inputs!$B$12*(1+Inputs!$B$13/100))-(Inputs!$B$12*(1+Inputs!$B$13/100)))+0.25*(Inputs!$B$14-Inputs!$B$14))*(1+Inputs!$B$7/100))*(F677/100)</f>
        <v/>
      </c>
      <c r="K677">
        <f>J677*(1+((Inputs!$B$12*(1+Inputs!$B$13/100))*0.01+Inputs!$B$14*0.0025)/100)*(1+Inputs!$B$15/100)*(1+IF(Inputs!$B$38="pvp",0,(1-Summary!$B$56)*(Inputs!$B$20+Skills!P15)+Summary!$B$56*(Inputs!$B$21+Skills!Q15))/100)*(1+Inputs!$B$16/100)*(5000/(6000+Inputs!$B$42*(1-Inputs!$B$19/100)))*(1+Inputs!$B$24/100)*(1+F685/100)*(1+IF(Inputs!$B$3&gt;=120,F688,0)/100)^5*(1+(IF(Skills!A15="BASIC_ATTACK",Inputs!$B$17,Inputs!$B$18+IF(Inputs!$B$3&gt;=125,F689*5,0)))/100)*(B692*B693*B694*I677)</f>
        <v/>
      </c>
      <c r="L677">
        <f>K677*(MIN(Inputs!$B$22+(F684-Calc!F22),Inputs!$B$23)/100+Inputs!$B$23/100)/2</f>
        <v/>
      </c>
      <c r="M677">
        <f>L677*(1+(Inputs!$B$10+(F683-Calc!F21))/100)</f>
        <v/>
      </c>
      <c r="N677">
        <f>L677*(1-MIN(Inputs!$B$9+(F682-Calc!F20),100)/100)+M677*(MIN(Inputs!$B$9+(F682-Calc!F20),100)/100)</f>
        <v/>
      </c>
      <c r="O677">
        <f>IF(C677,H677*N677*IF(AND(Inputs!$B$38&lt;&gt;"pvp",Inputs!$B$43&gt;0),((Skills!G15*((R677-1)*IF(Skills!H15&gt;0,Skills!I15/Skills!H15,1)+IF(Skills!H15&gt;0,MIN(Skills!I15,MAX(0,Inputs!$B$43-((R677-1)*IF(Inputs!$B$38="pvp",15,MAX(0.1,Skills!E15-IF(Skills!F15=TRUE,Inputs!$B$32,0))))))/Skills!H15,1)))/Inputs!$B$43),G677*Q677)*IF(Inputs!$B$38="pvp",1,(1-Summary!$B$56)*(1)+Summary!$B$56*(MIN(Skills!R15,Inputs!$B$37))),0)</f>
        <v/>
      </c>
      <c r="P677">
        <f>IF(B701=0,0,O677/B701)</f>
        <v/>
      </c>
      <c r="Q677">
        <f>IFERROR(1/IF(Inputs!$B$38="pvp",15,MAX(0.1,Skills!E15-IF(Skills!F15=TRUE,Inputs!$B$32,0))),0)</f>
        <v/>
      </c>
      <c r="R677">
        <f>IF(AND(Inputs!$B$38&lt;&gt;"pvp",Inputs!$B$43&gt;0),(INT(Inputs!$B$43/IF(Inputs!$B$38="pvp",15,MAX(0.1,Skills!E15-IF(Skills!F15=TRUE,Inputs!$B$32,0))))+1),0)</f>
        <v/>
      </c>
    </row>
    <row r="678">
      <c r="A678">
        <f>Skills!A16</f>
        <v/>
      </c>
      <c r="B678">
        <f>Skills!B16</f>
        <v/>
      </c>
      <c r="C678">
        <f>Inputs!$B$3&gt;=107</f>
        <v/>
      </c>
      <c r="D678">
        <f>IF(Skills!C16=1,60+(Inputs!$B$25+1)+Inputs!$B$29,IF(Skills!C16=2,90+Inputs!$B$26+Inputs!$B$29,IF(Skills!C16=3,120+Inputs!$B$27+Inputs!$B$29,MAX(0,(Inputs!$B$3-100)*3)+Inputs!$B$28+Inputs!$B$29)))</f>
        <v/>
      </c>
      <c r="E678">
        <f>INDEX(FactorTable!$B$2:$Y$301, MATCH(ROUND(MIN(300,MAX(1,D678)),0), FactorTable!$A$2:$A$301,0), Skills!M16+1)</f>
        <v/>
      </c>
      <c r="F678">
        <f>IF(Skills!N16=TRUE,(Skills!L16/10)*(E678/1000),Skills!L16/10)+Skills!O16</f>
        <v/>
      </c>
      <c r="G678">
        <f>Calc!G16</f>
        <v/>
      </c>
      <c r="H678">
        <f>Calc!H16</f>
        <v/>
      </c>
      <c r="I678">
        <f>IF(Skills!X16&lt;&gt;"",1+(Skills!X16/10)*(Z665/1000)/100,1)</f>
        <v/>
      </c>
      <c r="J678">
        <f>((Inputs!$B$6*(1+Inputs!$B$7/100))+(((Inputs!$B$12*(1+Inputs!$B$13/100))-(Inputs!$B$12*(1+Inputs!$B$13/100)))+0.25*(Inputs!$B$14-Inputs!$B$14))*(1+Inputs!$B$7/100))*(F678/100)</f>
        <v/>
      </c>
      <c r="K678">
        <f>J678*(1+((Inputs!$B$12*(1+Inputs!$B$13/100))*0.01+Inputs!$B$14*0.0025)/100)*(1+Inputs!$B$15/100)*(1+IF(Inputs!$B$38="pvp",0,(1-Summary!$B$56)*(Inputs!$B$20+Skills!P16)+Summary!$B$56*(Inputs!$B$21+Skills!Q16))/100)*(1+Inputs!$B$16/100)*(5000/(6000+Inputs!$B$42*(1-Inputs!$B$19/100)))*(1+Inputs!$B$24/100)*(1+F685/100)*(1+IF(Inputs!$B$3&gt;=120,F688,0)/100)^5*(1+(IF(Skills!A16="BASIC_ATTACK",Inputs!$B$17,Inputs!$B$18+IF(Inputs!$B$3&gt;=125,F689*5,0)))/100)*(B692*B693*B694*I678)</f>
        <v/>
      </c>
      <c r="L678">
        <f>K678*(MIN(Inputs!$B$22+(F684-Calc!F22),Inputs!$B$23)/100+Inputs!$B$23/100)/2</f>
        <v/>
      </c>
      <c r="M678">
        <f>L678*(1+(Inputs!$B$10+(F683-Calc!F21))/100)</f>
        <v/>
      </c>
      <c r="N678">
        <f>L678*(1-MIN(Inputs!$B$9+(F682-Calc!F20),100)/100)+M678*(MIN(Inputs!$B$9+(F682-Calc!F20),100)/100)</f>
        <v/>
      </c>
      <c r="O678">
        <f>IF(C678,H678*N678*IF(AND(Inputs!$B$38&lt;&gt;"pvp",Inputs!$B$43&gt;0),((Skills!G16*((R678-1)*IF(Skills!H16&gt;0,Skills!I16/Skills!H16,1)+IF(Skills!H16&gt;0,MIN(Skills!I16,MAX(0,Inputs!$B$43-((R678-1)*IF(Inputs!$B$38="pvp",15,MAX(0.1,Skills!E16-IF(Skills!F16=TRUE,Inputs!$B$32,0))))))/Skills!H16,1)))/Inputs!$B$43),G678*Q678)*(1+IF(Inputs!$B$3&gt;=126,0.05*(B698+Q675+(H676*B699)/(1+Skills!H14*H676*B699)+Q686),0)*Skills!E15)*IF(Inputs!$B$38="pvp",1,(1-Summary!$B$56)*(1)+Summary!$B$56*(MIN(Skills!R16,Inputs!$B$37))),0)</f>
        <v/>
      </c>
      <c r="P678">
        <f>IF(B701=0,0,O678/B701)</f>
        <v/>
      </c>
      <c r="Q678">
        <f>IFERROR(1/IF(Inputs!$B$38="pvp",15,MAX(0.1,Skills!E16-IF(Skills!F16=TRUE,Inputs!$B$32,0))),0)</f>
        <v/>
      </c>
      <c r="R678">
        <f>IF(AND(Inputs!$B$38&lt;&gt;"pvp",Inputs!$B$43&gt;0),(INT(Inputs!$B$43/IF(Inputs!$B$38="pvp",15,MAX(0.1,Skills!E16-IF(Skills!F16=TRUE,Inputs!$B$32,0))))+1),0)</f>
        <v/>
      </c>
    </row>
    <row r="679">
      <c r="A679">
        <f>Skills!A17</f>
        <v/>
      </c>
      <c r="B679">
        <f>Skills!B17</f>
        <v/>
      </c>
      <c r="C679">
        <f>TRUE</f>
        <v/>
      </c>
      <c r="D679">
        <f>IF(Skills!C17=1,60+(Inputs!$B$25+1)+Inputs!$B$29,IF(Skills!C17=2,90+Inputs!$B$26+Inputs!$B$29,IF(Skills!C17=3,120+Inputs!$B$27+Inputs!$B$29,MAX(0,(Inputs!$B$3-100)*3)+Inputs!$B$28+Inputs!$B$29)))</f>
        <v/>
      </c>
      <c r="E679">
        <f>INDEX(FactorTable!$B$2:$Y$301, MATCH(ROUND(MIN(300,MAX(1,D679)),0), FactorTable!$A$2:$A$301,0), Skills!M17+1)</f>
        <v/>
      </c>
      <c r="F679">
        <f>IF(Skills!N17=TRUE,(Skills!L17/10)*(E679/1000),Skills!L17/10)+Skills!O17</f>
        <v/>
      </c>
      <c r="G679">
        <f>Calc!G17</f>
        <v/>
      </c>
      <c r="H679">
        <f>Calc!H17</f>
        <v/>
      </c>
      <c r="I679">
        <f>IF(Skills!X17&lt;&gt;"",1+(Skills!X17/10)*(Z665/1000)/100,1)</f>
        <v/>
      </c>
      <c r="J679" t="inlineStr"/>
      <c r="K679" t="inlineStr"/>
      <c r="L679" t="inlineStr"/>
      <c r="M679" t="inlineStr"/>
      <c r="N679" t="inlineStr"/>
      <c r="O679" t="n">
        <v>0</v>
      </c>
      <c r="P679">
        <f>IF(B701=0,0,O679/B701)</f>
        <v/>
      </c>
      <c r="Q679">
        <f>IFERROR(1/IF(Inputs!$B$38="pvp",15,MAX(0.1,Skills!E17-IF(Skills!F17=TRUE,Inputs!$B$32,0))),0)</f>
        <v/>
      </c>
      <c r="R679">
        <f>IF(AND(Inputs!$B$38&lt;&gt;"pvp",Inputs!$B$43&gt;0),(INT(Inputs!$B$43/IF(Inputs!$B$38="pvp",15,MAX(0.1,Skills!E17-IF(Skills!F17=TRUE,Inputs!$B$32,0))))+1),0)</f>
        <v/>
      </c>
    </row>
    <row r="680">
      <c r="A680">
        <f>Skills!A18</f>
        <v/>
      </c>
      <c r="B680">
        <f>Skills!B18</f>
        <v/>
      </c>
      <c r="C680">
        <f>TRUE</f>
        <v/>
      </c>
      <c r="D680">
        <f>IF(Skills!C18=1,60+(Inputs!$B$25+1)+Inputs!$B$29,IF(Skills!C18=2,90+Inputs!$B$26+Inputs!$B$29,IF(Skills!C18=3,120+Inputs!$B$27+Inputs!$B$29,MAX(0,(Inputs!$B$3-100)*3)+Inputs!$B$28+Inputs!$B$29)))</f>
        <v/>
      </c>
      <c r="E680">
        <f>INDEX(FactorTable!$B$2:$Y$301, MATCH(ROUND(MIN(300,MAX(1,D680)),0), FactorTable!$A$2:$A$301,0), Skills!M18+1)</f>
        <v/>
      </c>
      <c r="F680">
        <f>IF(Skills!N18=TRUE,(Skills!L18/10)*(E680/1000),Skills!L18/10)+Skills!O18</f>
        <v/>
      </c>
      <c r="G680">
        <f>Calc!G18</f>
        <v/>
      </c>
      <c r="H680">
        <f>Calc!H18</f>
        <v/>
      </c>
      <c r="I680">
        <f>IF(Skills!X18&lt;&gt;"",1+(Skills!X18/10)*(Z665/1000)/100,1)</f>
        <v/>
      </c>
      <c r="J680" t="inlineStr"/>
      <c r="K680" t="inlineStr"/>
      <c r="L680" t="inlineStr"/>
      <c r="M680" t="inlineStr"/>
      <c r="N680" t="inlineStr"/>
      <c r="O680" t="n">
        <v>0</v>
      </c>
      <c r="P680">
        <f>IF(B701=0,0,O680/B701)</f>
        <v/>
      </c>
      <c r="Q680">
        <f>IFERROR(1/IF(Inputs!$B$38="pvp",15,MAX(0.1,Skills!E18-IF(Skills!F18=TRUE,Inputs!$B$32,0))),0)</f>
        <v/>
      </c>
      <c r="R680">
        <f>IF(AND(Inputs!$B$38&lt;&gt;"pvp",Inputs!$B$43&gt;0),(INT(Inputs!$B$43/IF(Inputs!$B$38="pvp",15,MAX(0.1,Skills!E18-IF(Skills!F18=TRUE,Inputs!$B$32,0))))+1),0)</f>
        <v/>
      </c>
    </row>
    <row r="681">
      <c r="A681">
        <f>Skills!A19</f>
        <v/>
      </c>
      <c r="B681">
        <f>Skills!B19</f>
        <v/>
      </c>
      <c r="C681">
        <f>Inputs!$B$3&gt;=110</f>
        <v/>
      </c>
      <c r="D681">
        <f>IF(Skills!C19=1,60+(Inputs!$B$25+1)+Inputs!$B$29,IF(Skills!C19=2,90+Inputs!$B$26+Inputs!$B$29,IF(Skills!C19=3,120+Inputs!$B$27+Inputs!$B$29,MAX(0,(Inputs!$B$3-100)*3)+Inputs!$B$28+Inputs!$B$29)))</f>
        <v/>
      </c>
      <c r="E681">
        <f>INDEX(FactorTable!$B$2:$Y$301, MATCH(ROUND(MIN(300,MAX(1,D681)),0), FactorTable!$A$2:$A$301,0), Skills!M19+1)</f>
        <v/>
      </c>
      <c r="F681">
        <f>IF(Skills!N19=TRUE,(Skills!L19/10)*(E681/1000),Skills!L19/10)+Skills!O19</f>
        <v/>
      </c>
      <c r="G681">
        <f>Calc!G19</f>
        <v/>
      </c>
      <c r="H681">
        <f>Calc!H19</f>
        <v/>
      </c>
      <c r="I681">
        <f>IF(Skills!X19&lt;&gt;"",1+(Skills!X19/10)*(Z665/1000)/100,1)</f>
        <v/>
      </c>
      <c r="J681" t="inlineStr"/>
      <c r="K681" t="inlineStr"/>
      <c r="L681" t="inlineStr"/>
      <c r="M681" t="inlineStr"/>
      <c r="N681" t="inlineStr"/>
      <c r="O681" t="n">
        <v>0</v>
      </c>
      <c r="P681">
        <f>IF(B701=0,0,O681/B701)</f>
        <v/>
      </c>
      <c r="Q681">
        <f>IFERROR(1/IF(Inputs!$B$38="pvp",15,MAX(0.1,Skills!E19-IF(Skills!F19=TRUE,Inputs!$B$32,0))),0)</f>
        <v/>
      </c>
      <c r="R681">
        <f>IF(AND(Inputs!$B$38&lt;&gt;"pvp",Inputs!$B$43&gt;0),(INT(Inputs!$B$43/IF(Inputs!$B$38="pvp",15,MAX(0.1,Skills!E19-IF(Skills!F19=TRUE,Inputs!$B$32,0))))+1),0)</f>
        <v/>
      </c>
    </row>
    <row r="682">
      <c r="A682">
        <f>Skills!A20</f>
        <v/>
      </c>
      <c r="B682">
        <f>Skills!B20</f>
        <v/>
      </c>
      <c r="C682">
        <f>TRUE</f>
        <v/>
      </c>
      <c r="D682">
        <f>IF(Skills!C20=1,60+(Inputs!$B$25+1)+Inputs!$B$29,IF(Skills!C20=2,90+Inputs!$B$26+Inputs!$B$29,IF(Skills!C20=3,120+Inputs!$B$27+Inputs!$B$29,MAX(0,(Inputs!$B$3-100)*3)+Inputs!$B$28+Inputs!$B$29)))</f>
        <v/>
      </c>
      <c r="E682">
        <f>INDEX(FactorTable!$B$2:$Y$301, MATCH(ROUND(MIN(300,MAX(1,D682)),0), FactorTable!$A$2:$A$301,0), Skills!M20+1)</f>
        <v/>
      </c>
      <c r="F682">
        <f>IF(Skills!N20=TRUE,(Skills!L20/10)*(E682/1000),Skills!L20/10)+Skills!O20</f>
        <v/>
      </c>
      <c r="G682">
        <f>Calc!G20</f>
        <v/>
      </c>
      <c r="H682">
        <f>Calc!H20</f>
        <v/>
      </c>
      <c r="I682">
        <f>IF(Skills!X20&lt;&gt;"",1+(Skills!X20/10)*(Z665/1000)/100,1)</f>
        <v/>
      </c>
      <c r="J682" t="inlineStr"/>
      <c r="K682" t="inlineStr"/>
      <c r="L682" t="inlineStr"/>
      <c r="M682" t="inlineStr"/>
      <c r="N682" t="inlineStr"/>
      <c r="O682" t="n">
        <v>0</v>
      </c>
      <c r="P682">
        <f>IF(B701=0,0,O682/B701)</f>
        <v/>
      </c>
      <c r="Q682">
        <f>IFERROR(1/IF(Inputs!$B$38="pvp",15,MAX(0.1,Skills!E20-IF(Skills!F20=TRUE,Inputs!$B$32,0))),0)</f>
        <v/>
      </c>
      <c r="R682" t="n">
        <v>0</v>
      </c>
    </row>
    <row r="683">
      <c r="A683">
        <f>Skills!A21</f>
        <v/>
      </c>
      <c r="B683">
        <f>Skills!B21</f>
        <v/>
      </c>
      <c r="C683">
        <f>TRUE</f>
        <v/>
      </c>
      <c r="D683">
        <f>IF(Skills!C21=1,60+(Inputs!$B$25+1)+Inputs!$B$29,IF(Skills!C21=2,90+Inputs!$B$26+Inputs!$B$29,IF(Skills!C21=3,120+Inputs!$B$27+Inputs!$B$29,MAX(0,(Inputs!$B$3-100)*3)+Inputs!$B$28+Inputs!$B$29)))</f>
        <v/>
      </c>
      <c r="E683">
        <f>INDEX(FactorTable!$B$2:$Y$301, MATCH(ROUND(MIN(300,MAX(1,D683)),0), FactorTable!$A$2:$A$301,0), Skills!M21+1)</f>
        <v/>
      </c>
      <c r="F683">
        <f>IF(Skills!N21=TRUE,(Skills!L21/10)*(E683/1000),Skills!L21/10)+Skills!O21</f>
        <v/>
      </c>
      <c r="G683">
        <f>Calc!G21</f>
        <v/>
      </c>
      <c r="H683">
        <f>Calc!H21</f>
        <v/>
      </c>
      <c r="I683">
        <f>IF(Skills!X21&lt;&gt;"",1+(Skills!X21/10)*(Z665/1000)/100,1)</f>
        <v/>
      </c>
      <c r="J683" t="inlineStr"/>
      <c r="K683" t="inlineStr"/>
      <c r="L683" t="inlineStr"/>
      <c r="M683" t="inlineStr"/>
      <c r="N683" t="inlineStr"/>
      <c r="O683" t="n">
        <v>0</v>
      </c>
      <c r="P683">
        <f>IF(B701=0,0,O683/B701)</f>
        <v/>
      </c>
      <c r="Q683">
        <f>IFERROR(1/IF(Inputs!$B$38="pvp",15,MAX(0.1,Skills!E21-IF(Skills!F21=TRUE,Inputs!$B$32,0))),0)</f>
        <v/>
      </c>
      <c r="R683" t="n">
        <v>0</v>
      </c>
    </row>
    <row r="684">
      <c r="A684">
        <f>Skills!A22</f>
        <v/>
      </c>
      <c r="B684">
        <f>Skills!B22</f>
        <v/>
      </c>
      <c r="C684">
        <f>TRUE</f>
        <v/>
      </c>
      <c r="D684">
        <f>IF(Skills!C22=1,60+(Inputs!$B$25+1)+Inputs!$B$29,IF(Skills!C22=2,90+Inputs!$B$26+Inputs!$B$29,IF(Skills!C22=3,120+Inputs!$B$27+Inputs!$B$29,MAX(0,(Inputs!$B$3-100)*3)+Inputs!$B$28+Inputs!$B$29)))</f>
        <v/>
      </c>
      <c r="E684">
        <f>INDEX(FactorTable!$B$2:$Y$301, MATCH(ROUND(MIN(300,MAX(1,D684)),0), FactorTable!$A$2:$A$301,0), Skills!M22+1)</f>
        <v/>
      </c>
      <c r="F684">
        <f>IF(Skills!N22=TRUE,(Skills!L22/10)*(E684/1000),Skills!L22/10)+Skills!O22</f>
        <v/>
      </c>
      <c r="G684">
        <f>Calc!G22</f>
        <v/>
      </c>
      <c r="H684">
        <f>Calc!H22</f>
        <v/>
      </c>
      <c r="I684">
        <f>IF(Skills!X22&lt;&gt;"",1+(Skills!X22/10)*(Z665/1000)/100,1)</f>
        <v/>
      </c>
      <c r="J684" t="inlineStr"/>
      <c r="K684" t="inlineStr"/>
      <c r="L684" t="inlineStr"/>
      <c r="M684" t="inlineStr"/>
      <c r="N684" t="inlineStr"/>
      <c r="O684" t="n">
        <v>0</v>
      </c>
      <c r="P684">
        <f>IF(B701=0,0,O684/B701)</f>
        <v/>
      </c>
      <c r="Q684">
        <f>IFERROR(1/IF(Inputs!$B$38="pvp",15,MAX(0.1,Skills!E22-IF(Skills!F22=TRUE,Inputs!$B$32,0))),0)</f>
        <v/>
      </c>
      <c r="R684" t="n">
        <v>0</v>
      </c>
    </row>
    <row r="685">
      <c r="A685">
        <f>Skills!A23</f>
        <v/>
      </c>
      <c r="B685">
        <f>Skills!B23</f>
        <v/>
      </c>
      <c r="C685">
        <f>TRUE</f>
        <v/>
      </c>
      <c r="D685">
        <f>IF(Skills!C23=1,60+(Inputs!$B$25+1)+Inputs!$B$29,IF(Skills!C23=2,90+Inputs!$B$26+Inputs!$B$29,IF(Skills!C23=3,120+Inputs!$B$27+Inputs!$B$29,MAX(0,(Inputs!$B$3-100)*3)+Inputs!$B$28+Inputs!$B$29)))</f>
        <v/>
      </c>
      <c r="E685">
        <f>INDEX(FactorTable!$B$2:$Y$301, MATCH(ROUND(MIN(300,MAX(1,D685)),0), FactorTable!$A$2:$A$301,0), Skills!M23+1)</f>
        <v/>
      </c>
      <c r="F685">
        <f>IF(Skills!N23=TRUE,(Skills!L23/10)*(E685/1000),Skills!L23/10)+Skills!O23</f>
        <v/>
      </c>
      <c r="G685">
        <f>Calc!G23</f>
        <v/>
      </c>
      <c r="H685">
        <f>Calc!H23</f>
        <v/>
      </c>
      <c r="I685">
        <f>IF(Skills!X23&lt;&gt;"",1+(Skills!X23/10)*(Z665/1000)/100,1)</f>
        <v/>
      </c>
      <c r="J685" t="inlineStr"/>
      <c r="K685" t="inlineStr"/>
      <c r="L685" t="inlineStr"/>
      <c r="M685" t="inlineStr"/>
      <c r="N685" t="inlineStr"/>
      <c r="O685" t="n">
        <v>0</v>
      </c>
      <c r="P685">
        <f>IF(B701=0,0,O685/B701)</f>
        <v/>
      </c>
      <c r="Q685">
        <f>IFERROR(1/IF(Inputs!$B$38="pvp",15,MAX(0.1,Skills!E23-IF(Skills!F23=TRUE,Inputs!$B$32,0))),0)</f>
        <v/>
      </c>
      <c r="R685" t="n">
        <v>0</v>
      </c>
    </row>
    <row r="686">
      <c r="A686">
        <f>Skills!A24</f>
        <v/>
      </c>
      <c r="B686">
        <f>Skills!B24</f>
        <v/>
      </c>
      <c r="C686">
        <f>Inputs!$B$3&gt;=115</f>
        <v/>
      </c>
      <c r="D686">
        <f>IF(Skills!C24=1,60+(Inputs!$B$25+1)+Inputs!$B$29,IF(Skills!C24=2,90+Inputs!$B$26+Inputs!$B$29,IF(Skills!C24=3,120+Inputs!$B$27+Inputs!$B$29,MAX(0,(Inputs!$B$3-100)*3)+Inputs!$B$28+Inputs!$B$29)))</f>
        <v/>
      </c>
      <c r="E686">
        <f>INDEX(FactorTable!$B$2:$Y$301, MATCH(ROUND(MIN(300,MAX(1,D686)),0), FactorTable!$A$2:$A$301,0), Skills!M24+1)</f>
        <v/>
      </c>
      <c r="F686">
        <f>IF(Skills!N24=TRUE,(Skills!L24/10)*(E686/1000),Skills!L24/10)+Skills!O24</f>
        <v/>
      </c>
      <c r="G686">
        <f>Calc!G24</f>
        <v/>
      </c>
      <c r="H686">
        <f>Calc!H24</f>
        <v/>
      </c>
      <c r="I686">
        <f>IF(Skills!X24&lt;&gt;"",1+(Skills!X24/10)*(Z665/1000)/100,1)</f>
        <v/>
      </c>
      <c r="J686">
        <f>((Inputs!$B$6*(1+Inputs!$B$7/100))+(((Inputs!$B$12*(1+Inputs!$B$13/100))-(Inputs!$B$12*(1+Inputs!$B$13/100)))+0.25*(Inputs!$B$14-Inputs!$B$14))*(1+Inputs!$B$7/100))*(F686/100)</f>
        <v/>
      </c>
      <c r="K686">
        <f>J686*(1+((Inputs!$B$12*(1+Inputs!$B$13/100))*0.01+Inputs!$B$14*0.0025)/100)*(1+Inputs!$B$15/100)*(1+IF(Inputs!$B$38="pvp",0,(1-Summary!$B$56)*(Inputs!$B$20+Skills!P24)+Summary!$B$56*(Inputs!$B$21+Skills!Q24))/100)*(1+Inputs!$B$16/100)*(5000/(6000+Inputs!$B$42*(1-Inputs!$B$19/100)))*(1+Inputs!$B$24/100)*(1+F685/100)*(1+IF(Inputs!$B$3&gt;=120,F688,0)/100)^5*(1+(IF(Skills!A24="BASIC_ATTACK",Inputs!$B$17,Inputs!$B$18+IF(Inputs!$B$3&gt;=125,F689*5,0)))/100)*(B692*B693*B694*I686)</f>
        <v/>
      </c>
      <c r="L686">
        <f>K686*(MIN(Inputs!$B$22+(F684-Calc!F22),Inputs!$B$23)/100+Inputs!$B$23/100)/2</f>
        <v/>
      </c>
      <c r="M686">
        <f>L686*(1+(Inputs!$B$10+(F683-Calc!F21))/100)</f>
        <v/>
      </c>
      <c r="N686">
        <f>L686*(1-MIN(Inputs!$B$9+(F682-Calc!F20),100)/100)+M686*(MIN(Inputs!$B$9+(F682-Calc!F20),100)/100)</f>
        <v/>
      </c>
      <c r="O686">
        <f>IF(C686,H686*N686*IF(AND(Inputs!$B$38&lt;&gt;"pvp",Inputs!$B$43&gt;0),((Skills!G24*((R686-1)*IF(Skills!H24&gt;0,Skills!I24/Skills!H24,1)+IF(Skills!H24&gt;0,MIN(Skills!I24,MAX(0,Inputs!$B$43-((R686-1)*IF(Inputs!$B$38="pvp",15,MAX(0.1,Skills!E24-IF(Skills!F24=TRUE,Inputs!$B$32,0))))))/Skills!H24,1)))/Inputs!$B$43),G686*Q686)*(1+IF(Inputs!$B$3&gt;=130,0.2*(Skills!I16/Skills!E15+IF(Inputs!$B$3&gt;=126,0.05*(B698+Q675+(H676*B699)/(1+Skills!H14*H676*B699)+Q686),0)*Skills!I16),0))*IF(Inputs!$B$38="pvp",1,(1-Summary!$B$56)*(1)+Summary!$B$56*(MIN(Skills!R24,Inputs!$B$37))),0)</f>
        <v/>
      </c>
      <c r="P686">
        <f>IF(B701=0,0,O686/B701)</f>
        <v/>
      </c>
      <c r="Q686">
        <f>IFERROR(1/IF(Inputs!$B$38="pvp",15,MAX(0.1,Skills!E24-IF(Skills!F24=TRUE,Inputs!$B$32,0))),0)</f>
        <v/>
      </c>
      <c r="R686">
        <f>IF(AND(Inputs!$B$38&lt;&gt;"pvp",Inputs!$B$43&gt;0),(INT(Inputs!$B$43/IF(Inputs!$B$38="pvp",15,MAX(0.1,Skills!E24-IF(Skills!F24=TRUE,Inputs!$B$32,0))))+1),0)</f>
        <v/>
      </c>
    </row>
    <row r="687">
      <c r="A687">
        <f>Skills!A25</f>
        <v/>
      </c>
      <c r="B687">
        <f>Skills!B25</f>
        <v/>
      </c>
      <c r="C687">
        <f>Inputs!$B$3&gt;=117</f>
        <v/>
      </c>
      <c r="D687">
        <f>IF(Skills!C25=1,60+(Inputs!$B$25+1)+Inputs!$B$29,IF(Skills!C25=2,90+Inputs!$B$26+Inputs!$B$29,IF(Skills!C25=3,120+Inputs!$B$27+Inputs!$B$29,MAX(0,(Inputs!$B$3-100)*3)+Inputs!$B$28+Inputs!$B$29)))</f>
        <v/>
      </c>
      <c r="E687">
        <f>INDEX(FactorTable!$B$2:$Y$301, MATCH(ROUND(MIN(300,MAX(1,D687)),0), FactorTable!$A$2:$A$301,0), Skills!M25+1)</f>
        <v/>
      </c>
      <c r="F687">
        <f>IF(Skills!N25=TRUE,(Skills!L25/10)*(E687/1000),Skills!L25/10)+Skills!O25</f>
        <v/>
      </c>
      <c r="G687">
        <f>Calc!G25</f>
        <v/>
      </c>
      <c r="H687">
        <f>Calc!H25</f>
        <v/>
      </c>
      <c r="I687">
        <f>IF(Skills!X25&lt;&gt;"",1+(Skills!X25/10)*(Z665/1000)/100,1)</f>
        <v/>
      </c>
      <c r="J687" t="inlineStr"/>
      <c r="K687" t="inlineStr"/>
      <c r="L687" t="inlineStr"/>
      <c r="M687" t="inlineStr"/>
      <c r="N687" t="inlineStr"/>
      <c r="O687" t="n">
        <v>0</v>
      </c>
      <c r="P687">
        <f>IF(B701=0,0,O687/B701)</f>
        <v/>
      </c>
      <c r="Q687">
        <f>IFERROR(1/IF(Inputs!$B$38="pvp",15,MAX(0.1,Skills!E25-IF(Skills!F25=TRUE,Inputs!$B$32,0))),0)</f>
        <v/>
      </c>
      <c r="R687" t="n">
        <v>0</v>
      </c>
    </row>
    <row r="688">
      <c r="A688">
        <f>Skills!A26</f>
        <v/>
      </c>
      <c r="B688">
        <f>Skills!B26</f>
        <v/>
      </c>
      <c r="C688">
        <f>Inputs!$B$3&gt;=120</f>
        <v/>
      </c>
      <c r="D688">
        <f>IF(Skills!C26=1,60+(Inputs!$B$25+1)+Inputs!$B$29,IF(Skills!C26=2,90+Inputs!$B$26+Inputs!$B$29,IF(Skills!C26=3,120+Inputs!$B$27+Inputs!$B$29,MAX(0,(Inputs!$B$3-100)*3)+Inputs!$B$28+Inputs!$B$29)))</f>
        <v/>
      </c>
      <c r="E688">
        <f>INDEX(FactorTable!$B$2:$Y$301, MATCH(ROUND(MIN(300,MAX(1,D688)),0), FactorTable!$A$2:$A$301,0), Skills!M26+1)</f>
        <v/>
      </c>
      <c r="F688">
        <f>IF(Skills!N26=TRUE,(Skills!L26/10)*(E688/1000),Skills!L26/10)+Skills!O26</f>
        <v/>
      </c>
      <c r="G688">
        <f>Calc!G26</f>
        <v/>
      </c>
      <c r="H688">
        <f>Calc!H26</f>
        <v/>
      </c>
      <c r="I688">
        <f>IF(Skills!X26&lt;&gt;"",1+(Skills!X26/10)*(Z665/1000)/100,1)</f>
        <v/>
      </c>
      <c r="J688" t="inlineStr"/>
      <c r="K688" t="inlineStr"/>
      <c r="L688" t="inlineStr"/>
      <c r="M688" t="inlineStr"/>
      <c r="N688" t="inlineStr"/>
      <c r="O688" t="n">
        <v>0</v>
      </c>
      <c r="P688">
        <f>IF(B701=0,0,O688/B701)</f>
        <v/>
      </c>
      <c r="Q688">
        <f>IFERROR(1/IF(Inputs!$B$38="pvp",15,MAX(0.1,Skills!E26-IF(Skills!F26=TRUE,Inputs!$B$32,0))),0)</f>
        <v/>
      </c>
      <c r="R688" t="n">
        <v>0</v>
      </c>
    </row>
    <row r="689">
      <c r="A689">
        <f>Skills!A27</f>
        <v/>
      </c>
      <c r="B689">
        <f>Skills!B27</f>
        <v/>
      </c>
      <c r="C689">
        <f>Inputs!$B$3&gt;=125</f>
        <v/>
      </c>
      <c r="D689">
        <f>IF(Skills!C27=1,60+(Inputs!$B$25+1)+Inputs!$B$29,IF(Skills!C27=2,90+Inputs!$B$26+Inputs!$B$29,IF(Skills!C27=3,120+Inputs!$B$27+Inputs!$B$29,MAX(0,(Inputs!$B$3-100)*3)+Inputs!$B$28+Inputs!$B$29)))</f>
        <v/>
      </c>
      <c r="E689">
        <f>INDEX(FactorTable!$B$2:$Y$301, MATCH(ROUND(MIN(300,MAX(1,D689)),0), FactorTable!$A$2:$A$301,0), Skills!M27+1)</f>
        <v/>
      </c>
      <c r="F689">
        <f>IF(Skills!N27=TRUE,(Skills!L27/10)*(E689/1000),Skills!L27/10)+Skills!O27</f>
        <v/>
      </c>
      <c r="G689">
        <f>Calc!G27</f>
        <v/>
      </c>
      <c r="H689">
        <f>Calc!H27</f>
        <v/>
      </c>
      <c r="I689">
        <f>IF(Skills!X27&lt;&gt;"",1+(Skills!X27/10)*(Z665/1000)/100,1)</f>
        <v/>
      </c>
      <c r="J689" t="inlineStr"/>
      <c r="K689" t="inlineStr"/>
      <c r="L689" t="inlineStr"/>
      <c r="M689" t="inlineStr"/>
      <c r="N689" t="inlineStr"/>
      <c r="O689" t="n">
        <v>0</v>
      </c>
      <c r="P689">
        <f>IF(B701=0,0,O689/B701)</f>
        <v/>
      </c>
      <c r="Q689">
        <f>IFERROR(1/IF(Inputs!$B$38="pvp",15,MAX(0.1,Skills!E27-IF(Skills!F27=TRUE,Inputs!$B$32,0))),0)</f>
        <v/>
      </c>
      <c r="R689" t="n">
        <v>0</v>
      </c>
    </row>
    <row r="690">
      <c r="A690">
        <f>Skills!A28</f>
        <v/>
      </c>
      <c r="B690">
        <f>Skills!B28</f>
        <v/>
      </c>
      <c r="C690">
        <f>Inputs!$B$3&gt;=118</f>
        <v/>
      </c>
      <c r="D690">
        <f>IF(Skills!C28=1,60+(Inputs!$B$25+1)+Inputs!$B$29,IF(Skills!C28=2,90+Inputs!$B$26+Inputs!$B$29,IF(Skills!C28=3,120+Inputs!$B$27+Inputs!$B$29,MAX(0,(Inputs!$B$3-100)*3)+Inputs!$B$28+Inputs!$B$29)))</f>
        <v/>
      </c>
      <c r="E690">
        <f>INDEX(FactorTable!$B$2:$Y$301, MATCH(ROUND(MIN(300,MAX(1,D690)),0), FactorTable!$A$2:$A$301,0), Skills!M28+1)</f>
        <v/>
      </c>
      <c r="F690">
        <f>IF(Skills!N28=TRUE,(Skills!L28/10)*(E690/1000),Skills!L28/10)+Skills!O28</f>
        <v/>
      </c>
      <c r="G690">
        <f>Calc!G28</f>
        <v/>
      </c>
      <c r="H690">
        <f>Calc!H28</f>
        <v/>
      </c>
      <c r="I690">
        <f>IF(Skills!X28&lt;&gt;"",1+(Skills!X28/10)*(Z665/1000)/100,1)</f>
        <v/>
      </c>
      <c r="J690">
        <f>((Inputs!$B$6*(1+Inputs!$B$7/100))+(((Inputs!$B$12*(1+Inputs!$B$13/100))-(Inputs!$B$12*(1+Inputs!$B$13/100)))+0.25*(Inputs!$B$14-Inputs!$B$14))*(1+Inputs!$B$7/100))*(F690/100)</f>
        <v/>
      </c>
      <c r="K690">
        <f>J690*(1+((Inputs!$B$12*(1+Inputs!$B$13/100))*0.01+Inputs!$B$14*0.0025)/100)*(1+Inputs!$B$15/100)*(1+IF(Inputs!$B$38="pvp",0,(1-Summary!$B$56)*(Inputs!$B$20+Skills!P28)+Summary!$B$56*(Inputs!$B$21+Skills!Q28))/100)*(1+Inputs!$B$16/100)*(5000/(6000+Inputs!$B$42*(1-Inputs!$B$19/100)))*(1+Inputs!$B$24/100)*(1+F685/100)*(1+IF(Inputs!$B$3&gt;=120,F688,0)/100)^5*(1+(IF(Skills!A28="BASIC_ATTACK",Inputs!$B$17,Inputs!$B$18+IF(Inputs!$B$3&gt;=125,F689*5,0)))/100)*(B692*B693*B694*I690)</f>
        <v/>
      </c>
      <c r="L690">
        <f>K690*(MIN(Inputs!$B$22+(F684-Calc!F22),Inputs!$B$23)/100+Inputs!$B$23/100)/2</f>
        <v/>
      </c>
      <c r="M690">
        <f>L690*(1+(Inputs!$B$10+(F683-Calc!F21))/100)</f>
        <v/>
      </c>
      <c r="N690">
        <f>L690*(1-MIN(Inputs!$B$9+(F682-Calc!F20),100)/100)+M690*(MIN(Inputs!$B$9+(F682-Calc!F20),100)/100)</f>
        <v/>
      </c>
      <c r="O690">
        <f>IF(C690,H690*N690*IF(AND(Inputs!$B$38&lt;&gt;"pvp",Inputs!$B$43&gt;0),((Skills!G28*((R690-1)*IF(Skills!H28&gt;0,Skills!I28/Skills!H28,1)+IF(Skills!H28&gt;0,MIN(Skills!I28,MAX(0,Inputs!$B$43-((R690-1)*IF(Inputs!$B$38="pvp",15,MAX(0.1,Skills!E28-IF(Skills!F28=TRUE,Inputs!$B$32,0))))))/Skills!H28,1)))/Inputs!$B$43),G690*Q690)*IF(Inputs!$B$38="pvp",1,(1-Summary!$B$56)*(1)+Summary!$B$56*(MIN(Skills!R28,Inputs!$B$37))),0)</f>
        <v/>
      </c>
      <c r="P690">
        <f>IF(B701=0,0,O690/B701)</f>
        <v/>
      </c>
      <c r="Q690">
        <f>IFERROR(1/IF(Inputs!$B$38="pvp",15,MAX(0.1,Skills!E28-IF(Skills!F28=TRUE,Inputs!$B$32,0))),0)</f>
        <v/>
      </c>
      <c r="R690">
        <f>IF(AND(Inputs!$B$38&lt;&gt;"pvp",Inputs!$B$43&gt;0),(INT(Inputs!$B$43/IF(Inputs!$B$38="pvp",15,MAX(0.1,Skills!E28-IF(Skills!F28=TRUE,Inputs!$B$32,0))))+1),0)</f>
        <v/>
      </c>
    </row>
    <row r="692">
      <c r="A692" t="inlineStr">
        <is>
          <t>Burning Magic Multiplier</t>
        </is>
      </c>
      <c r="B692">
        <f>1+(F673*Skills!Z11)/100</f>
        <v/>
      </c>
    </row>
    <row r="693">
      <c r="A693" t="inlineStr">
        <is>
          <t>Elemental Decrease Multiplier (always-on)</t>
        </is>
      </c>
      <c r="B693">
        <f>1+F674/100</f>
        <v/>
      </c>
    </row>
    <row r="694">
      <c r="A694" t="inlineStr">
        <is>
          <t>Average Buff Multiplier (Magic Guard + Meditation, summed; then Infinity)</t>
        </is>
      </c>
      <c r="B694">
        <f>(1+(F668*IF(AND(Inputs!$B$38&lt;&gt;"pvp",Inputs!$B$43&gt;0),(((R668-1)*(Skills!T6*(1+(Inputs!$B$34+IF(Inputs!$B$3&gt;=117,F687,0))/100))+MIN((Skills!T6*(1+(Inputs!$B$34+IF(Inputs!$B$3&gt;=117,F687,0))/100)),MAX(0,Inputs!$B$43-((R668-1)*Skills!E6))))/Inputs!$B$43),IF(Inputs!$B$38="pvp",MIN((Skills!T6*(1+(Inputs!$B$34+IF(Inputs!$B$3&gt;=117,F687,0))/100)),15)/15,(Skills!T6*(1+(Inputs!$B$34+IF(Inputs!$B$3&gt;=117,F687,0))/100))/Skills!E6))+F679*IF(AND(Inputs!$B$38&lt;&gt;"pvp",Inputs!$B$43&gt;0),(((R679-1)*(Skills!T17*(1+(Inputs!$B$34+IF(Inputs!$B$3&gt;=117,F687,0))/100))+MIN((Skills!T17*(1+(Inputs!$B$34+IF(Inputs!$B$3&gt;=117,F687,0))/100)),MAX(0,Inputs!$B$43-((R679-1)*Skills!E17))))/Inputs!$B$43),IF(Inputs!$B$38="pvp",MIN((Skills!T17*(1+(Inputs!$B$34+IF(Inputs!$B$3&gt;=117,F687,0))/100)),15)/15,(Skills!T17*(1+(Inputs!$B$34+IF(Inputs!$B$3&gt;=117,F687,0))/100))/Skills!E17)))/100)*IF(C681=TRUE,(1+F681*IF(AND(Inputs!$B$38&lt;&gt;"pvp",Inputs!$B$43&gt;0),(((R681-1)*(Skills!T19*(1+(Inputs!$B$34+IF(Inputs!$B$3&gt;=117,F687,0))/100))+MIN((Skills!T19*(1+(Inputs!$B$34+IF(Inputs!$B$3&gt;=117,F687,0))/100)),MAX(0,Inputs!$B$43-((R681-1)*Skills!E19))))/Inputs!$B$43),IF(Inputs!$B$38="pvp",MIN((Skills!T19*(1+(Inputs!$B$34+IF(Inputs!$B$3&gt;=117,F687,0))/100)),15)/15,(Skills!T19*(1+(Inputs!$B$34+IF(Inputs!$B$3&gt;=117,F687,0))/100))/Skills!E19))/100),1)</f>
        <v/>
      </c>
    </row>
    <row r="695">
      <c r="A695" t="inlineStr">
        <is>
          <t>Attack Speed Buff Bonus % (Nimble Feet, averaged)</t>
        </is>
      </c>
      <c r="B695">
        <f>F680*IF(AND(Inputs!$B$38&lt;&gt;"pvp",Inputs!$B$43&gt;0),(((R680-1)*(Skills!T18*(1+(Inputs!$B$34+IF(Inputs!$B$3&gt;=117,F687,0))/100))+MIN((Skills!T18*(1+(Inputs!$B$34+IF(Inputs!$B$3&gt;=117,F687,0))/100)),MAX(0,Inputs!$B$43-((R680-1)*Skills!E18))))/Inputs!$B$43),IF(Inputs!$B$38="pvp",MIN((Skills!T18*(1+(Inputs!$B$34+IF(Inputs!$B$3&gt;=117,F687,0))/100)),15)/15,(Skills!T18*(1+(Inputs!$B$34+IF(Inputs!$B$3&gt;=117,F687,0))/100))/Skills!E18))</f>
        <v/>
      </c>
    </row>
    <row r="696">
      <c r="A696" t="inlineStr">
        <is>
          <t>Actions Per Second</t>
        </is>
      </c>
      <c r="B696">
        <f>1+MIN(150,150*(1-(1-Inputs!$B$11/150)*(1-B695/150)))/100</f>
        <v/>
      </c>
    </row>
    <row r="697">
      <c r="A697" t="inlineStr">
        <is>
          <t>Skill + Buff Cast Rate</t>
        </is>
      </c>
      <c r="B697">
        <f>IF(AND(Inputs!$B$38&lt;&gt;"pvp",Inputs!$B$43&gt;0),SUMPRODUCT((Skills!F2:F28=TRUE)*(C664:C690=TRUE)*R664:R690)/Inputs!$B$43,SUMPRODUCT((Skills!F2:F28=TRUE)*(C664:C690=TRUE)*Q664:Q690))</f>
        <v/>
      </c>
    </row>
    <row r="698">
      <c r="A698" t="inlineStr">
        <is>
          <t>Basic Attacks Per Second</t>
        </is>
      </c>
      <c r="B698">
        <f>MAX(0,B696-B697)</f>
        <v/>
      </c>
    </row>
    <row r="699">
      <c r="A699" t="inlineStr">
        <is>
          <t>Meteor Proc — combined trigger cast rate</t>
        </is>
      </c>
      <c r="B699">
        <f>IF(AND(Inputs!$B$38&lt;&gt;"pvp",Inputs!$B$43&gt;0),SUMPRODUCT((Skills!V2:V28=TRUE)*(C664:C690=TRUE)*R664:R690*Skills!W2:W28)/Inputs!$B$43,SUMPRODUCT((Skills!V2:V28=TRUE)*(C664:C690=TRUE)*Q664:Q690*Skills!W2:W28))+B698</f>
        <v/>
      </c>
    </row>
    <row r="701">
      <c r="A701" s="5" t="inlineStr">
        <is>
          <t>TOTAL DPS</t>
        </is>
      </c>
      <c r="B701" s="5">
        <f>SUM(O664:O690)</f>
        <v/>
      </c>
    </row>
    <row r="704">
      <c r="A704" s="5" t="inlineStr">
        <is>
          <t>Stat: Skill Level Bonus — 2nd Job</t>
        </is>
      </c>
    </row>
    <row r="705">
      <c r="A705" s="9" t="inlineStr">
        <is>
          <t>Key</t>
        </is>
      </c>
      <c r="B705" s="9" t="inlineStr">
        <is>
          <t>Name</t>
        </is>
      </c>
      <c r="C705" s="9" t="inlineStr">
        <is>
          <t>Unlocked</t>
        </is>
      </c>
      <c r="D705" s="9" t="inlineStr">
        <is>
          <t>InputLevel</t>
        </is>
      </c>
      <c r="E705" s="9" t="inlineStr">
        <is>
          <t>Factor</t>
        </is>
      </c>
      <c r="F705" s="9" t="inlineStr">
        <is>
          <t>CoefficientPercent</t>
        </is>
      </c>
      <c r="G705" s="9" t="inlineStr">
        <is>
          <t>EffectiveHits</t>
        </is>
      </c>
      <c r="H705" s="9" t="inlineStr">
        <is>
          <t>ProcProbability</t>
        </is>
      </c>
      <c r="I705" s="9" t="inlineStr">
        <is>
          <t>MapleHeroMultiplier</t>
        </is>
      </c>
      <c r="J705" s="9" t="inlineStr">
        <is>
          <t>BaseDamage</t>
        </is>
      </c>
      <c r="K705" s="9" t="inlineStr">
        <is>
          <t>BaseHitDamage</t>
        </is>
      </c>
      <c r="L705" s="9" t="inlineStr">
        <is>
          <t>NonCritAvg</t>
        </is>
      </c>
      <c r="M705" s="9" t="inlineStr">
        <is>
          <t>CritAvg</t>
        </is>
      </c>
      <c r="N705" s="9" t="inlineStr">
        <is>
          <t>ExpectedDamage(perHit)</t>
        </is>
      </c>
      <c r="O705" s="9" t="inlineStr">
        <is>
          <t>DPS</t>
        </is>
      </c>
      <c r="P705" s="9" t="inlineStr">
        <is>
          <t>% of Total</t>
        </is>
      </c>
      <c r="R705" t="inlineStr">
        <is>
          <t>helpers</t>
        </is>
      </c>
    </row>
    <row r="706">
      <c r="A706">
        <f>Skills!A2</f>
        <v/>
      </c>
      <c r="B706">
        <f>Skills!B2</f>
        <v/>
      </c>
      <c r="C706">
        <f>TRUE</f>
        <v/>
      </c>
      <c r="D706" t="inlineStr"/>
      <c r="E706" t="inlineStr"/>
      <c r="F706">
        <f>T708+Skills!O2</f>
        <v/>
      </c>
      <c r="G706">
        <f>Calc!G2</f>
        <v/>
      </c>
      <c r="H706">
        <f>Calc!H2</f>
        <v/>
      </c>
      <c r="I706">
        <f>IF(Skills!X2&lt;&gt;"",1+(Skills!X2/10)*(Z707/1000)/100,1)</f>
        <v/>
      </c>
      <c r="J706">
        <f>((Inputs!$B$6*(1+Inputs!$B$7/100))+(((Inputs!$B$12*(1+Inputs!$B$13/100))-(Inputs!$B$12*(1+Inputs!$B$13/100)))+0.25*(Inputs!$B$14-Inputs!$B$14))*(1+Inputs!$B$7/100))*(F706/100)</f>
        <v/>
      </c>
      <c r="K706">
        <f>J706*(1+((Inputs!$B$12*(1+Inputs!$B$13/100))*0.01+Inputs!$B$14*0.0025)/100)*(1+Inputs!$B$15/100)*(1+IF(Inputs!$B$38="pvp",0,(1-Summary!$B$56)*(Inputs!$B$20+Skills!P2)+Summary!$B$56*(Inputs!$B$21+Skills!Q2))/100)*(1+Inputs!$B$16/100)*(5000/(6000+Inputs!$B$42*(1-Inputs!$B$19/100)))*(1+Inputs!$B$24/100)*(1+F727/100)*(1+IF(Inputs!$B$3&gt;=120,F730,0)/100)^5*(1+(IF(Skills!A2="BASIC_ATTACK",Inputs!$B$17,Inputs!$B$18+IF(Inputs!$B$3&gt;=125,F731*5,0)))/100)*(B734*B735*B736*I706)</f>
        <v/>
      </c>
      <c r="L706">
        <f>K706*(MIN(Inputs!$B$22+(F726-Calc!F22),Inputs!$B$23)/100+Inputs!$B$23/100)/2</f>
        <v/>
      </c>
      <c r="M706">
        <f>L706*(1+(Inputs!$B$10+(F725-Calc!F21))/100)</f>
        <v/>
      </c>
      <c r="N706">
        <f>L706*(1-MIN(Inputs!$B$9+(F724-Calc!F20),100)/100)+M706*(MIN(Inputs!$B$9+(F724-Calc!F20),100)/100)</f>
        <v/>
      </c>
      <c r="O706">
        <f>Skills!G2*N706*B740*IF(Inputs!$B$38="pvp",1,(1-Summary!$B$56)*(1)+Summary!$B$56*(MIN((6+Inputs!$B$33+IF(Inputs!$B$3&gt;=136,1,0)),Inputs!$B$37)))</f>
        <v/>
      </c>
      <c r="P706">
        <f>IF(B743=0,0,O706/B743)</f>
        <v/>
      </c>
      <c r="Q706">
        <f>IFERROR(1/IF(Inputs!$B$38="pvp",15,MAX(0.1,Skills!E2-IF(Skills!F2=TRUE,Inputs!$B$32,0))),0)</f>
        <v/>
      </c>
      <c r="R706" t="n">
        <v>0</v>
      </c>
      <c r="T706">
        <f>MAX(0,(Inputs!$B$3-100)*3)+Inputs!$B$28+Inputs!$B$29</f>
        <v/>
      </c>
      <c r="Z706">
        <f>MAX(0,(Inputs!$B$3-100)*3)+Inputs!$B$28+Inputs!$B$29</f>
        <v/>
      </c>
    </row>
    <row r="707">
      <c r="A707">
        <f>Skills!A3</f>
        <v/>
      </c>
      <c r="B707">
        <f>Skills!B3</f>
        <v/>
      </c>
      <c r="C707">
        <f>TRUE</f>
        <v/>
      </c>
      <c r="D707">
        <f>IF(Skills!C3=1,60+Inputs!$B$25+Inputs!$B$29,IF(Skills!C3=2,90+(Inputs!$B$26+1)+Inputs!$B$29,IF(Skills!C3=3,120+Inputs!$B$27+Inputs!$B$29,MAX(0,(Inputs!$B$3-100)*3)+Inputs!$B$28+Inputs!$B$29)))</f>
        <v/>
      </c>
      <c r="E707">
        <f>INDEX(FactorTable!$B$2:$Y$301, MATCH(ROUND(MIN(300,MAX(1,D707)),0), FactorTable!$A$2:$A$301,0), Skills!M3+1)</f>
        <v/>
      </c>
      <c r="F707">
        <f>IF(Skills!N3=TRUE,(Skills!L3/10)*(E707/1000),Skills!L3/10)+Skills!O3</f>
        <v/>
      </c>
      <c r="G707">
        <f>Calc!G3</f>
        <v/>
      </c>
      <c r="H707">
        <f>Calc!H3</f>
        <v/>
      </c>
      <c r="I707">
        <f>IF(Skills!X3&lt;&gt;"",1+(Skills!X3/10)*(Z707/1000)/100,1)</f>
        <v/>
      </c>
      <c r="J707">
        <f>((Inputs!$B$6*(1+Inputs!$B$7/100))+(((Inputs!$B$12*(1+Inputs!$B$13/100))-(Inputs!$B$12*(1+Inputs!$B$13/100)))+0.25*(Inputs!$B$14-Inputs!$B$14))*(1+Inputs!$B$7/100))*(F707/100)</f>
        <v/>
      </c>
      <c r="K707">
        <f>J707*(1+((Inputs!$B$12*(1+Inputs!$B$13/100))*0.01+Inputs!$B$14*0.0025)/100)*(1+Inputs!$B$15/100)*(1+IF(Inputs!$B$38="pvp",0,(1-Summary!$B$56)*(Inputs!$B$20+Skills!P3)+Summary!$B$56*(Inputs!$B$21+Skills!Q3))/100)*(1+Inputs!$B$16/100)*(5000/(6000+Inputs!$B$42*(1-Inputs!$B$19/100)))*(1+Inputs!$B$24/100)*(1+F727/100)*(1+IF(Inputs!$B$3&gt;=120,F730,0)/100)^5*(1+(IF(Skills!A3="BASIC_ATTACK",Inputs!$B$17,Inputs!$B$18+IF(Inputs!$B$3&gt;=125,F731*5,0)))/100)*(B734*B735*B736*I707)</f>
        <v/>
      </c>
      <c r="L707">
        <f>K707*(MIN(Inputs!$B$22+(F726-Calc!F22),Inputs!$B$23)/100+Inputs!$B$23/100)/2</f>
        <v/>
      </c>
      <c r="M707">
        <f>L707*(1+(Inputs!$B$10+(F725-Calc!F21))/100)</f>
        <v/>
      </c>
      <c r="N707">
        <f>L707*(1-MIN(Inputs!$B$9+(F724-Calc!F20),100)/100)+M707*(MIN(Inputs!$B$9+(F724-Calc!F20),100)/100)</f>
        <v/>
      </c>
      <c r="O707">
        <f>IF(C707,H707*N707*IF(AND(Inputs!$B$38&lt;&gt;"pvp",Inputs!$B$43&gt;0),((Skills!G3*((R707-1)*IF(Skills!H3&gt;0,Skills!I3/Skills!H3,1)+IF(Skills!H3&gt;0,MIN(Skills!I3,MAX(0,Inputs!$B$43-((R707-1)*IF(Inputs!$B$38="pvp",15,MAX(0.1,Skills!E3-IF(Skills!F3=TRUE,Inputs!$B$32,0))))))/Skills!H3,1)))/Inputs!$B$43),G707*Q707)*IF(Inputs!$B$38="pvp",1,(1-Summary!$B$56)*(1)+Summary!$B$56*(MIN(Skills!R3,Inputs!$B$37))),0)</f>
        <v/>
      </c>
      <c r="P707">
        <f>IF(B743=0,0,O707/B743)</f>
        <v/>
      </c>
      <c r="Q707">
        <f>IFERROR(1/IF(Inputs!$B$38="pvp",15,MAX(0.1,Skills!E3-IF(Skills!F3=TRUE,Inputs!$B$32,0))),0)</f>
        <v/>
      </c>
      <c r="R707">
        <f>IF(AND(Inputs!$B$38&lt;&gt;"pvp",Inputs!$B$43&gt;0),(INT(Inputs!$B$43/IF(Inputs!$B$38="pvp",15,MAX(0.1,Skills!E3-IF(Skills!F3=TRUE,Inputs!$B$32,0))))+1),0)</f>
        <v/>
      </c>
      <c r="T707">
        <f>INDEX(FactorTable!$B$2:$Y$301, MATCH(ROUND(MIN(300,MAX(1,T706)),0), FactorTable!$A$2:$A$301,0), 22)</f>
        <v/>
      </c>
      <c r="Z707">
        <f>INDEX(FactorTable!$B$2:$Y$301, MATCH(ROUND(MIN(300,MAX(1,Z706)),0), FactorTable!$A$2:$A$301,0), 24)</f>
        <v/>
      </c>
    </row>
    <row r="708">
      <c r="A708">
        <f>Skills!A4</f>
        <v/>
      </c>
      <c r="B708">
        <f>Skills!B4</f>
        <v/>
      </c>
      <c r="C708">
        <f>TRUE</f>
        <v/>
      </c>
      <c r="D708">
        <f>IF(Skills!C4=1,60+Inputs!$B$25+Inputs!$B$29,IF(Skills!C4=2,90+(Inputs!$B$26+1)+Inputs!$B$29,IF(Skills!C4=3,120+Inputs!$B$27+Inputs!$B$29,MAX(0,(Inputs!$B$3-100)*3)+Inputs!$B$28+Inputs!$B$29)))</f>
        <v/>
      </c>
      <c r="E708">
        <f>INDEX(FactorTable!$B$2:$Y$301, MATCH(ROUND(MIN(300,MAX(1,D708)),0), FactorTable!$A$2:$A$301,0), Skills!M4+1)</f>
        <v/>
      </c>
      <c r="F708">
        <f>IF(Skills!N4=TRUE,(Skills!L4/10)*(E708/1000),Skills!L4/10)+Skills!O4</f>
        <v/>
      </c>
      <c r="G708">
        <f>Calc!G4</f>
        <v/>
      </c>
      <c r="H708">
        <f>Calc!H4</f>
        <v/>
      </c>
      <c r="I708">
        <f>IF(Skills!X4&lt;&gt;"",1+(Skills!X4/10)*(Z707/1000)/100,1)</f>
        <v/>
      </c>
      <c r="J708">
        <f>((Inputs!$B$6*(1+Inputs!$B$7/100))+(((Inputs!$B$12*(1+Inputs!$B$13/100))-(Inputs!$B$12*(1+Inputs!$B$13/100)))+0.25*(Inputs!$B$14-Inputs!$B$14))*(1+Inputs!$B$7/100))*(F708/100)</f>
        <v/>
      </c>
      <c r="K708">
        <f>J708*(1+((Inputs!$B$12*(1+Inputs!$B$13/100))*0.01+Inputs!$B$14*0.0025)/100)*(1+Inputs!$B$15/100)*(1+IF(Inputs!$B$38="pvp",0,(1-Summary!$B$56)*(Inputs!$B$20+Skills!P4)+Summary!$B$56*(Inputs!$B$21+Skills!Q4))/100)*(1+Inputs!$B$16/100)*(5000/(6000+Inputs!$B$42*(1-Inputs!$B$19/100)))*(1+Inputs!$B$24/100)*(1+F727/100)*(1+IF(Inputs!$B$3&gt;=120,F730,0)/100)^5*(1+(IF(Skills!A4="BASIC_ATTACK",Inputs!$B$17,Inputs!$B$18+IF(Inputs!$B$3&gt;=125,F731*5,0)))/100)*(B734*B735*B736*I708)</f>
        <v/>
      </c>
      <c r="L708">
        <f>K708*(MIN(Inputs!$B$22+(F726-Calc!F22),Inputs!$B$23)/100+Inputs!$B$23/100)/2</f>
        <v/>
      </c>
      <c r="M708">
        <f>L708*(1+(Inputs!$B$10+(F725-Calc!F21))/100)</f>
        <v/>
      </c>
      <c r="N708">
        <f>L708*(1-MIN(Inputs!$B$9+(F724-Calc!F20),100)/100)+M708*(MIN(Inputs!$B$9+(F724-Calc!F20),100)/100)</f>
        <v/>
      </c>
      <c r="O708">
        <f>IF(C708,H708*N708*IF(AND(Inputs!$B$38&lt;&gt;"pvp",Inputs!$B$43&gt;0),((Skills!G4*((R708-1)*IF(Skills!H4&gt;0,Skills!I4/Skills!H4,1)+IF(Skills!H4&gt;0,MIN(Skills!I4,MAX(0,Inputs!$B$43-((R708-1)*IF(Inputs!$B$38="pvp",15,MAX(0.1,Skills!E4-IF(Skills!F4=TRUE,Inputs!$B$32,0))))))/Skills!H4,1)))/Inputs!$B$43),G708*Q708)*IF(Inputs!$B$38="pvp",1,(1-Summary!$B$56)*(1)+Summary!$B$56*(MIN(Skills!R4,Inputs!$B$37))),0)</f>
        <v/>
      </c>
      <c r="P708">
        <f>IF(B743=0,0,O708/B743)</f>
        <v/>
      </c>
      <c r="Q708">
        <f>IFERROR(1/IF(Inputs!$B$38="pvp",15,MAX(0.1,Skills!E4-IF(Skills!F4=TRUE,Inputs!$B$32,0))),0)</f>
        <v/>
      </c>
      <c r="R708">
        <f>IF(AND(Inputs!$B$38&lt;&gt;"pvp",Inputs!$B$43&gt;0),(INT(Inputs!$B$43/IF(Inputs!$B$38="pvp",15,MAX(0.1,Skills!E4-IF(Skills!F4=TRUE,Inputs!$B$32,0))))+1),0)</f>
        <v/>
      </c>
      <c r="T708">
        <f>290*T707/1000</f>
        <v/>
      </c>
    </row>
    <row r="709">
      <c r="A709">
        <f>Skills!A5</f>
        <v/>
      </c>
      <c r="B709">
        <f>Skills!B5</f>
        <v/>
      </c>
      <c r="C709">
        <f>TRUE</f>
        <v/>
      </c>
      <c r="D709">
        <f>IF(Skills!C5=1,60+Inputs!$B$25+Inputs!$B$29,IF(Skills!C5=2,90+(Inputs!$B$26+1)+Inputs!$B$29,IF(Skills!C5=3,120+Inputs!$B$27+Inputs!$B$29,MAX(0,(Inputs!$B$3-100)*3)+Inputs!$B$28+Inputs!$B$29)))</f>
        <v/>
      </c>
      <c r="E709">
        <f>INDEX(FactorTable!$B$2:$Y$301, MATCH(ROUND(MIN(300,MAX(1,D709)),0), FactorTable!$A$2:$A$301,0), Skills!M5+1)</f>
        <v/>
      </c>
      <c r="F709">
        <f>IF(Skills!N5=TRUE,(Skills!L5/10)*(E709/1000),Skills!L5/10)+Skills!O5</f>
        <v/>
      </c>
      <c r="G709">
        <f>Calc!G5</f>
        <v/>
      </c>
      <c r="H709">
        <f>Calc!H5</f>
        <v/>
      </c>
      <c r="I709">
        <f>IF(Skills!X5&lt;&gt;"",1+(Skills!X5/10)*(Z707/1000)/100,1)</f>
        <v/>
      </c>
      <c r="J709">
        <f>((Inputs!$B$6*(1+Inputs!$B$7/100))+(((Inputs!$B$12*(1+Inputs!$B$13/100))-(Inputs!$B$12*(1+Inputs!$B$13/100)))+0.25*(Inputs!$B$14-Inputs!$B$14))*(1+Inputs!$B$7/100))*(F709/100)</f>
        <v/>
      </c>
      <c r="K709">
        <f>J709*(1+((Inputs!$B$12*(1+Inputs!$B$13/100))*0.01+Inputs!$B$14*0.0025)/100)*(1+Inputs!$B$15/100)*(1+IF(Inputs!$B$38="pvp",0,(1-Summary!$B$56)*(Inputs!$B$20+Skills!P5)+Summary!$B$56*(Inputs!$B$21+Skills!Q5))/100)*(1+Inputs!$B$16/100)*(5000/(6000+Inputs!$B$42*(1-Inputs!$B$19/100)))*(1+Inputs!$B$24/100)*(1+F727/100)*(1+IF(Inputs!$B$3&gt;=120,F730,0)/100)^5*(1+(IF(Skills!A5="BASIC_ATTACK",Inputs!$B$17,Inputs!$B$18+IF(Inputs!$B$3&gt;=125,F731*5,0)))/100)*(B734*B735*B736*I709)</f>
        <v/>
      </c>
      <c r="L709">
        <f>K709*(MIN(Inputs!$B$22+(F726-Calc!F22),Inputs!$B$23)/100+Inputs!$B$23/100)/2</f>
        <v/>
      </c>
      <c r="M709">
        <f>L709*(1+(Inputs!$B$10+(F725-Calc!F21))/100)</f>
        <v/>
      </c>
      <c r="N709">
        <f>L709*(1-MIN(Inputs!$B$9+(F724-Calc!F20),100)/100)+M709*(MIN(Inputs!$B$9+(F724-Calc!F20),100)/100)</f>
        <v/>
      </c>
      <c r="O709">
        <f>IF(C709,H709*N709*IF(AND(Inputs!$B$38&lt;&gt;"pvp",Inputs!$B$43&gt;0),((Skills!G5*((R709-1)*IF(Skills!H5&gt;0,Skills!I5/Skills!H5,1)+IF(Skills!H5&gt;0,MIN(Skills!I5,MAX(0,Inputs!$B$43-((R709-1)*IF(Inputs!$B$38="pvp",15,MAX(0.1,Skills!E5-IF(Skills!F5=TRUE,Inputs!$B$32,0))))))/Skills!H5,1)))/Inputs!$B$43),G709*Q709)*IF(Inputs!$B$38="pvp",1,(1-Summary!$B$56)*(1)+Summary!$B$56*(MIN(Skills!R5,Inputs!$B$37))),0)</f>
        <v/>
      </c>
      <c r="P709">
        <f>IF(B743=0,0,O709/B743)</f>
        <v/>
      </c>
      <c r="Q709">
        <f>IFERROR(1/IF(Inputs!$B$38="pvp",15,MAX(0.1,Skills!E5-IF(Skills!F5=TRUE,Inputs!$B$32,0))),0)</f>
        <v/>
      </c>
      <c r="R709">
        <f>IF(AND(Inputs!$B$38&lt;&gt;"pvp",Inputs!$B$43&gt;0),(INT(Inputs!$B$43/IF(Inputs!$B$38="pvp",15,MAX(0.1,Skills!E5-IF(Skills!F5=TRUE,Inputs!$B$32,0))))+1),0)</f>
        <v/>
      </c>
    </row>
    <row r="710">
      <c r="A710">
        <f>Skills!A6</f>
        <v/>
      </c>
      <c r="B710">
        <f>Skills!B6</f>
        <v/>
      </c>
      <c r="C710">
        <f>TRUE</f>
        <v/>
      </c>
      <c r="D710">
        <f>IF(Skills!C6=1,60+Inputs!$B$25+Inputs!$B$29,IF(Skills!C6=2,90+(Inputs!$B$26+1)+Inputs!$B$29,IF(Skills!C6=3,120+Inputs!$B$27+Inputs!$B$29,MAX(0,(Inputs!$B$3-100)*3)+Inputs!$B$28+Inputs!$B$29)))</f>
        <v/>
      </c>
      <c r="E710">
        <f>INDEX(FactorTable!$B$2:$Y$301, MATCH(ROUND(MIN(300,MAX(1,D710)),0), FactorTable!$A$2:$A$301,0), Skills!M6+1)</f>
        <v/>
      </c>
      <c r="F710">
        <f>IF(Skills!N6=TRUE,(Skills!L6/10)*(E710/1000),Skills!L6/10)+Skills!O6</f>
        <v/>
      </c>
      <c r="G710">
        <f>Calc!G6</f>
        <v/>
      </c>
      <c r="H710">
        <f>Calc!H6</f>
        <v/>
      </c>
      <c r="I710">
        <f>IF(Skills!X6&lt;&gt;"",1+(Skills!X6/10)*(Z707/1000)/100,1)</f>
        <v/>
      </c>
      <c r="J710" t="inlineStr"/>
      <c r="K710" t="inlineStr"/>
      <c r="L710" t="inlineStr"/>
      <c r="M710" t="inlineStr"/>
      <c r="N710" t="inlineStr"/>
      <c r="O710" t="n">
        <v>0</v>
      </c>
      <c r="P710">
        <f>IF(B743=0,0,O710/B743)</f>
        <v/>
      </c>
      <c r="Q710">
        <f>IFERROR(1/IF(Inputs!$B$38="pvp",15,MAX(0.1,Skills!E6-IF(Skills!F6=TRUE,Inputs!$B$32,0))),0)</f>
        <v/>
      </c>
      <c r="R710">
        <f>IF(AND(Inputs!$B$38&lt;&gt;"pvp",Inputs!$B$43&gt;0),(INT(Inputs!$B$43/IF(Inputs!$B$38="pvp",15,MAX(0.1,Skills!E6-IF(Skills!F6=TRUE,Inputs!$B$32,0))))+1),0)</f>
        <v/>
      </c>
    </row>
    <row r="711">
      <c r="A711">
        <f>Skills!A7</f>
        <v/>
      </c>
      <c r="B711">
        <f>Skills!B7</f>
        <v/>
      </c>
      <c r="C711">
        <f>TRUE</f>
        <v/>
      </c>
      <c r="D711">
        <f>IF(Skills!C7=1,60+Inputs!$B$25+Inputs!$B$29,IF(Skills!C7=2,90+(Inputs!$B$26+1)+Inputs!$B$29,IF(Skills!C7=3,120+Inputs!$B$27+Inputs!$B$29,MAX(0,(Inputs!$B$3-100)*3)+Inputs!$B$28+Inputs!$B$29)))</f>
        <v/>
      </c>
      <c r="E711">
        <f>INDEX(FactorTable!$B$2:$Y$301, MATCH(ROUND(MIN(300,MAX(1,D711)),0), FactorTable!$A$2:$A$301,0), Skills!M7+1)</f>
        <v/>
      </c>
      <c r="F711">
        <f>IF(Skills!N7=TRUE,(Skills!L7/10)*(E711/1000),Skills!L7/10)+Skills!O7</f>
        <v/>
      </c>
      <c r="G711">
        <f>Calc!G7</f>
        <v/>
      </c>
      <c r="H711">
        <f>Calc!H7</f>
        <v/>
      </c>
      <c r="I711">
        <f>IF(Skills!X7&lt;&gt;"",1+(Skills!X7/10)*(Z707/1000)/100,1)</f>
        <v/>
      </c>
      <c r="J711">
        <f>((Inputs!$B$6*(1+Inputs!$B$7/100))+(((Inputs!$B$12*(1+Inputs!$B$13/100))-(Inputs!$B$12*(1+Inputs!$B$13/100)))+0.25*(Inputs!$B$14-Inputs!$B$14))*(1+Inputs!$B$7/100))*(F711/100)</f>
        <v/>
      </c>
      <c r="K711">
        <f>J711*(1+((Inputs!$B$12*(1+Inputs!$B$13/100))*0.01+Inputs!$B$14*0.0025)/100)*(1+Inputs!$B$15/100)*(1+IF(Inputs!$B$38="pvp",0,(1-Summary!$B$56)*(Inputs!$B$20+Skills!P7)+Summary!$B$56*(Inputs!$B$21+Skills!Q7))/100)*(1+Inputs!$B$16/100)*(5000/(6000+Inputs!$B$42*(1-Inputs!$B$19/100)))*(1+Inputs!$B$24/100)*(1+F727/100)*(1+IF(Inputs!$B$3&gt;=120,F730,0)/100)^5*(1+(IF(Skills!A7="BASIC_ATTACK",Inputs!$B$17,Inputs!$B$18+IF(Inputs!$B$3&gt;=125,F731*5,0)))/100)*(B734*B735*B736*I711)</f>
        <v/>
      </c>
      <c r="L711">
        <f>K711*(MIN(Inputs!$B$22+(F726-Calc!F22),Inputs!$B$23)/100+Inputs!$B$23/100)/2</f>
        <v/>
      </c>
      <c r="M711">
        <f>L711*(1+(Inputs!$B$10+(F725-Calc!F21))/100)</f>
        <v/>
      </c>
      <c r="N711">
        <f>L711*(1-MIN(Inputs!$B$9+(F724-Calc!F20),100)/100)+M711*(MIN(Inputs!$B$9+(F724-Calc!F20),100)/100)</f>
        <v/>
      </c>
      <c r="O711">
        <f>IF(C711,H711*N711*IF(AND(Inputs!$B$38&lt;&gt;"pvp",Inputs!$B$43&gt;0),((Skills!G7*((R711-1)*IF(Skills!H7&gt;0,Skills!I7/Skills!H7,1)+IF(Skills!H7&gt;0,MIN(Skills!I7,MAX(0,Inputs!$B$43-((R711-1)*IF(Inputs!$B$38="pvp",15,MAX(0.1,Skills!E7-IF(Skills!F7=TRUE,Inputs!$B$32,0))))))/Skills!H7,1)))/Inputs!$B$43),G711*Q711)*IF(Inputs!$B$38="pvp",1,(1-Summary!$B$56)*(1)+Summary!$B$56*(MIN(Skills!R7,Inputs!$B$37))),0)</f>
        <v/>
      </c>
      <c r="P711">
        <f>IF(B743=0,0,O711/B743)</f>
        <v/>
      </c>
      <c r="Q711">
        <f>IFERROR(1/IF(Inputs!$B$38="pvp",15,MAX(0.1,Skills!E7-IF(Skills!F7=TRUE,Inputs!$B$32,0))),0)</f>
        <v/>
      </c>
      <c r="R711">
        <f>IF(AND(Inputs!$B$38&lt;&gt;"pvp",Inputs!$B$43&gt;0),(INT(Inputs!$B$43/IF(Inputs!$B$38="pvp",15,MAX(0.1,Skills!E7-IF(Skills!F7=TRUE,Inputs!$B$32,0))))+1),0)</f>
        <v/>
      </c>
    </row>
    <row r="712">
      <c r="A712">
        <f>Skills!A8</f>
        <v/>
      </c>
      <c r="B712">
        <f>Skills!B8</f>
        <v/>
      </c>
      <c r="C712">
        <f>TRUE</f>
        <v/>
      </c>
      <c r="D712">
        <f>IF(Skills!C8=1,60+Inputs!$B$25+Inputs!$B$29,IF(Skills!C8=2,90+(Inputs!$B$26+1)+Inputs!$B$29,IF(Skills!C8=3,120+Inputs!$B$27+Inputs!$B$29,MAX(0,(Inputs!$B$3-100)*3)+Inputs!$B$28+Inputs!$B$29)))</f>
        <v/>
      </c>
      <c r="E712">
        <f>INDEX(FactorTable!$B$2:$Y$301, MATCH(ROUND(MIN(300,MAX(1,D712)),0), FactorTable!$A$2:$A$301,0), Skills!M8+1)</f>
        <v/>
      </c>
      <c r="F712">
        <f>IF(Skills!N8=TRUE,(Skills!L8/10)*(E712/1000),Skills!L8/10)+Skills!O8</f>
        <v/>
      </c>
      <c r="G712">
        <f>Calc!G8</f>
        <v/>
      </c>
      <c r="H712">
        <f>Calc!H8</f>
        <v/>
      </c>
      <c r="I712">
        <f>IF(Skills!X8&lt;&gt;"",1+(Skills!X8/10)*(Z707/1000)/100,1)</f>
        <v/>
      </c>
      <c r="J712">
        <f>((Inputs!$B$6*(1+Inputs!$B$7/100))+(((Inputs!$B$12*(1+Inputs!$B$13/100))-(Inputs!$B$12*(1+Inputs!$B$13/100)))+0.25*(Inputs!$B$14-Inputs!$B$14))*(1+Inputs!$B$7/100))*(F712/100)</f>
        <v/>
      </c>
      <c r="K712">
        <f>J712*(1+((Inputs!$B$12*(1+Inputs!$B$13/100))*0.01+Inputs!$B$14*0.0025)/100)*(1+Inputs!$B$15/100)*(1+IF(Inputs!$B$38="pvp",0,(1-Summary!$B$56)*(Inputs!$B$20+Skills!P8)+Summary!$B$56*(Inputs!$B$21+Skills!Q8))/100)*(1+Inputs!$B$16/100)*(5000/(6000+Inputs!$B$42*(1-Inputs!$B$19/100)))*(1+Inputs!$B$24/100)*(1+F727/100)*(1+IF(Inputs!$B$3&gt;=120,F730,0)/100)^5*(1+(IF(Skills!A8="BASIC_ATTACK",Inputs!$B$17,Inputs!$B$18+IF(Inputs!$B$3&gt;=125,F731*5,0)))/100)*(B734*B735*B736*I712)</f>
        <v/>
      </c>
      <c r="L712">
        <f>K712*(MIN(Inputs!$B$22+(F726-Calc!F22),Inputs!$B$23)/100+Inputs!$B$23/100)/2</f>
        <v/>
      </c>
      <c r="M712">
        <f>L712*(1+(Inputs!$B$10+(F725-Calc!F21))/100)</f>
        <v/>
      </c>
      <c r="N712">
        <f>L712*(1-MIN(Inputs!$B$9+(F724-Calc!F20),100)/100)+M712*(MIN(Inputs!$B$9+(F724-Calc!F20),100)/100)</f>
        <v/>
      </c>
      <c r="O712">
        <f>IF(C712,H712*N712*IF(AND(Inputs!$B$38&lt;&gt;"pvp",Inputs!$B$43&gt;0),((Skills!G8*((R712-1)*IF(Skills!H8&gt;0,Skills!I8/Skills!H8,1)+IF(Skills!H8&gt;0,MIN(Skills!I8,MAX(0,Inputs!$B$43-((R712-1)*IF(Inputs!$B$38="pvp",15,MAX(0.1,Skills!E8-IF(Skills!F8=TRUE,Inputs!$B$32,0))))))/Skills!H8,1)))/Inputs!$B$43),G712*Q712)*IF(Inputs!$B$38="pvp",1,(1-Summary!$B$56)*(1)+Summary!$B$56*(MIN(Skills!R8,Inputs!$B$37))),0)</f>
        <v/>
      </c>
      <c r="P712">
        <f>IF(B743=0,0,O712/B743)</f>
        <v/>
      </c>
      <c r="Q712">
        <f>IFERROR(1/IF(Inputs!$B$38="pvp",15,MAX(0.1,Skills!E8-IF(Skills!F8=TRUE,Inputs!$B$32,0))),0)</f>
        <v/>
      </c>
      <c r="R712">
        <f>IF(AND(Inputs!$B$38&lt;&gt;"pvp",Inputs!$B$43&gt;0),(INT(Inputs!$B$43/IF(Inputs!$B$38="pvp",15,MAX(0.1,Skills!E8-IF(Skills!F8=TRUE,Inputs!$B$32,0))))+1),0)</f>
        <v/>
      </c>
    </row>
    <row r="713">
      <c r="A713">
        <f>Skills!A9</f>
        <v/>
      </c>
      <c r="B713">
        <f>Skills!B9</f>
        <v/>
      </c>
      <c r="C713">
        <f>Inputs!$B$3&gt;=103</f>
        <v/>
      </c>
      <c r="D713">
        <f>IF(Skills!C9=1,60+Inputs!$B$25+Inputs!$B$29,IF(Skills!C9=2,90+(Inputs!$B$26+1)+Inputs!$B$29,IF(Skills!C9=3,120+Inputs!$B$27+Inputs!$B$29,MAX(0,(Inputs!$B$3-100)*3)+Inputs!$B$28+Inputs!$B$29)))</f>
        <v/>
      </c>
      <c r="E713">
        <f>INDEX(FactorTable!$B$2:$Y$301, MATCH(ROUND(MIN(300,MAX(1,D713)),0), FactorTable!$A$2:$A$301,0), Skills!M9+1)</f>
        <v/>
      </c>
      <c r="F713">
        <f>IF(Skills!N9=TRUE,(Skills!L9/10)*(E713/1000),Skills!L9/10)+Skills!O9</f>
        <v/>
      </c>
      <c r="G713">
        <f>Calc!G9</f>
        <v/>
      </c>
      <c r="H713">
        <f>Calc!H9</f>
        <v/>
      </c>
      <c r="I713">
        <f>IF(Skills!X9&lt;&gt;"",1+(Skills!X9/10)*(Z707/1000)/100,1)</f>
        <v/>
      </c>
      <c r="J713">
        <f>((Inputs!$B$6*(1+Inputs!$B$7/100))+(((Inputs!$B$12*(1+Inputs!$B$13/100))-(Inputs!$B$12*(1+Inputs!$B$13/100)))+0.25*(Inputs!$B$14-Inputs!$B$14))*(1+Inputs!$B$7/100))*(F713/100)</f>
        <v/>
      </c>
      <c r="K713">
        <f>J713*(1+((Inputs!$B$12*(1+Inputs!$B$13/100))*0.01+Inputs!$B$14*0.0025)/100)*(1+Inputs!$B$15/100)*(1+IF(Inputs!$B$38="pvp",0,(1-Summary!$B$56)*(Inputs!$B$20+Skills!P9)+Summary!$B$56*(Inputs!$B$21+Skills!Q9))/100)*(1+Inputs!$B$16/100)*(5000/(6000+Inputs!$B$42*(1-Inputs!$B$19/100)))*(1+Inputs!$B$24/100)*(1+F727/100)*(1+IF(Inputs!$B$3&gt;=120,F730,0)/100)^5*(1+(IF(Skills!A9="BASIC_ATTACK",Inputs!$B$17,Inputs!$B$18+IF(Inputs!$B$3&gt;=125,F731*5,0)))/100)*(B734*B735*B736*I713)</f>
        <v/>
      </c>
      <c r="L713">
        <f>K713*(MIN(Inputs!$B$22+(F726-Calc!F22),Inputs!$B$23)/100+Inputs!$B$23/100)/2</f>
        <v/>
      </c>
      <c r="M713">
        <f>L713*(1+(Inputs!$B$10+(F725-Calc!F21))/100)</f>
        <v/>
      </c>
      <c r="N713">
        <f>L713*(1-MIN(Inputs!$B$9+(F724-Calc!F20),100)/100)+M713*(MIN(Inputs!$B$9+(F724-Calc!F20),100)/100)</f>
        <v/>
      </c>
      <c r="O713">
        <f>IF(C713,H713*N713*IF(AND(Inputs!$B$38&lt;&gt;"pvp",Inputs!$B$43&gt;0),((Skills!G9*((R713-1)*IF(Skills!H9&gt;0,Skills!I9/Skills!H9,1)+IF(Skills!H9&gt;0,MIN(Skills!I9,MAX(0,Inputs!$B$43-((R713-1)*IF(Inputs!$B$38="pvp",15,MAX(0.1,Skills!E9-IF(Skills!F7=TRUE,Inputs!$B$32,0))))))/Skills!H9,1)))/Inputs!$B$43),G713*Q713)*IF(Inputs!$B$38="pvp",1,(1-Summary!$B$56)*(1)+Summary!$B$56*(MIN(Skills!R9,Inputs!$B$37))),0)</f>
        <v/>
      </c>
      <c r="P713">
        <f>IF(B743=0,0,O713/B743)</f>
        <v/>
      </c>
      <c r="Q713">
        <f>IFERROR(1/IF(Inputs!$B$38="pvp",15,MAX(0.1,Skills!E9-IF(Skills!F7=TRUE,Inputs!$B$32,0))),0)</f>
        <v/>
      </c>
      <c r="R713">
        <f>IF(AND(Inputs!$B$38&lt;&gt;"pvp",Inputs!$B$43&gt;0),(INT(Inputs!$B$43/IF(Inputs!$B$38="pvp",15,MAX(0.1,Skills!E9-IF(Skills!F7=TRUE,Inputs!$B$32,0))))+1),0)</f>
        <v/>
      </c>
    </row>
    <row r="714">
      <c r="A714">
        <f>Skills!A10</f>
        <v/>
      </c>
      <c r="B714">
        <f>Skills!B10</f>
        <v/>
      </c>
      <c r="C714">
        <f>TRUE</f>
        <v/>
      </c>
      <c r="D714">
        <f>IF(Skills!C10=1,60+Inputs!$B$25+Inputs!$B$29,IF(Skills!C10=2,90+(Inputs!$B$26+1)+Inputs!$B$29,IF(Skills!C10=3,120+Inputs!$B$27+Inputs!$B$29,MAX(0,(Inputs!$B$3-100)*3)+Inputs!$B$28+Inputs!$B$29)))</f>
        <v/>
      </c>
      <c r="E714">
        <f>INDEX(FactorTable!$B$2:$Y$301, MATCH(ROUND(MIN(300,MAX(1,D714)),0), FactorTable!$A$2:$A$301,0), Skills!M10+1)</f>
        <v/>
      </c>
      <c r="F714">
        <f>IF(Skills!N10=TRUE,(Skills!L10/10)*(E714/1000),Skills!L10/10)+Skills!O10</f>
        <v/>
      </c>
      <c r="G714">
        <f>Calc!G10</f>
        <v/>
      </c>
      <c r="H714">
        <f>Calc!H10</f>
        <v/>
      </c>
      <c r="I714">
        <f>IF(Skills!X10&lt;&gt;"",1+(Skills!X10/10)*(Z707/1000)/100,1)</f>
        <v/>
      </c>
      <c r="J714">
        <f>((Inputs!$B$6*(1+Inputs!$B$7/100))+(((Inputs!$B$12*(1+Inputs!$B$13/100))-(Inputs!$B$12*(1+Inputs!$B$13/100)))+0.25*(Inputs!$B$14-Inputs!$B$14))*(1+Inputs!$B$7/100))*(F714/100)</f>
        <v/>
      </c>
      <c r="K714">
        <f>J714*(1+((Inputs!$B$12*(1+Inputs!$B$13/100))*0.01+Inputs!$B$14*0.0025)/100)*(1+Inputs!$B$15/100)*(1+IF(Inputs!$B$38="pvp",0,(1-Summary!$B$56)*(Inputs!$B$20+Skills!P10)+Summary!$B$56*(Inputs!$B$21+Skills!Q10))/100)*(1+Inputs!$B$16/100)*(5000/(6000+Inputs!$B$42*(1-Inputs!$B$19/100)))*(1+Inputs!$B$24/100)*(1+F727/100)*(1+IF(Inputs!$B$3&gt;=120,F730,0)/100)^5*(1+(IF(Skills!A10="BASIC_ATTACK",Inputs!$B$17,Inputs!$B$18+IF(Inputs!$B$3&gt;=125,F731*5,0)))/100)*(B734*B735*B736*I714)</f>
        <v/>
      </c>
      <c r="L714">
        <f>K714*(MIN(Inputs!$B$22+(F726-Calc!F22),Inputs!$B$23)/100+Inputs!$B$23/100)/2</f>
        <v/>
      </c>
      <c r="M714">
        <f>L714*(1+(Inputs!$B$10+(F725-Calc!F21))/100)</f>
        <v/>
      </c>
      <c r="N714">
        <f>L714*(1-MIN(Inputs!$B$9+(F724-Calc!F20),100)/100)+M714*(MIN(Inputs!$B$9+(F724-Calc!F20),100)/100)</f>
        <v/>
      </c>
      <c r="O714">
        <f>IF(C714,H714*N714*IF(AND(Inputs!$B$38&lt;&gt;"pvp",Inputs!$B$43&gt;0),((Skills!G10*((R714-1)*IF(Skills!H10&gt;0,Skills!I10/Skills!H10,1)+IF(Skills!H10&gt;0,MIN(Skills!I10,MAX(0,Inputs!$B$43-((R714-1)*IF(Inputs!$B$38="pvp",15,MAX(0.1,Skills!E10-IF(Skills!F10=TRUE,Inputs!$B$32,0))))))/Skills!H10,1)))/Inputs!$B$43),G714*Q714)*IF(Inputs!$B$38="pvp",1,(1-Summary!$B$56)*(1)+Summary!$B$56*(MIN(Skills!R10,Inputs!$B$37))),0)</f>
        <v/>
      </c>
      <c r="P714">
        <f>IF(B743=0,0,O714/B743)</f>
        <v/>
      </c>
      <c r="Q714">
        <f>IFERROR(1/IF(Inputs!$B$38="pvp",15,MAX(0.1,Skills!E10-IF(Skills!F10=TRUE,Inputs!$B$32,0))),0)</f>
        <v/>
      </c>
      <c r="R714">
        <f>IF(AND(Inputs!$B$38&lt;&gt;"pvp",Inputs!$B$43&gt;0),(INT(Inputs!$B$43/IF(Inputs!$B$38="pvp",15,MAX(0.1,Skills!E10-IF(Skills!F10=TRUE,Inputs!$B$32,0))))+1),0)</f>
        <v/>
      </c>
    </row>
    <row r="715">
      <c r="A715">
        <f>Skills!A11</f>
        <v/>
      </c>
      <c r="B715">
        <f>Skills!B11</f>
        <v/>
      </c>
      <c r="C715">
        <f>TRUE</f>
        <v/>
      </c>
      <c r="D715">
        <f>IF(Skills!C11=1,60+Inputs!$B$25+Inputs!$B$29,IF(Skills!C11=2,90+(Inputs!$B$26+1)+Inputs!$B$29,IF(Skills!C11=3,120+Inputs!$B$27+Inputs!$B$29,MAX(0,(Inputs!$B$3-100)*3)+Inputs!$B$28+Inputs!$B$29)))</f>
        <v/>
      </c>
      <c r="E715">
        <f>INDEX(FactorTable!$B$2:$Y$301, MATCH(ROUND(MIN(300,MAX(1,D715)),0), FactorTable!$A$2:$A$301,0), Skills!M11+1)</f>
        <v/>
      </c>
      <c r="F715">
        <f>IF(Skills!N11=TRUE,(Skills!L11/10)*(E715/1000),Skills!L11/10)+Skills!O11</f>
        <v/>
      </c>
      <c r="G715">
        <f>Calc!G11</f>
        <v/>
      </c>
      <c r="H715">
        <f>Calc!H11</f>
        <v/>
      </c>
      <c r="I715">
        <f>IF(Skills!X11&lt;&gt;"",1+(Skills!X11/10)*(Z707/1000)/100,1)</f>
        <v/>
      </c>
      <c r="J715" t="inlineStr"/>
      <c r="K715" t="inlineStr"/>
      <c r="L715" t="inlineStr"/>
      <c r="M715" t="inlineStr"/>
      <c r="N715" t="inlineStr"/>
      <c r="O715" t="n">
        <v>0</v>
      </c>
      <c r="P715">
        <f>IF(B743=0,0,O715/B743)</f>
        <v/>
      </c>
      <c r="Q715">
        <f>IFERROR(1/IF(Inputs!$B$38="pvp",15,MAX(0.1,Skills!E11-IF(Skills!F11=TRUE,Inputs!$B$32,0))),0)</f>
        <v/>
      </c>
      <c r="R715" t="n">
        <v>0</v>
      </c>
    </row>
    <row r="716">
      <c r="A716">
        <f>Skills!A12</f>
        <v/>
      </c>
      <c r="B716">
        <f>Skills!B12</f>
        <v/>
      </c>
      <c r="C716">
        <f>TRUE</f>
        <v/>
      </c>
      <c r="D716">
        <f>IF(Skills!C12=1,60+Inputs!$B$25+Inputs!$B$29,IF(Skills!C12=2,90+(Inputs!$B$26+1)+Inputs!$B$29,IF(Skills!C12=3,120+Inputs!$B$27+Inputs!$B$29,MAX(0,(Inputs!$B$3-100)*3)+Inputs!$B$28+Inputs!$B$29)))</f>
        <v/>
      </c>
      <c r="E716">
        <f>INDEX(FactorTable!$B$2:$Y$301, MATCH(ROUND(MIN(300,MAX(1,D716)),0), FactorTable!$A$2:$A$301,0), Skills!M12+1)</f>
        <v/>
      </c>
      <c r="F716">
        <f>IF(Skills!N12=TRUE,(Skills!L12/10)*(E716/1000),Skills!L12/10)+Skills!O12</f>
        <v/>
      </c>
      <c r="G716">
        <f>Calc!G12</f>
        <v/>
      </c>
      <c r="H716">
        <f>Calc!H12</f>
        <v/>
      </c>
      <c r="I716">
        <f>IF(Skills!X12&lt;&gt;"",1+(Skills!X12/10)*(Z707/1000)/100,1)</f>
        <v/>
      </c>
      <c r="J716" t="inlineStr"/>
      <c r="K716" t="inlineStr"/>
      <c r="L716" t="inlineStr"/>
      <c r="M716" t="inlineStr"/>
      <c r="N716" t="inlineStr"/>
      <c r="O716" t="n">
        <v>0</v>
      </c>
      <c r="P716">
        <f>IF(B743=0,0,O716/B743)</f>
        <v/>
      </c>
      <c r="Q716">
        <f>IFERROR(1/IF(Inputs!$B$38="pvp",15,MAX(0.1,Skills!E12-IF(Skills!F12=TRUE,Inputs!$B$32,0))),0)</f>
        <v/>
      </c>
      <c r="R716" t="n">
        <v>0</v>
      </c>
    </row>
    <row r="717">
      <c r="A717">
        <f>Skills!A13</f>
        <v/>
      </c>
      <c r="B717">
        <f>Skills!B13</f>
        <v/>
      </c>
      <c r="C717">
        <f>Inputs!$B$3&gt;=105</f>
        <v/>
      </c>
      <c r="D717">
        <f>IF(Skills!C13=1,60+Inputs!$B$25+Inputs!$B$29,IF(Skills!C13=2,90+(Inputs!$B$26+1)+Inputs!$B$29,IF(Skills!C13=3,120+Inputs!$B$27+Inputs!$B$29,MAX(0,(Inputs!$B$3-100)*3)+Inputs!$B$28+Inputs!$B$29)))</f>
        <v/>
      </c>
      <c r="E717">
        <f>INDEX(FactorTable!$B$2:$Y$301, MATCH(ROUND(MIN(300,MAX(1,D717)),0), FactorTable!$A$2:$A$301,0), Skills!M13+1)</f>
        <v/>
      </c>
      <c r="F717">
        <f>IF(Skills!N13=TRUE,(Skills!L13/10)*(E717/1000),Skills!L13/10)+Skills!O13</f>
        <v/>
      </c>
      <c r="G717">
        <f>Calc!G13</f>
        <v/>
      </c>
      <c r="H717">
        <f>Calc!H13</f>
        <v/>
      </c>
      <c r="I717">
        <f>IF(Skills!X13&lt;&gt;"",1+(Skills!X13/10)*(Z707/1000)/100,1)</f>
        <v/>
      </c>
      <c r="J717">
        <f>((Inputs!$B$6*(1+Inputs!$B$7/100))+(((Inputs!$B$12*(1+Inputs!$B$13/100))-(Inputs!$B$12*(1+Inputs!$B$13/100)))+0.25*(Inputs!$B$14-Inputs!$B$14))*(1+Inputs!$B$7/100))*(F717/100)</f>
        <v/>
      </c>
      <c r="K717">
        <f>J717*(1+((Inputs!$B$12*(1+Inputs!$B$13/100))*0.01+Inputs!$B$14*0.0025)/100)*(1+Inputs!$B$15/100)*(1+IF(Inputs!$B$38="pvp",0,(1-Summary!$B$56)*(Inputs!$B$20+Skills!P13)+Summary!$B$56*(Inputs!$B$21+Skills!Q13))/100)*(1+Inputs!$B$16/100)*(5000/(6000+Inputs!$B$42*(1-Inputs!$B$19/100)))*(1+Inputs!$B$24/100)*(1+F727/100)*(1+IF(Inputs!$B$3&gt;=120,F730,0)/100)^5*(1+(IF(Skills!A13="BASIC_ATTACK",Inputs!$B$17,Inputs!$B$18+IF(Inputs!$B$3&gt;=125,F731*5,0)))/100)*(B734*B735*B736*I717)</f>
        <v/>
      </c>
      <c r="L717">
        <f>K717*(MIN(Inputs!$B$22+(F726-Calc!F22),Inputs!$B$23)/100+Inputs!$B$23/100)/2</f>
        <v/>
      </c>
      <c r="M717">
        <f>L717*(1+(Inputs!$B$10+(F725-Calc!F21))/100)</f>
        <v/>
      </c>
      <c r="N717">
        <f>L717*(1-MIN(Inputs!$B$9+(F724-Calc!F20),100)/100)+M717*(MIN(Inputs!$B$9+(F724-Calc!F20),100)/100)</f>
        <v/>
      </c>
      <c r="O717">
        <f>IF(C717,H717*N717*IF(AND(Inputs!$B$38&lt;&gt;"pvp",Inputs!$B$43&gt;0),((Skills!G13*((R717-1)*IF(Skills!H13&gt;0,Skills!I13/Skills!H13,1)+IF(Skills!H13&gt;0,MIN(Skills!I13,MAX(0,Inputs!$B$43-((R717-1)*IF(Inputs!$B$38="pvp",15,MAX(0.1,Skills!E13-IF(Skills!F13=TRUE,Inputs!$B$32,0))))))/Skills!H13,1)))/Inputs!$B$43),G717*Q717)*IF(Inputs!$B$38="pvp",1,(1-Summary!$B$56)*(1)+Summary!$B$56*(MIN(Skills!R13,Inputs!$B$37))),0)</f>
        <v/>
      </c>
      <c r="P717">
        <f>IF(B743=0,0,O717/B743)</f>
        <v/>
      </c>
      <c r="Q717">
        <f>IFERROR(1/IF(Inputs!$B$38="pvp",15,MAX(0.1,Skills!E13-IF(Skills!F13=TRUE,Inputs!$B$32,0))),0)</f>
        <v/>
      </c>
      <c r="R717">
        <f>IF(AND(Inputs!$B$38&lt;&gt;"pvp",Inputs!$B$43&gt;0),(INT(Inputs!$B$43/IF(Inputs!$B$38="pvp",15,MAX(0.1,Skills!E13-IF(Skills!F13=TRUE,Inputs!$B$32,0))))+1),0)</f>
        <v/>
      </c>
    </row>
    <row r="718">
      <c r="A718">
        <f>Skills!A14</f>
        <v/>
      </c>
      <c r="B718">
        <f>Skills!B14</f>
        <v/>
      </c>
      <c r="C718">
        <f>Inputs!$B$3&gt;=113</f>
        <v/>
      </c>
      <c r="D718">
        <f>IF(Skills!C14=1,60+Inputs!$B$25+Inputs!$B$29,IF(Skills!C14=2,90+(Inputs!$B$26+1)+Inputs!$B$29,IF(Skills!C14=3,120+Inputs!$B$27+Inputs!$B$29,MAX(0,(Inputs!$B$3-100)*3)+Inputs!$B$28+Inputs!$B$29)))</f>
        <v/>
      </c>
      <c r="E718">
        <f>INDEX(FactorTable!$B$2:$Y$301, MATCH(ROUND(MIN(300,MAX(1,D718)),0), FactorTable!$A$2:$A$301,0), Skills!M14+1)</f>
        <v/>
      </c>
      <c r="F718">
        <f>IF(Skills!N14=TRUE,(Skills!L14/10)*(E718/1000),Skills!L14/10)+Skills!O14</f>
        <v/>
      </c>
      <c r="G718">
        <f>Calc!G14</f>
        <v/>
      </c>
      <c r="H718">
        <f>Calc!H14</f>
        <v/>
      </c>
      <c r="I718">
        <f>IF(Skills!X14&lt;&gt;"",1+(Skills!X14/10)*(Z707/1000)/100,1)</f>
        <v/>
      </c>
      <c r="J718">
        <f>((Inputs!$B$6*(1+Inputs!$B$7/100))+(((Inputs!$B$12*(1+Inputs!$B$13/100))-(Inputs!$B$12*(1+Inputs!$B$13/100)))+0.25*(Inputs!$B$14-Inputs!$B$14))*(1+Inputs!$B$7/100))*(F718/100)</f>
        <v/>
      </c>
      <c r="K718">
        <f>J718*(1+((Inputs!$B$12*(1+Inputs!$B$13/100))*0.01+Inputs!$B$14*0.0025)/100)*(1+Inputs!$B$15/100)*(1+IF(Inputs!$B$38="pvp",0,(1-Summary!$B$56)*(Inputs!$B$20+Skills!P14)+Summary!$B$56*(Inputs!$B$21+Skills!Q14))/100)*(1+Inputs!$B$16/100)*(5000/(6000+Inputs!$B$42*(1-Inputs!$B$19/100)))*(1+Inputs!$B$24/100)*(1+F727/100)*(1+IF(Inputs!$B$3&gt;=120,F730,0)/100)^5*(1+(IF(Skills!A14="BASIC_ATTACK",Inputs!$B$17,Inputs!$B$18+IF(Inputs!$B$3&gt;=125,F731*5,0)))/100)*(B734*B735*B736*I718)</f>
        <v/>
      </c>
      <c r="L718">
        <f>K718*(MIN(Inputs!$B$22+(F726-Calc!F22),Inputs!$B$23)/100+Inputs!$B$23/100)/2</f>
        <v/>
      </c>
      <c r="M718">
        <f>L718*(1+(Inputs!$B$10+(F725-Calc!F21))/100)</f>
        <v/>
      </c>
      <c r="N718">
        <f>L718*(1-MIN(Inputs!$B$9+(F724-Calc!F20),100)/100)+M718*(MIN(Inputs!$B$9+(F724-Calc!F20),100)/100)</f>
        <v/>
      </c>
      <c r="O718">
        <f>IF(C718,(H718*B741)/(1+Skills!H14*H718*B741)*N718*IF(Inputs!$B$38="pvp",1,(1-Summary!$B$56)*(1)+Summary!$B$56*(MIN(Skills!R14,Inputs!$B$37))),0)</f>
        <v/>
      </c>
      <c r="P718">
        <f>IF(B743=0,0,O718/B743)</f>
        <v/>
      </c>
      <c r="Q718">
        <f>IFERROR(1/IF(Inputs!$B$38="pvp",15,MAX(0.1,Skills!E14-IF(Skills!F14=TRUE,Inputs!$B$32,0))),0)</f>
        <v/>
      </c>
      <c r="R718" t="n">
        <v>0</v>
      </c>
    </row>
    <row r="719">
      <c r="A719">
        <f>Skills!A15</f>
        <v/>
      </c>
      <c r="B719">
        <f>Skills!B15</f>
        <v/>
      </c>
      <c r="C719">
        <f>Inputs!$B$3&gt;=107</f>
        <v/>
      </c>
      <c r="D719">
        <f>IF(Skills!C15=1,60+Inputs!$B$25+Inputs!$B$29,IF(Skills!C15=2,90+(Inputs!$B$26+1)+Inputs!$B$29,IF(Skills!C15=3,120+Inputs!$B$27+Inputs!$B$29,MAX(0,(Inputs!$B$3-100)*3)+Inputs!$B$28+Inputs!$B$29)))</f>
        <v/>
      </c>
      <c r="E719">
        <f>INDEX(FactorTable!$B$2:$Y$301, MATCH(ROUND(MIN(300,MAX(1,D719)),0), FactorTable!$A$2:$A$301,0), Skills!M15+1)</f>
        <v/>
      </c>
      <c r="F719">
        <f>IF(Skills!N15=TRUE,(Skills!L15/10)*(E719/1000),Skills!L15/10)+Skills!O15</f>
        <v/>
      </c>
      <c r="G719">
        <f>Calc!G15</f>
        <v/>
      </c>
      <c r="H719">
        <f>Calc!H15</f>
        <v/>
      </c>
      <c r="I719">
        <f>IF(Skills!X15&lt;&gt;"",1+(Skills!X15/10)*(Z707/1000)/100,1)</f>
        <v/>
      </c>
      <c r="J719">
        <f>((Inputs!$B$6*(1+Inputs!$B$7/100))+(((Inputs!$B$12*(1+Inputs!$B$13/100))-(Inputs!$B$12*(1+Inputs!$B$13/100)))+0.25*(Inputs!$B$14-Inputs!$B$14))*(1+Inputs!$B$7/100))*(F719/100)</f>
        <v/>
      </c>
      <c r="K719">
        <f>J719*(1+((Inputs!$B$12*(1+Inputs!$B$13/100))*0.01+Inputs!$B$14*0.0025)/100)*(1+Inputs!$B$15/100)*(1+IF(Inputs!$B$38="pvp",0,(1-Summary!$B$56)*(Inputs!$B$20+Skills!P15)+Summary!$B$56*(Inputs!$B$21+Skills!Q15))/100)*(1+Inputs!$B$16/100)*(5000/(6000+Inputs!$B$42*(1-Inputs!$B$19/100)))*(1+Inputs!$B$24/100)*(1+F727/100)*(1+IF(Inputs!$B$3&gt;=120,F730,0)/100)^5*(1+(IF(Skills!A15="BASIC_ATTACK",Inputs!$B$17,Inputs!$B$18+IF(Inputs!$B$3&gt;=125,F731*5,0)))/100)*(B734*B735*B736*I719)</f>
        <v/>
      </c>
      <c r="L719">
        <f>K719*(MIN(Inputs!$B$22+(F726-Calc!F22),Inputs!$B$23)/100+Inputs!$B$23/100)/2</f>
        <v/>
      </c>
      <c r="M719">
        <f>L719*(1+(Inputs!$B$10+(F725-Calc!F21))/100)</f>
        <v/>
      </c>
      <c r="N719">
        <f>L719*(1-MIN(Inputs!$B$9+(F724-Calc!F20),100)/100)+M719*(MIN(Inputs!$B$9+(F724-Calc!F20),100)/100)</f>
        <v/>
      </c>
      <c r="O719">
        <f>IF(C719,H719*N719*IF(AND(Inputs!$B$38&lt;&gt;"pvp",Inputs!$B$43&gt;0),((Skills!G15*((R719-1)*IF(Skills!H15&gt;0,Skills!I15/Skills!H15,1)+IF(Skills!H15&gt;0,MIN(Skills!I15,MAX(0,Inputs!$B$43-((R719-1)*IF(Inputs!$B$38="pvp",15,MAX(0.1,Skills!E15-IF(Skills!F15=TRUE,Inputs!$B$32,0))))))/Skills!H15,1)))/Inputs!$B$43),G719*Q719)*IF(Inputs!$B$38="pvp",1,(1-Summary!$B$56)*(1)+Summary!$B$56*(MIN(Skills!R15,Inputs!$B$37))),0)</f>
        <v/>
      </c>
      <c r="P719">
        <f>IF(B743=0,0,O719/B743)</f>
        <v/>
      </c>
      <c r="Q719">
        <f>IFERROR(1/IF(Inputs!$B$38="pvp",15,MAX(0.1,Skills!E15-IF(Skills!F15=TRUE,Inputs!$B$32,0))),0)</f>
        <v/>
      </c>
      <c r="R719">
        <f>IF(AND(Inputs!$B$38&lt;&gt;"pvp",Inputs!$B$43&gt;0),(INT(Inputs!$B$43/IF(Inputs!$B$38="pvp",15,MAX(0.1,Skills!E15-IF(Skills!F15=TRUE,Inputs!$B$32,0))))+1),0)</f>
        <v/>
      </c>
    </row>
    <row r="720">
      <c r="A720">
        <f>Skills!A16</f>
        <v/>
      </c>
      <c r="B720">
        <f>Skills!B16</f>
        <v/>
      </c>
      <c r="C720">
        <f>Inputs!$B$3&gt;=107</f>
        <v/>
      </c>
      <c r="D720">
        <f>IF(Skills!C16=1,60+Inputs!$B$25+Inputs!$B$29,IF(Skills!C16=2,90+(Inputs!$B$26+1)+Inputs!$B$29,IF(Skills!C16=3,120+Inputs!$B$27+Inputs!$B$29,MAX(0,(Inputs!$B$3-100)*3)+Inputs!$B$28+Inputs!$B$29)))</f>
        <v/>
      </c>
      <c r="E720">
        <f>INDEX(FactorTable!$B$2:$Y$301, MATCH(ROUND(MIN(300,MAX(1,D720)),0), FactorTable!$A$2:$A$301,0), Skills!M16+1)</f>
        <v/>
      </c>
      <c r="F720">
        <f>IF(Skills!N16=TRUE,(Skills!L16/10)*(E720/1000),Skills!L16/10)+Skills!O16</f>
        <v/>
      </c>
      <c r="G720">
        <f>Calc!G16</f>
        <v/>
      </c>
      <c r="H720">
        <f>Calc!H16</f>
        <v/>
      </c>
      <c r="I720">
        <f>IF(Skills!X16&lt;&gt;"",1+(Skills!X16/10)*(Z707/1000)/100,1)</f>
        <v/>
      </c>
      <c r="J720">
        <f>((Inputs!$B$6*(1+Inputs!$B$7/100))+(((Inputs!$B$12*(1+Inputs!$B$13/100))-(Inputs!$B$12*(1+Inputs!$B$13/100)))+0.25*(Inputs!$B$14-Inputs!$B$14))*(1+Inputs!$B$7/100))*(F720/100)</f>
        <v/>
      </c>
      <c r="K720">
        <f>J720*(1+((Inputs!$B$12*(1+Inputs!$B$13/100))*0.01+Inputs!$B$14*0.0025)/100)*(1+Inputs!$B$15/100)*(1+IF(Inputs!$B$38="pvp",0,(1-Summary!$B$56)*(Inputs!$B$20+Skills!P16)+Summary!$B$56*(Inputs!$B$21+Skills!Q16))/100)*(1+Inputs!$B$16/100)*(5000/(6000+Inputs!$B$42*(1-Inputs!$B$19/100)))*(1+Inputs!$B$24/100)*(1+F727/100)*(1+IF(Inputs!$B$3&gt;=120,F730,0)/100)^5*(1+(IF(Skills!A16="BASIC_ATTACK",Inputs!$B$17,Inputs!$B$18+IF(Inputs!$B$3&gt;=125,F731*5,0)))/100)*(B734*B735*B736*I720)</f>
        <v/>
      </c>
      <c r="L720">
        <f>K720*(MIN(Inputs!$B$22+(F726-Calc!F22),Inputs!$B$23)/100+Inputs!$B$23/100)/2</f>
        <v/>
      </c>
      <c r="M720">
        <f>L720*(1+(Inputs!$B$10+(F725-Calc!F21))/100)</f>
        <v/>
      </c>
      <c r="N720">
        <f>L720*(1-MIN(Inputs!$B$9+(F724-Calc!F20),100)/100)+M720*(MIN(Inputs!$B$9+(F724-Calc!F20),100)/100)</f>
        <v/>
      </c>
      <c r="O720">
        <f>IF(C720,H720*N720*IF(AND(Inputs!$B$38&lt;&gt;"pvp",Inputs!$B$43&gt;0),((Skills!G16*((R720-1)*IF(Skills!H16&gt;0,Skills!I16/Skills!H16,1)+IF(Skills!H16&gt;0,MIN(Skills!I16,MAX(0,Inputs!$B$43-((R720-1)*IF(Inputs!$B$38="pvp",15,MAX(0.1,Skills!E16-IF(Skills!F16=TRUE,Inputs!$B$32,0))))))/Skills!H16,1)))/Inputs!$B$43),G720*Q720)*(1+IF(Inputs!$B$3&gt;=126,0.05*(B740+Q717+(H718*B741)/(1+Skills!H14*H718*B741)+Q728),0)*Skills!E15)*IF(Inputs!$B$38="pvp",1,(1-Summary!$B$56)*(1)+Summary!$B$56*(MIN(Skills!R16,Inputs!$B$37))),0)</f>
        <v/>
      </c>
      <c r="P720">
        <f>IF(B743=0,0,O720/B743)</f>
        <v/>
      </c>
      <c r="Q720">
        <f>IFERROR(1/IF(Inputs!$B$38="pvp",15,MAX(0.1,Skills!E16-IF(Skills!F16=TRUE,Inputs!$B$32,0))),0)</f>
        <v/>
      </c>
      <c r="R720">
        <f>IF(AND(Inputs!$B$38&lt;&gt;"pvp",Inputs!$B$43&gt;0),(INT(Inputs!$B$43/IF(Inputs!$B$38="pvp",15,MAX(0.1,Skills!E16-IF(Skills!F16=TRUE,Inputs!$B$32,0))))+1),0)</f>
        <v/>
      </c>
    </row>
    <row r="721">
      <c r="A721">
        <f>Skills!A17</f>
        <v/>
      </c>
      <c r="B721">
        <f>Skills!B17</f>
        <v/>
      </c>
      <c r="C721">
        <f>TRUE</f>
        <v/>
      </c>
      <c r="D721">
        <f>IF(Skills!C17=1,60+Inputs!$B$25+Inputs!$B$29,IF(Skills!C17=2,90+(Inputs!$B$26+1)+Inputs!$B$29,IF(Skills!C17=3,120+Inputs!$B$27+Inputs!$B$29,MAX(0,(Inputs!$B$3-100)*3)+Inputs!$B$28+Inputs!$B$29)))</f>
        <v/>
      </c>
      <c r="E721">
        <f>INDEX(FactorTable!$B$2:$Y$301, MATCH(ROUND(MIN(300,MAX(1,D721)),0), FactorTable!$A$2:$A$301,0), Skills!M17+1)</f>
        <v/>
      </c>
      <c r="F721">
        <f>IF(Skills!N17=TRUE,(Skills!L17/10)*(E721/1000),Skills!L17/10)+Skills!O17</f>
        <v/>
      </c>
      <c r="G721">
        <f>Calc!G17</f>
        <v/>
      </c>
      <c r="H721">
        <f>Calc!H17</f>
        <v/>
      </c>
      <c r="I721">
        <f>IF(Skills!X17&lt;&gt;"",1+(Skills!X17/10)*(Z707/1000)/100,1)</f>
        <v/>
      </c>
      <c r="J721" t="inlineStr"/>
      <c r="K721" t="inlineStr"/>
      <c r="L721" t="inlineStr"/>
      <c r="M721" t="inlineStr"/>
      <c r="N721" t="inlineStr"/>
      <c r="O721" t="n">
        <v>0</v>
      </c>
      <c r="P721">
        <f>IF(B743=0,0,O721/B743)</f>
        <v/>
      </c>
      <c r="Q721">
        <f>IFERROR(1/IF(Inputs!$B$38="pvp",15,MAX(0.1,Skills!E17-IF(Skills!F17=TRUE,Inputs!$B$32,0))),0)</f>
        <v/>
      </c>
      <c r="R721">
        <f>IF(AND(Inputs!$B$38&lt;&gt;"pvp",Inputs!$B$43&gt;0),(INT(Inputs!$B$43/IF(Inputs!$B$38="pvp",15,MAX(0.1,Skills!E17-IF(Skills!F17=TRUE,Inputs!$B$32,0))))+1),0)</f>
        <v/>
      </c>
    </row>
    <row r="722">
      <c r="A722">
        <f>Skills!A18</f>
        <v/>
      </c>
      <c r="B722">
        <f>Skills!B18</f>
        <v/>
      </c>
      <c r="C722">
        <f>TRUE</f>
        <v/>
      </c>
      <c r="D722">
        <f>IF(Skills!C18=1,60+Inputs!$B$25+Inputs!$B$29,IF(Skills!C18=2,90+(Inputs!$B$26+1)+Inputs!$B$29,IF(Skills!C18=3,120+Inputs!$B$27+Inputs!$B$29,MAX(0,(Inputs!$B$3-100)*3)+Inputs!$B$28+Inputs!$B$29)))</f>
        <v/>
      </c>
      <c r="E722">
        <f>INDEX(FactorTable!$B$2:$Y$301, MATCH(ROUND(MIN(300,MAX(1,D722)),0), FactorTable!$A$2:$A$301,0), Skills!M18+1)</f>
        <v/>
      </c>
      <c r="F722">
        <f>IF(Skills!N18=TRUE,(Skills!L18/10)*(E722/1000),Skills!L18/10)+Skills!O18</f>
        <v/>
      </c>
      <c r="G722">
        <f>Calc!G18</f>
        <v/>
      </c>
      <c r="H722">
        <f>Calc!H18</f>
        <v/>
      </c>
      <c r="I722">
        <f>IF(Skills!X18&lt;&gt;"",1+(Skills!X18/10)*(Z707/1000)/100,1)</f>
        <v/>
      </c>
      <c r="J722" t="inlineStr"/>
      <c r="K722" t="inlineStr"/>
      <c r="L722" t="inlineStr"/>
      <c r="M722" t="inlineStr"/>
      <c r="N722" t="inlineStr"/>
      <c r="O722" t="n">
        <v>0</v>
      </c>
      <c r="P722">
        <f>IF(B743=0,0,O722/B743)</f>
        <v/>
      </c>
      <c r="Q722">
        <f>IFERROR(1/IF(Inputs!$B$38="pvp",15,MAX(0.1,Skills!E18-IF(Skills!F18=TRUE,Inputs!$B$32,0))),0)</f>
        <v/>
      </c>
      <c r="R722">
        <f>IF(AND(Inputs!$B$38&lt;&gt;"pvp",Inputs!$B$43&gt;0),(INT(Inputs!$B$43/IF(Inputs!$B$38="pvp",15,MAX(0.1,Skills!E18-IF(Skills!F18=TRUE,Inputs!$B$32,0))))+1),0)</f>
        <v/>
      </c>
    </row>
    <row r="723">
      <c r="A723">
        <f>Skills!A19</f>
        <v/>
      </c>
      <c r="B723">
        <f>Skills!B19</f>
        <v/>
      </c>
      <c r="C723">
        <f>Inputs!$B$3&gt;=110</f>
        <v/>
      </c>
      <c r="D723">
        <f>IF(Skills!C19=1,60+Inputs!$B$25+Inputs!$B$29,IF(Skills!C19=2,90+(Inputs!$B$26+1)+Inputs!$B$29,IF(Skills!C19=3,120+Inputs!$B$27+Inputs!$B$29,MAX(0,(Inputs!$B$3-100)*3)+Inputs!$B$28+Inputs!$B$29)))</f>
        <v/>
      </c>
      <c r="E723">
        <f>INDEX(FactorTable!$B$2:$Y$301, MATCH(ROUND(MIN(300,MAX(1,D723)),0), FactorTable!$A$2:$A$301,0), Skills!M19+1)</f>
        <v/>
      </c>
      <c r="F723">
        <f>IF(Skills!N19=TRUE,(Skills!L19/10)*(E723/1000),Skills!L19/10)+Skills!O19</f>
        <v/>
      </c>
      <c r="G723">
        <f>Calc!G19</f>
        <v/>
      </c>
      <c r="H723">
        <f>Calc!H19</f>
        <v/>
      </c>
      <c r="I723">
        <f>IF(Skills!X19&lt;&gt;"",1+(Skills!X19/10)*(Z707/1000)/100,1)</f>
        <v/>
      </c>
      <c r="J723" t="inlineStr"/>
      <c r="K723" t="inlineStr"/>
      <c r="L723" t="inlineStr"/>
      <c r="M723" t="inlineStr"/>
      <c r="N723" t="inlineStr"/>
      <c r="O723" t="n">
        <v>0</v>
      </c>
      <c r="P723">
        <f>IF(B743=0,0,O723/B743)</f>
        <v/>
      </c>
      <c r="Q723">
        <f>IFERROR(1/IF(Inputs!$B$38="pvp",15,MAX(0.1,Skills!E19-IF(Skills!F19=TRUE,Inputs!$B$32,0))),0)</f>
        <v/>
      </c>
      <c r="R723">
        <f>IF(AND(Inputs!$B$38&lt;&gt;"pvp",Inputs!$B$43&gt;0),(INT(Inputs!$B$43/IF(Inputs!$B$38="pvp",15,MAX(0.1,Skills!E19-IF(Skills!F19=TRUE,Inputs!$B$32,0))))+1),0)</f>
        <v/>
      </c>
    </row>
    <row r="724">
      <c r="A724">
        <f>Skills!A20</f>
        <v/>
      </c>
      <c r="B724">
        <f>Skills!B20</f>
        <v/>
      </c>
      <c r="C724">
        <f>TRUE</f>
        <v/>
      </c>
      <c r="D724">
        <f>IF(Skills!C20=1,60+Inputs!$B$25+Inputs!$B$29,IF(Skills!C20=2,90+(Inputs!$B$26+1)+Inputs!$B$29,IF(Skills!C20=3,120+Inputs!$B$27+Inputs!$B$29,MAX(0,(Inputs!$B$3-100)*3)+Inputs!$B$28+Inputs!$B$29)))</f>
        <v/>
      </c>
      <c r="E724">
        <f>INDEX(FactorTable!$B$2:$Y$301, MATCH(ROUND(MIN(300,MAX(1,D724)),0), FactorTable!$A$2:$A$301,0), Skills!M20+1)</f>
        <v/>
      </c>
      <c r="F724">
        <f>IF(Skills!N20=TRUE,(Skills!L20/10)*(E724/1000),Skills!L20/10)+Skills!O20</f>
        <v/>
      </c>
      <c r="G724">
        <f>Calc!G20</f>
        <v/>
      </c>
      <c r="H724">
        <f>Calc!H20</f>
        <v/>
      </c>
      <c r="I724">
        <f>IF(Skills!X20&lt;&gt;"",1+(Skills!X20/10)*(Z707/1000)/100,1)</f>
        <v/>
      </c>
      <c r="J724" t="inlineStr"/>
      <c r="K724" t="inlineStr"/>
      <c r="L724" t="inlineStr"/>
      <c r="M724" t="inlineStr"/>
      <c r="N724" t="inlineStr"/>
      <c r="O724" t="n">
        <v>0</v>
      </c>
      <c r="P724">
        <f>IF(B743=0,0,O724/B743)</f>
        <v/>
      </c>
      <c r="Q724">
        <f>IFERROR(1/IF(Inputs!$B$38="pvp",15,MAX(0.1,Skills!E20-IF(Skills!F20=TRUE,Inputs!$B$32,0))),0)</f>
        <v/>
      </c>
      <c r="R724" t="n">
        <v>0</v>
      </c>
    </row>
    <row r="725">
      <c r="A725">
        <f>Skills!A21</f>
        <v/>
      </c>
      <c r="B725">
        <f>Skills!B21</f>
        <v/>
      </c>
      <c r="C725">
        <f>TRUE</f>
        <v/>
      </c>
      <c r="D725">
        <f>IF(Skills!C21=1,60+Inputs!$B$25+Inputs!$B$29,IF(Skills!C21=2,90+(Inputs!$B$26+1)+Inputs!$B$29,IF(Skills!C21=3,120+Inputs!$B$27+Inputs!$B$29,MAX(0,(Inputs!$B$3-100)*3)+Inputs!$B$28+Inputs!$B$29)))</f>
        <v/>
      </c>
      <c r="E725">
        <f>INDEX(FactorTable!$B$2:$Y$301, MATCH(ROUND(MIN(300,MAX(1,D725)),0), FactorTable!$A$2:$A$301,0), Skills!M21+1)</f>
        <v/>
      </c>
      <c r="F725">
        <f>IF(Skills!N21=TRUE,(Skills!L21/10)*(E725/1000),Skills!L21/10)+Skills!O21</f>
        <v/>
      </c>
      <c r="G725">
        <f>Calc!G21</f>
        <v/>
      </c>
      <c r="H725">
        <f>Calc!H21</f>
        <v/>
      </c>
      <c r="I725">
        <f>IF(Skills!X21&lt;&gt;"",1+(Skills!X21/10)*(Z707/1000)/100,1)</f>
        <v/>
      </c>
      <c r="J725" t="inlineStr"/>
      <c r="K725" t="inlineStr"/>
      <c r="L725" t="inlineStr"/>
      <c r="M725" t="inlineStr"/>
      <c r="N725" t="inlineStr"/>
      <c r="O725" t="n">
        <v>0</v>
      </c>
      <c r="P725">
        <f>IF(B743=0,0,O725/B743)</f>
        <v/>
      </c>
      <c r="Q725">
        <f>IFERROR(1/IF(Inputs!$B$38="pvp",15,MAX(0.1,Skills!E21-IF(Skills!F21=TRUE,Inputs!$B$32,0))),0)</f>
        <v/>
      </c>
      <c r="R725" t="n">
        <v>0</v>
      </c>
    </row>
    <row r="726">
      <c r="A726">
        <f>Skills!A22</f>
        <v/>
      </c>
      <c r="B726">
        <f>Skills!B22</f>
        <v/>
      </c>
      <c r="C726">
        <f>TRUE</f>
        <v/>
      </c>
      <c r="D726">
        <f>IF(Skills!C22=1,60+Inputs!$B$25+Inputs!$B$29,IF(Skills!C22=2,90+(Inputs!$B$26+1)+Inputs!$B$29,IF(Skills!C22=3,120+Inputs!$B$27+Inputs!$B$29,MAX(0,(Inputs!$B$3-100)*3)+Inputs!$B$28+Inputs!$B$29)))</f>
        <v/>
      </c>
      <c r="E726">
        <f>INDEX(FactorTable!$B$2:$Y$301, MATCH(ROUND(MIN(300,MAX(1,D726)),0), FactorTable!$A$2:$A$301,0), Skills!M22+1)</f>
        <v/>
      </c>
      <c r="F726">
        <f>IF(Skills!N22=TRUE,(Skills!L22/10)*(E726/1000),Skills!L22/10)+Skills!O22</f>
        <v/>
      </c>
      <c r="G726">
        <f>Calc!G22</f>
        <v/>
      </c>
      <c r="H726">
        <f>Calc!H22</f>
        <v/>
      </c>
      <c r="I726">
        <f>IF(Skills!X22&lt;&gt;"",1+(Skills!X22/10)*(Z707/1000)/100,1)</f>
        <v/>
      </c>
      <c r="J726" t="inlineStr"/>
      <c r="K726" t="inlineStr"/>
      <c r="L726" t="inlineStr"/>
      <c r="M726" t="inlineStr"/>
      <c r="N726" t="inlineStr"/>
      <c r="O726" t="n">
        <v>0</v>
      </c>
      <c r="P726">
        <f>IF(B743=0,0,O726/B743)</f>
        <v/>
      </c>
      <c r="Q726">
        <f>IFERROR(1/IF(Inputs!$B$38="pvp",15,MAX(0.1,Skills!E22-IF(Skills!F22=TRUE,Inputs!$B$32,0))),0)</f>
        <v/>
      </c>
      <c r="R726" t="n">
        <v>0</v>
      </c>
    </row>
    <row r="727">
      <c r="A727">
        <f>Skills!A23</f>
        <v/>
      </c>
      <c r="B727">
        <f>Skills!B23</f>
        <v/>
      </c>
      <c r="C727">
        <f>TRUE</f>
        <v/>
      </c>
      <c r="D727">
        <f>IF(Skills!C23=1,60+Inputs!$B$25+Inputs!$B$29,IF(Skills!C23=2,90+(Inputs!$B$26+1)+Inputs!$B$29,IF(Skills!C23=3,120+Inputs!$B$27+Inputs!$B$29,MAX(0,(Inputs!$B$3-100)*3)+Inputs!$B$28+Inputs!$B$29)))</f>
        <v/>
      </c>
      <c r="E727">
        <f>INDEX(FactorTable!$B$2:$Y$301, MATCH(ROUND(MIN(300,MAX(1,D727)),0), FactorTable!$A$2:$A$301,0), Skills!M23+1)</f>
        <v/>
      </c>
      <c r="F727">
        <f>IF(Skills!N23=TRUE,(Skills!L23/10)*(E727/1000),Skills!L23/10)+Skills!O23</f>
        <v/>
      </c>
      <c r="G727">
        <f>Calc!G23</f>
        <v/>
      </c>
      <c r="H727">
        <f>Calc!H23</f>
        <v/>
      </c>
      <c r="I727">
        <f>IF(Skills!X23&lt;&gt;"",1+(Skills!X23/10)*(Z707/1000)/100,1)</f>
        <v/>
      </c>
      <c r="J727" t="inlineStr"/>
      <c r="K727" t="inlineStr"/>
      <c r="L727" t="inlineStr"/>
      <c r="M727" t="inlineStr"/>
      <c r="N727" t="inlineStr"/>
      <c r="O727" t="n">
        <v>0</v>
      </c>
      <c r="P727">
        <f>IF(B743=0,0,O727/B743)</f>
        <v/>
      </c>
      <c r="Q727">
        <f>IFERROR(1/IF(Inputs!$B$38="pvp",15,MAX(0.1,Skills!E23-IF(Skills!F23=TRUE,Inputs!$B$32,0))),0)</f>
        <v/>
      </c>
      <c r="R727" t="n">
        <v>0</v>
      </c>
    </row>
    <row r="728">
      <c r="A728">
        <f>Skills!A24</f>
        <v/>
      </c>
      <c r="B728">
        <f>Skills!B24</f>
        <v/>
      </c>
      <c r="C728">
        <f>Inputs!$B$3&gt;=115</f>
        <v/>
      </c>
      <c r="D728">
        <f>IF(Skills!C24=1,60+Inputs!$B$25+Inputs!$B$29,IF(Skills!C24=2,90+(Inputs!$B$26+1)+Inputs!$B$29,IF(Skills!C24=3,120+Inputs!$B$27+Inputs!$B$29,MAX(0,(Inputs!$B$3-100)*3)+Inputs!$B$28+Inputs!$B$29)))</f>
        <v/>
      </c>
      <c r="E728">
        <f>INDEX(FactorTable!$B$2:$Y$301, MATCH(ROUND(MIN(300,MAX(1,D728)),0), FactorTable!$A$2:$A$301,0), Skills!M24+1)</f>
        <v/>
      </c>
      <c r="F728">
        <f>IF(Skills!N24=TRUE,(Skills!L24/10)*(E728/1000),Skills!L24/10)+Skills!O24</f>
        <v/>
      </c>
      <c r="G728">
        <f>Calc!G24</f>
        <v/>
      </c>
      <c r="H728">
        <f>Calc!H24</f>
        <v/>
      </c>
      <c r="I728">
        <f>IF(Skills!X24&lt;&gt;"",1+(Skills!X24/10)*(Z707/1000)/100,1)</f>
        <v/>
      </c>
      <c r="J728">
        <f>((Inputs!$B$6*(1+Inputs!$B$7/100))+(((Inputs!$B$12*(1+Inputs!$B$13/100))-(Inputs!$B$12*(1+Inputs!$B$13/100)))+0.25*(Inputs!$B$14-Inputs!$B$14))*(1+Inputs!$B$7/100))*(F728/100)</f>
        <v/>
      </c>
      <c r="K728">
        <f>J728*(1+((Inputs!$B$12*(1+Inputs!$B$13/100))*0.01+Inputs!$B$14*0.0025)/100)*(1+Inputs!$B$15/100)*(1+IF(Inputs!$B$38="pvp",0,(1-Summary!$B$56)*(Inputs!$B$20+Skills!P24)+Summary!$B$56*(Inputs!$B$21+Skills!Q24))/100)*(1+Inputs!$B$16/100)*(5000/(6000+Inputs!$B$42*(1-Inputs!$B$19/100)))*(1+Inputs!$B$24/100)*(1+F727/100)*(1+IF(Inputs!$B$3&gt;=120,F730,0)/100)^5*(1+(IF(Skills!A24="BASIC_ATTACK",Inputs!$B$17,Inputs!$B$18+IF(Inputs!$B$3&gt;=125,F731*5,0)))/100)*(B734*B735*B736*I728)</f>
        <v/>
      </c>
      <c r="L728">
        <f>K728*(MIN(Inputs!$B$22+(F726-Calc!F22),Inputs!$B$23)/100+Inputs!$B$23/100)/2</f>
        <v/>
      </c>
      <c r="M728">
        <f>L728*(1+(Inputs!$B$10+(F725-Calc!F21))/100)</f>
        <v/>
      </c>
      <c r="N728">
        <f>L728*(1-MIN(Inputs!$B$9+(F724-Calc!F20),100)/100)+M728*(MIN(Inputs!$B$9+(F724-Calc!F20),100)/100)</f>
        <v/>
      </c>
      <c r="O728">
        <f>IF(C728,H728*N728*IF(AND(Inputs!$B$38&lt;&gt;"pvp",Inputs!$B$43&gt;0),((Skills!G24*((R728-1)*IF(Skills!H24&gt;0,Skills!I24/Skills!H24,1)+IF(Skills!H24&gt;0,MIN(Skills!I24,MAX(0,Inputs!$B$43-((R728-1)*IF(Inputs!$B$38="pvp",15,MAX(0.1,Skills!E24-IF(Skills!F24=TRUE,Inputs!$B$32,0))))))/Skills!H24,1)))/Inputs!$B$43),G728*Q728)*(1+IF(Inputs!$B$3&gt;=130,0.2*(Skills!I16/Skills!E15+IF(Inputs!$B$3&gt;=126,0.05*(B740+Q717+(H718*B741)/(1+Skills!H14*H718*B741)+Q728),0)*Skills!I16),0))*IF(Inputs!$B$38="pvp",1,(1-Summary!$B$56)*(1)+Summary!$B$56*(MIN(Skills!R24,Inputs!$B$37))),0)</f>
        <v/>
      </c>
      <c r="P728">
        <f>IF(B743=0,0,O728/B743)</f>
        <v/>
      </c>
      <c r="Q728">
        <f>IFERROR(1/IF(Inputs!$B$38="pvp",15,MAX(0.1,Skills!E24-IF(Skills!F24=TRUE,Inputs!$B$32,0))),0)</f>
        <v/>
      </c>
      <c r="R728">
        <f>IF(AND(Inputs!$B$38&lt;&gt;"pvp",Inputs!$B$43&gt;0),(INT(Inputs!$B$43/IF(Inputs!$B$38="pvp",15,MAX(0.1,Skills!E24-IF(Skills!F24=TRUE,Inputs!$B$32,0))))+1),0)</f>
        <v/>
      </c>
    </row>
    <row r="729">
      <c r="A729">
        <f>Skills!A25</f>
        <v/>
      </c>
      <c r="B729">
        <f>Skills!B25</f>
        <v/>
      </c>
      <c r="C729">
        <f>Inputs!$B$3&gt;=117</f>
        <v/>
      </c>
      <c r="D729">
        <f>IF(Skills!C25=1,60+Inputs!$B$25+Inputs!$B$29,IF(Skills!C25=2,90+(Inputs!$B$26+1)+Inputs!$B$29,IF(Skills!C25=3,120+Inputs!$B$27+Inputs!$B$29,MAX(0,(Inputs!$B$3-100)*3)+Inputs!$B$28+Inputs!$B$29)))</f>
        <v/>
      </c>
      <c r="E729">
        <f>INDEX(FactorTable!$B$2:$Y$301, MATCH(ROUND(MIN(300,MAX(1,D729)),0), FactorTable!$A$2:$A$301,0), Skills!M25+1)</f>
        <v/>
      </c>
      <c r="F729">
        <f>IF(Skills!N25=TRUE,(Skills!L25/10)*(E729/1000),Skills!L25/10)+Skills!O25</f>
        <v/>
      </c>
      <c r="G729">
        <f>Calc!G25</f>
        <v/>
      </c>
      <c r="H729">
        <f>Calc!H25</f>
        <v/>
      </c>
      <c r="I729">
        <f>IF(Skills!X25&lt;&gt;"",1+(Skills!X25/10)*(Z707/1000)/100,1)</f>
        <v/>
      </c>
      <c r="J729" t="inlineStr"/>
      <c r="K729" t="inlineStr"/>
      <c r="L729" t="inlineStr"/>
      <c r="M729" t="inlineStr"/>
      <c r="N729" t="inlineStr"/>
      <c r="O729" t="n">
        <v>0</v>
      </c>
      <c r="P729">
        <f>IF(B743=0,0,O729/B743)</f>
        <v/>
      </c>
      <c r="Q729">
        <f>IFERROR(1/IF(Inputs!$B$38="pvp",15,MAX(0.1,Skills!E25-IF(Skills!F25=TRUE,Inputs!$B$32,0))),0)</f>
        <v/>
      </c>
      <c r="R729" t="n">
        <v>0</v>
      </c>
    </row>
    <row r="730">
      <c r="A730">
        <f>Skills!A26</f>
        <v/>
      </c>
      <c r="B730">
        <f>Skills!B26</f>
        <v/>
      </c>
      <c r="C730">
        <f>Inputs!$B$3&gt;=120</f>
        <v/>
      </c>
      <c r="D730">
        <f>IF(Skills!C26=1,60+Inputs!$B$25+Inputs!$B$29,IF(Skills!C26=2,90+(Inputs!$B$26+1)+Inputs!$B$29,IF(Skills!C26=3,120+Inputs!$B$27+Inputs!$B$29,MAX(0,(Inputs!$B$3-100)*3)+Inputs!$B$28+Inputs!$B$29)))</f>
        <v/>
      </c>
      <c r="E730">
        <f>INDEX(FactorTable!$B$2:$Y$301, MATCH(ROUND(MIN(300,MAX(1,D730)),0), FactorTable!$A$2:$A$301,0), Skills!M26+1)</f>
        <v/>
      </c>
      <c r="F730">
        <f>IF(Skills!N26=TRUE,(Skills!L26/10)*(E730/1000),Skills!L26/10)+Skills!O26</f>
        <v/>
      </c>
      <c r="G730">
        <f>Calc!G26</f>
        <v/>
      </c>
      <c r="H730">
        <f>Calc!H26</f>
        <v/>
      </c>
      <c r="I730">
        <f>IF(Skills!X26&lt;&gt;"",1+(Skills!X26/10)*(Z707/1000)/100,1)</f>
        <v/>
      </c>
      <c r="J730" t="inlineStr"/>
      <c r="K730" t="inlineStr"/>
      <c r="L730" t="inlineStr"/>
      <c r="M730" t="inlineStr"/>
      <c r="N730" t="inlineStr"/>
      <c r="O730" t="n">
        <v>0</v>
      </c>
      <c r="P730">
        <f>IF(B743=0,0,O730/B743)</f>
        <v/>
      </c>
      <c r="Q730">
        <f>IFERROR(1/IF(Inputs!$B$38="pvp",15,MAX(0.1,Skills!E26-IF(Skills!F26=TRUE,Inputs!$B$32,0))),0)</f>
        <v/>
      </c>
      <c r="R730" t="n">
        <v>0</v>
      </c>
    </row>
    <row r="731">
      <c r="A731">
        <f>Skills!A27</f>
        <v/>
      </c>
      <c r="B731">
        <f>Skills!B27</f>
        <v/>
      </c>
      <c r="C731">
        <f>Inputs!$B$3&gt;=125</f>
        <v/>
      </c>
      <c r="D731">
        <f>IF(Skills!C27=1,60+Inputs!$B$25+Inputs!$B$29,IF(Skills!C27=2,90+(Inputs!$B$26+1)+Inputs!$B$29,IF(Skills!C27=3,120+Inputs!$B$27+Inputs!$B$29,MAX(0,(Inputs!$B$3-100)*3)+Inputs!$B$28+Inputs!$B$29)))</f>
        <v/>
      </c>
      <c r="E731">
        <f>INDEX(FactorTable!$B$2:$Y$301, MATCH(ROUND(MIN(300,MAX(1,D731)),0), FactorTable!$A$2:$A$301,0), Skills!M27+1)</f>
        <v/>
      </c>
      <c r="F731">
        <f>IF(Skills!N27=TRUE,(Skills!L27/10)*(E731/1000),Skills!L27/10)+Skills!O27</f>
        <v/>
      </c>
      <c r="G731">
        <f>Calc!G27</f>
        <v/>
      </c>
      <c r="H731">
        <f>Calc!H27</f>
        <v/>
      </c>
      <c r="I731">
        <f>IF(Skills!X27&lt;&gt;"",1+(Skills!X27/10)*(Z707/1000)/100,1)</f>
        <v/>
      </c>
      <c r="J731" t="inlineStr"/>
      <c r="K731" t="inlineStr"/>
      <c r="L731" t="inlineStr"/>
      <c r="M731" t="inlineStr"/>
      <c r="N731" t="inlineStr"/>
      <c r="O731" t="n">
        <v>0</v>
      </c>
      <c r="P731">
        <f>IF(B743=0,0,O731/B743)</f>
        <v/>
      </c>
      <c r="Q731">
        <f>IFERROR(1/IF(Inputs!$B$38="pvp",15,MAX(0.1,Skills!E27-IF(Skills!F27=TRUE,Inputs!$B$32,0))),0)</f>
        <v/>
      </c>
      <c r="R731" t="n">
        <v>0</v>
      </c>
    </row>
    <row r="732">
      <c r="A732">
        <f>Skills!A28</f>
        <v/>
      </c>
      <c r="B732">
        <f>Skills!B28</f>
        <v/>
      </c>
      <c r="C732">
        <f>Inputs!$B$3&gt;=118</f>
        <v/>
      </c>
      <c r="D732">
        <f>IF(Skills!C28=1,60+Inputs!$B$25+Inputs!$B$29,IF(Skills!C28=2,90+(Inputs!$B$26+1)+Inputs!$B$29,IF(Skills!C28=3,120+Inputs!$B$27+Inputs!$B$29,MAX(0,(Inputs!$B$3-100)*3)+Inputs!$B$28+Inputs!$B$29)))</f>
        <v/>
      </c>
      <c r="E732">
        <f>INDEX(FactorTable!$B$2:$Y$301, MATCH(ROUND(MIN(300,MAX(1,D732)),0), FactorTable!$A$2:$A$301,0), Skills!M28+1)</f>
        <v/>
      </c>
      <c r="F732">
        <f>IF(Skills!N28=TRUE,(Skills!L28/10)*(E732/1000),Skills!L28/10)+Skills!O28</f>
        <v/>
      </c>
      <c r="G732">
        <f>Calc!G28</f>
        <v/>
      </c>
      <c r="H732">
        <f>Calc!H28</f>
        <v/>
      </c>
      <c r="I732">
        <f>IF(Skills!X28&lt;&gt;"",1+(Skills!X28/10)*(Z707/1000)/100,1)</f>
        <v/>
      </c>
      <c r="J732">
        <f>((Inputs!$B$6*(1+Inputs!$B$7/100))+(((Inputs!$B$12*(1+Inputs!$B$13/100))-(Inputs!$B$12*(1+Inputs!$B$13/100)))+0.25*(Inputs!$B$14-Inputs!$B$14))*(1+Inputs!$B$7/100))*(F732/100)</f>
        <v/>
      </c>
      <c r="K732">
        <f>J732*(1+((Inputs!$B$12*(1+Inputs!$B$13/100))*0.01+Inputs!$B$14*0.0025)/100)*(1+Inputs!$B$15/100)*(1+IF(Inputs!$B$38="pvp",0,(1-Summary!$B$56)*(Inputs!$B$20+Skills!P28)+Summary!$B$56*(Inputs!$B$21+Skills!Q28))/100)*(1+Inputs!$B$16/100)*(5000/(6000+Inputs!$B$42*(1-Inputs!$B$19/100)))*(1+Inputs!$B$24/100)*(1+F727/100)*(1+IF(Inputs!$B$3&gt;=120,F730,0)/100)^5*(1+(IF(Skills!A28="BASIC_ATTACK",Inputs!$B$17,Inputs!$B$18+IF(Inputs!$B$3&gt;=125,F731*5,0)))/100)*(B734*B735*B736*I732)</f>
        <v/>
      </c>
      <c r="L732">
        <f>K732*(MIN(Inputs!$B$22+(F726-Calc!F22),Inputs!$B$23)/100+Inputs!$B$23/100)/2</f>
        <v/>
      </c>
      <c r="M732">
        <f>L732*(1+(Inputs!$B$10+(F725-Calc!F21))/100)</f>
        <v/>
      </c>
      <c r="N732">
        <f>L732*(1-MIN(Inputs!$B$9+(F724-Calc!F20),100)/100)+M732*(MIN(Inputs!$B$9+(F724-Calc!F20),100)/100)</f>
        <v/>
      </c>
      <c r="O732">
        <f>IF(C732,H732*N732*IF(AND(Inputs!$B$38&lt;&gt;"pvp",Inputs!$B$43&gt;0),((Skills!G28*((R732-1)*IF(Skills!H28&gt;0,Skills!I28/Skills!H28,1)+IF(Skills!H28&gt;0,MIN(Skills!I28,MAX(0,Inputs!$B$43-((R732-1)*IF(Inputs!$B$38="pvp",15,MAX(0.1,Skills!E28-IF(Skills!F28=TRUE,Inputs!$B$32,0))))))/Skills!H28,1)))/Inputs!$B$43),G732*Q732)*IF(Inputs!$B$38="pvp",1,(1-Summary!$B$56)*(1)+Summary!$B$56*(MIN(Skills!R28,Inputs!$B$37))),0)</f>
        <v/>
      </c>
      <c r="P732">
        <f>IF(B743=0,0,O732/B743)</f>
        <v/>
      </c>
      <c r="Q732">
        <f>IFERROR(1/IF(Inputs!$B$38="pvp",15,MAX(0.1,Skills!E28-IF(Skills!F28=TRUE,Inputs!$B$32,0))),0)</f>
        <v/>
      </c>
      <c r="R732">
        <f>IF(AND(Inputs!$B$38&lt;&gt;"pvp",Inputs!$B$43&gt;0),(INT(Inputs!$B$43/IF(Inputs!$B$38="pvp",15,MAX(0.1,Skills!E28-IF(Skills!F28=TRUE,Inputs!$B$32,0))))+1),0)</f>
        <v/>
      </c>
    </row>
    <row r="734">
      <c r="A734" t="inlineStr">
        <is>
          <t>Burning Magic Multiplier</t>
        </is>
      </c>
      <c r="B734">
        <f>1+(F715*Skills!Z11)/100</f>
        <v/>
      </c>
    </row>
    <row r="735">
      <c r="A735" t="inlineStr">
        <is>
          <t>Elemental Decrease Multiplier (always-on)</t>
        </is>
      </c>
      <c r="B735">
        <f>1+F716/100</f>
        <v/>
      </c>
    </row>
    <row r="736">
      <c r="A736" t="inlineStr">
        <is>
          <t>Average Buff Multiplier (Magic Guard + Meditation, summed; then Infinity)</t>
        </is>
      </c>
      <c r="B736">
        <f>(1+(F710*IF(AND(Inputs!$B$38&lt;&gt;"pvp",Inputs!$B$43&gt;0),(((R710-1)*(Skills!T6*(1+(Inputs!$B$34+IF(Inputs!$B$3&gt;=117,F729,0))/100))+MIN((Skills!T6*(1+(Inputs!$B$34+IF(Inputs!$B$3&gt;=117,F729,0))/100)),MAX(0,Inputs!$B$43-((R710-1)*Skills!E6))))/Inputs!$B$43),IF(Inputs!$B$38="pvp",MIN((Skills!T6*(1+(Inputs!$B$34+IF(Inputs!$B$3&gt;=117,F729,0))/100)),15)/15,(Skills!T6*(1+(Inputs!$B$34+IF(Inputs!$B$3&gt;=117,F729,0))/100))/Skills!E6))+F721*IF(AND(Inputs!$B$38&lt;&gt;"pvp",Inputs!$B$43&gt;0),(((R721-1)*(Skills!T17*(1+(Inputs!$B$34+IF(Inputs!$B$3&gt;=117,F729,0))/100))+MIN((Skills!T17*(1+(Inputs!$B$34+IF(Inputs!$B$3&gt;=117,F729,0))/100)),MAX(0,Inputs!$B$43-((R721-1)*Skills!E17))))/Inputs!$B$43),IF(Inputs!$B$38="pvp",MIN((Skills!T17*(1+(Inputs!$B$34+IF(Inputs!$B$3&gt;=117,F729,0))/100)),15)/15,(Skills!T17*(1+(Inputs!$B$34+IF(Inputs!$B$3&gt;=117,F729,0))/100))/Skills!E17)))/100)*IF(C723=TRUE,(1+F723*IF(AND(Inputs!$B$38&lt;&gt;"pvp",Inputs!$B$43&gt;0),(((R723-1)*(Skills!T19*(1+(Inputs!$B$34+IF(Inputs!$B$3&gt;=117,F729,0))/100))+MIN((Skills!T19*(1+(Inputs!$B$34+IF(Inputs!$B$3&gt;=117,F729,0))/100)),MAX(0,Inputs!$B$43-((R723-1)*Skills!E19))))/Inputs!$B$43),IF(Inputs!$B$38="pvp",MIN((Skills!T19*(1+(Inputs!$B$34+IF(Inputs!$B$3&gt;=117,F729,0))/100)),15)/15,(Skills!T19*(1+(Inputs!$B$34+IF(Inputs!$B$3&gt;=117,F729,0))/100))/Skills!E19))/100),1)</f>
        <v/>
      </c>
    </row>
    <row r="737">
      <c r="A737" t="inlineStr">
        <is>
          <t>Attack Speed Buff Bonus % (Nimble Feet, averaged)</t>
        </is>
      </c>
      <c r="B737">
        <f>F722*IF(AND(Inputs!$B$38&lt;&gt;"pvp",Inputs!$B$43&gt;0),(((R722-1)*(Skills!T18*(1+(Inputs!$B$34+IF(Inputs!$B$3&gt;=117,F729,0))/100))+MIN((Skills!T18*(1+(Inputs!$B$34+IF(Inputs!$B$3&gt;=117,F729,0))/100)),MAX(0,Inputs!$B$43-((R722-1)*Skills!E18))))/Inputs!$B$43),IF(Inputs!$B$38="pvp",MIN((Skills!T18*(1+(Inputs!$B$34+IF(Inputs!$B$3&gt;=117,F729,0))/100)),15)/15,(Skills!T18*(1+(Inputs!$B$34+IF(Inputs!$B$3&gt;=117,F729,0))/100))/Skills!E18))</f>
        <v/>
      </c>
    </row>
    <row r="738">
      <c r="A738" t="inlineStr">
        <is>
          <t>Actions Per Second</t>
        </is>
      </c>
      <c r="B738">
        <f>1+MIN(150,150*(1-(1-Inputs!$B$11/150)*(1-B737/150)))/100</f>
        <v/>
      </c>
    </row>
    <row r="739">
      <c r="A739" t="inlineStr">
        <is>
          <t>Skill + Buff Cast Rate</t>
        </is>
      </c>
      <c r="B739">
        <f>IF(AND(Inputs!$B$38&lt;&gt;"pvp",Inputs!$B$43&gt;0),SUMPRODUCT((Skills!F2:F28=TRUE)*(C706:C732=TRUE)*R706:R732)/Inputs!$B$43,SUMPRODUCT((Skills!F2:F28=TRUE)*(C706:C732=TRUE)*Q706:Q732))</f>
        <v/>
      </c>
    </row>
    <row r="740">
      <c r="A740" t="inlineStr">
        <is>
          <t>Basic Attacks Per Second</t>
        </is>
      </c>
      <c r="B740">
        <f>MAX(0,B738-B739)</f>
        <v/>
      </c>
    </row>
    <row r="741">
      <c r="A741" t="inlineStr">
        <is>
          <t>Meteor Proc — combined trigger cast rate</t>
        </is>
      </c>
      <c r="B741">
        <f>IF(AND(Inputs!$B$38&lt;&gt;"pvp",Inputs!$B$43&gt;0),SUMPRODUCT((Skills!V2:V28=TRUE)*(C706:C732=TRUE)*R706:R732*Skills!W2:W28)/Inputs!$B$43,SUMPRODUCT((Skills!V2:V28=TRUE)*(C706:C732=TRUE)*Q706:Q732*Skills!W2:W28))+B740</f>
        <v/>
      </c>
    </row>
    <row r="743">
      <c r="A743" s="5" t="inlineStr">
        <is>
          <t>TOTAL DPS</t>
        </is>
      </c>
      <c r="B743" s="5">
        <f>SUM(O706:O732)</f>
        <v/>
      </c>
    </row>
    <row r="746">
      <c r="A746" s="5" t="inlineStr">
        <is>
          <t>Stat: Skill Level Bonus — 3rd Job</t>
        </is>
      </c>
    </row>
    <row r="747">
      <c r="A747" s="9" t="inlineStr">
        <is>
          <t>Key</t>
        </is>
      </c>
      <c r="B747" s="9" t="inlineStr">
        <is>
          <t>Name</t>
        </is>
      </c>
      <c r="C747" s="9" t="inlineStr">
        <is>
          <t>Unlocked</t>
        </is>
      </c>
      <c r="D747" s="9" t="inlineStr">
        <is>
          <t>InputLevel</t>
        </is>
      </c>
      <c r="E747" s="9" t="inlineStr">
        <is>
          <t>Factor</t>
        </is>
      </c>
      <c r="F747" s="9" t="inlineStr">
        <is>
          <t>CoefficientPercent</t>
        </is>
      </c>
      <c r="G747" s="9" t="inlineStr">
        <is>
          <t>EffectiveHits</t>
        </is>
      </c>
      <c r="H747" s="9" t="inlineStr">
        <is>
          <t>ProcProbability</t>
        </is>
      </c>
      <c r="I747" s="9" t="inlineStr">
        <is>
          <t>MapleHeroMultiplier</t>
        </is>
      </c>
      <c r="J747" s="9" t="inlineStr">
        <is>
          <t>BaseDamage</t>
        </is>
      </c>
      <c r="K747" s="9" t="inlineStr">
        <is>
          <t>BaseHitDamage</t>
        </is>
      </c>
      <c r="L747" s="9" t="inlineStr">
        <is>
          <t>NonCritAvg</t>
        </is>
      </c>
      <c r="M747" s="9" t="inlineStr">
        <is>
          <t>CritAvg</t>
        </is>
      </c>
      <c r="N747" s="9" t="inlineStr">
        <is>
          <t>ExpectedDamage(perHit)</t>
        </is>
      </c>
      <c r="O747" s="9" t="inlineStr">
        <is>
          <t>DPS</t>
        </is>
      </c>
      <c r="P747" s="9" t="inlineStr">
        <is>
          <t>% of Total</t>
        </is>
      </c>
      <c r="R747" t="inlineStr">
        <is>
          <t>helpers</t>
        </is>
      </c>
    </row>
    <row r="748">
      <c r="A748">
        <f>Skills!A2</f>
        <v/>
      </c>
      <c r="B748">
        <f>Skills!B2</f>
        <v/>
      </c>
      <c r="C748">
        <f>TRUE</f>
        <v/>
      </c>
      <c r="D748" t="inlineStr"/>
      <c r="E748" t="inlineStr"/>
      <c r="F748">
        <f>T750+Skills!O2</f>
        <v/>
      </c>
      <c r="G748">
        <f>Calc!G2</f>
        <v/>
      </c>
      <c r="H748">
        <f>Calc!H2</f>
        <v/>
      </c>
      <c r="I748">
        <f>IF(Skills!X2&lt;&gt;"",1+(Skills!X2/10)*(Z749/1000)/100,1)</f>
        <v/>
      </c>
      <c r="J748">
        <f>((Inputs!$B$6*(1+Inputs!$B$7/100))+(((Inputs!$B$12*(1+Inputs!$B$13/100))-(Inputs!$B$12*(1+Inputs!$B$13/100)))+0.25*(Inputs!$B$14-Inputs!$B$14))*(1+Inputs!$B$7/100))*(F748/100)</f>
        <v/>
      </c>
      <c r="K748">
        <f>J748*(1+((Inputs!$B$12*(1+Inputs!$B$13/100))*0.01+Inputs!$B$14*0.0025)/100)*(1+Inputs!$B$15/100)*(1+IF(Inputs!$B$38="pvp",0,(1-Summary!$B$56)*(Inputs!$B$20+Skills!P2)+Summary!$B$56*(Inputs!$B$21+Skills!Q2))/100)*(1+Inputs!$B$16/100)*(5000/(6000+Inputs!$B$42*(1-Inputs!$B$19/100)))*(1+Inputs!$B$24/100)*(1+F769/100)*(1+IF(Inputs!$B$3&gt;=120,F772,0)/100)^5*(1+(IF(Skills!A2="BASIC_ATTACK",Inputs!$B$17,Inputs!$B$18+IF(Inputs!$B$3&gt;=125,F773*5,0)))/100)*(B776*B777*B778*I748)</f>
        <v/>
      </c>
      <c r="L748">
        <f>K748*(MIN(Inputs!$B$22+(F768-Calc!F22),Inputs!$B$23)/100+Inputs!$B$23/100)/2</f>
        <v/>
      </c>
      <c r="M748">
        <f>L748*(1+(Inputs!$B$10+(F767-Calc!F21))/100)</f>
        <v/>
      </c>
      <c r="N748">
        <f>L748*(1-MIN(Inputs!$B$9+(F766-Calc!F20),100)/100)+M748*(MIN(Inputs!$B$9+(F766-Calc!F20),100)/100)</f>
        <v/>
      </c>
      <c r="O748">
        <f>Skills!G2*N748*B782*IF(Inputs!$B$38="pvp",1,(1-Summary!$B$56)*(1)+Summary!$B$56*(MIN((6+Inputs!$B$33+IF(Inputs!$B$3&gt;=136,1,0)),Inputs!$B$37)))</f>
        <v/>
      </c>
      <c r="P748">
        <f>IF(B785=0,0,O748/B785)</f>
        <v/>
      </c>
      <c r="Q748">
        <f>IFERROR(1/IF(Inputs!$B$38="pvp",15,MAX(0.1,Skills!E2-IF(Skills!F2=TRUE,Inputs!$B$32,0))),0)</f>
        <v/>
      </c>
      <c r="R748" t="n">
        <v>0</v>
      </c>
      <c r="T748">
        <f>MAX(0,(Inputs!$B$3-100)*3)+Inputs!$B$28+Inputs!$B$29</f>
        <v/>
      </c>
      <c r="Z748">
        <f>MAX(0,(Inputs!$B$3-100)*3)+Inputs!$B$28+Inputs!$B$29</f>
        <v/>
      </c>
    </row>
    <row r="749">
      <c r="A749">
        <f>Skills!A3</f>
        <v/>
      </c>
      <c r="B749">
        <f>Skills!B3</f>
        <v/>
      </c>
      <c r="C749">
        <f>TRUE</f>
        <v/>
      </c>
      <c r="D749">
        <f>IF(Skills!C3=1,60+Inputs!$B$25+Inputs!$B$29,IF(Skills!C3=2,90+Inputs!$B$26+Inputs!$B$29,IF(Skills!C3=3,120+(Inputs!$B$27+1)+Inputs!$B$29,MAX(0,(Inputs!$B$3-100)*3)+Inputs!$B$28+Inputs!$B$29)))</f>
        <v/>
      </c>
      <c r="E749">
        <f>INDEX(FactorTable!$B$2:$Y$301, MATCH(ROUND(MIN(300,MAX(1,D749)),0), FactorTable!$A$2:$A$301,0), Skills!M3+1)</f>
        <v/>
      </c>
      <c r="F749">
        <f>IF(Skills!N3=TRUE,(Skills!L3/10)*(E749/1000),Skills!L3/10)+Skills!O3</f>
        <v/>
      </c>
      <c r="G749">
        <f>Calc!G3</f>
        <v/>
      </c>
      <c r="H749">
        <f>Calc!H3</f>
        <v/>
      </c>
      <c r="I749">
        <f>IF(Skills!X3&lt;&gt;"",1+(Skills!X3/10)*(Z749/1000)/100,1)</f>
        <v/>
      </c>
      <c r="J749">
        <f>((Inputs!$B$6*(1+Inputs!$B$7/100))+(((Inputs!$B$12*(1+Inputs!$B$13/100))-(Inputs!$B$12*(1+Inputs!$B$13/100)))+0.25*(Inputs!$B$14-Inputs!$B$14))*(1+Inputs!$B$7/100))*(F749/100)</f>
        <v/>
      </c>
      <c r="K749">
        <f>J749*(1+((Inputs!$B$12*(1+Inputs!$B$13/100))*0.01+Inputs!$B$14*0.0025)/100)*(1+Inputs!$B$15/100)*(1+IF(Inputs!$B$38="pvp",0,(1-Summary!$B$56)*(Inputs!$B$20+Skills!P3)+Summary!$B$56*(Inputs!$B$21+Skills!Q3))/100)*(1+Inputs!$B$16/100)*(5000/(6000+Inputs!$B$42*(1-Inputs!$B$19/100)))*(1+Inputs!$B$24/100)*(1+F769/100)*(1+IF(Inputs!$B$3&gt;=120,F772,0)/100)^5*(1+(IF(Skills!A3="BASIC_ATTACK",Inputs!$B$17,Inputs!$B$18+IF(Inputs!$B$3&gt;=125,F773*5,0)))/100)*(B776*B777*B778*I749)</f>
        <v/>
      </c>
      <c r="L749">
        <f>K749*(MIN(Inputs!$B$22+(F768-Calc!F22),Inputs!$B$23)/100+Inputs!$B$23/100)/2</f>
        <v/>
      </c>
      <c r="M749">
        <f>L749*(1+(Inputs!$B$10+(F767-Calc!F21))/100)</f>
        <v/>
      </c>
      <c r="N749">
        <f>L749*(1-MIN(Inputs!$B$9+(F766-Calc!F20),100)/100)+M749*(MIN(Inputs!$B$9+(F766-Calc!F20),100)/100)</f>
        <v/>
      </c>
      <c r="O749">
        <f>IF(C749,H749*N749*IF(AND(Inputs!$B$38&lt;&gt;"pvp",Inputs!$B$43&gt;0),((Skills!G3*((R749-1)*IF(Skills!H3&gt;0,Skills!I3/Skills!H3,1)+IF(Skills!H3&gt;0,MIN(Skills!I3,MAX(0,Inputs!$B$43-((R749-1)*IF(Inputs!$B$38="pvp",15,MAX(0.1,Skills!E3-IF(Skills!F3=TRUE,Inputs!$B$32,0))))))/Skills!H3,1)))/Inputs!$B$43),G749*Q749)*IF(Inputs!$B$38="pvp",1,(1-Summary!$B$56)*(1)+Summary!$B$56*(MIN(Skills!R3,Inputs!$B$37))),0)</f>
        <v/>
      </c>
      <c r="P749">
        <f>IF(B785=0,0,O749/B785)</f>
        <v/>
      </c>
      <c r="Q749">
        <f>IFERROR(1/IF(Inputs!$B$38="pvp",15,MAX(0.1,Skills!E3-IF(Skills!F3=TRUE,Inputs!$B$32,0))),0)</f>
        <v/>
      </c>
      <c r="R749">
        <f>IF(AND(Inputs!$B$38&lt;&gt;"pvp",Inputs!$B$43&gt;0),(INT(Inputs!$B$43/IF(Inputs!$B$38="pvp",15,MAX(0.1,Skills!E3-IF(Skills!F3=TRUE,Inputs!$B$32,0))))+1),0)</f>
        <v/>
      </c>
      <c r="T749">
        <f>INDEX(FactorTable!$B$2:$Y$301, MATCH(ROUND(MIN(300,MAX(1,T748)),0), FactorTable!$A$2:$A$301,0), 22)</f>
        <v/>
      </c>
      <c r="Z749">
        <f>INDEX(FactorTable!$B$2:$Y$301, MATCH(ROUND(MIN(300,MAX(1,Z748)),0), FactorTable!$A$2:$A$301,0), 24)</f>
        <v/>
      </c>
    </row>
    <row r="750">
      <c r="A750">
        <f>Skills!A4</f>
        <v/>
      </c>
      <c r="B750">
        <f>Skills!B4</f>
        <v/>
      </c>
      <c r="C750">
        <f>TRUE</f>
        <v/>
      </c>
      <c r="D750">
        <f>IF(Skills!C4=1,60+Inputs!$B$25+Inputs!$B$29,IF(Skills!C4=2,90+Inputs!$B$26+Inputs!$B$29,IF(Skills!C4=3,120+(Inputs!$B$27+1)+Inputs!$B$29,MAX(0,(Inputs!$B$3-100)*3)+Inputs!$B$28+Inputs!$B$29)))</f>
        <v/>
      </c>
      <c r="E750">
        <f>INDEX(FactorTable!$B$2:$Y$301, MATCH(ROUND(MIN(300,MAX(1,D750)),0), FactorTable!$A$2:$A$301,0), Skills!M4+1)</f>
        <v/>
      </c>
      <c r="F750">
        <f>IF(Skills!N4=TRUE,(Skills!L4/10)*(E750/1000),Skills!L4/10)+Skills!O4</f>
        <v/>
      </c>
      <c r="G750">
        <f>Calc!G4</f>
        <v/>
      </c>
      <c r="H750">
        <f>Calc!H4</f>
        <v/>
      </c>
      <c r="I750">
        <f>IF(Skills!X4&lt;&gt;"",1+(Skills!X4/10)*(Z749/1000)/100,1)</f>
        <v/>
      </c>
      <c r="J750">
        <f>((Inputs!$B$6*(1+Inputs!$B$7/100))+(((Inputs!$B$12*(1+Inputs!$B$13/100))-(Inputs!$B$12*(1+Inputs!$B$13/100)))+0.25*(Inputs!$B$14-Inputs!$B$14))*(1+Inputs!$B$7/100))*(F750/100)</f>
        <v/>
      </c>
      <c r="K750">
        <f>J750*(1+((Inputs!$B$12*(1+Inputs!$B$13/100))*0.01+Inputs!$B$14*0.0025)/100)*(1+Inputs!$B$15/100)*(1+IF(Inputs!$B$38="pvp",0,(1-Summary!$B$56)*(Inputs!$B$20+Skills!P4)+Summary!$B$56*(Inputs!$B$21+Skills!Q4))/100)*(1+Inputs!$B$16/100)*(5000/(6000+Inputs!$B$42*(1-Inputs!$B$19/100)))*(1+Inputs!$B$24/100)*(1+F769/100)*(1+IF(Inputs!$B$3&gt;=120,F772,0)/100)^5*(1+(IF(Skills!A4="BASIC_ATTACK",Inputs!$B$17,Inputs!$B$18+IF(Inputs!$B$3&gt;=125,F773*5,0)))/100)*(B776*B777*B778*I750)</f>
        <v/>
      </c>
      <c r="L750">
        <f>K750*(MIN(Inputs!$B$22+(F768-Calc!F22),Inputs!$B$23)/100+Inputs!$B$23/100)/2</f>
        <v/>
      </c>
      <c r="M750">
        <f>L750*(1+(Inputs!$B$10+(F767-Calc!F21))/100)</f>
        <v/>
      </c>
      <c r="N750">
        <f>L750*(1-MIN(Inputs!$B$9+(F766-Calc!F20),100)/100)+M750*(MIN(Inputs!$B$9+(F766-Calc!F20),100)/100)</f>
        <v/>
      </c>
      <c r="O750">
        <f>IF(C750,H750*N750*IF(AND(Inputs!$B$38&lt;&gt;"pvp",Inputs!$B$43&gt;0),((Skills!G4*((R750-1)*IF(Skills!H4&gt;0,Skills!I4/Skills!H4,1)+IF(Skills!H4&gt;0,MIN(Skills!I4,MAX(0,Inputs!$B$43-((R750-1)*IF(Inputs!$B$38="pvp",15,MAX(0.1,Skills!E4-IF(Skills!F4=TRUE,Inputs!$B$32,0))))))/Skills!H4,1)))/Inputs!$B$43),G750*Q750)*IF(Inputs!$B$38="pvp",1,(1-Summary!$B$56)*(1)+Summary!$B$56*(MIN(Skills!R4,Inputs!$B$37))),0)</f>
        <v/>
      </c>
      <c r="P750">
        <f>IF(B785=0,0,O750/B785)</f>
        <v/>
      </c>
      <c r="Q750">
        <f>IFERROR(1/IF(Inputs!$B$38="pvp",15,MAX(0.1,Skills!E4-IF(Skills!F4=TRUE,Inputs!$B$32,0))),0)</f>
        <v/>
      </c>
      <c r="R750">
        <f>IF(AND(Inputs!$B$38&lt;&gt;"pvp",Inputs!$B$43&gt;0),(INT(Inputs!$B$43/IF(Inputs!$B$38="pvp",15,MAX(0.1,Skills!E4-IF(Skills!F4=TRUE,Inputs!$B$32,0))))+1),0)</f>
        <v/>
      </c>
      <c r="T750">
        <f>290*T749/1000</f>
        <v/>
      </c>
    </row>
    <row r="751">
      <c r="A751">
        <f>Skills!A5</f>
        <v/>
      </c>
      <c r="B751">
        <f>Skills!B5</f>
        <v/>
      </c>
      <c r="C751">
        <f>TRUE</f>
        <v/>
      </c>
      <c r="D751">
        <f>IF(Skills!C5=1,60+Inputs!$B$25+Inputs!$B$29,IF(Skills!C5=2,90+Inputs!$B$26+Inputs!$B$29,IF(Skills!C5=3,120+(Inputs!$B$27+1)+Inputs!$B$29,MAX(0,(Inputs!$B$3-100)*3)+Inputs!$B$28+Inputs!$B$29)))</f>
        <v/>
      </c>
      <c r="E751">
        <f>INDEX(FactorTable!$B$2:$Y$301, MATCH(ROUND(MIN(300,MAX(1,D751)),0), FactorTable!$A$2:$A$301,0), Skills!M5+1)</f>
        <v/>
      </c>
      <c r="F751">
        <f>IF(Skills!N5=TRUE,(Skills!L5/10)*(E751/1000),Skills!L5/10)+Skills!O5</f>
        <v/>
      </c>
      <c r="G751">
        <f>Calc!G5</f>
        <v/>
      </c>
      <c r="H751">
        <f>Calc!H5</f>
        <v/>
      </c>
      <c r="I751">
        <f>IF(Skills!X5&lt;&gt;"",1+(Skills!X5/10)*(Z749/1000)/100,1)</f>
        <v/>
      </c>
      <c r="J751">
        <f>((Inputs!$B$6*(1+Inputs!$B$7/100))+(((Inputs!$B$12*(1+Inputs!$B$13/100))-(Inputs!$B$12*(1+Inputs!$B$13/100)))+0.25*(Inputs!$B$14-Inputs!$B$14))*(1+Inputs!$B$7/100))*(F751/100)</f>
        <v/>
      </c>
      <c r="K751">
        <f>J751*(1+((Inputs!$B$12*(1+Inputs!$B$13/100))*0.01+Inputs!$B$14*0.0025)/100)*(1+Inputs!$B$15/100)*(1+IF(Inputs!$B$38="pvp",0,(1-Summary!$B$56)*(Inputs!$B$20+Skills!P5)+Summary!$B$56*(Inputs!$B$21+Skills!Q5))/100)*(1+Inputs!$B$16/100)*(5000/(6000+Inputs!$B$42*(1-Inputs!$B$19/100)))*(1+Inputs!$B$24/100)*(1+F769/100)*(1+IF(Inputs!$B$3&gt;=120,F772,0)/100)^5*(1+(IF(Skills!A5="BASIC_ATTACK",Inputs!$B$17,Inputs!$B$18+IF(Inputs!$B$3&gt;=125,F773*5,0)))/100)*(B776*B777*B778*I751)</f>
        <v/>
      </c>
      <c r="L751">
        <f>K751*(MIN(Inputs!$B$22+(F768-Calc!F22),Inputs!$B$23)/100+Inputs!$B$23/100)/2</f>
        <v/>
      </c>
      <c r="M751">
        <f>L751*(1+(Inputs!$B$10+(F767-Calc!F21))/100)</f>
        <v/>
      </c>
      <c r="N751">
        <f>L751*(1-MIN(Inputs!$B$9+(F766-Calc!F20),100)/100)+M751*(MIN(Inputs!$B$9+(F766-Calc!F20),100)/100)</f>
        <v/>
      </c>
      <c r="O751">
        <f>IF(C751,H751*N751*IF(AND(Inputs!$B$38&lt;&gt;"pvp",Inputs!$B$43&gt;0),((Skills!G5*((R751-1)*IF(Skills!H5&gt;0,Skills!I5/Skills!H5,1)+IF(Skills!H5&gt;0,MIN(Skills!I5,MAX(0,Inputs!$B$43-((R751-1)*IF(Inputs!$B$38="pvp",15,MAX(0.1,Skills!E5-IF(Skills!F5=TRUE,Inputs!$B$32,0))))))/Skills!H5,1)))/Inputs!$B$43),G751*Q751)*IF(Inputs!$B$38="pvp",1,(1-Summary!$B$56)*(1)+Summary!$B$56*(MIN(Skills!R5,Inputs!$B$37))),0)</f>
        <v/>
      </c>
      <c r="P751">
        <f>IF(B785=0,0,O751/B785)</f>
        <v/>
      </c>
      <c r="Q751">
        <f>IFERROR(1/IF(Inputs!$B$38="pvp",15,MAX(0.1,Skills!E5-IF(Skills!F5=TRUE,Inputs!$B$32,0))),0)</f>
        <v/>
      </c>
      <c r="R751">
        <f>IF(AND(Inputs!$B$38&lt;&gt;"pvp",Inputs!$B$43&gt;0),(INT(Inputs!$B$43/IF(Inputs!$B$38="pvp",15,MAX(0.1,Skills!E5-IF(Skills!F5=TRUE,Inputs!$B$32,0))))+1),0)</f>
        <v/>
      </c>
    </row>
    <row r="752">
      <c r="A752">
        <f>Skills!A6</f>
        <v/>
      </c>
      <c r="B752">
        <f>Skills!B6</f>
        <v/>
      </c>
      <c r="C752">
        <f>TRUE</f>
        <v/>
      </c>
      <c r="D752">
        <f>IF(Skills!C6=1,60+Inputs!$B$25+Inputs!$B$29,IF(Skills!C6=2,90+Inputs!$B$26+Inputs!$B$29,IF(Skills!C6=3,120+(Inputs!$B$27+1)+Inputs!$B$29,MAX(0,(Inputs!$B$3-100)*3)+Inputs!$B$28+Inputs!$B$29)))</f>
        <v/>
      </c>
      <c r="E752">
        <f>INDEX(FactorTable!$B$2:$Y$301, MATCH(ROUND(MIN(300,MAX(1,D752)),0), FactorTable!$A$2:$A$301,0), Skills!M6+1)</f>
        <v/>
      </c>
      <c r="F752">
        <f>IF(Skills!N6=TRUE,(Skills!L6/10)*(E752/1000),Skills!L6/10)+Skills!O6</f>
        <v/>
      </c>
      <c r="G752">
        <f>Calc!G6</f>
        <v/>
      </c>
      <c r="H752">
        <f>Calc!H6</f>
        <v/>
      </c>
      <c r="I752">
        <f>IF(Skills!X6&lt;&gt;"",1+(Skills!X6/10)*(Z749/1000)/100,1)</f>
        <v/>
      </c>
      <c r="J752" t="inlineStr"/>
      <c r="K752" t="inlineStr"/>
      <c r="L752" t="inlineStr"/>
      <c r="M752" t="inlineStr"/>
      <c r="N752" t="inlineStr"/>
      <c r="O752" t="n">
        <v>0</v>
      </c>
      <c r="P752">
        <f>IF(B785=0,0,O752/B785)</f>
        <v/>
      </c>
      <c r="Q752">
        <f>IFERROR(1/IF(Inputs!$B$38="pvp",15,MAX(0.1,Skills!E6-IF(Skills!F6=TRUE,Inputs!$B$32,0))),0)</f>
        <v/>
      </c>
      <c r="R752">
        <f>IF(AND(Inputs!$B$38&lt;&gt;"pvp",Inputs!$B$43&gt;0),(INT(Inputs!$B$43/IF(Inputs!$B$38="pvp",15,MAX(0.1,Skills!E6-IF(Skills!F6=TRUE,Inputs!$B$32,0))))+1),0)</f>
        <v/>
      </c>
    </row>
    <row r="753">
      <c r="A753">
        <f>Skills!A7</f>
        <v/>
      </c>
      <c r="B753">
        <f>Skills!B7</f>
        <v/>
      </c>
      <c r="C753">
        <f>TRUE</f>
        <v/>
      </c>
      <c r="D753">
        <f>IF(Skills!C7=1,60+Inputs!$B$25+Inputs!$B$29,IF(Skills!C7=2,90+Inputs!$B$26+Inputs!$B$29,IF(Skills!C7=3,120+(Inputs!$B$27+1)+Inputs!$B$29,MAX(0,(Inputs!$B$3-100)*3)+Inputs!$B$28+Inputs!$B$29)))</f>
        <v/>
      </c>
      <c r="E753">
        <f>INDEX(FactorTable!$B$2:$Y$301, MATCH(ROUND(MIN(300,MAX(1,D753)),0), FactorTable!$A$2:$A$301,0), Skills!M7+1)</f>
        <v/>
      </c>
      <c r="F753">
        <f>IF(Skills!N7=TRUE,(Skills!L7/10)*(E753/1000),Skills!L7/10)+Skills!O7</f>
        <v/>
      </c>
      <c r="G753">
        <f>Calc!G7</f>
        <v/>
      </c>
      <c r="H753">
        <f>Calc!H7</f>
        <v/>
      </c>
      <c r="I753">
        <f>IF(Skills!X7&lt;&gt;"",1+(Skills!X7/10)*(Z749/1000)/100,1)</f>
        <v/>
      </c>
      <c r="J753">
        <f>((Inputs!$B$6*(1+Inputs!$B$7/100))+(((Inputs!$B$12*(1+Inputs!$B$13/100))-(Inputs!$B$12*(1+Inputs!$B$13/100)))+0.25*(Inputs!$B$14-Inputs!$B$14))*(1+Inputs!$B$7/100))*(F753/100)</f>
        <v/>
      </c>
      <c r="K753">
        <f>J753*(1+((Inputs!$B$12*(1+Inputs!$B$13/100))*0.01+Inputs!$B$14*0.0025)/100)*(1+Inputs!$B$15/100)*(1+IF(Inputs!$B$38="pvp",0,(1-Summary!$B$56)*(Inputs!$B$20+Skills!P7)+Summary!$B$56*(Inputs!$B$21+Skills!Q7))/100)*(1+Inputs!$B$16/100)*(5000/(6000+Inputs!$B$42*(1-Inputs!$B$19/100)))*(1+Inputs!$B$24/100)*(1+F769/100)*(1+IF(Inputs!$B$3&gt;=120,F772,0)/100)^5*(1+(IF(Skills!A7="BASIC_ATTACK",Inputs!$B$17,Inputs!$B$18+IF(Inputs!$B$3&gt;=125,F773*5,0)))/100)*(B776*B777*B778*I753)</f>
        <v/>
      </c>
      <c r="L753">
        <f>K753*(MIN(Inputs!$B$22+(F768-Calc!F22),Inputs!$B$23)/100+Inputs!$B$23/100)/2</f>
        <v/>
      </c>
      <c r="M753">
        <f>L753*(1+(Inputs!$B$10+(F767-Calc!F21))/100)</f>
        <v/>
      </c>
      <c r="N753">
        <f>L753*(1-MIN(Inputs!$B$9+(F766-Calc!F20),100)/100)+M753*(MIN(Inputs!$B$9+(F766-Calc!F20),100)/100)</f>
        <v/>
      </c>
      <c r="O753">
        <f>IF(C753,H753*N753*IF(AND(Inputs!$B$38&lt;&gt;"pvp",Inputs!$B$43&gt;0),((Skills!G7*((R753-1)*IF(Skills!H7&gt;0,Skills!I7/Skills!H7,1)+IF(Skills!H7&gt;0,MIN(Skills!I7,MAX(0,Inputs!$B$43-((R753-1)*IF(Inputs!$B$38="pvp",15,MAX(0.1,Skills!E7-IF(Skills!F7=TRUE,Inputs!$B$32,0))))))/Skills!H7,1)))/Inputs!$B$43),G753*Q753)*IF(Inputs!$B$38="pvp",1,(1-Summary!$B$56)*(1)+Summary!$B$56*(MIN(Skills!R7,Inputs!$B$37))),0)</f>
        <v/>
      </c>
      <c r="P753">
        <f>IF(B785=0,0,O753/B785)</f>
        <v/>
      </c>
      <c r="Q753">
        <f>IFERROR(1/IF(Inputs!$B$38="pvp",15,MAX(0.1,Skills!E7-IF(Skills!F7=TRUE,Inputs!$B$32,0))),0)</f>
        <v/>
      </c>
      <c r="R753">
        <f>IF(AND(Inputs!$B$38&lt;&gt;"pvp",Inputs!$B$43&gt;0),(INT(Inputs!$B$43/IF(Inputs!$B$38="pvp",15,MAX(0.1,Skills!E7-IF(Skills!F7=TRUE,Inputs!$B$32,0))))+1),0)</f>
        <v/>
      </c>
    </row>
    <row r="754">
      <c r="A754">
        <f>Skills!A8</f>
        <v/>
      </c>
      <c r="B754">
        <f>Skills!B8</f>
        <v/>
      </c>
      <c r="C754">
        <f>TRUE</f>
        <v/>
      </c>
      <c r="D754">
        <f>IF(Skills!C8=1,60+Inputs!$B$25+Inputs!$B$29,IF(Skills!C8=2,90+Inputs!$B$26+Inputs!$B$29,IF(Skills!C8=3,120+(Inputs!$B$27+1)+Inputs!$B$29,MAX(0,(Inputs!$B$3-100)*3)+Inputs!$B$28+Inputs!$B$29)))</f>
        <v/>
      </c>
      <c r="E754">
        <f>INDEX(FactorTable!$B$2:$Y$301, MATCH(ROUND(MIN(300,MAX(1,D754)),0), FactorTable!$A$2:$A$301,0), Skills!M8+1)</f>
        <v/>
      </c>
      <c r="F754">
        <f>IF(Skills!N8=TRUE,(Skills!L8/10)*(E754/1000),Skills!L8/10)+Skills!O8</f>
        <v/>
      </c>
      <c r="G754">
        <f>Calc!G8</f>
        <v/>
      </c>
      <c r="H754">
        <f>Calc!H8</f>
        <v/>
      </c>
      <c r="I754">
        <f>IF(Skills!X8&lt;&gt;"",1+(Skills!X8/10)*(Z749/1000)/100,1)</f>
        <v/>
      </c>
      <c r="J754">
        <f>((Inputs!$B$6*(1+Inputs!$B$7/100))+(((Inputs!$B$12*(1+Inputs!$B$13/100))-(Inputs!$B$12*(1+Inputs!$B$13/100)))+0.25*(Inputs!$B$14-Inputs!$B$14))*(1+Inputs!$B$7/100))*(F754/100)</f>
        <v/>
      </c>
      <c r="K754">
        <f>J754*(1+((Inputs!$B$12*(1+Inputs!$B$13/100))*0.01+Inputs!$B$14*0.0025)/100)*(1+Inputs!$B$15/100)*(1+IF(Inputs!$B$38="pvp",0,(1-Summary!$B$56)*(Inputs!$B$20+Skills!P8)+Summary!$B$56*(Inputs!$B$21+Skills!Q8))/100)*(1+Inputs!$B$16/100)*(5000/(6000+Inputs!$B$42*(1-Inputs!$B$19/100)))*(1+Inputs!$B$24/100)*(1+F769/100)*(1+IF(Inputs!$B$3&gt;=120,F772,0)/100)^5*(1+(IF(Skills!A8="BASIC_ATTACK",Inputs!$B$17,Inputs!$B$18+IF(Inputs!$B$3&gt;=125,F773*5,0)))/100)*(B776*B777*B778*I754)</f>
        <v/>
      </c>
      <c r="L754">
        <f>K754*(MIN(Inputs!$B$22+(F768-Calc!F22),Inputs!$B$23)/100+Inputs!$B$23/100)/2</f>
        <v/>
      </c>
      <c r="M754">
        <f>L754*(1+(Inputs!$B$10+(F767-Calc!F21))/100)</f>
        <v/>
      </c>
      <c r="N754">
        <f>L754*(1-MIN(Inputs!$B$9+(F766-Calc!F20),100)/100)+M754*(MIN(Inputs!$B$9+(F766-Calc!F20),100)/100)</f>
        <v/>
      </c>
      <c r="O754">
        <f>IF(C754,H754*N754*IF(AND(Inputs!$B$38&lt;&gt;"pvp",Inputs!$B$43&gt;0),((Skills!G8*((R754-1)*IF(Skills!H8&gt;0,Skills!I8/Skills!H8,1)+IF(Skills!H8&gt;0,MIN(Skills!I8,MAX(0,Inputs!$B$43-((R754-1)*IF(Inputs!$B$38="pvp",15,MAX(0.1,Skills!E8-IF(Skills!F8=TRUE,Inputs!$B$32,0))))))/Skills!H8,1)))/Inputs!$B$43),G754*Q754)*IF(Inputs!$B$38="pvp",1,(1-Summary!$B$56)*(1)+Summary!$B$56*(MIN(Skills!R8,Inputs!$B$37))),0)</f>
        <v/>
      </c>
      <c r="P754">
        <f>IF(B785=0,0,O754/B785)</f>
        <v/>
      </c>
      <c r="Q754">
        <f>IFERROR(1/IF(Inputs!$B$38="pvp",15,MAX(0.1,Skills!E8-IF(Skills!F8=TRUE,Inputs!$B$32,0))),0)</f>
        <v/>
      </c>
      <c r="R754">
        <f>IF(AND(Inputs!$B$38&lt;&gt;"pvp",Inputs!$B$43&gt;0),(INT(Inputs!$B$43/IF(Inputs!$B$38="pvp",15,MAX(0.1,Skills!E8-IF(Skills!F8=TRUE,Inputs!$B$32,0))))+1),0)</f>
        <v/>
      </c>
    </row>
    <row r="755">
      <c r="A755">
        <f>Skills!A9</f>
        <v/>
      </c>
      <c r="B755">
        <f>Skills!B9</f>
        <v/>
      </c>
      <c r="C755">
        <f>Inputs!$B$3&gt;=103</f>
        <v/>
      </c>
      <c r="D755">
        <f>IF(Skills!C9=1,60+Inputs!$B$25+Inputs!$B$29,IF(Skills!C9=2,90+Inputs!$B$26+Inputs!$B$29,IF(Skills!C9=3,120+(Inputs!$B$27+1)+Inputs!$B$29,MAX(0,(Inputs!$B$3-100)*3)+Inputs!$B$28+Inputs!$B$29)))</f>
        <v/>
      </c>
      <c r="E755">
        <f>INDEX(FactorTable!$B$2:$Y$301, MATCH(ROUND(MIN(300,MAX(1,D755)),0), FactorTable!$A$2:$A$301,0), Skills!M9+1)</f>
        <v/>
      </c>
      <c r="F755">
        <f>IF(Skills!N9=TRUE,(Skills!L9/10)*(E755/1000),Skills!L9/10)+Skills!O9</f>
        <v/>
      </c>
      <c r="G755">
        <f>Calc!G9</f>
        <v/>
      </c>
      <c r="H755">
        <f>Calc!H9</f>
        <v/>
      </c>
      <c r="I755">
        <f>IF(Skills!X9&lt;&gt;"",1+(Skills!X9/10)*(Z749/1000)/100,1)</f>
        <v/>
      </c>
      <c r="J755">
        <f>((Inputs!$B$6*(1+Inputs!$B$7/100))+(((Inputs!$B$12*(1+Inputs!$B$13/100))-(Inputs!$B$12*(1+Inputs!$B$13/100)))+0.25*(Inputs!$B$14-Inputs!$B$14))*(1+Inputs!$B$7/100))*(F755/100)</f>
        <v/>
      </c>
      <c r="K755">
        <f>J755*(1+((Inputs!$B$12*(1+Inputs!$B$13/100))*0.01+Inputs!$B$14*0.0025)/100)*(1+Inputs!$B$15/100)*(1+IF(Inputs!$B$38="pvp",0,(1-Summary!$B$56)*(Inputs!$B$20+Skills!P9)+Summary!$B$56*(Inputs!$B$21+Skills!Q9))/100)*(1+Inputs!$B$16/100)*(5000/(6000+Inputs!$B$42*(1-Inputs!$B$19/100)))*(1+Inputs!$B$24/100)*(1+F769/100)*(1+IF(Inputs!$B$3&gt;=120,F772,0)/100)^5*(1+(IF(Skills!A9="BASIC_ATTACK",Inputs!$B$17,Inputs!$B$18+IF(Inputs!$B$3&gt;=125,F773*5,0)))/100)*(B776*B777*B778*I755)</f>
        <v/>
      </c>
      <c r="L755">
        <f>K755*(MIN(Inputs!$B$22+(F768-Calc!F22),Inputs!$B$23)/100+Inputs!$B$23/100)/2</f>
        <v/>
      </c>
      <c r="M755">
        <f>L755*(1+(Inputs!$B$10+(F767-Calc!F21))/100)</f>
        <v/>
      </c>
      <c r="N755">
        <f>L755*(1-MIN(Inputs!$B$9+(F766-Calc!F20),100)/100)+M755*(MIN(Inputs!$B$9+(F766-Calc!F20),100)/100)</f>
        <v/>
      </c>
      <c r="O755">
        <f>IF(C755,H755*N755*IF(AND(Inputs!$B$38&lt;&gt;"pvp",Inputs!$B$43&gt;0),((Skills!G9*((R755-1)*IF(Skills!H9&gt;0,Skills!I9/Skills!H9,1)+IF(Skills!H9&gt;0,MIN(Skills!I9,MAX(0,Inputs!$B$43-((R755-1)*IF(Inputs!$B$38="pvp",15,MAX(0.1,Skills!E9-IF(Skills!F7=TRUE,Inputs!$B$32,0))))))/Skills!H9,1)))/Inputs!$B$43),G755*Q755)*IF(Inputs!$B$38="pvp",1,(1-Summary!$B$56)*(1)+Summary!$B$56*(MIN(Skills!R9,Inputs!$B$37))),0)</f>
        <v/>
      </c>
      <c r="P755">
        <f>IF(B785=0,0,O755/B785)</f>
        <v/>
      </c>
      <c r="Q755">
        <f>IFERROR(1/IF(Inputs!$B$38="pvp",15,MAX(0.1,Skills!E9-IF(Skills!F7=TRUE,Inputs!$B$32,0))),0)</f>
        <v/>
      </c>
      <c r="R755">
        <f>IF(AND(Inputs!$B$38&lt;&gt;"pvp",Inputs!$B$43&gt;0),(INT(Inputs!$B$43/IF(Inputs!$B$38="pvp",15,MAX(0.1,Skills!E9-IF(Skills!F7=TRUE,Inputs!$B$32,0))))+1),0)</f>
        <v/>
      </c>
    </row>
    <row r="756">
      <c r="A756">
        <f>Skills!A10</f>
        <v/>
      </c>
      <c r="B756">
        <f>Skills!B10</f>
        <v/>
      </c>
      <c r="C756">
        <f>TRUE</f>
        <v/>
      </c>
      <c r="D756">
        <f>IF(Skills!C10=1,60+Inputs!$B$25+Inputs!$B$29,IF(Skills!C10=2,90+Inputs!$B$26+Inputs!$B$29,IF(Skills!C10=3,120+(Inputs!$B$27+1)+Inputs!$B$29,MAX(0,(Inputs!$B$3-100)*3)+Inputs!$B$28+Inputs!$B$29)))</f>
        <v/>
      </c>
      <c r="E756">
        <f>INDEX(FactorTable!$B$2:$Y$301, MATCH(ROUND(MIN(300,MAX(1,D756)),0), FactorTable!$A$2:$A$301,0), Skills!M10+1)</f>
        <v/>
      </c>
      <c r="F756">
        <f>IF(Skills!N10=TRUE,(Skills!L10/10)*(E756/1000),Skills!L10/10)+Skills!O10</f>
        <v/>
      </c>
      <c r="G756">
        <f>Calc!G10</f>
        <v/>
      </c>
      <c r="H756">
        <f>Calc!H10</f>
        <v/>
      </c>
      <c r="I756">
        <f>IF(Skills!X10&lt;&gt;"",1+(Skills!X10/10)*(Z749/1000)/100,1)</f>
        <v/>
      </c>
      <c r="J756">
        <f>((Inputs!$B$6*(1+Inputs!$B$7/100))+(((Inputs!$B$12*(1+Inputs!$B$13/100))-(Inputs!$B$12*(1+Inputs!$B$13/100)))+0.25*(Inputs!$B$14-Inputs!$B$14))*(1+Inputs!$B$7/100))*(F756/100)</f>
        <v/>
      </c>
      <c r="K756">
        <f>J756*(1+((Inputs!$B$12*(1+Inputs!$B$13/100))*0.01+Inputs!$B$14*0.0025)/100)*(1+Inputs!$B$15/100)*(1+IF(Inputs!$B$38="pvp",0,(1-Summary!$B$56)*(Inputs!$B$20+Skills!P10)+Summary!$B$56*(Inputs!$B$21+Skills!Q10))/100)*(1+Inputs!$B$16/100)*(5000/(6000+Inputs!$B$42*(1-Inputs!$B$19/100)))*(1+Inputs!$B$24/100)*(1+F769/100)*(1+IF(Inputs!$B$3&gt;=120,F772,0)/100)^5*(1+(IF(Skills!A10="BASIC_ATTACK",Inputs!$B$17,Inputs!$B$18+IF(Inputs!$B$3&gt;=125,F773*5,0)))/100)*(B776*B777*B778*I756)</f>
        <v/>
      </c>
      <c r="L756">
        <f>K756*(MIN(Inputs!$B$22+(F768-Calc!F22),Inputs!$B$23)/100+Inputs!$B$23/100)/2</f>
        <v/>
      </c>
      <c r="M756">
        <f>L756*(1+(Inputs!$B$10+(F767-Calc!F21))/100)</f>
        <v/>
      </c>
      <c r="N756">
        <f>L756*(1-MIN(Inputs!$B$9+(F766-Calc!F20),100)/100)+M756*(MIN(Inputs!$B$9+(F766-Calc!F20),100)/100)</f>
        <v/>
      </c>
      <c r="O756">
        <f>IF(C756,H756*N756*IF(AND(Inputs!$B$38&lt;&gt;"pvp",Inputs!$B$43&gt;0),((Skills!G10*((R756-1)*IF(Skills!H10&gt;0,Skills!I10/Skills!H10,1)+IF(Skills!H10&gt;0,MIN(Skills!I10,MAX(0,Inputs!$B$43-((R756-1)*IF(Inputs!$B$38="pvp",15,MAX(0.1,Skills!E10-IF(Skills!F10=TRUE,Inputs!$B$32,0))))))/Skills!H10,1)))/Inputs!$B$43),G756*Q756)*IF(Inputs!$B$38="pvp",1,(1-Summary!$B$56)*(1)+Summary!$B$56*(MIN(Skills!R10,Inputs!$B$37))),0)</f>
        <v/>
      </c>
      <c r="P756">
        <f>IF(B785=0,0,O756/B785)</f>
        <v/>
      </c>
      <c r="Q756">
        <f>IFERROR(1/IF(Inputs!$B$38="pvp",15,MAX(0.1,Skills!E10-IF(Skills!F10=TRUE,Inputs!$B$32,0))),0)</f>
        <v/>
      </c>
      <c r="R756">
        <f>IF(AND(Inputs!$B$38&lt;&gt;"pvp",Inputs!$B$43&gt;0),(INT(Inputs!$B$43/IF(Inputs!$B$38="pvp",15,MAX(0.1,Skills!E10-IF(Skills!F10=TRUE,Inputs!$B$32,0))))+1),0)</f>
        <v/>
      </c>
    </row>
    <row r="757">
      <c r="A757">
        <f>Skills!A11</f>
        <v/>
      </c>
      <c r="B757">
        <f>Skills!B11</f>
        <v/>
      </c>
      <c r="C757">
        <f>TRUE</f>
        <v/>
      </c>
      <c r="D757">
        <f>IF(Skills!C11=1,60+Inputs!$B$25+Inputs!$B$29,IF(Skills!C11=2,90+Inputs!$B$26+Inputs!$B$29,IF(Skills!C11=3,120+(Inputs!$B$27+1)+Inputs!$B$29,MAX(0,(Inputs!$B$3-100)*3)+Inputs!$B$28+Inputs!$B$29)))</f>
        <v/>
      </c>
      <c r="E757">
        <f>INDEX(FactorTable!$B$2:$Y$301, MATCH(ROUND(MIN(300,MAX(1,D757)),0), FactorTable!$A$2:$A$301,0), Skills!M11+1)</f>
        <v/>
      </c>
      <c r="F757">
        <f>IF(Skills!N11=TRUE,(Skills!L11/10)*(E757/1000),Skills!L11/10)+Skills!O11</f>
        <v/>
      </c>
      <c r="G757">
        <f>Calc!G11</f>
        <v/>
      </c>
      <c r="H757">
        <f>Calc!H11</f>
        <v/>
      </c>
      <c r="I757">
        <f>IF(Skills!X11&lt;&gt;"",1+(Skills!X11/10)*(Z749/1000)/100,1)</f>
        <v/>
      </c>
      <c r="J757" t="inlineStr"/>
      <c r="K757" t="inlineStr"/>
      <c r="L757" t="inlineStr"/>
      <c r="M757" t="inlineStr"/>
      <c r="N757" t="inlineStr"/>
      <c r="O757" t="n">
        <v>0</v>
      </c>
      <c r="P757">
        <f>IF(B785=0,0,O757/B785)</f>
        <v/>
      </c>
      <c r="Q757">
        <f>IFERROR(1/IF(Inputs!$B$38="pvp",15,MAX(0.1,Skills!E11-IF(Skills!F11=TRUE,Inputs!$B$32,0))),0)</f>
        <v/>
      </c>
      <c r="R757" t="n">
        <v>0</v>
      </c>
    </row>
    <row r="758">
      <c r="A758">
        <f>Skills!A12</f>
        <v/>
      </c>
      <c r="B758">
        <f>Skills!B12</f>
        <v/>
      </c>
      <c r="C758">
        <f>TRUE</f>
        <v/>
      </c>
      <c r="D758">
        <f>IF(Skills!C12=1,60+Inputs!$B$25+Inputs!$B$29,IF(Skills!C12=2,90+Inputs!$B$26+Inputs!$B$29,IF(Skills!C12=3,120+(Inputs!$B$27+1)+Inputs!$B$29,MAX(0,(Inputs!$B$3-100)*3)+Inputs!$B$28+Inputs!$B$29)))</f>
        <v/>
      </c>
      <c r="E758">
        <f>INDEX(FactorTable!$B$2:$Y$301, MATCH(ROUND(MIN(300,MAX(1,D758)),0), FactorTable!$A$2:$A$301,0), Skills!M12+1)</f>
        <v/>
      </c>
      <c r="F758">
        <f>IF(Skills!N12=TRUE,(Skills!L12/10)*(E758/1000),Skills!L12/10)+Skills!O12</f>
        <v/>
      </c>
      <c r="G758">
        <f>Calc!G12</f>
        <v/>
      </c>
      <c r="H758">
        <f>Calc!H12</f>
        <v/>
      </c>
      <c r="I758">
        <f>IF(Skills!X12&lt;&gt;"",1+(Skills!X12/10)*(Z749/1000)/100,1)</f>
        <v/>
      </c>
      <c r="J758" t="inlineStr"/>
      <c r="K758" t="inlineStr"/>
      <c r="L758" t="inlineStr"/>
      <c r="M758" t="inlineStr"/>
      <c r="N758" t="inlineStr"/>
      <c r="O758" t="n">
        <v>0</v>
      </c>
      <c r="P758">
        <f>IF(B785=0,0,O758/B785)</f>
        <v/>
      </c>
      <c r="Q758">
        <f>IFERROR(1/IF(Inputs!$B$38="pvp",15,MAX(0.1,Skills!E12-IF(Skills!F12=TRUE,Inputs!$B$32,0))),0)</f>
        <v/>
      </c>
      <c r="R758" t="n">
        <v>0</v>
      </c>
    </row>
    <row r="759">
      <c r="A759">
        <f>Skills!A13</f>
        <v/>
      </c>
      <c r="B759">
        <f>Skills!B13</f>
        <v/>
      </c>
      <c r="C759">
        <f>Inputs!$B$3&gt;=105</f>
        <v/>
      </c>
      <c r="D759">
        <f>IF(Skills!C13=1,60+Inputs!$B$25+Inputs!$B$29,IF(Skills!C13=2,90+Inputs!$B$26+Inputs!$B$29,IF(Skills!C13=3,120+(Inputs!$B$27+1)+Inputs!$B$29,MAX(0,(Inputs!$B$3-100)*3)+Inputs!$B$28+Inputs!$B$29)))</f>
        <v/>
      </c>
      <c r="E759">
        <f>INDEX(FactorTable!$B$2:$Y$301, MATCH(ROUND(MIN(300,MAX(1,D759)),0), FactorTable!$A$2:$A$301,0), Skills!M13+1)</f>
        <v/>
      </c>
      <c r="F759">
        <f>IF(Skills!N13=TRUE,(Skills!L13/10)*(E759/1000),Skills!L13/10)+Skills!O13</f>
        <v/>
      </c>
      <c r="G759">
        <f>Calc!G13</f>
        <v/>
      </c>
      <c r="H759">
        <f>Calc!H13</f>
        <v/>
      </c>
      <c r="I759">
        <f>IF(Skills!X13&lt;&gt;"",1+(Skills!X13/10)*(Z749/1000)/100,1)</f>
        <v/>
      </c>
      <c r="J759">
        <f>((Inputs!$B$6*(1+Inputs!$B$7/100))+(((Inputs!$B$12*(1+Inputs!$B$13/100))-(Inputs!$B$12*(1+Inputs!$B$13/100)))+0.25*(Inputs!$B$14-Inputs!$B$14))*(1+Inputs!$B$7/100))*(F759/100)</f>
        <v/>
      </c>
      <c r="K759">
        <f>J759*(1+((Inputs!$B$12*(1+Inputs!$B$13/100))*0.01+Inputs!$B$14*0.0025)/100)*(1+Inputs!$B$15/100)*(1+IF(Inputs!$B$38="pvp",0,(1-Summary!$B$56)*(Inputs!$B$20+Skills!P13)+Summary!$B$56*(Inputs!$B$21+Skills!Q13))/100)*(1+Inputs!$B$16/100)*(5000/(6000+Inputs!$B$42*(1-Inputs!$B$19/100)))*(1+Inputs!$B$24/100)*(1+F769/100)*(1+IF(Inputs!$B$3&gt;=120,F772,0)/100)^5*(1+(IF(Skills!A13="BASIC_ATTACK",Inputs!$B$17,Inputs!$B$18+IF(Inputs!$B$3&gt;=125,F773*5,0)))/100)*(B776*B777*B778*I759)</f>
        <v/>
      </c>
      <c r="L759">
        <f>K759*(MIN(Inputs!$B$22+(F768-Calc!F22),Inputs!$B$23)/100+Inputs!$B$23/100)/2</f>
        <v/>
      </c>
      <c r="M759">
        <f>L759*(1+(Inputs!$B$10+(F767-Calc!F21))/100)</f>
        <v/>
      </c>
      <c r="N759">
        <f>L759*(1-MIN(Inputs!$B$9+(F766-Calc!F20),100)/100)+M759*(MIN(Inputs!$B$9+(F766-Calc!F20),100)/100)</f>
        <v/>
      </c>
      <c r="O759">
        <f>IF(C759,H759*N759*IF(AND(Inputs!$B$38&lt;&gt;"pvp",Inputs!$B$43&gt;0),((Skills!G13*((R759-1)*IF(Skills!H13&gt;0,Skills!I13/Skills!H13,1)+IF(Skills!H13&gt;0,MIN(Skills!I13,MAX(0,Inputs!$B$43-((R759-1)*IF(Inputs!$B$38="pvp",15,MAX(0.1,Skills!E13-IF(Skills!F13=TRUE,Inputs!$B$32,0))))))/Skills!H13,1)))/Inputs!$B$43),G759*Q759)*IF(Inputs!$B$38="pvp",1,(1-Summary!$B$56)*(1)+Summary!$B$56*(MIN(Skills!R13,Inputs!$B$37))),0)</f>
        <v/>
      </c>
      <c r="P759">
        <f>IF(B785=0,0,O759/B785)</f>
        <v/>
      </c>
      <c r="Q759">
        <f>IFERROR(1/IF(Inputs!$B$38="pvp",15,MAX(0.1,Skills!E13-IF(Skills!F13=TRUE,Inputs!$B$32,0))),0)</f>
        <v/>
      </c>
      <c r="R759">
        <f>IF(AND(Inputs!$B$38&lt;&gt;"pvp",Inputs!$B$43&gt;0),(INT(Inputs!$B$43/IF(Inputs!$B$38="pvp",15,MAX(0.1,Skills!E13-IF(Skills!F13=TRUE,Inputs!$B$32,0))))+1),0)</f>
        <v/>
      </c>
    </row>
    <row r="760">
      <c r="A760">
        <f>Skills!A14</f>
        <v/>
      </c>
      <c r="B760">
        <f>Skills!B14</f>
        <v/>
      </c>
      <c r="C760">
        <f>Inputs!$B$3&gt;=113</f>
        <v/>
      </c>
      <c r="D760">
        <f>IF(Skills!C14=1,60+Inputs!$B$25+Inputs!$B$29,IF(Skills!C14=2,90+Inputs!$B$26+Inputs!$B$29,IF(Skills!C14=3,120+(Inputs!$B$27+1)+Inputs!$B$29,MAX(0,(Inputs!$B$3-100)*3)+Inputs!$B$28+Inputs!$B$29)))</f>
        <v/>
      </c>
      <c r="E760">
        <f>INDEX(FactorTable!$B$2:$Y$301, MATCH(ROUND(MIN(300,MAX(1,D760)),0), FactorTable!$A$2:$A$301,0), Skills!M14+1)</f>
        <v/>
      </c>
      <c r="F760">
        <f>IF(Skills!N14=TRUE,(Skills!L14/10)*(E760/1000),Skills!L14/10)+Skills!O14</f>
        <v/>
      </c>
      <c r="G760">
        <f>Calc!G14</f>
        <v/>
      </c>
      <c r="H760">
        <f>Calc!H14</f>
        <v/>
      </c>
      <c r="I760">
        <f>IF(Skills!X14&lt;&gt;"",1+(Skills!X14/10)*(Z749/1000)/100,1)</f>
        <v/>
      </c>
      <c r="J760">
        <f>((Inputs!$B$6*(1+Inputs!$B$7/100))+(((Inputs!$B$12*(1+Inputs!$B$13/100))-(Inputs!$B$12*(1+Inputs!$B$13/100)))+0.25*(Inputs!$B$14-Inputs!$B$14))*(1+Inputs!$B$7/100))*(F760/100)</f>
        <v/>
      </c>
      <c r="K760">
        <f>J760*(1+((Inputs!$B$12*(1+Inputs!$B$13/100))*0.01+Inputs!$B$14*0.0025)/100)*(1+Inputs!$B$15/100)*(1+IF(Inputs!$B$38="pvp",0,(1-Summary!$B$56)*(Inputs!$B$20+Skills!P14)+Summary!$B$56*(Inputs!$B$21+Skills!Q14))/100)*(1+Inputs!$B$16/100)*(5000/(6000+Inputs!$B$42*(1-Inputs!$B$19/100)))*(1+Inputs!$B$24/100)*(1+F769/100)*(1+IF(Inputs!$B$3&gt;=120,F772,0)/100)^5*(1+(IF(Skills!A14="BASIC_ATTACK",Inputs!$B$17,Inputs!$B$18+IF(Inputs!$B$3&gt;=125,F773*5,0)))/100)*(B776*B777*B778*I760)</f>
        <v/>
      </c>
      <c r="L760">
        <f>K760*(MIN(Inputs!$B$22+(F768-Calc!F22),Inputs!$B$23)/100+Inputs!$B$23/100)/2</f>
        <v/>
      </c>
      <c r="M760">
        <f>L760*(1+(Inputs!$B$10+(F767-Calc!F21))/100)</f>
        <v/>
      </c>
      <c r="N760">
        <f>L760*(1-MIN(Inputs!$B$9+(F766-Calc!F20),100)/100)+M760*(MIN(Inputs!$B$9+(F766-Calc!F20),100)/100)</f>
        <v/>
      </c>
      <c r="O760">
        <f>IF(C760,(H760*B783)/(1+Skills!H14*H760*B783)*N760*IF(Inputs!$B$38="pvp",1,(1-Summary!$B$56)*(1)+Summary!$B$56*(MIN(Skills!R14,Inputs!$B$37))),0)</f>
        <v/>
      </c>
      <c r="P760">
        <f>IF(B785=0,0,O760/B785)</f>
        <v/>
      </c>
      <c r="Q760">
        <f>IFERROR(1/IF(Inputs!$B$38="pvp",15,MAX(0.1,Skills!E14-IF(Skills!F14=TRUE,Inputs!$B$32,0))),0)</f>
        <v/>
      </c>
      <c r="R760" t="n">
        <v>0</v>
      </c>
    </row>
    <row r="761">
      <c r="A761">
        <f>Skills!A15</f>
        <v/>
      </c>
      <c r="B761">
        <f>Skills!B15</f>
        <v/>
      </c>
      <c r="C761">
        <f>Inputs!$B$3&gt;=107</f>
        <v/>
      </c>
      <c r="D761">
        <f>IF(Skills!C15=1,60+Inputs!$B$25+Inputs!$B$29,IF(Skills!C15=2,90+Inputs!$B$26+Inputs!$B$29,IF(Skills!C15=3,120+(Inputs!$B$27+1)+Inputs!$B$29,MAX(0,(Inputs!$B$3-100)*3)+Inputs!$B$28+Inputs!$B$29)))</f>
        <v/>
      </c>
      <c r="E761">
        <f>INDEX(FactorTable!$B$2:$Y$301, MATCH(ROUND(MIN(300,MAX(1,D761)),0), FactorTable!$A$2:$A$301,0), Skills!M15+1)</f>
        <v/>
      </c>
      <c r="F761">
        <f>IF(Skills!N15=TRUE,(Skills!L15/10)*(E761/1000),Skills!L15/10)+Skills!O15</f>
        <v/>
      </c>
      <c r="G761">
        <f>Calc!G15</f>
        <v/>
      </c>
      <c r="H761">
        <f>Calc!H15</f>
        <v/>
      </c>
      <c r="I761">
        <f>IF(Skills!X15&lt;&gt;"",1+(Skills!X15/10)*(Z749/1000)/100,1)</f>
        <v/>
      </c>
      <c r="J761">
        <f>((Inputs!$B$6*(1+Inputs!$B$7/100))+(((Inputs!$B$12*(1+Inputs!$B$13/100))-(Inputs!$B$12*(1+Inputs!$B$13/100)))+0.25*(Inputs!$B$14-Inputs!$B$14))*(1+Inputs!$B$7/100))*(F761/100)</f>
        <v/>
      </c>
      <c r="K761">
        <f>J761*(1+((Inputs!$B$12*(1+Inputs!$B$13/100))*0.01+Inputs!$B$14*0.0025)/100)*(1+Inputs!$B$15/100)*(1+IF(Inputs!$B$38="pvp",0,(1-Summary!$B$56)*(Inputs!$B$20+Skills!P15)+Summary!$B$56*(Inputs!$B$21+Skills!Q15))/100)*(1+Inputs!$B$16/100)*(5000/(6000+Inputs!$B$42*(1-Inputs!$B$19/100)))*(1+Inputs!$B$24/100)*(1+F769/100)*(1+IF(Inputs!$B$3&gt;=120,F772,0)/100)^5*(1+(IF(Skills!A15="BASIC_ATTACK",Inputs!$B$17,Inputs!$B$18+IF(Inputs!$B$3&gt;=125,F773*5,0)))/100)*(B776*B777*B778*I761)</f>
        <v/>
      </c>
      <c r="L761">
        <f>K761*(MIN(Inputs!$B$22+(F768-Calc!F22),Inputs!$B$23)/100+Inputs!$B$23/100)/2</f>
        <v/>
      </c>
      <c r="M761">
        <f>L761*(1+(Inputs!$B$10+(F767-Calc!F21))/100)</f>
        <v/>
      </c>
      <c r="N761">
        <f>L761*(1-MIN(Inputs!$B$9+(F766-Calc!F20),100)/100)+M761*(MIN(Inputs!$B$9+(F766-Calc!F20),100)/100)</f>
        <v/>
      </c>
      <c r="O761">
        <f>IF(C761,H761*N761*IF(AND(Inputs!$B$38&lt;&gt;"pvp",Inputs!$B$43&gt;0),((Skills!G15*((R761-1)*IF(Skills!H15&gt;0,Skills!I15/Skills!H15,1)+IF(Skills!H15&gt;0,MIN(Skills!I15,MAX(0,Inputs!$B$43-((R761-1)*IF(Inputs!$B$38="pvp",15,MAX(0.1,Skills!E15-IF(Skills!F15=TRUE,Inputs!$B$32,0))))))/Skills!H15,1)))/Inputs!$B$43),G761*Q761)*IF(Inputs!$B$38="pvp",1,(1-Summary!$B$56)*(1)+Summary!$B$56*(MIN(Skills!R15,Inputs!$B$37))),0)</f>
        <v/>
      </c>
      <c r="P761">
        <f>IF(B785=0,0,O761/B785)</f>
        <v/>
      </c>
      <c r="Q761">
        <f>IFERROR(1/IF(Inputs!$B$38="pvp",15,MAX(0.1,Skills!E15-IF(Skills!F15=TRUE,Inputs!$B$32,0))),0)</f>
        <v/>
      </c>
      <c r="R761">
        <f>IF(AND(Inputs!$B$38&lt;&gt;"pvp",Inputs!$B$43&gt;0),(INT(Inputs!$B$43/IF(Inputs!$B$38="pvp",15,MAX(0.1,Skills!E15-IF(Skills!F15=TRUE,Inputs!$B$32,0))))+1),0)</f>
        <v/>
      </c>
    </row>
    <row r="762">
      <c r="A762">
        <f>Skills!A16</f>
        <v/>
      </c>
      <c r="B762">
        <f>Skills!B16</f>
        <v/>
      </c>
      <c r="C762">
        <f>Inputs!$B$3&gt;=107</f>
        <v/>
      </c>
      <c r="D762">
        <f>IF(Skills!C16=1,60+Inputs!$B$25+Inputs!$B$29,IF(Skills!C16=2,90+Inputs!$B$26+Inputs!$B$29,IF(Skills!C16=3,120+(Inputs!$B$27+1)+Inputs!$B$29,MAX(0,(Inputs!$B$3-100)*3)+Inputs!$B$28+Inputs!$B$29)))</f>
        <v/>
      </c>
      <c r="E762">
        <f>INDEX(FactorTable!$B$2:$Y$301, MATCH(ROUND(MIN(300,MAX(1,D762)),0), FactorTable!$A$2:$A$301,0), Skills!M16+1)</f>
        <v/>
      </c>
      <c r="F762">
        <f>IF(Skills!N16=TRUE,(Skills!L16/10)*(E762/1000),Skills!L16/10)+Skills!O16</f>
        <v/>
      </c>
      <c r="G762">
        <f>Calc!G16</f>
        <v/>
      </c>
      <c r="H762">
        <f>Calc!H16</f>
        <v/>
      </c>
      <c r="I762">
        <f>IF(Skills!X16&lt;&gt;"",1+(Skills!X16/10)*(Z749/1000)/100,1)</f>
        <v/>
      </c>
      <c r="J762">
        <f>((Inputs!$B$6*(1+Inputs!$B$7/100))+(((Inputs!$B$12*(1+Inputs!$B$13/100))-(Inputs!$B$12*(1+Inputs!$B$13/100)))+0.25*(Inputs!$B$14-Inputs!$B$14))*(1+Inputs!$B$7/100))*(F762/100)</f>
        <v/>
      </c>
      <c r="K762">
        <f>J762*(1+((Inputs!$B$12*(1+Inputs!$B$13/100))*0.01+Inputs!$B$14*0.0025)/100)*(1+Inputs!$B$15/100)*(1+IF(Inputs!$B$38="pvp",0,(1-Summary!$B$56)*(Inputs!$B$20+Skills!P16)+Summary!$B$56*(Inputs!$B$21+Skills!Q16))/100)*(1+Inputs!$B$16/100)*(5000/(6000+Inputs!$B$42*(1-Inputs!$B$19/100)))*(1+Inputs!$B$24/100)*(1+F769/100)*(1+IF(Inputs!$B$3&gt;=120,F772,0)/100)^5*(1+(IF(Skills!A16="BASIC_ATTACK",Inputs!$B$17,Inputs!$B$18+IF(Inputs!$B$3&gt;=125,F773*5,0)))/100)*(B776*B777*B778*I762)</f>
        <v/>
      </c>
      <c r="L762">
        <f>K762*(MIN(Inputs!$B$22+(F768-Calc!F22),Inputs!$B$23)/100+Inputs!$B$23/100)/2</f>
        <v/>
      </c>
      <c r="M762">
        <f>L762*(1+(Inputs!$B$10+(F767-Calc!F21))/100)</f>
        <v/>
      </c>
      <c r="N762">
        <f>L762*(1-MIN(Inputs!$B$9+(F766-Calc!F20),100)/100)+M762*(MIN(Inputs!$B$9+(F766-Calc!F20),100)/100)</f>
        <v/>
      </c>
      <c r="O762">
        <f>IF(C762,H762*N762*IF(AND(Inputs!$B$38&lt;&gt;"pvp",Inputs!$B$43&gt;0),((Skills!G16*((R762-1)*IF(Skills!H16&gt;0,Skills!I16/Skills!H16,1)+IF(Skills!H16&gt;0,MIN(Skills!I16,MAX(0,Inputs!$B$43-((R762-1)*IF(Inputs!$B$38="pvp",15,MAX(0.1,Skills!E16-IF(Skills!F16=TRUE,Inputs!$B$32,0))))))/Skills!H16,1)))/Inputs!$B$43),G762*Q762)*(1+IF(Inputs!$B$3&gt;=126,0.05*(B782+Q759+(H760*B783)/(1+Skills!H14*H760*B783)+Q770),0)*Skills!E15)*IF(Inputs!$B$38="pvp",1,(1-Summary!$B$56)*(1)+Summary!$B$56*(MIN(Skills!R16,Inputs!$B$37))),0)</f>
        <v/>
      </c>
      <c r="P762">
        <f>IF(B785=0,0,O762/B785)</f>
        <v/>
      </c>
      <c r="Q762">
        <f>IFERROR(1/IF(Inputs!$B$38="pvp",15,MAX(0.1,Skills!E16-IF(Skills!F16=TRUE,Inputs!$B$32,0))),0)</f>
        <v/>
      </c>
      <c r="R762">
        <f>IF(AND(Inputs!$B$38&lt;&gt;"pvp",Inputs!$B$43&gt;0),(INT(Inputs!$B$43/IF(Inputs!$B$38="pvp",15,MAX(0.1,Skills!E16-IF(Skills!F16=TRUE,Inputs!$B$32,0))))+1),0)</f>
        <v/>
      </c>
    </row>
    <row r="763">
      <c r="A763">
        <f>Skills!A17</f>
        <v/>
      </c>
      <c r="B763">
        <f>Skills!B17</f>
        <v/>
      </c>
      <c r="C763">
        <f>TRUE</f>
        <v/>
      </c>
      <c r="D763">
        <f>IF(Skills!C17=1,60+Inputs!$B$25+Inputs!$B$29,IF(Skills!C17=2,90+Inputs!$B$26+Inputs!$B$29,IF(Skills!C17=3,120+(Inputs!$B$27+1)+Inputs!$B$29,MAX(0,(Inputs!$B$3-100)*3)+Inputs!$B$28+Inputs!$B$29)))</f>
        <v/>
      </c>
      <c r="E763">
        <f>INDEX(FactorTable!$B$2:$Y$301, MATCH(ROUND(MIN(300,MAX(1,D763)),0), FactorTable!$A$2:$A$301,0), Skills!M17+1)</f>
        <v/>
      </c>
      <c r="F763">
        <f>IF(Skills!N17=TRUE,(Skills!L17/10)*(E763/1000),Skills!L17/10)+Skills!O17</f>
        <v/>
      </c>
      <c r="G763">
        <f>Calc!G17</f>
        <v/>
      </c>
      <c r="H763">
        <f>Calc!H17</f>
        <v/>
      </c>
      <c r="I763">
        <f>IF(Skills!X17&lt;&gt;"",1+(Skills!X17/10)*(Z749/1000)/100,1)</f>
        <v/>
      </c>
      <c r="J763" t="inlineStr"/>
      <c r="K763" t="inlineStr"/>
      <c r="L763" t="inlineStr"/>
      <c r="M763" t="inlineStr"/>
      <c r="N763" t="inlineStr"/>
      <c r="O763" t="n">
        <v>0</v>
      </c>
      <c r="P763">
        <f>IF(B785=0,0,O763/B785)</f>
        <v/>
      </c>
      <c r="Q763">
        <f>IFERROR(1/IF(Inputs!$B$38="pvp",15,MAX(0.1,Skills!E17-IF(Skills!F17=TRUE,Inputs!$B$32,0))),0)</f>
        <v/>
      </c>
      <c r="R763">
        <f>IF(AND(Inputs!$B$38&lt;&gt;"pvp",Inputs!$B$43&gt;0),(INT(Inputs!$B$43/IF(Inputs!$B$38="pvp",15,MAX(0.1,Skills!E17-IF(Skills!F17=TRUE,Inputs!$B$32,0))))+1),0)</f>
        <v/>
      </c>
    </row>
    <row r="764">
      <c r="A764">
        <f>Skills!A18</f>
        <v/>
      </c>
      <c r="B764">
        <f>Skills!B18</f>
        <v/>
      </c>
      <c r="C764">
        <f>TRUE</f>
        <v/>
      </c>
      <c r="D764">
        <f>IF(Skills!C18=1,60+Inputs!$B$25+Inputs!$B$29,IF(Skills!C18=2,90+Inputs!$B$26+Inputs!$B$29,IF(Skills!C18=3,120+(Inputs!$B$27+1)+Inputs!$B$29,MAX(0,(Inputs!$B$3-100)*3)+Inputs!$B$28+Inputs!$B$29)))</f>
        <v/>
      </c>
      <c r="E764">
        <f>INDEX(FactorTable!$B$2:$Y$301, MATCH(ROUND(MIN(300,MAX(1,D764)),0), FactorTable!$A$2:$A$301,0), Skills!M18+1)</f>
        <v/>
      </c>
      <c r="F764">
        <f>IF(Skills!N18=TRUE,(Skills!L18/10)*(E764/1000),Skills!L18/10)+Skills!O18</f>
        <v/>
      </c>
      <c r="G764">
        <f>Calc!G18</f>
        <v/>
      </c>
      <c r="H764">
        <f>Calc!H18</f>
        <v/>
      </c>
      <c r="I764">
        <f>IF(Skills!X18&lt;&gt;"",1+(Skills!X18/10)*(Z749/1000)/100,1)</f>
        <v/>
      </c>
      <c r="J764" t="inlineStr"/>
      <c r="K764" t="inlineStr"/>
      <c r="L764" t="inlineStr"/>
      <c r="M764" t="inlineStr"/>
      <c r="N764" t="inlineStr"/>
      <c r="O764" t="n">
        <v>0</v>
      </c>
      <c r="P764">
        <f>IF(B785=0,0,O764/B785)</f>
        <v/>
      </c>
      <c r="Q764">
        <f>IFERROR(1/IF(Inputs!$B$38="pvp",15,MAX(0.1,Skills!E18-IF(Skills!F18=TRUE,Inputs!$B$32,0))),0)</f>
        <v/>
      </c>
      <c r="R764">
        <f>IF(AND(Inputs!$B$38&lt;&gt;"pvp",Inputs!$B$43&gt;0),(INT(Inputs!$B$43/IF(Inputs!$B$38="pvp",15,MAX(0.1,Skills!E18-IF(Skills!F18=TRUE,Inputs!$B$32,0))))+1),0)</f>
        <v/>
      </c>
    </row>
    <row r="765">
      <c r="A765">
        <f>Skills!A19</f>
        <v/>
      </c>
      <c r="B765">
        <f>Skills!B19</f>
        <v/>
      </c>
      <c r="C765">
        <f>Inputs!$B$3&gt;=110</f>
        <v/>
      </c>
      <c r="D765">
        <f>IF(Skills!C19=1,60+Inputs!$B$25+Inputs!$B$29,IF(Skills!C19=2,90+Inputs!$B$26+Inputs!$B$29,IF(Skills!C19=3,120+(Inputs!$B$27+1)+Inputs!$B$29,MAX(0,(Inputs!$B$3-100)*3)+Inputs!$B$28+Inputs!$B$29)))</f>
        <v/>
      </c>
      <c r="E765">
        <f>INDEX(FactorTable!$B$2:$Y$301, MATCH(ROUND(MIN(300,MAX(1,D765)),0), FactorTable!$A$2:$A$301,0), Skills!M19+1)</f>
        <v/>
      </c>
      <c r="F765">
        <f>IF(Skills!N19=TRUE,(Skills!L19/10)*(E765/1000),Skills!L19/10)+Skills!O19</f>
        <v/>
      </c>
      <c r="G765">
        <f>Calc!G19</f>
        <v/>
      </c>
      <c r="H765">
        <f>Calc!H19</f>
        <v/>
      </c>
      <c r="I765">
        <f>IF(Skills!X19&lt;&gt;"",1+(Skills!X19/10)*(Z749/1000)/100,1)</f>
        <v/>
      </c>
      <c r="J765" t="inlineStr"/>
      <c r="K765" t="inlineStr"/>
      <c r="L765" t="inlineStr"/>
      <c r="M765" t="inlineStr"/>
      <c r="N765" t="inlineStr"/>
      <c r="O765" t="n">
        <v>0</v>
      </c>
      <c r="P765">
        <f>IF(B785=0,0,O765/B785)</f>
        <v/>
      </c>
      <c r="Q765">
        <f>IFERROR(1/IF(Inputs!$B$38="pvp",15,MAX(0.1,Skills!E19-IF(Skills!F19=TRUE,Inputs!$B$32,0))),0)</f>
        <v/>
      </c>
      <c r="R765">
        <f>IF(AND(Inputs!$B$38&lt;&gt;"pvp",Inputs!$B$43&gt;0),(INT(Inputs!$B$43/IF(Inputs!$B$38="pvp",15,MAX(0.1,Skills!E19-IF(Skills!F19=TRUE,Inputs!$B$32,0))))+1),0)</f>
        <v/>
      </c>
    </row>
    <row r="766">
      <c r="A766">
        <f>Skills!A20</f>
        <v/>
      </c>
      <c r="B766">
        <f>Skills!B20</f>
        <v/>
      </c>
      <c r="C766">
        <f>TRUE</f>
        <v/>
      </c>
      <c r="D766">
        <f>IF(Skills!C20=1,60+Inputs!$B$25+Inputs!$B$29,IF(Skills!C20=2,90+Inputs!$B$26+Inputs!$B$29,IF(Skills!C20=3,120+(Inputs!$B$27+1)+Inputs!$B$29,MAX(0,(Inputs!$B$3-100)*3)+Inputs!$B$28+Inputs!$B$29)))</f>
        <v/>
      </c>
      <c r="E766">
        <f>INDEX(FactorTable!$B$2:$Y$301, MATCH(ROUND(MIN(300,MAX(1,D766)),0), FactorTable!$A$2:$A$301,0), Skills!M20+1)</f>
        <v/>
      </c>
      <c r="F766">
        <f>IF(Skills!N20=TRUE,(Skills!L20/10)*(E766/1000),Skills!L20/10)+Skills!O20</f>
        <v/>
      </c>
      <c r="G766">
        <f>Calc!G20</f>
        <v/>
      </c>
      <c r="H766">
        <f>Calc!H20</f>
        <v/>
      </c>
      <c r="I766">
        <f>IF(Skills!X20&lt;&gt;"",1+(Skills!X20/10)*(Z749/1000)/100,1)</f>
        <v/>
      </c>
      <c r="J766" t="inlineStr"/>
      <c r="K766" t="inlineStr"/>
      <c r="L766" t="inlineStr"/>
      <c r="M766" t="inlineStr"/>
      <c r="N766" t="inlineStr"/>
      <c r="O766" t="n">
        <v>0</v>
      </c>
      <c r="P766">
        <f>IF(B785=0,0,O766/B785)</f>
        <v/>
      </c>
      <c r="Q766">
        <f>IFERROR(1/IF(Inputs!$B$38="pvp",15,MAX(0.1,Skills!E20-IF(Skills!F20=TRUE,Inputs!$B$32,0))),0)</f>
        <v/>
      </c>
      <c r="R766" t="n">
        <v>0</v>
      </c>
    </row>
    <row r="767">
      <c r="A767">
        <f>Skills!A21</f>
        <v/>
      </c>
      <c r="B767">
        <f>Skills!B21</f>
        <v/>
      </c>
      <c r="C767">
        <f>TRUE</f>
        <v/>
      </c>
      <c r="D767">
        <f>IF(Skills!C21=1,60+Inputs!$B$25+Inputs!$B$29,IF(Skills!C21=2,90+Inputs!$B$26+Inputs!$B$29,IF(Skills!C21=3,120+(Inputs!$B$27+1)+Inputs!$B$29,MAX(0,(Inputs!$B$3-100)*3)+Inputs!$B$28+Inputs!$B$29)))</f>
        <v/>
      </c>
      <c r="E767">
        <f>INDEX(FactorTable!$B$2:$Y$301, MATCH(ROUND(MIN(300,MAX(1,D767)),0), FactorTable!$A$2:$A$301,0), Skills!M21+1)</f>
        <v/>
      </c>
      <c r="F767">
        <f>IF(Skills!N21=TRUE,(Skills!L21/10)*(E767/1000),Skills!L21/10)+Skills!O21</f>
        <v/>
      </c>
      <c r="G767">
        <f>Calc!G21</f>
        <v/>
      </c>
      <c r="H767">
        <f>Calc!H21</f>
        <v/>
      </c>
      <c r="I767">
        <f>IF(Skills!X21&lt;&gt;"",1+(Skills!X21/10)*(Z749/1000)/100,1)</f>
        <v/>
      </c>
      <c r="J767" t="inlineStr"/>
      <c r="K767" t="inlineStr"/>
      <c r="L767" t="inlineStr"/>
      <c r="M767" t="inlineStr"/>
      <c r="N767" t="inlineStr"/>
      <c r="O767" t="n">
        <v>0</v>
      </c>
      <c r="P767">
        <f>IF(B785=0,0,O767/B785)</f>
        <v/>
      </c>
      <c r="Q767">
        <f>IFERROR(1/IF(Inputs!$B$38="pvp",15,MAX(0.1,Skills!E21-IF(Skills!F21=TRUE,Inputs!$B$32,0))),0)</f>
        <v/>
      </c>
      <c r="R767" t="n">
        <v>0</v>
      </c>
    </row>
    <row r="768">
      <c r="A768">
        <f>Skills!A22</f>
        <v/>
      </c>
      <c r="B768">
        <f>Skills!B22</f>
        <v/>
      </c>
      <c r="C768">
        <f>TRUE</f>
        <v/>
      </c>
      <c r="D768">
        <f>IF(Skills!C22=1,60+Inputs!$B$25+Inputs!$B$29,IF(Skills!C22=2,90+Inputs!$B$26+Inputs!$B$29,IF(Skills!C22=3,120+(Inputs!$B$27+1)+Inputs!$B$29,MAX(0,(Inputs!$B$3-100)*3)+Inputs!$B$28+Inputs!$B$29)))</f>
        <v/>
      </c>
      <c r="E768">
        <f>INDEX(FactorTable!$B$2:$Y$301, MATCH(ROUND(MIN(300,MAX(1,D768)),0), FactorTable!$A$2:$A$301,0), Skills!M22+1)</f>
        <v/>
      </c>
      <c r="F768">
        <f>IF(Skills!N22=TRUE,(Skills!L22/10)*(E768/1000),Skills!L22/10)+Skills!O22</f>
        <v/>
      </c>
      <c r="G768">
        <f>Calc!G22</f>
        <v/>
      </c>
      <c r="H768">
        <f>Calc!H22</f>
        <v/>
      </c>
      <c r="I768">
        <f>IF(Skills!X22&lt;&gt;"",1+(Skills!X22/10)*(Z749/1000)/100,1)</f>
        <v/>
      </c>
      <c r="J768" t="inlineStr"/>
      <c r="K768" t="inlineStr"/>
      <c r="L768" t="inlineStr"/>
      <c r="M768" t="inlineStr"/>
      <c r="N768" t="inlineStr"/>
      <c r="O768" t="n">
        <v>0</v>
      </c>
      <c r="P768">
        <f>IF(B785=0,0,O768/B785)</f>
        <v/>
      </c>
      <c r="Q768">
        <f>IFERROR(1/IF(Inputs!$B$38="pvp",15,MAX(0.1,Skills!E22-IF(Skills!F22=TRUE,Inputs!$B$32,0))),0)</f>
        <v/>
      </c>
      <c r="R768" t="n">
        <v>0</v>
      </c>
    </row>
    <row r="769">
      <c r="A769">
        <f>Skills!A23</f>
        <v/>
      </c>
      <c r="B769">
        <f>Skills!B23</f>
        <v/>
      </c>
      <c r="C769">
        <f>TRUE</f>
        <v/>
      </c>
      <c r="D769">
        <f>IF(Skills!C23=1,60+Inputs!$B$25+Inputs!$B$29,IF(Skills!C23=2,90+Inputs!$B$26+Inputs!$B$29,IF(Skills!C23=3,120+(Inputs!$B$27+1)+Inputs!$B$29,MAX(0,(Inputs!$B$3-100)*3)+Inputs!$B$28+Inputs!$B$29)))</f>
        <v/>
      </c>
      <c r="E769">
        <f>INDEX(FactorTable!$B$2:$Y$301, MATCH(ROUND(MIN(300,MAX(1,D769)),0), FactorTable!$A$2:$A$301,0), Skills!M23+1)</f>
        <v/>
      </c>
      <c r="F769">
        <f>IF(Skills!N23=TRUE,(Skills!L23/10)*(E769/1000),Skills!L23/10)+Skills!O23</f>
        <v/>
      </c>
      <c r="G769">
        <f>Calc!G23</f>
        <v/>
      </c>
      <c r="H769">
        <f>Calc!H23</f>
        <v/>
      </c>
      <c r="I769">
        <f>IF(Skills!X23&lt;&gt;"",1+(Skills!X23/10)*(Z749/1000)/100,1)</f>
        <v/>
      </c>
      <c r="J769" t="inlineStr"/>
      <c r="K769" t="inlineStr"/>
      <c r="L769" t="inlineStr"/>
      <c r="M769" t="inlineStr"/>
      <c r="N769" t="inlineStr"/>
      <c r="O769" t="n">
        <v>0</v>
      </c>
      <c r="P769">
        <f>IF(B785=0,0,O769/B785)</f>
        <v/>
      </c>
      <c r="Q769">
        <f>IFERROR(1/IF(Inputs!$B$38="pvp",15,MAX(0.1,Skills!E23-IF(Skills!F23=TRUE,Inputs!$B$32,0))),0)</f>
        <v/>
      </c>
      <c r="R769" t="n">
        <v>0</v>
      </c>
    </row>
    <row r="770">
      <c r="A770">
        <f>Skills!A24</f>
        <v/>
      </c>
      <c r="B770">
        <f>Skills!B24</f>
        <v/>
      </c>
      <c r="C770">
        <f>Inputs!$B$3&gt;=115</f>
        <v/>
      </c>
      <c r="D770">
        <f>IF(Skills!C24=1,60+Inputs!$B$25+Inputs!$B$29,IF(Skills!C24=2,90+Inputs!$B$26+Inputs!$B$29,IF(Skills!C24=3,120+(Inputs!$B$27+1)+Inputs!$B$29,MAX(0,(Inputs!$B$3-100)*3)+Inputs!$B$28+Inputs!$B$29)))</f>
        <v/>
      </c>
      <c r="E770">
        <f>INDEX(FactorTable!$B$2:$Y$301, MATCH(ROUND(MIN(300,MAX(1,D770)),0), FactorTable!$A$2:$A$301,0), Skills!M24+1)</f>
        <v/>
      </c>
      <c r="F770">
        <f>IF(Skills!N24=TRUE,(Skills!L24/10)*(E770/1000),Skills!L24/10)+Skills!O24</f>
        <v/>
      </c>
      <c r="G770">
        <f>Calc!G24</f>
        <v/>
      </c>
      <c r="H770">
        <f>Calc!H24</f>
        <v/>
      </c>
      <c r="I770">
        <f>IF(Skills!X24&lt;&gt;"",1+(Skills!X24/10)*(Z749/1000)/100,1)</f>
        <v/>
      </c>
      <c r="J770">
        <f>((Inputs!$B$6*(1+Inputs!$B$7/100))+(((Inputs!$B$12*(1+Inputs!$B$13/100))-(Inputs!$B$12*(1+Inputs!$B$13/100)))+0.25*(Inputs!$B$14-Inputs!$B$14))*(1+Inputs!$B$7/100))*(F770/100)</f>
        <v/>
      </c>
      <c r="K770">
        <f>J770*(1+((Inputs!$B$12*(1+Inputs!$B$13/100))*0.01+Inputs!$B$14*0.0025)/100)*(1+Inputs!$B$15/100)*(1+IF(Inputs!$B$38="pvp",0,(1-Summary!$B$56)*(Inputs!$B$20+Skills!P24)+Summary!$B$56*(Inputs!$B$21+Skills!Q24))/100)*(1+Inputs!$B$16/100)*(5000/(6000+Inputs!$B$42*(1-Inputs!$B$19/100)))*(1+Inputs!$B$24/100)*(1+F769/100)*(1+IF(Inputs!$B$3&gt;=120,F772,0)/100)^5*(1+(IF(Skills!A24="BASIC_ATTACK",Inputs!$B$17,Inputs!$B$18+IF(Inputs!$B$3&gt;=125,F773*5,0)))/100)*(B776*B777*B778*I770)</f>
        <v/>
      </c>
      <c r="L770">
        <f>K770*(MIN(Inputs!$B$22+(F768-Calc!F22),Inputs!$B$23)/100+Inputs!$B$23/100)/2</f>
        <v/>
      </c>
      <c r="M770">
        <f>L770*(1+(Inputs!$B$10+(F767-Calc!F21))/100)</f>
        <v/>
      </c>
      <c r="N770">
        <f>L770*(1-MIN(Inputs!$B$9+(F766-Calc!F20),100)/100)+M770*(MIN(Inputs!$B$9+(F766-Calc!F20),100)/100)</f>
        <v/>
      </c>
      <c r="O770">
        <f>IF(C770,H770*N770*IF(AND(Inputs!$B$38&lt;&gt;"pvp",Inputs!$B$43&gt;0),((Skills!G24*((R770-1)*IF(Skills!H24&gt;0,Skills!I24/Skills!H24,1)+IF(Skills!H24&gt;0,MIN(Skills!I24,MAX(0,Inputs!$B$43-((R770-1)*IF(Inputs!$B$38="pvp",15,MAX(0.1,Skills!E24-IF(Skills!F24=TRUE,Inputs!$B$32,0))))))/Skills!H24,1)))/Inputs!$B$43),G770*Q770)*(1+IF(Inputs!$B$3&gt;=130,0.2*(Skills!I16/Skills!E15+IF(Inputs!$B$3&gt;=126,0.05*(B782+Q759+(H760*B783)/(1+Skills!H14*H760*B783)+Q770),0)*Skills!I16),0))*IF(Inputs!$B$38="pvp",1,(1-Summary!$B$56)*(1)+Summary!$B$56*(MIN(Skills!R24,Inputs!$B$37))),0)</f>
        <v/>
      </c>
      <c r="P770">
        <f>IF(B785=0,0,O770/B785)</f>
        <v/>
      </c>
      <c r="Q770">
        <f>IFERROR(1/IF(Inputs!$B$38="pvp",15,MAX(0.1,Skills!E24-IF(Skills!F24=TRUE,Inputs!$B$32,0))),0)</f>
        <v/>
      </c>
      <c r="R770">
        <f>IF(AND(Inputs!$B$38&lt;&gt;"pvp",Inputs!$B$43&gt;0),(INT(Inputs!$B$43/IF(Inputs!$B$38="pvp",15,MAX(0.1,Skills!E24-IF(Skills!F24=TRUE,Inputs!$B$32,0))))+1),0)</f>
        <v/>
      </c>
    </row>
    <row r="771">
      <c r="A771">
        <f>Skills!A25</f>
        <v/>
      </c>
      <c r="B771">
        <f>Skills!B25</f>
        <v/>
      </c>
      <c r="C771">
        <f>Inputs!$B$3&gt;=117</f>
        <v/>
      </c>
      <c r="D771">
        <f>IF(Skills!C25=1,60+Inputs!$B$25+Inputs!$B$29,IF(Skills!C25=2,90+Inputs!$B$26+Inputs!$B$29,IF(Skills!C25=3,120+(Inputs!$B$27+1)+Inputs!$B$29,MAX(0,(Inputs!$B$3-100)*3)+Inputs!$B$28+Inputs!$B$29)))</f>
        <v/>
      </c>
      <c r="E771">
        <f>INDEX(FactorTable!$B$2:$Y$301, MATCH(ROUND(MIN(300,MAX(1,D771)),0), FactorTable!$A$2:$A$301,0), Skills!M25+1)</f>
        <v/>
      </c>
      <c r="F771">
        <f>IF(Skills!N25=TRUE,(Skills!L25/10)*(E771/1000),Skills!L25/10)+Skills!O25</f>
        <v/>
      </c>
      <c r="G771">
        <f>Calc!G25</f>
        <v/>
      </c>
      <c r="H771">
        <f>Calc!H25</f>
        <v/>
      </c>
      <c r="I771">
        <f>IF(Skills!X25&lt;&gt;"",1+(Skills!X25/10)*(Z749/1000)/100,1)</f>
        <v/>
      </c>
      <c r="J771" t="inlineStr"/>
      <c r="K771" t="inlineStr"/>
      <c r="L771" t="inlineStr"/>
      <c r="M771" t="inlineStr"/>
      <c r="N771" t="inlineStr"/>
      <c r="O771" t="n">
        <v>0</v>
      </c>
      <c r="P771">
        <f>IF(B785=0,0,O771/B785)</f>
        <v/>
      </c>
      <c r="Q771">
        <f>IFERROR(1/IF(Inputs!$B$38="pvp",15,MAX(0.1,Skills!E25-IF(Skills!F25=TRUE,Inputs!$B$32,0))),0)</f>
        <v/>
      </c>
      <c r="R771" t="n">
        <v>0</v>
      </c>
    </row>
    <row r="772">
      <c r="A772">
        <f>Skills!A26</f>
        <v/>
      </c>
      <c r="B772">
        <f>Skills!B26</f>
        <v/>
      </c>
      <c r="C772">
        <f>Inputs!$B$3&gt;=120</f>
        <v/>
      </c>
      <c r="D772">
        <f>IF(Skills!C26=1,60+Inputs!$B$25+Inputs!$B$29,IF(Skills!C26=2,90+Inputs!$B$26+Inputs!$B$29,IF(Skills!C26=3,120+(Inputs!$B$27+1)+Inputs!$B$29,MAX(0,(Inputs!$B$3-100)*3)+Inputs!$B$28+Inputs!$B$29)))</f>
        <v/>
      </c>
      <c r="E772">
        <f>INDEX(FactorTable!$B$2:$Y$301, MATCH(ROUND(MIN(300,MAX(1,D772)),0), FactorTable!$A$2:$A$301,0), Skills!M26+1)</f>
        <v/>
      </c>
      <c r="F772">
        <f>IF(Skills!N26=TRUE,(Skills!L26/10)*(E772/1000),Skills!L26/10)+Skills!O26</f>
        <v/>
      </c>
      <c r="G772">
        <f>Calc!G26</f>
        <v/>
      </c>
      <c r="H772">
        <f>Calc!H26</f>
        <v/>
      </c>
      <c r="I772">
        <f>IF(Skills!X26&lt;&gt;"",1+(Skills!X26/10)*(Z749/1000)/100,1)</f>
        <v/>
      </c>
      <c r="J772" t="inlineStr"/>
      <c r="K772" t="inlineStr"/>
      <c r="L772" t="inlineStr"/>
      <c r="M772" t="inlineStr"/>
      <c r="N772" t="inlineStr"/>
      <c r="O772" t="n">
        <v>0</v>
      </c>
      <c r="P772">
        <f>IF(B785=0,0,O772/B785)</f>
        <v/>
      </c>
      <c r="Q772">
        <f>IFERROR(1/IF(Inputs!$B$38="pvp",15,MAX(0.1,Skills!E26-IF(Skills!F26=TRUE,Inputs!$B$32,0))),0)</f>
        <v/>
      </c>
      <c r="R772" t="n">
        <v>0</v>
      </c>
    </row>
    <row r="773">
      <c r="A773">
        <f>Skills!A27</f>
        <v/>
      </c>
      <c r="B773">
        <f>Skills!B27</f>
        <v/>
      </c>
      <c r="C773">
        <f>Inputs!$B$3&gt;=125</f>
        <v/>
      </c>
      <c r="D773">
        <f>IF(Skills!C27=1,60+Inputs!$B$25+Inputs!$B$29,IF(Skills!C27=2,90+Inputs!$B$26+Inputs!$B$29,IF(Skills!C27=3,120+(Inputs!$B$27+1)+Inputs!$B$29,MAX(0,(Inputs!$B$3-100)*3)+Inputs!$B$28+Inputs!$B$29)))</f>
        <v/>
      </c>
      <c r="E773">
        <f>INDEX(FactorTable!$B$2:$Y$301, MATCH(ROUND(MIN(300,MAX(1,D773)),0), FactorTable!$A$2:$A$301,0), Skills!M27+1)</f>
        <v/>
      </c>
      <c r="F773">
        <f>IF(Skills!N27=TRUE,(Skills!L27/10)*(E773/1000),Skills!L27/10)+Skills!O27</f>
        <v/>
      </c>
      <c r="G773">
        <f>Calc!G27</f>
        <v/>
      </c>
      <c r="H773">
        <f>Calc!H27</f>
        <v/>
      </c>
      <c r="I773">
        <f>IF(Skills!X27&lt;&gt;"",1+(Skills!X27/10)*(Z749/1000)/100,1)</f>
        <v/>
      </c>
      <c r="J773" t="inlineStr"/>
      <c r="K773" t="inlineStr"/>
      <c r="L773" t="inlineStr"/>
      <c r="M773" t="inlineStr"/>
      <c r="N773" t="inlineStr"/>
      <c r="O773" t="n">
        <v>0</v>
      </c>
      <c r="P773">
        <f>IF(B785=0,0,O773/B785)</f>
        <v/>
      </c>
      <c r="Q773">
        <f>IFERROR(1/IF(Inputs!$B$38="pvp",15,MAX(0.1,Skills!E27-IF(Skills!F27=TRUE,Inputs!$B$32,0))),0)</f>
        <v/>
      </c>
      <c r="R773" t="n">
        <v>0</v>
      </c>
    </row>
    <row r="774">
      <c r="A774">
        <f>Skills!A28</f>
        <v/>
      </c>
      <c r="B774">
        <f>Skills!B28</f>
        <v/>
      </c>
      <c r="C774">
        <f>Inputs!$B$3&gt;=118</f>
        <v/>
      </c>
      <c r="D774">
        <f>IF(Skills!C28=1,60+Inputs!$B$25+Inputs!$B$29,IF(Skills!C28=2,90+Inputs!$B$26+Inputs!$B$29,IF(Skills!C28=3,120+(Inputs!$B$27+1)+Inputs!$B$29,MAX(0,(Inputs!$B$3-100)*3)+Inputs!$B$28+Inputs!$B$29)))</f>
        <v/>
      </c>
      <c r="E774">
        <f>INDEX(FactorTable!$B$2:$Y$301, MATCH(ROUND(MIN(300,MAX(1,D774)),0), FactorTable!$A$2:$A$301,0), Skills!M28+1)</f>
        <v/>
      </c>
      <c r="F774">
        <f>IF(Skills!N28=TRUE,(Skills!L28/10)*(E774/1000),Skills!L28/10)+Skills!O28</f>
        <v/>
      </c>
      <c r="G774">
        <f>Calc!G28</f>
        <v/>
      </c>
      <c r="H774">
        <f>Calc!H28</f>
        <v/>
      </c>
      <c r="I774">
        <f>IF(Skills!X28&lt;&gt;"",1+(Skills!X28/10)*(Z749/1000)/100,1)</f>
        <v/>
      </c>
      <c r="J774">
        <f>((Inputs!$B$6*(1+Inputs!$B$7/100))+(((Inputs!$B$12*(1+Inputs!$B$13/100))-(Inputs!$B$12*(1+Inputs!$B$13/100)))+0.25*(Inputs!$B$14-Inputs!$B$14))*(1+Inputs!$B$7/100))*(F774/100)</f>
        <v/>
      </c>
      <c r="K774">
        <f>J774*(1+((Inputs!$B$12*(1+Inputs!$B$13/100))*0.01+Inputs!$B$14*0.0025)/100)*(1+Inputs!$B$15/100)*(1+IF(Inputs!$B$38="pvp",0,(1-Summary!$B$56)*(Inputs!$B$20+Skills!P28)+Summary!$B$56*(Inputs!$B$21+Skills!Q28))/100)*(1+Inputs!$B$16/100)*(5000/(6000+Inputs!$B$42*(1-Inputs!$B$19/100)))*(1+Inputs!$B$24/100)*(1+F769/100)*(1+IF(Inputs!$B$3&gt;=120,F772,0)/100)^5*(1+(IF(Skills!A28="BASIC_ATTACK",Inputs!$B$17,Inputs!$B$18+IF(Inputs!$B$3&gt;=125,F773*5,0)))/100)*(B776*B777*B778*I774)</f>
        <v/>
      </c>
      <c r="L774">
        <f>K774*(MIN(Inputs!$B$22+(F768-Calc!F22),Inputs!$B$23)/100+Inputs!$B$23/100)/2</f>
        <v/>
      </c>
      <c r="M774">
        <f>L774*(1+(Inputs!$B$10+(F767-Calc!F21))/100)</f>
        <v/>
      </c>
      <c r="N774">
        <f>L774*(1-MIN(Inputs!$B$9+(F766-Calc!F20),100)/100)+M774*(MIN(Inputs!$B$9+(F766-Calc!F20),100)/100)</f>
        <v/>
      </c>
      <c r="O774">
        <f>IF(C774,H774*N774*IF(AND(Inputs!$B$38&lt;&gt;"pvp",Inputs!$B$43&gt;0),((Skills!G28*((R774-1)*IF(Skills!H28&gt;0,Skills!I28/Skills!H28,1)+IF(Skills!H28&gt;0,MIN(Skills!I28,MAX(0,Inputs!$B$43-((R774-1)*IF(Inputs!$B$38="pvp",15,MAX(0.1,Skills!E28-IF(Skills!F28=TRUE,Inputs!$B$32,0))))))/Skills!H28,1)))/Inputs!$B$43),G774*Q774)*IF(Inputs!$B$38="pvp",1,(1-Summary!$B$56)*(1)+Summary!$B$56*(MIN(Skills!R28,Inputs!$B$37))),0)</f>
        <v/>
      </c>
      <c r="P774">
        <f>IF(B785=0,0,O774/B785)</f>
        <v/>
      </c>
      <c r="Q774">
        <f>IFERROR(1/IF(Inputs!$B$38="pvp",15,MAX(0.1,Skills!E28-IF(Skills!F28=TRUE,Inputs!$B$32,0))),0)</f>
        <v/>
      </c>
      <c r="R774">
        <f>IF(AND(Inputs!$B$38&lt;&gt;"pvp",Inputs!$B$43&gt;0),(INT(Inputs!$B$43/IF(Inputs!$B$38="pvp",15,MAX(0.1,Skills!E28-IF(Skills!F28=TRUE,Inputs!$B$32,0))))+1),0)</f>
        <v/>
      </c>
    </row>
    <row r="776">
      <c r="A776" t="inlineStr">
        <is>
          <t>Burning Magic Multiplier</t>
        </is>
      </c>
      <c r="B776">
        <f>1+(F757*Skills!Z11)/100</f>
        <v/>
      </c>
    </row>
    <row r="777">
      <c r="A777" t="inlineStr">
        <is>
          <t>Elemental Decrease Multiplier (always-on)</t>
        </is>
      </c>
      <c r="B777">
        <f>1+F758/100</f>
        <v/>
      </c>
    </row>
    <row r="778">
      <c r="A778" t="inlineStr">
        <is>
          <t>Average Buff Multiplier (Magic Guard + Meditation, summed; then Infinity)</t>
        </is>
      </c>
      <c r="B778">
        <f>(1+(F752*IF(AND(Inputs!$B$38&lt;&gt;"pvp",Inputs!$B$43&gt;0),(((R752-1)*(Skills!T6*(1+(Inputs!$B$34+IF(Inputs!$B$3&gt;=117,F771,0))/100))+MIN((Skills!T6*(1+(Inputs!$B$34+IF(Inputs!$B$3&gt;=117,F771,0))/100)),MAX(0,Inputs!$B$43-((R752-1)*Skills!E6))))/Inputs!$B$43),IF(Inputs!$B$38="pvp",MIN((Skills!T6*(1+(Inputs!$B$34+IF(Inputs!$B$3&gt;=117,F771,0))/100)),15)/15,(Skills!T6*(1+(Inputs!$B$34+IF(Inputs!$B$3&gt;=117,F771,0))/100))/Skills!E6))+F763*IF(AND(Inputs!$B$38&lt;&gt;"pvp",Inputs!$B$43&gt;0),(((R763-1)*(Skills!T17*(1+(Inputs!$B$34+IF(Inputs!$B$3&gt;=117,F771,0))/100))+MIN((Skills!T17*(1+(Inputs!$B$34+IF(Inputs!$B$3&gt;=117,F771,0))/100)),MAX(0,Inputs!$B$43-((R763-1)*Skills!E17))))/Inputs!$B$43),IF(Inputs!$B$38="pvp",MIN((Skills!T17*(1+(Inputs!$B$34+IF(Inputs!$B$3&gt;=117,F771,0))/100)),15)/15,(Skills!T17*(1+(Inputs!$B$34+IF(Inputs!$B$3&gt;=117,F771,0))/100))/Skills!E17)))/100)*IF(C765=TRUE,(1+F765*IF(AND(Inputs!$B$38&lt;&gt;"pvp",Inputs!$B$43&gt;0),(((R765-1)*(Skills!T19*(1+(Inputs!$B$34+IF(Inputs!$B$3&gt;=117,F771,0))/100))+MIN((Skills!T19*(1+(Inputs!$B$34+IF(Inputs!$B$3&gt;=117,F771,0))/100)),MAX(0,Inputs!$B$43-((R765-1)*Skills!E19))))/Inputs!$B$43),IF(Inputs!$B$38="pvp",MIN((Skills!T19*(1+(Inputs!$B$34+IF(Inputs!$B$3&gt;=117,F771,0))/100)),15)/15,(Skills!T19*(1+(Inputs!$B$34+IF(Inputs!$B$3&gt;=117,F771,0))/100))/Skills!E19))/100),1)</f>
        <v/>
      </c>
    </row>
    <row r="779">
      <c r="A779" t="inlineStr">
        <is>
          <t>Attack Speed Buff Bonus % (Nimble Feet, averaged)</t>
        </is>
      </c>
      <c r="B779">
        <f>F764*IF(AND(Inputs!$B$38&lt;&gt;"pvp",Inputs!$B$43&gt;0),(((R764-1)*(Skills!T18*(1+(Inputs!$B$34+IF(Inputs!$B$3&gt;=117,F771,0))/100))+MIN((Skills!T18*(1+(Inputs!$B$34+IF(Inputs!$B$3&gt;=117,F771,0))/100)),MAX(0,Inputs!$B$43-((R764-1)*Skills!E18))))/Inputs!$B$43),IF(Inputs!$B$38="pvp",MIN((Skills!T18*(1+(Inputs!$B$34+IF(Inputs!$B$3&gt;=117,F771,0))/100)),15)/15,(Skills!T18*(1+(Inputs!$B$34+IF(Inputs!$B$3&gt;=117,F771,0))/100))/Skills!E18))</f>
        <v/>
      </c>
    </row>
    <row r="780">
      <c r="A780" t="inlineStr">
        <is>
          <t>Actions Per Second</t>
        </is>
      </c>
      <c r="B780">
        <f>1+MIN(150,150*(1-(1-Inputs!$B$11/150)*(1-B779/150)))/100</f>
        <v/>
      </c>
    </row>
    <row r="781">
      <c r="A781" t="inlineStr">
        <is>
          <t>Skill + Buff Cast Rate</t>
        </is>
      </c>
      <c r="B781">
        <f>IF(AND(Inputs!$B$38&lt;&gt;"pvp",Inputs!$B$43&gt;0),SUMPRODUCT((Skills!F2:F28=TRUE)*(C748:C774=TRUE)*R748:R774)/Inputs!$B$43,SUMPRODUCT((Skills!F2:F28=TRUE)*(C748:C774=TRUE)*Q748:Q774))</f>
        <v/>
      </c>
    </row>
    <row r="782">
      <c r="A782" t="inlineStr">
        <is>
          <t>Basic Attacks Per Second</t>
        </is>
      </c>
      <c r="B782">
        <f>MAX(0,B780-B781)</f>
        <v/>
      </c>
    </row>
    <row r="783">
      <c r="A783" t="inlineStr">
        <is>
          <t>Meteor Proc — combined trigger cast rate</t>
        </is>
      </c>
      <c r="B783">
        <f>IF(AND(Inputs!$B$38&lt;&gt;"pvp",Inputs!$B$43&gt;0),SUMPRODUCT((Skills!V2:V28=TRUE)*(C748:C774=TRUE)*R748:R774*Skills!W2:W28)/Inputs!$B$43,SUMPRODUCT((Skills!V2:V28=TRUE)*(C748:C774=TRUE)*Q748:Q774*Skills!W2:W28))+B782</f>
        <v/>
      </c>
    </row>
    <row r="785">
      <c r="A785" s="5" t="inlineStr">
        <is>
          <t>TOTAL DPS</t>
        </is>
      </c>
      <c r="B785" s="5">
        <f>SUM(O748:O774)</f>
        <v/>
      </c>
    </row>
    <row r="788">
      <c r="A788" s="5" t="inlineStr">
        <is>
          <t>Stat: Skill Level Bonus — 4th Job</t>
        </is>
      </c>
    </row>
    <row r="789">
      <c r="A789" s="9" t="inlineStr">
        <is>
          <t>Key</t>
        </is>
      </c>
      <c r="B789" s="9" t="inlineStr">
        <is>
          <t>Name</t>
        </is>
      </c>
      <c r="C789" s="9" t="inlineStr">
        <is>
          <t>Unlocked</t>
        </is>
      </c>
      <c r="D789" s="9" t="inlineStr">
        <is>
          <t>InputLevel</t>
        </is>
      </c>
      <c r="E789" s="9" t="inlineStr">
        <is>
          <t>Factor</t>
        </is>
      </c>
      <c r="F789" s="9" t="inlineStr">
        <is>
          <t>CoefficientPercent</t>
        </is>
      </c>
      <c r="G789" s="9" t="inlineStr">
        <is>
          <t>EffectiveHits</t>
        </is>
      </c>
      <c r="H789" s="9" t="inlineStr">
        <is>
          <t>ProcProbability</t>
        </is>
      </c>
      <c r="I789" s="9" t="inlineStr">
        <is>
          <t>MapleHeroMultiplier</t>
        </is>
      </c>
      <c r="J789" s="9" t="inlineStr">
        <is>
          <t>BaseDamage</t>
        </is>
      </c>
      <c r="K789" s="9" t="inlineStr">
        <is>
          <t>BaseHitDamage</t>
        </is>
      </c>
      <c r="L789" s="9" t="inlineStr">
        <is>
          <t>NonCritAvg</t>
        </is>
      </c>
      <c r="M789" s="9" t="inlineStr">
        <is>
          <t>CritAvg</t>
        </is>
      </c>
      <c r="N789" s="9" t="inlineStr">
        <is>
          <t>ExpectedDamage(perHit)</t>
        </is>
      </c>
      <c r="O789" s="9" t="inlineStr">
        <is>
          <t>DPS</t>
        </is>
      </c>
      <c r="P789" s="9" t="inlineStr">
        <is>
          <t>% of Total</t>
        </is>
      </c>
      <c r="R789" t="inlineStr">
        <is>
          <t>helpers</t>
        </is>
      </c>
    </row>
    <row r="790">
      <c r="A790">
        <f>Skills!A2</f>
        <v/>
      </c>
      <c r="B790">
        <f>Skills!B2</f>
        <v/>
      </c>
      <c r="C790">
        <f>TRUE</f>
        <v/>
      </c>
      <c r="D790" t="inlineStr"/>
      <c r="E790" t="inlineStr"/>
      <c r="F790">
        <f>T792+Skills!O2</f>
        <v/>
      </c>
      <c r="G790">
        <f>Calc!G2</f>
        <v/>
      </c>
      <c r="H790">
        <f>Calc!H2</f>
        <v/>
      </c>
      <c r="I790">
        <f>IF(Skills!X2&lt;&gt;"",1+(Skills!X2/10)*(Z791/1000)/100,1)</f>
        <v/>
      </c>
      <c r="J790">
        <f>((Inputs!$B$6*(1+Inputs!$B$7/100))+(((Inputs!$B$12*(1+Inputs!$B$13/100))-(Inputs!$B$12*(1+Inputs!$B$13/100)))+0.25*(Inputs!$B$14-Inputs!$B$14))*(1+Inputs!$B$7/100))*(F790/100)</f>
        <v/>
      </c>
      <c r="K790">
        <f>J790*(1+((Inputs!$B$12*(1+Inputs!$B$13/100))*0.01+Inputs!$B$14*0.0025)/100)*(1+Inputs!$B$15/100)*(1+IF(Inputs!$B$38="pvp",0,(1-Summary!$B$56)*(Inputs!$B$20+Skills!P2)+Summary!$B$56*(Inputs!$B$21+Skills!Q2))/100)*(1+Inputs!$B$16/100)*(5000/(6000+Inputs!$B$42*(1-Inputs!$B$19/100)))*(1+Inputs!$B$24/100)*(1+F811/100)*(1+IF(Inputs!$B$3&gt;=120,F814,0)/100)^5*(1+(IF(Skills!A2="BASIC_ATTACK",Inputs!$B$17,Inputs!$B$18+IF(Inputs!$B$3&gt;=125,F815*5,0)))/100)*(B818*B819*B820*I790)</f>
        <v/>
      </c>
      <c r="L790">
        <f>K790*(MIN(Inputs!$B$22+(F810-Calc!F22),Inputs!$B$23)/100+Inputs!$B$23/100)/2</f>
        <v/>
      </c>
      <c r="M790">
        <f>L790*(1+(Inputs!$B$10+(F809-Calc!F21))/100)</f>
        <v/>
      </c>
      <c r="N790">
        <f>L790*(1-MIN(Inputs!$B$9+(F808-Calc!F20),100)/100)+M790*(MIN(Inputs!$B$9+(F808-Calc!F20),100)/100)</f>
        <v/>
      </c>
      <c r="O790">
        <f>Skills!G2*N790*B824*IF(Inputs!$B$38="pvp",1,(1-Summary!$B$56)*(1)+Summary!$B$56*(MIN((6+Inputs!$B$33+IF(Inputs!$B$3&gt;=136,1,0)),Inputs!$B$37)))</f>
        <v/>
      </c>
      <c r="P790">
        <f>IF(B827=0,0,O790/B827)</f>
        <v/>
      </c>
      <c r="Q790">
        <f>IFERROR(1/IF(Inputs!$B$38="pvp",15,MAX(0.1,Skills!E2-IF(Skills!F2=TRUE,Inputs!$B$32,0))),0)</f>
        <v/>
      </c>
      <c r="R790" t="n">
        <v>0</v>
      </c>
      <c r="T790">
        <f>MAX(0,(Inputs!$B$3-100)*3)+(Inputs!$B$28+1)+Inputs!$B$29</f>
        <v/>
      </c>
      <c r="Z790">
        <f>MAX(0,(Inputs!$B$3-100)*3)+(Inputs!$B$28+1)+Inputs!$B$29</f>
        <v/>
      </c>
    </row>
    <row r="791">
      <c r="A791">
        <f>Skills!A3</f>
        <v/>
      </c>
      <c r="B791">
        <f>Skills!B3</f>
        <v/>
      </c>
      <c r="C791">
        <f>TRUE</f>
        <v/>
      </c>
      <c r="D791">
        <f>IF(Skills!C3=1,60+Inputs!$B$25+Inputs!$B$29,IF(Skills!C3=2,90+Inputs!$B$26+Inputs!$B$29,IF(Skills!C3=3,120+Inputs!$B$27+Inputs!$B$29,MAX(0,(Inputs!$B$3-100)*3)+(Inputs!$B$28+1)+Inputs!$B$29)))</f>
        <v/>
      </c>
      <c r="E791">
        <f>INDEX(FactorTable!$B$2:$Y$301, MATCH(ROUND(MIN(300,MAX(1,D791)),0), FactorTable!$A$2:$A$301,0), Skills!M3+1)</f>
        <v/>
      </c>
      <c r="F791">
        <f>IF(Skills!N3=TRUE,(Skills!L3/10)*(E791/1000),Skills!L3/10)+Skills!O3</f>
        <v/>
      </c>
      <c r="G791">
        <f>Calc!G3</f>
        <v/>
      </c>
      <c r="H791">
        <f>Calc!H3</f>
        <v/>
      </c>
      <c r="I791">
        <f>IF(Skills!X3&lt;&gt;"",1+(Skills!X3/10)*(Z791/1000)/100,1)</f>
        <v/>
      </c>
      <c r="J791">
        <f>((Inputs!$B$6*(1+Inputs!$B$7/100))+(((Inputs!$B$12*(1+Inputs!$B$13/100))-(Inputs!$B$12*(1+Inputs!$B$13/100)))+0.25*(Inputs!$B$14-Inputs!$B$14))*(1+Inputs!$B$7/100))*(F791/100)</f>
        <v/>
      </c>
      <c r="K791">
        <f>J791*(1+((Inputs!$B$12*(1+Inputs!$B$13/100))*0.01+Inputs!$B$14*0.0025)/100)*(1+Inputs!$B$15/100)*(1+IF(Inputs!$B$38="pvp",0,(1-Summary!$B$56)*(Inputs!$B$20+Skills!P3)+Summary!$B$56*(Inputs!$B$21+Skills!Q3))/100)*(1+Inputs!$B$16/100)*(5000/(6000+Inputs!$B$42*(1-Inputs!$B$19/100)))*(1+Inputs!$B$24/100)*(1+F811/100)*(1+IF(Inputs!$B$3&gt;=120,F814,0)/100)^5*(1+(IF(Skills!A3="BASIC_ATTACK",Inputs!$B$17,Inputs!$B$18+IF(Inputs!$B$3&gt;=125,F815*5,0)))/100)*(B818*B819*B820*I791)</f>
        <v/>
      </c>
      <c r="L791">
        <f>K791*(MIN(Inputs!$B$22+(F810-Calc!F22),Inputs!$B$23)/100+Inputs!$B$23/100)/2</f>
        <v/>
      </c>
      <c r="M791">
        <f>L791*(1+(Inputs!$B$10+(F809-Calc!F21))/100)</f>
        <v/>
      </c>
      <c r="N791">
        <f>L791*(1-MIN(Inputs!$B$9+(F808-Calc!F20),100)/100)+M791*(MIN(Inputs!$B$9+(F808-Calc!F20),100)/100)</f>
        <v/>
      </c>
      <c r="O791">
        <f>IF(C791,H791*N791*IF(AND(Inputs!$B$38&lt;&gt;"pvp",Inputs!$B$43&gt;0),((Skills!G3*((R791-1)*IF(Skills!H3&gt;0,Skills!I3/Skills!H3,1)+IF(Skills!H3&gt;0,MIN(Skills!I3,MAX(0,Inputs!$B$43-((R791-1)*IF(Inputs!$B$38="pvp",15,MAX(0.1,Skills!E3-IF(Skills!F3=TRUE,Inputs!$B$32,0))))))/Skills!H3,1)))/Inputs!$B$43),G791*Q791)*IF(Inputs!$B$38="pvp",1,(1-Summary!$B$56)*(1)+Summary!$B$56*(MIN(Skills!R3,Inputs!$B$37))),0)</f>
        <v/>
      </c>
      <c r="P791">
        <f>IF(B827=0,0,O791/B827)</f>
        <v/>
      </c>
      <c r="Q791">
        <f>IFERROR(1/IF(Inputs!$B$38="pvp",15,MAX(0.1,Skills!E3-IF(Skills!F3=TRUE,Inputs!$B$32,0))),0)</f>
        <v/>
      </c>
      <c r="R791">
        <f>IF(AND(Inputs!$B$38&lt;&gt;"pvp",Inputs!$B$43&gt;0),(INT(Inputs!$B$43/IF(Inputs!$B$38="pvp",15,MAX(0.1,Skills!E3-IF(Skills!F3=TRUE,Inputs!$B$32,0))))+1),0)</f>
        <v/>
      </c>
      <c r="T791">
        <f>INDEX(FactorTable!$B$2:$Y$301, MATCH(ROUND(MIN(300,MAX(1,T790)),0), FactorTable!$A$2:$A$301,0), 22)</f>
        <v/>
      </c>
      <c r="Z791">
        <f>INDEX(FactorTable!$B$2:$Y$301, MATCH(ROUND(MIN(300,MAX(1,Z790)),0), FactorTable!$A$2:$A$301,0), 24)</f>
        <v/>
      </c>
    </row>
    <row r="792">
      <c r="A792">
        <f>Skills!A4</f>
        <v/>
      </c>
      <c r="B792">
        <f>Skills!B4</f>
        <v/>
      </c>
      <c r="C792">
        <f>TRUE</f>
        <v/>
      </c>
      <c r="D792">
        <f>IF(Skills!C4=1,60+Inputs!$B$25+Inputs!$B$29,IF(Skills!C4=2,90+Inputs!$B$26+Inputs!$B$29,IF(Skills!C4=3,120+Inputs!$B$27+Inputs!$B$29,MAX(0,(Inputs!$B$3-100)*3)+(Inputs!$B$28+1)+Inputs!$B$29)))</f>
        <v/>
      </c>
      <c r="E792">
        <f>INDEX(FactorTable!$B$2:$Y$301, MATCH(ROUND(MIN(300,MAX(1,D792)),0), FactorTable!$A$2:$A$301,0), Skills!M4+1)</f>
        <v/>
      </c>
      <c r="F792">
        <f>IF(Skills!N4=TRUE,(Skills!L4/10)*(E792/1000),Skills!L4/10)+Skills!O4</f>
        <v/>
      </c>
      <c r="G792">
        <f>Calc!G4</f>
        <v/>
      </c>
      <c r="H792">
        <f>Calc!H4</f>
        <v/>
      </c>
      <c r="I792">
        <f>IF(Skills!X4&lt;&gt;"",1+(Skills!X4/10)*(Z791/1000)/100,1)</f>
        <v/>
      </c>
      <c r="J792">
        <f>((Inputs!$B$6*(1+Inputs!$B$7/100))+(((Inputs!$B$12*(1+Inputs!$B$13/100))-(Inputs!$B$12*(1+Inputs!$B$13/100)))+0.25*(Inputs!$B$14-Inputs!$B$14))*(1+Inputs!$B$7/100))*(F792/100)</f>
        <v/>
      </c>
      <c r="K792">
        <f>J792*(1+((Inputs!$B$12*(1+Inputs!$B$13/100))*0.01+Inputs!$B$14*0.0025)/100)*(1+Inputs!$B$15/100)*(1+IF(Inputs!$B$38="pvp",0,(1-Summary!$B$56)*(Inputs!$B$20+Skills!P4)+Summary!$B$56*(Inputs!$B$21+Skills!Q4))/100)*(1+Inputs!$B$16/100)*(5000/(6000+Inputs!$B$42*(1-Inputs!$B$19/100)))*(1+Inputs!$B$24/100)*(1+F811/100)*(1+IF(Inputs!$B$3&gt;=120,F814,0)/100)^5*(1+(IF(Skills!A4="BASIC_ATTACK",Inputs!$B$17,Inputs!$B$18+IF(Inputs!$B$3&gt;=125,F815*5,0)))/100)*(B818*B819*B820*I792)</f>
        <v/>
      </c>
      <c r="L792">
        <f>K792*(MIN(Inputs!$B$22+(F810-Calc!F22),Inputs!$B$23)/100+Inputs!$B$23/100)/2</f>
        <v/>
      </c>
      <c r="M792">
        <f>L792*(1+(Inputs!$B$10+(F809-Calc!F21))/100)</f>
        <v/>
      </c>
      <c r="N792">
        <f>L792*(1-MIN(Inputs!$B$9+(F808-Calc!F20),100)/100)+M792*(MIN(Inputs!$B$9+(F808-Calc!F20),100)/100)</f>
        <v/>
      </c>
      <c r="O792">
        <f>IF(C792,H792*N792*IF(AND(Inputs!$B$38&lt;&gt;"pvp",Inputs!$B$43&gt;0),((Skills!G4*((R792-1)*IF(Skills!H4&gt;0,Skills!I4/Skills!H4,1)+IF(Skills!H4&gt;0,MIN(Skills!I4,MAX(0,Inputs!$B$43-((R792-1)*IF(Inputs!$B$38="pvp",15,MAX(0.1,Skills!E4-IF(Skills!F4=TRUE,Inputs!$B$32,0))))))/Skills!H4,1)))/Inputs!$B$43),G792*Q792)*IF(Inputs!$B$38="pvp",1,(1-Summary!$B$56)*(1)+Summary!$B$56*(MIN(Skills!R4,Inputs!$B$37))),0)</f>
        <v/>
      </c>
      <c r="P792">
        <f>IF(B827=0,0,O792/B827)</f>
        <v/>
      </c>
      <c r="Q792">
        <f>IFERROR(1/IF(Inputs!$B$38="pvp",15,MAX(0.1,Skills!E4-IF(Skills!F4=TRUE,Inputs!$B$32,0))),0)</f>
        <v/>
      </c>
      <c r="R792">
        <f>IF(AND(Inputs!$B$38&lt;&gt;"pvp",Inputs!$B$43&gt;0),(INT(Inputs!$B$43/IF(Inputs!$B$38="pvp",15,MAX(0.1,Skills!E4-IF(Skills!F4=TRUE,Inputs!$B$32,0))))+1),0)</f>
        <v/>
      </c>
      <c r="T792">
        <f>290*T791/1000</f>
        <v/>
      </c>
    </row>
    <row r="793">
      <c r="A793">
        <f>Skills!A5</f>
        <v/>
      </c>
      <c r="B793">
        <f>Skills!B5</f>
        <v/>
      </c>
      <c r="C793">
        <f>TRUE</f>
        <v/>
      </c>
      <c r="D793">
        <f>IF(Skills!C5=1,60+Inputs!$B$25+Inputs!$B$29,IF(Skills!C5=2,90+Inputs!$B$26+Inputs!$B$29,IF(Skills!C5=3,120+Inputs!$B$27+Inputs!$B$29,MAX(0,(Inputs!$B$3-100)*3)+(Inputs!$B$28+1)+Inputs!$B$29)))</f>
        <v/>
      </c>
      <c r="E793">
        <f>INDEX(FactorTable!$B$2:$Y$301, MATCH(ROUND(MIN(300,MAX(1,D793)),0), FactorTable!$A$2:$A$301,0), Skills!M5+1)</f>
        <v/>
      </c>
      <c r="F793">
        <f>IF(Skills!N5=TRUE,(Skills!L5/10)*(E793/1000),Skills!L5/10)+Skills!O5</f>
        <v/>
      </c>
      <c r="G793">
        <f>Calc!G5</f>
        <v/>
      </c>
      <c r="H793">
        <f>Calc!H5</f>
        <v/>
      </c>
      <c r="I793">
        <f>IF(Skills!X5&lt;&gt;"",1+(Skills!X5/10)*(Z791/1000)/100,1)</f>
        <v/>
      </c>
      <c r="J793">
        <f>((Inputs!$B$6*(1+Inputs!$B$7/100))+(((Inputs!$B$12*(1+Inputs!$B$13/100))-(Inputs!$B$12*(1+Inputs!$B$13/100)))+0.25*(Inputs!$B$14-Inputs!$B$14))*(1+Inputs!$B$7/100))*(F793/100)</f>
        <v/>
      </c>
      <c r="K793">
        <f>J793*(1+((Inputs!$B$12*(1+Inputs!$B$13/100))*0.01+Inputs!$B$14*0.0025)/100)*(1+Inputs!$B$15/100)*(1+IF(Inputs!$B$38="pvp",0,(1-Summary!$B$56)*(Inputs!$B$20+Skills!P5)+Summary!$B$56*(Inputs!$B$21+Skills!Q5))/100)*(1+Inputs!$B$16/100)*(5000/(6000+Inputs!$B$42*(1-Inputs!$B$19/100)))*(1+Inputs!$B$24/100)*(1+F811/100)*(1+IF(Inputs!$B$3&gt;=120,F814,0)/100)^5*(1+(IF(Skills!A5="BASIC_ATTACK",Inputs!$B$17,Inputs!$B$18+IF(Inputs!$B$3&gt;=125,F815*5,0)))/100)*(B818*B819*B820*I793)</f>
        <v/>
      </c>
      <c r="L793">
        <f>K793*(MIN(Inputs!$B$22+(F810-Calc!F22),Inputs!$B$23)/100+Inputs!$B$23/100)/2</f>
        <v/>
      </c>
      <c r="M793">
        <f>L793*(1+(Inputs!$B$10+(F809-Calc!F21))/100)</f>
        <v/>
      </c>
      <c r="N793">
        <f>L793*(1-MIN(Inputs!$B$9+(F808-Calc!F20),100)/100)+M793*(MIN(Inputs!$B$9+(F808-Calc!F20),100)/100)</f>
        <v/>
      </c>
      <c r="O793">
        <f>IF(C793,H793*N793*IF(AND(Inputs!$B$38&lt;&gt;"pvp",Inputs!$B$43&gt;0),((Skills!G5*((R793-1)*IF(Skills!H5&gt;0,Skills!I5/Skills!H5,1)+IF(Skills!H5&gt;0,MIN(Skills!I5,MAX(0,Inputs!$B$43-((R793-1)*IF(Inputs!$B$38="pvp",15,MAX(0.1,Skills!E5-IF(Skills!F5=TRUE,Inputs!$B$32,0))))))/Skills!H5,1)))/Inputs!$B$43),G793*Q793)*IF(Inputs!$B$38="pvp",1,(1-Summary!$B$56)*(1)+Summary!$B$56*(MIN(Skills!R5,Inputs!$B$37))),0)</f>
        <v/>
      </c>
      <c r="P793">
        <f>IF(B827=0,0,O793/B827)</f>
        <v/>
      </c>
      <c r="Q793">
        <f>IFERROR(1/IF(Inputs!$B$38="pvp",15,MAX(0.1,Skills!E5-IF(Skills!F5=TRUE,Inputs!$B$32,0))),0)</f>
        <v/>
      </c>
      <c r="R793">
        <f>IF(AND(Inputs!$B$38&lt;&gt;"pvp",Inputs!$B$43&gt;0),(INT(Inputs!$B$43/IF(Inputs!$B$38="pvp",15,MAX(0.1,Skills!E5-IF(Skills!F5=TRUE,Inputs!$B$32,0))))+1),0)</f>
        <v/>
      </c>
    </row>
    <row r="794">
      <c r="A794">
        <f>Skills!A6</f>
        <v/>
      </c>
      <c r="B794">
        <f>Skills!B6</f>
        <v/>
      </c>
      <c r="C794">
        <f>TRUE</f>
        <v/>
      </c>
      <c r="D794">
        <f>IF(Skills!C6=1,60+Inputs!$B$25+Inputs!$B$29,IF(Skills!C6=2,90+Inputs!$B$26+Inputs!$B$29,IF(Skills!C6=3,120+Inputs!$B$27+Inputs!$B$29,MAX(0,(Inputs!$B$3-100)*3)+(Inputs!$B$28+1)+Inputs!$B$29)))</f>
        <v/>
      </c>
      <c r="E794">
        <f>INDEX(FactorTable!$B$2:$Y$301, MATCH(ROUND(MIN(300,MAX(1,D794)),0), FactorTable!$A$2:$A$301,0), Skills!M6+1)</f>
        <v/>
      </c>
      <c r="F794">
        <f>IF(Skills!N6=TRUE,(Skills!L6/10)*(E794/1000),Skills!L6/10)+Skills!O6</f>
        <v/>
      </c>
      <c r="G794">
        <f>Calc!G6</f>
        <v/>
      </c>
      <c r="H794">
        <f>Calc!H6</f>
        <v/>
      </c>
      <c r="I794">
        <f>IF(Skills!X6&lt;&gt;"",1+(Skills!X6/10)*(Z791/1000)/100,1)</f>
        <v/>
      </c>
      <c r="J794" t="inlineStr"/>
      <c r="K794" t="inlineStr"/>
      <c r="L794" t="inlineStr"/>
      <c r="M794" t="inlineStr"/>
      <c r="N794" t="inlineStr"/>
      <c r="O794" t="n">
        <v>0</v>
      </c>
      <c r="P794">
        <f>IF(B827=0,0,O794/B827)</f>
        <v/>
      </c>
      <c r="Q794">
        <f>IFERROR(1/IF(Inputs!$B$38="pvp",15,MAX(0.1,Skills!E6-IF(Skills!F6=TRUE,Inputs!$B$32,0))),0)</f>
        <v/>
      </c>
      <c r="R794">
        <f>IF(AND(Inputs!$B$38&lt;&gt;"pvp",Inputs!$B$43&gt;0),(INT(Inputs!$B$43/IF(Inputs!$B$38="pvp",15,MAX(0.1,Skills!E6-IF(Skills!F6=TRUE,Inputs!$B$32,0))))+1),0)</f>
        <v/>
      </c>
    </row>
    <row r="795">
      <c r="A795">
        <f>Skills!A7</f>
        <v/>
      </c>
      <c r="B795">
        <f>Skills!B7</f>
        <v/>
      </c>
      <c r="C795">
        <f>TRUE</f>
        <v/>
      </c>
      <c r="D795">
        <f>IF(Skills!C7=1,60+Inputs!$B$25+Inputs!$B$29,IF(Skills!C7=2,90+Inputs!$B$26+Inputs!$B$29,IF(Skills!C7=3,120+Inputs!$B$27+Inputs!$B$29,MAX(0,(Inputs!$B$3-100)*3)+(Inputs!$B$28+1)+Inputs!$B$29)))</f>
        <v/>
      </c>
      <c r="E795">
        <f>INDEX(FactorTable!$B$2:$Y$301, MATCH(ROUND(MIN(300,MAX(1,D795)),0), FactorTable!$A$2:$A$301,0), Skills!M7+1)</f>
        <v/>
      </c>
      <c r="F795">
        <f>IF(Skills!N7=TRUE,(Skills!L7/10)*(E795/1000),Skills!L7/10)+Skills!O7</f>
        <v/>
      </c>
      <c r="G795">
        <f>Calc!G7</f>
        <v/>
      </c>
      <c r="H795">
        <f>Calc!H7</f>
        <v/>
      </c>
      <c r="I795">
        <f>IF(Skills!X7&lt;&gt;"",1+(Skills!X7/10)*(Z791/1000)/100,1)</f>
        <v/>
      </c>
      <c r="J795">
        <f>((Inputs!$B$6*(1+Inputs!$B$7/100))+(((Inputs!$B$12*(1+Inputs!$B$13/100))-(Inputs!$B$12*(1+Inputs!$B$13/100)))+0.25*(Inputs!$B$14-Inputs!$B$14))*(1+Inputs!$B$7/100))*(F795/100)</f>
        <v/>
      </c>
      <c r="K795">
        <f>J795*(1+((Inputs!$B$12*(1+Inputs!$B$13/100))*0.01+Inputs!$B$14*0.0025)/100)*(1+Inputs!$B$15/100)*(1+IF(Inputs!$B$38="pvp",0,(1-Summary!$B$56)*(Inputs!$B$20+Skills!P7)+Summary!$B$56*(Inputs!$B$21+Skills!Q7))/100)*(1+Inputs!$B$16/100)*(5000/(6000+Inputs!$B$42*(1-Inputs!$B$19/100)))*(1+Inputs!$B$24/100)*(1+F811/100)*(1+IF(Inputs!$B$3&gt;=120,F814,0)/100)^5*(1+(IF(Skills!A7="BASIC_ATTACK",Inputs!$B$17,Inputs!$B$18+IF(Inputs!$B$3&gt;=125,F815*5,0)))/100)*(B818*B819*B820*I795)</f>
        <v/>
      </c>
      <c r="L795">
        <f>K795*(MIN(Inputs!$B$22+(F810-Calc!F22),Inputs!$B$23)/100+Inputs!$B$23/100)/2</f>
        <v/>
      </c>
      <c r="M795">
        <f>L795*(1+(Inputs!$B$10+(F809-Calc!F21))/100)</f>
        <v/>
      </c>
      <c r="N795">
        <f>L795*(1-MIN(Inputs!$B$9+(F808-Calc!F20),100)/100)+M795*(MIN(Inputs!$B$9+(F808-Calc!F20),100)/100)</f>
        <v/>
      </c>
      <c r="O795">
        <f>IF(C795,H795*N795*IF(AND(Inputs!$B$38&lt;&gt;"pvp",Inputs!$B$43&gt;0),((Skills!G7*((R795-1)*IF(Skills!H7&gt;0,Skills!I7/Skills!H7,1)+IF(Skills!H7&gt;0,MIN(Skills!I7,MAX(0,Inputs!$B$43-((R795-1)*IF(Inputs!$B$38="pvp",15,MAX(0.1,Skills!E7-IF(Skills!F7=TRUE,Inputs!$B$32,0))))))/Skills!H7,1)))/Inputs!$B$43),G795*Q795)*IF(Inputs!$B$38="pvp",1,(1-Summary!$B$56)*(1)+Summary!$B$56*(MIN(Skills!R7,Inputs!$B$37))),0)</f>
        <v/>
      </c>
      <c r="P795">
        <f>IF(B827=0,0,O795/B827)</f>
        <v/>
      </c>
      <c r="Q795">
        <f>IFERROR(1/IF(Inputs!$B$38="pvp",15,MAX(0.1,Skills!E7-IF(Skills!F7=TRUE,Inputs!$B$32,0))),0)</f>
        <v/>
      </c>
      <c r="R795">
        <f>IF(AND(Inputs!$B$38&lt;&gt;"pvp",Inputs!$B$43&gt;0),(INT(Inputs!$B$43/IF(Inputs!$B$38="pvp",15,MAX(0.1,Skills!E7-IF(Skills!F7=TRUE,Inputs!$B$32,0))))+1),0)</f>
        <v/>
      </c>
    </row>
    <row r="796">
      <c r="A796">
        <f>Skills!A8</f>
        <v/>
      </c>
      <c r="B796">
        <f>Skills!B8</f>
        <v/>
      </c>
      <c r="C796">
        <f>TRUE</f>
        <v/>
      </c>
      <c r="D796">
        <f>IF(Skills!C8=1,60+Inputs!$B$25+Inputs!$B$29,IF(Skills!C8=2,90+Inputs!$B$26+Inputs!$B$29,IF(Skills!C8=3,120+Inputs!$B$27+Inputs!$B$29,MAX(0,(Inputs!$B$3-100)*3)+(Inputs!$B$28+1)+Inputs!$B$29)))</f>
        <v/>
      </c>
      <c r="E796">
        <f>INDEX(FactorTable!$B$2:$Y$301, MATCH(ROUND(MIN(300,MAX(1,D796)),0), FactorTable!$A$2:$A$301,0), Skills!M8+1)</f>
        <v/>
      </c>
      <c r="F796">
        <f>IF(Skills!N8=TRUE,(Skills!L8/10)*(E796/1000),Skills!L8/10)+Skills!O8</f>
        <v/>
      </c>
      <c r="G796">
        <f>Calc!G8</f>
        <v/>
      </c>
      <c r="H796">
        <f>Calc!H8</f>
        <v/>
      </c>
      <c r="I796">
        <f>IF(Skills!X8&lt;&gt;"",1+(Skills!X8/10)*(Z791/1000)/100,1)</f>
        <v/>
      </c>
      <c r="J796">
        <f>((Inputs!$B$6*(1+Inputs!$B$7/100))+(((Inputs!$B$12*(1+Inputs!$B$13/100))-(Inputs!$B$12*(1+Inputs!$B$13/100)))+0.25*(Inputs!$B$14-Inputs!$B$14))*(1+Inputs!$B$7/100))*(F796/100)</f>
        <v/>
      </c>
      <c r="K796">
        <f>J796*(1+((Inputs!$B$12*(1+Inputs!$B$13/100))*0.01+Inputs!$B$14*0.0025)/100)*(1+Inputs!$B$15/100)*(1+IF(Inputs!$B$38="pvp",0,(1-Summary!$B$56)*(Inputs!$B$20+Skills!P8)+Summary!$B$56*(Inputs!$B$21+Skills!Q8))/100)*(1+Inputs!$B$16/100)*(5000/(6000+Inputs!$B$42*(1-Inputs!$B$19/100)))*(1+Inputs!$B$24/100)*(1+F811/100)*(1+IF(Inputs!$B$3&gt;=120,F814,0)/100)^5*(1+(IF(Skills!A8="BASIC_ATTACK",Inputs!$B$17,Inputs!$B$18+IF(Inputs!$B$3&gt;=125,F815*5,0)))/100)*(B818*B819*B820*I796)</f>
        <v/>
      </c>
      <c r="L796">
        <f>K796*(MIN(Inputs!$B$22+(F810-Calc!F22),Inputs!$B$23)/100+Inputs!$B$23/100)/2</f>
        <v/>
      </c>
      <c r="M796">
        <f>L796*(1+(Inputs!$B$10+(F809-Calc!F21))/100)</f>
        <v/>
      </c>
      <c r="N796">
        <f>L796*(1-MIN(Inputs!$B$9+(F808-Calc!F20),100)/100)+M796*(MIN(Inputs!$B$9+(F808-Calc!F20),100)/100)</f>
        <v/>
      </c>
      <c r="O796">
        <f>IF(C796,H796*N796*IF(AND(Inputs!$B$38&lt;&gt;"pvp",Inputs!$B$43&gt;0),((Skills!G8*((R796-1)*IF(Skills!H8&gt;0,Skills!I8/Skills!H8,1)+IF(Skills!H8&gt;0,MIN(Skills!I8,MAX(0,Inputs!$B$43-((R796-1)*IF(Inputs!$B$38="pvp",15,MAX(0.1,Skills!E8-IF(Skills!F8=TRUE,Inputs!$B$32,0))))))/Skills!H8,1)))/Inputs!$B$43),G796*Q796)*IF(Inputs!$B$38="pvp",1,(1-Summary!$B$56)*(1)+Summary!$B$56*(MIN(Skills!R8,Inputs!$B$37))),0)</f>
        <v/>
      </c>
      <c r="P796">
        <f>IF(B827=0,0,O796/B827)</f>
        <v/>
      </c>
      <c r="Q796">
        <f>IFERROR(1/IF(Inputs!$B$38="pvp",15,MAX(0.1,Skills!E8-IF(Skills!F8=TRUE,Inputs!$B$32,0))),0)</f>
        <v/>
      </c>
      <c r="R796">
        <f>IF(AND(Inputs!$B$38&lt;&gt;"pvp",Inputs!$B$43&gt;0),(INT(Inputs!$B$43/IF(Inputs!$B$38="pvp",15,MAX(0.1,Skills!E8-IF(Skills!F8=TRUE,Inputs!$B$32,0))))+1),0)</f>
        <v/>
      </c>
    </row>
    <row r="797">
      <c r="A797">
        <f>Skills!A9</f>
        <v/>
      </c>
      <c r="B797">
        <f>Skills!B9</f>
        <v/>
      </c>
      <c r="C797">
        <f>Inputs!$B$3&gt;=103</f>
        <v/>
      </c>
      <c r="D797">
        <f>IF(Skills!C9=1,60+Inputs!$B$25+Inputs!$B$29,IF(Skills!C9=2,90+Inputs!$B$26+Inputs!$B$29,IF(Skills!C9=3,120+Inputs!$B$27+Inputs!$B$29,MAX(0,(Inputs!$B$3-100)*3)+(Inputs!$B$28+1)+Inputs!$B$29)))</f>
        <v/>
      </c>
      <c r="E797">
        <f>INDEX(FactorTable!$B$2:$Y$301, MATCH(ROUND(MIN(300,MAX(1,D797)),0), FactorTable!$A$2:$A$301,0), Skills!M9+1)</f>
        <v/>
      </c>
      <c r="F797">
        <f>IF(Skills!N9=TRUE,(Skills!L9/10)*(E797/1000),Skills!L9/10)+Skills!O9</f>
        <v/>
      </c>
      <c r="G797">
        <f>Calc!G9</f>
        <v/>
      </c>
      <c r="H797">
        <f>Calc!H9</f>
        <v/>
      </c>
      <c r="I797">
        <f>IF(Skills!X9&lt;&gt;"",1+(Skills!X9/10)*(Z791/1000)/100,1)</f>
        <v/>
      </c>
      <c r="J797">
        <f>((Inputs!$B$6*(1+Inputs!$B$7/100))+(((Inputs!$B$12*(1+Inputs!$B$13/100))-(Inputs!$B$12*(1+Inputs!$B$13/100)))+0.25*(Inputs!$B$14-Inputs!$B$14))*(1+Inputs!$B$7/100))*(F797/100)</f>
        <v/>
      </c>
      <c r="K797">
        <f>J797*(1+((Inputs!$B$12*(1+Inputs!$B$13/100))*0.01+Inputs!$B$14*0.0025)/100)*(1+Inputs!$B$15/100)*(1+IF(Inputs!$B$38="pvp",0,(1-Summary!$B$56)*(Inputs!$B$20+Skills!P9)+Summary!$B$56*(Inputs!$B$21+Skills!Q9))/100)*(1+Inputs!$B$16/100)*(5000/(6000+Inputs!$B$42*(1-Inputs!$B$19/100)))*(1+Inputs!$B$24/100)*(1+F811/100)*(1+IF(Inputs!$B$3&gt;=120,F814,0)/100)^5*(1+(IF(Skills!A9="BASIC_ATTACK",Inputs!$B$17,Inputs!$B$18+IF(Inputs!$B$3&gt;=125,F815*5,0)))/100)*(B818*B819*B820*I797)</f>
        <v/>
      </c>
      <c r="L797">
        <f>K797*(MIN(Inputs!$B$22+(F810-Calc!F22),Inputs!$B$23)/100+Inputs!$B$23/100)/2</f>
        <v/>
      </c>
      <c r="M797">
        <f>L797*(1+(Inputs!$B$10+(F809-Calc!F21))/100)</f>
        <v/>
      </c>
      <c r="N797">
        <f>L797*(1-MIN(Inputs!$B$9+(F808-Calc!F20),100)/100)+M797*(MIN(Inputs!$B$9+(F808-Calc!F20),100)/100)</f>
        <v/>
      </c>
      <c r="O797">
        <f>IF(C797,H797*N797*IF(AND(Inputs!$B$38&lt;&gt;"pvp",Inputs!$B$43&gt;0),((Skills!G9*((R797-1)*IF(Skills!H9&gt;0,Skills!I9/Skills!H9,1)+IF(Skills!H9&gt;0,MIN(Skills!I9,MAX(0,Inputs!$B$43-((R797-1)*IF(Inputs!$B$38="pvp",15,MAX(0.1,Skills!E9-IF(Skills!F7=TRUE,Inputs!$B$32,0))))))/Skills!H9,1)))/Inputs!$B$43),G797*Q797)*IF(Inputs!$B$38="pvp",1,(1-Summary!$B$56)*(1)+Summary!$B$56*(MIN(Skills!R9,Inputs!$B$37))),0)</f>
        <v/>
      </c>
      <c r="P797">
        <f>IF(B827=0,0,O797/B827)</f>
        <v/>
      </c>
      <c r="Q797">
        <f>IFERROR(1/IF(Inputs!$B$38="pvp",15,MAX(0.1,Skills!E9-IF(Skills!F7=TRUE,Inputs!$B$32,0))),0)</f>
        <v/>
      </c>
      <c r="R797">
        <f>IF(AND(Inputs!$B$38&lt;&gt;"pvp",Inputs!$B$43&gt;0),(INT(Inputs!$B$43/IF(Inputs!$B$38="pvp",15,MAX(0.1,Skills!E9-IF(Skills!F7=TRUE,Inputs!$B$32,0))))+1),0)</f>
        <v/>
      </c>
    </row>
    <row r="798">
      <c r="A798">
        <f>Skills!A10</f>
        <v/>
      </c>
      <c r="B798">
        <f>Skills!B10</f>
        <v/>
      </c>
      <c r="C798">
        <f>TRUE</f>
        <v/>
      </c>
      <c r="D798">
        <f>IF(Skills!C10=1,60+Inputs!$B$25+Inputs!$B$29,IF(Skills!C10=2,90+Inputs!$B$26+Inputs!$B$29,IF(Skills!C10=3,120+Inputs!$B$27+Inputs!$B$29,MAX(0,(Inputs!$B$3-100)*3)+(Inputs!$B$28+1)+Inputs!$B$29)))</f>
        <v/>
      </c>
      <c r="E798">
        <f>INDEX(FactorTable!$B$2:$Y$301, MATCH(ROUND(MIN(300,MAX(1,D798)),0), FactorTable!$A$2:$A$301,0), Skills!M10+1)</f>
        <v/>
      </c>
      <c r="F798">
        <f>IF(Skills!N10=TRUE,(Skills!L10/10)*(E798/1000),Skills!L10/10)+Skills!O10</f>
        <v/>
      </c>
      <c r="G798">
        <f>Calc!G10</f>
        <v/>
      </c>
      <c r="H798">
        <f>Calc!H10</f>
        <v/>
      </c>
      <c r="I798">
        <f>IF(Skills!X10&lt;&gt;"",1+(Skills!X10/10)*(Z791/1000)/100,1)</f>
        <v/>
      </c>
      <c r="J798">
        <f>((Inputs!$B$6*(1+Inputs!$B$7/100))+(((Inputs!$B$12*(1+Inputs!$B$13/100))-(Inputs!$B$12*(1+Inputs!$B$13/100)))+0.25*(Inputs!$B$14-Inputs!$B$14))*(1+Inputs!$B$7/100))*(F798/100)</f>
        <v/>
      </c>
      <c r="K798">
        <f>J798*(1+((Inputs!$B$12*(1+Inputs!$B$13/100))*0.01+Inputs!$B$14*0.0025)/100)*(1+Inputs!$B$15/100)*(1+IF(Inputs!$B$38="pvp",0,(1-Summary!$B$56)*(Inputs!$B$20+Skills!P10)+Summary!$B$56*(Inputs!$B$21+Skills!Q10))/100)*(1+Inputs!$B$16/100)*(5000/(6000+Inputs!$B$42*(1-Inputs!$B$19/100)))*(1+Inputs!$B$24/100)*(1+F811/100)*(1+IF(Inputs!$B$3&gt;=120,F814,0)/100)^5*(1+(IF(Skills!A10="BASIC_ATTACK",Inputs!$B$17,Inputs!$B$18+IF(Inputs!$B$3&gt;=125,F815*5,0)))/100)*(B818*B819*B820*I798)</f>
        <v/>
      </c>
      <c r="L798">
        <f>K798*(MIN(Inputs!$B$22+(F810-Calc!F22),Inputs!$B$23)/100+Inputs!$B$23/100)/2</f>
        <v/>
      </c>
      <c r="M798">
        <f>L798*(1+(Inputs!$B$10+(F809-Calc!F21))/100)</f>
        <v/>
      </c>
      <c r="N798">
        <f>L798*(1-MIN(Inputs!$B$9+(F808-Calc!F20),100)/100)+M798*(MIN(Inputs!$B$9+(F808-Calc!F20),100)/100)</f>
        <v/>
      </c>
      <c r="O798">
        <f>IF(C798,H798*N798*IF(AND(Inputs!$B$38&lt;&gt;"pvp",Inputs!$B$43&gt;0),((Skills!G10*((R798-1)*IF(Skills!H10&gt;0,Skills!I10/Skills!H10,1)+IF(Skills!H10&gt;0,MIN(Skills!I10,MAX(0,Inputs!$B$43-((R798-1)*IF(Inputs!$B$38="pvp",15,MAX(0.1,Skills!E10-IF(Skills!F10=TRUE,Inputs!$B$32,0))))))/Skills!H10,1)))/Inputs!$B$43),G798*Q798)*IF(Inputs!$B$38="pvp",1,(1-Summary!$B$56)*(1)+Summary!$B$56*(MIN(Skills!R10,Inputs!$B$37))),0)</f>
        <v/>
      </c>
      <c r="P798">
        <f>IF(B827=0,0,O798/B827)</f>
        <v/>
      </c>
      <c r="Q798">
        <f>IFERROR(1/IF(Inputs!$B$38="pvp",15,MAX(0.1,Skills!E10-IF(Skills!F10=TRUE,Inputs!$B$32,0))),0)</f>
        <v/>
      </c>
      <c r="R798">
        <f>IF(AND(Inputs!$B$38&lt;&gt;"pvp",Inputs!$B$43&gt;0),(INT(Inputs!$B$43/IF(Inputs!$B$38="pvp",15,MAX(0.1,Skills!E10-IF(Skills!F10=TRUE,Inputs!$B$32,0))))+1),0)</f>
        <v/>
      </c>
    </row>
    <row r="799">
      <c r="A799">
        <f>Skills!A11</f>
        <v/>
      </c>
      <c r="B799">
        <f>Skills!B11</f>
        <v/>
      </c>
      <c r="C799">
        <f>TRUE</f>
        <v/>
      </c>
      <c r="D799">
        <f>IF(Skills!C11=1,60+Inputs!$B$25+Inputs!$B$29,IF(Skills!C11=2,90+Inputs!$B$26+Inputs!$B$29,IF(Skills!C11=3,120+Inputs!$B$27+Inputs!$B$29,MAX(0,(Inputs!$B$3-100)*3)+(Inputs!$B$28+1)+Inputs!$B$29)))</f>
        <v/>
      </c>
      <c r="E799">
        <f>INDEX(FactorTable!$B$2:$Y$301, MATCH(ROUND(MIN(300,MAX(1,D799)),0), FactorTable!$A$2:$A$301,0), Skills!M11+1)</f>
        <v/>
      </c>
      <c r="F799">
        <f>IF(Skills!N11=TRUE,(Skills!L11/10)*(E799/1000),Skills!L11/10)+Skills!O11</f>
        <v/>
      </c>
      <c r="G799">
        <f>Calc!G11</f>
        <v/>
      </c>
      <c r="H799">
        <f>Calc!H11</f>
        <v/>
      </c>
      <c r="I799">
        <f>IF(Skills!X11&lt;&gt;"",1+(Skills!X11/10)*(Z791/1000)/100,1)</f>
        <v/>
      </c>
      <c r="J799" t="inlineStr"/>
      <c r="K799" t="inlineStr"/>
      <c r="L799" t="inlineStr"/>
      <c r="M799" t="inlineStr"/>
      <c r="N799" t="inlineStr"/>
      <c r="O799" t="n">
        <v>0</v>
      </c>
      <c r="P799">
        <f>IF(B827=0,0,O799/B827)</f>
        <v/>
      </c>
      <c r="Q799">
        <f>IFERROR(1/IF(Inputs!$B$38="pvp",15,MAX(0.1,Skills!E11-IF(Skills!F11=TRUE,Inputs!$B$32,0))),0)</f>
        <v/>
      </c>
      <c r="R799" t="n">
        <v>0</v>
      </c>
    </row>
    <row r="800">
      <c r="A800">
        <f>Skills!A12</f>
        <v/>
      </c>
      <c r="B800">
        <f>Skills!B12</f>
        <v/>
      </c>
      <c r="C800">
        <f>TRUE</f>
        <v/>
      </c>
      <c r="D800">
        <f>IF(Skills!C12=1,60+Inputs!$B$25+Inputs!$B$29,IF(Skills!C12=2,90+Inputs!$B$26+Inputs!$B$29,IF(Skills!C12=3,120+Inputs!$B$27+Inputs!$B$29,MAX(0,(Inputs!$B$3-100)*3)+(Inputs!$B$28+1)+Inputs!$B$29)))</f>
        <v/>
      </c>
      <c r="E800">
        <f>INDEX(FactorTable!$B$2:$Y$301, MATCH(ROUND(MIN(300,MAX(1,D800)),0), FactorTable!$A$2:$A$301,0), Skills!M12+1)</f>
        <v/>
      </c>
      <c r="F800">
        <f>IF(Skills!N12=TRUE,(Skills!L12/10)*(E800/1000),Skills!L12/10)+Skills!O12</f>
        <v/>
      </c>
      <c r="G800">
        <f>Calc!G12</f>
        <v/>
      </c>
      <c r="H800">
        <f>Calc!H12</f>
        <v/>
      </c>
      <c r="I800">
        <f>IF(Skills!X12&lt;&gt;"",1+(Skills!X12/10)*(Z791/1000)/100,1)</f>
        <v/>
      </c>
      <c r="J800" t="inlineStr"/>
      <c r="K800" t="inlineStr"/>
      <c r="L800" t="inlineStr"/>
      <c r="M800" t="inlineStr"/>
      <c r="N800" t="inlineStr"/>
      <c r="O800" t="n">
        <v>0</v>
      </c>
      <c r="P800">
        <f>IF(B827=0,0,O800/B827)</f>
        <v/>
      </c>
      <c r="Q800">
        <f>IFERROR(1/IF(Inputs!$B$38="pvp",15,MAX(0.1,Skills!E12-IF(Skills!F12=TRUE,Inputs!$B$32,0))),0)</f>
        <v/>
      </c>
      <c r="R800" t="n">
        <v>0</v>
      </c>
    </row>
    <row r="801">
      <c r="A801">
        <f>Skills!A13</f>
        <v/>
      </c>
      <c r="B801">
        <f>Skills!B13</f>
        <v/>
      </c>
      <c r="C801">
        <f>Inputs!$B$3&gt;=105</f>
        <v/>
      </c>
      <c r="D801">
        <f>IF(Skills!C13=1,60+Inputs!$B$25+Inputs!$B$29,IF(Skills!C13=2,90+Inputs!$B$26+Inputs!$B$29,IF(Skills!C13=3,120+Inputs!$B$27+Inputs!$B$29,MAX(0,(Inputs!$B$3-100)*3)+(Inputs!$B$28+1)+Inputs!$B$29)))</f>
        <v/>
      </c>
      <c r="E801">
        <f>INDEX(FactorTable!$B$2:$Y$301, MATCH(ROUND(MIN(300,MAX(1,D801)),0), FactorTable!$A$2:$A$301,0), Skills!M13+1)</f>
        <v/>
      </c>
      <c r="F801">
        <f>IF(Skills!N13=TRUE,(Skills!L13/10)*(E801/1000),Skills!L13/10)+Skills!O13</f>
        <v/>
      </c>
      <c r="G801">
        <f>Calc!G13</f>
        <v/>
      </c>
      <c r="H801">
        <f>Calc!H13</f>
        <v/>
      </c>
      <c r="I801">
        <f>IF(Skills!X13&lt;&gt;"",1+(Skills!X13/10)*(Z791/1000)/100,1)</f>
        <v/>
      </c>
      <c r="J801">
        <f>((Inputs!$B$6*(1+Inputs!$B$7/100))+(((Inputs!$B$12*(1+Inputs!$B$13/100))-(Inputs!$B$12*(1+Inputs!$B$13/100)))+0.25*(Inputs!$B$14-Inputs!$B$14))*(1+Inputs!$B$7/100))*(F801/100)</f>
        <v/>
      </c>
      <c r="K801">
        <f>J801*(1+((Inputs!$B$12*(1+Inputs!$B$13/100))*0.01+Inputs!$B$14*0.0025)/100)*(1+Inputs!$B$15/100)*(1+IF(Inputs!$B$38="pvp",0,(1-Summary!$B$56)*(Inputs!$B$20+Skills!P13)+Summary!$B$56*(Inputs!$B$21+Skills!Q13))/100)*(1+Inputs!$B$16/100)*(5000/(6000+Inputs!$B$42*(1-Inputs!$B$19/100)))*(1+Inputs!$B$24/100)*(1+F811/100)*(1+IF(Inputs!$B$3&gt;=120,F814,0)/100)^5*(1+(IF(Skills!A13="BASIC_ATTACK",Inputs!$B$17,Inputs!$B$18+IF(Inputs!$B$3&gt;=125,F815*5,0)))/100)*(B818*B819*B820*I801)</f>
        <v/>
      </c>
      <c r="L801">
        <f>K801*(MIN(Inputs!$B$22+(F810-Calc!F22),Inputs!$B$23)/100+Inputs!$B$23/100)/2</f>
        <v/>
      </c>
      <c r="M801">
        <f>L801*(1+(Inputs!$B$10+(F809-Calc!F21))/100)</f>
        <v/>
      </c>
      <c r="N801">
        <f>L801*(1-MIN(Inputs!$B$9+(F808-Calc!F20),100)/100)+M801*(MIN(Inputs!$B$9+(F808-Calc!F20),100)/100)</f>
        <v/>
      </c>
      <c r="O801">
        <f>IF(C801,H801*N801*IF(AND(Inputs!$B$38&lt;&gt;"pvp",Inputs!$B$43&gt;0),((Skills!G13*((R801-1)*IF(Skills!H13&gt;0,Skills!I13/Skills!H13,1)+IF(Skills!H13&gt;0,MIN(Skills!I13,MAX(0,Inputs!$B$43-((R801-1)*IF(Inputs!$B$38="pvp",15,MAX(0.1,Skills!E13-IF(Skills!F13=TRUE,Inputs!$B$32,0))))))/Skills!H13,1)))/Inputs!$B$43),G801*Q801)*IF(Inputs!$B$38="pvp",1,(1-Summary!$B$56)*(1)+Summary!$B$56*(MIN(Skills!R13,Inputs!$B$37))),0)</f>
        <v/>
      </c>
      <c r="P801">
        <f>IF(B827=0,0,O801/B827)</f>
        <v/>
      </c>
      <c r="Q801">
        <f>IFERROR(1/IF(Inputs!$B$38="pvp",15,MAX(0.1,Skills!E13-IF(Skills!F13=TRUE,Inputs!$B$32,0))),0)</f>
        <v/>
      </c>
      <c r="R801">
        <f>IF(AND(Inputs!$B$38&lt;&gt;"pvp",Inputs!$B$43&gt;0),(INT(Inputs!$B$43/IF(Inputs!$B$38="pvp",15,MAX(0.1,Skills!E13-IF(Skills!F13=TRUE,Inputs!$B$32,0))))+1),0)</f>
        <v/>
      </c>
    </row>
    <row r="802">
      <c r="A802">
        <f>Skills!A14</f>
        <v/>
      </c>
      <c r="B802">
        <f>Skills!B14</f>
        <v/>
      </c>
      <c r="C802">
        <f>Inputs!$B$3&gt;=113</f>
        <v/>
      </c>
      <c r="D802">
        <f>IF(Skills!C14=1,60+Inputs!$B$25+Inputs!$B$29,IF(Skills!C14=2,90+Inputs!$B$26+Inputs!$B$29,IF(Skills!C14=3,120+Inputs!$B$27+Inputs!$B$29,MAX(0,(Inputs!$B$3-100)*3)+(Inputs!$B$28+1)+Inputs!$B$29)))</f>
        <v/>
      </c>
      <c r="E802">
        <f>INDEX(FactorTable!$B$2:$Y$301, MATCH(ROUND(MIN(300,MAX(1,D802)),0), FactorTable!$A$2:$A$301,0), Skills!M14+1)</f>
        <v/>
      </c>
      <c r="F802">
        <f>IF(Skills!N14=TRUE,(Skills!L14/10)*(E802/1000),Skills!L14/10)+Skills!O14</f>
        <v/>
      </c>
      <c r="G802">
        <f>Calc!G14</f>
        <v/>
      </c>
      <c r="H802">
        <f>Calc!H14</f>
        <v/>
      </c>
      <c r="I802">
        <f>IF(Skills!X14&lt;&gt;"",1+(Skills!X14/10)*(Z791/1000)/100,1)</f>
        <v/>
      </c>
      <c r="J802">
        <f>((Inputs!$B$6*(1+Inputs!$B$7/100))+(((Inputs!$B$12*(1+Inputs!$B$13/100))-(Inputs!$B$12*(1+Inputs!$B$13/100)))+0.25*(Inputs!$B$14-Inputs!$B$14))*(1+Inputs!$B$7/100))*(F802/100)</f>
        <v/>
      </c>
      <c r="K802">
        <f>J802*(1+((Inputs!$B$12*(1+Inputs!$B$13/100))*0.01+Inputs!$B$14*0.0025)/100)*(1+Inputs!$B$15/100)*(1+IF(Inputs!$B$38="pvp",0,(1-Summary!$B$56)*(Inputs!$B$20+Skills!P14)+Summary!$B$56*(Inputs!$B$21+Skills!Q14))/100)*(1+Inputs!$B$16/100)*(5000/(6000+Inputs!$B$42*(1-Inputs!$B$19/100)))*(1+Inputs!$B$24/100)*(1+F811/100)*(1+IF(Inputs!$B$3&gt;=120,F814,0)/100)^5*(1+(IF(Skills!A14="BASIC_ATTACK",Inputs!$B$17,Inputs!$B$18+IF(Inputs!$B$3&gt;=125,F815*5,0)))/100)*(B818*B819*B820*I802)</f>
        <v/>
      </c>
      <c r="L802">
        <f>K802*(MIN(Inputs!$B$22+(F810-Calc!F22),Inputs!$B$23)/100+Inputs!$B$23/100)/2</f>
        <v/>
      </c>
      <c r="M802">
        <f>L802*(1+(Inputs!$B$10+(F809-Calc!F21))/100)</f>
        <v/>
      </c>
      <c r="N802">
        <f>L802*(1-MIN(Inputs!$B$9+(F808-Calc!F20),100)/100)+M802*(MIN(Inputs!$B$9+(F808-Calc!F20),100)/100)</f>
        <v/>
      </c>
      <c r="O802">
        <f>IF(C802,(H802*B825)/(1+Skills!H14*H802*B825)*N802*IF(Inputs!$B$38="pvp",1,(1-Summary!$B$56)*(1)+Summary!$B$56*(MIN(Skills!R14,Inputs!$B$37))),0)</f>
        <v/>
      </c>
      <c r="P802">
        <f>IF(B827=0,0,O802/B827)</f>
        <v/>
      </c>
      <c r="Q802">
        <f>IFERROR(1/IF(Inputs!$B$38="pvp",15,MAX(0.1,Skills!E14-IF(Skills!F14=TRUE,Inputs!$B$32,0))),0)</f>
        <v/>
      </c>
      <c r="R802" t="n">
        <v>0</v>
      </c>
    </row>
    <row r="803">
      <c r="A803">
        <f>Skills!A15</f>
        <v/>
      </c>
      <c r="B803">
        <f>Skills!B15</f>
        <v/>
      </c>
      <c r="C803">
        <f>Inputs!$B$3&gt;=107</f>
        <v/>
      </c>
      <c r="D803">
        <f>IF(Skills!C15=1,60+Inputs!$B$25+Inputs!$B$29,IF(Skills!C15=2,90+Inputs!$B$26+Inputs!$B$29,IF(Skills!C15=3,120+Inputs!$B$27+Inputs!$B$29,MAX(0,(Inputs!$B$3-100)*3)+(Inputs!$B$28+1)+Inputs!$B$29)))</f>
        <v/>
      </c>
      <c r="E803">
        <f>INDEX(FactorTable!$B$2:$Y$301, MATCH(ROUND(MIN(300,MAX(1,D803)),0), FactorTable!$A$2:$A$301,0), Skills!M15+1)</f>
        <v/>
      </c>
      <c r="F803">
        <f>IF(Skills!N15=TRUE,(Skills!L15/10)*(E803/1000),Skills!L15/10)+Skills!O15</f>
        <v/>
      </c>
      <c r="G803">
        <f>Calc!G15</f>
        <v/>
      </c>
      <c r="H803">
        <f>Calc!H15</f>
        <v/>
      </c>
      <c r="I803">
        <f>IF(Skills!X15&lt;&gt;"",1+(Skills!X15/10)*(Z791/1000)/100,1)</f>
        <v/>
      </c>
      <c r="J803">
        <f>((Inputs!$B$6*(1+Inputs!$B$7/100))+(((Inputs!$B$12*(1+Inputs!$B$13/100))-(Inputs!$B$12*(1+Inputs!$B$13/100)))+0.25*(Inputs!$B$14-Inputs!$B$14))*(1+Inputs!$B$7/100))*(F803/100)</f>
        <v/>
      </c>
      <c r="K803">
        <f>J803*(1+((Inputs!$B$12*(1+Inputs!$B$13/100))*0.01+Inputs!$B$14*0.0025)/100)*(1+Inputs!$B$15/100)*(1+IF(Inputs!$B$38="pvp",0,(1-Summary!$B$56)*(Inputs!$B$20+Skills!P15)+Summary!$B$56*(Inputs!$B$21+Skills!Q15))/100)*(1+Inputs!$B$16/100)*(5000/(6000+Inputs!$B$42*(1-Inputs!$B$19/100)))*(1+Inputs!$B$24/100)*(1+F811/100)*(1+IF(Inputs!$B$3&gt;=120,F814,0)/100)^5*(1+(IF(Skills!A15="BASIC_ATTACK",Inputs!$B$17,Inputs!$B$18+IF(Inputs!$B$3&gt;=125,F815*5,0)))/100)*(B818*B819*B820*I803)</f>
        <v/>
      </c>
      <c r="L803">
        <f>K803*(MIN(Inputs!$B$22+(F810-Calc!F22),Inputs!$B$23)/100+Inputs!$B$23/100)/2</f>
        <v/>
      </c>
      <c r="M803">
        <f>L803*(1+(Inputs!$B$10+(F809-Calc!F21))/100)</f>
        <v/>
      </c>
      <c r="N803">
        <f>L803*(1-MIN(Inputs!$B$9+(F808-Calc!F20),100)/100)+M803*(MIN(Inputs!$B$9+(F808-Calc!F20),100)/100)</f>
        <v/>
      </c>
      <c r="O803">
        <f>IF(C803,H803*N803*IF(AND(Inputs!$B$38&lt;&gt;"pvp",Inputs!$B$43&gt;0),((Skills!G15*((R803-1)*IF(Skills!H15&gt;0,Skills!I15/Skills!H15,1)+IF(Skills!H15&gt;0,MIN(Skills!I15,MAX(0,Inputs!$B$43-((R803-1)*IF(Inputs!$B$38="pvp",15,MAX(0.1,Skills!E15-IF(Skills!F15=TRUE,Inputs!$B$32,0))))))/Skills!H15,1)))/Inputs!$B$43),G803*Q803)*IF(Inputs!$B$38="pvp",1,(1-Summary!$B$56)*(1)+Summary!$B$56*(MIN(Skills!R15,Inputs!$B$37))),0)</f>
        <v/>
      </c>
      <c r="P803">
        <f>IF(B827=0,0,O803/B827)</f>
        <v/>
      </c>
      <c r="Q803">
        <f>IFERROR(1/IF(Inputs!$B$38="pvp",15,MAX(0.1,Skills!E15-IF(Skills!F15=TRUE,Inputs!$B$32,0))),0)</f>
        <v/>
      </c>
      <c r="R803">
        <f>IF(AND(Inputs!$B$38&lt;&gt;"pvp",Inputs!$B$43&gt;0),(INT(Inputs!$B$43/IF(Inputs!$B$38="pvp",15,MAX(0.1,Skills!E15-IF(Skills!F15=TRUE,Inputs!$B$32,0))))+1),0)</f>
        <v/>
      </c>
    </row>
    <row r="804">
      <c r="A804">
        <f>Skills!A16</f>
        <v/>
      </c>
      <c r="B804">
        <f>Skills!B16</f>
        <v/>
      </c>
      <c r="C804">
        <f>Inputs!$B$3&gt;=107</f>
        <v/>
      </c>
      <c r="D804">
        <f>IF(Skills!C16=1,60+Inputs!$B$25+Inputs!$B$29,IF(Skills!C16=2,90+Inputs!$B$26+Inputs!$B$29,IF(Skills!C16=3,120+Inputs!$B$27+Inputs!$B$29,MAX(0,(Inputs!$B$3-100)*3)+(Inputs!$B$28+1)+Inputs!$B$29)))</f>
        <v/>
      </c>
      <c r="E804">
        <f>INDEX(FactorTable!$B$2:$Y$301, MATCH(ROUND(MIN(300,MAX(1,D804)),0), FactorTable!$A$2:$A$301,0), Skills!M16+1)</f>
        <v/>
      </c>
      <c r="F804">
        <f>IF(Skills!N16=TRUE,(Skills!L16/10)*(E804/1000),Skills!L16/10)+Skills!O16</f>
        <v/>
      </c>
      <c r="G804">
        <f>Calc!G16</f>
        <v/>
      </c>
      <c r="H804">
        <f>Calc!H16</f>
        <v/>
      </c>
      <c r="I804">
        <f>IF(Skills!X16&lt;&gt;"",1+(Skills!X16/10)*(Z791/1000)/100,1)</f>
        <v/>
      </c>
      <c r="J804">
        <f>((Inputs!$B$6*(1+Inputs!$B$7/100))+(((Inputs!$B$12*(1+Inputs!$B$13/100))-(Inputs!$B$12*(1+Inputs!$B$13/100)))+0.25*(Inputs!$B$14-Inputs!$B$14))*(1+Inputs!$B$7/100))*(F804/100)</f>
        <v/>
      </c>
      <c r="K804">
        <f>J804*(1+((Inputs!$B$12*(1+Inputs!$B$13/100))*0.01+Inputs!$B$14*0.0025)/100)*(1+Inputs!$B$15/100)*(1+IF(Inputs!$B$38="pvp",0,(1-Summary!$B$56)*(Inputs!$B$20+Skills!P16)+Summary!$B$56*(Inputs!$B$21+Skills!Q16))/100)*(1+Inputs!$B$16/100)*(5000/(6000+Inputs!$B$42*(1-Inputs!$B$19/100)))*(1+Inputs!$B$24/100)*(1+F811/100)*(1+IF(Inputs!$B$3&gt;=120,F814,0)/100)^5*(1+(IF(Skills!A16="BASIC_ATTACK",Inputs!$B$17,Inputs!$B$18+IF(Inputs!$B$3&gt;=125,F815*5,0)))/100)*(B818*B819*B820*I804)</f>
        <v/>
      </c>
      <c r="L804">
        <f>K804*(MIN(Inputs!$B$22+(F810-Calc!F22),Inputs!$B$23)/100+Inputs!$B$23/100)/2</f>
        <v/>
      </c>
      <c r="M804">
        <f>L804*(1+(Inputs!$B$10+(F809-Calc!F21))/100)</f>
        <v/>
      </c>
      <c r="N804">
        <f>L804*(1-MIN(Inputs!$B$9+(F808-Calc!F20),100)/100)+M804*(MIN(Inputs!$B$9+(F808-Calc!F20),100)/100)</f>
        <v/>
      </c>
      <c r="O804">
        <f>IF(C804,H804*N804*IF(AND(Inputs!$B$38&lt;&gt;"pvp",Inputs!$B$43&gt;0),((Skills!G16*((R804-1)*IF(Skills!H16&gt;0,Skills!I16/Skills!H16,1)+IF(Skills!H16&gt;0,MIN(Skills!I16,MAX(0,Inputs!$B$43-((R804-1)*IF(Inputs!$B$38="pvp",15,MAX(0.1,Skills!E16-IF(Skills!F16=TRUE,Inputs!$B$32,0))))))/Skills!H16,1)))/Inputs!$B$43),G804*Q804)*(1+IF(Inputs!$B$3&gt;=126,0.05*(B824+Q801+(H802*B825)/(1+Skills!H14*H802*B825)+Q812),0)*Skills!E15)*IF(Inputs!$B$38="pvp",1,(1-Summary!$B$56)*(1)+Summary!$B$56*(MIN(Skills!R16,Inputs!$B$37))),0)</f>
        <v/>
      </c>
      <c r="P804">
        <f>IF(B827=0,0,O804/B827)</f>
        <v/>
      </c>
      <c r="Q804">
        <f>IFERROR(1/IF(Inputs!$B$38="pvp",15,MAX(0.1,Skills!E16-IF(Skills!F16=TRUE,Inputs!$B$32,0))),0)</f>
        <v/>
      </c>
      <c r="R804">
        <f>IF(AND(Inputs!$B$38&lt;&gt;"pvp",Inputs!$B$43&gt;0),(INT(Inputs!$B$43/IF(Inputs!$B$38="pvp",15,MAX(0.1,Skills!E16-IF(Skills!F16=TRUE,Inputs!$B$32,0))))+1),0)</f>
        <v/>
      </c>
    </row>
    <row r="805">
      <c r="A805">
        <f>Skills!A17</f>
        <v/>
      </c>
      <c r="B805">
        <f>Skills!B17</f>
        <v/>
      </c>
      <c r="C805">
        <f>TRUE</f>
        <v/>
      </c>
      <c r="D805">
        <f>IF(Skills!C17=1,60+Inputs!$B$25+Inputs!$B$29,IF(Skills!C17=2,90+Inputs!$B$26+Inputs!$B$29,IF(Skills!C17=3,120+Inputs!$B$27+Inputs!$B$29,MAX(0,(Inputs!$B$3-100)*3)+(Inputs!$B$28+1)+Inputs!$B$29)))</f>
        <v/>
      </c>
      <c r="E805">
        <f>INDEX(FactorTable!$B$2:$Y$301, MATCH(ROUND(MIN(300,MAX(1,D805)),0), FactorTable!$A$2:$A$301,0), Skills!M17+1)</f>
        <v/>
      </c>
      <c r="F805">
        <f>IF(Skills!N17=TRUE,(Skills!L17/10)*(E805/1000),Skills!L17/10)+Skills!O17</f>
        <v/>
      </c>
      <c r="G805">
        <f>Calc!G17</f>
        <v/>
      </c>
      <c r="H805">
        <f>Calc!H17</f>
        <v/>
      </c>
      <c r="I805">
        <f>IF(Skills!X17&lt;&gt;"",1+(Skills!X17/10)*(Z791/1000)/100,1)</f>
        <v/>
      </c>
      <c r="J805" t="inlineStr"/>
      <c r="K805" t="inlineStr"/>
      <c r="L805" t="inlineStr"/>
      <c r="M805" t="inlineStr"/>
      <c r="N805" t="inlineStr"/>
      <c r="O805" t="n">
        <v>0</v>
      </c>
      <c r="P805">
        <f>IF(B827=0,0,O805/B827)</f>
        <v/>
      </c>
      <c r="Q805">
        <f>IFERROR(1/IF(Inputs!$B$38="pvp",15,MAX(0.1,Skills!E17-IF(Skills!F17=TRUE,Inputs!$B$32,0))),0)</f>
        <v/>
      </c>
      <c r="R805">
        <f>IF(AND(Inputs!$B$38&lt;&gt;"pvp",Inputs!$B$43&gt;0),(INT(Inputs!$B$43/IF(Inputs!$B$38="pvp",15,MAX(0.1,Skills!E17-IF(Skills!F17=TRUE,Inputs!$B$32,0))))+1),0)</f>
        <v/>
      </c>
    </row>
    <row r="806">
      <c r="A806">
        <f>Skills!A18</f>
        <v/>
      </c>
      <c r="B806">
        <f>Skills!B18</f>
        <v/>
      </c>
      <c r="C806">
        <f>TRUE</f>
        <v/>
      </c>
      <c r="D806">
        <f>IF(Skills!C18=1,60+Inputs!$B$25+Inputs!$B$29,IF(Skills!C18=2,90+Inputs!$B$26+Inputs!$B$29,IF(Skills!C18=3,120+Inputs!$B$27+Inputs!$B$29,MAX(0,(Inputs!$B$3-100)*3)+(Inputs!$B$28+1)+Inputs!$B$29)))</f>
        <v/>
      </c>
      <c r="E806">
        <f>INDEX(FactorTable!$B$2:$Y$301, MATCH(ROUND(MIN(300,MAX(1,D806)),0), FactorTable!$A$2:$A$301,0), Skills!M18+1)</f>
        <v/>
      </c>
      <c r="F806">
        <f>IF(Skills!N18=TRUE,(Skills!L18/10)*(E806/1000),Skills!L18/10)+Skills!O18</f>
        <v/>
      </c>
      <c r="G806">
        <f>Calc!G18</f>
        <v/>
      </c>
      <c r="H806">
        <f>Calc!H18</f>
        <v/>
      </c>
      <c r="I806">
        <f>IF(Skills!X18&lt;&gt;"",1+(Skills!X18/10)*(Z791/1000)/100,1)</f>
        <v/>
      </c>
      <c r="J806" t="inlineStr"/>
      <c r="K806" t="inlineStr"/>
      <c r="L806" t="inlineStr"/>
      <c r="M806" t="inlineStr"/>
      <c r="N806" t="inlineStr"/>
      <c r="O806" t="n">
        <v>0</v>
      </c>
      <c r="P806">
        <f>IF(B827=0,0,O806/B827)</f>
        <v/>
      </c>
      <c r="Q806">
        <f>IFERROR(1/IF(Inputs!$B$38="pvp",15,MAX(0.1,Skills!E18-IF(Skills!F18=TRUE,Inputs!$B$32,0))),0)</f>
        <v/>
      </c>
      <c r="R806">
        <f>IF(AND(Inputs!$B$38&lt;&gt;"pvp",Inputs!$B$43&gt;0),(INT(Inputs!$B$43/IF(Inputs!$B$38="pvp",15,MAX(0.1,Skills!E18-IF(Skills!F18=TRUE,Inputs!$B$32,0))))+1),0)</f>
        <v/>
      </c>
    </row>
    <row r="807">
      <c r="A807">
        <f>Skills!A19</f>
        <v/>
      </c>
      <c r="B807">
        <f>Skills!B19</f>
        <v/>
      </c>
      <c r="C807">
        <f>Inputs!$B$3&gt;=110</f>
        <v/>
      </c>
      <c r="D807">
        <f>IF(Skills!C19=1,60+Inputs!$B$25+Inputs!$B$29,IF(Skills!C19=2,90+Inputs!$B$26+Inputs!$B$29,IF(Skills!C19=3,120+Inputs!$B$27+Inputs!$B$29,MAX(0,(Inputs!$B$3-100)*3)+(Inputs!$B$28+1)+Inputs!$B$29)))</f>
        <v/>
      </c>
      <c r="E807">
        <f>INDEX(FactorTable!$B$2:$Y$301, MATCH(ROUND(MIN(300,MAX(1,D807)),0), FactorTable!$A$2:$A$301,0), Skills!M19+1)</f>
        <v/>
      </c>
      <c r="F807">
        <f>IF(Skills!N19=TRUE,(Skills!L19/10)*(E807/1000),Skills!L19/10)+Skills!O19</f>
        <v/>
      </c>
      <c r="G807">
        <f>Calc!G19</f>
        <v/>
      </c>
      <c r="H807">
        <f>Calc!H19</f>
        <v/>
      </c>
      <c r="I807">
        <f>IF(Skills!X19&lt;&gt;"",1+(Skills!X19/10)*(Z791/1000)/100,1)</f>
        <v/>
      </c>
      <c r="J807" t="inlineStr"/>
      <c r="K807" t="inlineStr"/>
      <c r="L807" t="inlineStr"/>
      <c r="M807" t="inlineStr"/>
      <c r="N807" t="inlineStr"/>
      <c r="O807" t="n">
        <v>0</v>
      </c>
      <c r="P807">
        <f>IF(B827=0,0,O807/B827)</f>
        <v/>
      </c>
      <c r="Q807">
        <f>IFERROR(1/IF(Inputs!$B$38="pvp",15,MAX(0.1,Skills!E19-IF(Skills!F19=TRUE,Inputs!$B$32,0))),0)</f>
        <v/>
      </c>
      <c r="R807">
        <f>IF(AND(Inputs!$B$38&lt;&gt;"pvp",Inputs!$B$43&gt;0),(INT(Inputs!$B$43/IF(Inputs!$B$38="pvp",15,MAX(0.1,Skills!E19-IF(Skills!F19=TRUE,Inputs!$B$32,0))))+1),0)</f>
        <v/>
      </c>
    </row>
    <row r="808">
      <c r="A808">
        <f>Skills!A20</f>
        <v/>
      </c>
      <c r="B808">
        <f>Skills!B20</f>
        <v/>
      </c>
      <c r="C808">
        <f>TRUE</f>
        <v/>
      </c>
      <c r="D808">
        <f>IF(Skills!C20=1,60+Inputs!$B$25+Inputs!$B$29,IF(Skills!C20=2,90+Inputs!$B$26+Inputs!$B$29,IF(Skills!C20=3,120+Inputs!$B$27+Inputs!$B$29,MAX(0,(Inputs!$B$3-100)*3)+(Inputs!$B$28+1)+Inputs!$B$29)))</f>
        <v/>
      </c>
      <c r="E808">
        <f>INDEX(FactorTable!$B$2:$Y$301, MATCH(ROUND(MIN(300,MAX(1,D808)),0), FactorTable!$A$2:$A$301,0), Skills!M20+1)</f>
        <v/>
      </c>
      <c r="F808">
        <f>IF(Skills!N20=TRUE,(Skills!L20/10)*(E808/1000),Skills!L20/10)+Skills!O20</f>
        <v/>
      </c>
      <c r="G808">
        <f>Calc!G20</f>
        <v/>
      </c>
      <c r="H808">
        <f>Calc!H20</f>
        <v/>
      </c>
      <c r="I808">
        <f>IF(Skills!X20&lt;&gt;"",1+(Skills!X20/10)*(Z791/1000)/100,1)</f>
        <v/>
      </c>
      <c r="J808" t="inlineStr"/>
      <c r="K808" t="inlineStr"/>
      <c r="L808" t="inlineStr"/>
      <c r="M808" t="inlineStr"/>
      <c r="N808" t="inlineStr"/>
      <c r="O808" t="n">
        <v>0</v>
      </c>
      <c r="P808">
        <f>IF(B827=0,0,O808/B827)</f>
        <v/>
      </c>
      <c r="Q808">
        <f>IFERROR(1/IF(Inputs!$B$38="pvp",15,MAX(0.1,Skills!E20-IF(Skills!F20=TRUE,Inputs!$B$32,0))),0)</f>
        <v/>
      </c>
      <c r="R808" t="n">
        <v>0</v>
      </c>
    </row>
    <row r="809">
      <c r="A809">
        <f>Skills!A21</f>
        <v/>
      </c>
      <c r="B809">
        <f>Skills!B21</f>
        <v/>
      </c>
      <c r="C809">
        <f>TRUE</f>
        <v/>
      </c>
      <c r="D809">
        <f>IF(Skills!C21=1,60+Inputs!$B$25+Inputs!$B$29,IF(Skills!C21=2,90+Inputs!$B$26+Inputs!$B$29,IF(Skills!C21=3,120+Inputs!$B$27+Inputs!$B$29,MAX(0,(Inputs!$B$3-100)*3)+(Inputs!$B$28+1)+Inputs!$B$29)))</f>
        <v/>
      </c>
      <c r="E809">
        <f>INDEX(FactorTable!$B$2:$Y$301, MATCH(ROUND(MIN(300,MAX(1,D809)),0), FactorTable!$A$2:$A$301,0), Skills!M21+1)</f>
        <v/>
      </c>
      <c r="F809">
        <f>IF(Skills!N21=TRUE,(Skills!L21/10)*(E809/1000),Skills!L21/10)+Skills!O21</f>
        <v/>
      </c>
      <c r="G809">
        <f>Calc!G21</f>
        <v/>
      </c>
      <c r="H809">
        <f>Calc!H21</f>
        <v/>
      </c>
      <c r="I809">
        <f>IF(Skills!X21&lt;&gt;"",1+(Skills!X21/10)*(Z791/1000)/100,1)</f>
        <v/>
      </c>
      <c r="J809" t="inlineStr"/>
      <c r="K809" t="inlineStr"/>
      <c r="L809" t="inlineStr"/>
      <c r="M809" t="inlineStr"/>
      <c r="N809" t="inlineStr"/>
      <c r="O809" t="n">
        <v>0</v>
      </c>
      <c r="P809">
        <f>IF(B827=0,0,O809/B827)</f>
        <v/>
      </c>
      <c r="Q809">
        <f>IFERROR(1/IF(Inputs!$B$38="pvp",15,MAX(0.1,Skills!E21-IF(Skills!F21=TRUE,Inputs!$B$32,0))),0)</f>
        <v/>
      </c>
      <c r="R809" t="n">
        <v>0</v>
      </c>
    </row>
    <row r="810">
      <c r="A810">
        <f>Skills!A22</f>
        <v/>
      </c>
      <c r="B810">
        <f>Skills!B22</f>
        <v/>
      </c>
      <c r="C810">
        <f>TRUE</f>
        <v/>
      </c>
      <c r="D810">
        <f>IF(Skills!C22=1,60+Inputs!$B$25+Inputs!$B$29,IF(Skills!C22=2,90+Inputs!$B$26+Inputs!$B$29,IF(Skills!C22=3,120+Inputs!$B$27+Inputs!$B$29,MAX(0,(Inputs!$B$3-100)*3)+(Inputs!$B$28+1)+Inputs!$B$29)))</f>
        <v/>
      </c>
      <c r="E810">
        <f>INDEX(FactorTable!$B$2:$Y$301, MATCH(ROUND(MIN(300,MAX(1,D810)),0), FactorTable!$A$2:$A$301,0), Skills!M22+1)</f>
        <v/>
      </c>
      <c r="F810">
        <f>IF(Skills!N22=TRUE,(Skills!L22/10)*(E810/1000),Skills!L22/10)+Skills!O22</f>
        <v/>
      </c>
      <c r="G810">
        <f>Calc!G22</f>
        <v/>
      </c>
      <c r="H810">
        <f>Calc!H22</f>
        <v/>
      </c>
      <c r="I810">
        <f>IF(Skills!X22&lt;&gt;"",1+(Skills!X22/10)*(Z791/1000)/100,1)</f>
        <v/>
      </c>
      <c r="J810" t="inlineStr"/>
      <c r="K810" t="inlineStr"/>
      <c r="L810" t="inlineStr"/>
      <c r="M810" t="inlineStr"/>
      <c r="N810" t="inlineStr"/>
      <c r="O810" t="n">
        <v>0</v>
      </c>
      <c r="P810">
        <f>IF(B827=0,0,O810/B827)</f>
        <v/>
      </c>
      <c r="Q810">
        <f>IFERROR(1/IF(Inputs!$B$38="pvp",15,MAX(0.1,Skills!E22-IF(Skills!F22=TRUE,Inputs!$B$32,0))),0)</f>
        <v/>
      </c>
      <c r="R810" t="n">
        <v>0</v>
      </c>
    </row>
    <row r="811">
      <c r="A811">
        <f>Skills!A23</f>
        <v/>
      </c>
      <c r="B811">
        <f>Skills!B23</f>
        <v/>
      </c>
      <c r="C811">
        <f>TRUE</f>
        <v/>
      </c>
      <c r="D811">
        <f>IF(Skills!C23=1,60+Inputs!$B$25+Inputs!$B$29,IF(Skills!C23=2,90+Inputs!$B$26+Inputs!$B$29,IF(Skills!C23=3,120+Inputs!$B$27+Inputs!$B$29,MAX(0,(Inputs!$B$3-100)*3)+(Inputs!$B$28+1)+Inputs!$B$29)))</f>
        <v/>
      </c>
      <c r="E811">
        <f>INDEX(FactorTable!$B$2:$Y$301, MATCH(ROUND(MIN(300,MAX(1,D811)),0), FactorTable!$A$2:$A$301,0), Skills!M23+1)</f>
        <v/>
      </c>
      <c r="F811">
        <f>IF(Skills!N23=TRUE,(Skills!L23/10)*(E811/1000),Skills!L23/10)+Skills!O23</f>
        <v/>
      </c>
      <c r="G811">
        <f>Calc!G23</f>
        <v/>
      </c>
      <c r="H811">
        <f>Calc!H23</f>
        <v/>
      </c>
      <c r="I811">
        <f>IF(Skills!X23&lt;&gt;"",1+(Skills!X23/10)*(Z791/1000)/100,1)</f>
        <v/>
      </c>
      <c r="J811" t="inlineStr"/>
      <c r="K811" t="inlineStr"/>
      <c r="L811" t="inlineStr"/>
      <c r="M811" t="inlineStr"/>
      <c r="N811" t="inlineStr"/>
      <c r="O811" t="n">
        <v>0</v>
      </c>
      <c r="P811">
        <f>IF(B827=0,0,O811/B827)</f>
        <v/>
      </c>
      <c r="Q811">
        <f>IFERROR(1/IF(Inputs!$B$38="pvp",15,MAX(0.1,Skills!E23-IF(Skills!F23=TRUE,Inputs!$B$32,0))),0)</f>
        <v/>
      </c>
      <c r="R811" t="n">
        <v>0</v>
      </c>
    </row>
    <row r="812">
      <c r="A812">
        <f>Skills!A24</f>
        <v/>
      </c>
      <c r="B812">
        <f>Skills!B24</f>
        <v/>
      </c>
      <c r="C812">
        <f>Inputs!$B$3&gt;=115</f>
        <v/>
      </c>
      <c r="D812">
        <f>IF(Skills!C24=1,60+Inputs!$B$25+Inputs!$B$29,IF(Skills!C24=2,90+Inputs!$B$26+Inputs!$B$29,IF(Skills!C24=3,120+Inputs!$B$27+Inputs!$B$29,MAX(0,(Inputs!$B$3-100)*3)+(Inputs!$B$28+1)+Inputs!$B$29)))</f>
        <v/>
      </c>
      <c r="E812">
        <f>INDEX(FactorTable!$B$2:$Y$301, MATCH(ROUND(MIN(300,MAX(1,D812)),0), FactorTable!$A$2:$A$301,0), Skills!M24+1)</f>
        <v/>
      </c>
      <c r="F812">
        <f>IF(Skills!N24=TRUE,(Skills!L24/10)*(E812/1000),Skills!L24/10)+Skills!O24</f>
        <v/>
      </c>
      <c r="G812">
        <f>Calc!G24</f>
        <v/>
      </c>
      <c r="H812">
        <f>Calc!H24</f>
        <v/>
      </c>
      <c r="I812">
        <f>IF(Skills!X24&lt;&gt;"",1+(Skills!X24/10)*(Z791/1000)/100,1)</f>
        <v/>
      </c>
      <c r="J812">
        <f>((Inputs!$B$6*(1+Inputs!$B$7/100))+(((Inputs!$B$12*(1+Inputs!$B$13/100))-(Inputs!$B$12*(1+Inputs!$B$13/100)))+0.25*(Inputs!$B$14-Inputs!$B$14))*(1+Inputs!$B$7/100))*(F812/100)</f>
        <v/>
      </c>
      <c r="K812">
        <f>J812*(1+((Inputs!$B$12*(1+Inputs!$B$13/100))*0.01+Inputs!$B$14*0.0025)/100)*(1+Inputs!$B$15/100)*(1+IF(Inputs!$B$38="pvp",0,(1-Summary!$B$56)*(Inputs!$B$20+Skills!P24)+Summary!$B$56*(Inputs!$B$21+Skills!Q24))/100)*(1+Inputs!$B$16/100)*(5000/(6000+Inputs!$B$42*(1-Inputs!$B$19/100)))*(1+Inputs!$B$24/100)*(1+F811/100)*(1+IF(Inputs!$B$3&gt;=120,F814,0)/100)^5*(1+(IF(Skills!A24="BASIC_ATTACK",Inputs!$B$17,Inputs!$B$18+IF(Inputs!$B$3&gt;=125,F815*5,0)))/100)*(B818*B819*B820*I812)</f>
        <v/>
      </c>
      <c r="L812">
        <f>K812*(MIN(Inputs!$B$22+(F810-Calc!F22),Inputs!$B$23)/100+Inputs!$B$23/100)/2</f>
        <v/>
      </c>
      <c r="M812">
        <f>L812*(1+(Inputs!$B$10+(F809-Calc!F21))/100)</f>
        <v/>
      </c>
      <c r="N812">
        <f>L812*(1-MIN(Inputs!$B$9+(F808-Calc!F20),100)/100)+M812*(MIN(Inputs!$B$9+(F808-Calc!F20),100)/100)</f>
        <v/>
      </c>
      <c r="O812">
        <f>IF(C812,H812*N812*IF(AND(Inputs!$B$38&lt;&gt;"pvp",Inputs!$B$43&gt;0),((Skills!G24*((R812-1)*IF(Skills!H24&gt;0,Skills!I24/Skills!H24,1)+IF(Skills!H24&gt;0,MIN(Skills!I24,MAX(0,Inputs!$B$43-((R812-1)*IF(Inputs!$B$38="pvp",15,MAX(0.1,Skills!E24-IF(Skills!F24=TRUE,Inputs!$B$32,0))))))/Skills!H24,1)))/Inputs!$B$43),G812*Q812)*(1+IF(Inputs!$B$3&gt;=130,0.2*(Skills!I16/Skills!E15+IF(Inputs!$B$3&gt;=126,0.05*(B824+Q801+(H802*B825)/(1+Skills!H14*H802*B825)+Q812),0)*Skills!I16),0))*IF(Inputs!$B$38="pvp",1,(1-Summary!$B$56)*(1)+Summary!$B$56*(MIN(Skills!R24,Inputs!$B$37))),0)</f>
        <v/>
      </c>
      <c r="P812">
        <f>IF(B827=0,0,O812/B827)</f>
        <v/>
      </c>
      <c r="Q812">
        <f>IFERROR(1/IF(Inputs!$B$38="pvp",15,MAX(0.1,Skills!E24-IF(Skills!F24=TRUE,Inputs!$B$32,0))),0)</f>
        <v/>
      </c>
      <c r="R812">
        <f>IF(AND(Inputs!$B$38&lt;&gt;"pvp",Inputs!$B$43&gt;0),(INT(Inputs!$B$43/IF(Inputs!$B$38="pvp",15,MAX(0.1,Skills!E24-IF(Skills!F24=TRUE,Inputs!$B$32,0))))+1),0)</f>
        <v/>
      </c>
    </row>
    <row r="813">
      <c r="A813">
        <f>Skills!A25</f>
        <v/>
      </c>
      <c r="B813">
        <f>Skills!B25</f>
        <v/>
      </c>
      <c r="C813">
        <f>Inputs!$B$3&gt;=117</f>
        <v/>
      </c>
      <c r="D813">
        <f>IF(Skills!C25=1,60+Inputs!$B$25+Inputs!$B$29,IF(Skills!C25=2,90+Inputs!$B$26+Inputs!$B$29,IF(Skills!C25=3,120+Inputs!$B$27+Inputs!$B$29,MAX(0,(Inputs!$B$3-100)*3)+(Inputs!$B$28+1)+Inputs!$B$29)))</f>
        <v/>
      </c>
      <c r="E813">
        <f>INDEX(FactorTable!$B$2:$Y$301, MATCH(ROUND(MIN(300,MAX(1,D813)),0), FactorTable!$A$2:$A$301,0), Skills!M25+1)</f>
        <v/>
      </c>
      <c r="F813">
        <f>IF(Skills!N25=TRUE,(Skills!L25/10)*(E813/1000),Skills!L25/10)+Skills!O25</f>
        <v/>
      </c>
      <c r="G813">
        <f>Calc!G25</f>
        <v/>
      </c>
      <c r="H813">
        <f>Calc!H25</f>
        <v/>
      </c>
      <c r="I813">
        <f>IF(Skills!X25&lt;&gt;"",1+(Skills!X25/10)*(Z791/1000)/100,1)</f>
        <v/>
      </c>
      <c r="J813" t="inlineStr"/>
      <c r="K813" t="inlineStr"/>
      <c r="L813" t="inlineStr"/>
      <c r="M813" t="inlineStr"/>
      <c r="N813" t="inlineStr"/>
      <c r="O813" t="n">
        <v>0</v>
      </c>
      <c r="P813">
        <f>IF(B827=0,0,O813/B827)</f>
        <v/>
      </c>
      <c r="Q813">
        <f>IFERROR(1/IF(Inputs!$B$38="pvp",15,MAX(0.1,Skills!E25-IF(Skills!F25=TRUE,Inputs!$B$32,0))),0)</f>
        <v/>
      </c>
      <c r="R813" t="n">
        <v>0</v>
      </c>
    </row>
    <row r="814">
      <c r="A814">
        <f>Skills!A26</f>
        <v/>
      </c>
      <c r="B814">
        <f>Skills!B26</f>
        <v/>
      </c>
      <c r="C814">
        <f>Inputs!$B$3&gt;=120</f>
        <v/>
      </c>
      <c r="D814">
        <f>IF(Skills!C26=1,60+Inputs!$B$25+Inputs!$B$29,IF(Skills!C26=2,90+Inputs!$B$26+Inputs!$B$29,IF(Skills!C26=3,120+Inputs!$B$27+Inputs!$B$29,MAX(0,(Inputs!$B$3-100)*3)+(Inputs!$B$28+1)+Inputs!$B$29)))</f>
        <v/>
      </c>
      <c r="E814">
        <f>INDEX(FactorTable!$B$2:$Y$301, MATCH(ROUND(MIN(300,MAX(1,D814)),0), FactorTable!$A$2:$A$301,0), Skills!M26+1)</f>
        <v/>
      </c>
      <c r="F814">
        <f>IF(Skills!N26=TRUE,(Skills!L26/10)*(E814/1000),Skills!L26/10)+Skills!O26</f>
        <v/>
      </c>
      <c r="G814">
        <f>Calc!G26</f>
        <v/>
      </c>
      <c r="H814">
        <f>Calc!H26</f>
        <v/>
      </c>
      <c r="I814">
        <f>IF(Skills!X26&lt;&gt;"",1+(Skills!X26/10)*(Z791/1000)/100,1)</f>
        <v/>
      </c>
      <c r="J814" t="inlineStr"/>
      <c r="K814" t="inlineStr"/>
      <c r="L814" t="inlineStr"/>
      <c r="M814" t="inlineStr"/>
      <c r="N814" t="inlineStr"/>
      <c r="O814" t="n">
        <v>0</v>
      </c>
      <c r="P814">
        <f>IF(B827=0,0,O814/B827)</f>
        <v/>
      </c>
      <c r="Q814">
        <f>IFERROR(1/IF(Inputs!$B$38="pvp",15,MAX(0.1,Skills!E26-IF(Skills!F26=TRUE,Inputs!$B$32,0))),0)</f>
        <v/>
      </c>
      <c r="R814" t="n">
        <v>0</v>
      </c>
    </row>
    <row r="815">
      <c r="A815">
        <f>Skills!A27</f>
        <v/>
      </c>
      <c r="B815">
        <f>Skills!B27</f>
        <v/>
      </c>
      <c r="C815">
        <f>Inputs!$B$3&gt;=125</f>
        <v/>
      </c>
      <c r="D815">
        <f>IF(Skills!C27=1,60+Inputs!$B$25+Inputs!$B$29,IF(Skills!C27=2,90+Inputs!$B$26+Inputs!$B$29,IF(Skills!C27=3,120+Inputs!$B$27+Inputs!$B$29,MAX(0,(Inputs!$B$3-100)*3)+(Inputs!$B$28+1)+Inputs!$B$29)))</f>
        <v/>
      </c>
      <c r="E815">
        <f>INDEX(FactorTable!$B$2:$Y$301, MATCH(ROUND(MIN(300,MAX(1,D815)),0), FactorTable!$A$2:$A$301,0), Skills!M27+1)</f>
        <v/>
      </c>
      <c r="F815">
        <f>IF(Skills!N27=TRUE,(Skills!L27/10)*(E815/1000),Skills!L27/10)+Skills!O27</f>
        <v/>
      </c>
      <c r="G815">
        <f>Calc!G27</f>
        <v/>
      </c>
      <c r="H815">
        <f>Calc!H27</f>
        <v/>
      </c>
      <c r="I815">
        <f>IF(Skills!X27&lt;&gt;"",1+(Skills!X27/10)*(Z791/1000)/100,1)</f>
        <v/>
      </c>
      <c r="J815" t="inlineStr"/>
      <c r="K815" t="inlineStr"/>
      <c r="L815" t="inlineStr"/>
      <c r="M815" t="inlineStr"/>
      <c r="N815" t="inlineStr"/>
      <c r="O815" t="n">
        <v>0</v>
      </c>
      <c r="P815">
        <f>IF(B827=0,0,O815/B827)</f>
        <v/>
      </c>
      <c r="Q815">
        <f>IFERROR(1/IF(Inputs!$B$38="pvp",15,MAX(0.1,Skills!E27-IF(Skills!F27=TRUE,Inputs!$B$32,0))),0)</f>
        <v/>
      </c>
      <c r="R815" t="n">
        <v>0</v>
      </c>
    </row>
    <row r="816">
      <c r="A816">
        <f>Skills!A28</f>
        <v/>
      </c>
      <c r="B816">
        <f>Skills!B28</f>
        <v/>
      </c>
      <c r="C816">
        <f>Inputs!$B$3&gt;=118</f>
        <v/>
      </c>
      <c r="D816">
        <f>IF(Skills!C28=1,60+Inputs!$B$25+Inputs!$B$29,IF(Skills!C28=2,90+Inputs!$B$26+Inputs!$B$29,IF(Skills!C28=3,120+Inputs!$B$27+Inputs!$B$29,MAX(0,(Inputs!$B$3-100)*3)+(Inputs!$B$28+1)+Inputs!$B$29)))</f>
        <v/>
      </c>
      <c r="E816">
        <f>INDEX(FactorTable!$B$2:$Y$301, MATCH(ROUND(MIN(300,MAX(1,D816)),0), FactorTable!$A$2:$A$301,0), Skills!M28+1)</f>
        <v/>
      </c>
      <c r="F816">
        <f>IF(Skills!N28=TRUE,(Skills!L28/10)*(E816/1000),Skills!L28/10)+Skills!O28</f>
        <v/>
      </c>
      <c r="G816">
        <f>Calc!G28</f>
        <v/>
      </c>
      <c r="H816">
        <f>Calc!H28</f>
        <v/>
      </c>
      <c r="I816">
        <f>IF(Skills!X28&lt;&gt;"",1+(Skills!X28/10)*(Z791/1000)/100,1)</f>
        <v/>
      </c>
      <c r="J816">
        <f>((Inputs!$B$6*(1+Inputs!$B$7/100))+(((Inputs!$B$12*(1+Inputs!$B$13/100))-(Inputs!$B$12*(1+Inputs!$B$13/100)))+0.25*(Inputs!$B$14-Inputs!$B$14))*(1+Inputs!$B$7/100))*(F816/100)</f>
        <v/>
      </c>
      <c r="K816">
        <f>J816*(1+((Inputs!$B$12*(1+Inputs!$B$13/100))*0.01+Inputs!$B$14*0.0025)/100)*(1+Inputs!$B$15/100)*(1+IF(Inputs!$B$38="pvp",0,(1-Summary!$B$56)*(Inputs!$B$20+Skills!P28)+Summary!$B$56*(Inputs!$B$21+Skills!Q28))/100)*(1+Inputs!$B$16/100)*(5000/(6000+Inputs!$B$42*(1-Inputs!$B$19/100)))*(1+Inputs!$B$24/100)*(1+F811/100)*(1+IF(Inputs!$B$3&gt;=120,F814,0)/100)^5*(1+(IF(Skills!A28="BASIC_ATTACK",Inputs!$B$17,Inputs!$B$18+IF(Inputs!$B$3&gt;=125,F815*5,0)))/100)*(B818*B819*B820*I816)</f>
        <v/>
      </c>
      <c r="L816">
        <f>K816*(MIN(Inputs!$B$22+(F810-Calc!F22),Inputs!$B$23)/100+Inputs!$B$23/100)/2</f>
        <v/>
      </c>
      <c r="M816">
        <f>L816*(1+(Inputs!$B$10+(F809-Calc!F21))/100)</f>
        <v/>
      </c>
      <c r="N816">
        <f>L816*(1-MIN(Inputs!$B$9+(F808-Calc!F20),100)/100)+M816*(MIN(Inputs!$B$9+(F808-Calc!F20),100)/100)</f>
        <v/>
      </c>
      <c r="O816">
        <f>IF(C816,H816*N816*IF(AND(Inputs!$B$38&lt;&gt;"pvp",Inputs!$B$43&gt;0),((Skills!G28*((R816-1)*IF(Skills!H28&gt;0,Skills!I28/Skills!H28,1)+IF(Skills!H28&gt;0,MIN(Skills!I28,MAX(0,Inputs!$B$43-((R816-1)*IF(Inputs!$B$38="pvp",15,MAX(0.1,Skills!E28-IF(Skills!F28=TRUE,Inputs!$B$32,0))))))/Skills!H28,1)))/Inputs!$B$43),G816*Q816)*IF(Inputs!$B$38="pvp",1,(1-Summary!$B$56)*(1)+Summary!$B$56*(MIN(Skills!R28,Inputs!$B$37))),0)</f>
        <v/>
      </c>
      <c r="P816">
        <f>IF(B827=0,0,O816/B827)</f>
        <v/>
      </c>
      <c r="Q816">
        <f>IFERROR(1/IF(Inputs!$B$38="pvp",15,MAX(0.1,Skills!E28-IF(Skills!F28=TRUE,Inputs!$B$32,0))),0)</f>
        <v/>
      </c>
      <c r="R816">
        <f>IF(AND(Inputs!$B$38&lt;&gt;"pvp",Inputs!$B$43&gt;0),(INT(Inputs!$B$43/IF(Inputs!$B$38="pvp",15,MAX(0.1,Skills!E28-IF(Skills!F28=TRUE,Inputs!$B$32,0))))+1),0)</f>
        <v/>
      </c>
    </row>
    <row r="818">
      <c r="A818" t="inlineStr">
        <is>
          <t>Burning Magic Multiplier</t>
        </is>
      </c>
      <c r="B818">
        <f>1+(F799*Skills!Z11)/100</f>
        <v/>
      </c>
    </row>
    <row r="819">
      <c r="A819" t="inlineStr">
        <is>
          <t>Elemental Decrease Multiplier (always-on)</t>
        </is>
      </c>
      <c r="B819">
        <f>1+F800/100</f>
        <v/>
      </c>
    </row>
    <row r="820">
      <c r="A820" t="inlineStr">
        <is>
          <t>Average Buff Multiplier (Magic Guard + Meditation, summed; then Infinity)</t>
        </is>
      </c>
      <c r="B820">
        <f>(1+(F794*IF(AND(Inputs!$B$38&lt;&gt;"pvp",Inputs!$B$43&gt;0),(((R794-1)*(Skills!T6*(1+(Inputs!$B$34+IF(Inputs!$B$3&gt;=117,F813,0))/100))+MIN((Skills!T6*(1+(Inputs!$B$34+IF(Inputs!$B$3&gt;=117,F813,0))/100)),MAX(0,Inputs!$B$43-((R794-1)*Skills!E6))))/Inputs!$B$43),IF(Inputs!$B$38="pvp",MIN((Skills!T6*(1+(Inputs!$B$34+IF(Inputs!$B$3&gt;=117,F813,0))/100)),15)/15,(Skills!T6*(1+(Inputs!$B$34+IF(Inputs!$B$3&gt;=117,F813,0))/100))/Skills!E6))+F805*IF(AND(Inputs!$B$38&lt;&gt;"pvp",Inputs!$B$43&gt;0),(((R805-1)*(Skills!T17*(1+(Inputs!$B$34+IF(Inputs!$B$3&gt;=117,F813,0))/100))+MIN((Skills!T17*(1+(Inputs!$B$34+IF(Inputs!$B$3&gt;=117,F813,0))/100)),MAX(0,Inputs!$B$43-((R805-1)*Skills!E17))))/Inputs!$B$43),IF(Inputs!$B$38="pvp",MIN((Skills!T17*(1+(Inputs!$B$34+IF(Inputs!$B$3&gt;=117,F813,0))/100)),15)/15,(Skills!T17*(1+(Inputs!$B$34+IF(Inputs!$B$3&gt;=117,F813,0))/100))/Skills!E17)))/100)*IF(C807=TRUE,(1+F807*IF(AND(Inputs!$B$38&lt;&gt;"pvp",Inputs!$B$43&gt;0),(((R807-1)*(Skills!T19*(1+(Inputs!$B$34+IF(Inputs!$B$3&gt;=117,F813,0))/100))+MIN((Skills!T19*(1+(Inputs!$B$34+IF(Inputs!$B$3&gt;=117,F813,0))/100)),MAX(0,Inputs!$B$43-((R807-1)*Skills!E19))))/Inputs!$B$43),IF(Inputs!$B$38="pvp",MIN((Skills!T19*(1+(Inputs!$B$34+IF(Inputs!$B$3&gt;=117,F813,0))/100)),15)/15,(Skills!T19*(1+(Inputs!$B$34+IF(Inputs!$B$3&gt;=117,F813,0))/100))/Skills!E19))/100),1)</f>
        <v/>
      </c>
    </row>
    <row r="821">
      <c r="A821" t="inlineStr">
        <is>
          <t>Attack Speed Buff Bonus % (Nimble Feet, averaged)</t>
        </is>
      </c>
      <c r="B821">
        <f>F806*IF(AND(Inputs!$B$38&lt;&gt;"pvp",Inputs!$B$43&gt;0),(((R806-1)*(Skills!T18*(1+(Inputs!$B$34+IF(Inputs!$B$3&gt;=117,F813,0))/100))+MIN((Skills!T18*(1+(Inputs!$B$34+IF(Inputs!$B$3&gt;=117,F813,0))/100)),MAX(0,Inputs!$B$43-((R806-1)*Skills!E18))))/Inputs!$B$43),IF(Inputs!$B$38="pvp",MIN((Skills!T18*(1+(Inputs!$B$34+IF(Inputs!$B$3&gt;=117,F813,0))/100)),15)/15,(Skills!T18*(1+(Inputs!$B$34+IF(Inputs!$B$3&gt;=117,F813,0))/100))/Skills!E18))</f>
        <v/>
      </c>
    </row>
    <row r="822">
      <c r="A822" t="inlineStr">
        <is>
          <t>Actions Per Second</t>
        </is>
      </c>
      <c r="B822">
        <f>1+MIN(150,150*(1-(1-Inputs!$B$11/150)*(1-B821/150)))/100</f>
        <v/>
      </c>
    </row>
    <row r="823">
      <c r="A823" t="inlineStr">
        <is>
          <t>Skill + Buff Cast Rate</t>
        </is>
      </c>
      <c r="B823">
        <f>IF(AND(Inputs!$B$38&lt;&gt;"pvp",Inputs!$B$43&gt;0),SUMPRODUCT((Skills!F2:F28=TRUE)*(C790:C816=TRUE)*R790:R816)/Inputs!$B$43,SUMPRODUCT((Skills!F2:F28=TRUE)*(C790:C816=TRUE)*Q790:Q816))</f>
        <v/>
      </c>
    </row>
    <row r="824">
      <c r="A824" t="inlineStr">
        <is>
          <t>Basic Attacks Per Second</t>
        </is>
      </c>
      <c r="B824">
        <f>MAX(0,B822-B823)</f>
        <v/>
      </c>
    </row>
    <row r="825">
      <c r="A825" t="inlineStr">
        <is>
          <t>Meteor Proc — combined trigger cast rate</t>
        </is>
      </c>
      <c r="B825">
        <f>IF(AND(Inputs!$B$38&lt;&gt;"pvp",Inputs!$B$43&gt;0),SUMPRODUCT((Skills!V2:V28=TRUE)*(C790:C816=TRUE)*R790:R816*Skills!W2:W28)/Inputs!$B$43,SUMPRODUCT((Skills!V2:V28=TRUE)*(C790:C816=TRUE)*Q790:Q816*Skills!W2:W28))+B824</f>
        <v/>
      </c>
    </row>
    <row r="827">
      <c r="A827" s="5" t="inlineStr">
        <is>
          <t>TOTAL DPS</t>
        </is>
      </c>
      <c r="B827" s="5">
        <f>SUM(O790:O816)</f>
        <v/>
      </c>
    </row>
    <row r="830">
      <c r="A830" s="5" t="inlineStr">
        <is>
          <t>Stat: Skill Level Bonus — All Skills</t>
        </is>
      </c>
    </row>
    <row r="831">
      <c r="A831" s="9" t="inlineStr">
        <is>
          <t>Key</t>
        </is>
      </c>
      <c r="B831" s="9" t="inlineStr">
        <is>
          <t>Name</t>
        </is>
      </c>
      <c r="C831" s="9" t="inlineStr">
        <is>
          <t>Unlocked</t>
        </is>
      </c>
      <c r="D831" s="9" t="inlineStr">
        <is>
          <t>InputLevel</t>
        </is>
      </c>
      <c r="E831" s="9" t="inlineStr">
        <is>
          <t>Factor</t>
        </is>
      </c>
      <c r="F831" s="9" t="inlineStr">
        <is>
          <t>CoefficientPercent</t>
        </is>
      </c>
      <c r="G831" s="9" t="inlineStr">
        <is>
          <t>EffectiveHits</t>
        </is>
      </c>
      <c r="H831" s="9" t="inlineStr">
        <is>
          <t>ProcProbability</t>
        </is>
      </c>
      <c r="I831" s="9" t="inlineStr">
        <is>
          <t>MapleHeroMultiplier</t>
        </is>
      </c>
      <c r="J831" s="9" t="inlineStr">
        <is>
          <t>BaseDamage</t>
        </is>
      </c>
      <c r="K831" s="9" t="inlineStr">
        <is>
          <t>BaseHitDamage</t>
        </is>
      </c>
      <c r="L831" s="9" t="inlineStr">
        <is>
          <t>NonCritAvg</t>
        </is>
      </c>
      <c r="M831" s="9" t="inlineStr">
        <is>
          <t>CritAvg</t>
        </is>
      </c>
      <c r="N831" s="9" t="inlineStr">
        <is>
          <t>ExpectedDamage(perHit)</t>
        </is>
      </c>
      <c r="O831" s="9" t="inlineStr">
        <is>
          <t>DPS</t>
        </is>
      </c>
      <c r="P831" s="9" t="inlineStr">
        <is>
          <t>% of Total</t>
        </is>
      </c>
      <c r="R831" t="inlineStr">
        <is>
          <t>helpers</t>
        </is>
      </c>
    </row>
    <row r="832">
      <c r="A832">
        <f>Skills!A2</f>
        <v/>
      </c>
      <c r="B832">
        <f>Skills!B2</f>
        <v/>
      </c>
      <c r="C832">
        <f>TRUE</f>
        <v/>
      </c>
      <c r="D832" t="inlineStr"/>
      <c r="E832" t="inlineStr"/>
      <c r="F832">
        <f>T834+Skills!O2</f>
        <v/>
      </c>
      <c r="G832">
        <f>Calc!G2</f>
        <v/>
      </c>
      <c r="H832">
        <f>Calc!H2</f>
        <v/>
      </c>
      <c r="I832">
        <f>IF(Skills!X2&lt;&gt;"",1+(Skills!X2/10)*(Z833/1000)/100,1)</f>
        <v/>
      </c>
      <c r="J832">
        <f>((Inputs!$B$6*(1+Inputs!$B$7/100))+(((Inputs!$B$12*(1+Inputs!$B$13/100))-(Inputs!$B$12*(1+Inputs!$B$13/100)))+0.25*(Inputs!$B$14-Inputs!$B$14))*(1+Inputs!$B$7/100))*(F832/100)</f>
        <v/>
      </c>
      <c r="K832">
        <f>J832*(1+((Inputs!$B$12*(1+Inputs!$B$13/100))*0.01+Inputs!$B$14*0.0025)/100)*(1+Inputs!$B$15/100)*(1+IF(Inputs!$B$38="pvp",0,(1-Summary!$B$56)*(Inputs!$B$20+Skills!P2)+Summary!$B$56*(Inputs!$B$21+Skills!Q2))/100)*(1+Inputs!$B$16/100)*(5000/(6000+Inputs!$B$42*(1-Inputs!$B$19/100)))*(1+Inputs!$B$24/100)*(1+F853/100)*(1+IF(Inputs!$B$3&gt;=120,F856,0)/100)^5*(1+(IF(Skills!A2="BASIC_ATTACK",Inputs!$B$17,Inputs!$B$18+IF(Inputs!$B$3&gt;=125,F857*5,0)))/100)*(B860*B861*B862*I832)</f>
        <v/>
      </c>
      <c r="L832">
        <f>K832*(MIN(Inputs!$B$22+(F852-Calc!F22),Inputs!$B$23)/100+Inputs!$B$23/100)/2</f>
        <v/>
      </c>
      <c r="M832">
        <f>L832*(1+(Inputs!$B$10+(F851-Calc!F21))/100)</f>
        <v/>
      </c>
      <c r="N832">
        <f>L832*(1-MIN(Inputs!$B$9+(F850-Calc!F20),100)/100)+M832*(MIN(Inputs!$B$9+(F850-Calc!F20),100)/100)</f>
        <v/>
      </c>
      <c r="O832">
        <f>Skills!G2*N832*B866*IF(Inputs!$B$38="pvp",1,(1-Summary!$B$56)*(1)+Summary!$B$56*(MIN((6+Inputs!$B$33+IF(Inputs!$B$3&gt;=136,1,0)),Inputs!$B$37)))</f>
        <v/>
      </c>
      <c r="P832">
        <f>IF(B869=0,0,O832/B869)</f>
        <v/>
      </c>
      <c r="Q832">
        <f>IFERROR(1/IF(Inputs!$B$38="pvp",15,MAX(0.1,Skills!E2-IF(Skills!F2=TRUE,Inputs!$B$32,0))),0)</f>
        <v/>
      </c>
      <c r="R832" t="n">
        <v>0</v>
      </c>
      <c r="T832">
        <f>MAX(0,(Inputs!$B$3-100)*3)+Inputs!$B$28+(Inputs!$B$29+1)</f>
        <v/>
      </c>
      <c r="Z832">
        <f>MAX(0,(Inputs!$B$3-100)*3)+Inputs!$B$28+(Inputs!$B$29+1)</f>
        <v/>
      </c>
    </row>
    <row r="833">
      <c r="A833">
        <f>Skills!A3</f>
        <v/>
      </c>
      <c r="B833">
        <f>Skills!B3</f>
        <v/>
      </c>
      <c r="C833">
        <f>TRUE</f>
        <v/>
      </c>
      <c r="D833">
        <f>IF(Skills!C3=1,60+Inputs!$B$25+(Inputs!$B$29+1),IF(Skills!C3=2,90+Inputs!$B$26+(Inputs!$B$29+1),IF(Skills!C3=3,120+Inputs!$B$27+(Inputs!$B$29+1),MAX(0,(Inputs!$B$3-100)*3)+Inputs!$B$28+(Inputs!$B$29+1))))</f>
        <v/>
      </c>
      <c r="E833">
        <f>INDEX(FactorTable!$B$2:$Y$301, MATCH(ROUND(MIN(300,MAX(1,D833)),0), FactorTable!$A$2:$A$301,0), Skills!M3+1)</f>
        <v/>
      </c>
      <c r="F833">
        <f>IF(Skills!N3=TRUE,(Skills!L3/10)*(E833/1000),Skills!L3/10)+Skills!O3</f>
        <v/>
      </c>
      <c r="G833">
        <f>Calc!G3</f>
        <v/>
      </c>
      <c r="H833">
        <f>Calc!H3</f>
        <v/>
      </c>
      <c r="I833">
        <f>IF(Skills!X3&lt;&gt;"",1+(Skills!X3/10)*(Z833/1000)/100,1)</f>
        <v/>
      </c>
      <c r="J833">
        <f>((Inputs!$B$6*(1+Inputs!$B$7/100))+(((Inputs!$B$12*(1+Inputs!$B$13/100))-(Inputs!$B$12*(1+Inputs!$B$13/100)))+0.25*(Inputs!$B$14-Inputs!$B$14))*(1+Inputs!$B$7/100))*(F833/100)</f>
        <v/>
      </c>
      <c r="K833">
        <f>J833*(1+((Inputs!$B$12*(1+Inputs!$B$13/100))*0.01+Inputs!$B$14*0.0025)/100)*(1+Inputs!$B$15/100)*(1+IF(Inputs!$B$38="pvp",0,(1-Summary!$B$56)*(Inputs!$B$20+Skills!P3)+Summary!$B$56*(Inputs!$B$21+Skills!Q3))/100)*(1+Inputs!$B$16/100)*(5000/(6000+Inputs!$B$42*(1-Inputs!$B$19/100)))*(1+Inputs!$B$24/100)*(1+F853/100)*(1+IF(Inputs!$B$3&gt;=120,F856,0)/100)^5*(1+(IF(Skills!A3="BASIC_ATTACK",Inputs!$B$17,Inputs!$B$18+IF(Inputs!$B$3&gt;=125,F857*5,0)))/100)*(B860*B861*B862*I833)</f>
        <v/>
      </c>
      <c r="L833">
        <f>K833*(MIN(Inputs!$B$22+(F852-Calc!F22),Inputs!$B$23)/100+Inputs!$B$23/100)/2</f>
        <v/>
      </c>
      <c r="M833">
        <f>L833*(1+(Inputs!$B$10+(F851-Calc!F21))/100)</f>
        <v/>
      </c>
      <c r="N833">
        <f>L833*(1-MIN(Inputs!$B$9+(F850-Calc!F20),100)/100)+M833*(MIN(Inputs!$B$9+(F850-Calc!F20),100)/100)</f>
        <v/>
      </c>
      <c r="O833">
        <f>IF(C833,H833*N833*IF(AND(Inputs!$B$38&lt;&gt;"pvp",Inputs!$B$43&gt;0),((Skills!G3*((R833-1)*IF(Skills!H3&gt;0,Skills!I3/Skills!H3,1)+IF(Skills!H3&gt;0,MIN(Skills!I3,MAX(0,Inputs!$B$43-((R833-1)*IF(Inputs!$B$38="pvp",15,MAX(0.1,Skills!E3-IF(Skills!F3=TRUE,Inputs!$B$32,0))))))/Skills!H3,1)))/Inputs!$B$43),G833*Q833)*IF(Inputs!$B$38="pvp",1,(1-Summary!$B$56)*(1)+Summary!$B$56*(MIN(Skills!R3,Inputs!$B$37))),0)</f>
        <v/>
      </c>
      <c r="P833">
        <f>IF(B869=0,0,O833/B869)</f>
        <v/>
      </c>
      <c r="Q833">
        <f>IFERROR(1/IF(Inputs!$B$38="pvp",15,MAX(0.1,Skills!E3-IF(Skills!F3=TRUE,Inputs!$B$32,0))),0)</f>
        <v/>
      </c>
      <c r="R833">
        <f>IF(AND(Inputs!$B$38&lt;&gt;"pvp",Inputs!$B$43&gt;0),(INT(Inputs!$B$43/IF(Inputs!$B$38="pvp",15,MAX(0.1,Skills!E3-IF(Skills!F3=TRUE,Inputs!$B$32,0))))+1),0)</f>
        <v/>
      </c>
      <c r="T833">
        <f>INDEX(FactorTable!$B$2:$Y$301, MATCH(ROUND(MIN(300,MAX(1,T832)),0), FactorTable!$A$2:$A$301,0), 22)</f>
        <v/>
      </c>
      <c r="Z833">
        <f>INDEX(FactorTable!$B$2:$Y$301, MATCH(ROUND(MIN(300,MAX(1,Z832)),0), FactorTable!$A$2:$A$301,0), 24)</f>
        <v/>
      </c>
    </row>
    <row r="834">
      <c r="A834">
        <f>Skills!A4</f>
        <v/>
      </c>
      <c r="B834">
        <f>Skills!B4</f>
        <v/>
      </c>
      <c r="C834">
        <f>TRUE</f>
        <v/>
      </c>
      <c r="D834">
        <f>IF(Skills!C4=1,60+Inputs!$B$25+(Inputs!$B$29+1),IF(Skills!C4=2,90+Inputs!$B$26+(Inputs!$B$29+1),IF(Skills!C4=3,120+Inputs!$B$27+(Inputs!$B$29+1),MAX(0,(Inputs!$B$3-100)*3)+Inputs!$B$28+(Inputs!$B$29+1))))</f>
        <v/>
      </c>
      <c r="E834">
        <f>INDEX(FactorTable!$B$2:$Y$301, MATCH(ROUND(MIN(300,MAX(1,D834)),0), FactorTable!$A$2:$A$301,0), Skills!M4+1)</f>
        <v/>
      </c>
      <c r="F834">
        <f>IF(Skills!N4=TRUE,(Skills!L4/10)*(E834/1000),Skills!L4/10)+Skills!O4</f>
        <v/>
      </c>
      <c r="G834">
        <f>Calc!G4</f>
        <v/>
      </c>
      <c r="H834">
        <f>Calc!H4</f>
        <v/>
      </c>
      <c r="I834">
        <f>IF(Skills!X4&lt;&gt;"",1+(Skills!X4/10)*(Z833/1000)/100,1)</f>
        <v/>
      </c>
      <c r="J834">
        <f>((Inputs!$B$6*(1+Inputs!$B$7/100))+(((Inputs!$B$12*(1+Inputs!$B$13/100))-(Inputs!$B$12*(1+Inputs!$B$13/100)))+0.25*(Inputs!$B$14-Inputs!$B$14))*(1+Inputs!$B$7/100))*(F834/100)</f>
        <v/>
      </c>
      <c r="K834">
        <f>J834*(1+((Inputs!$B$12*(1+Inputs!$B$13/100))*0.01+Inputs!$B$14*0.0025)/100)*(1+Inputs!$B$15/100)*(1+IF(Inputs!$B$38="pvp",0,(1-Summary!$B$56)*(Inputs!$B$20+Skills!P4)+Summary!$B$56*(Inputs!$B$21+Skills!Q4))/100)*(1+Inputs!$B$16/100)*(5000/(6000+Inputs!$B$42*(1-Inputs!$B$19/100)))*(1+Inputs!$B$24/100)*(1+F853/100)*(1+IF(Inputs!$B$3&gt;=120,F856,0)/100)^5*(1+(IF(Skills!A4="BASIC_ATTACK",Inputs!$B$17,Inputs!$B$18+IF(Inputs!$B$3&gt;=125,F857*5,0)))/100)*(B860*B861*B862*I834)</f>
        <v/>
      </c>
      <c r="L834">
        <f>K834*(MIN(Inputs!$B$22+(F852-Calc!F22),Inputs!$B$23)/100+Inputs!$B$23/100)/2</f>
        <v/>
      </c>
      <c r="M834">
        <f>L834*(1+(Inputs!$B$10+(F851-Calc!F21))/100)</f>
        <v/>
      </c>
      <c r="N834">
        <f>L834*(1-MIN(Inputs!$B$9+(F850-Calc!F20),100)/100)+M834*(MIN(Inputs!$B$9+(F850-Calc!F20),100)/100)</f>
        <v/>
      </c>
      <c r="O834">
        <f>IF(C834,H834*N834*IF(AND(Inputs!$B$38&lt;&gt;"pvp",Inputs!$B$43&gt;0),((Skills!G4*((R834-1)*IF(Skills!H4&gt;0,Skills!I4/Skills!H4,1)+IF(Skills!H4&gt;0,MIN(Skills!I4,MAX(0,Inputs!$B$43-((R834-1)*IF(Inputs!$B$38="pvp",15,MAX(0.1,Skills!E4-IF(Skills!F4=TRUE,Inputs!$B$32,0))))))/Skills!H4,1)))/Inputs!$B$43),G834*Q834)*IF(Inputs!$B$38="pvp",1,(1-Summary!$B$56)*(1)+Summary!$B$56*(MIN(Skills!R4,Inputs!$B$37))),0)</f>
        <v/>
      </c>
      <c r="P834">
        <f>IF(B869=0,0,O834/B869)</f>
        <v/>
      </c>
      <c r="Q834">
        <f>IFERROR(1/IF(Inputs!$B$38="pvp",15,MAX(0.1,Skills!E4-IF(Skills!F4=TRUE,Inputs!$B$32,0))),0)</f>
        <v/>
      </c>
      <c r="R834">
        <f>IF(AND(Inputs!$B$38&lt;&gt;"pvp",Inputs!$B$43&gt;0),(INT(Inputs!$B$43/IF(Inputs!$B$38="pvp",15,MAX(0.1,Skills!E4-IF(Skills!F4=TRUE,Inputs!$B$32,0))))+1),0)</f>
        <v/>
      </c>
      <c r="T834">
        <f>290*T833/1000</f>
        <v/>
      </c>
    </row>
    <row r="835">
      <c r="A835">
        <f>Skills!A5</f>
        <v/>
      </c>
      <c r="B835">
        <f>Skills!B5</f>
        <v/>
      </c>
      <c r="C835">
        <f>TRUE</f>
        <v/>
      </c>
      <c r="D835">
        <f>IF(Skills!C5=1,60+Inputs!$B$25+(Inputs!$B$29+1),IF(Skills!C5=2,90+Inputs!$B$26+(Inputs!$B$29+1),IF(Skills!C5=3,120+Inputs!$B$27+(Inputs!$B$29+1),MAX(0,(Inputs!$B$3-100)*3)+Inputs!$B$28+(Inputs!$B$29+1))))</f>
        <v/>
      </c>
      <c r="E835">
        <f>INDEX(FactorTable!$B$2:$Y$301, MATCH(ROUND(MIN(300,MAX(1,D835)),0), FactorTable!$A$2:$A$301,0), Skills!M5+1)</f>
        <v/>
      </c>
      <c r="F835">
        <f>IF(Skills!N5=TRUE,(Skills!L5/10)*(E835/1000),Skills!L5/10)+Skills!O5</f>
        <v/>
      </c>
      <c r="G835">
        <f>Calc!G5</f>
        <v/>
      </c>
      <c r="H835">
        <f>Calc!H5</f>
        <v/>
      </c>
      <c r="I835">
        <f>IF(Skills!X5&lt;&gt;"",1+(Skills!X5/10)*(Z833/1000)/100,1)</f>
        <v/>
      </c>
      <c r="J835">
        <f>((Inputs!$B$6*(1+Inputs!$B$7/100))+(((Inputs!$B$12*(1+Inputs!$B$13/100))-(Inputs!$B$12*(1+Inputs!$B$13/100)))+0.25*(Inputs!$B$14-Inputs!$B$14))*(1+Inputs!$B$7/100))*(F835/100)</f>
        <v/>
      </c>
      <c r="K835">
        <f>J835*(1+((Inputs!$B$12*(1+Inputs!$B$13/100))*0.01+Inputs!$B$14*0.0025)/100)*(1+Inputs!$B$15/100)*(1+IF(Inputs!$B$38="pvp",0,(1-Summary!$B$56)*(Inputs!$B$20+Skills!P5)+Summary!$B$56*(Inputs!$B$21+Skills!Q5))/100)*(1+Inputs!$B$16/100)*(5000/(6000+Inputs!$B$42*(1-Inputs!$B$19/100)))*(1+Inputs!$B$24/100)*(1+F853/100)*(1+IF(Inputs!$B$3&gt;=120,F856,0)/100)^5*(1+(IF(Skills!A5="BASIC_ATTACK",Inputs!$B$17,Inputs!$B$18+IF(Inputs!$B$3&gt;=125,F857*5,0)))/100)*(B860*B861*B862*I835)</f>
        <v/>
      </c>
      <c r="L835">
        <f>K835*(MIN(Inputs!$B$22+(F852-Calc!F22),Inputs!$B$23)/100+Inputs!$B$23/100)/2</f>
        <v/>
      </c>
      <c r="M835">
        <f>L835*(1+(Inputs!$B$10+(F851-Calc!F21))/100)</f>
        <v/>
      </c>
      <c r="N835">
        <f>L835*(1-MIN(Inputs!$B$9+(F850-Calc!F20),100)/100)+M835*(MIN(Inputs!$B$9+(F850-Calc!F20),100)/100)</f>
        <v/>
      </c>
      <c r="O835">
        <f>IF(C835,H835*N835*IF(AND(Inputs!$B$38&lt;&gt;"pvp",Inputs!$B$43&gt;0),((Skills!G5*((R835-1)*IF(Skills!H5&gt;0,Skills!I5/Skills!H5,1)+IF(Skills!H5&gt;0,MIN(Skills!I5,MAX(0,Inputs!$B$43-((R835-1)*IF(Inputs!$B$38="pvp",15,MAX(0.1,Skills!E5-IF(Skills!F5=TRUE,Inputs!$B$32,0))))))/Skills!H5,1)))/Inputs!$B$43),G835*Q835)*IF(Inputs!$B$38="pvp",1,(1-Summary!$B$56)*(1)+Summary!$B$56*(MIN(Skills!R5,Inputs!$B$37))),0)</f>
        <v/>
      </c>
      <c r="P835">
        <f>IF(B869=0,0,O835/B869)</f>
        <v/>
      </c>
      <c r="Q835">
        <f>IFERROR(1/IF(Inputs!$B$38="pvp",15,MAX(0.1,Skills!E5-IF(Skills!F5=TRUE,Inputs!$B$32,0))),0)</f>
        <v/>
      </c>
      <c r="R835">
        <f>IF(AND(Inputs!$B$38&lt;&gt;"pvp",Inputs!$B$43&gt;0),(INT(Inputs!$B$43/IF(Inputs!$B$38="pvp",15,MAX(0.1,Skills!E5-IF(Skills!F5=TRUE,Inputs!$B$32,0))))+1),0)</f>
        <v/>
      </c>
    </row>
    <row r="836">
      <c r="A836">
        <f>Skills!A6</f>
        <v/>
      </c>
      <c r="B836">
        <f>Skills!B6</f>
        <v/>
      </c>
      <c r="C836">
        <f>TRUE</f>
        <v/>
      </c>
      <c r="D836">
        <f>IF(Skills!C6=1,60+Inputs!$B$25+(Inputs!$B$29+1),IF(Skills!C6=2,90+Inputs!$B$26+(Inputs!$B$29+1),IF(Skills!C6=3,120+Inputs!$B$27+(Inputs!$B$29+1),MAX(0,(Inputs!$B$3-100)*3)+Inputs!$B$28+(Inputs!$B$29+1))))</f>
        <v/>
      </c>
      <c r="E836">
        <f>INDEX(FactorTable!$B$2:$Y$301, MATCH(ROUND(MIN(300,MAX(1,D836)),0), FactorTable!$A$2:$A$301,0), Skills!M6+1)</f>
        <v/>
      </c>
      <c r="F836">
        <f>IF(Skills!N6=TRUE,(Skills!L6/10)*(E836/1000),Skills!L6/10)+Skills!O6</f>
        <v/>
      </c>
      <c r="G836">
        <f>Calc!G6</f>
        <v/>
      </c>
      <c r="H836">
        <f>Calc!H6</f>
        <v/>
      </c>
      <c r="I836">
        <f>IF(Skills!X6&lt;&gt;"",1+(Skills!X6/10)*(Z833/1000)/100,1)</f>
        <v/>
      </c>
      <c r="J836" t="inlineStr"/>
      <c r="K836" t="inlineStr"/>
      <c r="L836" t="inlineStr"/>
      <c r="M836" t="inlineStr"/>
      <c r="N836" t="inlineStr"/>
      <c r="O836" t="n">
        <v>0</v>
      </c>
      <c r="P836">
        <f>IF(B869=0,0,O836/B869)</f>
        <v/>
      </c>
      <c r="Q836">
        <f>IFERROR(1/IF(Inputs!$B$38="pvp",15,MAX(0.1,Skills!E6-IF(Skills!F6=TRUE,Inputs!$B$32,0))),0)</f>
        <v/>
      </c>
      <c r="R836">
        <f>IF(AND(Inputs!$B$38&lt;&gt;"pvp",Inputs!$B$43&gt;0),(INT(Inputs!$B$43/IF(Inputs!$B$38="pvp",15,MAX(0.1,Skills!E6-IF(Skills!F6=TRUE,Inputs!$B$32,0))))+1),0)</f>
        <v/>
      </c>
    </row>
    <row r="837">
      <c r="A837">
        <f>Skills!A7</f>
        <v/>
      </c>
      <c r="B837">
        <f>Skills!B7</f>
        <v/>
      </c>
      <c r="C837">
        <f>TRUE</f>
        <v/>
      </c>
      <c r="D837">
        <f>IF(Skills!C7=1,60+Inputs!$B$25+(Inputs!$B$29+1),IF(Skills!C7=2,90+Inputs!$B$26+(Inputs!$B$29+1),IF(Skills!C7=3,120+Inputs!$B$27+(Inputs!$B$29+1),MAX(0,(Inputs!$B$3-100)*3)+Inputs!$B$28+(Inputs!$B$29+1))))</f>
        <v/>
      </c>
      <c r="E837">
        <f>INDEX(FactorTable!$B$2:$Y$301, MATCH(ROUND(MIN(300,MAX(1,D837)),0), FactorTable!$A$2:$A$301,0), Skills!M7+1)</f>
        <v/>
      </c>
      <c r="F837">
        <f>IF(Skills!N7=TRUE,(Skills!L7/10)*(E837/1000),Skills!L7/10)+Skills!O7</f>
        <v/>
      </c>
      <c r="G837">
        <f>Calc!G7</f>
        <v/>
      </c>
      <c r="H837">
        <f>Calc!H7</f>
        <v/>
      </c>
      <c r="I837">
        <f>IF(Skills!X7&lt;&gt;"",1+(Skills!X7/10)*(Z833/1000)/100,1)</f>
        <v/>
      </c>
      <c r="J837">
        <f>((Inputs!$B$6*(1+Inputs!$B$7/100))+(((Inputs!$B$12*(1+Inputs!$B$13/100))-(Inputs!$B$12*(1+Inputs!$B$13/100)))+0.25*(Inputs!$B$14-Inputs!$B$14))*(1+Inputs!$B$7/100))*(F837/100)</f>
        <v/>
      </c>
      <c r="K837">
        <f>J837*(1+((Inputs!$B$12*(1+Inputs!$B$13/100))*0.01+Inputs!$B$14*0.0025)/100)*(1+Inputs!$B$15/100)*(1+IF(Inputs!$B$38="pvp",0,(1-Summary!$B$56)*(Inputs!$B$20+Skills!P7)+Summary!$B$56*(Inputs!$B$21+Skills!Q7))/100)*(1+Inputs!$B$16/100)*(5000/(6000+Inputs!$B$42*(1-Inputs!$B$19/100)))*(1+Inputs!$B$24/100)*(1+F853/100)*(1+IF(Inputs!$B$3&gt;=120,F856,0)/100)^5*(1+(IF(Skills!A7="BASIC_ATTACK",Inputs!$B$17,Inputs!$B$18+IF(Inputs!$B$3&gt;=125,F857*5,0)))/100)*(B860*B861*B862*I837)</f>
        <v/>
      </c>
      <c r="L837">
        <f>K837*(MIN(Inputs!$B$22+(F852-Calc!F22),Inputs!$B$23)/100+Inputs!$B$23/100)/2</f>
        <v/>
      </c>
      <c r="M837">
        <f>L837*(1+(Inputs!$B$10+(F851-Calc!F21))/100)</f>
        <v/>
      </c>
      <c r="N837">
        <f>L837*(1-MIN(Inputs!$B$9+(F850-Calc!F20),100)/100)+M837*(MIN(Inputs!$B$9+(F850-Calc!F20),100)/100)</f>
        <v/>
      </c>
      <c r="O837">
        <f>IF(C837,H837*N837*IF(AND(Inputs!$B$38&lt;&gt;"pvp",Inputs!$B$43&gt;0),((Skills!G7*((R837-1)*IF(Skills!H7&gt;0,Skills!I7/Skills!H7,1)+IF(Skills!H7&gt;0,MIN(Skills!I7,MAX(0,Inputs!$B$43-((R837-1)*IF(Inputs!$B$38="pvp",15,MAX(0.1,Skills!E7-IF(Skills!F7=TRUE,Inputs!$B$32,0))))))/Skills!H7,1)))/Inputs!$B$43),G837*Q837)*IF(Inputs!$B$38="pvp",1,(1-Summary!$B$56)*(1)+Summary!$B$56*(MIN(Skills!R7,Inputs!$B$37))),0)</f>
        <v/>
      </c>
      <c r="P837">
        <f>IF(B869=0,0,O837/B869)</f>
        <v/>
      </c>
      <c r="Q837">
        <f>IFERROR(1/IF(Inputs!$B$38="pvp",15,MAX(0.1,Skills!E7-IF(Skills!F7=TRUE,Inputs!$B$32,0))),0)</f>
        <v/>
      </c>
      <c r="R837">
        <f>IF(AND(Inputs!$B$38&lt;&gt;"pvp",Inputs!$B$43&gt;0),(INT(Inputs!$B$43/IF(Inputs!$B$38="pvp",15,MAX(0.1,Skills!E7-IF(Skills!F7=TRUE,Inputs!$B$32,0))))+1),0)</f>
        <v/>
      </c>
    </row>
    <row r="838">
      <c r="A838">
        <f>Skills!A8</f>
        <v/>
      </c>
      <c r="B838">
        <f>Skills!B8</f>
        <v/>
      </c>
      <c r="C838">
        <f>TRUE</f>
        <v/>
      </c>
      <c r="D838">
        <f>IF(Skills!C8=1,60+Inputs!$B$25+(Inputs!$B$29+1),IF(Skills!C8=2,90+Inputs!$B$26+(Inputs!$B$29+1),IF(Skills!C8=3,120+Inputs!$B$27+(Inputs!$B$29+1),MAX(0,(Inputs!$B$3-100)*3)+Inputs!$B$28+(Inputs!$B$29+1))))</f>
        <v/>
      </c>
      <c r="E838">
        <f>INDEX(FactorTable!$B$2:$Y$301, MATCH(ROUND(MIN(300,MAX(1,D838)),0), FactorTable!$A$2:$A$301,0), Skills!M8+1)</f>
        <v/>
      </c>
      <c r="F838">
        <f>IF(Skills!N8=TRUE,(Skills!L8/10)*(E838/1000),Skills!L8/10)+Skills!O8</f>
        <v/>
      </c>
      <c r="G838">
        <f>Calc!G8</f>
        <v/>
      </c>
      <c r="H838">
        <f>Calc!H8</f>
        <v/>
      </c>
      <c r="I838">
        <f>IF(Skills!X8&lt;&gt;"",1+(Skills!X8/10)*(Z833/1000)/100,1)</f>
        <v/>
      </c>
      <c r="J838">
        <f>((Inputs!$B$6*(1+Inputs!$B$7/100))+(((Inputs!$B$12*(1+Inputs!$B$13/100))-(Inputs!$B$12*(1+Inputs!$B$13/100)))+0.25*(Inputs!$B$14-Inputs!$B$14))*(1+Inputs!$B$7/100))*(F838/100)</f>
        <v/>
      </c>
      <c r="K838">
        <f>J838*(1+((Inputs!$B$12*(1+Inputs!$B$13/100))*0.01+Inputs!$B$14*0.0025)/100)*(1+Inputs!$B$15/100)*(1+IF(Inputs!$B$38="pvp",0,(1-Summary!$B$56)*(Inputs!$B$20+Skills!P8)+Summary!$B$56*(Inputs!$B$21+Skills!Q8))/100)*(1+Inputs!$B$16/100)*(5000/(6000+Inputs!$B$42*(1-Inputs!$B$19/100)))*(1+Inputs!$B$24/100)*(1+F853/100)*(1+IF(Inputs!$B$3&gt;=120,F856,0)/100)^5*(1+(IF(Skills!A8="BASIC_ATTACK",Inputs!$B$17,Inputs!$B$18+IF(Inputs!$B$3&gt;=125,F857*5,0)))/100)*(B860*B861*B862*I838)</f>
        <v/>
      </c>
      <c r="L838">
        <f>K838*(MIN(Inputs!$B$22+(F852-Calc!F22),Inputs!$B$23)/100+Inputs!$B$23/100)/2</f>
        <v/>
      </c>
      <c r="M838">
        <f>L838*(1+(Inputs!$B$10+(F851-Calc!F21))/100)</f>
        <v/>
      </c>
      <c r="N838">
        <f>L838*(1-MIN(Inputs!$B$9+(F850-Calc!F20),100)/100)+M838*(MIN(Inputs!$B$9+(F850-Calc!F20),100)/100)</f>
        <v/>
      </c>
      <c r="O838">
        <f>IF(C838,H838*N838*IF(AND(Inputs!$B$38&lt;&gt;"pvp",Inputs!$B$43&gt;0),((Skills!G8*((R838-1)*IF(Skills!H8&gt;0,Skills!I8/Skills!H8,1)+IF(Skills!H8&gt;0,MIN(Skills!I8,MAX(0,Inputs!$B$43-((R838-1)*IF(Inputs!$B$38="pvp",15,MAX(0.1,Skills!E8-IF(Skills!F8=TRUE,Inputs!$B$32,0))))))/Skills!H8,1)))/Inputs!$B$43),G838*Q838)*IF(Inputs!$B$38="pvp",1,(1-Summary!$B$56)*(1)+Summary!$B$56*(MIN(Skills!R8,Inputs!$B$37))),0)</f>
        <v/>
      </c>
      <c r="P838">
        <f>IF(B869=0,0,O838/B869)</f>
        <v/>
      </c>
      <c r="Q838">
        <f>IFERROR(1/IF(Inputs!$B$38="pvp",15,MAX(0.1,Skills!E8-IF(Skills!F8=TRUE,Inputs!$B$32,0))),0)</f>
        <v/>
      </c>
      <c r="R838">
        <f>IF(AND(Inputs!$B$38&lt;&gt;"pvp",Inputs!$B$43&gt;0),(INT(Inputs!$B$43/IF(Inputs!$B$38="pvp",15,MAX(0.1,Skills!E8-IF(Skills!F8=TRUE,Inputs!$B$32,0))))+1),0)</f>
        <v/>
      </c>
    </row>
    <row r="839">
      <c r="A839">
        <f>Skills!A9</f>
        <v/>
      </c>
      <c r="B839">
        <f>Skills!B9</f>
        <v/>
      </c>
      <c r="C839">
        <f>Inputs!$B$3&gt;=103</f>
        <v/>
      </c>
      <c r="D839">
        <f>IF(Skills!C9=1,60+Inputs!$B$25+(Inputs!$B$29+1),IF(Skills!C9=2,90+Inputs!$B$26+(Inputs!$B$29+1),IF(Skills!C9=3,120+Inputs!$B$27+(Inputs!$B$29+1),MAX(0,(Inputs!$B$3-100)*3)+Inputs!$B$28+(Inputs!$B$29+1))))</f>
        <v/>
      </c>
      <c r="E839">
        <f>INDEX(FactorTable!$B$2:$Y$301, MATCH(ROUND(MIN(300,MAX(1,D839)),0), FactorTable!$A$2:$A$301,0), Skills!M9+1)</f>
        <v/>
      </c>
      <c r="F839">
        <f>IF(Skills!N9=TRUE,(Skills!L9/10)*(E839/1000),Skills!L9/10)+Skills!O9</f>
        <v/>
      </c>
      <c r="G839">
        <f>Calc!G9</f>
        <v/>
      </c>
      <c r="H839">
        <f>Calc!H9</f>
        <v/>
      </c>
      <c r="I839">
        <f>IF(Skills!X9&lt;&gt;"",1+(Skills!X9/10)*(Z833/1000)/100,1)</f>
        <v/>
      </c>
      <c r="J839">
        <f>((Inputs!$B$6*(1+Inputs!$B$7/100))+(((Inputs!$B$12*(1+Inputs!$B$13/100))-(Inputs!$B$12*(1+Inputs!$B$13/100)))+0.25*(Inputs!$B$14-Inputs!$B$14))*(1+Inputs!$B$7/100))*(F839/100)</f>
        <v/>
      </c>
      <c r="K839">
        <f>J839*(1+((Inputs!$B$12*(1+Inputs!$B$13/100))*0.01+Inputs!$B$14*0.0025)/100)*(1+Inputs!$B$15/100)*(1+IF(Inputs!$B$38="pvp",0,(1-Summary!$B$56)*(Inputs!$B$20+Skills!P9)+Summary!$B$56*(Inputs!$B$21+Skills!Q9))/100)*(1+Inputs!$B$16/100)*(5000/(6000+Inputs!$B$42*(1-Inputs!$B$19/100)))*(1+Inputs!$B$24/100)*(1+F853/100)*(1+IF(Inputs!$B$3&gt;=120,F856,0)/100)^5*(1+(IF(Skills!A9="BASIC_ATTACK",Inputs!$B$17,Inputs!$B$18+IF(Inputs!$B$3&gt;=125,F857*5,0)))/100)*(B860*B861*B862*I839)</f>
        <v/>
      </c>
      <c r="L839">
        <f>K839*(MIN(Inputs!$B$22+(F852-Calc!F22),Inputs!$B$23)/100+Inputs!$B$23/100)/2</f>
        <v/>
      </c>
      <c r="M839">
        <f>L839*(1+(Inputs!$B$10+(F851-Calc!F21))/100)</f>
        <v/>
      </c>
      <c r="N839">
        <f>L839*(1-MIN(Inputs!$B$9+(F850-Calc!F20),100)/100)+M839*(MIN(Inputs!$B$9+(F850-Calc!F20),100)/100)</f>
        <v/>
      </c>
      <c r="O839">
        <f>IF(C839,H839*N839*IF(AND(Inputs!$B$38&lt;&gt;"pvp",Inputs!$B$43&gt;0),((Skills!G9*((R839-1)*IF(Skills!H9&gt;0,Skills!I9/Skills!H9,1)+IF(Skills!H9&gt;0,MIN(Skills!I9,MAX(0,Inputs!$B$43-((R839-1)*IF(Inputs!$B$38="pvp",15,MAX(0.1,Skills!E9-IF(Skills!F7=TRUE,Inputs!$B$32,0))))))/Skills!H9,1)))/Inputs!$B$43),G839*Q839)*IF(Inputs!$B$38="pvp",1,(1-Summary!$B$56)*(1)+Summary!$B$56*(MIN(Skills!R9,Inputs!$B$37))),0)</f>
        <v/>
      </c>
      <c r="P839">
        <f>IF(B869=0,0,O839/B869)</f>
        <v/>
      </c>
      <c r="Q839">
        <f>IFERROR(1/IF(Inputs!$B$38="pvp",15,MAX(0.1,Skills!E9-IF(Skills!F7=TRUE,Inputs!$B$32,0))),0)</f>
        <v/>
      </c>
      <c r="R839">
        <f>IF(AND(Inputs!$B$38&lt;&gt;"pvp",Inputs!$B$43&gt;0),(INT(Inputs!$B$43/IF(Inputs!$B$38="pvp",15,MAX(0.1,Skills!E9-IF(Skills!F7=TRUE,Inputs!$B$32,0))))+1),0)</f>
        <v/>
      </c>
    </row>
    <row r="840">
      <c r="A840">
        <f>Skills!A10</f>
        <v/>
      </c>
      <c r="B840">
        <f>Skills!B10</f>
        <v/>
      </c>
      <c r="C840">
        <f>TRUE</f>
        <v/>
      </c>
      <c r="D840">
        <f>IF(Skills!C10=1,60+Inputs!$B$25+(Inputs!$B$29+1),IF(Skills!C10=2,90+Inputs!$B$26+(Inputs!$B$29+1),IF(Skills!C10=3,120+Inputs!$B$27+(Inputs!$B$29+1),MAX(0,(Inputs!$B$3-100)*3)+Inputs!$B$28+(Inputs!$B$29+1))))</f>
        <v/>
      </c>
      <c r="E840">
        <f>INDEX(FactorTable!$B$2:$Y$301, MATCH(ROUND(MIN(300,MAX(1,D840)),0), FactorTable!$A$2:$A$301,0), Skills!M10+1)</f>
        <v/>
      </c>
      <c r="F840">
        <f>IF(Skills!N10=TRUE,(Skills!L10/10)*(E840/1000),Skills!L10/10)+Skills!O10</f>
        <v/>
      </c>
      <c r="G840">
        <f>Calc!G10</f>
        <v/>
      </c>
      <c r="H840">
        <f>Calc!H10</f>
        <v/>
      </c>
      <c r="I840">
        <f>IF(Skills!X10&lt;&gt;"",1+(Skills!X10/10)*(Z833/1000)/100,1)</f>
        <v/>
      </c>
      <c r="J840">
        <f>((Inputs!$B$6*(1+Inputs!$B$7/100))+(((Inputs!$B$12*(1+Inputs!$B$13/100))-(Inputs!$B$12*(1+Inputs!$B$13/100)))+0.25*(Inputs!$B$14-Inputs!$B$14))*(1+Inputs!$B$7/100))*(F840/100)</f>
        <v/>
      </c>
      <c r="K840">
        <f>J840*(1+((Inputs!$B$12*(1+Inputs!$B$13/100))*0.01+Inputs!$B$14*0.0025)/100)*(1+Inputs!$B$15/100)*(1+IF(Inputs!$B$38="pvp",0,(1-Summary!$B$56)*(Inputs!$B$20+Skills!P10)+Summary!$B$56*(Inputs!$B$21+Skills!Q10))/100)*(1+Inputs!$B$16/100)*(5000/(6000+Inputs!$B$42*(1-Inputs!$B$19/100)))*(1+Inputs!$B$24/100)*(1+F853/100)*(1+IF(Inputs!$B$3&gt;=120,F856,0)/100)^5*(1+(IF(Skills!A10="BASIC_ATTACK",Inputs!$B$17,Inputs!$B$18+IF(Inputs!$B$3&gt;=125,F857*5,0)))/100)*(B860*B861*B862*I840)</f>
        <v/>
      </c>
      <c r="L840">
        <f>K840*(MIN(Inputs!$B$22+(F852-Calc!F22),Inputs!$B$23)/100+Inputs!$B$23/100)/2</f>
        <v/>
      </c>
      <c r="M840">
        <f>L840*(1+(Inputs!$B$10+(F851-Calc!F21))/100)</f>
        <v/>
      </c>
      <c r="N840">
        <f>L840*(1-MIN(Inputs!$B$9+(F850-Calc!F20),100)/100)+M840*(MIN(Inputs!$B$9+(F850-Calc!F20),100)/100)</f>
        <v/>
      </c>
      <c r="O840">
        <f>IF(C840,H840*N840*IF(AND(Inputs!$B$38&lt;&gt;"pvp",Inputs!$B$43&gt;0),((Skills!G10*((R840-1)*IF(Skills!H10&gt;0,Skills!I10/Skills!H10,1)+IF(Skills!H10&gt;0,MIN(Skills!I10,MAX(0,Inputs!$B$43-((R840-1)*IF(Inputs!$B$38="pvp",15,MAX(0.1,Skills!E10-IF(Skills!F10=TRUE,Inputs!$B$32,0))))))/Skills!H10,1)))/Inputs!$B$43),G840*Q840)*IF(Inputs!$B$38="pvp",1,(1-Summary!$B$56)*(1)+Summary!$B$56*(MIN(Skills!R10,Inputs!$B$37))),0)</f>
        <v/>
      </c>
      <c r="P840">
        <f>IF(B869=0,0,O840/B869)</f>
        <v/>
      </c>
      <c r="Q840">
        <f>IFERROR(1/IF(Inputs!$B$38="pvp",15,MAX(0.1,Skills!E10-IF(Skills!F10=TRUE,Inputs!$B$32,0))),0)</f>
        <v/>
      </c>
      <c r="R840">
        <f>IF(AND(Inputs!$B$38&lt;&gt;"pvp",Inputs!$B$43&gt;0),(INT(Inputs!$B$43/IF(Inputs!$B$38="pvp",15,MAX(0.1,Skills!E10-IF(Skills!F10=TRUE,Inputs!$B$32,0))))+1),0)</f>
        <v/>
      </c>
    </row>
    <row r="841">
      <c r="A841">
        <f>Skills!A11</f>
        <v/>
      </c>
      <c r="B841">
        <f>Skills!B11</f>
        <v/>
      </c>
      <c r="C841">
        <f>TRUE</f>
        <v/>
      </c>
      <c r="D841">
        <f>IF(Skills!C11=1,60+Inputs!$B$25+(Inputs!$B$29+1),IF(Skills!C11=2,90+Inputs!$B$26+(Inputs!$B$29+1),IF(Skills!C11=3,120+Inputs!$B$27+(Inputs!$B$29+1),MAX(0,(Inputs!$B$3-100)*3)+Inputs!$B$28+(Inputs!$B$29+1))))</f>
        <v/>
      </c>
      <c r="E841">
        <f>INDEX(FactorTable!$B$2:$Y$301, MATCH(ROUND(MIN(300,MAX(1,D841)),0), FactorTable!$A$2:$A$301,0), Skills!M11+1)</f>
        <v/>
      </c>
      <c r="F841">
        <f>IF(Skills!N11=TRUE,(Skills!L11/10)*(E841/1000),Skills!L11/10)+Skills!O11</f>
        <v/>
      </c>
      <c r="G841">
        <f>Calc!G11</f>
        <v/>
      </c>
      <c r="H841">
        <f>Calc!H11</f>
        <v/>
      </c>
      <c r="I841">
        <f>IF(Skills!X11&lt;&gt;"",1+(Skills!X11/10)*(Z833/1000)/100,1)</f>
        <v/>
      </c>
      <c r="J841" t="inlineStr"/>
      <c r="K841" t="inlineStr"/>
      <c r="L841" t="inlineStr"/>
      <c r="M841" t="inlineStr"/>
      <c r="N841" t="inlineStr"/>
      <c r="O841" t="n">
        <v>0</v>
      </c>
      <c r="P841">
        <f>IF(B869=0,0,O841/B869)</f>
        <v/>
      </c>
      <c r="Q841">
        <f>IFERROR(1/IF(Inputs!$B$38="pvp",15,MAX(0.1,Skills!E11-IF(Skills!F11=TRUE,Inputs!$B$32,0))),0)</f>
        <v/>
      </c>
      <c r="R841" t="n">
        <v>0</v>
      </c>
    </row>
    <row r="842">
      <c r="A842">
        <f>Skills!A12</f>
        <v/>
      </c>
      <c r="B842">
        <f>Skills!B12</f>
        <v/>
      </c>
      <c r="C842">
        <f>TRUE</f>
        <v/>
      </c>
      <c r="D842">
        <f>IF(Skills!C12=1,60+Inputs!$B$25+(Inputs!$B$29+1),IF(Skills!C12=2,90+Inputs!$B$26+(Inputs!$B$29+1),IF(Skills!C12=3,120+Inputs!$B$27+(Inputs!$B$29+1),MAX(0,(Inputs!$B$3-100)*3)+Inputs!$B$28+(Inputs!$B$29+1))))</f>
        <v/>
      </c>
      <c r="E842">
        <f>INDEX(FactorTable!$B$2:$Y$301, MATCH(ROUND(MIN(300,MAX(1,D842)),0), FactorTable!$A$2:$A$301,0), Skills!M12+1)</f>
        <v/>
      </c>
      <c r="F842">
        <f>IF(Skills!N12=TRUE,(Skills!L12/10)*(E842/1000),Skills!L12/10)+Skills!O12</f>
        <v/>
      </c>
      <c r="G842">
        <f>Calc!G12</f>
        <v/>
      </c>
      <c r="H842">
        <f>Calc!H12</f>
        <v/>
      </c>
      <c r="I842">
        <f>IF(Skills!X12&lt;&gt;"",1+(Skills!X12/10)*(Z833/1000)/100,1)</f>
        <v/>
      </c>
      <c r="J842" t="inlineStr"/>
      <c r="K842" t="inlineStr"/>
      <c r="L842" t="inlineStr"/>
      <c r="M842" t="inlineStr"/>
      <c r="N842" t="inlineStr"/>
      <c r="O842" t="n">
        <v>0</v>
      </c>
      <c r="P842">
        <f>IF(B869=0,0,O842/B869)</f>
        <v/>
      </c>
      <c r="Q842">
        <f>IFERROR(1/IF(Inputs!$B$38="pvp",15,MAX(0.1,Skills!E12-IF(Skills!F12=TRUE,Inputs!$B$32,0))),0)</f>
        <v/>
      </c>
      <c r="R842" t="n">
        <v>0</v>
      </c>
    </row>
    <row r="843">
      <c r="A843">
        <f>Skills!A13</f>
        <v/>
      </c>
      <c r="B843">
        <f>Skills!B13</f>
        <v/>
      </c>
      <c r="C843">
        <f>Inputs!$B$3&gt;=105</f>
        <v/>
      </c>
      <c r="D843">
        <f>IF(Skills!C13=1,60+Inputs!$B$25+(Inputs!$B$29+1),IF(Skills!C13=2,90+Inputs!$B$26+(Inputs!$B$29+1),IF(Skills!C13=3,120+Inputs!$B$27+(Inputs!$B$29+1),MAX(0,(Inputs!$B$3-100)*3)+Inputs!$B$28+(Inputs!$B$29+1))))</f>
        <v/>
      </c>
      <c r="E843">
        <f>INDEX(FactorTable!$B$2:$Y$301, MATCH(ROUND(MIN(300,MAX(1,D843)),0), FactorTable!$A$2:$A$301,0), Skills!M13+1)</f>
        <v/>
      </c>
      <c r="F843">
        <f>IF(Skills!N13=TRUE,(Skills!L13/10)*(E843/1000),Skills!L13/10)+Skills!O13</f>
        <v/>
      </c>
      <c r="G843">
        <f>Calc!G13</f>
        <v/>
      </c>
      <c r="H843">
        <f>Calc!H13</f>
        <v/>
      </c>
      <c r="I843">
        <f>IF(Skills!X13&lt;&gt;"",1+(Skills!X13/10)*(Z833/1000)/100,1)</f>
        <v/>
      </c>
      <c r="J843">
        <f>((Inputs!$B$6*(1+Inputs!$B$7/100))+(((Inputs!$B$12*(1+Inputs!$B$13/100))-(Inputs!$B$12*(1+Inputs!$B$13/100)))+0.25*(Inputs!$B$14-Inputs!$B$14))*(1+Inputs!$B$7/100))*(F843/100)</f>
        <v/>
      </c>
      <c r="K843">
        <f>J843*(1+((Inputs!$B$12*(1+Inputs!$B$13/100))*0.01+Inputs!$B$14*0.0025)/100)*(1+Inputs!$B$15/100)*(1+IF(Inputs!$B$38="pvp",0,(1-Summary!$B$56)*(Inputs!$B$20+Skills!P13)+Summary!$B$56*(Inputs!$B$21+Skills!Q13))/100)*(1+Inputs!$B$16/100)*(5000/(6000+Inputs!$B$42*(1-Inputs!$B$19/100)))*(1+Inputs!$B$24/100)*(1+F853/100)*(1+IF(Inputs!$B$3&gt;=120,F856,0)/100)^5*(1+(IF(Skills!A13="BASIC_ATTACK",Inputs!$B$17,Inputs!$B$18+IF(Inputs!$B$3&gt;=125,F857*5,0)))/100)*(B860*B861*B862*I843)</f>
        <v/>
      </c>
      <c r="L843">
        <f>K843*(MIN(Inputs!$B$22+(F852-Calc!F22),Inputs!$B$23)/100+Inputs!$B$23/100)/2</f>
        <v/>
      </c>
      <c r="M843">
        <f>L843*(1+(Inputs!$B$10+(F851-Calc!F21))/100)</f>
        <v/>
      </c>
      <c r="N843">
        <f>L843*(1-MIN(Inputs!$B$9+(F850-Calc!F20),100)/100)+M843*(MIN(Inputs!$B$9+(F850-Calc!F20),100)/100)</f>
        <v/>
      </c>
      <c r="O843">
        <f>IF(C843,H843*N843*IF(AND(Inputs!$B$38&lt;&gt;"pvp",Inputs!$B$43&gt;0),((Skills!G13*((R843-1)*IF(Skills!H13&gt;0,Skills!I13/Skills!H13,1)+IF(Skills!H13&gt;0,MIN(Skills!I13,MAX(0,Inputs!$B$43-((R843-1)*IF(Inputs!$B$38="pvp",15,MAX(0.1,Skills!E13-IF(Skills!F13=TRUE,Inputs!$B$32,0))))))/Skills!H13,1)))/Inputs!$B$43),G843*Q843)*IF(Inputs!$B$38="pvp",1,(1-Summary!$B$56)*(1)+Summary!$B$56*(MIN(Skills!R13,Inputs!$B$37))),0)</f>
        <v/>
      </c>
      <c r="P843">
        <f>IF(B869=0,0,O843/B869)</f>
        <v/>
      </c>
      <c r="Q843">
        <f>IFERROR(1/IF(Inputs!$B$38="pvp",15,MAX(0.1,Skills!E13-IF(Skills!F13=TRUE,Inputs!$B$32,0))),0)</f>
        <v/>
      </c>
      <c r="R843">
        <f>IF(AND(Inputs!$B$38&lt;&gt;"pvp",Inputs!$B$43&gt;0),(INT(Inputs!$B$43/IF(Inputs!$B$38="pvp",15,MAX(0.1,Skills!E13-IF(Skills!F13=TRUE,Inputs!$B$32,0))))+1),0)</f>
        <v/>
      </c>
    </row>
    <row r="844">
      <c r="A844">
        <f>Skills!A14</f>
        <v/>
      </c>
      <c r="B844">
        <f>Skills!B14</f>
        <v/>
      </c>
      <c r="C844">
        <f>Inputs!$B$3&gt;=113</f>
        <v/>
      </c>
      <c r="D844">
        <f>IF(Skills!C14=1,60+Inputs!$B$25+(Inputs!$B$29+1),IF(Skills!C14=2,90+Inputs!$B$26+(Inputs!$B$29+1),IF(Skills!C14=3,120+Inputs!$B$27+(Inputs!$B$29+1),MAX(0,(Inputs!$B$3-100)*3)+Inputs!$B$28+(Inputs!$B$29+1))))</f>
        <v/>
      </c>
      <c r="E844">
        <f>INDEX(FactorTable!$B$2:$Y$301, MATCH(ROUND(MIN(300,MAX(1,D844)),0), FactorTable!$A$2:$A$301,0), Skills!M14+1)</f>
        <v/>
      </c>
      <c r="F844">
        <f>IF(Skills!N14=TRUE,(Skills!L14/10)*(E844/1000),Skills!L14/10)+Skills!O14</f>
        <v/>
      </c>
      <c r="G844">
        <f>Calc!G14</f>
        <v/>
      </c>
      <c r="H844">
        <f>Calc!H14</f>
        <v/>
      </c>
      <c r="I844">
        <f>IF(Skills!X14&lt;&gt;"",1+(Skills!X14/10)*(Z833/1000)/100,1)</f>
        <v/>
      </c>
      <c r="J844">
        <f>((Inputs!$B$6*(1+Inputs!$B$7/100))+(((Inputs!$B$12*(1+Inputs!$B$13/100))-(Inputs!$B$12*(1+Inputs!$B$13/100)))+0.25*(Inputs!$B$14-Inputs!$B$14))*(1+Inputs!$B$7/100))*(F844/100)</f>
        <v/>
      </c>
      <c r="K844">
        <f>J844*(1+((Inputs!$B$12*(1+Inputs!$B$13/100))*0.01+Inputs!$B$14*0.0025)/100)*(1+Inputs!$B$15/100)*(1+IF(Inputs!$B$38="pvp",0,(1-Summary!$B$56)*(Inputs!$B$20+Skills!P14)+Summary!$B$56*(Inputs!$B$21+Skills!Q14))/100)*(1+Inputs!$B$16/100)*(5000/(6000+Inputs!$B$42*(1-Inputs!$B$19/100)))*(1+Inputs!$B$24/100)*(1+F853/100)*(1+IF(Inputs!$B$3&gt;=120,F856,0)/100)^5*(1+(IF(Skills!A14="BASIC_ATTACK",Inputs!$B$17,Inputs!$B$18+IF(Inputs!$B$3&gt;=125,F857*5,0)))/100)*(B860*B861*B862*I844)</f>
        <v/>
      </c>
      <c r="L844">
        <f>K844*(MIN(Inputs!$B$22+(F852-Calc!F22),Inputs!$B$23)/100+Inputs!$B$23/100)/2</f>
        <v/>
      </c>
      <c r="M844">
        <f>L844*(1+(Inputs!$B$10+(F851-Calc!F21))/100)</f>
        <v/>
      </c>
      <c r="N844">
        <f>L844*(1-MIN(Inputs!$B$9+(F850-Calc!F20),100)/100)+M844*(MIN(Inputs!$B$9+(F850-Calc!F20),100)/100)</f>
        <v/>
      </c>
      <c r="O844">
        <f>IF(C844,(H844*B867)/(1+Skills!H14*H844*B867)*N844*IF(Inputs!$B$38="pvp",1,(1-Summary!$B$56)*(1)+Summary!$B$56*(MIN(Skills!R14,Inputs!$B$37))),0)</f>
        <v/>
      </c>
      <c r="P844">
        <f>IF(B869=0,0,O844/B869)</f>
        <v/>
      </c>
      <c r="Q844">
        <f>IFERROR(1/IF(Inputs!$B$38="pvp",15,MAX(0.1,Skills!E14-IF(Skills!F14=TRUE,Inputs!$B$32,0))),0)</f>
        <v/>
      </c>
      <c r="R844" t="n">
        <v>0</v>
      </c>
    </row>
    <row r="845">
      <c r="A845">
        <f>Skills!A15</f>
        <v/>
      </c>
      <c r="B845">
        <f>Skills!B15</f>
        <v/>
      </c>
      <c r="C845">
        <f>Inputs!$B$3&gt;=107</f>
        <v/>
      </c>
      <c r="D845">
        <f>IF(Skills!C15=1,60+Inputs!$B$25+(Inputs!$B$29+1),IF(Skills!C15=2,90+Inputs!$B$26+(Inputs!$B$29+1),IF(Skills!C15=3,120+Inputs!$B$27+(Inputs!$B$29+1),MAX(0,(Inputs!$B$3-100)*3)+Inputs!$B$28+(Inputs!$B$29+1))))</f>
        <v/>
      </c>
      <c r="E845">
        <f>INDEX(FactorTable!$B$2:$Y$301, MATCH(ROUND(MIN(300,MAX(1,D845)),0), FactorTable!$A$2:$A$301,0), Skills!M15+1)</f>
        <v/>
      </c>
      <c r="F845">
        <f>IF(Skills!N15=TRUE,(Skills!L15/10)*(E845/1000),Skills!L15/10)+Skills!O15</f>
        <v/>
      </c>
      <c r="G845">
        <f>Calc!G15</f>
        <v/>
      </c>
      <c r="H845">
        <f>Calc!H15</f>
        <v/>
      </c>
      <c r="I845">
        <f>IF(Skills!X15&lt;&gt;"",1+(Skills!X15/10)*(Z833/1000)/100,1)</f>
        <v/>
      </c>
      <c r="J845">
        <f>((Inputs!$B$6*(1+Inputs!$B$7/100))+(((Inputs!$B$12*(1+Inputs!$B$13/100))-(Inputs!$B$12*(1+Inputs!$B$13/100)))+0.25*(Inputs!$B$14-Inputs!$B$14))*(1+Inputs!$B$7/100))*(F845/100)</f>
        <v/>
      </c>
      <c r="K845">
        <f>J845*(1+((Inputs!$B$12*(1+Inputs!$B$13/100))*0.01+Inputs!$B$14*0.0025)/100)*(1+Inputs!$B$15/100)*(1+IF(Inputs!$B$38="pvp",0,(1-Summary!$B$56)*(Inputs!$B$20+Skills!P15)+Summary!$B$56*(Inputs!$B$21+Skills!Q15))/100)*(1+Inputs!$B$16/100)*(5000/(6000+Inputs!$B$42*(1-Inputs!$B$19/100)))*(1+Inputs!$B$24/100)*(1+F853/100)*(1+IF(Inputs!$B$3&gt;=120,F856,0)/100)^5*(1+(IF(Skills!A15="BASIC_ATTACK",Inputs!$B$17,Inputs!$B$18+IF(Inputs!$B$3&gt;=125,F857*5,0)))/100)*(B860*B861*B862*I845)</f>
        <v/>
      </c>
      <c r="L845">
        <f>K845*(MIN(Inputs!$B$22+(F852-Calc!F22),Inputs!$B$23)/100+Inputs!$B$23/100)/2</f>
        <v/>
      </c>
      <c r="M845">
        <f>L845*(1+(Inputs!$B$10+(F851-Calc!F21))/100)</f>
        <v/>
      </c>
      <c r="N845">
        <f>L845*(1-MIN(Inputs!$B$9+(F850-Calc!F20),100)/100)+M845*(MIN(Inputs!$B$9+(F850-Calc!F20),100)/100)</f>
        <v/>
      </c>
      <c r="O845">
        <f>IF(C845,H845*N845*IF(AND(Inputs!$B$38&lt;&gt;"pvp",Inputs!$B$43&gt;0),((Skills!G15*((R845-1)*IF(Skills!H15&gt;0,Skills!I15/Skills!H15,1)+IF(Skills!H15&gt;0,MIN(Skills!I15,MAX(0,Inputs!$B$43-((R845-1)*IF(Inputs!$B$38="pvp",15,MAX(0.1,Skills!E15-IF(Skills!F15=TRUE,Inputs!$B$32,0))))))/Skills!H15,1)))/Inputs!$B$43),G845*Q845)*IF(Inputs!$B$38="pvp",1,(1-Summary!$B$56)*(1)+Summary!$B$56*(MIN(Skills!R15,Inputs!$B$37))),0)</f>
        <v/>
      </c>
      <c r="P845">
        <f>IF(B869=0,0,O845/B869)</f>
        <v/>
      </c>
      <c r="Q845">
        <f>IFERROR(1/IF(Inputs!$B$38="pvp",15,MAX(0.1,Skills!E15-IF(Skills!F15=TRUE,Inputs!$B$32,0))),0)</f>
        <v/>
      </c>
      <c r="R845">
        <f>IF(AND(Inputs!$B$38&lt;&gt;"pvp",Inputs!$B$43&gt;0),(INT(Inputs!$B$43/IF(Inputs!$B$38="pvp",15,MAX(0.1,Skills!E15-IF(Skills!F15=TRUE,Inputs!$B$32,0))))+1),0)</f>
        <v/>
      </c>
    </row>
    <row r="846">
      <c r="A846">
        <f>Skills!A16</f>
        <v/>
      </c>
      <c r="B846">
        <f>Skills!B16</f>
        <v/>
      </c>
      <c r="C846">
        <f>Inputs!$B$3&gt;=107</f>
        <v/>
      </c>
      <c r="D846">
        <f>IF(Skills!C16=1,60+Inputs!$B$25+(Inputs!$B$29+1),IF(Skills!C16=2,90+Inputs!$B$26+(Inputs!$B$29+1),IF(Skills!C16=3,120+Inputs!$B$27+(Inputs!$B$29+1),MAX(0,(Inputs!$B$3-100)*3)+Inputs!$B$28+(Inputs!$B$29+1))))</f>
        <v/>
      </c>
      <c r="E846">
        <f>INDEX(FactorTable!$B$2:$Y$301, MATCH(ROUND(MIN(300,MAX(1,D846)),0), FactorTable!$A$2:$A$301,0), Skills!M16+1)</f>
        <v/>
      </c>
      <c r="F846">
        <f>IF(Skills!N16=TRUE,(Skills!L16/10)*(E846/1000),Skills!L16/10)+Skills!O16</f>
        <v/>
      </c>
      <c r="G846">
        <f>Calc!G16</f>
        <v/>
      </c>
      <c r="H846">
        <f>Calc!H16</f>
        <v/>
      </c>
      <c r="I846">
        <f>IF(Skills!X16&lt;&gt;"",1+(Skills!X16/10)*(Z833/1000)/100,1)</f>
        <v/>
      </c>
      <c r="J846">
        <f>((Inputs!$B$6*(1+Inputs!$B$7/100))+(((Inputs!$B$12*(1+Inputs!$B$13/100))-(Inputs!$B$12*(1+Inputs!$B$13/100)))+0.25*(Inputs!$B$14-Inputs!$B$14))*(1+Inputs!$B$7/100))*(F846/100)</f>
        <v/>
      </c>
      <c r="K846">
        <f>J846*(1+((Inputs!$B$12*(1+Inputs!$B$13/100))*0.01+Inputs!$B$14*0.0025)/100)*(1+Inputs!$B$15/100)*(1+IF(Inputs!$B$38="pvp",0,(1-Summary!$B$56)*(Inputs!$B$20+Skills!P16)+Summary!$B$56*(Inputs!$B$21+Skills!Q16))/100)*(1+Inputs!$B$16/100)*(5000/(6000+Inputs!$B$42*(1-Inputs!$B$19/100)))*(1+Inputs!$B$24/100)*(1+F853/100)*(1+IF(Inputs!$B$3&gt;=120,F856,0)/100)^5*(1+(IF(Skills!A16="BASIC_ATTACK",Inputs!$B$17,Inputs!$B$18+IF(Inputs!$B$3&gt;=125,F857*5,0)))/100)*(B860*B861*B862*I846)</f>
        <v/>
      </c>
      <c r="L846">
        <f>K846*(MIN(Inputs!$B$22+(F852-Calc!F22),Inputs!$B$23)/100+Inputs!$B$23/100)/2</f>
        <v/>
      </c>
      <c r="M846">
        <f>L846*(1+(Inputs!$B$10+(F851-Calc!F21))/100)</f>
        <v/>
      </c>
      <c r="N846">
        <f>L846*(1-MIN(Inputs!$B$9+(F850-Calc!F20),100)/100)+M846*(MIN(Inputs!$B$9+(F850-Calc!F20),100)/100)</f>
        <v/>
      </c>
      <c r="O846">
        <f>IF(C846,H846*N846*IF(AND(Inputs!$B$38&lt;&gt;"pvp",Inputs!$B$43&gt;0),((Skills!G16*((R846-1)*IF(Skills!H16&gt;0,Skills!I16/Skills!H16,1)+IF(Skills!H16&gt;0,MIN(Skills!I16,MAX(0,Inputs!$B$43-((R846-1)*IF(Inputs!$B$38="pvp",15,MAX(0.1,Skills!E16-IF(Skills!F16=TRUE,Inputs!$B$32,0))))))/Skills!H16,1)))/Inputs!$B$43),G846*Q846)*(1+IF(Inputs!$B$3&gt;=126,0.05*(B866+Q843+(H844*B867)/(1+Skills!H14*H844*B867)+Q854),0)*Skills!E15)*IF(Inputs!$B$38="pvp",1,(1-Summary!$B$56)*(1)+Summary!$B$56*(MIN(Skills!R16,Inputs!$B$37))),0)</f>
        <v/>
      </c>
      <c r="P846">
        <f>IF(B869=0,0,O846/B869)</f>
        <v/>
      </c>
      <c r="Q846">
        <f>IFERROR(1/IF(Inputs!$B$38="pvp",15,MAX(0.1,Skills!E16-IF(Skills!F16=TRUE,Inputs!$B$32,0))),0)</f>
        <v/>
      </c>
      <c r="R846">
        <f>IF(AND(Inputs!$B$38&lt;&gt;"pvp",Inputs!$B$43&gt;0),(INT(Inputs!$B$43/IF(Inputs!$B$38="pvp",15,MAX(0.1,Skills!E16-IF(Skills!F16=TRUE,Inputs!$B$32,0))))+1),0)</f>
        <v/>
      </c>
    </row>
    <row r="847">
      <c r="A847">
        <f>Skills!A17</f>
        <v/>
      </c>
      <c r="B847">
        <f>Skills!B17</f>
        <v/>
      </c>
      <c r="C847">
        <f>TRUE</f>
        <v/>
      </c>
      <c r="D847">
        <f>IF(Skills!C17=1,60+Inputs!$B$25+(Inputs!$B$29+1),IF(Skills!C17=2,90+Inputs!$B$26+(Inputs!$B$29+1),IF(Skills!C17=3,120+Inputs!$B$27+(Inputs!$B$29+1),MAX(0,(Inputs!$B$3-100)*3)+Inputs!$B$28+(Inputs!$B$29+1))))</f>
        <v/>
      </c>
      <c r="E847">
        <f>INDEX(FactorTable!$B$2:$Y$301, MATCH(ROUND(MIN(300,MAX(1,D847)),0), FactorTable!$A$2:$A$301,0), Skills!M17+1)</f>
        <v/>
      </c>
      <c r="F847">
        <f>IF(Skills!N17=TRUE,(Skills!L17/10)*(E847/1000),Skills!L17/10)+Skills!O17</f>
        <v/>
      </c>
      <c r="G847">
        <f>Calc!G17</f>
        <v/>
      </c>
      <c r="H847">
        <f>Calc!H17</f>
        <v/>
      </c>
      <c r="I847">
        <f>IF(Skills!X17&lt;&gt;"",1+(Skills!X17/10)*(Z833/1000)/100,1)</f>
        <v/>
      </c>
      <c r="J847" t="inlineStr"/>
      <c r="K847" t="inlineStr"/>
      <c r="L847" t="inlineStr"/>
      <c r="M847" t="inlineStr"/>
      <c r="N847" t="inlineStr"/>
      <c r="O847" t="n">
        <v>0</v>
      </c>
      <c r="P847">
        <f>IF(B869=0,0,O847/B869)</f>
        <v/>
      </c>
      <c r="Q847">
        <f>IFERROR(1/IF(Inputs!$B$38="pvp",15,MAX(0.1,Skills!E17-IF(Skills!F17=TRUE,Inputs!$B$32,0))),0)</f>
        <v/>
      </c>
      <c r="R847">
        <f>IF(AND(Inputs!$B$38&lt;&gt;"pvp",Inputs!$B$43&gt;0),(INT(Inputs!$B$43/IF(Inputs!$B$38="pvp",15,MAX(0.1,Skills!E17-IF(Skills!F17=TRUE,Inputs!$B$32,0))))+1),0)</f>
        <v/>
      </c>
    </row>
    <row r="848">
      <c r="A848">
        <f>Skills!A18</f>
        <v/>
      </c>
      <c r="B848">
        <f>Skills!B18</f>
        <v/>
      </c>
      <c r="C848">
        <f>TRUE</f>
        <v/>
      </c>
      <c r="D848">
        <f>IF(Skills!C18=1,60+Inputs!$B$25+(Inputs!$B$29+1),IF(Skills!C18=2,90+Inputs!$B$26+(Inputs!$B$29+1),IF(Skills!C18=3,120+Inputs!$B$27+(Inputs!$B$29+1),MAX(0,(Inputs!$B$3-100)*3)+Inputs!$B$28+(Inputs!$B$29+1))))</f>
        <v/>
      </c>
      <c r="E848">
        <f>INDEX(FactorTable!$B$2:$Y$301, MATCH(ROUND(MIN(300,MAX(1,D848)),0), FactorTable!$A$2:$A$301,0), Skills!M18+1)</f>
        <v/>
      </c>
      <c r="F848">
        <f>IF(Skills!N18=TRUE,(Skills!L18/10)*(E848/1000),Skills!L18/10)+Skills!O18</f>
        <v/>
      </c>
      <c r="G848">
        <f>Calc!G18</f>
        <v/>
      </c>
      <c r="H848">
        <f>Calc!H18</f>
        <v/>
      </c>
      <c r="I848">
        <f>IF(Skills!X18&lt;&gt;"",1+(Skills!X18/10)*(Z833/1000)/100,1)</f>
        <v/>
      </c>
      <c r="J848" t="inlineStr"/>
      <c r="K848" t="inlineStr"/>
      <c r="L848" t="inlineStr"/>
      <c r="M848" t="inlineStr"/>
      <c r="N848" t="inlineStr"/>
      <c r="O848" t="n">
        <v>0</v>
      </c>
      <c r="P848">
        <f>IF(B869=0,0,O848/B869)</f>
        <v/>
      </c>
      <c r="Q848">
        <f>IFERROR(1/IF(Inputs!$B$38="pvp",15,MAX(0.1,Skills!E18-IF(Skills!F18=TRUE,Inputs!$B$32,0))),0)</f>
        <v/>
      </c>
      <c r="R848">
        <f>IF(AND(Inputs!$B$38&lt;&gt;"pvp",Inputs!$B$43&gt;0),(INT(Inputs!$B$43/IF(Inputs!$B$38="pvp",15,MAX(0.1,Skills!E18-IF(Skills!F18=TRUE,Inputs!$B$32,0))))+1),0)</f>
        <v/>
      </c>
    </row>
    <row r="849">
      <c r="A849">
        <f>Skills!A19</f>
        <v/>
      </c>
      <c r="B849">
        <f>Skills!B19</f>
        <v/>
      </c>
      <c r="C849">
        <f>Inputs!$B$3&gt;=110</f>
        <v/>
      </c>
      <c r="D849">
        <f>IF(Skills!C19=1,60+Inputs!$B$25+(Inputs!$B$29+1),IF(Skills!C19=2,90+Inputs!$B$26+(Inputs!$B$29+1),IF(Skills!C19=3,120+Inputs!$B$27+(Inputs!$B$29+1),MAX(0,(Inputs!$B$3-100)*3)+Inputs!$B$28+(Inputs!$B$29+1))))</f>
        <v/>
      </c>
      <c r="E849">
        <f>INDEX(FactorTable!$B$2:$Y$301, MATCH(ROUND(MIN(300,MAX(1,D849)),0), FactorTable!$A$2:$A$301,0), Skills!M19+1)</f>
        <v/>
      </c>
      <c r="F849">
        <f>IF(Skills!N19=TRUE,(Skills!L19/10)*(E849/1000),Skills!L19/10)+Skills!O19</f>
        <v/>
      </c>
      <c r="G849">
        <f>Calc!G19</f>
        <v/>
      </c>
      <c r="H849">
        <f>Calc!H19</f>
        <v/>
      </c>
      <c r="I849">
        <f>IF(Skills!X19&lt;&gt;"",1+(Skills!X19/10)*(Z833/1000)/100,1)</f>
        <v/>
      </c>
      <c r="J849" t="inlineStr"/>
      <c r="K849" t="inlineStr"/>
      <c r="L849" t="inlineStr"/>
      <c r="M849" t="inlineStr"/>
      <c r="N849" t="inlineStr"/>
      <c r="O849" t="n">
        <v>0</v>
      </c>
      <c r="P849">
        <f>IF(B869=0,0,O849/B869)</f>
        <v/>
      </c>
      <c r="Q849">
        <f>IFERROR(1/IF(Inputs!$B$38="pvp",15,MAX(0.1,Skills!E19-IF(Skills!F19=TRUE,Inputs!$B$32,0))),0)</f>
        <v/>
      </c>
      <c r="R849">
        <f>IF(AND(Inputs!$B$38&lt;&gt;"pvp",Inputs!$B$43&gt;0),(INT(Inputs!$B$43/IF(Inputs!$B$38="pvp",15,MAX(0.1,Skills!E19-IF(Skills!F19=TRUE,Inputs!$B$32,0))))+1),0)</f>
        <v/>
      </c>
    </row>
    <row r="850">
      <c r="A850">
        <f>Skills!A20</f>
        <v/>
      </c>
      <c r="B850">
        <f>Skills!B20</f>
        <v/>
      </c>
      <c r="C850">
        <f>TRUE</f>
        <v/>
      </c>
      <c r="D850">
        <f>IF(Skills!C20=1,60+Inputs!$B$25+(Inputs!$B$29+1),IF(Skills!C20=2,90+Inputs!$B$26+(Inputs!$B$29+1),IF(Skills!C20=3,120+Inputs!$B$27+(Inputs!$B$29+1),MAX(0,(Inputs!$B$3-100)*3)+Inputs!$B$28+(Inputs!$B$29+1))))</f>
        <v/>
      </c>
      <c r="E850">
        <f>INDEX(FactorTable!$B$2:$Y$301, MATCH(ROUND(MIN(300,MAX(1,D850)),0), FactorTable!$A$2:$A$301,0), Skills!M20+1)</f>
        <v/>
      </c>
      <c r="F850">
        <f>IF(Skills!N20=TRUE,(Skills!L20/10)*(E850/1000),Skills!L20/10)+Skills!O20</f>
        <v/>
      </c>
      <c r="G850">
        <f>Calc!G20</f>
        <v/>
      </c>
      <c r="H850">
        <f>Calc!H20</f>
        <v/>
      </c>
      <c r="I850">
        <f>IF(Skills!X20&lt;&gt;"",1+(Skills!X20/10)*(Z833/1000)/100,1)</f>
        <v/>
      </c>
      <c r="J850" t="inlineStr"/>
      <c r="K850" t="inlineStr"/>
      <c r="L850" t="inlineStr"/>
      <c r="M850" t="inlineStr"/>
      <c r="N850" t="inlineStr"/>
      <c r="O850" t="n">
        <v>0</v>
      </c>
      <c r="P850">
        <f>IF(B869=0,0,O850/B869)</f>
        <v/>
      </c>
      <c r="Q850">
        <f>IFERROR(1/IF(Inputs!$B$38="pvp",15,MAX(0.1,Skills!E20-IF(Skills!F20=TRUE,Inputs!$B$32,0))),0)</f>
        <v/>
      </c>
      <c r="R850" t="n">
        <v>0</v>
      </c>
    </row>
    <row r="851">
      <c r="A851">
        <f>Skills!A21</f>
        <v/>
      </c>
      <c r="B851">
        <f>Skills!B21</f>
        <v/>
      </c>
      <c r="C851">
        <f>TRUE</f>
        <v/>
      </c>
      <c r="D851">
        <f>IF(Skills!C21=1,60+Inputs!$B$25+(Inputs!$B$29+1),IF(Skills!C21=2,90+Inputs!$B$26+(Inputs!$B$29+1),IF(Skills!C21=3,120+Inputs!$B$27+(Inputs!$B$29+1),MAX(0,(Inputs!$B$3-100)*3)+Inputs!$B$28+(Inputs!$B$29+1))))</f>
        <v/>
      </c>
      <c r="E851">
        <f>INDEX(FactorTable!$B$2:$Y$301, MATCH(ROUND(MIN(300,MAX(1,D851)),0), FactorTable!$A$2:$A$301,0), Skills!M21+1)</f>
        <v/>
      </c>
      <c r="F851">
        <f>IF(Skills!N21=TRUE,(Skills!L21/10)*(E851/1000),Skills!L21/10)+Skills!O21</f>
        <v/>
      </c>
      <c r="G851">
        <f>Calc!G21</f>
        <v/>
      </c>
      <c r="H851">
        <f>Calc!H21</f>
        <v/>
      </c>
      <c r="I851">
        <f>IF(Skills!X21&lt;&gt;"",1+(Skills!X21/10)*(Z833/1000)/100,1)</f>
        <v/>
      </c>
      <c r="J851" t="inlineStr"/>
      <c r="K851" t="inlineStr"/>
      <c r="L851" t="inlineStr"/>
      <c r="M851" t="inlineStr"/>
      <c r="N851" t="inlineStr"/>
      <c r="O851" t="n">
        <v>0</v>
      </c>
      <c r="P851">
        <f>IF(B869=0,0,O851/B869)</f>
        <v/>
      </c>
      <c r="Q851">
        <f>IFERROR(1/IF(Inputs!$B$38="pvp",15,MAX(0.1,Skills!E21-IF(Skills!F21=TRUE,Inputs!$B$32,0))),0)</f>
        <v/>
      </c>
      <c r="R851" t="n">
        <v>0</v>
      </c>
    </row>
    <row r="852">
      <c r="A852">
        <f>Skills!A22</f>
        <v/>
      </c>
      <c r="B852">
        <f>Skills!B22</f>
        <v/>
      </c>
      <c r="C852">
        <f>TRUE</f>
        <v/>
      </c>
      <c r="D852">
        <f>IF(Skills!C22=1,60+Inputs!$B$25+(Inputs!$B$29+1),IF(Skills!C22=2,90+Inputs!$B$26+(Inputs!$B$29+1),IF(Skills!C22=3,120+Inputs!$B$27+(Inputs!$B$29+1),MAX(0,(Inputs!$B$3-100)*3)+Inputs!$B$28+(Inputs!$B$29+1))))</f>
        <v/>
      </c>
      <c r="E852">
        <f>INDEX(FactorTable!$B$2:$Y$301, MATCH(ROUND(MIN(300,MAX(1,D852)),0), FactorTable!$A$2:$A$301,0), Skills!M22+1)</f>
        <v/>
      </c>
      <c r="F852">
        <f>IF(Skills!N22=TRUE,(Skills!L22/10)*(E852/1000),Skills!L22/10)+Skills!O22</f>
        <v/>
      </c>
      <c r="G852">
        <f>Calc!G22</f>
        <v/>
      </c>
      <c r="H852">
        <f>Calc!H22</f>
        <v/>
      </c>
      <c r="I852">
        <f>IF(Skills!X22&lt;&gt;"",1+(Skills!X22/10)*(Z833/1000)/100,1)</f>
        <v/>
      </c>
      <c r="J852" t="inlineStr"/>
      <c r="K852" t="inlineStr"/>
      <c r="L852" t="inlineStr"/>
      <c r="M852" t="inlineStr"/>
      <c r="N852" t="inlineStr"/>
      <c r="O852" t="n">
        <v>0</v>
      </c>
      <c r="P852">
        <f>IF(B869=0,0,O852/B869)</f>
        <v/>
      </c>
      <c r="Q852">
        <f>IFERROR(1/IF(Inputs!$B$38="pvp",15,MAX(0.1,Skills!E22-IF(Skills!F22=TRUE,Inputs!$B$32,0))),0)</f>
        <v/>
      </c>
      <c r="R852" t="n">
        <v>0</v>
      </c>
    </row>
    <row r="853">
      <c r="A853">
        <f>Skills!A23</f>
        <v/>
      </c>
      <c r="B853">
        <f>Skills!B23</f>
        <v/>
      </c>
      <c r="C853">
        <f>TRUE</f>
        <v/>
      </c>
      <c r="D853">
        <f>IF(Skills!C23=1,60+Inputs!$B$25+(Inputs!$B$29+1),IF(Skills!C23=2,90+Inputs!$B$26+(Inputs!$B$29+1),IF(Skills!C23=3,120+Inputs!$B$27+(Inputs!$B$29+1),MAX(0,(Inputs!$B$3-100)*3)+Inputs!$B$28+(Inputs!$B$29+1))))</f>
        <v/>
      </c>
      <c r="E853">
        <f>INDEX(FactorTable!$B$2:$Y$301, MATCH(ROUND(MIN(300,MAX(1,D853)),0), FactorTable!$A$2:$A$301,0), Skills!M23+1)</f>
        <v/>
      </c>
      <c r="F853">
        <f>IF(Skills!N23=TRUE,(Skills!L23/10)*(E853/1000),Skills!L23/10)+Skills!O23</f>
        <v/>
      </c>
      <c r="G853">
        <f>Calc!G23</f>
        <v/>
      </c>
      <c r="H853">
        <f>Calc!H23</f>
        <v/>
      </c>
      <c r="I853">
        <f>IF(Skills!X23&lt;&gt;"",1+(Skills!X23/10)*(Z833/1000)/100,1)</f>
        <v/>
      </c>
      <c r="J853" t="inlineStr"/>
      <c r="K853" t="inlineStr"/>
      <c r="L853" t="inlineStr"/>
      <c r="M853" t="inlineStr"/>
      <c r="N853" t="inlineStr"/>
      <c r="O853" t="n">
        <v>0</v>
      </c>
      <c r="P853">
        <f>IF(B869=0,0,O853/B869)</f>
        <v/>
      </c>
      <c r="Q853">
        <f>IFERROR(1/IF(Inputs!$B$38="pvp",15,MAX(0.1,Skills!E23-IF(Skills!F23=TRUE,Inputs!$B$32,0))),0)</f>
        <v/>
      </c>
      <c r="R853" t="n">
        <v>0</v>
      </c>
    </row>
    <row r="854">
      <c r="A854">
        <f>Skills!A24</f>
        <v/>
      </c>
      <c r="B854">
        <f>Skills!B24</f>
        <v/>
      </c>
      <c r="C854">
        <f>Inputs!$B$3&gt;=115</f>
        <v/>
      </c>
      <c r="D854">
        <f>IF(Skills!C24=1,60+Inputs!$B$25+(Inputs!$B$29+1),IF(Skills!C24=2,90+Inputs!$B$26+(Inputs!$B$29+1),IF(Skills!C24=3,120+Inputs!$B$27+(Inputs!$B$29+1),MAX(0,(Inputs!$B$3-100)*3)+Inputs!$B$28+(Inputs!$B$29+1))))</f>
        <v/>
      </c>
      <c r="E854">
        <f>INDEX(FactorTable!$B$2:$Y$301, MATCH(ROUND(MIN(300,MAX(1,D854)),0), FactorTable!$A$2:$A$301,0), Skills!M24+1)</f>
        <v/>
      </c>
      <c r="F854">
        <f>IF(Skills!N24=TRUE,(Skills!L24/10)*(E854/1000),Skills!L24/10)+Skills!O24</f>
        <v/>
      </c>
      <c r="G854">
        <f>Calc!G24</f>
        <v/>
      </c>
      <c r="H854">
        <f>Calc!H24</f>
        <v/>
      </c>
      <c r="I854">
        <f>IF(Skills!X24&lt;&gt;"",1+(Skills!X24/10)*(Z833/1000)/100,1)</f>
        <v/>
      </c>
      <c r="J854">
        <f>((Inputs!$B$6*(1+Inputs!$B$7/100))+(((Inputs!$B$12*(1+Inputs!$B$13/100))-(Inputs!$B$12*(1+Inputs!$B$13/100)))+0.25*(Inputs!$B$14-Inputs!$B$14))*(1+Inputs!$B$7/100))*(F854/100)</f>
        <v/>
      </c>
      <c r="K854">
        <f>J854*(1+((Inputs!$B$12*(1+Inputs!$B$13/100))*0.01+Inputs!$B$14*0.0025)/100)*(1+Inputs!$B$15/100)*(1+IF(Inputs!$B$38="pvp",0,(1-Summary!$B$56)*(Inputs!$B$20+Skills!P24)+Summary!$B$56*(Inputs!$B$21+Skills!Q24))/100)*(1+Inputs!$B$16/100)*(5000/(6000+Inputs!$B$42*(1-Inputs!$B$19/100)))*(1+Inputs!$B$24/100)*(1+F853/100)*(1+IF(Inputs!$B$3&gt;=120,F856,0)/100)^5*(1+(IF(Skills!A24="BASIC_ATTACK",Inputs!$B$17,Inputs!$B$18+IF(Inputs!$B$3&gt;=125,F857*5,0)))/100)*(B860*B861*B862*I854)</f>
        <v/>
      </c>
      <c r="L854">
        <f>K854*(MIN(Inputs!$B$22+(F852-Calc!F22),Inputs!$B$23)/100+Inputs!$B$23/100)/2</f>
        <v/>
      </c>
      <c r="M854">
        <f>L854*(1+(Inputs!$B$10+(F851-Calc!F21))/100)</f>
        <v/>
      </c>
      <c r="N854">
        <f>L854*(1-MIN(Inputs!$B$9+(F850-Calc!F20),100)/100)+M854*(MIN(Inputs!$B$9+(F850-Calc!F20),100)/100)</f>
        <v/>
      </c>
      <c r="O854">
        <f>IF(C854,H854*N854*IF(AND(Inputs!$B$38&lt;&gt;"pvp",Inputs!$B$43&gt;0),((Skills!G24*((R854-1)*IF(Skills!H24&gt;0,Skills!I24/Skills!H24,1)+IF(Skills!H24&gt;0,MIN(Skills!I24,MAX(0,Inputs!$B$43-((R854-1)*IF(Inputs!$B$38="pvp",15,MAX(0.1,Skills!E24-IF(Skills!F24=TRUE,Inputs!$B$32,0))))))/Skills!H24,1)))/Inputs!$B$43),G854*Q854)*(1+IF(Inputs!$B$3&gt;=130,0.2*(Skills!I16/Skills!E15+IF(Inputs!$B$3&gt;=126,0.05*(B866+Q843+(H844*B867)/(1+Skills!H14*H844*B867)+Q854),0)*Skills!I16),0))*IF(Inputs!$B$38="pvp",1,(1-Summary!$B$56)*(1)+Summary!$B$56*(MIN(Skills!R24,Inputs!$B$37))),0)</f>
        <v/>
      </c>
      <c r="P854">
        <f>IF(B869=0,0,O854/B869)</f>
        <v/>
      </c>
      <c r="Q854">
        <f>IFERROR(1/IF(Inputs!$B$38="pvp",15,MAX(0.1,Skills!E24-IF(Skills!F24=TRUE,Inputs!$B$32,0))),0)</f>
        <v/>
      </c>
      <c r="R854">
        <f>IF(AND(Inputs!$B$38&lt;&gt;"pvp",Inputs!$B$43&gt;0),(INT(Inputs!$B$43/IF(Inputs!$B$38="pvp",15,MAX(0.1,Skills!E24-IF(Skills!F24=TRUE,Inputs!$B$32,0))))+1),0)</f>
        <v/>
      </c>
    </row>
    <row r="855">
      <c r="A855">
        <f>Skills!A25</f>
        <v/>
      </c>
      <c r="B855">
        <f>Skills!B25</f>
        <v/>
      </c>
      <c r="C855">
        <f>Inputs!$B$3&gt;=117</f>
        <v/>
      </c>
      <c r="D855">
        <f>IF(Skills!C25=1,60+Inputs!$B$25+(Inputs!$B$29+1),IF(Skills!C25=2,90+Inputs!$B$26+(Inputs!$B$29+1),IF(Skills!C25=3,120+Inputs!$B$27+(Inputs!$B$29+1),MAX(0,(Inputs!$B$3-100)*3)+Inputs!$B$28+(Inputs!$B$29+1))))</f>
        <v/>
      </c>
      <c r="E855">
        <f>INDEX(FactorTable!$B$2:$Y$301, MATCH(ROUND(MIN(300,MAX(1,D855)),0), FactorTable!$A$2:$A$301,0), Skills!M25+1)</f>
        <v/>
      </c>
      <c r="F855">
        <f>IF(Skills!N25=TRUE,(Skills!L25/10)*(E855/1000),Skills!L25/10)+Skills!O25</f>
        <v/>
      </c>
      <c r="G855">
        <f>Calc!G25</f>
        <v/>
      </c>
      <c r="H855">
        <f>Calc!H25</f>
        <v/>
      </c>
      <c r="I855">
        <f>IF(Skills!X25&lt;&gt;"",1+(Skills!X25/10)*(Z833/1000)/100,1)</f>
        <v/>
      </c>
      <c r="J855" t="inlineStr"/>
      <c r="K855" t="inlineStr"/>
      <c r="L855" t="inlineStr"/>
      <c r="M855" t="inlineStr"/>
      <c r="N855" t="inlineStr"/>
      <c r="O855" t="n">
        <v>0</v>
      </c>
      <c r="P855">
        <f>IF(B869=0,0,O855/B869)</f>
        <v/>
      </c>
      <c r="Q855">
        <f>IFERROR(1/IF(Inputs!$B$38="pvp",15,MAX(0.1,Skills!E25-IF(Skills!F25=TRUE,Inputs!$B$32,0))),0)</f>
        <v/>
      </c>
      <c r="R855" t="n">
        <v>0</v>
      </c>
    </row>
    <row r="856">
      <c r="A856">
        <f>Skills!A26</f>
        <v/>
      </c>
      <c r="B856">
        <f>Skills!B26</f>
        <v/>
      </c>
      <c r="C856">
        <f>Inputs!$B$3&gt;=120</f>
        <v/>
      </c>
      <c r="D856">
        <f>IF(Skills!C26=1,60+Inputs!$B$25+(Inputs!$B$29+1),IF(Skills!C26=2,90+Inputs!$B$26+(Inputs!$B$29+1),IF(Skills!C26=3,120+Inputs!$B$27+(Inputs!$B$29+1),MAX(0,(Inputs!$B$3-100)*3)+Inputs!$B$28+(Inputs!$B$29+1))))</f>
        <v/>
      </c>
      <c r="E856">
        <f>INDEX(FactorTable!$B$2:$Y$301, MATCH(ROUND(MIN(300,MAX(1,D856)),0), FactorTable!$A$2:$A$301,0), Skills!M26+1)</f>
        <v/>
      </c>
      <c r="F856">
        <f>IF(Skills!N26=TRUE,(Skills!L26/10)*(E856/1000),Skills!L26/10)+Skills!O26</f>
        <v/>
      </c>
      <c r="G856">
        <f>Calc!G26</f>
        <v/>
      </c>
      <c r="H856">
        <f>Calc!H26</f>
        <v/>
      </c>
      <c r="I856">
        <f>IF(Skills!X26&lt;&gt;"",1+(Skills!X26/10)*(Z833/1000)/100,1)</f>
        <v/>
      </c>
      <c r="J856" t="inlineStr"/>
      <c r="K856" t="inlineStr"/>
      <c r="L856" t="inlineStr"/>
      <c r="M856" t="inlineStr"/>
      <c r="N856" t="inlineStr"/>
      <c r="O856" t="n">
        <v>0</v>
      </c>
      <c r="P856">
        <f>IF(B869=0,0,O856/B869)</f>
        <v/>
      </c>
      <c r="Q856">
        <f>IFERROR(1/IF(Inputs!$B$38="pvp",15,MAX(0.1,Skills!E26-IF(Skills!F26=TRUE,Inputs!$B$32,0))),0)</f>
        <v/>
      </c>
      <c r="R856" t="n">
        <v>0</v>
      </c>
    </row>
    <row r="857">
      <c r="A857">
        <f>Skills!A27</f>
        <v/>
      </c>
      <c r="B857">
        <f>Skills!B27</f>
        <v/>
      </c>
      <c r="C857">
        <f>Inputs!$B$3&gt;=125</f>
        <v/>
      </c>
      <c r="D857">
        <f>IF(Skills!C27=1,60+Inputs!$B$25+(Inputs!$B$29+1),IF(Skills!C27=2,90+Inputs!$B$26+(Inputs!$B$29+1),IF(Skills!C27=3,120+Inputs!$B$27+(Inputs!$B$29+1),MAX(0,(Inputs!$B$3-100)*3)+Inputs!$B$28+(Inputs!$B$29+1))))</f>
        <v/>
      </c>
      <c r="E857">
        <f>INDEX(FactorTable!$B$2:$Y$301, MATCH(ROUND(MIN(300,MAX(1,D857)),0), FactorTable!$A$2:$A$301,0), Skills!M27+1)</f>
        <v/>
      </c>
      <c r="F857">
        <f>IF(Skills!N27=TRUE,(Skills!L27/10)*(E857/1000),Skills!L27/10)+Skills!O27</f>
        <v/>
      </c>
      <c r="G857">
        <f>Calc!G27</f>
        <v/>
      </c>
      <c r="H857">
        <f>Calc!H27</f>
        <v/>
      </c>
      <c r="I857">
        <f>IF(Skills!X27&lt;&gt;"",1+(Skills!X27/10)*(Z833/1000)/100,1)</f>
        <v/>
      </c>
      <c r="J857" t="inlineStr"/>
      <c r="K857" t="inlineStr"/>
      <c r="L857" t="inlineStr"/>
      <c r="M857" t="inlineStr"/>
      <c r="N857" t="inlineStr"/>
      <c r="O857" t="n">
        <v>0</v>
      </c>
      <c r="P857">
        <f>IF(B869=0,0,O857/B869)</f>
        <v/>
      </c>
      <c r="Q857">
        <f>IFERROR(1/IF(Inputs!$B$38="pvp",15,MAX(0.1,Skills!E27-IF(Skills!F27=TRUE,Inputs!$B$32,0))),0)</f>
        <v/>
      </c>
      <c r="R857" t="n">
        <v>0</v>
      </c>
    </row>
    <row r="858">
      <c r="A858">
        <f>Skills!A28</f>
        <v/>
      </c>
      <c r="B858">
        <f>Skills!B28</f>
        <v/>
      </c>
      <c r="C858">
        <f>Inputs!$B$3&gt;=118</f>
        <v/>
      </c>
      <c r="D858">
        <f>IF(Skills!C28=1,60+Inputs!$B$25+(Inputs!$B$29+1),IF(Skills!C28=2,90+Inputs!$B$26+(Inputs!$B$29+1),IF(Skills!C28=3,120+Inputs!$B$27+(Inputs!$B$29+1),MAX(0,(Inputs!$B$3-100)*3)+Inputs!$B$28+(Inputs!$B$29+1))))</f>
        <v/>
      </c>
      <c r="E858">
        <f>INDEX(FactorTable!$B$2:$Y$301, MATCH(ROUND(MIN(300,MAX(1,D858)),0), FactorTable!$A$2:$A$301,0), Skills!M28+1)</f>
        <v/>
      </c>
      <c r="F858">
        <f>IF(Skills!N28=TRUE,(Skills!L28/10)*(E858/1000),Skills!L28/10)+Skills!O28</f>
        <v/>
      </c>
      <c r="G858">
        <f>Calc!G28</f>
        <v/>
      </c>
      <c r="H858">
        <f>Calc!H28</f>
        <v/>
      </c>
      <c r="I858">
        <f>IF(Skills!X28&lt;&gt;"",1+(Skills!X28/10)*(Z833/1000)/100,1)</f>
        <v/>
      </c>
      <c r="J858">
        <f>((Inputs!$B$6*(1+Inputs!$B$7/100))+(((Inputs!$B$12*(1+Inputs!$B$13/100))-(Inputs!$B$12*(1+Inputs!$B$13/100)))+0.25*(Inputs!$B$14-Inputs!$B$14))*(1+Inputs!$B$7/100))*(F858/100)</f>
        <v/>
      </c>
      <c r="K858">
        <f>J858*(1+((Inputs!$B$12*(1+Inputs!$B$13/100))*0.01+Inputs!$B$14*0.0025)/100)*(1+Inputs!$B$15/100)*(1+IF(Inputs!$B$38="pvp",0,(1-Summary!$B$56)*(Inputs!$B$20+Skills!P28)+Summary!$B$56*(Inputs!$B$21+Skills!Q28))/100)*(1+Inputs!$B$16/100)*(5000/(6000+Inputs!$B$42*(1-Inputs!$B$19/100)))*(1+Inputs!$B$24/100)*(1+F853/100)*(1+IF(Inputs!$B$3&gt;=120,F856,0)/100)^5*(1+(IF(Skills!A28="BASIC_ATTACK",Inputs!$B$17,Inputs!$B$18+IF(Inputs!$B$3&gt;=125,F857*5,0)))/100)*(B860*B861*B862*I858)</f>
        <v/>
      </c>
      <c r="L858">
        <f>K858*(MIN(Inputs!$B$22+(F852-Calc!F22),Inputs!$B$23)/100+Inputs!$B$23/100)/2</f>
        <v/>
      </c>
      <c r="M858">
        <f>L858*(1+(Inputs!$B$10+(F851-Calc!F21))/100)</f>
        <v/>
      </c>
      <c r="N858">
        <f>L858*(1-MIN(Inputs!$B$9+(F850-Calc!F20),100)/100)+M858*(MIN(Inputs!$B$9+(F850-Calc!F20),100)/100)</f>
        <v/>
      </c>
      <c r="O858">
        <f>IF(C858,H858*N858*IF(AND(Inputs!$B$38&lt;&gt;"pvp",Inputs!$B$43&gt;0),((Skills!G28*((R858-1)*IF(Skills!H28&gt;0,Skills!I28/Skills!H28,1)+IF(Skills!H28&gt;0,MIN(Skills!I28,MAX(0,Inputs!$B$43-((R858-1)*IF(Inputs!$B$38="pvp",15,MAX(0.1,Skills!E28-IF(Skills!F28=TRUE,Inputs!$B$32,0))))))/Skills!H28,1)))/Inputs!$B$43),G858*Q858)*IF(Inputs!$B$38="pvp",1,(1-Summary!$B$56)*(1)+Summary!$B$56*(MIN(Skills!R28,Inputs!$B$37))),0)</f>
        <v/>
      </c>
      <c r="P858">
        <f>IF(B869=0,0,O858/B869)</f>
        <v/>
      </c>
      <c r="Q858">
        <f>IFERROR(1/IF(Inputs!$B$38="pvp",15,MAX(0.1,Skills!E28-IF(Skills!F28=TRUE,Inputs!$B$32,0))),0)</f>
        <v/>
      </c>
      <c r="R858">
        <f>IF(AND(Inputs!$B$38&lt;&gt;"pvp",Inputs!$B$43&gt;0),(INT(Inputs!$B$43/IF(Inputs!$B$38="pvp",15,MAX(0.1,Skills!E28-IF(Skills!F28=TRUE,Inputs!$B$32,0))))+1),0)</f>
        <v/>
      </c>
    </row>
    <row r="860">
      <c r="A860" t="inlineStr">
        <is>
          <t>Burning Magic Multiplier</t>
        </is>
      </c>
      <c r="B860">
        <f>1+(F841*Skills!Z11)/100</f>
        <v/>
      </c>
    </row>
    <row r="861">
      <c r="A861" t="inlineStr">
        <is>
          <t>Elemental Decrease Multiplier (always-on)</t>
        </is>
      </c>
      <c r="B861">
        <f>1+F842/100</f>
        <v/>
      </c>
    </row>
    <row r="862">
      <c r="A862" t="inlineStr">
        <is>
          <t>Average Buff Multiplier (Magic Guard + Meditation, summed; then Infinity)</t>
        </is>
      </c>
      <c r="B862">
        <f>(1+(F836*IF(AND(Inputs!$B$38&lt;&gt;"pvp",Inputs!$B$43&gt;0),(((R836-1)*(Skills!T6*(1+(Inputs!$B$34+IF(Inputs!$B$3&gt;=117,F855,0))/100))+MIN((Skills!T6*(1+(Inputs!$B$34+IF(Inputs!$B$3&gt;=117,F855,0))/100)),MAX(0,Inputs!$B$43-((R836-1)*Skills!E6))))/Inputs!$B$43),IF(Inputs!$B$38="pvp",MIN((Skills!T6*(1+(Inputs!$B$34+IF(Inputs!$B$3&gt;=117,F855,0))/100)),15)/15,(Skills!T6*(1+(Inputs!$B$34+IF(Inputs!$B$3&gt;=117,F855,0))/100))/Skills!E6))+F847*IF(AND(Inputs!$B$38&lt;&gt;"pvp",Inputs!$B$43&gt;0),(((R847-1)*(Skills!T17*(1+(Inputs!$B$34+IF(Inputs!$B$3&gt;=117,F855,0))/100))+MIN((Skills!T17*(1+(Inputs!$B$34+IF(Inputs!$B$3&gt;=117,F855,0))/100)),MAX(0,Inputs!$B$43-((R847-1)*Skills!E17))))/Inputs!$B$43),IF(Inputs!$B$38="pvp",MIN((Skills!T17*(1+(Inputs!$B$34+IF(Inputs!$B$3&gt;=117,F855,0))/100)),15)/15,(Skills!T17*(1+(Inputs!$B$34+IF(Inputs!$B$3&gt;=117,F855,0))/100))/Skills!E17)))/100)*IF(C849=TRUE,(1+F849*IF(AND(Inputs!$B$38&lt;&gt;"pvp",Inputs!$B$43&gt;0),(((R849-1)*(Skills!T19*(1+(Inputs!$B$34+IF(Inputs!$B$3&gt;=117,F855,0))/100))+MIN((Skills!T19*(1+(Inputs!$B$34+IF(Inputs!$B$3&gt;=117,F855,0))/100)),MAX(0,Inputs!$B$43-((R849-1)*Skills!E19))))/Inputs!$B$43),IF(Inputs!$B$38="pvp",MIN((Skills!T19*(1+(Inputs!$B$34+IF(Inputs!$B$3&gt;=117,F855,0))/100)),15)/15,(Skills!T19*(1+(Inputs!$B$34+IF(Inputs!$B$3&gt;=117,F855,0))/100))/Skills!E19))/100),1)</f>
        <v/>
      </c>
    </row>
    <row r="863">
      <c r="A863" t="inlineStr">
        <is>
          <t>Attack Speed Buff Bonus % (Nimble Feet, averaged)</t>
        </is>
      </c>
      <c r="B863">
        <f>F848*IF(AND(Inputs!$B$38&lt;&gt;"pvp",Inputs!$B$43&gt;0),(((R848-1)*(Skills!T18*(1+(Inputs!$B$34+IF(Inputs!$B$3&gt;=117,F855,0))/100))+MIN((Skills!T18*(1+(Inputs!$B$34+IF(Inputs!$B$3&gt;=117,F855,0))/100)),MAX(0,Inputs!$B$43-((R848-1)*Skills!E18))))/Inputs!$B$43),IF(Inputs!$B$38="pvp",MIN((Skills!T18*(1+(Inputs!$B$34+IF(Inputs!$B$3&gt;=117,F855,0))/100)),15)/15,(Skills!T18*(1+(Inputs!$B$34+IF(Inputs!$B$3&gt;=117,F855,0))/100))/Skills!E18))</f>
        <v/>
      </c>
    </row>
    <row r="864">
      <c r="A864" t="inlineStr">
        <is>
          <t>Actions Per Second</t>
        </is>
      </c>
      <c r="B864">
        <f>1+MIN(150,150*(1-(1-Inputs!$B$11/150)*(1-B863/150)))/100</f>
        <v/>
      </c>
    </row>
    <row r="865">
      <c r="A865" t="inlineStr">
        <is>
          <t>Skill + Buff Cast Rate</t>
        </is>
      </c>
      <c r="B865">
        <f>IF(AND(Inputs!$B$38&lt;&gt;"pvp",Inputs!$B$43&gt;0),SUMPRODUCT((Skills!F2:F28=TRUE)*(C832:C858=TRUE)*R832:R858)/Inputs!$B$43,SUMPRODUCT((Skills!F2:F28=TRUE)*(C832:C858=TRUE)*Q832:Q858))</f>
        <v/>
      </c>
    </row>
    <row r="866">
      <c r="A866" t="inlineStr">
        <is>
          <t>Basic Attacks Per Second</t>
        </is>
      </c>
      <c r="B866">
        <f>MAX(0,B864-B865)</f>
        <v/>
      </c>
    </row>
    <row r="867">
      <c r="A867" t="inlineStr">
        <is>
          <t>Meteor Proc — combined trigger cast rate</t>
        </is>
      </c>
      <c r="B867">
        <f>IF(AND(Inputs!$B$38&lt;&gt;"pvp",Inputs!$B$43&gt;0),SUMPRODUCT((Skills!V2:V28=TRUE)*(C832:C858=TRUE)*R832:R858*Skills!W2:W28)/Inputs!$B$43,SUMPRODUCT((Skills!V2:V28=TRUE)*(C832:C858=TRUE)*Q832:Q858*Skills!W2:W28))+B866</f>
        <v/>
      </c>
    </row>
    <row r="869">
      <c r="A869" s="5" t="inlineStr">
        <is>
          <t>TOTAL DPS</t>
        </is>
      </c>
      <c r="B869" s="5">
        <f>SUM(O832:O858)</f>
        <v/>
      </c>
    </row>
    <row r="872">
      <c r="A872" s="5" t="inlineStr">
        <is>
          <t>Stat: Flat ATTACK</t>
        </is>
      </c>
    </row>
    <row r="873">
      <c r="A873" s="9" t="inlineStr">
        <is>
          <t>Key</t>
        </is>
      </c>
      <c r="B873" s="9" t="inlineStr">
        <is>
          <t>Name</t>
        </is>
      </c>
      <c r="C873" s="9" t="inlineStr">
        <is>
          <t>Unlocked</t>
        </is>
      </c>
      <c r="D873" s="9" t="inlineStr">
        <is>
          <t>InputLevel</t>
        </is>
      </c>
      <c r="E873" s="9" t="inlineStr">
        <is>
          <t>Factor</t>
        </is>
      </c>
      <c r="F873" s="9" t="inlineStr">
        <is>
          <t>CoefficientPercent</t>
        </is>
      </c>
      <c r="G873" s="9" t="inlineStr">
        <is>
          <t>EffectiveHits</t>
        </is>
      </c>
      <c r="H873" s="9" t="inlineStr">
        <is>
          <t>ProcProbability</t>
        </is>
      </c>
      <c r="I873" s="9" t="inlineStr">
        <is>
          <t>MapleHeroMultiplier</t>
        </is>
      </c>
      <c r="J873" s="9" t="inlineStr">
        <is>
          <t>BaseDamage</t>
        </is>
      </c>
      <c r="K873" s="9" t="inlineStr">
        <is>
          <t>BaseHitDamage</t>
        </is>
      </c>
      <c r="L873" s="9" t="inlineStr">
        <is>
          <t>NonCritAvg</t>
        </is>
      </c>
      <c r="M873" s="9" t="inlineStr">
        <is>
          <t>CritAvg</t>
        </is>
      </c>
      <c r="N873" s="9" t="inlineStr">
        <is>
          <t>ExpectedDamage(perHit)</t>
        </is>
      </c>
      <c r="O873" s="9" t="inlineStr">
        <is>
          <t>DPS</t>
        </is>
      </c>
      <c r="P873" s="9" t="inlineStr">
        <is>
          <t>% of Total</t>
        </is>
      </c>
      <c r="R873" t="inlineStr">
        <is>
          <t>helpers</t>
        </is>
      </c>
    </row>
    <row r="874">
      <c r="A874">
        <f>Skills!A2</f>
        <v/>
      </c>
      <c r="B874">
        <f>Skills!B2</f>
        <v/>
      </c>
      <c r="C874">
        <f>TRUE</f>
        <v/>
      </c>
      <c r="D874" t="inlineStr"/>
      <c r="E874" t="inlineStr"/>
      <c r="F874">
        <f>T876+Skills!O2</f>
        <v/>
      </c>
      <c r="G874">
        <f>Calc!G2</f>
        <v/>
      </c>
      <c r="H874">
        <f>Calc!H2</f>
        <v/>
      </c>
      <c r="I874">
        <f>IF(Skills!X2&lt;&gt;"",1+(Skills!X2/10)*(Z875/1000)/100,1)</f>
        <v/>
      </c>
      <c r="J874">
        <f>(((Inputs!$B$6+1)*(1+Inputs!$B$7/100))+(((Inputs!$B$12*(1+Inputs!$B$13/100))-(Inputs!$B$12*(1+Inputs!$B$13/100)))+0.25*(Inputs!$B$14-Inputs!$B$14))*(1+Inputs!$B$7/100))*(F874/100)</f>
        <v/>
      </c>
      <c r="K874">
        <f>J874*(1+((Inputs!$B$12*(1+Inputs!$B$13/100))*0.01+Inputs!$B$14*0.0025)/100)*(1+Inputs!$B$15/100)*(1+IF(Inputs!$B$38="pvp",0,(1-Summary!$B$56)*(Inputs!$B$20+Skills!P2)+Summary!$B$56*(Inputs!$B$21+Skills!Q2))/100)*(1+Inputs!$B$16/100)*(5000/(6000+Inputs!$B$42*(1-Inputs!$B$19/100)))*(1+Inputs!$B$24/100)*(1+F895/100)*(1+IF(Inputs!$B$3&gt;=120,F898,0)/100)^5*(1+(IF(Skills!A2="BASIC_ATTACK",Inputs!$B$17,Inputs!$B$18+IF(Inputs!$B$3&gt;=125,F899*5,0)))/100)*(B902*B903*B904*I874)</f>
        <v/>
      </c>
      <c r="L874">
        <f>K874*(MIN(Inputs!$B$22+(F894-Calc!F22),Inputs!$B$23)/100+Inputs!$B$23/100)/2</f>
        <v/>
      </c>
      <c r="M874">
        <f>L874*(1+(Inputs!$B$10+(F893-Calc!F21))/100)</f>
        <v/>
      </c>
      <c r="N874">
        <f>L874*(1-MIN(Inputs!$B$9+(F892-Calc!F20),100)/100)+M874*(MIN(Inputs!$B$9+(F892-Calc!F20),100)/100)</f>
        <v/>
      </c>
      <c r="O874">
        <f>Skills!G2*N874*B908*IF(Inputs!$B$38="pvp",1,(1-Summary!$B$56)*(1)+Summary!$B$56*(MIN((6+Inputs!$B$33+IF(Inputs!$B$3&gt;=136,1,0)),Inputs!$B$37)))</f>
        <v/>
      </c>
      <c r="P874">
        <f>IF(B911=0,0,O874/B911)</f>
        <v/>
      </c>
      <c r="Q874">
        <f>IFERROR(1/IF(Inputs!$B$38="pvp",15,MAX(0.1,Skills!E2-IF(Skills!F2=TRUE,Inputs!$B$32,0))),0)</f>
        <v/>
      </c>
      <c r="R874" t="n">
        <v>0</v>
      </c>
      <c r="T874">
        <f>MAX(0,(Inputs!$B$3-100)*3)+Inputs!$B$28+Inputs!$B$29</f>
        <v/>
      </c>
      <c r="Z874">
        <f>MAX(0,(Inputs!$B$3-100)*3)+Inputs!$B$28+Inputs!$B$29</f>
        <v/>
      </c>
    </row>
    <row r="875">
      <c r="A875">
        <f>Skills!A3</f>
        <v/>
      </c>
      <c r="B875">
        <f>Skills!B3</f>
        <v/>
      </c>
      <c r="C875">
        <f>TRUE</f>
        <v/>
      </c>
      <c r="D875">
        <f>IF(Skills!C3=1,60+Inputs!$B$25+Inputs!$B$29,IF(Skills!C3=2,90+Inputs!$B$26+Inputs!$B$29,IF(Skills!C3=3,120+Inputs!$B$27+Inputs!$B$29,MAX(0,(Inputs!$B$3-100)*3)+Inputs!$B$28+Inputs!$B$29)))</f>
        <v/>
      </c>
      <c r="E875">
        <f>INDEX(FactorTable!$B$2:$Y$301, MATCH(ROUND(MIN(300,MAX(1,D875)),0), FactorTable!$A$2:$A$301,0), Skills!M3+1)</f>
        <v/>
      </c>
      <c r="F875">
        <f>IF(Skills!N3=TRUE,(Skills!L3/10)*(E875/1000),Skills!L3/10)+Skills!O3</f>
        <v/>
      </c>
      <c r="G875">
        <f>Calc!G3</f>
        <v/>
      </c>
      <c r="H875">
        <f>Calc!H3</f>
        <v/>
      </c>
      <c r="I875">
        <f>IF(Skills!X3&lt;&gt;"",1+(Skills!X3/10)*(Z875/1000)/100,1)</f>
        <v/>
      </c>
      <c r="J875">
        <f>(((Inputs!$B$6+1)*(1+Inputs!$B$7/100))+(((Inputs!$B$12*(1+Inputs!$B$13/100))-(Inputs!$B$12*(1+Inputs!$B$13/100)))+0.25*(Inputs!$B$14-Inputs!$B$14))*(1+Inputs!$B$7/100))*(F875/100)</f>
        <v/>
      </c>
      <c r="K875">
        <f>J875*(1+((Inputs!$B$12*(1+Inputs!$B$13/100))*0.01+Inputs!$B$14*0.0025)/100)*(1+Inputs!$B$15/100)*(1+IF(Inputs!$B$38="pvp",0,(1-Summary!$B$56)*(Inputs!$B$20+Skills!P3)+Summary!$B$56*(Inputs!$B$21+Skills!Q3))/100)*(1+Inputs!$B$16/100)*(5000/(6000+Inputs!$B$42*(1-Inputs!$B$19/100)))*(1+Inputs!$B$24/100)*(1+F895/100)*(1+IF(Inputs!$B$3&gt;=120,F898,0)/100)^5*(1+(IF(Skills!A3="BASIC_ATTACK",Inputs!$B$17,Inputs!$B$18+IF(Inputs!$B$3&gt;=125,F899*5,0)))/100)*(B902*B903*B904*I875)</f>
        <v/>
      </c>
      <c r="L875">
        <f>K875*(MIN(Inputs!$B$22+(F894-Calc!F22),Inputs!$B$23)/100+Inputs!$B$23/100)/2</f>
        <v/>
      </c>
      <c r="M875">
        <f>L875*(1+(Inputs!$B$10+(F893-Calc!F21))/100)</f>
        <v/>
      </c>
      <c r="N875">
        <f>L875*(1-MIN(Inputs!$B$9+(F892-Calc!F20),100)/100)+M875*(MIN(Inputs!$B$9+(F892-Calc!F20),100)/100)</f>
        <v/>
      </c>
      <c r="O875">
        <f>IF(C875,H875*N875*IF(AND(Inputs!$B$38&lt;&gt;"pvp",Inputs!$B$43&gt;0),((Skills!G3*((R875-1)*IF(Skills!H3&gt;0,Skills!I3/Skills!H3,1)+IF(Skills!H3&gt;0,MIN(Skills!I3,MAX(0,Inputs!$B$43-((R875-1)*IF(Inputs!$B$38="pvp",15,MAX(0.1,Skills!E3-IF(Skills!F3=TRUE,Inputs!$B$32,0))))))/Skills!H3,1)))/Inputs!$B$43),G875*Q875)*IF(Inputs!$B$38="pvp",1,(1-Summary!$B$56)*(1)+Summary!$B$56*(MIN(Skills!R3,Inputs!$B$37))),0)</f>
        <v/>
      </c>
      <c r="P875">
        <f>IF(B911=0,0,O875/B911)</f>
        <v/>
      </c>
      <c r="Q875">
        <f>IFERROR(1/IF(Inputs!$B$38="pvp",15,MAX(0.1,Skills!E3-IF(Skills!F3=TRUE,Inputs!$B$32,0))),0)</f>
        <v/>
      </c>
      <c r="R875">
        <f>IF(AND(Inputs!$B$38&lt;&gt;"pvp",Inputs!$B$43&gt;0),(INT(Inputs!$B$43/IF(Inputs!$B$38="pvp",15,MAX(0.1,Skills!E3-IF(Skills!F3=TRUE,Inputs!$B$32,0))))+1),0)</f>
        <v/>
      </c>
      <c r="T875">
        <f>INDEX(FactorTable!$B$2:$Y$301, MATCH(ROUND(MIN(300,MAX(1,T874)),0), FactorTable!$A$2:$A$301,0), 22)</f>
        <v/>
      </c>
      <c r="Z875">
        <f>INDEX(FactorTable!$B$2:$Y$301, MATCH(ROUND(MIN(300,MAX(1,Z874)),0), FactorTable!$A$2:$A$301,0), 24)</f>
        <v/>
      </c>
    </row>
    <row r="876">
      <c r="A876">
        <f>Skills!A4</f>
        <v/>
      </c>
      <c r="B876">
        <f>Skills!B4</f>
        <v/>
      </c>
      <c r="C876">
        <f>TRUE</f>
        <v/>
      </c>
      <c r="D876">
        <f>IF(Skills!C4=1,60+Inputs!$B$25+Inputs!$B$29,IF(Skills!C4=2,90+Inputs!$B$26+Inputs!$B$29,IF(Skills!C4=3,120+Inputs!$B$27+Inputs!$B$29,MAX(0,(Inputs!$B$3-100)*3)+Inputs!$B$28+Inputs!$B$29)))</f>
        <v/>
      </c>
      <c r="E876">
        <f>INDEX(FactorTable!$B$2:$Y$301, MATCH(ROUND(MIN(300,MAX(1,D876)),0), FactorTable!$A$2:$A$301,0), Skills!M4+1)</f>
        <v/>
      </c>
      <c r="F876">
        <f>IF(Skills!N4=TRUE,(Skills!L4/10)*(E876/1000),Skills!L4/10)+Skills!O4</f>
        <v/>
      </c>
      <c r="G876">
        <f>Calc!G4</f>
        <v/>
      </c>
      <c r="H876">
        <f>Calc!H4</f>
        <v/>
      </c>
      <c r="I876">
        <f>IF(Skills!X4&lt;&gt;"",1+(Skills!X4/10)*(Z875/1000)/100,1)</f>
        <v/>
      </c>
      <c r="J876">
        <f>(((Inputs!$B$6+1)*(1+Inputs!$B$7/100))+(((Inputs!$B$12*(1+Inputs!$B$13/100))-(Inputs!$B$12*(1+Inputs!$B$13/100)))+0.25*(Inputs!$B$14-Inputs!$B$14))*(1+Inputs!$B$7/100))*(F876/100)</f>
        <v/>
      </c>
      <c r="K876">
        <f>J876*(1+((Inputs!$B$12*(1+Inputs!$B$13/100))*0.01+Inputs!$B$14*0.0025)/100)*(1+Inputs!$B$15/100)*(1+IF(Inputs!$B$38="pvp",0,(1-Summary!$B$56)*(Inputs!$B$20+Skills!P4)+Summary!$B$56*(Inputs!$B$21+Skills!Q4))/100)*(1+Inputs!$B$16/100)*(5000/(6000+Inputs!$B$42*(1-Inputs!$B$19/100)))*(1+Inputs!$B$24/100)*(1+F895/100)*(1+IF(Inputs!$B$3&gt;=120,F898,0)/100)^5*(1+(IF(Skills!A4="BASIC_ATTACK",Inputs!$B$17,Inputs!$B$18+IF(Inputs!$B$3&gt;=125,F899*5,0)))/100)*(B902*B903*B904*I876)</f>
        <v/>
      </c>
      <c r="L876">
        <f>K876*(MIN(Inputs!$B$22+(F894-Calc!F22),Inputs!$B$23)/100+Inputs!$B$23/100)/2</f>
        <v/>
      </c>
      <c r="M876">
        <f>L876*(1+(Inputs!$B$10+(F893-Calc!F21))/100)</f>
        <v/>
      </c>
      <c r="N876">
        <f>L876*(1-MIN(Inputs!$B$9+(F892-Calc!F20),100)/100)+M876*(MIN(Inputs!$B$9+(F892-Calc!F20),100)/100)</f>
        <v/>
      </c>
      <c r="O876">
        <f>IF(C876,H876*N876*IF(AND(Inputs!$B$38&lt;&gt;"pvp",Inputs!$B$43&gt;0),((Skills!G4*((R876-1)*IF(Skills!H4&gt;0,Skills!I4/Skills!H4,1)+IF(Skills!H4&gt;0,MIN(Skills!I4,MAX(0,Inputs!$B$43-((R876-1)*IF(Inputs!$B$38="pvp",15,MAX(0.1,Skills!E4-IF(Skills!F4=TRUE,Inputs!$B$32,0))))))/Skills!H4,1)))/Inputs!$B$43),G876*Q876)*IF(Inputs!$B$38="pvp",1,(1-Summary!$B$56)*(1)+Summary!$B$56*(MIN(Skills!R4,Inputs!$B$37))),0)</f>
        <v/>
      </c>
      <c r="P876">
        <f>IF(B911=0,0,O876/B911)</f>
        <v/>
      </c>
      <c r="Q876">
        <f>IFERROR(1/IF(Inputs!$B$38="pvp",15,MAX(0.1,Skills!E4-IF(Skills!F4=TRUE,Inputs!$B$32,0))),0)</f>
        <v/>
      </c>
      <c r="R876">
        <f>IF(AND(Inputs!$B$38&lt;&gt;"pvp",Inputs!$B$43&gt;0),(INT(Inputs!$B$43/IF(Inputs!$B$38="pvp",15,MAX(0.1,Skills!E4-IF(Skills!F4=TRUE,Inputs!$B$32,0))))+1),0)</f>
        <v/>
      </c>
      <c r="T876">
        <f>290*T875/1000</f>
        <v/>
      </c>
    </row>
    <row r="877">
      <c r="A877">
        <f>Skills!A5</f>
        <v/>
      </c>
      <c r="B877">
        <f>Skills!B5</f>
        <v/>
      </c>
      <c r="C877">
        <f>TRUE</f>
        <v/>
      </c>
      <c r="D877">
        <f>IF(Skills!C5=1,60+Inputs!$B$25+Inputs!$B$29,IF(Skills!C5=2,90+Inputs!$B$26+Inputs!$B$29,IF(Skills!C5=3,120+Inputs!$B$27+Inputs!$B$29,MAX(0,(Inputs!$B$3-100)*3)+Inputs!$B$28+Inputs!$B$29)))</f>
        <v/>
      </c>
      <c r="E877">
        <f>INDEX(FactorTable!$B$2:$Y$301, MATCH(ROUND(MIN(300,MAX(1,D877)),0), FactorTable!$A$2:$A$301,0), Skills!M5+1)</f>
        <v/>
      </c>
      <c r="F877">
        <f>IF(Skills!N5=TRUE,(Skills!L5/10)*(E877/1000),Skills!L5/10)+Skills!O5</f>
        <v/>
      </c>
      <c r="G877">
        <f>Calc!G5</f>
        <v/>
      </c>
      <c r="H877">
        <f>Calc!H5</f>
        <v/>
      </c>
      <c r="I877">
        <f>IF(Skills!X5&lt;&gt;"",1+(Skills!X5/10)*(Z875/1000)/100,1)</f>
        <v/>
      </c>
      <c r="J877">
        <f>(((Inputs!$B$6+1)*(1+Inputs!$B$7/100))+(((Inputs!$B$12*(1+Inputs!$B$13/100))-(Inputs!$B$12*(1+Inputs!$B$13/100)))+0.25*(Inputs!$B$14-Inputs!$B$14))*(1+Inputs!$B$7/100))*(F877/100)</f>
        <v/>
      </c>
      <c r="K877">
        <f>J877*(1+((Inputs!$B$12*(1+Inputs!$B$13/100))*0.01+Inputs!$B$14*0.0025)/100)*(1+Inputs!$B$15/100)*(1+IF(Inputs!$B$38="pvp",0,(1-Summary!$B$56)*(Inputs!$B$20+Skills!P5)+Summary!$B$56*(Inputs!$B$21+Skills!Q5))/100)*(1+Inputs!$B$16/100)*(5000/(6000+Inputs!$B$42*(1-Inputs!$B$19/100)))*(1+Inputs!$B$24/100)*(1+F895/100)*(1+IF(Inputs!$B$3&gt;=120,F898,0)/100)^5*(1+(IF(Skills!A5="BASIC_ATTACK",Inputs!$B$17,Inputs!$B$18+IF(Inputs!$B$3&gt;=125,F899*5,0)))/100)*(B902*B903*B904*I877)</f>
        <v/>
      </c>
      <c r="L877">
        <f>K877*(MIN(Inputs!$B$22+(F894-Calc!F22),Inputs!$B$23)/100+Inputs!$B$23/100)/2</f>
        <v/>
      </c>
      <c r="M877">
        <f>L877*(1+(Inputs!$B$10+(F893-Calc!F21))/100)</f>
        <v/>
      </c>
      <c r="N877">
        <f>L877*(1-MIN(Inputs!$B$9+(F892-Calc!F20),100)/100)+M877*(MIN(Inputs!$B$9+(F892-Calc!F20),100)/100)</f>
        <v/>
      </c>
      <c r="O877">
        <f>IF(C877,H877*N877*IF(AND(Inputs!$B$38&lt;&gt;"pvp",Inputs!$B$43&gt;0),((Skills!G5*((R877-1)*IF(Skills!H5&gt;0,Skills!I5/Skills!H5,1)+IF(Skills!H5&gt;0,MIN(Skills!I5,MAX(0,Inputs!$B$43-((R877-1)*IF(Inputs!$B$38="pvp",15,MAX(0.1,Skills!E5-IF(Skills!F5=TRUE,Inputs!$B$32,0))))))/Skills!H5,1)))/Inputs!$B$43),G877*Q877)*IF(Inputs!$B$38="pvp",1,(1-Summary!$B$56)*(1)+Summary!$B$56*(MIN(Skills!R5,Inputs!$B$37))),0)</f>
        <v/>
      </c>
      <c r="P877">
        <f>IF(B911=0,0,O877/B911)</f>
        <v/>
      </c>
      <c r="Q877">
        <f>IFERROR(1/IF(Inputs!$B$38="pvp",15,MAX(0.1,Skills!E5-IF(Skills!F5=TRUE,Inputs!$B$32,0))),0)</f>
        <v/>
      </c>
      <c r="R877">
        <f>IF(AND(Inputs!$B$38&lt;&gt;"pvp",Inputs!$B$43&gt;0),(INT(Inputs!$B$43/IF(Inputs!$B$38="pvp",15,MAX(0.1,Skills!E5-IF(Skills!F5=TRUE,Inputs!$B$32,0))))+1),0)</f>
        <v/>
      </c>
    </row>
    <row r="878">
      <c r="A878">
        <f>Skills!A6</f>
        <v/>
      </c>
      <c r="B878">
        <f>Skills!B6</f>
        <v/>
      </c>
      <c r="C878">
        <f>TRUE</f>
        <v/>
      </c>
      <c r="D878">
        <f>IF(Skills!C6=1,60+Inputs!$B$25+Inputs!$B$29,IF(Skills!C6=2,90+Inputs!$B$26+Inputs!$B$29,IF(Skills!C6=3,120+Inputs!$B$27+Inputs!$B$29,MAX(0,(Inputs!$B$3-100)*3)+Inputs!$B$28+Inputs!$B$29)))</f>
        <v/>
      </c>
      <c r="E878">
        <f>INDEX(FactorTable!$B$2:$Y$301, MATCH(ROUND(MIN(300,MAX(1,D878)),0), FactorTable!$A$2:$A$301,0), Skills!M6+1)</f>
        <v/>
      </c>
      <c r="F878">
        <f>IF(Skills!N6=TRUE,(Skills!L6/10)*(E878/1000),Skills!L6/10)+Skills!O6</f>
        <v/>
      </c>
      <c r="G878">
        <f>Calc!G6</f>
        <v/>
      </c>
      <c r="H878">
        <f>Calc!H6</f>
        <v/>
      </c>
      <c r="I878">
        <f>IF(Skills!X6&lt;&gt;"",1+(Skills!X6/10)*(Z875/1000)/100,1)</f>
        <v/>
      </c>
      <c r="J878" t="inlineStr"/>
      <c r="K878" t="inlineStr"/>
      <c r="L878" t="inlineStr"/>
      <c r="M878" t="inlineStr"/>
      <c r="N878" t="inlineStr"/>
      <c r="O878" t="n">
        <v>0</v>
      </c>
      <c r="P878">
        <f>IF(B911=0,0,O878/B911)</f>
        <v/>
      </c>
      <c r="Q878">
        <f>IFERROR(1/IF(Inputs!$B$38="pvp",15,MAX(0.1,Skills!E6-IF(Skills!F6=TRUE,Inputs!$B$32,0))),0)</f>
        <v/>
      </c>
      <c r="R878">
        <f>IF(AND(Inputs!$B$38&lt;&gt;"pvp",Inputs!$B$43&gt;0),(INT(Inputs!$B$43/IF(Inputs!$B$38="pvp",15,MAX(0.1,Skills!E6-IF(Skills!F6=TRUE,Inputs!$B$32,0))))+1),0)</f>
        <v/>
      </c>
    </row>
    <row r="879">
      <c r="A879">
        <f>Skills!A7</f>
        <v/>
      </c>
      <c r="B879">
        <f>Skills!B7</f>
        <v/>
      </c>
      <c r="C879">
        <f>TRUE</f>
        <v/>
      </c>
      <c r="D879">
        <f>IF(Skills!C7=1,60+Inputs!$B$25+Inputs!$B$29,IF(Skills!C7=2,90+Inputs!$B$26+Inputs!$B$29,IF(Skills!C7=3,120+Inputs!$B$27+Inputs!$B$29,MAX(0,(Inputs!$B$3-100)*3)+Inputs!$B$28+Inputs!$B$29)))</f>
        <v/>
      </c>
      <c r="E879">
        <f>INDEX(FactorTable!$B$2:$Y$301, MATCH(ROUND(MIN(300,MAX(1,D879)),0), FactorTable!$A$2:$A$301,0), Skills!M7+1)</f>
        <v/>
      </c>
      <c r="F879">
        <f>IF(Skills!N7=TRUE,(Skills!L7/10)*(E879/1000),Skills!L7/10)+Skills!O7</f>
        <v/>
      </c>
      <c r="G879">
        <f>Calc!G7</f>
        <v/>
      </c>
      <c r="H879">
        <f>Calc!H7</f>
        <v/>
      </c>
      <c r="I879">
        <f>IF(Skills!X7&lt;&gt;"",1+(Skills!X7/10)*(Z875/1000)/100,1)</f>
        <v/>
      </c>
      <c r="J879">
        <f>(((Inputs!$B$6+1)*(1+Inputs!$B$7/100))+(((Inputs!$B$12*(1+Inputs!$B$13/100))-(Inputs!$B$12*(1+Inputs!$B$13/100)))+0.25*(Inputs!$B$14-Inputs!$B$14))*(1+Inputs!$B$7/100))*(F879/100)</f>
        <v/>
      </c>
      <c r="K879">
        <f>J879*(1+((Inputs!$B$12*(1+Inputs!$B$13/100))*0.01+Inputs!$B$14*0.0025)/100)*(1+Inputs!$B$15/100)*(1+IF(Inputs!$B$38="pvp",0,(1-Summary!$B$56)*(Inputs!$B$20+Skills!P7)+Summary!$B$56*(Inputs!$B$21+Skills!Q7))/100)*(1+Inputs!$B$16/100)*(5000/(6000+Inputs!$B$42*(1-Inputs!$B$19/100)))*(1+Inputs!$B$24/100)*(1+F895/100)*(1+IF(Inputs!$B$3&gt;=120,F898,0)/100)^5*(1+(IF(Skills!A7="BASIC_ATTACK",Inputs!$B$17,Inputs!$B$18+IF(Inputs!$B$3&gt;=125,F899*5,0)))/100)*(B902*B903*B904*I879)</f>
        <v/>
      </c>
      <c r="L879">
        <f>K879*(MIN(Inputs!$B$22+(F894-Calc!F22),Inputs!$B$23)/100+Inputs!$B$23/100)/2</f>
        <v/>
      </c>
      <c r="M879">
        <f>L879*(1+(Inputs!$B$10+(F893-Calc!F21))/100)</f>
        <v/>
      </c>
      <c r="N879">
        <f>L879*(1-MIN(Inputs!$B$9+(F892-Calc!F20),100)/100)+M879*(MIN(Inputs!$B$9+(F892-Calc!F20),100)/100)</f>
        <v/>
      </c>
      <c r="O879">
        <f>IF(C879,H879*N879*IF(AND(Inputs!$B$38&lt;&gt;"pvp",Inputs!$B$43&gt;0),((Skills!G7*((R879-1)*IF(Skills!H7&gt;0,Skills!I7/Skills!H7,1)+IF(Skills!H7&gt;0,MIN(Skills!I7,MAX(0,Inputs!$B$43-((R879-1)*IF(Inputs!$B$38="pvp",15,MAX(0.1,Skills!E7-IF(Skills!F7=TRUE,Inputs!$B$32,0))))))/Skills!H7,1)))/Inputs!$B$43),G879*Q879)*IF(Inputs!$B$38="pvp",1,(1-Summary!$B$56)*(1)+Summary!$B$56*(MIN(Skills!R7,Inputs!$B$37))),0)</f>
        <v/>
      </c>
      <c r="P879">
        <f>IF(B911=0,0,O879/B911)</f>
        <v/>
      </c>
      <c r="Q879">
        <f>IFERROR(1/IF(Inputs!$B$38="pvp",15,MAX(0.1,Skills!E7-IF(Skills!F7=TRUE,Inputs!$B$32,0))),0)</f>
        <v/>
      </c>
      <c r="R879">
        <f>IF(AND(Inputs!$B$38&lt;&gt;"pvp",Inputs!$B$43&gt;0),(INT(Inputs!$B$43/IF(Inputs!$B$38="pvp",15,MAX(0.1,Skills!E7-IF(Skills!F7=TRUE,Inputs!$B$32,0))))+1),0)</f>
        <v/>
      </c>
    </row>
    <row r="880">
      <c r="A880">
        <f>Skills!A8</f>
        <v/>
      </c>
      <c r="B880">
        <f>Skills!B8</f>
        <v/>
      </c>
      <c r="C880">
        <f>TRUE</f>
        <v/>
      </c>
      <c r="D880">
        <f>IF(Skills!C8=1,60+Inputs!$B$25+Inputs!$B$29,IF(Skills!C8=2,90+Inputs!$B$26+Inputs!$B$29,IF(Skills!C8=3,120+Inputs!$B$27+Inputs!$B$29,MAX(0,(Inputs!$B$3-100)*3)+Inputs!$B$28+Inputs!$B$29)))</f>
        <v/>
      </c>
      <c r="E880">
        <f>INDEX(FactorTable!$B$2:$Y$301, MATCH(ROUND(MIN(300,MAX(1,D880)),0), FactorTable!$A$2:$A$301,0), Skills!M8+1)</f>
        <v/>
      </c>
      <c r="F880">
        <f>IF(Skills!N8=TRUE,(Skills!L8/10)*(E880/1000),Skills!L8/10)+Skills!O8</f>
        <v/>
      </c>
      <c r="G880">
        <f>Calc!G8</f>
        <v/>
      </c>
      <c r="H880">
        <f>Calc!H8</f>
        <v/>
      </c>
      <c r="I880">
        <f>IF(Skills!X8&lt;&gt;"",1+(Skills!X8/10)*(Z875/1000)/100,1)</f>
        <v/>
      </c>
      <c r="J880">
        <f>(((Inputs!$B$6+1)*(1+Inputs!$B$7/100))+(((Inputs!$B$12*(1+Inputs!$B$13/100))-(Inputs!$B$12*(1+Inputs!$B$13/100)))+0.25*(Inputs!$B$14-Inputs!$B$14))*(1+Inputs!$B$7/100))*(F880/100)</f>
        <v/>
      </c>
      <c r="K880">
        <f>J880*(1+((Inputs!$B$12*(1+Inputs!$B$13/100))*0.01+Inputs!$B$14*0.0025)/100)*(1+Inputs!$B$15/100)*(1+IF(Inputs!$B$38="pvp",0,(1-Summary!$B$56)*(Inputs!$B$20+Skills!P8)+Summary!$B$56*(Inputs!$B$21+Skills!Q8))/100)*(1+Inputs!$B$16/100)*(5000/(6000+Inputs!$B$42*(1-Inputs!$B$19/100)))*(1+Inputs!$B$24/100)*(1+F895/100)*(1+IF(Inputs!$B$3&gt;=120,F898,0)/100)^5*(1+(IF(Skills!A8="BASIC_ATTACK",Inputs!$B$17,Inputs!$B$18+IF(Inputs!$B$3&gt;=125,F899*5,0)))/100)*(B902*B903*B904*I880)</f>
        <v/>
      </c>
      <c r="L880">
        <f>K880*(MIN(Inputs!$B$22+(F894-Calc!F22),Inputs!$B$23)/100+Inputs!$B$23/100)/2</f>
        <v/>
      </c>
      <c r="M880">
        <f>L880*(1+(Inputs!$B$10+(F893-Calc!F21))/100)</f>
        <v/>
      </c>
      <c r="N880">
        <f>L880*(1-MIN(Inputs!$B$9+(F892-Calc!F20),100)/100)+M880*(MIN(Inputs!$B$9+(F892-Calc!F20),100)/100)</f>
        <v/>
      </c>
      <c r="O880">
        <f>IF(C880,H880*N880*IF(AND(Inputs!$B$38&lt;&gt;"pvp",Inputs!$B$43&gt;0),((Skills!G8*((R880-1)*IF(Skills!H8&gt;0,Skills!I8/Skills!H8,1)+IF(Skills!H8&gt;0,MIN(Skills!I8,MAX(0,Inputs!$B$43-((R880-1)*IF(Inputs!$B$38="pvp",15,MAX(0.1,Skills!E8-IF(Skills!F8=TRUE,Inputs!$B$32,0))))))/Skills!H8,1)))/Inputs!$B$43),G880*Q880)*IF(Inputs!$B$38="pvp",1,(1-Summary!$B$56)*(1)+Summary!$B$56*(MIN(Skills!R8,Inputs!$B$37))),0)</f>
        <v/>
      </c>
      <c r="P880">
        <f>IF(B911=0,0,O880/B911)</f>
        <v/>
      </c>
      <c r="Q880">
        <f>IFERROR(1/IF(Inputs!$B$38="pvp",15,MAX(0.1,Skills!E8-IF(Skills!F8=TRUE,Inputs!$B$32,0))),0)</f>
        <v/>
      </c>
      <c r="R880">
        <f>IF(AND(Inputs!$B$38&lt;&gt;"pvp",Inputs!$B$43&gt;0),(INT(Inputs!$B$43/IF(Inputs!$B$38="pvp",15,MAX(0.1,Skills!E8-IF(Skills!F8=TRUE,Inputs!$B$32,0))))+1),0)</f>
        <v/>
      </c>
    </row>
    <row r="881">
      <c r="A881">
        <f>Skills!A9</f>
        <v/>
      </c>
      <c r="B881">
        <f>Skills!B9</f>
        <v/>
      </c>
      <c r="C881">
        <f>Inputs!$B$3&gt;=103</f>
        <v/>
      </c>
      <c r="D881">
        <f>IF(Skills!C9=1,60+Inputs!$B$25+Inputs!$B$29,IF(Skills!C9=2,90+Inputs!$B$26+Inputs!$B$29,IF(Skills!C9=3,120+Inputs!$B$27+Inputs!$B$29,MAX(0,(Inputs!$B$3-100)*3)+Inputs!$B$28+Inputs!$B$29)))</f>
        <v/>
      </c>
      <c r="E881">
        <f>INDEX(FactorTable!$B$2:$Y$301, MATCH(ROUND(MIN(300,MAX(1,D881)),0), FactorTable!$A$2:$A$301,0), Skills!M9+1)</f>
        <v/>
      </c>
      <c r="F881">
        <f>IF(Skills!N9=TRUE,(Skills!L9/10)*(E881/1000),Skills!L9/10)+Skills!O9</f>
        <v/>
      </c>
      <c r="G881">
        <f>Calc!G9</f>
        <v/>
      </c>
      <c r="H881">
        <f>Calc!H9</f>
        <v/>
      </c>
      <c r="I881">
        <f>IF(Skills!X9&lt;&gt;"",1+(Skills!X9/10)*(Z875/1000)/100,1)</f>
        <v/>
      </c>
      <c r="J881">
        <f>(((Inputs!$B$6+1)*(1+Inputs!$B$7/100))+(((Inputs!$B$12*(1+Inputs!$B$13/100))-(Inputs!$B$12*(1+Inputs!$B$13/100)))+0.25*(Inputs!$B$14-Inputs!$B$14))*(1+Inputs!$B$7/100))*(F881/100)</f>
        <v/>
      </c>
      <c r="K881">
        <f>J881*(1+((Inputs!$B$12*(1+Inputs!$B$13/100))*0.01+Inputs!$B$14*0.0025)/100)*(1+Inputs!$B$15/100)*(1+IF(Inputs!$B$38="pvp",0,(1-Summary!$B$56)*(Inputs!$B$20+Skills!P9)+Summary!$B$56*(Inputs!$B$21+Skills!Q9))/100)*(1+Inputs!$B$16/100)*(5000/(6000+Inputs!$B$42*(1-Inputs!$B$19/100)))*(1+Inputs!$B$24/100)*(1+F895/100)*(1+IF(Inputs!$B$3&gt;=120,F898,0)/100)^5*(1+(IF(Skills!A9="BASIC_ATTACK",Inputs!$B$17,Inputs!$B$18+IF(Inputs!$B$3&gt;=125,F899*5,0)))/100)*(B902*B903*B904*I881)</f>
        <v/>
      </c>
      <c r="L881">
        <f>K881*(MIN(Inputs!$B$22+(F894-Calc!F22),Inputs!$B$23)/100+Inputs!$B$23/100)/2</f>
        <v/>
      </c>
      <c r="M881">
        <f>L881*(1+(Inputs!$B$10+(F893-Calc!F21))/100)</f>
        <v/>
      </c>
      <c r="N881">
        <f>L881*(1-MIN(Inputs!$B$9+(F892-Calc!F20),100)/100)+M881*(MIN(Inputs!$B$9+(F892-Calc!F20),100)/100)</f>
        <v/>
      </c>
      <c r="O881">
        <f>IF(C881,H881*N881*IF(AND(Inputs!$B$38&lt;&gt;"pvp",Inputs!$B$43&gt;0),((Skills!G9*((R881-1)*IF(Skills!H9&gt;0,Skills!I9/Skills!H9,1)+IF(Skills!H9&gt;0,MIN(Skills!I9,MAX(0,Inputs!$B$43-((R881-1)*IF(Inputs!$B$38="pvp",15,MAX(0.1,Skills!E9-IF(Skills!F7=TRUE,Inputs!$B$32,0))))))/Skills!H9,1)))/Inputs!$B$43),G881*Q881)*IF(Inputs!$B$38="pvp",1,(1-Summary!$B$56)*(1)+Summary!$B$56*(MIN(Skills!R9,Inputs!$B$37))),0)</f>
        <v/>
      </c>
      <c r="P881">
        <f>IF(B911=0,0,O881/B911)</f>
        <v/>
      </c>
      <c r="Q881">
        <f>IFERROR(1/IF(Inputs!$B$38="pvp",15,MAX(0.1,Skills!E9-IF(Skills!F7=TRUE,Inputs!$B$32,0))),0)</f>
        <v/>
      </c>
      <c r="R881">
        <f>IF(AND(Inputs!$B$38&lt;&gt;"pvp",Inputs!$B$43&gt;0),(INT(Inputs!$B$43/IF(Inputs!$B$38="pvp",15,MAX(0.1,Skills!E9-IF(Skills!F7=TRUE,Inputs!$B$32,0))))+1),0)</f>
        <v/>
      </c>
    </row>
    <row r="882">
      <c r="A882">
        <f>Skills!A10</f>
        <v/>
      </c>
      <c r="B882">
        <f>Skills!B10</f>
        <v/>
      </c>
      <c r="C882">
        <f>TRUE</f>
        <v/>
      </c>
      <c r="D882">
        <f>IF(Skills!C10=1,60+Inputs!$B$25+Inputs!$B$29,IF(Skills!C10=2,90+Inputs!$B$26+Inputs!$B$29,IF(Skills!C10=3,120+Inputs!$B$27+Inputs!$B$29,MAX(0,(Inputs!$B$3-100)*3)+Inputs!$B$28+Inputs!$B$29)))</f>
        <v/>
      </c>
      <c r="E882">
        <f>INDEX(FactorTable!$B$2:$Y$301, MATCH(ROUND(MIN(300,MAX(1,D882)),0), FactorTable!$A$2:$A$301,0), Skills!M10+1)</f>
        <v/>
      </c>
      <c r="F882">
        <f>IF(Skills!N10=TRUE,(Skills!L10/10)*(E882/1000),Skills!L10/10)+Skills!O10</f>
        <v/>
      </c>
      <c r="G882">
        <f>Calc!G10</f>
        <v/>
      </c>
      <c r="H882">
        <f>Calc!H10</f>
        <v/>
      </c>
      <c r="I882">
        <f>IF(Skills!X10&lt;&gt;"",1+(Skills!X10/10)*(Z875/1000)/100,1)</f>
        <v/>
      </c>
      <c r="J882">
        <f>(((Inputs!$B$6+1)*(1+Inputs!$B$7/100))+(((Inputs!$B$12*(1+Inputs!$B$13/100))-(Inputs!$B$12*(1+Inputs!$B$13/100)))+0.25*(Inputs!$B$14-Inputs!$B$14))*(1+Inputs!$B$7/100))*(F882/100)</f>
        <v/>
      </c>
      <c r="K882">
        <f>J882*(1+((Inputs!$B$12*(1+Inputs!$B$13/100))*0.01+Inputs!$B$14*0.0025)/100)*(1+Inputs!$B$15/100)*(1+IF(Inputs!$B$38="pvp",0,(1-Summary!$B$56)*(Inputs!$B$20+Skills!P10)+Summary!$B$56*(Inputs!$B$21+Skills!Q10))/100)*(1+Inputs!$B$16/100)*(5000/(6000+Inputs!$B$42*(1-Inputs!$B$19/100)))*(1+Inputs!$B$24/100)*(1+F895/100)*(1+IF(Inputs!$B$3&gt;=120,F898,0)/100)^5*(1+(IF(Skills!A10="BASIC_ATTACK",Inputs!$B$17,Inputs!$B$18+IF(Inputs!$B$3&gt;=125,F899*5,0)))/100)*(B902*B903*B904*I882)</f>
        <v/>
      </c>
      <c r="L882">
        <f>K882*(MIN(Inputs!$B$22+(F894-Calc!F22),Inputs!$B$23)/100+Inputs!$B$23/100)/2</f>
        <v/>
      </c>
      <c r="M882">
        <f>L882*(1+(Inputs!$B$10+(F893-Calc!F21))/100)</f>
        <v/>
      </c>
      <c r="N882">
        <f>L882*(1-MIN(Inputs!$B$9+(F892-Calc!F20),100)/100)+M882*(MIN(Inputs!$B$9+(F892-Calc!F20),100)/100)</f>
        <v/>
      </c>
      <c r="O882">
        <f>IF(C882,H882*N882*IF(AND(Inputs!$B$38&lt;&gt;"pvp",Inputs!$B$43&gt;0),((Skills!G10*((R882-1)*IF(Skills!H10&gt;0,Skills!I10/Skills!H10,1)+IF(Skills!H10&gt;0,MIN(Skills!I10,MAX(0,Inputs!$B$43-((R882-1)*IF(Inputs!$B$38="pvp",15,MAX(0.1,Skills!E10-IF(Skills!F10=TRUE,Inputs!$B$32,0))))))/Skills!H10,1)))/Inputs!$B$43),G882*Q882)*IF(Inputs!$B$38="pvp",1,(1-Summary!$B$56)*(1)+Summary!$B$56*(MIN(Skills!R10,Inputs!$B$37))),0)</f>
        <v/>
      </c>
      <c r="P882">
        <f>IF(B911=0,0,O882/B911)</f>
        <v/>
      </c>
      <c r="Q882">
        <f>IFERROR(1/IF(Inputs!$B$38="pvp",15,MAX(0.1,Skills!E10-IF(Skills!F10=TRUE,Inputs!$B$32,0))),0)</f>
        <v/>
      </c>
      <c r="R882">
        <f>IF(AND(Inputs!$B$38&lt;&gt;"pvp",Inputs!$B$43&gt;0),(INT(Inputs!$B$43/IF(Inputs!$B$38="pvp",15,MAX(0.1,Skills!E10-IF(Skills!F10=TRUE,Inputs!$B$32,0))))+1),0)</f>
        <v/>
      </c>
    </row>
    <row r="883">
      <c r="A883">
        <f>Skills!A11</f>
        <v/>
      </c>
      <c r="B883">
        <f>Skills!B11</f>
        <v/>
      </c>
      <c r="C883">
        <f>TRUE</f>
        <v/>
      </c>
      <c r="D883">
        <f>IF(Skills!C11=1,60+Inputs!$B$25+Inputs!$B$29,IF(Skills!C11=2,90+Inputs!$B$26+Inputs!$B$29,IF(Skills!C11=3,120+Inputs!$B$27+Inputs!$B$29,MAX(0,(Inputs!$B$3-100)*3)+Inputs!$B$28+Inputs!$B$29)))</f>
        <v/>
      </c>
      <c r="E883">
        <f>INDEX(FactorTable!$B$2:$Y$301, MATCH(ROUND(MIN(300,MAX(1,D883)),0), FactorTable!$A$2:$A$301,0), Skills!M11+1)</f>
        <v/>
      </c>
      <c r="F883">
        <f>IF(Skills!N11=TRUE,(Skills!L11/10)*(E883/1000),Skills!L11/10)+Skills!O11</f>
        <v/>
      </c>
      <c r="G883">
        <f>Calc!G11</f>
        <v/>
      </c>
      <c r="H883">
        <f>Calc!H11</f>
        <v/>
      </c>
      <c r="I883">
        <f>IF(Skills!X11&lt;&gt;"",1+(Skills!X11/10)*(Z875/1000)/100,1)</f>
        <v/>
      </c>
      <c r="J883" t="inlineStr"/>
      <c r="K883" t="inlineStr"/>
      <c r="L883" t="inlineStr"/>
      <c r="M883" t="inlineStr"/>
      <c r="N883" t="inlineStr"/>
      <c r="O883" t="n">
        <v>0</v>
      </c>
      <c r="P883">
        <f>IF(B911=0,0,O883/B911)</f>
        <v/>
      </c>
      <c r="Q883">
        <f>IFERROR(1/IF(Inputs!$B$38="pvp",15,MAX(0.1,Skills!E11-IF(Skills!F11=TRUE,Inputs!$B$32,0))),0)</f>
        <v/>
      </c>
      <c r="R883" t="n">
        <v>0</v>
      </c>
    </row>
    <row r="884">
      <c r="A884">
        <f>Skills!A12</f>
        <v/>
      </c>
      <c r="B884">
        <f>Skills!B12</f>
        <v/>
      </c>
      <c r="C884">
        <f>TRUE</f>
        <v/>
      </c>
      <c r="D884">
        <f>IF(Skills!C12=1,60+Inputs!$B$25+Inputs!$B$29,IF(Skills!C12=2,90+Inputs!$B$26+Inputs!$B$29,IF(Skills!C12=3,120+Inputs!$B$27+Inputs!$B$29,MAX(0,(Inputs!$B$3-100)*3)+Inputs!$B$28+Inputs!$B$29)))</f>
        <v/>
      </c>
      <c r="E884">
        <f>INDEX(FactorTable!$B$2:$Y$301, MATCH(ROUND(MIN(300,MAX(1,D884)),0), FactorTable!$A$2:$A$301,0), Skills!M12+1)</f>
        <v/>
      </c>
      <c r="F884">
        <f>IF(Skills!N12=TRUE,(Skills!L12/10)*(E884/1000),Skills!L12/10)+Skills!O12</f>
        <v/>
      </c>
      <c r="G884">
        <f>Calc!G12</f>
        <v/>
      </c>
      <c r="H884">
        <f>Calc!H12</f>
        <v/>
      </c>
      <c r="I884">
        <f>IF(Skills!X12&lt;&gt;"",1+(Skills!X12/10)*(Z875/1000)/100,1)</f>
        <v/>
      </c>
      <c r="J884" t="inlineStr"/>
      <c r="K884" t="inlineStr"/>
      <c r="L884" t="inlineStr"/>
      <c r="M884" t="inlineStr"/>
      <c r="N884" t="inlineStr"/>
      <c r="O884" t="n">
        <v>0</v>
      </c>
      <c r="P884">
        <f>IF(B911=0,0,O884/B911)</f>
        <v/>
      </c>
      <c r="Q884">
        <f>IFERROR(1/IF(Inputs!$B$38="pvp",15,MAX(0.1,Skills!E12-IF(Skills!F12=TRUE,Inputs!$B$32,0))),0)</f>
        <v/>
      </c>
      <c r="R884" t="n">
        <v>0</v>
      </c>
    </row>
    <row r="885">
      <c r="A885">
        <f>Skills!A13</f>
        <v/>
      </c>
      <c r="B885">
        <f>Skills!B13</f>
        <v/>
      </c>
      <c r="C885">
        <f>Inputs!$B$3&gt;=105</f>
        <v/>
      </c>
      <c r="D885">
        <f>IF(Skills!C13=1,60+Inputs!$B$25+Inputs!$B$29,IF(Skills!C13=2,90+Inputs!$B$26+Inputs!$B$29,IF(Skills!C13=3,120+Inputs!$B$27+Inputs!$B$29,MAX(0,(Inputs!$B$3-100)*3)+Inputs!$B$28+Inputs!$B$29)))</f>
        <v/>
      </c>
      <c r="E885">
        <f>INDEX(FactorTable!$B$2:$Y$301, MATCH(ROUND(MIN(300,MAX(1,D885)),0), FactorTable!$A$2:$A$301,0), Skills!M13+1)</f>
        <v/>
      </c>
      <c r="F885">
        <f>IF(Skills!N13=TRUE,(Skills!L13/10)*(E885/1000),Skills!L13/10)+Skills!O13</f>
        <v/>
      </c>
      <c r="G885">
        <f>Calc!G13</f>
        <v/>
      </c>
      <c r="H885">
        <f>Calc!H13</f>
        <v/>
      </c>
      <c r="I885">
        <f>IF(Skills!X13&lt;&gt;"",1+(Skills!X13/10)*(Z875/1000)/100,1)</f>
        <v/>
      </c>
      <c r="J885">
        <f>(((Inputs!$B$6+1)*(1+Inputs!$B$7/100))+(((Inputs!$B$12*(1+Inputs!$B$13/100))-(Inputs!$B$12*(1+Inputs!$B$13/100)))+0.25*(Inputs!$B$14-Inputs!$B$14))*(1+Inputs!$B$7/100))*(F885/100)</f>
        <v/>
      </c>
      <c r="K885">
        <f>J885*(1+((Inputs!$B$12*(1+Inputs!$B$13/100))*0.01+Inputs!$B$14*0.0025)/100)*(1+Inputs!$B$15/100)*(1+IF(Inputs!$B$38="pvp",0,(1-Summary!$B$56)*(Inputs!$B$20+Skills!P13)+Summary!$B$56*(Inputs!$B$21+Skills!Q13))/100)*(1+Inputs!$B$16/100)*(5000/(6000+Inputs!$B$42*(1-Inputs!$B$19/100)))*(1+Inputs!$B$24/100)*(1+F895/100)*(1+IF(Inputs!$B$3&gt;=120,F898,0)/100)^5*(1+(IF(Skills!A13="BASIC_ATTACK",Inputs!$B$17,Inputs!$B$18+IF(Inputs!$B$3&gt;=125,F899*5,0)))/100)*(B902*B903*B904*I885)</f>
        <v/>
      </c>
      <c r="L885">
        <f>K885*(MIN(Inputs!$B$22+(F894-Calc!F22),Inputs!$B$23)/100+Inputs!$B$23/100)/2</f>
        <v/>
      </c>
      <c r="M885">
        <f>L885*(1+(Inputs!$B$10+(F893-Calc!F21))/100)</f>
        <v/>
      </c>
      <c r="N885">
        <f>L885*(1-MIN(Inputs!$B$9+(F892-Calc!F20),100)/100)+M885*(MIN(Inputs!$B$9+(F892-Calc!F20),100)/100)</f>
        <v/>
      </c>
      <c r="O885">
        <f>IF(C885,H885*N885*IF(AND(Inputs!$B$38&lt;&gt;"pvp",Inputs!$B$43&gt;0),((Skills!G13*((R885-1)*IF(Skills!H13&gt;0,Skills!I13/Skills!H13,1)+IF(Skills!H13&gt;0,MIN(Skills!I13,MAX(0,Inputs!$B$43-((R885-1)*IF(Inputs!$B$38="pvp",15,MAX(0.1,Skills!E13-IF(Skills!F13=TRUE,Inputs!$B$32,0))))))/Skills!H13,1)))/Inputs!$B$43),G885*Q885)*IF(Inputs!$B$38="pvp",1,(1-Summary!$B$56)*(1)+Summary!$B$56*(MIN(Skills!R13,Inputs!$B$37))),0)</f>
        <v/>
      </c>
      <c r="P885">
        <f>IF(B911=0,0,O885/B911)</f>
        <v/>
      </c>
      <c r="Q885">
        <f>IFERROR(1/IF(Inputs!$B$38="pvp",15,MAX(0.1,Skills!E13-IF(Skills!F13=TRUE,Inputs!$B$32,0))),0)</f>
        <v/>
      </c>
      <c r="R885">
        <f>IF(AND(Inputs!$B$38&lt;&gt;"pvp",Inputs!$B$43&gt;0),(INT(Inputs!$B$43/IF(Inputs!$B$38="pvp",15,MAX(0.1,Skills!E13-IF(Skills!F13=TRUE,Inputs!$B$32,0))))+1),0)</f>
        <v/>
      </c>
    </row>
    <row r="886">
      <c r="A886">
        <f>Skills!A14</f>
        <v/>
      </c>
      <c r="B886">
        <f>Skills!B14</f>
        <v/>
      </c>
      <c r="C886">
        <f>Inputs!$B$3&gt;=113</f>
        <v/>
      </c>
      <c r="D886">
        <f>IF(Skills!C14=1,60+Inputs!$B$25+Inputs!$B$29,IF(Skills!C14=2,90+Inputs!$B$26+Inputs!$B$29,IF(Skills!C14=3,120+Inputs!$B$27+Inputs!$B$29,MAX(0,(Inputs!$B$3-100)*3)+Inputs!$B$28+Inputs!$B$29)))</f>
        <v/>
      </c>
      <c r="E886">
        <f>INDEX(FactorTable!$B$2:$Y$301, MATCH(ROUND(MIN(300,MAX(1,D886)),0), FactorTable!$A$2:$A$301,0), Skills!M14+1)</f>
        <v/>
      </c>
      <c r="F886">
        <f>IF(Skills!N14=TRUE,(Skills!L14/10)*(E886/1000),Skills!L14/10)+Skills!O14</f>
        <v/>
      </c>
      <c r="G886">
        <f>Calc!G14</f>
        <v/>
      </c>
      <c r="H886">
        <f>Calc!H14</f>
        <v/>
      </c>
      <c r="I886">
        <f>IF(Skills!X14&lt;&gt;"",1+(Skills!X14/10)*(Z875/1000)/100,1)</f>
        <v/>
      </c>
      <c r="J886">
        <f>(((Inputs!$B$6+1)*(1+Inputs!$B$7/100))+(((Inputs!$B$12*(1+Inputs!$B$13/100))-(Inputs!$B$12*(1+Inputs!$B$13/100)))+0.25*(Inputs!$B$14-Inputs!$B$14))*(1+Inputs!$B$7/100))*(F886/100)</f>
        <v/>
      </c>
      <c r="K886">
        <f>J886*(1+((Inputs!$B$12*(1+Inputs!$B$13/100))*0.01+Inputs!$B$14*0.0025)/100)*(1+Inputs!$B$15/100)*(1+IF(Inputs!$B$38="pvp",0,(1-Summary!$B$56)*(Inputs!$B$20+Skills!P14)+Summary!$B$56*(Inputs!$B$21+Skills!Q14))/100)*(1+Inputs!$B$16/100)*(5000/(6000+Inputs!$B$42*(1-Inputs!$B$19/100)))*(1+Inputs!$B$24/100)*(1+F895/100)*(1+IF(Inputs!$B$3&gt;=120,F898,0)/100)^5*(1+(IF(Skills!A14="BASIC_ATTACK",Inputs!$B$17,Inputs!$B$18+IF(Inputs!$B$3&gt;=125,F899*5,0)))/100)*(B902*B903*B904*I886)</f>
        <v/>
      </c>
      <c r="L886">
        <f>K886*(MIN(Inputs!$B$22+(F894-Calc!F22),Inputs!$B$23)/100+Inputs!$B$23/100)/2</f>
        <v/>
      </c>
      <c r="M886">
        <f>L886*(1+(Inputs!$B$10+(F893-Calc!F21))/100)</f>
        <v/>
      </c>
      <c r="N886">
        <f>L886*(1-MIN(Inputs!$B$9+(F892-Calc!F20),100)/100)+M886*(MIN(Inputs!$B$9+(F892-Calc!F20),100)/100)</f>
        <v/>
      </c>
      <c r="O886">
        <f>IF(C886,(H886*B909)/(1+Skills!H14*H886*B909)*N886*IF(Inputs!$B$38="pvp",1,(1-Summary!$B$56)*(1)+Summary!$B$56*(MIN(Skills!R14,Inputs!$B$37))),0)</f>
        <v/>
      </c>
      <c r="P886">
        <f>IF(B911=0,0,O886/B911)</f>
        <v/>
      </c>
      <c r="Q886">
        <f>IFERROR(1/IF(Inputs!$B$38="pvp",15,MAX(0.1,Skills!E14-IF(Skills!F14=TRUE,Inputs!$B$32,0))),0)</f>
        <v/>
      </c>
      <c r="R886" t="n">
        <v>0</v>
      </c>
    </row>
    <row r="887">
      <c r="A887">
        <f>Skills!A15</f>
        <v/>
      </c>
      <c r="B887">
        <f>Skills!B15</f>
        <v/>
      </c>
      <c r="C887">
        <f>Inputs!$B$3&gt;=107</f>
        <v/>
      </c>
      <c r="D887">
        <f>IF(Skills!C15=1,60+Inputs!$B$25+Inputs!$B$29,IF(Skills!C15=2,90+Inputs!$B$26+Inputs!$B$29,IF(Skills!C15=3,120+Inputs!$B$27+Inputs!$B$29,MAX(0,(Inputs!$B$3-100)*3)+Inputs!$B$28+Inputs!$B$29)))</f>
        <v/>
      </c>
      <c r="E887">
        <f>INDEX(FactorTable!$B$2:$Y$301, MATCH(ROUND(MIN(300,MAX(1,D887)),0), FactorTable!$A$2:$A$301,0), Skills!M15+1)</f>
        <v/>
      </c>
      <c r="F887">
        <f>IF(Skills!N15=TRUE,(Skills!L15/10)*(E887/1000),Skills!L15/10)+Skills!O15</f>
        <v/>
      </c>
      <c r="G887">
        <f>Calc!G15</f>
        <v/>
      </c>
      <c r="H887">
        <f>Calc!H15</f>
        <v/>
      </c>
      <c r="I887">
        <f>IF(Skills!X15&lt;&gt;"",1+(Skills!X15/10)*(Z875/1000)/100,1)</f>
        <v/>
      </c>
      <c r="J887">
        <f>(((Inputs!$B$6+1)*(1+Inputs!$B$7/100))+(((Inputs!$B$12*(1+Inputs!$B$13/100))-(Inputs!$B$12*(1+Inputs!$B$13/100)))+0.25*(Inputs!$B$14-Inputs!$B$14))*(1+Inputs!$B$7/100))*(F887/100)</f>
        <v/>
      </c>
      <c r="K887">
        <f>J887*(1+((Inputs!$B$12*(1+Inputs!$B$13/100))*0.01+Inputs!$B$14*0.0025)/100)*(1+Inputs!$B$15/100)*(1+IF(Inputs!$B$38="pvp",0,(1-Summary!$B$56)*(Inputs!$B$20+Skills!P15)+Summary!$B$56*(Inputs!$B$21+Skills!Q15))/100)*(1+Inputs!$B$16/100)*(5000/(6000+Inputs!$B$42*(1-Inputs!$B$19/100)))*(1+Inputs!$B$24/100)*(1+F895/100)*(1+IF(Inputs!$B$3&gt;=120,F898,0)/100)^5*(1+(IF(Skills!A15="BASIC_ATTACK",Inputs!$B$17,Inputs!$B$18+IF(Inputs!$B$3&gt;=125,F899*5,0)))/100)*(B902*B903*B904*I887)</f>
        <v/>
      </c>
      <c r="L887">
        <f>K887*(MIN(Inputs!$B$22+(F894-Calc!F22),Inputs!$B$23)/100+Inputs!$B$23/100)/2</f>
        <v/>
      </c>
      <c r="M887">
        <f>L887*(1+(Inputs!$B$10+(F893-Calc!F21))/100)</f>
        <v/>
      </c>
      <c r="N887">
        <f>L887*(1-MIN(Inputs!$B$9+(F892-Calc!F20),100)/100)+M887*(MIN(Inputs!$B$9+(F892-Calc!F20),100)/100)</f>
        <v/>
      </c>
      <c r="O887">
        <f>IF(C887,H887*N887*IF(AND(Inputs!$B$38&lt;&gt;"pvp",Inputs!$B$43&gt;0),((Skills!G15*((R887-1)*IF(Skills!H15&gt;0,Skills!I15/Skills!H15,1)+IF(Skills!H15&gt;0,MIN(Skills!I15,MAX(0,Inputs!$B$43-((R887-1)*IF(Inputs!$B$38="pvp",15,MAX(0.1,Skills!E15-IF(Skills!F15=TRUE,Inputs!$B$32,0))))))/Skills!H15,1)))/Inputs!$B$43),G887*Q887)*IF(Inputs!$B$38="pvp",1,(1-Summary!$B$56)*(1)+Summary!$B$56*(MIN(Skills!R15,Inputs!$B$37))),0)</f>
        <v/>
      </c>
      <c r="P887">
        <f>IF(B911=0,0,O887/B911)</f>
        <v/>
      </c>
      <c r="Q887">
        <f>IFERROR(1/IF(Inputs!$B$38="pvp",15,MAX(0.1,Skills!E15-IF(Skills!F15=TRUE,Inputs!$B$32,0))),0)</f>
        <v/>
      </c>
      <c r="R887">
        <f>IF(AND(Inputs!$B$38&lt;&gt;"pvp",Inputs!$B$43&gt;0),(INT(Inputs!$B$43/IF(Inputs!$B$38="pvp",15,MAX(0.1,Skills!E15-IF(Skills!F15=TRUE,Inputs!$B$32,0))))+1),0)</f>
        <v/>
      </c>
    </row>
    <row r="888">
      <c r="A888">
        <f>Skills!A16</f>
        <v/>
      </c>
      <c r="B888">
        <f>Skills!B16</f>
        <v/>
      </c>
      <c r="C888">
        <f>Inputs!$B$3&gt;=107</f>
        <v/>
      </c>
      <c r="D888">
        <f>IF(Skills!C16=1,60+Inputs!$B$25+Inputs!$B$29,IF(Skills!C16=2,90+Inputs!$B$26+Inputs!$B$29,IF(Skills!C16=3,120+Inputs!$B$27+Inputs!$B$29,MAX(0,(Inputs!$B$3-100)*3)+Inputs!$B$28+Inputs!$B$29)))</f>
        <v/>
      </c>
      <c r="E888">
        <f>INDEX(FactorTable!$B$2:$Y$301, MATCH(ROUND(MIN(300,MAX(1,D888)),0), FactorTable!$A$2:$A$301,0), Skills!M16+1)</f>
        <v/>
      </c>
      <c r="F888">
        <f>IF(Skills!N16=TRUE,(Skills!L16/10)*(E888/1000),Skills!L16/10)+Skills!O16</f>
        <v/>
      </c>
      <c r="G888">
        <f>Calc!G16</f>
        <v/>
      </c>
      <c r="H888">
        <f>Calc!H16</f>
        <v/>
      </c>
      <c r="I888">
        <f>IF(Skills!X16&lt;&gt;"",1+(Skills!X16/10)*(Z875/1000)/100,1)</f>
        <v/>
      </c>
      <c r="J888">
        <f>(((Inputs!$B$6+1)*(1+Inputs!$B$7/100))+(((Inputs!$B$12*(1+Inputs!$B$13/100))-(Inputs!$B$12*(1+Inputs!$B$13/100)))+0.25*(Inputs!$B$14-Inputs!$B$14))*(1+Inputs!$B$7/100))*(F888/100)</f>
        <v/>
      </c>
      <c r="K888">
        <f>J888*(1+((Inputs!$B$12*(1+Inputs!$B$13/100))*0.01+Inputs!$B$14*0.0025)/100)*(1+Inputs!$B$15/100)*(1+IF(Inputs!$B$38="pvp",0,(1-Summary!$B$56)*(Inputs!$B$20+Skills!P16)+Summary!$B$56*(Inputs!$B$21+Skills!Q16))/100)*(1+Inputs!$B$16/100)*(5000/(6000+Inputs!$B$42*(1-Inputs!$B$19/100)))*(1+Inputs!$B$24/100)*(1+F895/100)*(1+IF(Inputs!$B$3&gt;=120,F898,0)/100)^5*(1+(IF(Skills!A16="BASIC_ATTACK",Inputs!$B$17,Inputs!$B$18+IF(Inputs!$B$3&gt;=125,F899*5,0)))/100)*(B902*B903*B904*I888)</f>
        <v/>
      </c>
      <c r="L888">
        <f>K888*(MIN(Inputs!$B$22+(F894-Calc!F22),Inputs!$B$23)/100+Inputs!$B$23/100)/2</f>
        <v/>
      </c>
      <c r="M888">
        <f>L888*(1+(Inputs!$B$10+(F893-Calc!F21))/100)</f>
        <v/>
      </c>
      <c r="N888">
        <f>L888*(1-MIN(Inputs!$B$9+(F892-Calc!F20),100)/100)+M888*(MIN(Inputs!$B$9+(F892-Calc!F20),100)/100)</f>
        <v/>
      </c>
      <c r="O888">
        <f>IF(C888,H888*N888*IF(AND(Inputs!$B$38&lt;&gt;"pvp",Inputs!$B$43&gt;0),((Skills!G16*((R888-1)*IF(Skills!H16&gt;0,Skills!I16/Skills!H16,1)+IF(Skills!H16&gt;0,MIN(Skills!I16,MAX(0,Inputs!$B$43-((R888-1)*IF(Inputs!$B$38="pvp",15,MAX(0.1,Skills!E16-IF(Skills!F16=TRUE,Inputs!$B$32,0))))))/Skills!H16,1)))/Inputs!$B$43),G888*Q888)*(1+IF(Inputs!$B$3&gt;=126,0.05*(B908+Q885+(H886*B909)/(1+Skills!H14*H886*B909)+Q896),0)*Skills!E15)*IF(Inputs!$B$38="pvp",1,(1-Summary!$B$56)*(1)+Summary!$B$56*(MIN(Skills!R16,Inputs!$B$37))),0)</f>
        <v/>
      </c>
      <c r="P888">
        <f>IF(B911=0,0,O888/B911)</f>
        <v/>
      </c>
      <c r="Q888">
        <f>IFERROR(1/IF(Inputs!$B$38="pvp",15,MAX(0.1,Skills!E16-IF(Skills!F16=TRUE,Inputs!$B$32,0))),0)</f>
        <v/>
      </c>
      <c r="R888">
        <f>IF(AND(Inputs!$B$38&lt;&gt;"pvp",Inputs!$B$43&gt;0),(INT(Inputs!$B$43/IF(Inputs!$B$38="pvp",15,MAX(0.1,Skills!E16-IF(Skills!F16=TRUE,Inputs!$B$32,0))))+1),0)</f>
        <v/>
      </c>
    </row>
    <row r="889">
      <c r="A889">
        <f>Skills!A17</f>
        <v/>
      </c>
      <c r="B889">
        <f>Skills!B17</f>
        <v/>
      </c>
      <c r="C889">
        <f>TRUE</f>
        <v/>
      </c>
      <c r="D889">
        <f>IF(Skills!C17=1,60+Inputs!$B$25+Inputs!$B$29,IF(Skills!C17=2,90+Inputs!$B$26+Inputs!$B$29,IF(Skills!C17=3,120+Inputs!$B$27+Inputs!$B$29,MAX(0,(Inputs!$B$3-100)*3)+Inputs!$B$28+Inputs!$B$29)))</f>
        <v/>
      </c>
      <c r="E889">
        <f>INDEX(FactorTable!$B$2:$Y$301, MATCH(ROUND(MIN(300,MAX(1,D889)),0), FactorTable!$A$2:$A$301,0), Skills!M17+1)</f>
        <v/>
      </c>
      <c r="F889">
        <f>IF(Skills!N17=TRUE,(Skills!L17/10)*(E889/1000),Skills!L17/10)+Skills!O17</f>
        <v/>
      </c>
      <c r="G889">
        <f>Calc!G17</f>
        <v/>
      </c>
      <c r="H889">
        <f>Calc!H17</f>
        <v/>
      </c>
      <c r="I889">
        <f>IF(Skills!X17&lt;&gt;"",1+(Skills!X17/10)*(Z875/1000)/100,1)</f>
        <v/>
      </c>
      <c r="J889" t="inlineStr"/>
      <c r="K889" t="inlineStr"/>
      <c r="L889" t="inlineStr"/>
      <c r="M889" t="inlineStr"/>
      <c r="N889" t="inlineStr"/>
      <c r="O889" t="n">
        <v>0</v>
      </c>
      <c r="P889">
        <f>IF(B911=0,0,O889/B911)</f>
        <v/>
      </c>
      <c r="Q889">
        <f>IFERROR(1/IF(Inputs!$B$38="pvp",15,MAX(0.1,Skills!E17-IF(Skills!F17=TRUE,Inputs!$B$32,0))),0)</f>
        <v/>
      </c>
      <c r="R889">
        <f>IF(AND(Inputs!$B$38&lt;&gt;"pvp",Inputs!$B$43&gt;0),(INT(Inputs!$B$43/IF(Inputs!$B$38="pvp",15,MAX(0.1,Skills!E17-IF(Skills!F17=TRUE,Inputs!$B$32,0))))+1),0)</f>
        <v/>
      </c>
    </row>
    <row r="890">
      <c r="A890">
        <f>Skills!A18</f>
        <v/>
      </c>
      <c r="B890">
        <f>Skills!B18</f>
        <v/>
      </c>
      <c r="C890">
        <f>TRUE</f>
        <v/>
      </c>
      <c r="D890">
        <f>IF(Skills!C18=1,60+Inputs!$B$25+Inputs!$B$29,IF(Skills!C18=2,90+Inputs!$B$26+Inputs!$B$29,IF(Skills!C18=3,120+Inputs!$B$27+Inputs!$B$29,MAX(0,(Inputs!$B$3-100)*3)+Inputs!$B$28+Inputs!$B$29)))</f>
        <v/>
      </c>
      <c r="E890">
        <f>INDEX(FactorTable!$B$2:$Y$301, MATCH(ROUND(MIN(300,MAX(1,D890)),0), FactorTable!$A$2:$A$301,0), Skills!M18+1)</f>
        <v/>
      </c>
      <c r="F890">
        <f>IF(Skills!N18=TRUE,(Skills!L18/10)*(E890/1000),Skills!L18/10)+Skills!O18</f>
        <v/>
      </c>
      <c r="G890">
        <f>Calc!G18</f>
        <v/>
      </c>
      <c r="H890">
        <f>Calc!H18</f>
        <v/>
      </c>
      <c r="I890">
        <f>IF(Skills!X18&lt;&gt;"",1+(Skills!X18/10)*(Z875/1000)/100,1)</f>
        <v/>
      </c>
      <c r="J890" t="inlineStr"/>
      <c r="K890" t="inlineStr"/>
      <c r="L890" t="inlineStr"/>
      <c r="M890" t="inlineStr"/>
      <c r="N890" t="inlineStr"/>
      <c r="O890" t="n">
        <v>0</v>
      </c>
      <c r="P890">
        <f>IF(B911=0,0,O890/B911)</f>
        <v/>
      </c>
      <c r="Q890">
        <f>IFERROR(1/IF(Inputs!$B$38="pvp",15,MAX(0.1,Skills!E18-IF(Skills!F18=TRUE,Inputs!$B$32,0))),0)</f>
        <v/>
      </c>
      <c r="R890">
        <f>IF(AND(Inputs!$B$38&lt;&gt;"pvp",Inputs!$B$43&gt;0),(INT(Inputs!$B$43/IF(Inputs!$B$38="pvp",15,MAX(0.1,Skills!E18-IF(Skills!F18=TRUE,Inputs!$B$32,0))))+1),0)</f>
        <v/>
      </c>
    </row>
    <row r="891">
      <c r="A891">
        <f>Skills!A19</f>
        <v/>
      </c>
      <c r="B891">
        <f>Skills!B19</f>
        <v/>
      </c>
      <c r="C891">
        <f>Inputs!$B$3&gt;=110</f>
        <v/>
      </c>
      <c r="D891">
        <f>IF(Skills!C19=1,60+Inputs!$B$25+Inputs!$B$29,IF(Skills!C19=2,90+Inputs!$B$26+Inputs!$B$29,IF(Skills!C19=3,120+Inputs!$B$27+Inputs!$B$29,MAX(0,(Inputs!$B$3-100)*3)+Inputs!$B$28+Inputs!$B$29)))</f>
        <v/>
      </c>
      <c r="E891">
        <f>INDEX(FactorTable!$B$2:$Y$301, MATCH(ROUND(MIN(300,MAX(1,D891)),0), FactorTable!$A$2:$A$301,0), Skills!M19+1)</f>
        <v/>
      </c>
      <c r="F891">
        <f>IF(Skills!N19=TRUE,(Skills!L19/10)*(E891/1000),Skills!L19/10)+Skills!O19</f>
        <v/>
      </c>
      <c r="G891">
        <f>Calc!G19</f>
        <v/>
      </c>
      <c r="H891">
        <f>Calc!H19</f>
        <v/>
      </c>
      <c r="I891">
        <f>IF(Skills!X19&lt;&gt;"",1+(Skills!X19/10)*(Z875/1000)/100,1)</f>
        <v/>
      </c>
      <c r="J891" t="inlineStr"/>
      <c r="K891" t="inlineStr"/>
      <c r="L891" t="inlineStr"/>
      <c r="M891" t="inlineStr"/>
      <c r="N891" t="inlineStr"/>
      <c r="O891" t="n">
        <v>0</v>
      </c>
      <c r="P891">
        <f>IF(B911=0,0,O891/B911)</f>
        <v/>
      </c>
      <c r="Q891">
        <f>IFERROR(1/IF(Inputs!$B$38="pvp",15,MAX(0.1,Skills!E19-IF(Skills!F19=TRUE,Inputs!$B$32,0))),0)</f>
        <v/>
      </c>
      <c r="R891">
        <f>IF(AND(Inputs!$B$38&lt;&gt;"pvp",Inputs!$B$43&gt;0),(INT(Inputs!$B$43/IF(Inputs!$B$38="pvp",15,MAX(0.1,Skills!E19-IF(Skills!F19=TRUE,Inputs!$B$32,0))))+1),0)</f>
        <v/>
      </c>
    </row>
    <row r="892">
      <c r="A892">
        <f>Skills!A20</f>
        <v/>
      </c>
      <c r="B892">
        <f>Skills!B20</f>
        <v/>
      </c>
      <c r="C892">
        <f>TRUE</f>
        <v/>
      </c>
      <c r="D892">
        <f>IF(Skills!C20=1,60+Inputs!$B$25+Inputs!$B$29,IF(Skills!C20=2,90+Inputs!$B$26+Inputs!$B$29,IF(Skills!C20=3,120+Inputs!$B$27+Inputs!$B$29,MAX(0,(Inputs!$B$3-100)*3)+Inputs!$B$28+Inputs!$B$29)))</f>
        <v/>
      </c>
      <c r="E892">
        <f>INDEX(FactorTable!$B$2:$Y$301, MATCH(ROUND(MIN(300,MAX(1,D892)),0), FactorTable!$A$2:$A$301,0), Skills!M20+1)</f>
        <v/>
      </c>
      <c r="F892">
        <f>IF(Skills!N20=TRUE,(Skills!L20/10)*(E892/1000),Skills!L20/10)+Skills!O20</f>
        <v/>
      </c>
      <c r="G892">
        <f>Calc!G20</f>
        <v/>
      </c>
      <c r="H892">
        <f>Calc!H20</f>
        <v/>
      </c>
      <c r="I892">
        <f>IF(Skills!X20&lt;&gt;"",1+(Skills!X20/10)*(Z875/1000)/100,1)</f>
        <v/>
      </c>
      <c r="J892" t="inlineStr"/>
      <c r="K892" t="inlineStr"/>
      <c r="L892" t="inlineStr"/>
      <c r="M892" t="inlineStr"/>
      <c r="N892" t="inlineStr"/>
      <c r="O892" t="n">
        <v>0</v>
      </c>
      <c r="P892">
        <f>IF(B911=0,0,O892/B911)</f>
        <v/>
      </c>
      <c r="Q892">
        <f>IFERROR(1/IF(Inputs!$B$38="pvp",15,MAX(0.1,Skills!E20-IF(Skills!F20=TRUE,Inputs!$B$32,0))),0)</f>
        <v/>
      </c>
      <c r="R892" t="n">
        <v>0</v>
      </c>
    </row>
    <row r="893">
      <c r="A893">
        <f>Skills!A21</f>
        <v/>
      </c>
      <c r="B893">
        <f>Skills!B21</f>
        <v/>
      </c>
      <c r="C893">
        <f>TRUE</f>
        <v/>
      </c>
      <c r="D893">
        <f>IF(Skills!C21=1,60+Inputs!$B$25+Inputs!$B$29,IF(Skills!C21=2,90+Inputs!$B$26+Inputs!$B$29,IF(Skills!C21=3,120+Inputs!$B$27+Inputs!$B$29,MAX(0,(Inputs!$B$3-100)*3)+Inputs!$B$28+Inputs!$B$29)))</f>
        <v/>
      </c>
      <c r="E893">
        <f>INDEX(FactorTable!$B$2:$Y$301, MATCH(ROUND(MIN(300,MAX(1,D893)),0), FactorTable!$A$2:$A$301,0), Skills!M21+1)</f>
        <v/>
      </c>
      <c r="F893">
        <f>IF(Skills!N21=TRUE,(Skills!L21/10)*(E893/1000),Skills!L21/10)+Skills!O21</f>
        <v/>
      </c>
      <c r="G893">
        <f>Calc!G21</f>
        <v/>
      </c>
      <c r="H893">
        <f>Calc!H21</f>
        <v/>
      </c>
      <c r="I893">
        <f>IF(Skills!X21&lt;&gt;"",1+(Skills!X21/10)*(Z875/1000)/100,1)</f>
        <v/>
      </c>
      <c r="J893" t="inlineStr"/>
      <c r="K893" t="inlineStr"/>
      <c r="L893" t="inlineStr"/>
      <c r="M893" t="inlineStr"/>
      <c r="N893" t="inlineStr"/>
      <c r="O893" t="n">
        <v>0</v>
      </c>
      <c r="P893">
        <f>IF(B911=0,0,O893/B911)</f>
        <v/>
      </c>
      <c r="Q893">
        <f>IFERROR(1/IF(Inputs!$B$38="pvp",15,MAX(0.1,Skills!E21-IF(Skills!F21=TRUE,Inputs!$B$32,0))),0)</f>
        <v/>
      </c>
      <c r="R893" t="n">
        <v>0</v>
      </c>
    </row>
    <row r="894">
      <c r="A894">
        <f>Skills!A22</f>
        <v/>
      </c>
      <c r="B894">
        <f>Skills!B22</f>
        <v/>
      </c>
      <c r="C894">
        <f>TRUE</f>
        <v/>
      </c>
      <c r="D894">
        <f>IF(Skills!C22=1,60+Inputs!$B$25+Inputs!$B$29,IF(Skills!C22=2,90+Inputs!$B$26+Inputs!$B$29,IF(Skills!C22=3,120+Inputs!$B$27+Inputs!$B$29,MAX(0,(Inputs!$B$3-100)*3)+Inputs!$B$28+Inputs!$B$29)))</f>
        <v/>
      </c>
      <c r="E894">
        <f>INDEX(FactorTable!$B$2:$Y$301, MATCH(ROUND(MIN(300,MAX(1,D894)),0), FactorTable!$A$2:$A$301,0), Skills!M22+1)</f>
        <v/>
      </c>
      <c r="F894">
        <f>IF(Skills!N22=TRUE,(Skills!L22/10)*(E894/1000),Skills!L22/10)+Skills!O22</f>
        <v/>
      </c>
      <c r="G894">
        <f>Calc!G22</f>
        <v/>
      </c>
      <c r="H894">
        <f>Calc!H22</f>
        <v/>
      </c>
      <c r="I894">
        <f>IF(Skills!X22&lt;&gt;"",1+(Skills!X22/10)*(Z875/1000)/100,1)</f>
        <v/>
      </c>
      <c r="J894" t="inlineStr"/>
      <c r="K894" t="inlineStr"/>
      <c r="L894" t="inlineStr"/>
      <c r="M894" t="inlineStr"/>
      <c r="N894" t="inlineStr"/>
      <c r="O894" t="n">
        <v>0</v>
      </c>
      <c r="P894">
        <f>IF(B911=0,0,O894/B911)</f>
        <v/>
      </c>
      <c r="Q894">
        <f>IFERROR(1/IF(Inputs!$B$38="pvp",15,MAX(0.1,Skills!E22-IF(Skills!F22=TRUE,Inputs!$B$32,0))),0)</f>
        <v/>
      </c>
      <c r="R894" t="n">
        <v>0</v>
      </c>
    </row>
    <row r="895">
      <c r="A895">
        <f>Skills!A23</f>
        <v/>
      </c>
      <c r="B895">
        <f>Skills!B23</f>
        <v/>
      </c>
      <c r="C895">
        <f>TRUE</f>
        <v/>
      </c>
      <c r="D895">
        <f>IF(Skills!C23=1,60+Inputs!$B$25+Inputs!$B$29,IF(Skills!C23=2,90+Inputs!$B$26+Inputs!$B$29,IF(Skills!C23=3,120+Inputs!$B$27+Inputs!$B$29,MAX(0,(Inputs!$B$3-100)*3)+Inputs!$B$28+Inputs!$B$29)))</f>
        <v/>
      </c>
      <c r="E895">
        <f>INDEX(FactorTable!$B$2:$Y$301, MATCH(ROUND(MIN(300,MAX(1,D895)),0), FactorTable!$A$2:$A$301,0), Skills!M23+1)</f>
        <v/>
      </c>
      <c r="F895">
        <f>IF(Skills!N23=TRUE,(Skills!L23/10)*(E895/1000),Skills!L23/10)+Skills!O23</f>
        <v/>
      </c>
      <c r="G895">
        <f>Calc!G23</f>
        <v/>
      </c>
      <c r="H895">
        <f>Calc!H23</f>
        <v/>
      </c>
      <c r="I895">
        <f>IF(Skills!X23&lt;&gt;"",1+(Skills!X23/10)*(Z875/1000)/100,1)</f>
        <v/>
      </c>
      <c r="J895" t="inlineStr"/>
      <c r="K895" t="inlineStr"/>
      <c r="L895" t="inlineStr"/>
      <c r="M895" t="inlineStr"/>
      <c r="N895" t="inlineStr"/>
      <c r="O895" t="n">
        <v>0</v>
      </c>
      <c r="P895">
        <f>IF(B911=0,0,O895/B911)</f>
        <v/>
      </c>
      <c r="Q895">
        <f>IFERROR(1/IF(Inputs!$B$38="pvp",15,MAX(0.1,Skills!E23-IF(Skills!F23=TRUE,Inputs!$B$32,0))),0)</f>
        <v/>
      </c>
      <c r="R895" t="n">
        <v>0</v>
      </c>
    </row>
    <row r="896">
      <c r="A896">
        <f>Skills!A24</f>
        <v/>
      </c>
      <c r="B896">
        <f>Skills!B24</f>
        <v/>
      </c>
      <c r="C896">
        <f>Inputs!$B$3&gt;=115</f>
        <v/>
      </c>
      <c r="D896">
        <f>IF(Skills!C24=1,60+Inputs!$B$25+Inputs!$B$29,IF(Skills!C24=2,90+Inputs!$B$26+Inputs!$B$29,IF(Skills!C24=3,120+Inputs!$B$27+Inputs!$B$29,MAX(0,(Inputs!$B$3-100)*3)+Inputs!$B$28+Inputs!$B$29)))</f>
        <v/>
      </c>
      <c r="E896">
        <f>INDEX(FactorTable!$B$2:$Y$301, MATCH(ROUND(MIN(300,MAX(1,D896)),0), FactorTable!$A$2:$A$301,0), Skills!M24+1)</f>
        <v/>
      </c>
      <c r="F896">
        <f>IF(Skills!N24=TRUE,(Skills!L24/10)*(E896/1000),Skills!L24/10)+Skills!O24</f>
        <v/>
      </c>
      <c r="G896">
        <f>Calc!G24</f>
        <v/>
      </c>
      <c r="H896">
        <f>Calc!H24</f>
        <v/>
      </c>
      <c r="I896">
        <f>IF(Skills!X24&lt;&gt;"",1+(Skills!X24/10)*(Z875/1000)/100,1)</f>
        <v/>
      </c>
      <c r="J896">
        <f>(((Inputs!$B$6+1)*(1+Inputs!$B$7/100))+(((Inputs!$B$12*(1+Inputs!$B$13/100))-(Inputs!$B$12*(1+Inputs!$B$13/100)))+0.25*(Inputs!$B$14-Inputs!$B$14))*(1+Inputs!$B$7/100))*(F896/100)</f>
        <v/>
      </c>
      <c r="K896">
        <f>J896*(1+((Inputs!$B$12*(1+Inputs!$B$13/100))*0.01+Inputs!$B$14*0.0025)/100)*(1+Inputs!$B$15/100)*(1+IF(Inputs!$B$38="pvp",0,(1-Summary!$B$56)*(Inputs!$B$20+Skills!P24)+Summary!$B$56*(Inputs!$B$21+Skills!Q24))/100)*(1+Inputs!$B$16/100)*(5000/(6000+Inputs!$B$42*(1-Inputs!$B$19/100)))*(1+Inputs!$B$24/100)*(1+F895/100)*(1+IF(Inputs!$B$3&gt;=120,F898,0)/100)^5*(1+(IF(Skills!A24="BASIC_ATTACK",Inputs!$B$17,Inputs!$B$18+IF(Inputs!$B$3&gt;=125,F899*5,0)))/100)*(B902*B903*B904*I896)</f>
        <v/>
      </c>
      <c r="L896">
        <f>K896*(MIN(Inputs!$B$22+(F894-Calc!F22),Inputs!$B$23)/100+Inputs!$B$23/100)/2</f>
        <v/>
      </c>
      <c r="M896">
        <f>L896*(1+(Inputs!$B$10+(F893-Calc!F21))/100)</f>
        <v/>
      </c>
      <c r="N896">
        <f>L896*(1-MIN(Inputs!$B$9+(F892-Calc!F20),100)/100)+M896*(MIN(Inputs!$B$9+(F892-Calc!F20),100)/100)</f>
        <v/>
      </c>
      <c r="O896">
        <f>IF(C896,H896*N896*IF(AND(Inputs!$B$38&lt;&gt;"pvp",Inputs!$B$43&gt;0),((Skills!G24*((R896-1)*IF(Skills!H24&gt;0,Skills!I24/Skills!H24,1)+IF(Skills!H24&gt;0,MIN(Skills!I24,MAX(0,Inputs!$B$43-((R896-1)*IF(Inputs!$B$38="pvp",15,MAX(0.1,Skills!E24-IF(Skills!F24=TRUE,Inputs!$B$32,0))))))/Skills!H24,1)))/Inputs!$B$43),G896*Q896)*(1+IF(Inputs!$B$3&gt;=130,0.2*(Skills!I16/Skills!E15+IF(Inputs!$B$3&gt;=126,0.05*(B908+Q885+(H886*B909)/(1+Skills!H14*H886*B909)+Q896),0)*Skills!I16),0))*IF(Inputs!$B$38="pvp",1,(1-Summary!$B$56)*(1)+Summary!$B$56*(MIN(Skills!R24,Inputs!$B$37))),0)</f>
        <v/>
      </c>
      <c r="P896">
        <f>IF(B911=0,0,O896/B911)</f>
        <v/>
      </c>
      <c r="Q896">
        <f>IFERROR(1/IF(Inputs!$B$38="pvp",15,MAX(0.1,Skills!E24-IF(Skills!F24=TRUE,Inputs!$B$32,0))),0)</f>
        <v/>
      </c>
      <c r="R896">
        <f>IF(AND(Inputs!$B$38&lt;&gt;"pvp",Inputs!$B$43&gt;0),(INT(Inputs!$B$43/IF(Inputs!$B$38="pvp",15,MAX(0.1,Skills!E24-IF(Skills!F24=TRUE,Inputs!$B$32,0))))+1),0)</f>
        <v/>
      </c>
    </row>
    <row r="897">
      <c r="A897">
        <f>Skills!A25</f>
        <v/>
      </c>
      <c r="B897">
        <f>Skills!B25</f>
        <v/>
      </c>
      <c r="C897">
        <f>Inputs!$B$3&gt;=117</f>
        <v/>
      </c>
      <c r="D897">
        <f>IF(Skills!C25=1,60+Inputs!$B$25+Inputs!$B$29,IF(Skills!C25=2,90+Inputs!$B$26+Inputs!$B$29,IF(Skills!C25=3,120+Inputs!$B$27+Inputs!$B$29,MAX(0,(Inputs!$B$3-100)*3)+Inputs!$B$28+Inputs!$B$29)))</f>
        <v/>
      </c>
      <c r="E897">
        <f>INDEX(FactorTable!$B$2:$Y$301, MATCH(ROUND(MIN(300,MAX(1,D897)),0), FactorTable!$A$2:$A$301,0), Skills!M25+1)</f>
        <v/>
      </c>
      <c r="F897">
        <f>IF(Skills!N25=TRUE,(Skills!L25/10)*(E897/1000),Skills!L25/10)+Skills!O25</f>
        <v/>
      </c>
      <c r="G897">
        <f>Calc!G25</f>
        <v/>
      </c>
      <c r="H897">
        <f>Calc!H25</f>
        <v/>
      </c>
      <c r="I897">
        <f>IF(Skills!X25&lt;&gt;"",1+(Skills!X25/10)*(Z875/1000)/100,1)</f>
        <v/>
      </c>
      <c r="J897" t="inlineStr"/>
      <c r="K897" t="inlineStr"/>
      <c r="L897" t="inlineStr"/>
      <c r="M897" t="inlineStr"/>
      <c r="N897" t="inlineStr"/>
      <c r="O897" t="n">
        <v>0</v>
      </c>
      <c r="P897">
        <f>IF(B911=0,0,O897/B911)</f>
        <v/>
      </c>
      <c r="Q897">
        <f>IFERROR(1/IF(Inputs!$B$38="pvp",15,MAX(0.1,Skills!E25-IF(Skills!F25=TRUE,Inputs!$B$32,0))),0)</f>
        <v/>
      </c>
      <c r="R897" t="n">
        <v>0</v>
      </c>
    </row>
    <row r="898">
      <c r="A898">
        <f>Skills!A26</f>
        <v/>
      </c>
      <c r="B898">
        <f>Skills!B26</f>
        <v/>
      </c>
      <c r="C898">
        <f>Inputs!$B$3&gt;=120</f>
        <v/>
      </c>
      <c r="D898">
        <f>IF(Skills!C26=1,60+Inputs!$B$25+Inputs!$B$29,IF(Skills!C26=2,90+Inputs!$B$26+Inputs!$B$29,IF(Skills!C26=3,120+Inputs!$B$27+Inputs!$B$29,MAX(0,(Inputs!$B$3-100)*3)+Inputs!$B$28+Inputs!$B$29)))</f>
        <v/>
      </c>
      <c r="E898">
        <f>INDEX(FactorTable!$B$2:$Y$301, MATCH(ROUND(MIN(300,MAX(1,D898)),0), FactorTable!$A$2:$A$301,0), Skills!M26+1)</f>
        <v/>
      </c>
      <c r="F898">
        <f>IF(Skills!N26=TRUE,(Skills!L26/10)*(E898/1000),Skills!L26/10)+Skills!O26</f>
        <v/>
      </c>
      <c r="G898">
        <f>Calc!G26</f>
        <v/>
      </c>
      <c r="H898">
        <f>Calc!H26</f>
        <v/>
      </c>
      <c r="I898">
        <f>IF(Skills!X26&lt;&gt;"",1+(Skills!X26/10)*(Z875/1000)/100,1)</f>
        <v/>
      </c>
      <c r="J898" t="inlineStr"/>
      <c r="K898" t="inlineStr"/>
      <c r="L898" t="inlineStr"/>
      <c r="M898" t="inlineStr"/>
      <c r="N898" t="inlineStr"/>
      <c r="O898" t="n">
        <v>0</v>
      </c>
      <c r="P898">
        <f>IF(B911=0,0,O898/B911)</f>
        <v/>
      </c>
      <c r="Q898">
        <f>IFERROR(1/IF(Inputs!$B$38="pvp",15,MAX(0.1,Skills!E26-IF(Skills!F26=TRUE,Inputs!$B$32,0))),0)</f>
        <v/>
      </c>
      <c r="R898" t="n">
        <v>0</v>
      </c>
    </row>
    <row r="899">
      <c r="A899">
        <f>Skills!A27</f>
        <v/>
      </c>
      <c r="B899">
        <f>Skills!B27</f>
        <v/>
      </c>
      <c r="C899">
        <f>Inputs!$B$3&gt;=125</f>
        <v/>
      </c>
      <c r="D899">
        <f>IF(Skills!C27=1,60+Inputs!$B$25+Inputs!$B$29,IF(Skills!C27=2,90+Inputs!$B$26+Inputs!$B$29,IF(Skills!C27=3,120+Inputs!$B$27+Inputs!$B$29,MAX(0,(Inputs!$B$3-100)*3)+Inputs!$B$28+Inputs!$B$29)))</f>
        <v/>
      </c>
      <c r="E899">
        <f>INDEX(FactorTable!$B$2:$Y$301, MATCH(ROUND(MIN(300,MAX(1,D899)),0), FactorTable!$A$2:$A$301,0), Skills!M27+1)</f>
        <v/>
      </c>
      <c r="F899">
        <f>IF(Skills!N27=TRUE,(Skills!L27/10)*(E899/1000),Skills!L27/10)+Skills!O27</f>
        <v/>
      </c>
      <c r="G899">
        <f>Calc!G27</f>
        <v/>
      </c>
      <c r="H899">
        <f>Calc!H27</f>
        <v/>
      </c>
      <c r="I899">
        <f>IF(Skills!X27&lt;&gt;"",1+(Skills!X27/10)*(Z875/1000)/100,1)</f>
        <v/>
      </c>
      <c r="J899" t="inlineStr"/>
      <c r="K899" t="inlineStr"/>
      <c r="L899" t="inlineStr"/>
      <c r="M899" t="inlineStr"/>
      <c r="N899" t="inlineStr"/>
      <c r="O899" t="n">
        <v>0</v>
      </c>
      <c r="P899">
        <f>IF(B911=0,0,O899/B911)</f>
        <v/>
      </c>
      <c r="Q899">
        <f>IFERROR(1/IF(Inputs!$B$38="pvp",15,MAX(0.1,Skills!E27-IF(Skills!F27=TRUE,Inputs!$B$32,0))),0)</f>
        <v/>
      </c>
      <c r="R899" t="n">
        <v>0</v>
      </c>
    </row>
    <row r="900">
      <c r="A900">
        <f>Skills!A28</f>
        <v/>
      </c>
      <c r="B900">
        <f>Skills!B28</f>
        <v/>
      </c>
      <c r="C900">
        <f>Inputs!$B$3&gt;=118</f>
        <v/>
      </c>
      <c r="D900">
        <f>IF(Skills!C28=1,60+Inputs!$B$25+Inputs!$B$29,IF(Skills!C28=2,90+Inputs!$B$26+Inputs!$B$29,IF(Skills!C28=3,120+Inputs!$B$27+Inputs!$B$29,MAX(0,(Inputs!$B$3-100)*3)+Inputs!$B$28+Inputs!$B$29)))</f>
        <v/>
      </c>
      <c r="E900">
        <f>INDEX(FactorTable!$B$2:$Y$301, MATCH(ROUND(MIN(300,MAX(1,D900)),0), FactorTable!$A$2:$A$301,0), Skills!M28+1)</f>
        <v/>
      </c>
      <c r="F900">
        <f>IF(Skills!N28=TRUE,(Skills!L28/10)*(E900/1000),Skills!L28/10)+Skills!O28</f>
        <v/>
      </c>
      <c r="G900">
        <f>Calc!G28</f>
        <v/>
      </c>
      <c r="H900">
        <f>Calc!H28</f>
        <v/>
      </c>
      <c r="I900">
        <f>IF(Skills!X28&lt;&gt;"",1+(Skills!X28/10)*(Z875/1000)/100,1)</f>
        <v/>
      </c>
      <c r="J900">
        <f>(((Inputs!$B$6+1)*(1+Inputs!$B$7/100))+(((Inputs!$B$12*(1+Inputs!$B$13/100))-(Inputs!$B$12*(1+Inputs!$B$13/100)))+0.25*(Inputs!$B$14-Inputs!$B$14))*(1+Inputs!$B$7/100))*(F900/100)</f>
        <v/>
      </c>
      <c r="K900">
        <f>J900*(1+((Inputs!$B$12*(1+Inputs!$B$13/100))*0.01+Inputs!$B$14*0.0025)/100)*(1+Inputs!$B$15/100)*(1+IF(Inputs!$B$38="pvp",0,(1-Summary!$B$56)*(Inputs!$B$20+Skills!P28)+Summary!$B$56*(Inputs!$B$21+Skills!Q28))/100)*(1+Inputs!$B$16/100)*(5000/(6000+Inputs!$B$42*(1-Inputs!$B$19/100)))*(1+Inputs!$B$24/100)*(1+F895/100)*(1+IF(Inputs!$B$3&gt;=120,F898,0)/100)^5*(1+(IF(Skills!A28="BASIC_ATTACK",Inputs!$B$17,Inputs!$B$18+IF(Inputs!$B$3&gt;=125,F899*5,0)))/100)*(B902*B903*B904*I900)</f>
        <v/>
      </c>
      <c r="L900">
        <f>K900*(MIN(Inputs!$B$22+(F894-Calc!F22),Inputs!$B$23)/100+Inputs!$B$23/100)/2</f>
        <v/>
      </c>
      <c r="M900">
        <f>L900*(1+(Inputs!$B$10+(F893-Calc!F21))/100)</f>
        <v/>
      </c>
      <c r="N900">
        <f>L900*(1-MIN(Inputs!$B$9+(F892-Calc!F20),100)/100)+M900*(MIN(Inputs!$B$9+(F892-Calc!F20),100)/100)</f>
        <v/>
      </c>
      <c r="O900">
        <f>IF(C900,H900*N900*IF(AND(Inputs!$B$38&lt;&gt;"pvp",Inputs!$B$43&gt;0),((Skills!G28*((R900-1)*IF(Skills!H28&gt;0,Skills!I28/Skills!H28,1)+IF(Skills!H28&gt;0,MIN(Skills!I28,MAX(0,Inputs!$B$43-((R900-1)*IF(Inputs!$B$38="pvp",15,MAX(0.1,Skills!E28-IF(Skills!F28=TRUE,Inputs!$B$32,0))))))/Skills!H28,1)))/Inputs!$B$43),G900*Q900)*IF(Inputs!$B$38="pvp",1,(1-Summary!$B$56)*(1)+Summary!$B$56*(MIN(Skills!R28,Inputs!$B$37))),0)</f>
        <v/>
      </c>
      <c r="P900">
        <f>IF(B911=0,0,O900/B911)</f>
        <v/>
      </c>
      <c r="Q900">
        <f>IFERROR(1/IF(Inputs!$B$38="pvp",15,MAX(0.1,Skills!E28-IF(Skills!F28=TRUE,Inputs!$B$32,0))),0)</f>
        <v/>
      </c>
      <c r="R900">
        <f>IF(AND(Inputs!$B$38&lt;&gt;"pvp",Inputs!$B$43&gt;0),(INT(Inputs!$B$43/IF(Inputs!$B$38="pvp",15,MAX(0.1,Skills!E28-IF(Skills!F28=TRUE,Inputs!$B$32,0))))+1),0)</f>
        <v/>
      </c>
    </row>
    <row r="902">
      <c r="A902" t="inlineStr">
        <is>
          <t>Burning Magic Multiplier</t>
        </is>
      </c>
      <c r="B902">
        <f>1+(F883*Skills!Z11)/100</f>
        <v/>
      </c>
    </row>
    <row r="903">
      <c r="A903" t="inlineStr">
        <is>
          <t>Elemental Decrease Multiplier (always-on)</t>
        </is>
      </c>
      <c r="B903">
        <f>1+F884/100</f>
        <v/>
      </c>
    </row>
    <row r="904">
      <c r="A904" t="inlineStr">
        <is>
          <t>Average Buff Multiplier (Magic Guard + Meditation, summed; then Infinity)</t>
        </is>
      </c>
      <c r="B904">
        <f>(1+(F878*IF(AND(Inputs!$B$38&lt;&gt;"pvp",Inputs!$B$43&gt;0),(((R878-1)*(Skills!T6*(1+(Inputs!$B$34+IF(Inputs!$B$3&gt;=117,F897,0))/100))+MIN((Skills!T6*(1+(Inputs!$B$34+IF(Inputs!$B$3&gt;=117,F897,0))/100)),MAX(0,Inputs!$B$43-((R878-1)*Skills!E6))))/Inputs!$B$43),IF(Inputs!$B$38="pvp",MIN((Skills!T6*(1+(Inputs!$B$34+IF(Inputs!$B$3&gt;=117,F897,0))/100)),15)/15,(Skills!T6*(1+(Inputs!$B$34+IF(Inputs!$B$3&gt;=117,F897,0))/100))/Skills!E6))+F889*IF(AND(Inputs!$B$38&lt;&gt;"pvp",Inputs!$B$43&gt;0),(((R889-1)*(Skills!T17*(1+(Inputs!$B$34+IF(Inputs!$B$3&gt;=117,F897,0))/100))+MIN((Skills!T17*(1+(Inputs!$B$34+IF(Inputs!$B$3&gt;=117,F897,0))/100)),MAX(0,Inputs!$B$43-((R889-1)*Skills!E17))))/Inputs!$B$43),IF(Inputs!$B$38="pvp",MIN((Skills!T17*(1+(Inputs!$B$34+IF(Inputs!$B$3&gt;=117,F897,0))/100)),15)/15,(Skills!T17*(1+(Inputs!$B$34+IF(Inputs!$B$3&gt;=117,F897,0))/100))/Skills!E17)))/100)*IF(C891=TRUE,(1+F891*IF(AND(Inputs!$B$38&lt;&gt;"pvp",Inputs!$B$43&gt;0),(((R891-1)*(Skills!T19*(1+(Inputs!$B$34+IF(Inputs!$B$3&gt;=117,F897,0))/100))+MIN((Skills!T19*(1+(Inputs!$B$34+IF(Inputs!$B$3&gt;=117,F897,0))/100)),MAX(0,Inputs!$B$43-((R891-1)*Skills!E19))))/Inputs!$B$43),IF(Inputs!$B$38="pvp",MIN((Skills!T19*(1+(Inputs!$B$34+IF(Inputs!$B$3&gt;=117,F897,0))/100)),15)/15,(Skills!T19*(1+(Inputs!$B$34+IF(Inputs!$B$3&gt;=117,F897,0))/100))/Skills!E19))/100),1)</f>
        <v/>
      </c>
    </row>
    <row r="905">
      <c r="A905" t="inlineStr">
        <is>
          <t>Attack Speed Buff Bonus % (Nimble Feet, averaged)</t>
        </is>
      </c>
      <c r="B905">
        <f>F890*IF(AND(Inputs!$B$38&lt;&gt;"pvp",Inputs!$B$43&gt;0),(((R890-1)*(Skills!T18*(1+(Inputs!$B$34+IF(Inputs!$B$3&gt;=117,F897,0))/100))+MIN((Skills!T18*(1+(Inputs!$B$34+IF(Inputs!$B$3&gt;=117,F897,0))/100)),MAX(0,Inputs!$B$43-((R890-1)*Skills!E18))))/Inputs!$B$43),IF(Inputs!$B$38="pvp",MIN((Skills!T18*(1+(Inputs!$B$34+IF(Inputs!$B$3&gt;=117,F897,0))/100)),15)/15,(Skills!T18*(1+(Inputs!$B$34+IF(Inputs!$B$3&gt;=117,F897,0))/100))/Skills!E18))</f>
        <v/>
      </c>
    </row>
    <row r="906">
      <c r="A906" t="inlineStr">
        <is>
          <t>Actions Per Second</t>
        </is>
      </c>
      <c r="B906">
        <f>1+MIN(150,150*(1-(1-Inputs!$B$11/150)*(1-B905/150)))/100</f>
        <v/>
      </c>
    </row>
    <row r="907">
      <c r="A907" t="inlineStr">
        <is>
          <t>Skill + Buff Cast Rate</t>
        </is>
      </c>
      <c r="B907">
        <f>IF(AND(Inputs!$B$38&lt;&gt;"pvp",Inputs!$B$43&gt;0),SUMPRODUCT((Skills!F2:F28=TRUE)*(C874:C900=TRUE)*R874:R900)/Inputs!$B$43,SUMPRODUCT((Skills!F2:F28=TRUE)*(C874:C900=TRUE)*Q874:Q900))</f>
        <v/>
      </c>
    </row>
    <row r="908">
      <c r="A908" t="inlineStr">
        <is>
          <t>Basic Attacks Per Second</t>
        </is>
      </c>
      <c r="B908">
        <f>MAX(0,B906-B907)</f>
        <v/>
      </c>
    </row>
    <row r="909">
      <c r="A909" t="inlineStr">
        <is>
          <t>Meteor Proc — combined trigger cast rate</t>
        </is>
      </c>
      <c r="B909">
        <f>IF(AND(Inputs!$B$38&lt;&gt;"pvp",Inputs!$B$43&gt;0),SUMPRODUCT((Skills!V2:V28=TRUE)*(C874:C900=TRUE)*R874:R900*Skills!W2:W28)/Inputs!$B$43,SUMPRODUCT((Skills!V2:V28=TRUE)*(C874:C900=TRUE)*Q874:Q900*Skills!W2:W28))+B908</f>
        <v/>
      </c>
    </row>
    <row r="911">
      <c r="A911" s="5" t="inlineStr">
        <is>
          <t>TOTAL DPS</t>
        </is>
      </c>
      <c r="B911" s="5">
        <f>SUM(O874:O900)</f>
        <v/>
      </c>
    </row>
    <row r="914">
      <c r="A914" s="5" t="inlineStr">
        <is>
          <t>Stat: ATTACK %</t>
        </is>
      </c>
    </row>
    <row r="915">
      <c r="A915" s="9" t="inlineStr">
        <is>
          <t>Key</t>
        </is>
      </c>
      <c r="B915" s="9" t="inlineStr">
        <is>
          <t>Name</t>
        </is>
      </c>
      <c r="C915" s="9" t="inlineStr">
        <is>
          <t>Unlocked</t>
        </is>
      </c>
      <c r="D915" s="9" t="inlineStr">
        <is>
          <t>InputLevel</t>
        </is>
      </c>
      <c r="E915" s="9" t="inlineStr">
        <is>
          <t>Factor</t>
        </is>
      </c>
      <c r="F915" s="9" t="inlineStr">
        <is>
          <t>CoefficientPercent</t>
        </is>
      </c>
      <c r="G915" s="9" t="inlineStr">
        <is>
          <t>EffectiveHits</t>
        </is>
      </c>
      <c r="H915" s="9" t="inlineStr">
        <is>
          <t>ProcProbability</t>
        </is>
      </c>
      <c r="I915" s="9" t="inlineStr">
        <is>
          <t>MapleHeroMultiplier</t>
        </is>
      </c>
      <c r="J915" s="9" t="inlineStr">
        <is>
          <t>BaseDamage</t>
        </is>
      </c>
      <c r="K915" s="9" t="inlineStr">
        <is>
          <t>BaseHitDamage</t>
        </is>
      </c>
      <c r="L915" s="9" t="inlineStr">
        <is>
          <t>NonCritAvg</t>
        </is>
      </c>
      <c r="M915" s="9" t="inlineStr">
        <is>
          <t>CritAvg</t>
        </is>
      </c>
      <c r="N915" s="9" t="inlineStr">
        <is>
          <t>ExpectedDamage(perHit)</t>
        </is>
      </c>
      <c r="O915" s="9" t="inlineStr">
        <is>
          <t>DPS</t>
        </is>
      </c>
      <c r="P915" s="9" t="inlineStr">
        <is>
          <t>% of Total</t>
        </is>
      </c>
      <c r="R915" t="inlineStr">
        <is>
          <t>helpers</t>
        </is>
      </c>
    </row>
    <row r="916">
      <c r="A916">
        <f>Skills!A2</f>
        <v/>
      </c>
      <c r="B916">
        <f>Skills!B2</f>
        <v/>
      </c>
      <c r="C916">
        <f>TRUE</f>
        <v/>
      </c>
      <c r="D916" t="inlineStr"/>
      <c r="E916" t="inlineStr"/>
      <c r="F916">
        <f>T918+Skills!O2</f>
        <v/>
      </c>
      <c r="G916">
        <f>Calc!G2</f>
        <v/>
      </c>
      <c r="H916">
        <f>Calc!H2</f>
        <v/>
      </c>
      <c r="I916">
        <f>IF(Skills!X2&lt;&gt;"",1+(Skills!X2/10)*(Z917/1000)/100,1)</f>
        <v/>
      </c>
      <c r="J916">
        <f>((Inputs!$B$6*(1+(Inputs!$B$7+1)/100))+(((Inputs!$B$12*(1+Inputs!$B$13/100))-(Inputs!$B$12*(1+Inputs!$B$13/100)))+0.25*(Inputs!$B$14-Inputs!$B$14))*(1+(Inputs!$B$7+1)/100))*(F916/100)</f>
        <v/>
      </c>
      <c r="K916">
        <f>J916*(1+((Inputs!$B$12*(1+Inputs!$B$13/100))*0.01+Inputs!$B$14*0.0025)/100)*(1+Inputs!$B$15/100)*(1+IF(Inputs!$B$38="pvp",0,(1-Summary!$B$56)*(Inputs!$B$20+Skills!P2)+Summary!$B$56*(Inputs!$B$21+Skills!Q2))/100)*(1+Inputs!$B$16/100)*(5000/(6000+Inputs!$B$42*(1-Inputs!$B$19/100)))*(1+Inputs!$B$24/100)*(1+F937/100)*(1+IF(Inputs!$B$3&gt;=120,F940,0)/100)^5*(1+(IF(Skills!A2="BASIC_ATTACK",Inputs!$B$17,Inputs!$B$18+IF(Inputs!$B$3&gt;=125,F941*5,0)))/100)*(B944*B945*B946*I916)</f>
        <v/>
      </c>
      <c r="L916">
        <f>K916*(MIN(Inputs!$B$22+(F936-Calc!F22),Inputs!$B$23)/100+Inputs!$B$23/100)/2</f>
        <v/>
      </c>
      <c r="M916">
        <f>L916*(1+(Inputs!$B$10+(F935-Calc!F21))/100)</f>
        <v/>
      </c>
      <c r="N916">
        <f>L916*(1-MIN(Inputs!$B$9+(F934-Calc!F20),100)/100)+M916*(MIN(Inputs!$B$9+(F934-Calc!F20),100)/100)</f>
        <v/>
      </c>
      <c r="O916">
        <f>Skills!G2*N916*B950*IF(Inputs!$B$38="pvp",1,(1-Summary!$B$56)*(1)+Summary!$B$56*(MIN((6+Inputs!$B$33+IF(Inputs!$B$3&gt;=136,1,0)),Inputs!$B$37)))</f>
        <v/>
      </c>
      <c r="P916">
        <f>IF(B953=0,0,O916/B953)</f>
        <v/>
      </c>
      <c r="Q916">
        <f>IFERROR(1/IF(Inputs!$B$38="pvp",15,MAX(0.1,Skills!E2-IF(Skills!F2=TRUE,Inputs!$B$32,0))),0)</f>
        <v/>
      </c>
      <c r="R916" t="n">
        <v>0</v>
      </c>
      <c r="T916">
        <f>MAX(0,(Inputs!$B$3-100)*3)+Inputs!$B$28+Inputs!$B$29</f>
        <v/>
      </c>
      <c r="Z916">
        <f>MAX(0,(Inputs!$B$3-100)*3)+Inputs!$B$28+Inputs!$B$29</f>
        <v/>
      </c>
    </row>
    <row r="917">
      <c r="A917">
        <f>Skills!A3</f>
        <v/>
      </c>
      <c r="B917">
        <f>Skills!B3</f>
        <v/>
      </c>
      <c r="C917">
        <f>TRUE</f>
        <v/>
      </c>
      <c r="D917">
        <f>IF(Skills!C3=1,60+Inputs!$B$25+Inputs!$B$29,IF(Skills!C3=2,90+Inputs!$B$26+Inputs!$B$29,IF(Skills!C3=3,120+Inputs!$B$27+Inputs!$B$29,MAX(0,(Inputs!$B$3-100)*3)+Inputs!$B$28+Inputs!$B$29)))</f>
        <v/>
      </c>
      <c r="E917">
        <f>INDEX(FactorTable!$B$2:$Y$301, MATCH(ROUND(MIN(300,MAX(1,D917)),0), FactorTable!$A$2:$A$301,0), Skills!M3+1)</f>
        <v/>
      </c>
      <c r="F917">
        <f>IF(Skills!N3=TRUE,(Skills!L3/10)*(E917/1000),Skills!L3/10)+Skills!O3</f>
        <v/>
      </c>
      <c r="G917">
        <f>Calc!G3</f>
        <v/>
      </c>
      <c r="H917">
        <f>Calc!H3</f>
        <v/>
      </c>
      <c r="I917">
        <f>IF(Skills!X3&lt;&gt;"",1+(Skills!X3/10)*(Z917/1000)/100,1)</f>
        <v/>
      </c>
      <c r="J917">
        <f>((Inputs!$B$6*(1+(Inputs!$B$7+1)/100))+(((Inputs!$B$12*(1+Inputs!$B$13/100))-(Inputs!$B$12*(1+Inputs!$B$13/100)))+0.25*(Inputs!$B$14-Inputs!$B$14))*(1+(Inputs!$B$7+1)/100))*(F917/100)</f>
        <v/>
      </c>
      <c r="K917">
        <f>J917*(1+((Inputs!$B$12*(1+Inputs!$B$13/100))*0.01+Inputs!$B$14*0.0025)/100)*(1+Inputs!$B$15/100)*(1+IF(Inputs!$B$38="pvp",0,(1-Summary!$B$56)*(Inputs!$B$20+Skills!P3)+Summary!$B$56*(Inputs!$B$21+Skills!Q3))/100)*(1+Inputs!$B$16/100)*(5000/(6000+Inputs!$B$42*(1-Inputs!$B$19/100)))*(1+Inputs!$B$24/100)*(1+F937/100)*(1+IF(Inputs!$B$3&gt;=120,F940,0)/100)^5*(1+(IF(Skills!A3="BASIC_ATTACK",Inputs!$B$17,Inputs!$B$18+IF(Inputs!$B$3&gt;=125,F941*5,0)))/100)*(B944*B945*B946*I917)</f>
        <v/>
      </c>
      <c r="L917">
        <f>K917*(MIN(Inputs!$B$22+(F936-Calc!F22),Inputs!$B$23)/100+Inputs!$B$23/100)/2</f>
        <v/>
      </c>
      <c r="M917">
        <f>L917*(1+(Inputs!$B$10+(F935-Calc!F21))/100)</f>
        <v/>
      </c>
      <c r="N917">
        <f>L917*(1-MIN(Inputs!$B$9+(F934-Calc!F20),100)/100)+M917*(MIN(Inputs!$B$9+(F934-Calc!F20),100)/100)</f>
        <v/>
      </c>
      <c r="O917">
        <f>IF(C917,H917*N917*IF(AND(Inputs!$B$38&lt;&gt;"pvp",Inputs!$B$43&gt;0),((Skills!G3*((R917-1)*IF(Skills!H3&gt;0,Skills!I3/Skills!H3,1)+IF(Skills!H3&gt;0,MIN(Skills!I3,MAX(0,Inputs!$B$43-((R917-1)*IF(Inputs!$B$38="pvp",15,MAX(0.1,Skills!E3-IF(Skills!F3=TRUE,Inputs!$B$32,0))))))/Skills!H3,1)))/Inputs!$B$43),G917*Q917)*IF(Inputs!$B$38="pvp",1,(1-Summary!$B$56)*(1)+Summary!$B$56*(MIN(Skills!R3,Inputs!$B$37))),0)</f>
        <v/>
      </c>
      <c r="P917">
        <f>IF(B953=0,0,O917/B953)</f>
        <v/>
      </c>
      <c r="Q917">
        <f>IFERROR(1/IF(Inputs!$B$38="pvp",15,MAX(0.1,Skills!E3-IF(Skills!F3=TRUE,Inputs!$B$32,0))),0)</f>
        <v/>
      </c>
      <c r="R917">
        <f>IF(AND(Inputs!$B$38&lt;&gt;"pvp",Inputs!$B$43&gt;0),(INT(Inputs!$B$43/IF(Inputs!$B$38="pvp",15,MAX(0.1,Skills!E3-IF(Skills!F3=TRUE,Inputs!$B$32,0))))+1),0)</f>
        <v/>
      </c>
      <c r="T917">
        <f>INDEX(FactorTable!$B$2:$Y$301, MATCH(ROUND(MIN(300,MAX(1,T916)),0), FactorTable!$A$2:$A$301,0), 22)</f>
        <v/>
      </c>
      <c r="Z917">
        <f>INDEX(FactorTable!$B$2:$Y$301, MATCH(ROUND(MIN(300,MAX(1,Z916)),0), FactorTable!$A$2:$A$301,0), 24)</f>
        <v/>
      </c>
    </row>
    <row r="918">
      <c r="A918">
        <f>Skills!A4</f>
        <v/>
      </c>
      <c r="B918">
        <f>Skills!B4</f>
        <v/>
      </c>
      <c r="C918">
        <f>TRUE</f>
        <v/>
      </c>
      <c r="D918">
        <f>IF(Skills!C4=1,60+Inputs!$B$25+Inputs!$B$29,IF(Skills!C4=2,90+Inputs!$B$26+Inputs!$B$29,IF(Skills!C4=3,120+Inputs!$B$27+Inputs!$B$29,MAX(0,(Inputs!$B$3-100)*3)+Inputs!$B$28+Inputs!$B$29)))</f>
        <v/>
      </c>
      <c r="E918">
        <f>INDEX(FactorTable!$B$2:$Y$301, MATCH(ROUND(MIN(300,MAX(1,D918)),0), FactorTable!$A$2:$A$301,0), Skills!M4+1)</f>
        <v/>
      </c>
      <c r="F918">
        <f>IF(Skills!N4=TRUE,(Skills!L4/10)*(E918/1000),Skills!L4/10)+Skills!O4</f>
        <v/>
      </c>
      <c r="G918">
        <f>Calc!G4</f>
        <v/>
      </c>
      <c r="H918">
        <f>Calc!H4</f>
        <v/>
      </c>
      <c r="I918">
        <f>IF(Skills!X4&lt;&gt;"",1+(Skills!X4/10)*(Z917/1000)/100,1)</f>
        <v/>
      </c>
      <c r="J918">
        <f>((Inputs!$B$6*(1+(Inputs!$B$7+1)/100))+(((Inputs!$B$12*(1+Inputs!$B$13/100))-(Inputs!$B$12*(1+Inputs!$B$13/100)))+0.25*(Inputs!$B$14-Inputs!$B$14))*(1+(Inputs!$B$7+1)/100))*(F918/100)</f>
        <v/>
      </c>
      <c r="K918">
        <f>J918*(1+((Inputs!$B$12*(1+Inputs!$B$13/100))*0.01+Inputs!$B$14*0.0025)/100)*(1+Inputs!$B$15/100)*(1+IF(Inputs!$B$38="pvp",0,(1-Summary!$B$56)*(Inputs!$B$20+Skills!P4)+Summary!$B$56*(Inputs!$B$21+Skills!Q4))/100)*(1+Inputs!$B$16/100)*(5000/(6000+Inputs!$B$42*(1-Inputs!$B$19/100)))*(1+Inputs!$B$24/100)*(1+F937/100)*(1+IF(Inputs!$B$3&gt;=120,F940,0)/100)^5*(1+(IF(Skills!A4="BASIC_ATTACK",Inputs!$B$17,Inputs!$B$18+IF(Inputs!$B$3&gt;=125,F941*5,0)))/100)*(B944*B945*B946*I918)</f>
        <v/>
      </c>
      <c r="L918">
        <f>K918*(MIN(Inputs!$B$22+(F936-Calc!F22),Inputs!$B$23)/100+Inputs!$B$23/100)/2</f>
        <v/>
      </c>
      <c r="M918">
        <f>L918*(1+(Inputs!$B$10+(F935-Calc!F21))/100)</f>
        <v/>
      </c>
      <c r="N918">
        <f>L918*(1-MIN(Inputs!$B$9+(F934-Calc!F20),100)/100)+M918*(MIN(Inputs!$B$9+(F934-Calc!F20),100)/100)</f>
        <v/>
      </c>
      <c r="O918">
        <f>IF(C918,H918*N918*IF(AND(Inputs!$B$38&lt;&gt;"pvp",Inputs!$B$43&gt;0),((Skills!G4*((R918-1)*IF(Skills!H4&gt;0,Skills!I4/Skills!H4,1)+IF(Skills!H4&gt;0,MIN(Skills!I4,MAX(0,Inputs!$B$43-((R918-1)*IF(Inputs!$B$38="pvp",15,MAX(0.1,Skills!E4-IF(Skills!F4=TRUE,Inputs!$B$32,0))))))/Skills!H4,1)))/Inputs!$B$43),G918*Q918)*IF(Inputs!$B$38="pvp",1,(1-Summary!$B$56)*(1)+Summary!$B$56*(MIN(Skills!R4,Inputs!$B$37))),0)</f>
        <v/>
      </c>
      <c r="P918">
        <f>IF(B953=0,0,O918/B953)</f>
        <v/>
      </c>
      <c r="Q918">
        <f>IFERROR(1/IF(Inputs!$B$38="pvp",15,MAX(0.1,Skills!E4-IF(Skills!F4=TRUE,Inputs!$B$32,0))),0)</f>
        <v/>
      </c>
      <c r="R918">
        <f>IF(AND(Inputs!$B$38&lt;&gt;"pvp",Inputs!$B$43&gt;0),(INT(Inputs!$B$43/IF(Inputs!$B$38="pvp",15,MAX(0.1,Skills!E4-IF(Skills!F4=TRUE,Inputs!$B$32,0))))+1),0)</f>
        <v/>
      </c>
      <c r="T918">
        <f>290*T917/1000</f>
        <v/>
      </c>
    </row>
    <row r="919">
      <c r="A919">
        <f>Skills!A5</f>
        <v/>
      </c>
      <c r="B919">
        <f>Skills!B5</f>
        <v/>
      </c>
      <c r="C919">
        <f>TRUE</f>
        <v/>
      </c>
      <c r="D919">
        <f>IF(Skills!C5=1,60+Inputs!$B$25+Inputs!$B$29,IF(Skills!C5=2,90+Inputs!$B$26+Inputs!$B$29,IF(Skills!C5=3,120+Inputs!$B$27+Inputs!$B$29,MAX(0,(Inputs!$B$3-100)*3)+Inputs!$B$28+Inputs!$B$29)))</f>
        <v/>
      </c>
      <c r="E919">
        <f>INDEX(FactorTable!$B$2:$Y$301, MATCH(ROUND(MIN(300,MAX(1,D919)),0), FactorTable!$A$2:$A$301,0), Skills!M5+1)</f>
        <v/>
      </c>
      <c r="F919">
        <f>IF(Skills!N5=TRUE,(Skills!L5/10)*(E919/1000),Skills!L5/10)+Skills!O5</f>
        <v/>
      </c>
      <c r="G919">
        <f>Calc!G5</f>
        <v/>
      </c>
      <c r="H919">
        <f>Calc!H5</f>
        <v/>
      </c>
      <c r="I919">
        <f>IF(Skills!X5&lt;&gt;"",1+(Skills!X5/10)*(Z917/1000)/100,1)</f>
        <v/>
      </c>
      <c r="J919">
        <f>((Inputs!$B$6*(1+(Inputs!$B$7+1)/100))+(((Inputs!$B$12*(1+Inputs!$B$13/100))-(Inputs!$B$12*(1+Inputs!$B$13/100)))+0.25*(Inputs!$B$14-Inputs!$B$14))*(1+(Inputs!$B$7+1)/100))*(F919/100)</f>
        <v/>
      </c>
      <c r="K919">
        <f>J919*(1+((Inputs!$B$12*(1+Inputs!$B$13/100))*0.01+Inputs!$B$14*0.0025)/100)*(1+Inputs!$B$15/100)*(1+IF(Inputs!$B$38="pvp",0,(1-Summary!$B$56)*(Inputs!$B$20+Skills!P5)+Summary!$B$56*(Inputs!$B$21+Skills!Q5))/100)*(1+Inputs!$B$16/100)*(5000/(6000+Inputs!$B$42*(1-Inputs!$B$19/100)))*(1+Inputs!$B$24/100)*(1+F937/100)*(1+IF(Inputs!$B$3&gt;=120,F940,0)/100)^5*(1+(IF(Skills!A5="BASIC_ATTACK",Inputs!$B$17,Inputs!$B$18+IF(Inputs!$B$3&gt;=125,F941*5,0)))/100)*(B944*B945*B946*I919)</f>
        <v/>
      </c>
      <c r="L919">
        <f>K919*(MIN(Inputs!$B$22+(F936-Calc!F22),Inputs!$B$23)/100+Inputs!$B$23/100)/2</f>
        <v/>
      </c>
      <c r="M919">
        <f>L919*(1+(Inputs!$B$10+(F935-Calc!F21))/100)</f>
        <v/>
      </c>
      <c r="N919">
        <f>L919*(1-MIN(Inputs!$B$9+(F934-Calc!F20),100)/100)+M919*(MIN(Inputs!$B$9+(F934-Calc!F20),100)/100)</f>
        <v/>
      </c>
      <c r="O919">
        <f>IF(C919,H919*N919*IF(AND(Inputs!$B$38&lt;&gt;"pvp",Inputs!$B$43&gt;0),((Skills!G5*((R919-1)*IF(Skills!H5&gt;0,Skills!I5/Skills!H5,1)+IF(Skills!H5&gt;0,MIN(Skills!I5,MAX(0,Inputs!$B$43-((R919-1)*IF(Inputs!$B$38="pvp",15,MAX(0.1,Skills!E5-IF(Skills!F5=TRUE,Inputs!$B$32,0))))))/Skills!H5,1)))/Inputs!$B$43),G919*Q919)*IF(Inputs!$B$38="pvp",1,(1-Summary!$B$56)*(1)+Summary!$B$56*(MIN(Skills!R5,Inputs!$B$37))),0)</f>
        <v/>
      </c>
      <c r="P919">
        <f>IF(B953=0,0,O919/B953)</f>
        <v/>
      </c>
      <c r="Q919">
        <f>IFERROR(1/IF(Inputs!$B$38="pvp",15,MAX(0.1,Skills!E5-IF(Skills!F5=TRUE,Inputs!$B$32,0))),0)</f>
        <v/>
      </c>
      <c r="R919">
        <f>IF(AND(Inputs!$B$38&lt;&gt;"pvp",Inputs!$B$43&gt;0),(INT(Inputs!$B$43/IF(Inputs!$B$38="pvp",15,MAX(0.1,Skills!E5-IF(Skills!F5=TRUE,Inputs!$B$32,0))))+1),0)</f>
        <v/>
      </c>
    </row>
    <row r="920">
      <c r="A920">
        <f>Skills!A6</f>
        <v/>
      </c>
      <c r="B920">
        <f>Skills!B6</f>
        <v/>
      </c>
      <c r="C920">
        <f>TRUE</f>
        <v/>
      </c>
      <c r="D920">
        <f>IF(Skills!C6=1,60+Inputs!$B$25+Inputs!$B$29,IF(Skills!C6=2,90+Inputs!$B$26+Inputs!$B$29,IF(Skills!C6=3,120+Inputs!$B$27+Inputs!$B$29,MAX(0,(Inputs!$B$3-100)*3)+Inputs!$B$28+Inputs!$B$29)))</f>
        <v/>
      </c>
      <c r="E920">
        <f>INDEX(FactorTable!$B$2:$Y$301, MATCH(ROUND(MIN(300,MAX(1,D920)),0), FactorTable!$A$2:$A$301,0), Skills!M6+1)</f>
        <v/>
      </c>
      <c r="F920">
        <f>IF(Skills!N6=TRUE,(Skills!L6/10)*(E920/1000),Skills!L6/10)+Skills!O6</f>
        <v/>
      </c>
      <c r="G920">
        <f>Calc!G6</f>
        <v/>
      </c>
      <c r="H920">
        <f>Calc!H6</f>
        <v/>
      </c>
      <c r="I920">
        <f>IF(Skills!X6&lt;&gt;"",1+(Skills!X6/10)*(Z917/1000)/100,1)</f>
        <v/>
      </c>
      <c r="J920" t="inlineStr"/>
      <c r="K920" t="inlineStr"/>
      <c r="L920" t="inlineStr"/>
      <c r="M920" t="inlineStr"/>
      <c r="N920" t="inlineStr"/>
      <c r="O920" t="n">
        <v>0</v>
      </c>
      <c r="P920">
        <f>IF(B953=0,0,O920/B953)</f>
        <v/>
      </c>
      <c r="Q920">
        <f>IFERROR(1/IF(Inputs!$B$38="pvp",15,MAX(0.1,Skills!E6-IF(Skills!F6=TRUE,Inputs!$B$32,0))),0)</f>
        <v/>
      </c>
      <c r="R920">
        <f>IF(AND(Inputs!$B$38&lt;&gt;"pvp",Inputs!$B$43&gt;0),(INT(Inputs!$B$43/IF(Inputs!$B$38="pvp",15,MAX(0.1,Skills!E6-IF(Skills!F6=TRUE,Inputs!$B$32,0))))+1),0)</f>
        <v/>
      </c>
    </row>
    <row r="921">
      <c r="A921">
        <f>Skills!A7</f>
        <v/>
      </c>
      <c r="B921">
        <f>Skills!B7</f>
        <v/>
      </c>
      <c r="C921">
        <f>TRUE</f>
        <v/>
      </c>
      <c r="D921">
        <f>IF(Skills!C7=1,60+Inputs!$B$25+Inputs!$B$29,IF(Skills!C7=2,90+Inputs!$B$26+Inputs!$B$29,IF(Skills!C7=3,120+Inputs!$B$27+Inputs!$B$29,MAX(0,(Inputs!$B$3-100)*3)+Inputs!$B$28+Inputs!$B$29)))</f>
        <v/>
      </c>
      <c r="E921">
        <f>INDEX(FactorTable!$B$2:$Y$301, MATCH(ROUND(MIN(300,MAX(1,D921)),0), FactorTable!$A$2:$A$301,0), Skills!M7+1)</f>
        <v/>
      </c>
      <c r="F921">
        <f>IF(Skills!N7=TRUE,(Skills!L7/10)*(E921/1000),Skills!L7/10)+Skills!O7</f>
        <v/>
      </c>
      <c r="G921">
        <f>Calc!G7</f>
        <v/>
      </c>
      <c r="H921">
        <f>Calc!H7</f>
        <v/>
      </c>
      <c r="I921">
        <f>IF(Skills!X7&lt;&gt;"",1+(Skills!X7/10)*(Z917/1000)/100,1)</f>
        <v/>
      </c>
      <c r="J921">
        <f>((Inputs!$B$6*(1+(Inputs!$B$7+1)/100))+(((Inputs!$B$12*(1+Inputs!$B$13/100))-(Inputs!$B$12*(1+Inputs!$B$13/100)))+0.25*(Inputs!$B$14-Inputs!$B$14))*(1+(Inputs!$B$7+1)/100))*(F921/100)</f>
        <v/>
      </c>
      <c r="K921">
        <f>J921*(1+((Inputs!$B$12*(1+Inputs!$B$13/100))*0.01+Inputs!$B$14*0.0025)/100)*(1+Inputs!$B$15/100)*(1+IF(Inputs!$B$38="pvp",0,(1-Summary!$B$56)*(Inputs!$B$20+Skills!P7)+Summary!$B$56*(Inputs!$B$21+Skills!Q7))/100)*(1+Inputs!$B$16/100)*(5000/(6000+Inputs!$B$42*(1-Inputs!$B$19/100)))*(1+Inputs!$B$24/100)*(1+F937/100)*(1+IF(Inputs!$B$3&gt;=120,F940,0)/100)^5*(1+(IF(Skills!A7="BASIC_ATTACK",Inputs!$B$17,Inputs!$B$18+IF(Inputs!$B$3&gt;=125,F941*5,0)))/100)*(B944*B945*B946*I921)</f>
        <v/>
      </c>
      <c r="L921">
        <f>K921*(MIN(Inputs!$B$22+(F936-Calc!F22),Inputs!$B$23)/100+Inputs!$B$23/100)/2</f>
        <v/>
      </c>
      <c r="M921">
        <f>L921*(1+(Inputs!$B$10+(F935-Calc!F21))/100)</f>
        <v/>
      </c>
      <c r="N921">
        <f>L921*(1-MIN(Inputs!$B$9+(F934-Calc!F20),100)/100)+M921*(MIN(Inputs!$B$9+(F934-Calc!F20),100)/100)</f>
        <v/>
      </c>
      <c r="O921">
        <f>IF(C921,H921*N921*IF(AND(Inputs!$B$38&lt;&gt;"pvp",Inputs!$B$43&gt;0),((Skills!G7*((R921-1)*IF(Skills!H7&gt;0,Skills!I7/Skills!H7,1)+IF(Skills!H7&gt;0,MIN(Skills!I7,MAX(0,Inputs!$B$43-((R921-1)*IF(Inputs!$B$38="pvp",15,MAX(0.1,Skills!E7-IF(Skills!F7=TRUE,Inputs!$B$32,0))))))/Skills!H7,1)))/Inputs!$B$43),G921*Q921)*IF(Inputs!$B$38="pvp",1,(1-Summary!$B$56)*(1)+Summary!$B$56*(MIN(Skills!R7,Inputs!$B$37))),0)</f>
        <v/>
      </c>
      <c r="P921">
        <f>IF(B953=0,0,O921/B953)</f>
        <v/>
      </c>
      <c r="Q921">
        <f>IFERROR(1/IF(Inputs!$B$38="pvp",15,MAX(0.1,Skills!E7-IF(Skills!F7=TRUE,Inputs!$B$32,0))),0)</f>
        <v/>
      </c>
      <c r="R921">
        <f>IF(AND(Inputs!$B$38&lt;&gt;"pvp",Inputs!$B$43&gt;0),(INT(Inputs!$B$43/IF(Inputs!$B$38="pvp",15,MAX(0.1,Skills!E7-IF(Skills!F7=TRUE,Inputs!$B$32,0))))+1),0)</f>
        <v/>
      </c>
    </row>
    <row r="922">
      <c r="A922">
        <f>Skills!A8</f>
        <v/>
      </c>
      <c r="B922">
        <f>Skills!B8</f>
        <v/>
      </c>
      <c r="C922">
        <f>TRUE</f>
        <v/>
      </c>
      <c r="D922">
        <f>IF(Skills!C8=1,60+Inputs!$B$25+Inputs!$B$29,IF(Skills!C8=2,90+Inputs!$B$26+Inputs!$B$29,IF(Skills!C8=3,120+Inputs!$B$27+Inputs!$B$29,MAX(0,(Inputs!$B$3-100)*3)+Inputs!$B$28+Inputs!$B$29)))</f>
        <v/>
      </c>
      <c r="E922">
        <f>INDEX(FactorTable!$B$2:$Y$301, MATCH(ROUND(MIN(300,MAX(1,D922)),0), FactorTable!$A$2:$A$301,0), Skills!M8+1)</f>
        <v/>
      </c>
      <c r="F922">
        <f>IF(Skills!N8=TRUE,(Skills!L8/10)*(E922/1000),Skills!L8/10)+Skills!O8</f>
        <v/>
      </c>
      <c r="G922">
        <f>Calc!G8</f>
        <v/>
      </c>
      <c r="H922">
        <f>Calc!H8</f>
        <v/>
      </c>
      <c r="I922">
        <f>IF(Skills!X8&lt;&gt;"",1+(Skills!X8/10)*(Z917/1000)/100,1)</f>
        <v/>
      </c>
      <c r="J922">
        <f>((Inputs!$B$6*(1+(Inputs!$B$7+1)/100))+(((Inputs!$B$12*(1+Inputs!$B$13/100))-(Inputs!$B$12*(1+Inputs!$B$13/100)))+0.25*(Inputs!$B$14-Inputs!$B$14))*(1+(Inputs!$B$7+1)/100))*(F922/100)</f>
        <v/>
      </c>
      <c r="K922">
        <f>J922*(1+((Inputs!$B$12*(1+Inputs!$B$13/100))*0.01+Inputs!$B$14*0.0025)/100)*(1+Inputs!$B$15/100)*(1+IF(Inputs!$B$38="pvp",0,(1-Summary!$B$56)*(Inputs!$B$20+Skills!P8)+Summary!$B$56*(Inputs!$B$21+Skills!Q8))/100)*(1+Inputs!$B$16/100)*(5000/(6000+Inputs!$B$42*(1-Inputs!$B$19/100)))*(1+Inputs!$B$24/100)*(1+F937/100)*(1+IF(Inputs!$B$3&gt;=120,F940,0)/100)^5*(1+(IF(Skills!A8="BASIC_ATTACK",Inputs!$B$17,Inputs!$B$18+IF(Inputs!$B$3&gt;=125,F941*5,0)))/100)*(B944*B945*B946*I922)</f>
        <v/>
      </c>
      <c r="L922">
        <f>K922*(MIN(Inputs!$B$22+(F936-Calc!F22),Inputs!$B$23)/100+Inputs!$B$23/100)/2</f>
        <v/>
      </c>
      <c r="M922">
        <f>L922*(1+(Inputs!$B$10+(F935-Calc!F21))/100)</f>
        <v/>
      </c>
      <c r="N922">
        <f>L922*(1-MIN(Inputs!$B$9+(F934-Calc!F20),100)/100)+M922*(MIN(Inputs!$B$9+(F934-Calc!F20),100)/100)</f>
        <v/>
      </c>
      <c r="O922">
        <f>IF(C922,H922*N922*IF(AND(Inputs!$B$38&lt;&gt;"pvp",Inputs!$B$43&gt;0),((Skills!G8*((R922-1)*IF(Skills!H8&gt;0,Skills!I8/Skills!H8,1)+IF(Skills!H8&gt;0,MIN(Skills!I8,MAX(0,Inputs!$B$43-((R922-1)*IF(Inputs!$B$38="pvp",15,MAX(0.1,Skills!E8-IF(Skills!F8=TRUE,Inputs!$B$32,0))))))/Skills!H8,1)))/Inputs!$B$43),G922*Q922)*IF(Inputs!$B$38="pvp",1,(1-Summary!$B$56)*(1)+Summary!$B$56*(MIN(Skills!R8,Inputs!$B$37))),0)</f>
        <v/>
      </c>
      <c r="P922">
        <f>IF(B953=0,0,O922/B953)</f>
        <v/>
      </c>
      <c r="Q922">
        <f>IFERROR(1/IF(Inputs!$B$38="pvp",15,MAX(0.1,Skills!E8-IF(Skills!F8=TRUE,Inputs!$B$32,0))),0)</f>
        <v/>
      </c>
      <c r="R922">
        <f>IF(AND(Inputs!$B$38&lt;&gt;"pvp",Inputs!$B$43&gt;0),(INT(Inputs!$B$43/IF(Inputs!$B$38="pvp",15,MAX(0.1,Skills!E8-IF(Skills!F8=TRUE,Inputs!$B$32,0))))+1),0)</f>
        <v/>
      </c>
    </row>
    <row r="923">
      <c r="A923">
        <f>Skills!A9</f>
        <v/>
      </c>
      <c r="B923">
        <f>Skills!B9</f>
        <v/>
      </c>
      <c r="C923">
        <f>Inputs!$B$3&gt;=103</f>
        <v/>
      </c>
      <c r="D923">
        <f>IF(Skills!C9=1,60+Inputs!$B$25+Inputs!$B$29,IF(Skills!C9=2,90+Inputs!$B$26+Inputs!$B$29,IF(Skills!C9=3,120+Inputs!$B$27+Inputs!$B$29,MAX(0,(Inputs!$B$3-100)*3)+Inputs!$B$28+Inputs!$B$29)))</f>
        <v/>
      </c>
      <c r="E923">
        <f>INDEX(FactorTable!$B$2:$Y$301, MATCH(ROUND(MIN(300,MAX(1,D923)),0), FactorTable!$A$2:$A$301,0), Skills!M9+1)</f>
        <v/>
      </c>
      <c r="F923">
        <f>IF(Skills!N9=TRUE,(Skills!L9/10)*(E923/1000),Skills!L9/10)+Skills!O9</f>
        <v/>
      </c>
      <c r="G923">
        <f>Calc!G9</f>
        <v/>
      </c>
      <c r="H923">
        <f>Calc!H9</f>
        <v/>
      </c>
      <c r="I923">
        <f>IF(Skills!X9&lt;&gt;"",1+(Skills!X9/10)*(Z917/1000)/100,1)</f>
        <v/>
      </c>
      <c r="J923">
        <f>((Inputs!$B$6*(1+(Inputs!$B$7+1)/100))+(((Inputs!$B$12*(1+Inputs!$B$13/100))-(Inputs!$B$12*(1+Inputs!$B$13/100)))+0.25*(Inputs!$B$14-Inputs!$B$14))*(1+(Inputs!$B$7+1)/100))*(F923/100)</f>
        <v/>
      </c>
      <c r="K923">
        <f>J923*(1+((Inputs!$B$12*(1+Inputs!$B$13/100))*0.01+Inputs!$B$14*0.0025)/100)*(1+Inputs!$B$15/100)*(1+IF(Inputs!$B$38="pvp",0,(1-Summary!$B$56)*(Inputs!$B$20+Skills!P9)+Summary!$B$56*(Inputs!$B$21+Skills!Q9))/100)*(1+Inputs!$B$16/100)*(5000/(6000+Inputs!$B$42*(1-Inputs!$B$19/100)))*(1+Inputs!$B$24/100)*(1+F937/100)*(1+IF(Inputs!$B$3&gt;=120,F940,0)/100)^5*(1+(IF(Skills!A9="BASIC_ATTACK",Inputs!$B$17,Inputs!$B$18+IF(Inputs!$B$3&gt;=125,F941*5,0)))/100)*(B944*B945*B946*I923)</f>
        <v/>
      </c>
      <c r="L923">
        <f>K923*(MIN(Inputs!$B$22+(F936-Calc!F22),Inputs!$B$23)/100+Inputs!$B$23/100)/2</f>
        <v/>
      </c>
      <c r="M923">
        <f>L923*(1+(Inputs!$B$10+(F935-Calc!F21))/100)</f>
        <v/>
      </c>
      <c r="N923">
        <f>L923*(1-MIN(Inputs!$B$9+(F934-Calc!F20),100)/100)+M923*(MIN(Inputs!$B$9+(F934-Calc!F20),100)/100)</f>
        <v/>
      </c>
      <c r="O923">
        <f>IF(C923,H923*N923*IF(AND(Inputs!$B$38&lt;&gt;"pvp",Inputs!$B$43&gt;0),((Skills!G9*((R923-1)*IF(Skills!H9&gt;0,Skills!I9/Skills!H9,1)+IF(Skills!H9&gt;0,MIN(Skills!I9,MAX(0,Inputs!$B$43-((R923-1)*IF(Inputs!$B$38="pvp",15,MAX(0.1,Skills!E9-IF(Skills!F7=TRUE,Inputs!$B$32,0))))))/Skills!H9,1)))/Inputs!$B$43),G923*Q923)*IF(Inputs!$B$38="pvp",1,(1-Summary!$B$56)*(1)+Summary!$B$56*(MIN(Skills!R9,Inputs!$B$37))),0)</f>
        <v/>
      </c>
      <c r="P923">
        <f>IF(B953=0,0,O923/B953)</f>
        <v/>
      </c>
      <c r="Q923">
        <f>IFERROR(1/IF(Inputs!$B$38="pvp",15,MAX(0.1,Skills!E9-IF(Skills!F7=TRUE,Inputs!$B$32,0))),0)</f>
        <v/>
      </c>
      <c r="R923">
        <f>IF(AND(Inputs!$B$38&lt;&gt;"pvp",Inputs!$B$43&gt;0),(INT(Inputs!$B$43/IF(Inputs!$B$38="pvp",15,MAX(0.1,Skills!E9-IF(Skills!F7=TRUE,Inputs!$B$32,0))))+1),0)</f>
        <v/>
      </c>
    </row>
    <row r="924">
      <c r="A924">
        <f>Skills!A10</f>
        <v/>
      </c>
      <c r="B924">
        <f>Skills!B10</f>
        <v/>
      </c>
      <c r="C924">
        <f>TRUE</f>
        <v/>
      </c>
      <c r="D924">
        <f>IF(Skills!C10=1,60+Inputs!$B$25+Inputs!$B$29,IF(Skills!C10=2,90+Inputs!$B$26+Inputs!$B$29,IF(Skills!C10=3,120+Inputs!$B$27+Inputs!$B$29,MAX(0,(Inputs!$B$3-100)*3)+Inputs!$B$28+Inputs!$B$29)))</f>
        <v/>
      </c>
      <c r="E924">
        <f>INDEX(FactorTable!$B$2:$Y$301, MATCH(ROUND(MIN(300,MAX(1,D924)),0), FactorTable!$A$2:$A$301,0), Skills!M10+1)</f>
        <v/>
      </c>
      <c r="F924">
        <f>IF(Skills!N10=TRUE,(Skills!L10/10)*(E924/1000),Skills!L10/10)+Skills!O10</f>
        <v/>
      </c>
      <c r="G924">
        <f>Calc!G10</f>
        <v/>
      </c>
      <c r="H924">
        <f>Calc!H10</f>
        <v/>
      </c>
      <c r="I924">
        <f>IF(Skills!X10&lt;&gt;"",1+(Skills!X10/10)*(Z917/1000)/100,1)</f>
        <v/>
      </c>
      <c r="J924">
        <f>((Inputs!$B$6*(1+(Inputs!$B$7+1)/100))+(((Inputs!$B$12*(1+Inputs!$B$13/100))-(Inputs!$B$12*(1+Inputs!$B$13/100)))+0.25*(Inputs!$B$14-Inputs!$B$14))*(1+(Inputs!$B$7+1)/100))*(F924/100)</f>
        <v/>
      </c>
      <c r="K924">
        <f>J924*(1+((Inputs!$B$12*(1+Inputs!$B$13/100))*0.01+Inputs!$B$14*0.0025)/100)*(1+Inputs!$B$15/100)*(1+IF(Inputs!$B$38="pvp",0,(1-Summary!$B$56)*(Inputs!$B$20+Skills!P10)+Summary!$B$56*(Inputs!$B$21+Skills!Q10))/100)*(1+Inputs!$B$16/100)*(5000/(6000+Inputs!$B$42*(1-Inputs!$B$19/100)))*(1+Inputs!$B$24/100)*(1+F937/100)*(1+IF(Inputs!$B$3&gt;=120,F940,0)/100)^5*(1+(IF(Skills!A10="BASIC_ATTACK",Inputs!$B$17,Inputs!$B$18+IF(Inputs!$B$3&gt;=125,F941*5,0)))/100)*(B944*B945*B946*I924)</f>
        <v/>
      </c>
      <c r="L924">
        <f>K924*(MIN(Inputs!$B$22+(F936-Calc!F22),Inputs!$B$23)/100+Inputs!$B$23/100)/2</f>
        <v/>
      </c>
      <c r="M924">
        <f>L924*(1+(Inputs!$B$10+(F935-Calc!F21))/100)</f>
        <v/>
      </c>
      <c r="N924">
        <f>L924*(1-MIN(Inputs!$B$9+(F934-Calc!F20),100)/100)+M924*(MIN(Inputs!$B$9+(F934-Calc!F20),100)/100)</f>
        <v/>
      </c>
      <c r="O924">
        <f>IF(C924,H924*N924*IF(AND(Inputs!$B$38&lt;&gt;"pvp",Inputs!$B$43&gt;0),((Skills!G10*((R924-1)*IF(Skills!H10&gt;0,Skills!I10/Skills!H10,1)+IF(Skills!H10&gt;0,MIN(Skills!I10,MAX(0,Inputs!$B$43-((R924-1)*IF(Inputs!$B$38="pvp",15,MAX(0.1,Skills!E10-IF(Skills!F10=TRUE,Inputs!$B$32,0))))))/Skills!H10,1)))/Inputs!$B$43),G924*Q924)*IF(Inputs!$B$38="pvp",1,(1-Summary!$B$56)*(1)+Summary!$B$56*(MIN(Skills!R10,Inputs!$B$37))),0)</f>
        <v/>
      </c>
      <c r="P924">
        <f>IF(B953=0,0,O924/B953)</f>
        <v/>
      </c>
      <c r="Q924">
        <f>IFERROR(1/IF(Inputs!$B$38="pvp",15,MAX(0.1,Skills!E10-IF(Skills!F10=TRUE,Inputs!$B$32,0))),0)</f>
        <v/>
      </c>
      <c r="R924">
        <f>IF(AND(Inputs!$B$38&lt;&gt;"pvp",Inputs!$B$43&gt;0),(INT(Inputs!$B$43/IF(Inputs!$B$38="pvp",15,MAX(0.1,Skills!E10-IF(Skills!F10=TRUE,Inputs!$B$32,0))))+1),0)</f>
        <v/>
      </c>
    </row>
    <row r="925">
      <c r="A925">
        <f>Skills!A11</f>
        <v/>
      </c>
      <c r="B925">
        <f>Skills!B11</f>
        <v/>
      </c>
      <c r="C925">
        <f>TRUE</f>
        <v/>
      </c>
      <c r="D925">
        <f>IF(Skills!C11=1,60+Inputs!$B$25+Inputs!$B$29,IF(Skills!C11=2,90+Inputs!$B$26+Inputs!$B$29,IF(Skills!C11=3,120+Inputs!$B$27+Inputs!$B$29,MAX(0,(Inputs!$B$3-100)*3)+Inputs!$B$28+Inputs!$B$29)))</f>
        <v/>
      </c>
      <c r="E925">
        <f>INDEX(FactorTable!$B$2:$Y$301, MATCH(ROUND(MIN(300,MAX(1,D925)),0), FactorTable!$A$2:$A$301,0), Skills!M11+1)</f>
        <v/>
      </c>
      <c r="F925">
        <f>IF(Skills!N11=TRUE,(Skills!L11/10)*(E925/1000),Skills!L11/10)+Skills!O11</f>
        <v/>
      </c>
      <c r="G925">
        <f>Calc!G11</f>
        <v/>
      </c>
      <c r="H925">
        <f>Calc!H11</f>
        <v/>
      </c>
      <c r="I925">
        <f>IF(Skills!X11&lt;&gt;"",1+(Skills!X11/10)*(Z917/1000)/100,1)</f>
        <v/>
      </c>
      <c r="J925" t="inlineStr"/>
      <c r="K925" t="inlineStr"/>
      <c r="L925" t="inlineStr"/>
      <c r="M925" t="inlineStr"/>
      <c r="N925" t="inlineStr"/>
      <c r="O925" t="n">
        <v>0</v>
      </c>
      <c r="P925">
        <f>IF(B953=0,0,O925/B953)</f>
        <v/>
      </c>
      <c r="Q925">
        <f>IFERROR(1/IF(Inputs!$B$38="pvp",15,MAX(0.1,Skills!E11-IF(Skills!F11=TRUE,Inputs!$B$32,0))),0)</f>
        <v/>
      </c>
      <c r="R925" t="n">
        <v>0</v>
      </c>
    </row>
    <row r="926">
      <c r="A926">
        <f>Skills!A12</f>
        <v/>
      </c>
      <c r="B926">
        <f>Skills!B12</f>
        <v/>
      </c>
      <c r="C926">
        <f>TRUE</f>
        <v/>
      </c>
      <c r="D926">
        <f>IF(Skills!C12=1,60+Inputs!$B$25+Inputs!$B$29,IF(Skills!C12=2,90+Inputs!$B$26+Inputs!$B$29,IF(Skills!C12=3,120+Inputs!$B$27+Inputs!$B$29,MAX(0,(Inputs!$B$3-100)*3)+Inputs!$B$28+Inputs!$B$29)))</f>
        <v/>
      </c>
      <c r="E926">
        <f>INDEX(FactorTable!$B$2:$Y$301, MATCH(ROUND(MIN(300,MAX(1,D926)),0), FactorTable!$A$2:$A$301,0), Skills!M12+1)</f>
        <v/>
      </c>
      <c r="F926">
        <f>IF(Skills!N12=TRUE,(Skills!L12/10)*(E926/1000),Skills!L12/10)+Skills!O12</f>
        <v/>
      </c>
      <c r="G926">
        <f>Calc!G12</f>
        <v/>
      </c>
      <c r="H926">
        <f>Calc!H12</f>
        <v/>
      </c>
      <c r="I926">
        <f>IF(Skills!X12&lt;&gt;"",1+(Skills!X12/10)*(Z917/1000)/100,1)</f>
        <v/>
      </c>
      <c r="J926" t="inlineStr"/>
      <c r="K926" t="inlineStr"/>
      <c r="L926" t="inlineStr"/>
      <c r="M926" t="inlineStr"/>
      <c r="N926" t="inlineStr"/>
      <c r="O926" t="n">
        <v>0</v>
      </c>
      <c r="P926">
        <f>IF(B953=0,0,O926/B953)</f>
        <v/>
      </c>
      <c r="Q926">
        <f>IFERROR(1/IF(Inputs!$B$38="pvp",15,MAX(0.1,Skills!E12-IF(Skills!F12=TRUE,Inputs!$B$32,0))),0)</f>
        <v/>
      </c>
      <c r="R926" t="n">
        <v>0</v>
      </c>
    </row>
    <row r="927">
      <c r="A927">
        <f>Skills!A13</f>
        <v/>
      </c>
      <c r="B927">
        <f>Skills!B13</f>
        <v/>
      </c>
      <c r="C927">
        <f>Inputs!$B$3&gt;=105</f>
        <v/>
      </c>
      <c r="D927">
        <f>IF(Skills!C13=1,60+Inputs!$B$25+Inputs!$B$29,IF(Skills!C13=2,90+Inputs!$B$26+Inputs!$B$29,IF(Skills!C13=3,120+Inputs!$B$27+Inputs!$B$29,MAX(0,(Inputs!$B$3-100)*3)+Inputs!$B$28+Inputs!$B$29)))</f>
        <v/>
      </c>
      <c r="E927">
        <f>INDEX(FactorTable!$B$2:$Y$301, MATCH(ROUND(MIN(300,MAX(1,D927)),0), FactorTable!$A$2:$A$301,0), Skills!M13+1)</f>
        <v/>
      </c>
      <c r="F927">
        <f>IF(Skills!N13=TRUE,(Skills!L13/10)*(E927/1000),Skills!L13/10)+Skills!O13</f>
        <v/>
      </c>
      <c r="G927">
        <f>Calc!G13</f>
        <v/>
      </c>
      <c r="H927">
        <f>Calc!H13</f>
        <v/>
      </c>
      <c r="I927">
        <f>IF(Skills!X13&lt;&gt;"",1+(Skills!X13/10)*(Z917/1000)/100,1)</f>
        <v/>
      </c>
      <c r="J927">
        <f>((Inputs!$B$6*(1+(Inputs!$B$7+1)/100))+(((Inputs!$B$12*(1+Inputs!$B$13/100))-(Inputs!$B$12*(1+Inputs!$B$13/100)))+0.25*(Inputs!$B$14-Inputs!$B$14))*(1+(Inputs!$B$7+1)/100))*(F927/100)</f>
        <v/>
      </c>
      <c r="K927">
        <f>J927*(1+((Inputs!$B$12*(1+Inputs!$B$13/100))*0.01+Inputs!$B$14*0.0025)/100)*(1+Inputs!$B$15/100)*(1+IF(Inputs!$B$38="pvp",0,(1-Summary!$B$56)*(Inputs!$B$20+Skills!P13)+Summary!$B$56*(Inputs!$B$21+Skills!Q13))/100)*(1+Inputs!$B$16/100)*(5000/(6000+Inputs!$B$42*(1-Inputs!$B$19/100)))*(1+Inputs!$B$24/100)*(1+F937/100)*(1+IF(Inputs!$B$3&gt;=120,F940,0)/100)^5*(1+(IF(Skills!A13="BASIC_ATTACK",Inputs!$B$17,Inputs!$B$18+IF(Inputs!$B$3&gt;=125,F941*5,0)))/100)*(B944*B945*B946*I927)</f>
        <v/>
      </c>
      <c r="L927">
        <f>K927*(MIN(Inputs!$B$22+(F936-Calc!F22),Inputs!$B$23)/100+Inputs!$B$23/100)/2</f>
        <v/>
      </c>
      <c r="M927">
        <f>L927*(1+(Inputs!$B$10+(F935-Calc!F21))/100)</f>
        <v/>
      </c>
      <c r="N927">
        <f>L927*(1-MIN(Inputs!$B$9+(F934-Calc!F20),100)/100)+M927*(MIN(Inputs!$B$9+(F934-Calc!F20),100)/100)</f>
        <v/>
      </c>
      <c r="O927">
        <f>IF(C927,H927*N927*IF(AND(Inputs!$B$38&lt;&gt;"pvp",Inputs!$B$43&gt;0),((Skills!G13*((R927-1)*IF(Skills!H13&gt;0,Skills!I13/Skills!H13,1)+IF(Skills!H13&gt;0,MIN(Skills!I13,MAX(0,Inputs!$B$43-((R927-1)*IF(Inputs!$B$38="pvp",15,MAX(0.1,Skills!E13-IF(Skills!F13=TRUE,Inputs!$B$32,0))))))/Skills!H13,1)))/Inputs!$B$43),G927*Q927)*IF(Inputs!$B$38="pvp",1,(1-Summary!$B$56)*(1)+Summary!$B$56*(MIN(Skills!R13,Inputs!$B$37))),0)</f>
        <v/>
      </c>
      <c r="P927">
        <f>IF(B953=0,0,O927/B953)</f>
        <v/>
      </c>
      <c r="Q927">
        <f>IFERROR(1/IF(Inputs!$B$38="pvp",15,MAX(0.1,Skills!E13-IF(Skills!F13=TRUE,Inputs!$B$32,0))),0)</f>
        <v/>
      </c>
      <c r="R927">
        <f>IF(AND(Inputs!$B$38&lt;&gt;"pvp",Inputs!$B$43&gt;0),(INT(Inputs!$B$43/IF(Inputs!$B$38="pvp",15,MAX(0.1,Skills!E13-IF(Skills!F13=TRUE,Inputs!$B$32,0))))+1),0)</f>
        <v/>
      </c>
    </row>
    <row r="928">
      <c r="A928">
        <f>Skills!A14</f>
        <v/>
      </c>
      <c r="B928">
        <f>Skills!B14</f>
        <v/>
      </c>
      <c r="C928">
        <f>Inputs!$B$3&gt;=113</f>
        <v/>
      </c>
      <c r="D928">
        <f>IF(Skills!C14=1,60+Inputs!$B$25+Inputs!$B$29,IF(Skills!C14=2,90+Inputs!$B$26+Inputs!$B$29,IF(Skills!C14=3,120+Inputs!$B$27+Inputs!$B$29,MAX(0,(Inputs!$B$3-100)*3)+Inputs!$B$28+Inputs!$B$29)))</f>
        <v/>
      </c>
      <c r="E928">
        <f>INDEX(FactorTable!$B$2:$Y$301, MATCH(ROUND(MIN(300,MAX(1,D928)),0), FactorTable!$A$2:$A$301,0), Skills!M14+1)</f>
        <v/>
      </c>
      <c r="F928">
        <f>IF(Skills!N14=TRUE,(Skills!L14/10)*(E928/1000),Skills!L14/10)+Skills!O14</f>
        <v/>
      </c>
      <c r="G928">
        <f>Calc!G14</f>
        <v/>
      </c>
      <c r="H928">
        <f>Calc!H14</f>
        <v/>
      </c>
      <c r="I928">
        <f>IF(Skills!X14&lt;&gt;"",1+(Skills!X14/10)*(Z917/1000)/100,1)</f>
        <v/>
      </c>
      <c r="J928">
        <f>((Inputs!$B$6*(1+(Inputs!$B$7+1)/100))+(((Inputs!$B$12*(1+Inputs!$B$13/100))-(Inputs!$B$12*(1+Inputs!$B$13/100)))+0.25*(Inputs!$B$14-Inputs!$B$14))*(1+(Inputs!$B$7+1)/100))*(F928/100)</f>
        <v/>
      </c>
      <c r="K928">
        <f>J928*(1+((Inputs!$B$12*(1+Inputs!$B$13/100))*0.01+Inputs!$B$14*0.0025)/100)*(1+Inputs!$B$15/100)*(1+IF(Inputs!$B$38="pvp",0,(1-Summary!$B$56)*(Inputs!$B$20+Skills!P14)+Summary!$B$56*(Inputs!$B$21+Skills!Q14))/100)*(1+Inputs!$B$16/100)*(5000/(6000+Inputs!$B$42*(1-Inputs!$B$19/100)))*(1+Inputs!$B$24/100)*(1+F937/100)*(1+IF(Inputs!$B$3&gt;=120,F940,0)/100)^5*(1+(IF(Skills!A14="BASIC_ATTACK",Inputs!$B$17,Inputs!$B$18+IF(Inputs!$B$3&gt;=125,F941*5,0)))/100)*(B944*B945*B946*I928)</f>
        <v/>
      </c>
      <c r="L928">
        <f>K928*(MIN(Inputs!$B$22+(F936-Calc!F22),Inputs!$B$23)/100+Inputs!$B$23/100)/2</f>
        <v/>
      </c>
      <c r="M928">
        <f>L928*(1+(Inputs!$B$10+(F935-Calc!F21))/100)</f>
        <v/>
      </c>
      <c r="N928">
        <f>L928*(1-MIN(Inputs!$B$9+(F934-Calc!F20),100)/100)+M928*(MIN(Inputs!$B$9+(F934-Calc!F20),100)/100)</f>
        <v/>
      </c>
      <c r="O928">
        <f>IF(C928,(H928*B951)/(1+Skills!H14*H928*B951)*N928*IF(Inputs!$B$38="pvp",1,(1-Summary!$B$56)*(1)+Summary!$B$56*(MIN(Skills!R14,Inputs!$B$37))),0)</f>
        <v/>
      </c>
      <c r="P928">
        <f>IF(B953=0,0,O928/B953)</f>
        <v/>
      </c>
      <c r="Q928">
        <f>IFERROR(1/IF(Inputs!$B$38="pvp",15,MAX(0.1,Skills!E14-IF(Skills!F14=TRUE,Inputs!$B$32,0))),0)</f>
        <v/>
      </c>
      <c r="R928" t="n">
        <v>0</v>
      </c>
    </row>
    <row r="929">
      <c r="A929">
        <f>Skills!A15</f>
        <v/>
      </c>
      <c r="B929">
        <f>Skills!B15</f>
        <v/>
      </c>
      <c r="C929">
        <f>Inputs!$B$3&gt;=107</f>
        <v/>
      </c>
      <c r="D929">
        <f>IF(Skills!C15=1,60+Inputs!$B$25+Inputs!$B$29,IF(Skills!C15=2,90+Inputs!$B$26+Inputs!$B$29,IF(Skills!C15=3,120+Inputs!$B$27+Inputs!$B$29,MAX(0,(Inputs!$B$3-100)*3)+Inputs!$B$28+Inputs!$B$29)))</f>
        <v/>
      </c>
      <c r="E929">
        <f>INDEX(FactorTable!$B$2:$Y$301, MATCH(ROUND(MIN(300,MAX(1,D929)),0), FactorTable!$A$2:$A$301,0), Skills!M15+1)</f>
        <v/>
      </c>
      <c r="F929">
        <f>IF(Skills!N15=TRUE,(Skills!L15/10)*(E929/1000),Skills!L15/10)+Skills!O15</f>
        <v/>
      </c>
      <c r="G929">
        <f>Calc!G15</f>
        <v/>
      </c>
      <c r="H929">
        <f>Calc!H15</f>
        <v/>
      </c>
      <c r="I929">
        <f>IF(Skills!X15&lt;&gt;"",1+(Skills!X15/10)*(Z917/1000)/100,1)</f>
        <v/>
      </c>
      <c r="J929">
        <f>((Inputs!$B$6*(1+(Inputs!$B$7+1)/100))+(((Inputs!$B$12*(1+Inputs!$B$13/100))-(Inputs!$B$12*(1+Inputs!$B$13/100)))+0.25*(Inputs!$B$14-Inputs!$B$14))*(1+(Inputs!$B$7+1)/100))*(F929/100)</f>
        <v/>
      </c>
      <c r="K929">
        <f>J929*(1+((Inputs!$B$12*(1+Inputs!$B$13/100))*0.01+Inputs!$B$14*0.0025)/100)*(1+Inputs!$B$15/100)*(1+IF(Inputs!$B$38="pvp",0,(1-Summary!$B$56)*(Inputs!$B$20+Skills!P15)+Summary!$B$56*(Inputs!$B$21+Skills!Q15))/100)*(1+Inputs!$B$16/100)*(5000/(6000+Inputs!$B$42*(1-Inputs!$B$19/100)))*(1+Inputs!$B$24/100)*(1+F937/100)*(1+IF(Inputs!$B$3&gt;=120,F940,0)/100)^5*(1+(IF(Skills!A15="BASIC_ATTACK",Inputs!$B$17,Inputs!$B$18+IF(Inputs!$B$3&gt;=125,F941*5,0)))/100)*(B944*B945*B946*I929)</f>
        <v/>
      </c>
      <c r="L929">
        <f>K929*(MIN(Inputs!$B$22+(F936-Calc!F22),Inputs!$B$23)/100+Inputs!$B$23/100)/2</f>
        <v/>
      </c>
      <c r="M929">
        <f>L929*(1+(Inputs!$B$10+(F935-Calc!F21))/100)</f>
        <v/>
      </c>
      <c r="N929">
        <f>L929*(1-MIN(Inputs!$B$9+(F934-Calc!F20),100)/100)+M929*(MIN(Inputs!$B$9+(F934-Calc!F20),100)/100)</f>
        <v/>
      </c>
      <c r="O929">
        <f>IF(C929,H929*N929*IF(AND(Inputs!$B$38&lt;&gt;"pvp",Inputs!$B$43&gt;0),((Skills!G15*((R929-1)*IF(Skills!H15&gt;0,Skills!I15/Skills!H15,1)+IF(Skills!H15&gt;0,MIN(Skills!I15,MAX(0,Inputs!$B$43-((R929-1)*IF(Inputs!$B$38="pvp",15,MAX(0.1,Skills!E15-IF(Skills!F15=TRUE,Inputs!$B$32,0))))))/Skills!H15,1)))/Inputs!$B$43),G929*Q929)*IF(Inputs!$B$38="pvp",1,(1-Summary!$B$56)*(1)+Summary!$B$56*(MIN(Skills!R15,Inputs!$B$37))),0)</f>
        <v/>
      </c>
      <c r="P929">
        <f>IF(B953=0,0,O929/B953)</f>
        <v/>
      </c>
      <c r="Q929">
        <f>IFERROR(1/IF(Inputs!$B$38="pvp",15,MAX(0.1,Skills!E15-IF(Skills!F15=TRUE,Inputs!$B$32,0))),0)</f>
        <v/>
      </c>
      <c r="R929">
        <f>IF(AND(Inputs!$B$38&lt;&gt;"pvp",Inputs!$B$43&gt;0),(INT(Inputs!$B$43/IF(Inputs!$B$38="pvp",15,MAX(0.1,Skills!E15-IF(Skills!F15=TRUE,Inputs!$B$32,0))))+1),0)</f>
        <v/>
      </c>
    </row>
    <row r="930">
      <c r="A930">
        <f>Skills!A16</f>
        <v/>
      </c>
      <c r="B930">
        <f>Skills!B16</f>
        <v/>
      </c>
      <c r="C930">
        <f>Inputs!$B$3&gt;=107</f>
        <v/>
      </c>
      <c r="D930">
        <f>IF(Skills!C16=1,60+Inputs!$B$25+Inputs!$B$29,IF(Skills!C16=2,90+Inputs!$B$26+Inputs!$B$29,IF(Skills!C16=3,120+Inputs!$B$27+Inputs!$B$29,MAX(0,(Inputs!$B$3-100)*3)+Inputs!$B$28+Inputs!$B$29)))</f>
        <v/>
      </c>
      <c r="E930">
        <f>INDEX(FactorTable!$B$2:$Y$301, MATCH(ROUND(MIN(300,MAX(1,D930)),0), FactorTable!$A$2:$A$301,0), Skills!M16+1)</f>
        <v/>
      </c>
      <c r="F930">
        <f>IF(Skills!N16=TRUE,(Skills!L16/10)*(E930/1000),Skills!L16/10)+Skills!O16</f>
        <v/>
      </c>
      <c r="G930">
        <f>Calc!G16</f>
        <v/>
      </c>
      <c r="H930">
        <f>Calc!H16</f>
        <v/>
      </c>
      <c r="I930">
        <f>IF(Skills!X16&lt;&gt;"",1+(Skills!X16/10)*(Z917/1000)/100,1)</f>
        <v/>
      </c>
      <c r="J930">
        <f>((Inputs!$B$6*(1+(Inputs!$B$7+1)/100))+(((Inputs!$B$12*(1+Inputs!$B$13/100))-(Inputs!$B$12*(1+Inputs!$B$13/100)))+0.25*(Inputs!$B$14-Inputs!$B$14))*(1+(Inputs!$B$7+1)/100))*(F930/100)</f>
        <v/>
      </c>
      <c r="K930">
        <f>J930*(1+((Inputs!$B$12*(1+Inputs!$B$13/100))*0.01+Inputs!$B$14*0.0025)/100)*(1+Inputs!$B$15/100)*(1+IF(Inputs!$B$38="pvp",0,(1-Summary!$B$56)*(Inputs!$B$20+Skills!P16)+Summary!$B$56*(Inputs!$B$21+Skills!Q16))/100)*(1+Inputs!$B$16/100)*(5000/(6000+Inputs!$B$42*(1-Inputs!$B$19/100)))*(1+Inputs!$B$24/100)*(1+F937/100)*(1+IF(Inputs!$B$3&gt;=120,F940,0)/100)^5*(1+(IF(Skills!A16="BASIC_ATTACK",Inputs!$B$17,Inputs!$B$18+IF(Inputs!$B$3&gt;=125,F941*5,0)))/100)*(B944*B945*B946*I930)</f>
        <v/>
      </c>
      <c r="L930">
        <f>K930*(MIN(Inputs!$B$22+(F936-Calc!F22),Inputs!$B$23)/100+Inputs!$B$23/100)/2</f>
        <v/>
      </c>
      <c r="M930">
        <f>L930*(1+(Inputs!$B$10+(F935-Calc!F21))/100)</f>
        <v/>
      </c>
      <c r="N930">
        <f>L930*(1-MIN(Inputs!$B$9+(F934-Calc!F20),100)/100)+M930*(MIN(Inputs!$B$9+(F934-Calc!F20),100)/100)</f>
        <v/>
      </c>
      <c r="O930">
        <f>IF(C930,H930*N930*IF(AND(Inputs!$B$38&lt;&gt;"pvp",Inputs!$B$43&gt;0),((Skills!G16*((R930-1)*IF(Skills!H16&gt;0,Skills!I16/Skills!H16,1)+IF(Skills!H16&gt;0,MIN(Skills!I16,MAX(0,Inputs!$B$43-((R930-1)*IF(Inputs!$B$38="pvp",15,MAX(0.1,Skills!E16-IF(Skills!F16=TRUE,Inputs!$B$32,0))))))/Skills!H16,1)))/Inputs!$B$43),G930*Q930)*(1+IF(Inputs!$B$3&gt;=126,0.05*(B950+Q927+(H928*B951)/(1+Skills!H14*H928*B951)+Q938),0)*Skills!E15)*IF(Inputs!$B$38="pvp",1,(1-Summary!$B$56)*(1)+Summary!$B$56*(MIN(Skills!R16,Inputs!$B$37))),0)</f>
        <v/>
      </c>
      <c r="P930">
        <f>IF(B953=0,0,O930/B953)</f>
        <v/>
      </c>
      <c r="Q930">
        <f>IFERROR(1/IF(Inputs!$B$38="pvp",15,MAX(0.1,Skills!E16-IF(Skills!F16=TRUE,Inputs!$B$32,0))),0)</f>
        <v/>
      </c>
      <c r="R930">
        <f>IF(AND(Inputs!$B$38&lt;&gt;"pvp",Inputs!$B$43&gt;0),(INT(Inputs!$B$43/IF(Inputs!$B$38="pvp",15,MAX(0.1,Skills!E16-IF(Skills!F16=TRUE,Inputs!$B$32,0))))+1),0)</f>
        <v/>
      </c>
    </row>
    <row r="931">
      <c r="A931">
        <f>Skills!A17</f>
        <v/>
      </c>
      <c r="B931">
        <f>Skills!B17</f>
        <v/>
      </c>
      <c r="C931">
        <f>TRUE</f>
        <v/>
      </c>
      <c r="D931">
        <f>IF(Skills!C17=1,60+Inputs!$B$25+Inputs!$B$29,IF(Skills!C17=2,90+Inputs!$B$26+Inputs!$B$29,IF(Skills!C17=3,120+Inputs!$B$27+Inputs!$B$29,MAX(0,(Inputs!$B$3-100)*3)+Inputs!$B$28+Inputs!$B$29)))</f>
        <v/>
      </c>
      <c r="E931">
        <f>INDEX(FactorTable!$B$2:$Y$301, MATCH(ROUND(MIN(300,MAX(1,D931)),0), FactorTable!$A$2:$A$301,0), Skills!M17+1)</f>
        <v/>
      </c>
      <c r="F931">
        <f>IF(Skills!N17=TRUE,(Skills!L17/10)*(E931/1000),Skills!L17/10)+Skills!O17</f>
        <v/>
      </c>
      <c r="G931">
        <f>Calc!G17</f>
        <v/>
      </c>
      <c r="H931">
        <f>Calc!H17</f>
        <v/>
      </c>
      <c r="I931">
        <f>IF(Skills!X17&lt;&gt;"",1+(Skills!X17/10)*(Z917/1000)/100,1)</f>
        <v/>
      </c>
      <c r="J931" t="inlineStr"/>
      <c r="K931" t="inlineStr"/>
      <c r="L931" t="inlineStr"/>
      <c r="M931" t="inlineStr"/>
      <c r="N931" t="inlineStr"/>
      <c r="O931" t="n">
        <v>0</v>
      </c>
      <c r="P931">
        <f>IF(B953=0,0,O931/B953)</f>
        <v/>
      </c>
      <c r="Q931">
        <f>IFERROR(1/IF(Inputs!$B$38="pvp",15,MAX(0.1,Skills!E17-IF(Skills!F17=TRUE,Inputs!$B$32,0))),0)</f>
        <v/>
      </c>
      <c r="R931">
        <f>IF(AND(Inputs!$B$38&lt;&gt;"pvp",Inputs!$B$43&gt;0),(INT(Inputs!$B$43/IF(Inputs!$B$38="pvp",15,MAX(0.1,Skills!E17-IF(Skills!F17=TRUE,Inputs!$B$32,0))))+1),0)</f>
        <v/>
      </c>
    </row>
    <row r="932">
      <c r="A932">
        <f>Skills!A18</f>
        <v/>
      </c>
      <c r="B932">
        <f>Skills!B18</f>
        <v/>
      </c>
      <c r="C932">
        <f>TRUE</f>
        <v/>
      </c>
      <c r="D932">
        <f>IF(Skills!C18=1,60+Inputs!$B$25+Inputs!$B$29,IF(Skills!C18=2,90+Inputs!$B$26+Inputs!$B$29,IF(Skills!C18=3,120+Inputs!$B$27+Inputs!$B$29,MAX(0,(Inputs!$B$3-100)*3)+Inputs!$B$28+Inputs!$B$29)))</f>
        <v/>
      </c>
      <c r="E932">
        <f>INDEX(FactorTable!$B$2:$Y$301, MATCH(ROUND(MIN(300,MAX(1,D932)),0), FactorTable!$A$2:$A$301,0), Skills!M18+1)</f>
        <v/>
      </c>
      <c r="F932">
        <f>IF(Skills!N18=TRUE,(Skills!L18/10)*(E932/1000),Skills!L18/10)+Skills!O18</f>
        <v/>
      </c>
      <c r="G932">
        <f>Calc!G18</f>
        <v/>
      </c>
      <c r="H932">
        <f>Calc!H18</f>
        <v/>
      </c>
      <c r="I932">
        <f>IF(Skills!X18&lt;&gt;"",1+(Skills!X18/10)*(Z917/1000)/100,1)</f>
        <v/>
      </c>
      <c r="J932" t="inlineStr"/>
      <c r="K932" t="inlineStr"/>
      <c r="L932" t="inlineStr"/>
      <c r="M932" t="inlineStr"/>
      <c r="N932" t="inlineStr"/>
      <c r="O932" t="n">
        <v>0</v>
      </c>
      <c r="P932">
        <f>IF(B953=0,0,O932/B953)</f>
        <v/>
      </c>
      <c r="Q932">
        <f>IFERROR(1/IF(Inputs!$B$38="pvp",15,MAX(0.1,Skills!E18-IF(Skills!F18=TRUE,Inputs!$B$32,0))),0)</f>
        <v/>
      </c>
      <c r="R932">
        <f>IF(AND(Inputs!$B$38&lt;&gt;"pvp",Inputs!$B$43&gt;0),(INT(Inputs!$B$43/IF(Inputs!$B$38="pvp",15,MAX(0.1,Skills!E18-IF(Skills!F18=TRUE,Inputs!$B$32,0))))+1),0)</f>
        <v/>
      </c>
    </row>
    <row r="933">
      <c r="A933">
        <f>Skills!A19</f>
        <v/>
      </c>
      <c r="B933">
        <f>Skills!B19</f>
        <v/>
      </c>
      <c r="C933">
        <f>Inputs!$B$3&gt;=110</f>
        <v/>
      </c>
      <c r="D933">
        <f>IF(Skills!C19=1,60+Inputs!$B$25+Inputs!$B$29,IF(Skills!C19=2,90+Inputs!$B$26+Inputs!$B$29,IF(Skills!C19=3,120+Inputs!$B$27+Inputs!$B$29,MAX(0,(Inputs!$B$3-100)*3)+Inputs!$B$28+Inputs!$B$29)))</f>
        <v/>
      </c>
      <c r="E933">
        <f>INDEX(FactorTable!$B$2:$Y$301, MATCH(ROUND(MIN(300,MAX(1,D933)),0), FactorTable!$A$2:$A$301,0), Skills!M19+1)</f>
        <v/>
      </c>
      <c r="F933">
        <f>IF(Skills!N19=TRUE,(Skills!L19/10)*(E933/1000),Skills!L19/10)+Skills!O19</f>
        <v/>
      </c>
      <c r="G933">
        <f>Calc!G19</f>
        <v/>
      </c>
      <c r="H933">
        <f>Calc!H19</f>
        <v/>
      </c>
      <c r="I933">
        <f>IF(Skills!X19&lt;&gt;"",1+(Skills!X19/10)*(Z917/1000)/100,1)</f>
        <v/>
      </c>
      <c r="J933" t="inlineStr"/>
      <c r="K933" t="inlineStr"/>
      <c r="L933" t="inlineStr"/>
      <c r="M933" t="inlineStr"/>
      <c r="N933" t="inlineStr"/>
      <c r="O933" t="n">
        <v>0</v>
      </c>
      <c r="P933">
        <f>IF(B953=0,0,O933/B953)</f>
        <v/>
      </c>
      <c r="Q933">
        <f>IFERROR(1/IF(Inputs!$B$38="pvp",15,MAX(0.1,Skills!E19-IF(Skills!F19=TRUE,Inputs!$B$32,0))),0)</f>
        <v/>
      </c>
      <c r="R933">
        <f>IF(AND(Inputs!$B$38&lt;&gt;"pvp",Inputs!$B$43&gt;0),(INT(Inputs!$B$43/IF(Inputs!$B$38="pvp",15,MAX(0.1,Skills!E19-IF(Skills!F19=TRUE,Inputs!$B$32,0))))+1),0)</f>
        <v/>
      </c>
    </row>
    <row r="934">
      <c r="A934">
        <f>Skills!A20</f>
        <v/>
      </c>
      <c r="B934">
        <f>Skills!B20</f>
        <v/>
      </c>
      <c r="C934">
        <f>TRUE</f>
        <v/>
      </c>
      <c r="D934">
        <f>IF(Skills!C20=1,60+Inputs!$B$25+Inputs!$B$29,IF(Skills!C20=2,90+Inputs!$B$26+Inputs!$B$29,IF(Skills!C20=3,120+Inputs!$B$27+Inputs!$B$29,MAX(0,(Inputs!$B$3-100)*3)+Inputs!$B$28+Inputs!$B$29)))</f>
        <v/>
      </c>
      <c r="E934">
        <f>INDEX(FactorTable!$B$2:$Y$301, MATCH(ROUND(MIN(300,MAX(1,D934)),0), FactorTable!$A$2:$A$301,0), Skills!M20+1)</f>
        <v/>
      </c>
      <c r="F934">
        <f>IF(Skills!N20=TRUE,(Skills!L20/10)*(E934/1000),Skills!L20/10)+Skills!O20</f>
        <v/>
      </c>
      <c r="G934">
        <f>Calc!G20</f>
        <v/>
      </c>
      <c r="H934">
        <f>Calc!H20</f>
        <v/>
      </c>
      <c r="I934">
        <f>IF(Skills!X20&lt;&gt;"",1+(Skills!X20/10)*(Z917/1000)/100,1)</f>
        <v/>
      </c>
      <c r="J934" t="inlineStr"/>
      <c r="K934" t="inlineStr"/>
      <c r="L934" t="inlineStr"/>
      <c r="M934" t="inlineStr"/>
      <c r="N934" t="inlineStr"/>
      <c r="O934" t="n">
        <v>0</v>
      </c>
      <c r="P934">
        <f>IF(B953=0,0,O934/B953)</f>
        <v/>
      </c>
      <c r="Q934">
        <f>IFERROR(1/IF(Inputs!$B$38="pvp",15,MAX(0.1,Skills!E20-IF(Skills!F20=TRUE,Inputs!$B$32,0))),0)</f>
        <v/>
      </c>
      <c r="R934" t="n">
        <v>0</v>
      </c>
    </row>
    <row r="935">
      <c r="A935">
        <f>Skills!A21</f>
        <v/>
      </c>
      <c r="B935">
        <f>Skills!B21</f>
        <v/>
      </c>
      <c r="C935">
        <f>TRUE</f>
        <v/>
      </c>
      <c r="D935">
        <f>IF(Skills!C21=1,60+Inputs!$B$25+Inputs!$B$29,IF(Skills!C21=2,90+Inputs!$B$26+Inputs!$B$29,IF(Skills!C21=3,120+Inputs!$B$27+Inputs!$B$29,MAX(0,(Inputs!$B$3-100)*3)+Inputs!$B$28+Inputs!$B$29)))</f>
        <v/>
      </c>
      <c r="E935">
        <f>INDEX(FactorTable!$B$2:$Y$301, MATCH(ROUND(MIN(300,MAX(1,D935)),0), FactorTable!$A$2:$A$301,0), Skills!M21+1)</f>
        <v/>
      </c>
      <c r="F935">
        <f>IF(Skills!N21=TRUE,(Skills!L21/10)*(E935/1000),Skills!L21/10)+Skills!O21</f>
        <v/>
      </c>
      <c r="G935">
        <f>Calc!G21</f>
        <v/>
      </c>
      <c r="H935">
        <f>Calc!H21</f>
        <v/>
      </c>
      <c r="I935">
        <f>IF(Skills!X21&lt;&gt;"",1+(Skills!X21/10)*(Z917/1000)/100,1)</f>
        <v/>
      </c>
      <c r="J935" t="inlineStr"/>
      <c r="K935" t="inlineStr"/>
      <c r="L935" t="inlineStr"/>
      <c r="M935" t="inlineStr"/>
      <c r="N935" t="inlineStr"/>
      <c r="O935" t="n">
        <v>0</v>
      </c>
      <c r="P935">
        <f>IF(B953=0,0,O935/B953)</f>
        <v/>
      </c>
      <c r="Q935">
        <f>IFERROR(1/IF(Inputs!$B$38="pvp",15,MAX(0.1,Skills!E21-IF(Skills!F21=TRUE,Inputs!$B$32,0))),0)</f>
        <v/>
      </c>
      <c r="R935" t="n">
        <v>0</v>
      </c>
    </row>
    <row r="936">
      <c r="A936">
        <f>Skills!A22</f>
        <v/>
      </c>
      <c r="B936">
        <f>Skills!B22</f>
        <v/>
      </c>
      <c r="C936">
        <f>TRUE</f>
        <v/>
      </c>
      <c r="D936">
        <f>IF(Skills!C22=1,60+Inputs!$B$25+Inputs!$B$29,IF(Skills!C22=2,90+Inputs!$B$26+Inputs!$B$29,IF(Skills!C22=3,120+Inputs!$B$27+Inputs!$B$29,MAX(0,(Inputs!$B$3-100)*3)+Inputs!$B$28+Inputs!$B$29)))</f>
        <v/>
      </c>
      <c r="E936">
        <f>INDEX(FactorTable!$B$2:$Y$301, MATCH(ROUND(MIN(300,MAX(1,D936)),0), FactorTable!$A$2:$A$301,0), Skills!M22+1)</f>
        <v/>
      </c>
      <c r="F936">
        <f>IF(Skills!N22=TRUE,(Skills!L22/10)*(E936/1000),Skills!L22/10)+Skills!O22</f>
        <v/>
      </c>
      <c r="G936">
        <f>Calc!G22</f>
        <v/>
      </c>
      <c r="H936">
        <f>Calc!H22</f>
        <v/>
      </c>
      <c r="I936">
        <f>IF(Skills!X22&lt;&gt;"",1+(Skills!X22/10)*(Z917/1000)/100,1)</f>
        <v/>
      </c>
      <c r="J936" t="inlineStr"/>
      <c r="K936" t="inlineStr"/>
      <c r="L936" t="inlineStr"/>
      <c r="M936" t="inlineStr"/>
      <c r="N936" t="inlineStr"/>
      <c r="O936" t="n">
        <v>0</v>
      </c>
      <c r="P936">
        <f>IF(B953=0,0,O936/B953)</f>
        <v/>
      </c>
      <c r="Q936">
        <f>IFERROR(1/IF(Inputs!$B$38="pvp",15,MAX(0.1,Skills!E22-IF(Skills!F22=TRUE,Inputs!$B$32,0))),0)</f>
        <v/>
      </c>
      <c r="R936" t="n">
        <v>0</v>
      </c>
    </row>
    <row r="937">
      <c r="A937">
        <f>Skills!A23</f>
        <v/>
      </c>
      <c r="B937">
        <f>Skills!B23</f>
        <v/>
      </c>
      <c r="C937">
        <f>TRUE</f>
        <v/>
      </c>
      <c r="D937">
        <f>IF(Skills!C23=1,60+Inputs!$B$25+Inputs!$B$29,IF(Skills!C23=2,90+Inputs!$B$26+Inputs!$B$29,IF(Skills!C23=3,120+Inputs!$B$27+Inputs!$B$29,MAX(0,(Inputs!$B$3-100)*3)+Inputs!$B$28+Inputs!$B$29)))</f>
        <v/>
      </c>
      <c r="E937">
        <f>INDEX(FactorTable!$B$2:$Y$301, MATCH(ROUND(MIN(300,MAX(1,D937)),0), FactorTable!$A$2:$A$301,0), Skills!M23+1)</f>
        <v/>
      </c>
      <c r="F937">
        <f>IF(Skills!N23=TRUE,(Skills!L23/10)*(E937/1000),Skills!L23/10)+Skills!O23</f>
        <v/>
      </c>
      <c r="G937">
        <f>Calc!G23</f>
        <v/>
      </c>
      <c r="H937">
        <f>Calc!H23</f>
        <v/>
      </c>
      <c r="I937">
        <f>IF(Skills!X23&lt;&gt;"",1+(Skills!X23/10)*(Z917/1000)/100,1)</f>
        <v/>
      </c>
      <c r="J937" t="inlineStr"/>
      <c r="K937" t="inlineStr"/>
      <c r="L937" t="inlineStr"/>
      <c r="M937" t="inlineStr"/>
      <c r="N937" t="inlineStr"/>
      <c r="O937" t="n">
        <v>0</v>
      </c>
      <c r="P937">
        <f>IF(B953=0,0,O937/B953)</f>
        <v/>
      </c>
      <c r="Q937">
        <f>IFERROR(1/IF(Inputs!$B$38="pvp",15,MAX(0.1,Skills!E23-IF(Skills!F23=TRUE,Inputs!$B$32,0))),0)</f>
        <v/>
      </c>
      <c r="R937" t="n">
        <v>0</v>
      </c>
    </row>
    <row r="938">
      <c r="A938">
        <f>Skills!A24</f>
        <v/>
      </c>
      <c r="B938">
        <f>Skills!B24</f>
        <v/>
      </c>
      <c r="C938">
        <f>Inputs!$B$3&gt;=115</f>
        <v/>
      </c>
      <c r="D938">
        <f>IF(Skills!C24=1,60+Inputs!$B$25+Inputs!$B$29,IF(Skills!C24=2,90+Inputs!$B$26+Inputs!$B$29,IF(Skills!C24=3,120+Inputs!$B$27+Inputs!$B$29,MAX(0,(Inputs!$B$3-100)*3)+Inputs!$B$28+Inputs!$B$29)))</f>
        <v/>
      </c>
      <c r="E938">
        <f>INDEX(FactorTable!$B$2:$Y$301, MATCH(ROUND(MIN(300,MAX(1,D938)),0), FactorTable!$A$2:$A$301,0), Skills!M24+1)</f>
        <v/>
      </c>
      <c r="F938">
        <f>IF(Skills!N24=TRUE,(Skills!L24/10)*(E938/1000),Skills!L24/10)+Skills!O24</f>
        <v/>
      </c>
      <c r="G938">
        <f>Calc!G24</f>
        <v/>
      </c>
      <c r="H938">
        <f>Calc!H24</f>
        <v/>
      </c>
      <c r="I938">
        <f>IF(Skills!X24&lt;&gt;"",1+(Skills!X24/10)*(Z917/1000)/100,1)</f>
        <v/>
      </c>
      <c r="J938">
        <f>((Inputs!$B$6*(1+(Inputs!$B$7+1)/100))+(((Inputs!$B$12*(1+Inputs!$B$13/100))-(Inputs!$B$12*(1+Inputs!$B$13/100)))+0.25*(Inputs!$B$14-Inputs!$B$14))*(1+(Inputs!$B$7+1)/100))*(F938/100)</f>
        <v/>
      </c>
      <c r="K938">
        <f>J938*(1+((Inputs!$B$12*(1+Inputs!$B$13/100))*0.01+Inputs!$B$14*0.0025)/100)*(1+Inputs!$B$15/100)*(1+IF(Inputs!$B$38="pvp",0,(1-Summary!$B$56)*(Inputs!$B$20+Skills!P24)+Summary!$B$56*(Inputs!$B$21+Skills!Q24))/100)*(1+Inputs!$B$16/100)*(5000/(6000+Inputs!$B$42*(1-Inputs!$B$19/100)))*(1+Inputs!$B$24/100)*(1+F937/100)*(1+IF(Inputs!$B$3&gt;=120,F940,0)/100)^5*(1+(IF(Skills!A24="BASIC_ATTACK",Inputs!$B$17,Inputs!$B$18+IF(Inputs!$B$3&gt;=125,F941*5,0)))/100)*(B944*B945*B946*I938)</f>
        <v/>
      </c>
      <c r="L938">
        <f>K938*(MIN(Inputs!$B$22+(F936-Calc!F22),Inputs!$B$23)/100+Inputs!$B$23/100)/2</f>
        <v/>
      </c>
      <c r="M938">
        <f>L938*(1+(Inputs!$B$10+(F935-Calc!F21))/100)</f>
        <v/>
      </c>
      <c r="N938">
        <f>L938*(1-MIN(Inputs!$B$9+(F934-Calc!F20),100)/100)+M938*(MIN(Inputs!$B$9+(F934-Calc!F20),100)/100)</f>
        <v/>
      </c>
      <c r="O938">
        <f>IF(C938,H938*N938*IF(AND(Inputs!$B$38&lt;&gt;"pvp",Inputs!$B$43&gt;0),((Skills!G24*((R938-1)*IF(Skills!H24&gt;0,Skills!I24/Skills!H24,1)+IF(Skills!H24&gt;0,MIN(Skills!I24,MAX(0,Inputs!$B$43-((R938-1)*IF(Inputs!$B$38="pvp",15,MAX(0.1,Skills!E24-IF(Skills!F24=TRUE,Inputs!$B$32,0))))))/Skills!H24,1)))/Inputs!$B$43),G938*Q938)*(1+IF(Inputs!$B$3&gt;=130,0.2*(Skills!I16/Skills!E15+IF(Inputs!$B$3&gt;=126,0.05*(B950+Q927+(H928*B951)/(1+Skills!H14*H928*B951)+Q938),0)*Skills!I16),0))*IF(Inputs!$B$38="pvp",1,(1-Summary!$B$56)*(1)+Summary!$B$56*(MIN(Skills!R24,Inputs!$B$37))),0)</f>
        <v/>
      </c>
      <c r="P938">
        <f>IF(B953=0,0,O938/B953)</f>
        <v/>
      </c>
      <c r="Q938">
        <f>IFERROR(1/IF(Inputs!$B$38="pvp",15,MAX(0.1,Skills!E24-IF(Skills!F24=TRUE,Inputs!$B$32,0))),0)</f>
        <v/>
      </c>
      <c r="R938">
        <f>IF(AND(Inputs!$B$38&lt;&gt;"pvp",Inputs!$B$43&gt;0),(INT(Inputs!$B$43/IF(Inputs!$B$38="pvp",15,MAX(0.1,Skills!E24-IF(Skills!F24=TRUE,Inputs!$B$32,0))))+1),0)</f>
        <v/>
      </c>
    </row>
    <row r="939">
      <c r="A939">
        <f>Skills!A25</f>
        <v/>
      </c>
      <c r="B939">
        <f>Skills!B25</f>
        <v/>
      </c>
      <c r="C939">
        <f>Inputs!$B$3&gt;=117</f>
        <v/>
      </c>
      <c r="D939">
        <f>IF(Skills!C25=1,60+Inputs!$B$25+Inputs!$B$29,IF(Skills!C25=2,90+Inputs!$B$26+Inputs!$B$29,IF(Skills!C25=3,120+Inputs!$B$27+Inputs!$B$29,MAX(0,(Inputs!$B$3-100)*3)+Inputs!$B$28+Inputs!$B$29)))</f>
        <v/>
      </c>
      <c r="E939">
        <f>INDEX(FactorTable!$B$2:$Y$301, MATCH(ROUND(MIN(300,MAX(1,D939)),0), FactorTable!$A$2:$A$301,0), Skills!M25+1)</f>
        <v/>
      </c>
      <c r="F939">
        <f>IF(Skills!N25=TRUE,(Skills!L25/10)*(E939/1000),Skills!L25/10)+Skills!O25</f>
        <v/>
      </c>
      <c r="G939">
        <f>Calc!G25</f>
        <v/>
      </c>
      <c r="H939">
        <f>Calc!H25</f>
        <v/>
      </c>
      <c r="I939">
        <f>IF(Skills!X25&lt;&gt;"",1+(Skills!X25/10)*(Z917/1000)/100,1)</f>
        <v/>
      </c>
      <c r="J939" t="inlineStr"/>
      <c r="K939" t="inlineStr"/>
      <c r="L939" t="inlineStr"/>
      <c r="M939" t="inlineStr"/>
      <c r="N939" t="inlineStr"/>
      <c r="O939" t="n">
        <v>0</v>
      </c>
      <c r="P939">
        <f>IF(B953=0,0,O939/B953)</f>
        <v/>
      </c>
      <c r="Q939">
        <f>IFERROR(1/IF(Inputs!$B$38="pvp",15,MAX(0.1,Skills!E25-IF(Skills!F25=TRUE,Inputs!$B$32,0))),0)</f>
        <v/>
      </c>
      <c r="R939" t="n">
        <v>0</v>
      </c>
    </row>
    <row r="940">
      <c r="A940">
        <f>Skills!A26</f>
        <v/>
      </c>
      <c r="B940">
        <f>Skills!B26</f>
        <v/>
      </c>
      <c r="C940">
        <f>Inputs!$B$3&gt;=120</f>
        <v/>
      </c>
      <c r="D940">
        <f>IF(Skills!C26=1,60+Inputs!$B$25+Inputs!$B$29,IF(Skills!C26=2,90+Inputs!$B$26+Inputs!$B$29,IF(Skills!C26=3,120+Inputs!$B$27+Inputs!$B$29,MAX(0,(Inputs!$B$3-100)*3)+Inputs!$B$28+Inputs!$B$29)))</f>
        <v/>
      </c>
      <c r="E940">
        <f>INDEX(FactorTable!$B$2:$Y$301, MATCH(ROUND(MIN(300,MAX(1,D940)),0), FactorTable!$A$2:$A$301,0), Skills!M26+1)</f>
        <v/>
      </c>
      <c r="F940">
        <f>IF(Skills!N26=TRUE,(Skills!L26/10)*(E940/1000),Skills!L26/10)+Skills!O26</f>
        <v/>
      </c>
      <c r="G940">
        <f>Calc!G26</f>
        <v/>
      </c>
      <c r="H940">
        <f>Calc!H26</f>
        <v/>
      </c>
      <c r="I940">
        <f>IF(Skills!X26&lt;&gt;"",1+(Skills!X26/10)*(Z917/1000)/100,1)</f>
        <v/>
      </c>
      <c r="J940" t="inlineStr"/>
      <c r="K940" t="inlineStr"/>
      <c r="L940" t="inlineStr"/>
      <c r="M940" t="inlineStr"/>
      <c r="N940" t="inlineStr"/>
      <c r="O940" t="n">
        <v>0</v>
      </c>
      <c r="P940">
        <f>IF(B953=0,0,O940/B953)</f>
        <v/>
      </c>
      <c r="Q940">
        <f>IFERROR(1/IF(Inputs!$B$38="pvp",15,MAX(0.1,Skills!E26-IF(Skills!F26=TRUE,Inputs!$B$32,0))),0)</f>
        <v/>
      </c>
      <c r="R940" t="n">
        <v>0</v>
      </c>
    </row>
    <row r="941">
      <c r="A941">
        <f>Skills!A27</f>
        <v/>
      </c>
      <c r="B941">
        <f>Skills!B27</f>
        <v/>
      </c>
      <c r="C941">
        <f>Inputs!$B$3&gt;=125</f>
        <v/>
      </c>
      <c r="D941">
        <f>IF(Skills!C27=1,60+Inputs!$B$25+Inputs!$B$29,IF(Skills!C27=2,90+Inputs!$B$26+Inputs!$B$29,IF(Skills!C27=3,120+Inputs!$B$27+Inputs!$B$29,MAX(0,(Inputs!$B$3-100)*3)+Inputs!$B$28+Inputs!$B$29)))</f>
        <v/>
      </c>
      <c r="E941">
        <f>INDEX(FactorTable!$B$2:$Y$301, MATCH(ROUND(MIN(300,MAX(1,D941)),0), FactorTable!$A$2:$A$301,0), Skills!M27+1)</f>
        <v/>
      </c>
      <c r="F941">
        <f>IF(Skills!N27=TRUE,(Skills!L27/10)*(E941/1000),Skills!L27/10)+Skills!O27</f>
        <v/>
      </c>
      <c r="G941">
        <f>Calc!G27</f>
        <v/>
      </c>
      <c r="H941">
        <f>Calc!H27</f>
        <v/>
      </c>
      <c r="I941">
        <f>IF(Skills!X27&lt;&gt;"",1+(Skills!X27/10)*(Z917/1000)/100,1)</f>
        <v/>
      </c>
      <c r="J941" t="inlineStr"/>
      <c r="K941" t="inlineStr"/>
      <c r="L941" t="inlineStr"/>
      <c r="M941" t="inlineStr"/>
      <c r="N941" t="inlineStr"/>
      <c r="O941" t="n">
        <v>0</v>
      </c>
      <c r="P941">
        <f>IF(B953=0,0,O941/B953)</f>
        <v/>
      </c>
      <c r="Q941">
        <f>IFERROR(1/IF(Inputs!$B$38="pvp",15,MAX(0.1,Skills!E27-IF(Skills!F27=TRUE,Inputs!$B$32,0))),0)</f>
        <v/>
      </c>
      <c r="R941" t="n">
        <v>0</v>
      </c>
    </row>
    <row r="942">
      <c r="A942">
        <f>Skills!A28</f>
        <v/>
      </c>
      <c r="B942">
        <f>Skills!B28</f>
        <v/>
      </c>
      <c r="C942">
        <f>Inputs!$B$3&gt;=118</f>
        <v/>
      </c>
      <c r="D942">
        <f>IF(Skills!C28=1,60+Inputs!$B$25+Inputs!$B$29,IF(Skills!C28=2,90+Inputs!$B$26+Inputs!$B$29,IF(Skills!C28=3,120+Inputs!$B$27+Inputs!$B$29,MAX(0,(Inputs!$B$3-100)*3)+Inputs!$B$28+Inputs!$B$29)))</f>
        <v/>
      </c>
      <c r="E942">
        <f>INDEX(FactorTable!$B$2:$Y$301, MATCH(ROUND(MIN(300,MAX(1,D942)),0), FactorTable!$A$2:$A$301,0), Skills!M28+1)</f>
        <v/>
      </c>
      <c r="F942">
        <f>IF(Skills!N28=TRUE,(Skills!L28/10)*(E942/1000),Skills!L28/10)+Skills!O28</f>
        <v/>
      </c>
      <c r="G942">
        <f>Calc!G28</f>
        <v/>
      </c>
      <c r="H942">
        <f>Calc!H28</f>
        <v/>
      </c>
      <c r="I942">
        <f>IF(Skills!X28&lt;&gt;"",1+(Skills!X28/10)*(Z917/1000)/100,1)</f>
        <v/>
      </c>
      <c r="J942">
        <f>((Inputs!$B$6*(1+(Inputs!$B$7+1)/100))+(((Inputs!$B$12*(1+Inputs!$B$13/100))-(Inputs!$B$12*(1+Inputs!$B$13/100)))+0.25*(Inputs!$B$14-Inputs!$B$14))*(1+(Inputs!$B$7+1)/100))*(F942/100)</f>
        <v/>
      </c>
      <c r="K942">
        <f>J942*(1+((Inputs!$B$12*(1+Inputs!$B$13/100))*0.01+Inputs!$B$14*0.0025)/100)*(1+Inputs!$B$15/100)*(1+IF(Inputs!$B$38="pvp",0,(1-Summary!$B$56)*(Inputs!$B$20+Skills!P28)+Summary!$B$56*(Inputs!$B$21+Skills!Q28))/100)*(1+Inputs!$B$16/100)*(5000/(6000+Inputs!$B$42*(1-Inputs!$B$19/100)))*(1+Inputs!$B$24/100)*(1+F937/100)*(1+IF(Inputs!$B$3&gt;=120,F940,0)/100)^5*(1+(IF(Skills!A28="BASIC_ATTACK",Inputs!$B$17,Inputs!$B$18+IF(Inputs!$B$3&gt;=125,F941*5,0)))/100)*(B944*B945*B946*I942)</f>
        <v/>
      </c>
      <c r="L942">
        <f>K942*(MIN(Inputs!$B$22+(F936-Calc!F22),Inputs!$B$23)/100+Inputs!$B$23/100)/2</f>
        <v/>
      </c>
      <c r="M942">
        <f>L942*(1+(Inputs!$B$10+(F935-Calc!F21))/100)</f>
        <v/>
      </c>
      <c r="N942">
        <f>L942*(1-MIN(Inputs!$B$9+(F934-Calc!F20),100)/100)+M942*(MIN(Inputs!$B$9+(F934-Calc!F20),100)/100)</f>
        <v/>
      </c>
      <c r="O942">
        <f>IF(C942,H942*N942*IF(AND(Inputs!$B$38&lt;&gt;"pvp",Inputs!$B$43&gt;0),((Skills!G28*((R942-1)*IF(Skills!H28&gt;0,Skills!I28/Skills!H28,1)+IF(Skills!H28&gt;0,MIN(Skills!I28,MAX(0,Inputs!$B$43-((R942-1)*IF(Inputs!$B$38="pvp",15,MAX(0.1,Skills!E28-IF(Skills!F28=TRUE,Inputs!$B$32,0))))))/Skills!H28,1)))/Inputs!$B$43),G942*Q942)*IF(Inputs!$B$38="pvp",1,(1-Summary!$B$56)*(1)+Summary!$B$56*(MIN(Skills!R28,Inputs!$B$37))),0)</f>
        <v/>
      </c>
      <c r="P942">
        <f>IF(B953=0,0,O942/B953)</f>
        <v/>
      </c>
      <c r="Q942">
        <f>IFERROR(1/IF(Inputs!$B$38="pvp",15,MAX(0.1,Skills!E28-IF(Skills!F28=TRUE,Inputs!$B$32,0))),0)</f>
        <v/>
      </c>
      <c r="R942">
        <f>IF(AND(Inputs!$B$38&lt;&gt;"pvp",Inputs!$B$43&gt;0),(INT(Inputs!$B$43/IF(Inputs!$B$38="pvp",15,MAX(0.1,Skills!E28-IF(Skills!F28=TRUE,Inputs!$B$32,0))))+1),0)</f>
        <v/>
      </c>
    </row>
    <row r="944">
      <c r="A944" t="inlineStr">
        <is>
          <t>Burning Magic Multiplier</t>
        </is>
      </c>
      <c r="B944">
        <f>1+(F925*Skills!Z11)/100</f>
        <v/>
      </c>
    </row>
    <row r="945">
      <c r="A945" t="inlineStr">
        <is>
          <t>Elemental Decrease Multiplier (always-on)</t>
        </is>
      </c>
      <c r="B945">
        <f>1+F926/100</f>
        <v/>
      </c>
    </row>
    <row r="946">
      <c r="A946" t="inlineStr">
        <is>
          <t>Average Buff Multiplier (Magic Guard + Meditation, summed; then Infinity)</t>
        </is>
      </c>
      <c r="B946">
        <f>(1+(F920*IF(AND(Inputs!$B$38&lt;&gt;"pvp",Inputs!$B$43&gt;0),(((R920-1)*(Skills!T6*(1+(Inputs!$B$34+IF(Inputs!$B$3&gt;=117,F939,0))/100))+MIN((Skills!T6*(1+(Inputs!$B$34+IF(Inputs!$B$3&gt;=117,F939,0))/100)),MAX(0,Inputs!$B$43-((R920-1)*Skills!E6))))/Inputs!$B$43),IF(Inputs!$B$38="pvp",MIN((Skills!T6*(1+(Inputs!$B$34+IF(Inputs!$B$3&gt;=117,F939,0))/100)),15)/15,(Skills!T6*(1+(Inputs!$B$34+IF(Inputs!$B$3&gt;=117,F939,0))/100))/Skills!E6))+F931*IF(AND(Inputs!$B$38&lt;&gt;"pvp",Inputs!$B$43&gt;0),(((R931-1)*(Skills!T17*(1+(Inputs!$B$34+IF(Inputs!$B$3&gt;=117,F939,0))/100))+MIN((Skills!T17*(1+(Inputs!$B$34+IF(Inputs!$B$3&gt;=117,F939,0))/100)),MAX(0,Inputs!$B$43-((R931-1)*Skills!E17))))/Inputs!$B$43),IF(Inputs!$B$38="pvp",MIN((Skills!T17*(1+(Inputs!$B$34+IF(Inputs!$B$3&gt;=117,F939,0))/100)),15)/15,(Skills!T17*(1+(Inputs!$B$34+IF(Inputs!$B$3&gt;=117,F939,0))/100))/Skills!E17)))/100)*IF(C933=TRUE,(1+F933*IF(AND(Inputs!$B$38&lt;&gt;"pvp",Inputs!$B$43&gt;0),(((R933-1)*(Skills!T19*(1+(Inputs!$B$34+IF(Inputs!$B$3&gt;=117,F939,0))/100))+MIN((Skills!T19*(1+(Inputs!$B$34+IF(Inputs!$B$3&gt;=117,F939,0))/100)),MAX(0,Inputs!$B$43-((R933-1)*Skills!E19))))/Inputs!$B$43),IF(Inputs!$B$38="pvp",MIN((Skills!T19*(1+(Inputs!$B$34+IF(Inputs!$B$3&gt;=117,F939,0))/100)),15)/15,(Skills!T19*(1+(Inputs!$B$34+IF(Inputs!$B$3&gt;=117,F939,0))/100))/Skills!E19))/100),1)</f>
        <v/>
      </c>
    </row>
    <row r="947">
      <c r="A947" t="inlineStr">
        <is>
          <t>Attack Speed Buff Bonus % (Nimble Feet, averaged)</t>
        </is>
      </c>
      <c r="B947">
        <f>F932*IF(AND(Inputs!$B$38&lt;&gt;"pvp",Inputs!$B$43&gt;0),(((R932-1)*(Skills!T18*(1+(Inputs!$B$34+IF(Inputs!$B$3&gt;=117,F939,0))/100))+MIN((Skills!T18*(1+(Inputs!$B$34+IF(Inputs!$B$3&gt;=117,F939,0))/100)),MAX(0,Inputs!$B$43-((R932-1)*Skills!E18))))/Inputs!$B$43),IF(Inputs!$B$38="pvp",MIN((Skills!T18*(1+(Inputs!$B$34+IF(Inputs!$B$3&gt;=117,F939,0))/100)),15)/15,(Skills!T18*(1+(Inputs!$B$34+IF(Inputs!$B$3&gt;=117,F939,0))/100))/Skills!E18))</f>
        <v/>
      </c>
    </row>
    <row r="948">
      <c r="A948" t="inlineStr">
        <is>
          <t>Actions Per Second</t>
        </is>
      </c>
      <c r="B948">
        <f>1+MIN(150,150*(1-(1-Inputs!$B$11/150)*(1-B947/150)))/100</f>
        <v/>
      </c>
    </row>
    <row r="949">
      <c r="A949" t="inlineStr">
        <is>
          <t>Skill + Buff Cast Rate</t>
        </is>
      </c>
      <c r="B949">
        <f>IF(AND(Inputs!$B$38&lt;&gt;"pvp",Inputs!$B$43&gt;0),SUMPRODUCT((Skills!F2:F28=TRUE)*(C916:C942=TRUE)*R916:R942)/Inputs!$B$43,SUMPRODUCT((Skills!F2:F28=TRUE)*(C916:C942=TRUE)*Q916:Q942))</f>
        <v/>
      </c>
    </row>
    <row r="950">
      <c r="A950" t="inlineStr">
        <is>
          <t>Basic Attacks Per Second</t>
        </is>
      </c>
      <c r="B950">
        <f>MAX(0,B948-B949)</f>
        <v/>
      </c>
    </row>
    <row r="951">
      <c r="A951" t="inlineStr">
        <is>
          <t>Meteor Proc — combined trigger cast rate</t>
        </is>
      </c>
      <c r="B951">
        <f>IF(AND(Inputs!$B$38&lt;&gt;"pvp",Inputs!$B$43&gt;0),SUMPRODUCT((Skills!V2:V28=TRUE)*(C916:C942=TRUE)*R916:R942*Skills!W2:W28)/Inputs!$B$43,SUMPRODUCT((Skills!V2:V28=TRUE)*(C916:C942=TRUE)*Q916:Q942*Skills!W2:W28))+B950</f>
        <v/>
      </c>
    </row>
    <row r="953">
      <c r="A953" s="5" t="inlineStr">
        <is>
          <t>TOTAL DPS</t>
        </is>
      </c>
      <c r="B953" s="5">
        <f>SUM(O916:O942)</f>
        <v/>
      </c>
    </row>
    <row r="956">
      <c r="A956" s="5" t="inlineStr">
        <is>
          <t>Stat: Skill Cooldown Decrease (seconds)</t>
        </is>
      </c>
    </row>
    <row r="957">
      <c r="A957" s="9" t="inlineStr">
        <is>
          <t>Key</t>
        </is>
      </c>
      <c r="B957" s="9" t="inlineStr">
        <is>
          <t>Name</t>
        </is>
      </c>
      <c r="C957" s="9" t="inlineStr">
        <is>
          <t>Unlocked</t>
        </is>
      </c>
      <c r="D957" s="9" t="inlineStr">
        <is>
          <t>InputLevel</t>
        </is>
      </c>
      <c r="E957" s="9" t="inlineStr">
        <is>
          <t>Factor</t>
        </is>
      </c>
      <c r="F957" s="9" t="inlineStr">
        <is>
          <t>CoefficientPercent</t>
        </is>
      </c>
      <c r="G957" s="9" t="inlineStr">
        <is>
          <t>EffectiveHits</t>
        </is>
      </c>
      <c r="H957" s="9" t="inlineStr">
        <is>
          <t>ProcProbability</t>
        </is>
      </c>
      <c r="I957" s="9" t="inlineStr">
        <is>
          <t>MapleHeroMultiplier</t>
        </is>
      </c>
      <c r="J957" s="9" t="inlineStr">
        <is>
          <t>BaseDamage</t>
        </is>
      </c>
      <c r="K957" s="9" t="inlineStr">
        <is>
          <t>BaseHitDamage</t>
        </is>
      </c>
      <c r="L957" s="9" t="inlineStr">
        <is>
          <t>NonCritAvg</t>
        </is>
      </c>
      <c r="M957" s="9" t="inlineStr">
        <is>
          <t>CritAvg</t>
        </is>
      </c>
      <c r="N957" s="9" t="inlineStr">
        <is>
          <t>ExpectedDamage(perHit)</t>
        </is>
      </c>
      <c r="O957" s="9" t="inlineStr">
        <is>
          <t>DPS</t>
        </is>
      </c>
      <c r="P957" s="9" t="inlineStr">
        <is>
          <t>% of Total</t>
        </is>
      </c>
      <c r="R957" t="inlineStr">
        <is>
          <t>helpers</t>
        </is>
      </c>
    </row>
    <row r="958">
      <c r="A958">
        <f>Skills!A2</f>
        <v/>
      </c>
      <c r="B958">
        <f>Skills!B2</f>
        <v/>
      </c>
      <c r="C958">
        <f>TRUE</f>
        <v/>
      </c>
      <c r="D958" t="inlineStr"/>
      <c r="E958" t="inlineStr"/>
      <c r="F958">
        <f>T960+Skills!O2</f>
        <v/>
      </c>
      <c r="G958">
        <f>Calc!G2</f>
        <v/>
      </c>
      <c r="H958">
        <f>Calc!H2</f>
        <v/>
      </c>
      <c r="I958">
        <f>IF(Skills!X2&lt;&gt;"",1+(Skills!X2/10)*(Z959/1000)/100,1)</f>
        <v/>
      </c>
      <c r="J958">
        <f>((Inputs!$B$6*(1+Inputs!$B$7/100))+(((Inputs!$B$12*(1+Inputs!$B$13/100))-(Inputs!$B$12*(1+Inputs!$B$13/100)))+0.25*(Inputs!$B$14-Inputs!$B$14))*(1+Inputs!$B$7/100))*(F958/100)</f>
        <v/>
      </c>
      <c r="K958">
        <f>J958*(1+((Inputs!$B$12*(1+Inputs!$B$13/100))*0.01+Inputs!$B$14*0.0025)/100)*(1+Inputs!$B$15/100)*(1+IF(Inputs!$B$38="pvp",0,(1-Summary!$B$56)*(Inputs!$B$20+Skills!P2)+Summary!$B$56*(Inputs!$B$21+Skills!Q2))/100)*(1+Inputs!$B$16/100)*(5000/(6000+Inputs!$B$42*(1-Inputs!$B$19/100)))*(1+Inputs!$B$24/100)*(1+F979/100)*(1+IF(Inputs!$B$3&gt;=120,F982,0)/100)^5*(1+(IF(Skills!A2="BASIC_ATTACK",Inputs!$B$17,Inputs!$B$18+IF(Inputs!$B$3&gt;=125,F983*5,0)))/100)*(B986*B987*B988*I958)</f>
        <v/>
      </c>
      <c r="L958">
        <f>K958*(MIN(Inputs!$B$22+(F978-Calc!F22),Inputs!$B$23)/100+Inputs!$B$23/100)/2</f>
        <v/>
      </c>
      <c r="M958">
        <f>L958*(1+(Inputs!$B$10+(F977-Calc!F21))/100)</f>
        <v/>
      </c>
      <c r="N958">
        <f>L958*(1-MIN(Inputs!$B$9+(F976-Calc!F20),100)/100)+M958*(MIN(Inputs!$B$9+(F976-Calc!F20),100)/100)</f>
        <v/>
      </c>
      <c r="O958">
        <f>Skills!G2*N958*B992*IF(Inputs!$B$38="pvp",1,(1-Summary!$B$56)*(1)+Summary!$B$56*(MIN((6+Inputs!$B$33+IF(Inputs!$B$3&gt;=136,1,0)),Inputs!$B$37)))</f>
        <v/>
      </c>
      <c r="P958">
        <f>IF(B995=0,0,O958/B995)</f>
        <v/>
      </c>
      <c r="Q958">
        <f>IFERROR(1/IF(Inputs!$B$38="pvp",15,MAX(0.1,Skills!E2-IF(Skills!F2=TRUE,(Inputs!$B$32+1),0))),0)</f>
        <v/>
      </c>
      <c r="R958" t="n">
        <v>0</v>
      </c>
      <c r="T958">
        <f>MAX(0,(Inputs!$B$3-100)*3)+Inputs!$B$28+Inputs!$B$29</f>
        <v/>
      </c>
      <c r="Z958">
        <f>MAX(0,(Inputs!$B$3-100)*3)+Inputs!$B$28+Inputs!$B$29</f>
        <v/>
      </c>
    </row>
    <row r="959">
      <c r="A959">
        <f>Skills!A3</f>
        <v/>
      </c>
      <c r="B959">
        <f>Skills!B3</f>
        <v/>
      </c>
      <c r="C959">
        <f>TRUE</f>
        <v/>
      </c>
      <c r="D959">
        <f>IF(Skills!C3=1,60+Inputs!$B$25+Inputs!$B$29,IF(Skills!C3=2,90+Inputs!$B$26+Inputs!$B$29,IF(Skills!C3=3,120+Inputs!$B$27+Inputs!$B$29,MAX(0,(Inputs!$B$3-100)*3)+Inputs!$B$28+Inputs!$B$29)))</f>
        <v/>
      </c>
      <c r="E959">
        <f>INDEX(FactorTable!$B$2:$Y$301, MATCH(ROUND(MIN(300,MAX(1,D959)),0), FactorTable!$A$2:$A$301,0), Skills!M3+1)</f>
        <v/>
      </c>
      <c r="F959">
        <f>IF(Skills!N3=TRUE,(Skills!L3/10)*(E959/1000),Skills!L3/10)+Skills!O3</f>
        <v/>
      </c>
      <c r="G959">
        <f>Calc!G3</f>
        <v/>
      </c>
      <c r="H959">
        <f>Calc!H3</f>
        <v/>
      </c>
      <c r="I959">
        <f>IF(Skills!X3&lt;&gt;"",1+(Skills!X3/10)*(Z959/1000)/100,1)</f>
        <v/>
      </c>
      <c r="J959">
        <f>((Inputs!$B$6*(1+Inputs!$B$7/100))+(((Inputs!$B$12*(1+Inputs!$B$13/100))-(Inputs!$B$12*(1+Inputs!$B$13/100)))+0.25*(Inputs!$B$14-Inputs!$B$14))*(1+Inputs!$B$7/100))*(F959/100)</f>
        <v/>
      </c>
      <c r="K959">
        <f>J959*(1+((Inputs!$B$12*(1+Inputs!$B$13/100))*0.01+Inputs!$B$14*0.0025)/100)*(1+Inputs!$B$15/100)*(1+IF(Inputs!$B$38="pvp",0,(1-Summary!$B$56)*(Inputs!$B$20+Skills!P3)+Summary!$B$56*(Inputs!$B$21+Skills!Q3))/100)*(1+Inputs!$B$16/100)*(5000/(6000+Inputs!$B$42*(1-Inputs!$B$19/100)))*(1+Inputs!$B$24/100)*(1+F979/100)*(1+IF(Inputs!$B$3&gt;=120,F982,0)/100)^5*(1+(IF(Skills!A3="BASIC_ATTACK",Inputs!$B$17,Inputs!$B$18+IF(Inputs!$B$3&gt;=125,F983*5,0)))/100)*(B986*B987*B988*I959)</f>
        <v/>
      </c>
      <c r="L959">
        <f>K959*(MIN(Inputs!$B$22+(F978-Calc!F22),Inputs!$B$23)/100+Inputs!$B$23/100)/2</f>
        <v/>
      </c>
      <c r="M959">
        <f>L959*(1+(Inputs!$B$10+(F977-Calc!F21))/100)</f>
        <v/>
      </c>
      <c r="N959">
        <f>L959*(1-MIN(Inputs!$B$9+(F976-Calc!F20),100)/100)+M959*(MIN(Inputs!$B$9+(F976-Calc!F20),100)/100)</f>
        <v/>
      </c>
      <c r="O959">
        <f>IF(C959,H959*N959*IF(AND(Inputs!$B$38&lt;&gt;"pvp",Inputs!$B$43&gt;0),((Skills!G3*((R959-1)*IF(Skills!H3&gt;0,Skills!I3/Skills!H3,1)+IF(Skills!H3&gt;0,MIN(Skills!I3,MAX(0,Inputs!$B$43-((R959-1)*IF(Inputs!$B$38="pvp",15,MAX(0.1,Skills!E3-IF(Skills!F3=TRUE,(Inputs!$B$32+1),0))))))/Skills!H3,1)))/Inputs!$B$43),G959*Q959)*IF(Inputs!$B$38="pvp",1,(1-Summary!$B$56)*(1)+Summary!$B$56*(MIN(Skills!R3,Inputs!$B$37))),0)</f>
        <v/>
      </c>
      <c r="P959">
        <f>IF(B995=0,0,O959/B995)</f>
        <v/>
      </c>
      <c r="Q959">
        <f>IFERROR(1/IF(Inputs!$B$38="pvp",15,MAX(0.1,Skills!E3-IF(Skills!F3=TRUE,(Inputs!$B$32+1),0))),0)</f>
        <v/>
      </c>
      <c r="R959">
        <f>IF(AND(Inputs!$B$38&lt;&gt;"pvp",Inputs!$B$43&gt;0),(INT(Inputs!$B$43/IF(Inputs!$B$38="pvp",15,MAX(0.1,Skills!E3-IF(Skills!F3=TRUE,(Inputs!$B$32+1),0))))+1),0)</f>
        <v/>
      </c>
      <c r="T959">
        <f>INDEX(FactorTable!$B$2:$Y$301, MATCH(ROUND(MIN(300,MAX(1,T958)),0), FactorTable!$A$2:$A$301,0), 22)</f>
        <v/>
      </c>
      <c r="Z959">
        <f>INDEX(FactorTable!$B$2:$Y$301, MATCH(ROUND(MIN(300,MAX(1,Z958)),0), FactorTable!$A$2:$A$301,0), 24)</f>
        <v/>
      </c>
    </row>
    <row r="960">
      <c r="A960">
        <f>Skills!A4</f>
        <v/>
      </c>
      <c r="B960">
        <f>Skills!B4</f>
        <v/>
      </c>
      <c r="C960">
        <f>TRUE</f>
        <v/>
      </c>
      <c r="D960">
        <f>IF(Skills!C4=1,60+Inputs!$B$25+Inputs!$B$29,IF(Skills!C4=2,90+Inputs!$B$26+Inputs!$B$29,IF(Skills!C4=3,120+Inputs!$B$27+Inputs!$B$29,MAX(0,(Inputs!$B$3-100)*3)+Inputs!$B$28+Inputs!$B$29)))</f>
        <v/>
      </c>
      <c r="E960">
        <f>INDEX(FactorTable!$B$2:$Y$301, MATCH(ROUND(MIN(300,MAX(1,D960)),0), FactorTable!$A$2:$A$301,0), Skills!M4+1)</f>
        <v/>
      </c>
      <c r="F960">
        <f>IF(Skills!N4=TRUE,(Skills!L4/10)*(E960/1000),Skills!L4/10)+Skills!O4</f>
        <v/>
      </c>
      <c r="G960">
        <f>Calc!G4</f>
        <v/>
      </c>
      <c r="H960">
        <f>Calc!H4</f>
        <v/>
      </c>
      <c r="I960">
        <f>IF(Skills!X4&lt;&gt;"",1+(Skills!X4/10)*(Z959/1000)/100,1)</f>
        <v/>
      </c>
      <c r="J960">
        <f>((Inputs!$B$6*(1+Inputs!$B$7/100))+(((Inputs!$B$12*(1+Inputs!$B$13/100))-(Inputs!$B$12*(1+Inputs!$B$13/100)))+0.25*(Inputs!$B$14-Inputs!$B$14))*(1+Inputs!$B$7/100))*(F960/100)</f>
        <v/>
      </c>
      <c r="K960">
        <f>J960*(1+((Inputs!$B$12*(1+Inputs!$B$13/100))*0.01+Inputs!$B$14*0.0025)/100)*(1+Inputs!$B$15/100)*(1+IF(Inputs!$B$38="pvp",0,(1-Summary!$B$56)*(Inputs!$B$20+Skills!P4)+Summary!$B$56*(Inputs!$B$21+Skills!Q4))/100)*(1+Inputs!$B$16/100)*(5000/(6000+Inputs!$B$42*(1-Inputs!$B$19/100)))*(1+Inputs!$B$24/100)*(1+F979/100)*(1+IF(Inputs!$B$3&gt;=120,F982,0)/100)^5*(1+(IF(Skills!A4="BASIC_ATTACK",Inputs!$B$17,Inputs!$B$18+IF(Inputs!$B$3&gt;=125,F983*5,0)))/100)*(B986*B987*B988*I960)</f>
        <v/>
      </c>
      <c r="L960">
        <f>K960*(MIN(Inputs!$B$22+(F978-Calc!F22),Inputs!$B$23)/100+Inputs!$B$23/100)/2</f>
        <v/>
      </c>
      <c r="M960">
        <f>L960*(1+(Inputs!$B$10+(F977-Calc!F21))/100)</f>
        <v/>
      </c>
      <c r="N960">
        <f>L960*(1-MIN(Inputs!$B$9+(F976-Calc!F20),100)/100)+M960*(MIN(Inputs!$B$9+(F976-Calc!F20),100)/100)</f>
        <v/>
      </c>
      <c r="O960">
        <f>IF(C960,H960*N960*IF(AND(Inputs!$B$38&lt;&gt;"pvp",Inputs!$B$43&gt;0),((Skills!G4*((R960-1)*IF(Skills!H4&gt;0,Skills!I4/Skills!H4,1)+IF(Skills!H4&gt;0,MIN(Skills!I4,MAX(0,Inputs!$B$43-((R960-1)*IF(Inputs!$B$38="pvp",15,MAX(0.1,Skills!E4-IF(Skills!F4=TRUE,(Inputs!$B$32+1),0))))))/Skills!H4,1)))/Inputs!$B$43),G960*Q960)*IF(Inputs!$B$38="pvp",1,(1-Summary!$B$56)*(1)+Summary!$B$56*(MIN(Skills!R4,Inputs!$B$37))),0)</f>
        <v/>
      </c>
      <c r="P960">
        <f>IF(B995=0,0,O960/B995)</f>
        <v/>
      </c>
      <c r="Q960">
        <f>IFERROR(1/IF(Inputs!$B$38="pvp",15,MAX(0.1,Skills!E4-IF(Skills!F4=TRUE,(Inputs!$B$32+1),0))),0)</f>
        <v/>
      </c>
      <c r="R960">
        <f>IF(AND(Inputs!$B$38&lt;&gt;"pvp",Inputs!$B$43&gt;0),(INT(Inputs!$B$43/IF(Inputs!$B$38="pvp",15,MAX(0.1,Skills!E4-IF(Skills!F4=TRUE,(Inputs!$B$32+1),0))))+1),0)</f>
        <v/>
      </c>
      <c r="T960">
        <f>290*T959/1000</f>
        <v/>
      </c>
    </row>
    <row r="961">
      <c r="A961">
        <f>Skills!A5</f>
        <v/>
      </c>
      <c r="B961">
        <f>Skills!B5</f>
        <v/>
      </c>
      <c r="C961">
        <f>TRUE</f>
        <v/>
      </c>
      <c r="D961">
        <f>IF(Skills!C5=1,60+Inputs!$B$25+Inputs!$B$29,IF(Skills!C5=2,90+Inputs!$B$26+Inputs!$B$29,IF(Skills!C5=3,120+Inputs!$B$27+Inputs!$B$29,MAX(0,(Inputs!$B$3-100)*3)+Inputs!$B$28+Inputs!$B$29)))</f>
        <v/>
      </c>
      <c r="E961">
        <f>INDEX(FactorTable!$B$2:$Y$301, MATCH(ROUND(MIN(300,MAX(1,D961)),0), FactorTable!$A$2:$A$301,0), Skills!M5+1)</f>
        <v/>
      </c>
      <c r="F961">
        <f>IF(Skills!N5=TRUE,(Skills!L5/10)*(E961/1000),Skills!L5/10)+Skills!O5</f>
        <v/>
      </c>
      <c r="G961">
        <f>Calc!G5</f>
        <v/>
      </c>
      <c r="H961">
        <f>Calc!H5</f>
        <v/>
      </c>
      <c r="I961">
        <f>IF(Skills!X5&lt;&gt;"",1+(Skills!X5/10)*(Z959/1000)/100,1)</f>
        <v/>
      </c>
      <c r="J961">
        <f>((Inputs!$B$6*(1+Inputs!$B$7/100))+(((Inputs!$B$12*(1+Inputs!$B$13/100))-(Inputs!$B$12*(1+Inputs!$B$13/100)))+0.25*(Inputs!$B$14-Inputs!$B$14))*(1+Inputs!$B$7/100))*(F961/100)</f>
        <v/>
      </c>
      <c r="K961">
        <f>J961*(1+((Inputs!$B$12*(1+Inputs!$B$13/100))*0.01+Inputs!$B$14*0.0025)/100)*(1+Inputs!$B$15/100)*(1+IF(Inputs!$B$38="pvp",0,(1-Summary!$B$56)*(Inputs!$B$20+Skills!P5)+Summary!$B$56*(Inputs!$B$21+Skills!Q5))/100)*(1+Inputs!$B$16/100)*(5000/(6000+Inputs!$B$42*(1-Inputs!$B$19/100)))*(1+Inputs!$B$24/100)*(1+F979/100)*(1+IF(Inputs!$B$3&gt;=120,F982,0)/100)^5*(1+(IF(Skills!A5="BASIC_ATTACK",Inputs!$B$17,Inputs!$B$18+IF(Inputs!$B$3&gt;=125,F983*5,0)))/100)*(B986*B987*B988*I961)</f>
        <v/>
      </c>
      <c r="L961">
        <f>K961*(MIN(Inputs!$B$22+(F978-Calc!F22),Inputs!$B$23)/100+Inputs!$B$23/100)/2</f>
        <v/>
      </c>
      <c r="M961">
        <f>L961*(1+(Inputs!$B$10+(F977-Calc!F21))/100)</f>
        <v/>
      </c>
      <c r="N961">
        <f>L961*(1-MIN(Inputs!$B$9+(F976-Calc!F20),100)/100)+M961*(MIN(Inputs!$B$9+(F976-Calc!F20),100)/100)</f>
        <v/>
      </c>
      <c r="O961">
        <f>IF(C961,H961*N961*IF(AND(Inputs!$B$38&lt;&gt;"pvp",Inputs!$B$43&gt;0),((Skills!G5*((R961-1)*IF(Skills!H5&gt;0,Skills!I5/Skills!H5,1)+IF(Skills!H5&gt;0,MIN(Skills!I5,MAX(0,Inputs!$B$43-((R961-1)*IF(Inputs!$B$38="pvp",15,MAX(0.1,Skills!E5-IF(Skills!F5=TRUE,(Inputs!$B$32+1),0))))))/Skills!H5,1)))/Inputs!$B$43),G961*Q961)*IF(Inputs!$B$38="pvp",1,(1-Summary!$B$56)*(1)+Summary!$B$56*(MIN(Skills!R5,Inputs!$B$37))),0)</f>
        <v/>
      </c>
      <c r="P961">
        <f>IF(B995=0,0,O961/B995)</f>
        <v/>
      </c>
      <c r="Q961">
        <f>IFERROR(1/IF(Inputs!$B$38="pvp",15,MAX(0.1,Skills!E5-IF(Skills!F5=TRUE,(Inputs!$B$32+1),0))),0)</f>
        <v/>
      </c>
      <c r="R961">
        <f>IF(AND(Inputs!$B$38&lt;&gt;"pvp",Inputs!$B$43&gt;0),(INT(Inputs!$B$43/IF(Inputs!$B$38="pvp",15,MAX(0.1,Skills!E5-IF(Skills!F5=TRUE,(Inputs!$B$32+1),0))))+1),0)</f>
        <v/>
      </c>
    </row>
    <row r="962">
      <c r="A962">
        <f>Skills!A6</f>
        <v/>
      </c>
      <c r="B962">
        <f>Skills!B6</f>
        <v/>
      </c>
      <c r="C962">
        <f>TRUE</f>
        <v/>
      </c>
      <c r="D962">
        <f>IF(Skills!C6=1,60+Inputs!$B$25+Inputs!$B$29,IF(Skills!C6=2,90+Inputs!$B$26+Inputs!$B$29,IF(Skills!C6=3,120+Inputs!$B$27+Inputs!$B$29,MAX(0,(Inputs!$B$3-100)*3)+Inputs!$B$28+Inputs!$B$29)))</f>
        <v/>
      </c>
      <c r="E962">
        <f>INDEX(FactorTable!$B$2:$Y$301, MATCH(ROUND(MIN(300,MAX(1,D962)),0), FactorTable!$A$2:$A$301,0), Skills!M6+1)</f>
        <v/>
      </c>
      <c r="F962">
        <f>IF(Skills!N6=TRUE,(Skills!L6/10)*(E962/1000),Skills!L6/10)+Skills!O6</f>
        <v/>
      </c>
      <c r="G962">
        <f>Calc!G6</f>
        <v/>
      </c>
      <c r="H962">
        <f>Calc!H6</f>
        <v/>
      </c>
      <c r="I962">
        <f>IF(Skills!X6&lt;&gt;"",1+(Skills!X6/10)*(Z959/1000)/100,1)</f>
        <v/>
      </c>
      <c r="J962" t="inlineStr"/>
      <c r="K962" t="inlineStr"/>
      <c r="L962" t="inlineStr"/>
      <c r="M962" t="inlineStr"/>
      <c r="N962" t="inlineStr"/>
      <c r="O962" t="n">
        <v>0</v>
      </c>
      <c r="P962">
        <f>IF(B995=0,0,O962/B995)</f>
        <v/>
      </c>
      <c r="Q962">
        <f>IFERROR(1/IF(Inputs!$B$38="pvp",15,MAX(0.1,Skills!E6-IF(Skills!F6=TRUE,(Inputs!$B$32+1),0))),0)</f>
        <v/>
      </c>
      <c r="R962">
        <f>IF(AND(Inputs!$B$38&lt;&gt;"pvp",Inputs!$B$43&gt;0),(INT(Inputs!$B$43/IF(Inputs!$B$38="pvp",15,MAX(0.1,Skills!E6-IF(Skills!F6=TRUE,(Inputs!$B$32+1),0))))+1),0)</f>
        <v/>
      </c>
    </row>
    <row r="963">
      <c r="A963">
        <f>Skills!A7</f>
        <v/>
      </c>
      <c r="B963">
        <f>Skills!B7</f>
        <v/>
      </c>
      <c r="C963">
        <f>TRUE</f>
        <v/>
      </c>
      <c r="D963">
        <f>IF(Skills!C7=1,60+Inputs!$B$25+Inputs!$B$29,IF(Skills!C7=2,90+Inputs!$B$26+Inputs!$B$29,IF(Skills!C7=3,120+Inputs!$B$27+Inputs!$B$29,MAX(0,(Inputs!$B$3-100)*3)+Inputs!$B$28+Inputs!$B$29)))</f>
        <v/>
      </c>
      <c r="E963">
        <f>INDEX(FactorTable!$B$2:$Y$301, MATCH(ROUND(MIN(300,MAX(1,D963)),0), FactorTable!$A$2:$A$301,0), Skills!M7+1)</f>
        <v/>
      </c>
      <c r="F963">
        <f>IF(Skills!N7=TRUE,(Skills!L7/10)*(E963/1000),Skills!L7/10)+Skills!O7</f>
        <v/>
      </c>
      <c r="G963">
        <f>Calc!G7</f>
        <v/>
      </c>
      <c r="H963">
        <f>Calc!H7</f>
        <v/>
      </c>
      <c r="I963">
        <f>IF(Skills!X7&lt;&gt;"",1+(Skills!X7/10)*(Z959/1000)/100,1)</f>
        <v/>
      </c>
      <c r="J963">
        <f>((Inputs!$B$6*(1+Inputs!$B$7/100))+(((Inputs!$B$12*(1+Inputs!$B$13/100))-(Inputs!$B$12*(1+Inputs!$B$13/100)))+0.25*(Inputs!$B$14-Inputs!$B$14))*(1+Inputs!$B$7/100))*(F963/100)</f>
        <v/>
      </c>
      <c r="K963">
        <f>J963*(1+((Inputs!$B$12*(1+Inputs!$B$13/100))*0.01+Inputs!$B$14*0.0025)/100)*(1+Inputs!$B$15/100)*(1+IF(Inputs!$B$38="pvp",0,(1-Summary!$B$56)*(Inputs!$B$20+Skills!P7)+Summary!$B$56*(Inputs!$B$21+Skills!Q7))/100)*(1+Inputs!$B$16/100)*(5000/(6000+Inputs!$B$42*(1-Inputs!$B$19/100)))*(1+Inputs!$B$24/100)*(1+F979/100)*(1+IF(Inputs!$B$3&gt;=120,F982,0)/100)^5*(1+(IF(Skills!A7="BASIC_ATTACK",Inputs!$B$17,Inputs!$B$18+IF(Inputs!$B$3&gt;=125,F983*5,0)))/100)*(B986*B987*B988*I963)</f>
        <v/>
      </c>
      <c r="L963">
        <f>K963*(MIN(Inputs!$B$22+(F978-Calc!F22),Inputs!$B$23)/100+Inputs!$B$23/100)/2</f>
        <v/>
      </c>
      <c r="M963">
        <f>L963*(1+(Inputs!$B$10+(F977-Calc!F21))/100)</f>
        <v/>
      </c>
      <c r="N963">
        <f>L963*(1-MIN(Inputs!$B$9+(F976-Calc!F20),100)/100)+M963*(MIN(Inputs!$B$9+(F976-Calc!F20),100)/100)</f>
        <v/>
      </c>
      <c r="O963">
        <f>IF(C963,H963*N963*IF(AND(Inputs!$B$38&lt;&gt;"pvp",Inputs!$B$43&gt;0),((Skills!G7*((R963-1)*IF(Skills!H7&gt;0,Skills!I7/Skills!H7,1)+IF(Skills!H7&gt;0,MIN(Skills!I7,MAX(0,Inputs!$B$43-((R963-1)*IF(Inputs!$B$38="pvp",15,MAX(0.1,Skills!E7-IF(Skills!F7=TRUE,(Inputs!$B$32+1),0))))))/Skills!H7,1)))/Inputs!$B$43),G963*Q963)*IF(Inputs!$B$38="pvp",1,(1-Summary!$B$56)*(1)+Summary!$B$56*(MIN(Skills!R7,Inputs!$B$37))),0)</f>
        <v/>
      </c>
      <c r="P963">
        <f>IF(B995=0,0,O963/B995)</f>
        <v/>
      </c>
      <c r="Q963">
        <f>IFERROR(1/IF(Inputs!$B$38="pvp",15,MAX(0.1,Skills!E7-IF(Skills!F7=TRUE,(Inputs!$B$32+1),0))),0)</f>
        <v/>
      </c>
      <c r="R963">
        <f>IF(AND(Inputs!$B$38&lt;&gt;"pvp",Inputs!$B$43&gt;0),(INT(Inputs!$B$43/IF(Inputs!$B$38="pvp",15,MAX(0.1,Skills!E7-IF(Skills!F7=TRUE,(Inputs!$B$32+1),0))))+1),0)</f>
        <v/>
      </c>
    </row>
    <row r="964">
      <c r="A964">
        <f>Skills!A8</f>
        <v/>
      </c>
      <c r="B964">
        <f>Skills!B8</f>
        <v/>
      </c>
      <c r="C964">
        <f>TRUE</f>
        <v/>
      </c>
      <c r="D964">
        <f>IF(Skills!C8=1,60+Inputs!$B$25+Inputs!$B$29,IF(Skills!C8=2,90+Inputs!$B$26+Inputs!$B$29,IF(Skills!C8=3,120+Inputs!$B$27+Inputs!$B$29,MAX(0,(Inputs!$B$3-100)*3)+Inputs!$B$28+Inputs!$B$29)))</f>
        <v/>
      </c>
      <c r="E964">
        <f>INDEX(FactorTable!$B$2:$Y$301, MATCH(ROUND(MIN(300,MAX(1,D964)),0), FactorTable!$A$2:$A$301,0), Skills!M8+1)</f>
        <v/>
      </c>
      <c r="F964">
        <f>IF(Skills!N8=TRUE,(Skills!L8/10)*(E964/1000),Skills!L8/10)+Skills!O8</f>
        <v/>
      </c>
      <c r="G964">
        <f>Calc!G8</f>
        <v/>
      </c>
      <c r="H964">
        <f>Calc!H8</f>
        <v/>
      </c>
      <c r="I964">
        <f>IF(Skills!X8&lt;&gt;"",1+(Skills!X8/10)*(Z959/1000)/100,1)</f>
        <v/>
      </c>
      <c r="J964">
        <f>((Inputs!$B$6*(1+Inputs!$B$7/100))+(((Inputs!$B$12*(1+Inputs!$B$13/100))-(Inputs!$B$12*(1+Inputs!$B$13/100)))+0.25*(Inputs!$B$14-Inputs!$B$14))*(1+Inputs!$B$7/100))*(F964/100)</f>
        <v/>
      </c>
      <c r="K964">
        <f>J964*(1+((Inputs!$B$12*(1+Inputs!$B$13/100))*0.01+Inputs!$B$14*0.0025)/100)*(1+Inputs!$B$15/100)*(1+IF(Inputs!$B$38="pvp",0,(1-Summary!$B$56)*(Inputs!$B$20+Skills!P8)+Summary!$B$56*(Inputs!$B$21+Skills!Q8))/100)*(1+Inputs!$B$16/100)*(5000/(6000+Inputs!$B$42*(1-Inputs!$B$19/100)))*(1+Inputs!$B$24/100)*(1+F979/100)*(1+IF(Inputs!$B$3&gt;=120,F982,0)/100)^5*(1+(IF(Skills!A8="BASIC_ATTACK",Inputs!$B$17,Inputs!$B$18+IF(Inputs!$B$3&gt;=125,F983*5,0)))/100)*(B986*B987*B988*I964)</f>
        <v/>
      </c>
      <c r="L964">
        <f>K964*(MIN(Inputs!$B$22+(F978-Calc!F22),Inputs!$B$23)/100+Inputs!$B$23/100)/2</f>
        <v/>
      </c>
      <c r="M964">
        <f>L964*(1+(Inputs!$B$10+(F977-Calc!F21))/100)</f>
        <v/>
      </c>
      <c r="N964">
        <f>L964*(1-MIN(Inputs!$B$9+(F976-Calc!F20),100)/100)+M964*(MIN(Inputs!$B$9+(F976-Calc!F20),100)/100)</f>
        <v/>
      </c>
      <c r="O964">
        <f>IF(C964,H964*N964*IF(AND(Inputs!$B$38&lt;&gt;"pvp",Inputs!$B$43&gt;0),((Skills!G8*((R964-1)*IF(Skills!H8&gt;0,Skills!I8/Skills!H8,1)+IF(Skills!H8&gt;0,MIN(Skills!I8,MAX(0,Inputs!$B$43-((R964-1)*IF(Inputs!$B$38="pvp",15,MAX(0.1,Skills!E8-IF(Skills!F8=TRUE,(Inputs!$B$32+1),0))))))/Skills!H8,1)))/Inputs!$B$43),G964*Q964)*IF(Inputs!$B$38="pvp",1,(1-Summary!$B$56)*(1)+Summary!$B$56*(MIN(Skills!R8,Inputs!$B$37))),0)</f>
        <v/>
      </c>
      <c r="P964">
        <f>IF(B995=0,0,O964/B995)</f>
        <v/>
      </c>
      <c r="Q964">
        <f>IFERROR(1/IF(Inputs!$B$38="pvp",15,MAX(0.1,Skills!E8-IF(Skills!F8=TRUE,(Inputs!$B$32+1),0))),0)</f>
        <v/>
      </c>
      <c r="R964">
        <f>IF(AND(Inputs!$B$38&lt;&gt;"pvp",Inputs!$B$43&gt;0),(INT(Inputs!$B$43/IF(Inputs!$B$38="pvp",15,MAX(0.1,Skills!E8-IF(Skills!F8=TRUE,(Inputs!$B$32+1),0))))+1),0)</f>
        <v/>
      </c>
    </row>
    <row r="965">
      <c r="A965">
        <f>Skills!A9</f>
        <v/>
      </c>
      <c r="B965">
        <f>Skills!B9</f>
        <v/>
      </c>
      <c r="C965">
        <f>Inputs!$B$3&gt;=103</f>
        <v/>
      </c>
      <c r="D965">
        <f>IF(Skills!C9=1,60+Inputs!$B$25+Inputs!$B$29,IF(Skills!C9=2,90+Inputs!$B$26+Inputs!$B$29,IF(Skills!C9=3,120+Inputs!$B$27+Inputs!$B$29,MAX(0,(Inputs!$B$3-100)*3)+Inputs!$B$28+Inputs!$B$29)))</f>
        <v/>
      </c>
      <c r="E965">
        <f>INDEX(FactorTable!$B$2:$Y$301, MATCH(ROUND(MIN(300,MAX(1,D965)),0), FactorTable!$A$2:$A$301,0), Skills!M9+1)</f>
        <v/>
      </c>
      <c r="F965">
        <f>IF(Skills!N9=TRUE,(Skills!L9/10)*(E965/1000),Skills!L9/10)+Skills!O9</f>
        <v/>
      </c>
      <c r="G965">
        <f>Calc!G9</f>
        <v/>
      </c>
      <c r="H965">
        <f>Calc!H9</f>
        <v/>
      </c>
      <c r="I965">
        <f>IF(Skills!X9&lt;&gt;"",1+(Skills!X9/10)*(Z959/1000)/100,1)</f>
        <v/>
      </c>
      <c r="J965">
        <f>((Inputs!$B$6*(1+Inputs!$B$7/100))+(((Inputs!$B$12*(1+Inputs!$B$13/100))-(Inputs!$B$12*(1+Inputs!$B$13/100)))+0.25*(Inputs!$B$14-Inputs!$B$14))*(1+Inputs!$B$7/100))*(F965/100)</f>
        <v/>
      </c>
      <c r="K965">
        <f>J965*(1+((Inputs!$B$12*(1+Inputs!$B$13/100))*0.01+Inputs!$B$14*0.0025)/100)*(1+Inputs!$B$15/100)*(1+IF(Inputs!$B$38="pvp",0,(1-Summary!$B$56)*(Inputs!$B$20+Skills!P9)+Summary!$B$56*(Inputs!$B$21+Skills!Q9))/100)*(1+Inputs!$B$16/100)*(5000/(6000+Inputs!$B$42*(1-Inputs!$B$19/100)))*(1+Inputs!$B$24/100)*(1+F979/100)*(1+IF(Inputs!$B$3&gt;=120,F982,0)/100)^5*(1+(IF(Skills!A9="BASIC_ATTACK",Inputs!$B$17,Inputs!$B$18+IF(Inputs!$B$3&gt;=125,F983*5,0)))/100)*(B986*B987*B988*I965)</f>
        <v/>
      </c>
      <c r="L965">
        <f>K965*(MIN(Inputs!$B$22+(F978-Calc!F22),Inputs!$B$23)/100+Inputs!$B$23/100)/2</f>
        <v/>
      </c>
      <c r="M965">
        <f>L965*(1+(Inputs!$B$10+(F977-Calc!F21))/100)</f>
        <v/>
      </c>
      <c r="N965">
        <f>L965*(1-MIN(Inputs!$B$9+(F976-Calc!F20),100)/100)+M965*(MIN(Inputs!$B$9+(F976-Calc!F20),100)/100)</f>
        <v/>
      </c>
      <c r="O965">
        <f>IF(C965,H965*N965*IF(AND(Inputs!$B$38&lt;&gt;"pvp",Inputs!$B$43&gt;0),((Skills!G9*((R965-1)*IF(Skills!H9&gt;0,Skills!I9/Skills!H9,1)+IF(Skills!H9&gt;0,MIN(Skills!I9,MAX(0,Inputs!$B$43-((R965-1)*IF(Inputs!$B$38="pvp",15,MAX(0.1,Skills!E9-IF(Skills!F7=TRUE,(Inputs!$B$32+1),0))))))/Skills!H9,1)))/Inputs!$B$43),G965*Q965)*IF(Inputs!$B$38="pvp",1,(1-Summary!$B$56)*(1)+Summary!$B$56*(MIN(Skills!R9,Inputs!$B$37))),0)</f>
        <v/>
      </c>
      <c r="P965">
        <f>IF(B995=0,0,O965/B995)</f>
        <v/>
      </c>
      <c r="Q965">
        <f>IFERROR(1/IF(Inputs!$B$38="pvp",15,MAX(0.1,Skills!E9-IF(Skills!F7=TRUE,(Inputs!$B$32+1),0))),0)</f>
        <v/>
      </c>
      <c r="R965">
        <f>IF(AND(Inputs!$B$38&lt;&gt;"pvp",Inputs!$B$43&gt;0),(INT(Inputs!$B$43/IF(Inputs!$B$38="pvp",15,MAX(0.1,Skills!E9-IF(Skills!F7=TRUE,(Inputs!$B$32+1),0))))+1),0)</f>
        <v/>
      </c>
    </row>
    <row r="966">
      <c r="A966">
        <f>Skills!A10</f>
        <v/>
      </c>
      <c r="B966">
        <f>Skills!B10</f>
        <v/>
      </c>
      <c r="C966">
        <f>TRUE</f>
        <v/>
      </c>
      <c r="D966">
        <f>IF(Skills!C10=1,60+Inputs!$B$25+Inputs!$B$29,IF(Skills!C10=2,90+Inputs!$B$26+Inputs!$B$29,IF(Skills!C10=3,120+Inputs!$B$27+Inputs!$B$29,MAX(0,(Inputs!$B$3-100)*3)+Inputs!$B$28+Inputs!$B$29)))</f>
        <v/>
      </c>
      <c r="E966">
        <f>INDEX(FactorTable!$B$2:$Y$301, MATCH(ROUND(MIN(300,MAX(1,D966)),0), FactorTable!$A$2:$A$301,0), Skills!M10+1)</f>
        <v/>
      </c>
      <c r="F966">
        <f>IF(Skills!N10=TRUE,(Skills!L10/10)*(E966/1000),Skills!L10/10)+Skills!O10</f>
        <v/>
      </c>
      <c r="G966">
        <f>Calc!G10</f>
        <v/>
      </c>
      <c r="H966">
        <f>Calc!H10</f>
        <v/>
      </c>
      <c r="I966">
        <f>IF(Skills!X10&lt;&gt;"",1+(Skills!X10/10)*(Z959/1000)/100,1)</f>
        <v/>
      </c>
      <c r="J966">
        <f>((Inputs!$B$6*(1+Inputs!$B$7/100))+(((Inputs!$B$12*(1+Inputs!$B$13/100))-(Inputs!$B$12*(1+Inputs!$B$13/100)))+0.25*(Inputs!$B$14-Inputs!$B$14))*(1+Inputs!$B$7/100))*(F966/100)</f>
        <v/>
      </c>
      <c r="K966">
        <f>J966*(1+((Inputs!$B$12*(1+Inputs!$B$13/100))*0.01+Inputs!$B$14*0.0025)/100)*(1+Inputs!$B$15/100)*(1+IF(Inputs!$B$38="pvp",0,(1-Summary!$B$56)*(Inputs!$B$20+Skills!P10)+Summary!$B$56*(Inputs!$B$21+Skills!Q10))/100)*(1+Inputs!$B$16/100)*(5000/(6000+Inputs!$B$42*(1-Inputs!$B$19/100)))*(1+Inputs!$B$24/100)*(1+F979/100)*(1+IF(Inputs!$B$3&gt;=120,F982,0)/100)^5*(1+(IF(Skills!A10="BASIC_ATTACK",Inputs!$B$17,Inputs!$B$18+IF(Inputs!$B$3&gt;=125,F983*5,0)))/100)*(B986*B987*B988*I966)</f>
        <v/>
      </c>
      <c r="L966">
        <f>K966*(MIN(Inputs!$B$22+(F978-Calc!F22),Inputs!$B$23)/100+Inputs!$B$23/100)/2</f>
        <v/>
      </c>
      <c r="M966">
        <f>L966*(1+(Inputs!$B$10+(F977-Calc!F21))/100)</f>
        <v/>
      </c>
      <c r="N966">
        <f>L966*(1-MIN(Inputs!$B$9+(F976-Calc!F20),100)/100)+M966*(MIN(Inputs!$B$9+(F976-Calc!F20),100)/100)</f>
        <v/>
      </c>
      <c r="O966">
        <f>IF(C966,H966*N966*IF(AND(Inputs!$B$38&lt;&gt;"pvp",Inputs!$B$43&gt;0),((Skills!G10*((R966-1)*IF(Skills!H10&gt;0,Skills!I10/Skills!H10,1)+IF(Skills!H10&gt;0,MIN(Skills!I10,MAX(0,Inputs!$B$43-((R966-1)*IF(Inputs!$B$38="pvp",15,MAX(0.1,Skills!E10-IF(Skills!F10=TRUE,(Inputs!$B$32+1),0))))))/Skills!H10,1)))/Inputs!$B$43),G966*Q966)*IF(Inputs!$B$38="pvp",1,(1-Summary!$B$56)*(1)+Summary!$B$56*(MIN(Skills!R10,Inputs!$B$37))),0)</f>
        <v/>
      </c>
      <c r="P966">
        <f>IF(B995=0,0,O966/B995)</f>
        <v/>
      </c>
      <c r="Q966">
        <f>IFERROR(1/IF(Inputs!$B$38="pvp",15,MAX(0.1,Skills!E10-IF(Skills!F10=TRUE,(Inputs!$B$32+1),0))),0)</f>
        <v/>
      </c>
      <c r="R966">
        <f>IF(AND(Inputs!$B$38&lt;&gt;"pvp",Inputs!$B$43&gt;0),(INT(Inputs!$B$43/IF(Inputs!$B$38="pvp",15,MAX(0.1,Skills!E10-IF(Skills!F10=TRUE,(Inputs!$B$32+1),0))))+1),0)</f>
        <v/>
      </c>
    </row>
    <row r="967">
      <c r="A967">
        <f>Skills!A11</f>
        <v/>
      </c>
      <c r="B967">
        <f>Skills!B11</f>
        <v/>
      </c>
      <c r="C967">
        <f>TRUE</f>
        <v/>
      </c>
      <c r="D967">
        <f>IF(Skills!C11=1,60+Inputs!$B$25+Inputs!$B$29,IF(Skills!C11=2,90+Inputs!$B$26+Inputs!$B$29,IF(Skills!C11=3,120+Inputs!$B$27+Inputs!$B$29,MAX(0,(Inputs!$B$3-100)*3)+Inputs!$B$28+Inputs!$B$29)))</f>
        <v/>
      </c>
      <c r="E967">
        <f>INDEX(FactorTable!$B$2:$Y$301, MATCH(ROUND(MIN(300,MAX(1,D967)),0), FactorTable!$A$2:$A$301,0), Skills!M11+1)</f>
        <v/>
      </c>
      <c r="F967">
        <f>IF(Skills!N11=TRUE,(Skills!L11/10)*(E967/1000),Skills!L11/10)+Skills!O11</f>
        <v/>
      </c>
      <c r="G967">
        <f>Calc!G11</f>
        <v/>
      </c>
      <c r="H967">
        <f>Calc!H11</f>
        <v/>
      </c>
      <c r="I967">
        <f>IF(Skills!X11&lt;&gt;"",1+(Skills!X11/10)*(Z959/1000)/100,1)</f>
        <v/>
      </c>
      <c r="J967" t="inlineStr"/>
      <c r="K967" t="inlineStr"/>
      <c r="L967" t="inlineStr"/>
      <c r="M967" t="inlineStr"/>
      <c r="N967" t="inlineStr"/>
      <c r="O967" t="n">
        <v>0</v>
      </c>
      <c r="P967">
        <f>IF(B995=0,0,O967/B995)</f>
        <v/>
      </c>
      <c r="Q967">
        <f>IFERROR(1/IF(Inputs!$B$38="pvp",15,MAX(0.1,Skills!E11-IF(Skills!F11=TRUE,(Inputs!$B$32+1),0))),0)</f>
        <v/>
      </c>
      <c r="R967" t="n">
        <v>0</v>
      </c>
    </row>
    <row r="968">
      <c r="A968">
        <f>Skills!A12</f>
        <v/>
      </c>
      <c r="B968">
        <f>Skills!B12</f>
        <v/>
      </c>
      <c r="C968">
        <f>TRUE</f>
        <v/>
      </c>
      <c r="D968">
        <f>IF(Skills!C12=1,60+Inputs!$B$25+Inputs!$B$29,IF(Skills!C12=2,90+Inputs!$B$26+Inputs!$B$29,IF(Skills!C12=3,120+Inputs!$B$27+Inputs!$B$29,MAX(0,(Inputs!$B$3-100)*3)+Inputs!$B$28+Inputs!$B$29)))</f>
        <v/>
      </c>
      <c r="E968">
        <f>INDEX(FactorTable!$B$2:$Y$301, MATCH(ROUND(MIN(300,MAX(1,D968)),0), FactorTable!$A$2:$A$301,0), Skills!M12+1)</f>
        <v/>
      </c>
      <c r="F968">
        <f>IF(Skills!N12=TRUE,(Skills!L12/10)*(E968/1000),Skills!L12/10)+Skills!O12</f>
        <v/>
      </c>
      <c r="G968">
        <f>Calc!G12</f>
        <v/>
      </c>
      <c r="H968">
        <f>Calc!H12</f>
        <v/>
      </c>
      <c r="I968">
        <f>IF(Skills!X12&lt;&gt;"",1+(Skills!X12/10)*(Z959/1000)/100,1)</f>
        <v/>
      </c>
      <c r="J968" t="inlineStr"/>
      <c r="K968" t="inlineStr"/>
      <c r="L968" t="inlineStr"/>
      <c r="M968" t="inlineStr"/>
      <c r="N968" t="inlineStr"/>
      <c r="O968" t="n">
        <v>0</v>
      </c>
      <c r="P968">
        <f>IF(B995=0,0,O968/B995)</f>
        <v/>
      </c>
      <c r="Q968">
        <f>IFERROR(1/IF(Inputs!$B$38="pvp",15,MAX(0.1,Skills!E12-IF(Skills!F12=TRUE,(Inputs!$B$32+1),0))),0)</f>
        <v/>
      </c>
      <c r="R968" t="n">
        <v>0</v>
      </c>
    </row>
    <row r="969">
      <c r="A969">
        <f>Skills!A13</f>
        <v/>
      </c>
      <c r="B969">
        <f>Skills!B13</f>
        <v/>
      </c>
      <c r="C969">
        <f>Inputs!$B$3&gt;=105</f>
        <v/>
      </c>
      <c r="D969">
        <f>IF(Skills!C13=1,60+Inputs!$B$25+Inputs!$B$29,IF(Skills!C13=2,90+Inputs!$B$26+Inputs!$B$29,IF(Skills!C13=3,120+Inputs!$B$27+Inputs!$B$29,MAX(0,(Inputs!$B$3-100)*3)+Inputs!$B$28+Inputs!$B$29)))</f>
        <v/>
      </c>
      <c r="E969">
        <f>INDEX(FactorTable!$B$2:$Y$301, MATCH(ROUND(MIN(300,MAX(1,D969)),0), FactorTable!$A$2:$A$301,0), Skills!M13+1)</f>
        <v/>
      </c>
      <c r="F969">
        <f>IF(Skills!N13=TRUE,(Skills!L13/10)*(E969/1000),Skills!L13/10)+Skills!O13</f>
        <v/>
      </c>
      <c r="G969">
        <f>Calc!G13</f>
        <v/>
      </c>
      <c r="H969">
        <f>Calc!H13</f>
        <v/>
      </c>
      <c r="I969">
        <f>IF(Skills!X13&lt;&gt;"",1+(Skills!X13/10)*(Z959/1000)/100,1)</f>
        <v/>
      </c>
      <c r="J969">
        <f>((Inputs!$B$6*(1+Inputs!$B$7/100))+(((Inputs!$B$12*(1+Inputs!$B$13/100))-(Inputs!$B$12*(1+Inputs!$B$13/100)))+0.25*(Inputs!$B$14-Inputs!$B$14))*(1+Inputs!$B$7/100))*(F969/100)</f>
        <v/>
      </c>
      <c r="K969">
        <f>J969*(1+((Inputs!$B$12*(1+Inputs!$B$13/100))*0.01+Inputs!$B$14*0.0025)/100)*(1+Inputs!$B$15/100)*(1+IF(Inputs!$B$38="pvp",0,(1-Summary!$B$56)*(Inputs!$B$20+Skills!P13)+Summary!$B$56*(Inputs!$B$21+Skills!Q13))/100)*(1+Inputs!$B$16/100)*(5000/(6000+Inputs!$B$42*(1-Inputs!$B$19/100)))*(1+Inputs!$B$24/100)*(1+F979/100)*(1+IF(Inputs!$B$3&gt;=120,F982,0)/100)^5*(1+(IF(Skills!A13="BASIC_ATTACK",Inputs!$B$17,Inputs!$B$18+IF(Inputs!$B$3&gt;=125,F983*5,0)))/100)*(B986*B987*B988*I969)</f>
        <v/>
      </c>
      <c r="L969">
        <f>K969*(MIN(Inputs!$B$22+(F978-Calc!F22),Inputs!$B$23)/100+Inputs!$B$23/100)/2</f>
        <v/>
      </c>
      <c r="M969">
        <f>L969*(1+(Inputs!$B$10+(F977-Calc!F21))/100)</f>
        <v/>
      </c>
      <c r="N969">
        <f>L969*(1-MIN(Inputs!$B$9+(F976-Calc!F20),100)/100)+M969*(MIN(Inputs!$B$9+(F976-Calc!F20),100)/100)</f>
        <v/>
      </c>
      <c r="O969">
        <f>IF(C969,H969*N969*IF(AND(Inputs!$B$38&lt;&gt;"pvp",Inputs!$B$43&gt;0),((Skills!G13*((R969-1)*IF(Skills!H13&gt;0,Skills!I13/Skills!H13,1)+IF(Skills!H13&gt;0,MIN(Skills!I13,MAX(0,Inputs!$B$43-((R969-1)*IF(Inputs!$B$38="pvp",15,MAX(0.1,Skills!E13-IF(Skills!F13=TRUE,(Inputs!$B$32+1),0))))))/Skills!H13,1)))/Inputs!$B$43),G969*Q969)*IF(Inputs!$B$38="pvp",1,(1-Summary!$B$56)*(1)+Summary!$B$56*(MIN(Skills!R13,Inputs!$B$37))),0)</f>
        <v/>
      </c>
      <c r="P969">
        <f>IF(B995=0,0,O969/B995)</f>
        <v/>
      </c>
      <c r="Q969">
        <f>IFERROR(1/IF(Inputs!$B$38="pvp",15,MAX(0.1,Skills!E13-IF(Skills!F13=TRUE,(Inputs!$B$32+1),0))),0)</f>
        <v/>
      </c>
      <c r="R969">
        <f>IF(AND(Inputs!$B$38&lt;&gt;"pvp",Inputs!$B$43&gt;0),(INT(Inputs!$B$43/IF(Inputs!$B$38="pvp",15,MAX(0.1,Skills!E13-IF(Skills!F13=TRUE,(Inputs!$B$32+1),0))))+1),0)</f>
        <v/>
      </c>
    </row>
    <row r="970">
      <c r="A970">
        <f>Skills!A14</f>
        <v/>
      </c>
      <c r="B970">
        <f>Skills!B14</f>
        <v/>
      </c>
      <c r="C970">
        <f>Inputs!$B$3&gt;=113</f>
        <v/>
      </c>
      <c r="D970">
        <f>IF(Skills!C14=1,60+Inputs!$B$25+Inputs!$B$29,IF(Skills!C14=2,90+Inputs!$B$26+Inputs!$B$29,IF(Skills!C14=3,120+Inputs!$B$27+Inputs!$B$29,MAX(0,(Inputs!$B$3-100)*3)+Inputs!$B$28+Inputs!$B$29)))</f>
        <v/>
      </c>
      <c r="E970">
        <f>INDEX(FactorTable!$B$2:$Y$301, MATCH(ROUND(MIN(300,MAX(1,D970)),0), FactorTable!$A$2:$A$301,0), Skills!M14+1)</f>
        <v/>
      </c>
      <c r="F970">
        <f>IF(Skills!N14=TRUE,(Skills!L14/10)*(E970/1000),Skills!L14/10)+Skills!O14</f>
        <v/>
      </c>
      <c r="G970">
        <f>Calc!G14</f>
        <v/>
      </c>
      <c r="H970">
        <f>Calc!H14</f>
        <v/>
      </c>
      <c r="I970">
        <f>IF(Skills!X14&lt;&gt;"",1+(Skills!X14/10)*(Z959/1000)/100,1)</f>
        <v/>
      </c>
      <c r="J970">
        <f>((Inputs!$B$6*(1+Inputs!$B$7/100))+(((Inputs!$B$12*(1+Inputs!$B$13/100))-(Inputs!$B$12*(1+Inputs!$B$13/100)))+0.25*(Inputs!$B$14-Inputs!$B$14))*(1+Inputs!$B$7/100))*(F970/100)</f>
        <v/>
      </c>
      <c r="K970">
        <f>J970*(1+((Inputs!$B$12*(1+Inputs!$B$13/100))*0.01+Inputs!$B$14*0.0025)/100)*(1+Inputs!$B$15/100)*(1+IF(Inputs!$B$38="pvp",0,(1-Summary!$B$56)*(Inputs!$B$20+Skills!P14)+Summary!$B$56*(Inputs!$B$21+Skills!Q14))/100)*(1+Inputs!$B$16/100)*(5000/(6000+Inputs!$B$42*(1-Inputs!$B$19/100)))*(1+Inputs!$B$24/100)*(1+F979/100)*(1+IF(Inputs!$B$3&gt;=120,F982,0)/100)^5*(1+(IF(Skills!A14="BASIC_ATTACK",Inputs!$B$17,Inputs!$B$18+IF(Inputs!$B$3&gt;=125,F983*5,0)))/100)*(B986*B987*B988*I970)</f>
        <v/>
      </c>
      <c r="L970">
        <f>K970*(MIN(Inputs!$B$22+(F978-Calc!F22),Inputs!$B$23)/100+Inputs!$B$23/100)/2</f>
        <v/>
      </c>
      <c r="M970">
        <f>L970*(1+(Inputs!$B$10+(F977-Calc!F21))/100)</f>
        <v/>
      </c>
      <c r="N970">
        <f>L970*(1-MIN(Inputs!$B$9+(F976-Calc!F20),100)/100)+M970*(MIN(Inputs!$B$9+(F976-Calc!F20),100)/100)</f>
        <v/>
      </c>
      <c r="O970">
        <f>IF(C970,(H970*B993)/(1+Skills!H14*H970*B993)*N970*IF(Inputs!$B$38="pvp",1,(1-Summary!$B$56)*(1)+Summary!$B$56*(MIN(Skills!R14,Inputs!$B$37))),0)</f>
        <v/>
      </c>
      <c r="P970">
        <f>IF(B995=0,0,O970/B995)</f>
        <v/>
      </c>
      <c r="Q970">
        <f>IFERROR(1/IF(Inputs!$B$38="pvp",15,MAX(0.1,Skills!E14-IF(Skills!F14=TRUE,(Inputs!$B$32+1),0))),0)</f>
        <v/>
      </c>
      <c r="R970" t="n">
        <v>0</v>
      </c>
    </row>
    <row r="971">
      <c r="A971">
        <f>Skills!A15</f>
        <v/>
      </c>
      <c r="B971">
        <f>Skills!B15</f>
        <v/>
      </c>
      <c r="C971">
        <f>Inputs!$B$3&gt;=107</f>
        <v/>
      </c>
      <c r="D971">
        <f>IF(Skills!C15=1,60+Inputs!$B$25+Inputs!$B$29,IF(Skills!C15=2,90+Inputs!$B$26+Inputs!$B$29,IF(Skills!C15=3,120+Inputs!$B$27+Inputs!$B$29,MAX(0,(Inputs!$B$3-100)*3)+Inputs!$B$28+Inputs!$B$29)))</f>
        <v/>
      </c>
      <c r="E971">
        <f>INDEX(FactorTable!$B$2:$Y$301, MATCH(ROUND(MIN(300,MAX(1,D971)),0), FactorTable!$A$2:$A$301,0), Skills!M15+1)</f>
        <v/>
      </c>
      <c r="F971">
        <f>IF(Skills!N15=TRUE,(Skills!L15/10)*(E971/1000),Skills!L15/10)+Skills!O15</f>
        <v/>
      </c>
      <c r="G971">
        <f>Calc!G15</f>
        <v/>
      </c>
      <c r="H971">
        <f>Calc!H15</f>
        <v/>
      </c>
      <c r="I971">
        <f>IF(Skills!X15&lt;&gt;"",1+(Skills!X15/10)*(Z959/1000)/100,1)</f>
        <v/>
      </c>
      <c r="J971">
        <f>((Inputs!$B$6*(1+Inputs!$B$7/100))+(((Inputs!$B$12*(1+Inputs!$B$13/100))-(Inputs!$B$12*(1+Inputs!$B$13/100)))+0.25*(Inputs!$B$14-Inputs!$B$14))*(1+Inputs!$B$7/100))*(F971/100)</f>
        <v/>
      </c>
      <c r="K971">
        <f>J971*(1+((Inputs!$B$12*(1+Inputs!$B$13/100))*0.01+Inputs!$B$14*0.0025)/100)*(1+Inputs!$B$15/100)*(1+IF(Inputs!$B$38="pvp",0,(1-Summary!$B$56)*(Inputs!$B$20+Skills!P15)+Summary!$B$56*(Inputs!$B$21+Skills!Q15))/100)*(1+Inputs!$B$16/100)*(5000/(6000+Inputs!$B$42*(1-Inputs!$B$19/100)))*(1+Inputs!$B$24/100)*(1+F979/100)*(1+IF(Inputs!$B$3&gt;=120,F982,0)/100)^5*(1+(IF(Skills!A15="BASIC_ATTACK",Inputs!$B$17,Inputs!$B$18+IF(Inputs!$B$3&gt;=125,F983*5,0)))/100)*(B986*B987*B988*I971)</f>
        <v/>
      </c>
      <c r="L971">
        <f>K971*(MIN(Inputs!$B$22+(F978-Calc!F22),Inputs!$B$23)/100+Inputs!$B$23/100)/2</f>
        <v/>
      </c>
      <c r="M971">
        <f>L971*(1+(Inputs!$B$10+(F977-Calc!F21))/100)</f>
        <v/>
      </c>
      <c r="N971">
        <f>L971*(1-MIN(Inputs!$B$9+(F976-Calc!F20),100)/100)+M971*(MIN(Inputs!$B$9+(F976-Calc!F20),100)/100)</f>
        <v/>
      </c>
      <c r="O971">
        <f>IF(C971,H971*N971*IF(AND(Inputs!$B$38&lt;&gt;"pvp",Inputs!$B$43&gt;0),((Skills!G15*((R971-1)*IF(Skills!H15&gt;0,Skills!I15/Skills!H15,1)+IF(Skills!H15&gt;0,MIN(Skills!I15,MAX(0,Inputs!$B$43-((R971-1)*IF(Inputs!$B$38="pvp",15,MAX(0.1,Skills!E15-IF(Skills!F15=TRUE,(Inputs!$B$32+1),0))))))/Skills!H15,1)))/Inputs!$B$43),G971*Q971)*IF(Inputs!$B$38="pvp",1,(1-Summary!$B$56)*(1)+Summary!$B$56*(MIN(Skills!R15,Inputs!$B$37))),0)</f>
        <v/>
      </c>
      <c r="P971">
        <f>IF(B995=0,0,O971/B995)</f>
        <v/>
      </c>
      <c r="Q971">
        <f>IFERROR(1/IF(Inputs!$B$38="pvp",15,MAX(0.1,Skills!E15-IF(Skills!F15=TRUE,(Inputs!$B$32+1),0))),0)</f>
        <v/>
      </c>
      <c r="R971">
        <f>IF(AND(Inputs!$B$38&lt;&gt;"pvp",Inputs!$B$43&gt;0),(INT(Inputs!$B$43/IF(Inputs!$B$38="pvp",15,MAX(0.1,Skills!E15-IF(Skills!F15=TRUE,(Inputs!$B$32+1),0))))+1),0)</f>
        <v/>
      </c>
    </row>
    <row r="972">
      <c r="A972">
        <f>Skills!A16</f>
        <v/>
      </c>
      <c r="B972">
        <f>Skills!B16</f>
        <v/>
      </c>
      <c r="C972">
        <f>Inputs!$B$3&gt;=107</f>
        <v/>
      </c>
      <c r="D972">
        <f>IF(Skills!C16=1,60+Inputs!$B$25+Inputs!$B$29,IF(Skills!C16=2,90+Inputs!$B$26+Inputs!$B$29,IF(Skills!C16=3,120+Inputs!$B$27+Inputs!$B$29,MAX(0,(Inputs!$B$3-100)*3)+Inputs!$B$28+Inputs!$B$29)))</f>
        <v/>
      </c>
      <c r="E972">
        <f>INDEX(FactorTable!$B$2:$Y$301, MATCH(ROUND(MIN(300,MAX(1,D972)),0), FactorTable!$A$2:$A$301,0), Skills!M16+1)</f>
        <v/>
      </c>
      <c r="F972">
        <f>IF(Skills!N16=TRUE,(Skills!L16/10)*(E972/1000),Skills!L16/10)+Skills!O16</f>
        <v/>
      </c>
      <c r="G972">
        <f>Calc!G16</f>
        <v/>
      </c>
      <c r="H972">
        <f>Calc!H16</f>
        <v/>
      </c>
      <c r="I972">
        <f>IF(Skills!X16&lt;&gt;"",1+(Skills!X16/10)*(Z959/1000)/100,1)</f>
        <v/>
      </c>
      <c r="J972">
        <f>((Inputs!$B$6*(1+Inputs!$B$7/100))+(((Inputs!$B$12*(1+Inputs!$B$13/100))-(Inputs!$B$12*(1+Inputs!$B$13/100)))+0.25*(Inputs!$B$14-Inputs!$B$14))*(1+Inputs!$B$7/100))*(F972/100)</f>
        <v/>
      </c>
      <c r="K972">
        <f>J972*(1+((Inputs!$B$12*(1+Inputs!$B$13/100))*0.01+Inputs!$B$14*0.0025)/100)*(1+Inputs!$B$15/100)*(1+IF(Inputs!$B$38="pvp",0,(1-Summary!$B$56)*(Inputs!$B$20+Skills!P16)+Summary!$B$56*(Inputs!$B$21+Skills!Q16))/100)*(1+Inputs!$B$16/100)*(5000/(6000+Inputs!$B$42*(1-Inputs!$B$19/100)))*(1+Inputs!$B$24/100)*(1+F979/100)*(1+IF(Inputs!$B$3&gt;=120,F982,0)/100)^5*(1+(IF(Skills!A16="BASIC_ATTACK",Inputs!$B$17,Inputs!$B$18+IF(Inputs!$B$3&gt;=125,F983*5,0)))/100)*(B986*B987*B988*I972)</f>
        <v/>
      </c>
      <c r="L972">
        <f>K972*(MIN(Inputs!$B$22+(F978-Calc!F22),Inputs!$B$23)/100+Inputs!$B$23/100)/2</f>
        <v/>
      </c>
      <c r="M972">
        <f>L972*(1+(Inputs!$B$10+(F977-Calc!F21))/100)</f>
        <v/>
      </c>
      <c r="N972">
        <f>L972*(1-MIN(Inputs!$B$9+(F976-Calc!F20),100)/100)+M972*(MIN(Inputs!$B$9+(F976-Calc!F20),100)/100)</f>
        <v/>
      </c>
      <c r="O972">
        <f>IF(C972,H972*N972*IF(AND(Inputs!$B$38&lt;&gt;"pvp",Inputs!$B$43&gt;0),((Skills!G16*((R972-1)*IF(Skills!H16&gt;0,Skills!I16/Skills!H16,1)+IF(Skills!H16&gt;0,MIN(Skills!I16,MAX(0,Inputs!$B$43-((R972-1)*IF(Inputs!$B$38="pvp",15,MAX(0.1,Skills!E16-IF(Skills!F16=TRUE,(Inputs!$B$32+1),0))))))/Skills!H16,1)))/Inputs!$B$43),G972*Q972)*(1+IF(Inputs!$B$3&gt;=126,0.05*(B992+Q969+(H970*B993)/(1+Skills!H14*H970*B993)+Q980),0)*Skills!E15)*IF(Inputs!$B$38="pvp",1,(1-Summary!$B$56)*(1)+Summary!$B$56*(MIN(Skills!R16,Inputs!$B$37))),0)</f>
        <v/>
      </c>
      <c r="P972">
        <f>IF(B995=0,0,O972/B995)</f>
        <v/>
      </c>
      <c r="Q972">
        <f>IFERROR(1/IF(Inputs!$B$38="pvp",15,MAX(0.1,Skills!E16-IF(Skills!F16=TRUE,(Inputs!$B$32+1),0))),0)</f>
        <v/>
      </c>
      <c r="R972">
        <f>IF(AND(Inputs!$B$38&lt;&gt;"pvp",Inputs!$B$43&gt;0),(INT(Inputs!$B$43/IF(Inputs!$B$38="pvp",15,MAX(0.1,Skills!E16-IF(Skills!F16=TRUE,(Inputs!$B$32+1),0))))+1),0)</f>
        <v/>
      </c>
    </row>
    <row r="973">
      <c r="A973">
        <f>Skills!A17</f>
        <v/>
      </c>
      <c r="B973">
        <f>Skills!B17</f>
        <v/>
      </c>
      <c r="C973">
        <f>TRUE</f>
        <v/>
      </c>
      <c r="D973">
        <f>IF(Skills!C17=1,60+Inputs!$B$25+Inputs!$B$29,IF(Skills!C17=2,90+Inputs!$B$26+Inputs!$B$29,IF(Skills!C17=3,120+Inputs!$B$27+Inputs!$B$29,MAX(0,(Inputs!$B$3-100)*3)+Inputs!$B$28+Inputs!$B$29)))</f>
        <v/>
      </c>
      <c r="E973">
        <f>INDEX(FactorTable!$B$2:$Y$301, MATCH(ROUND(MIN(300,MAX(1,D973)),0), FactorTable!$A$2:$A$301,0), Skills!M17+1)</f>
        <v/>
      </c>
      <c r="F973">
        <f>IF(Skills!N17=TRUE,(Skills!L17/10)*(E973/1000),Skills!L17/10)+Skills!O17</f>
        <v/>
      </c>
      <c r="G973">
        <f>Calc!G17</f>
        <v/>
      </c>
      <c r="H973">
        <f>Calc!H17</f>
        <v/>
      </c>
      <c r="I973">
        <f>IF(Skills!X17&lt;&gt;"",1+(Skills!X17/10)*(Z959/1000)/100,1)</f>
        <v/>
      </c>
      <c r="J973" t="inlineStr"/>
      <c r="K973" t="inlineStr"/>
      <c r="L973" t="inlineStr"/>
      <c r="M973" t="inlineStr"/>
      <c r="N973" t="inlineStr"/>
      <c r="O973" t="n">
        <v>0</v>
      </c>
      <c r="P973">
        <f>IF(B995=0,0,O973/B995)</f>
        <v/>
      </c>
      <c r="Q973">
        <f>IFERROR(1/IF(Inputs!$B$38="pvp",15,MAX(0.1,Skills!E17-IF(Skills!F17=TRUE,(Inputs!$B$32+1),0))),0)</f>
        <v/>
      </c>
      <c r="R973">
        <f>IF(AND(Inputs!$B$38&lt;&gt;"pvp",Inputs!$B$43&gt;0),(INT(Inputs!$B$43/IF(Inputs!$B$38="pvp",15,MAX(0.1,Skills!E17-IF(Skills!F17=TRUE,(Inputs!$B$32+1),0))))+1),0)</f>
        <v/>
      </c>
    </row>
    <row r="974">
      <c r="A974">
        <f>Skills!A18</f>
        <v/>
      </c>
      <c r="B974">
        <f>Skills!B18</f>
        <v/>
      </c>
      <c r="C974">
        <f>TRUE</f>
        <v/>
      </c>
      <c r="D974">
        <f>IF(Skills!C18=1,60+Inputs!$B$25+Inputs!$B$29,IF(Skills!C18=2,90+Inputs!$B$26+Inputs!$B$29,IF(Skills!C18=3,120+Inputs!$B$27+Inputs!$B$29,MAX(0,(Inputs!$B$3-100)*3)+Inputs!$B$28+Inputs!$B$29)))</f>
        <v/>
      </c>
      <c r="E974">
        <f>INDEX(FactorTable!$B$2:$Y$301, MATCH(ROUND(MIN(300,MAX(1,D974)),0), FactorTable!$A$2:$A$301,0), Skills!M18+1)</f>
        <v/>
      </c>
      <c r="F974">
        <f>IF(Skills!N18=TRUE,(Skills!L18/10)*(E974/1000),Skills!L18/10)+Skills!O18</f>
        <v/>
      </c>
      <c r="G974">
        <f>Calc!G18</f>
        <v/>
      </c>
      <c r="H974">
        <f>Calc!H18</f>
        <v/>
      </c>
      <c r="I974">
        <f>IF(Skills!X18&lt;&gt;"",1+(Skills!X18/10)*(Z959/1000)/100,1)</f>
        <v/>
      </c>
      <c r="J974" t="inlineStr"/>
      <c r="K974" t="inlineStr"/>
      <c r="L974" t="inlineStr"/>
      <c r="M974" t="inlineStr"/>
      <c r="N974" t="inlineStr"/>
      <c r="O974" t="n">
        <v>0</v>
      </c>
      <c r="P974">
        <f>IF(B995=0,0,O974/B995)</f>
        <v/>
      </c>
      <c r="Q974">
        <f>IFERROR(1/IF(Inputs!$B$38="pvp",15,MAX(0.1,Skills!E18-IF(Skills!F18=TRUE,(Inputs!$B$32+1),0))),0)</f>
        <v/>
      </c>
      <c r="R974">
        <f>IF(AND(Inputs!$B$38&lt;&gt;"pvp",Inputs!$B$43&gt;0),(INT(Inputs!$B$43/IF(Inputs!$B$38="pvp",15,MAX(0.1,Skills!E18-IF(Skills!F18=TRUE,(Inputs!$B$32+1),0))))+1),0)</f>
        <v/>
      </c>
    </row>
    <row r="975">
      <c r="A975">
        <f>Skills!A19</f>
        <v/>
      </c>
      <c r="B975">
        <f>Skills!B19</f>
        <v/>
      </c>
      <c r="C975">
        <f>Inputs!$B$3&gt;=110</f>
        <v/>
      </c>
      <c r="D975">
        <f>IF(Skills!C19=1,60+Inputs!$B$25+Inputs!$B$29,IF(Skills!C19=2,90+Inputs!$B$26+Inputs!$B$29,IF(Skills!C19=3,120+Inputs!$B$27+Inputs!$B$29,MAX(0,(Inputs!$B$3-100)*3)+Inputs!$B$28+Inputs!$B$29)))</f>
        <v/>
      </c>
      <c r="E975">
        <f>INDEX(FactorTable!$B$2:$Y$301, MATCH(ROUND(MIN(300,MAX(1,D975)),0), FactorTable!$A$2:$A$301,0), Skills!M19+1)</f>
        <v/>
      </c>
      <c r="F975">
        <f>IF(Skills!N19=TRUE,(Skills!L19/10)*(E975/1000),Skills!L19/10)+Skills!O19</f>
        <v/>
      </c>
      <c r="G975">
        <f>Calc!G19</f>
        <v/>
      </c>
      <c r="H975">
        <f>Calc!H19</f>
        <v/>
      </c>
      <c r="I975">
        <f>IF(Skills!X19&lt;&gt;"",1+(Skills!X19/10)*(Z959/1000)/100,1)</f>
        <v/>
      </c>
      <c r="J975" t="inlineStr"/>
      <c r="K975" t="inlineStr"/>
      <c r="L975" t="inlineStr"/>
      <c r="M975" t="inlineStr"/>
      <c r="N975" t="inlineStr"/>
      <c r="O975" t="n">
        <v>0</v>
      </c>
      <c r="P975">
        <f>IF(B995=0,0,O975/B995)</f>
        <v/>
      </c>
      <c r="Q975">
        <f>IFERROR(1/IF(Inputs!$B$38="pvp",15,MAX(0.1,Skills!E19-IF(Skills!F19=TRUE,(Inputs!$B$32+1),0))),0)</f>
        <v/>
      </c>
      <c r="R975">
        <f>IF(AND(Inputs!$B$38&lt;&gt;"pvp",Inputs!$B$43&gt;0),(INT(Inputs!$B$43/IF(Inputs!$B$38="pvp",15,MAX(0.1,Skills!E19-IF(Skills!F19=TRUE,(Inputs!$B$32+1),0))))+1),0)</f>
        <v/>
      </c>
    </row>
    <row r="976">
      <c r="A976">
        <f>Skills!A20</f>
        <v/>
      </c>
      <c r="B976">
        <f>Skills!B20</f>
        <v/>
      </c>
      <c r="C976">
        <f>TRUE</f>
        <v/>
      </c>
      <c r="D976">
        <f>IF(Skills!C20=1,60+Inputs!$B$25+Inputs!$B$29,IF(Skills!C20=2,90+Inputs!$B$26+Inputs!$B$29,IF(Skills!C20=3,120+Inputs!$B$27+Inputs!$B$29,MAX(0,(Inputs!$B$3-100)*3)+Inputs!$B$28+Inputs!$B$29)))</f>
        <v/>
      </c>
      <c r="E976">
        <f>INDEX(FactorTable!$B$2:$Y$301, MATCH(ROUND(MIN(300,MAX(1,D976)),0), FactorTable!$A$2:$A$301,0), Skills!M20+1)</f>
        <v/>
      </c>
      <c r="F976">
        <f>IF(Skills!N20=TRUE,(Skills!L20/10)*(E976/1000),Skills!L20/10)+Skills!O20</f>
        <v/>
      </c>
      <c r="G976">
        <f>Calc!G20</f>
        <v/>
      </c>
      <c r="H976">
        <f>Calc!H20</f>
        <v/>
      </c>
      <c r="I976">
        <f>IF(Skills!X20&lt;&gt;"",1+(Skills!X20/10)*(Z959/1000)/100,1)</f>
        <v/>
      </c>
      <c r="J976" t="inlineStr"/>
      <c r="K976" t="inlineStr"/>
      <c r="L976" t="inlineStr"/>
      <c r="M976" t="inlineStr"/>
      <c r="N976" t="inlineStr"/>
      <c r="O976" t="n">
        <v>0</v>
      </c>
      <c r="P976">
        <f>IF(B995=0,0,O976/B995)</f>
        <v/>
      </c>
      <c r="Q976">
        <f>IFERROR(1/IF(Inputs!$B$38="pvp",15,MAX(0.1,Skills!E20-IF(Skills!F20=TRUE,(Inputs!$B$32+1),0))),0)</f>
        <v/>
      </c>
      <c r="R976" t="n">
        <v>0</v>
      </c>
    </row>
    <row r="977">
      <c r="A977">
        <f>Skills!A21</f>
        <v/>
      </c>
      <c r="B977">
        <f>Skills!B21</f>
        <v/>
      </c>
      <c r="C977">
        <f>TRUE</f>
        <v/>
      </c>
      <c r="D977">
        <f>IF(Skills!C21=1,60+Inputs!$B$25+Inputs!$B$29,IF(Skills!C21=2,90+Inputs!$B$26+Inputs!$B$29,IF(Skills!C21=3,120+Inputs!$B$27+Inputs!$B$29,MAX(0,(Inputs!$B$3-100)*3)+Inputs!$B$28+Inputs!$B$29)))</f>
        <v/>
      </c>
      <c r="E977">
        <f>INDEX(FactorTable!$B$2:$Y$301, MATCH(ROUND(MIN(300,MAX(1,D977)),0), FactorTable!$A$2:$A$301,0), Skills!M21+1)</f>
        <v/>
      </c>
      <c r="F977">
        <f>IF(Skills!N21=TRUE,(Skills!L21/10)*(E977/1000),Skills!L21/10)+Skills!O21</f>
        <v/>
      </c>
      <c r="G977">
        <f>Calc!G21</f>
        <v/>
      </c>
      <c r="H977">
        <f>Calc!H21</f>
        <v/>
      </c>
      <c r="I977">
        <f>IF(Skills!X21&lt;&gt;"",1+(Skills!X21/10)*(Z959/1000)/100,1)</f>
        <v/>
      </c>
      <c r="J977" t="inlineStr"/>
      <c r="K977" t="inlineStr"/>
      <c r="L977" t="inlineStr"/>
      <c r="M977" t="inlineStr"/>
      <c r="N977" t="inlineStr"/>
      <c r="O977" t="n">
        <v>0</v>
      </c>
      <c r="P977">
        <f>IF(B995=0,0,O977/B995)</f>
        <v/>
      </c>
      <c r="Q977">
        <f>IFERROR(1/IF(Inputs!$B$38="pvp",15,MAX(0.1,Skills!E21-IF(Skills!F21=TRUE,(Inputs!$B$32+1),0))),0)</f>
        <v/>
      </c>
      <c r="R977" t="n">
        <v>0</v>
      </c>
    </row>
    <row r="978">
      <c r="A978">
        <f>Skills!A22</f>
        <v/>
      </c>
      <c r="B978">
        <f>Skills!B22</f>
        <v/>
      </c>
      <c r="C978">
        <f>TRUE</f>
        <v/>
      </c>
      <c r="D978">
        <f>IF(Skills!C22=1,60+Inputs!$B$25+Inputs!$B$29,IF(Skills!C22=2,90+Inputs!$B$26+Inputs!$B$29,IF(Skills!C22=3,120+Inputs!$B$27+Inputs!$B$29,MAX(0,(Inputs!$B$3-100)*3)+Inputs!$B$28+Inputs!$B$29)))</f>
        <v/>
      </c>
      <c r="E978">
        <f>INDEX(FactorTable!$B$2:$Y$301, MATCH(ROUND(MIN(300,MAX(1,D978)),0), FactorTable!$A$2:$A$301,0), Skills!M22+1)</f>
        <v/>
      </c>
      <c r="F978">
        <f>IF(Skills!N22=TRUE,(Skills!L22/10)*(E978/1000),Skills!L22/10)+Skills!O22</f>
        <v/>
      </c>
      <c r="G978">
        <f>Calc!G22</f>
        <v/>
      </c>
      <c r="H978">
        <f>Calc!H22</f>
        <v/>
      </c>
      <c r="I978">
        <f>IF(Skills!X22&lt;&gt;"",1+(Skills!X22/10)*(Z959/1000)/100,1)</f>
        <v/>
      </c>
      <c r="J978" t="inlineStr"/>
      <c r="K978" t="inlineStr"/>
      <c r="L978" t="inlineStr"/>
      <c r="M978" t="inlineStr"/>
      <c r="N978" t="inlineStr"/>
      <c r="O978" t="n">
        <v>0</v>
      </c>
      <c r="P978">
        <f>IF(B995=0,0,O978/B995)</f>
        <v/>
      </c>
      <c r="Q978">
        <f>IFERROR(1/IF(Inputs!$B$38="pvp",15,MAX(0.1,Skills!E22-IF(Skills!F22=TRUE,(Inputs!$B$32+1),0))),0)</f>
        <v/>
      </c>
      <c r="R978" t="n">
        <v>0</v>
      </c>
    </row>
    <row r="979">
      <c r="A979">
        <f>Skills!A23</f>
        <v/>
      </c>
      <c r="B979">
        <f>Skills!B23</f>
        <v/>
      </c>
      <c r="C979">
        <f>TRUE</f>
        <v/>
      </c>
      <c r="D979">
        <f>IF(Skills!C23=1,60+Inputs!$B$25+Inputs!$B$29,IF(Skills!C23=2,90+Inputs!$B$26+Inputs!$B$29,IF(Skills!C23=3,120+Inputs!$B$27+Inputs!$B$29,MAX(0,(Inputs!$B$3-100)*3)+Inputs!$B$28+Inputs!$B$29)))</f>
        <v/>
      </c>
      <c r="E979">
        <f>INDEX(FactorTable!$B$2:$Y$301, MATCH(ROUND(MIN(300,MAX(1,D979)),0), FactorTable!$A$2:$A$301,0), Skills!M23+1)</f>
        <v/>
      </c>
      <c r="F979">
        <f>IF(Skills!N23=TRUE,(Skills!L23/10)*(E979/1000),Skills!L23/10)+Skills!O23</f>
        <v/>
      </c>
      <c r="G979">
        <f>Calc!G23</f>
        <v/>
      </c>
      <c r="H979">
        <f>Calc!H23</f>
        <v/>
      </c>
      <c r="I979">
        <f>IF(Skills!X23&lt;&gt;"",1+(Skills!X23/10)*(Z959/1000)/100,1)</f>
        <v/>
      </c>
      <c r="J979" t="inlineStr"/>
      <c r="K979" t="inlineStr"/>
      <c r="L979" t="inlineStr"/>
      <c r="M979" t="inlineStr"/>
      <c r="N979" t="inlineStr"/>
      <c r="O979" t="n">
        <v>0</v>
      </c>
      <c r="P979">
        <f>IF(B995=0,0,O979/B995)</f>
        <v/>
      </c>
      <c r="Q979">
        <f>IFERROR(1/IF(Inputs!$B$38="pvp",15,MAX(0.1,Skills!E23-IF(Skills!F23=TRUE,(Inputs!$B$32+1),0))),0)</f>
        <v/>
      </c>
      <c r="R979" t="n">
        <v>0</v>
      </c>
    </row>
    <row r="980">
      <c r="A980">
        <f>Skills!A24</f>
        <v/>
      </c>
      <c r="B980">
        <f>Skills!B24</f>
        <v/>
      </c>
      <c r="C980">
        <f>Inputs!$B$3&gt;=115</f>
        <v/>
      </c>
      <c r="D980">
        <f>IF(Skills!C24=1,60+Inputs!$B$25+Inputs!$B$29,IF(Skills!C24=2,90+Inputs!$B$26+Inputs!$B$29,IF(Skills!C24=3,120+Inputs!$B$27+Inputs!$B$29,MAX(0,(Inputs!$B$3-100)*3)+Inputs!$B$28+Inputs!$B$29)))</f>
        <v/>
      </c>
      <c r="E980">
        <f>INDEX(FactorTable!$B$2:$Y$301, MATCH(ROUND(MIN(300,MAX(1,D980)),0), FactorTable!$A$2:$A$301,0), Skills!M24+1)</f>
        <v/>
      </c>
      <c r="F980">
        <f>IF(Skills!N24=TRUE,(Skills!L24/10)*(E980/1000),Skills!L24/10)+Skills!O24</f>
        <v/>
      </c>
      <c r="G980">
        <f>Calc!G24</f>
        <v/>
      </c>
      <c r="H980">
        <f>Calc!H24</f>
        <v/>
      </c>
      <c r="I980">
        <f>IF(Skills!X24&lt;&gt;"",1+(Skills!X24/10)*(Z959/1000)/100,1)</f>
        <v/>
      </c>
      <c r="J980">
        <f>((Inputs!$B$6*(1+Inputs!$B$7/100))+(((Inputs!$B$12*(1+Inputs!$B$13/100))-(Inputs!$B$12*(1+Inputs!$B$13/100)))+0.25*(Inputs!$B$14-Inputs!$B$14))*(1+Inputs!$B$7/100))*(F980/100)</f>
        <v/>
      </c>
      <c r="K980">
        <f>J980*(1+((Inputs!$B$12*(1+Inputs!$B$13/100))*0.01+Inputs!$B$14*0.0025)/100)*(1+Inputs!$B$15/100)*(1+IF(Inputs!$B$38="pvp",0,(1-Summary!$B$56)*(Inputs!$B$20+Skills!P24)+Summary!$B$56*(Inputs!$B$21+Skills!Q24))/100)*(1+Inputs!$B$16/100)*(5000/(6000+Inputs!$B$42*(1-Inputs!$B$19/100)))*(1+Inputs!$B$24/100)*(1+F979/100)*(1+IF(Inputs!$B$3&gt;=120,F982,0)/100)^5*(1+(IF(Skills!A24="BASIC_ATTACK",Inputs!$B$17,Inputs!$B$18+IF(Inputs!$B$3&gt;=125,F983*5,0)))/100)*(B986*B987*B988*I980)</f>
        <v/>
      </c>
      <c r="L980">
        <f>K980*(MIN(Inputs!$B$22+(F978-Calc!F22),Inputs!$B$23)/100+Inputs!$B$23/100)/2</f>
        <v/>
      </c>
      <c r="M980">
        <f>L980*(1+(Inputs!$B$10+(F977-Calc!F21))/100)</f>
        <v/>
      </c>
      <c r="N980">
        <f>L980*(1-MIN(Inputs!$B$9+(F976-Calc!F20),100)/100)+M980*(MIN(Inputs!$B$9+(F976-Calc!F20),100)/100)</f>
        <v/>
      </c>
      <c r="O980">
        <f>IF(C980,H980*N980*IF(AND(Inputs!$B$38&lt;&gt;"pvp",Inputs!$B$43&gt;0),((Skills!G24*((R980-1)*IF(Skills!H24&gt;0,Skills!I24/Skills!H24,1)+IF(Skills!H24&gt;0,MIN(Skills!I24,MAX(0,Inputs!$B$43-((R980-1)*IF(Inputs!$B$38="pvp",15,MAX(0.1,Skills!E24-IF(Skills!F24=TRUE,(Inputs!$B$32+1),0))))))/Skills!H24,1)))/Inputs!$B$43),G980*Q980)*(1+IF(Inputs!$B$3&gt;=130,0.2*(Skills!I16/Skills!E15+IF(Inputs!$B$3&gt;=126,0.05*(B992+Q969+(H970*B993)/(1+Skills!H14*H970*B993)+Q980),0)*Skills!I16),0))*IF(Inputs!$B$38="pvp",1,(1-Summary!$B$56)*(1)+Summary!$B$56*(MIN(Skills!R24,Inputs!$B$37))),0)</f>
        <v/>
      </c>
      <c r="P980">
        <f>IF(B995=0,0,O980/B995)</f>
        <v/>
      </c>
      <c r="Q980">
        <f>IFERROR(1/IF(Inputs!$B$38="pvp",15,MAX(0.1,Skills!E24-IF(Skills!F24=TRUE,(Inputs!$B$32+1),0))),0)</f>
        <v/>
      </c>
      <c r="R980">
        <f>IF(AND(Inputs!$B$38&lt;&gt;"pvp",Inputs!$B$43&gt;0),(INT(Inputs!$B$43/IF(Inputs!$B$38="pvp",15,MAX(0.1,Skills!E24-IF(Skills!F24=TRUE,(Inputs!$B$32+1),0))))+1),0)</f>
        <v/>
      </c>
    </row>
    <row r="981">
      <c r="A981">
        <f>Skills!A25</f>
        <v/>
      </c>
      <c r="B981">
        <f>Skills!B25</f>
        <v/>
      </c>
      <c r="C981">
        <f>Inputs!$B$3&gt;=117</f>
        <v/>
      </c>
      <c r="D981">
        <f>IF(Skills!C25=1,60+Inputs!$B$25+Inputs!$B$29,IF(Skills!C25=2,90+Inputs!$B$26+Inputs!$B$29,IF(Skills!C25=3,120+Inputs!$B$27+Inputs!$B$29,MAX(0,(Inputs!$B$3-100)*3)+Inputs!$B$28+Inputs!$B$29)))</f>
        <v/>
      </c>
      <c r="E981">
        <f>INDEX(FactorTable!$B$2:$Y$301, MATCH(ROUND(MIN(300,MAX(1,D981)),0), FactorTable!$A$2:$A$301,0), Skills!M25+1)</f>
        <v/>
      </c>
      <c r="F981">
        <f>IF(Skills!N25=TRUE,(Skills!L25/10)*(E981/1000),Skills!L25/10)+Skills!O25</f>
        <v/>
      </c>
      <c r="G981">
        <f>Calc!G25</f>
        <v/>
      </c>
      <c r="H981">
        <f>Calc!H25</f>
        <v/>
      </c>
      <c r="I981">
        <f>IF(Skills!X25&lt;&gt;"",1+(Skills!X25/10)*(Z959/1000)/100,1)</f>
        <v/>
      </c>
      <c r="J981" t="inlineStr"/>
      <c r="K981" t="inlineStr"/>
      <c r="L981" t="inlineStr"/>
      <c r="M981" t="inlineStr"/>
      <c r="N981" t="inlineStr"/>
      <c r="O981" t="n">
        <v>0</v>
      </c>
      <c r="P981">
        <f>IF(B995=0,0,O981/B995)</f>
        <v/>
      </c>
      <c r="Q981">
        <f>IFERROR(1/IF(Inputs!$B$38="pvp",15,MAX(0.1,Skills!E25-IF(Skills!F25=TRUE,(Inputs!$B$32+1),0))),0)</f>
        <v/>
      </c>
      <c r="R981" t="n">
        <v>0</v>
      </c>
    </row>
    <row r="982">
      <c r="A982">
        <f>Skills!A26</f>
        <v/>
      </c>
      <c r="B982">
        <f>Skills!B26</f>
        <v/>
      </c>
      <c r="C982">
        <f>Inputs!$B$3&gt;=120</f>
        <v/>
      </c>
      <c r="D982">
        <f>IF(Skills!C26=1,60+Inputs!$B$25+Inputs!$B$29,IF(Skills!C26=2,90+Inputs!$B$26+Inputs!$B$29,IF(Skills!C26=3,120+Inputs!$B$27+Inputs!$B$29,MAX(0,(Inputs!$B$3-100)*3)+Inputs!$B$28+Inputs!$B$29)))</f>
        <v/>
      </c>
      <c r="E982">
        <f>INDEX(FactorTable!$B$2:$Y$301, MATCH(ROUND(MIN(300,MAX(1,D982)),0), FactorTable!$A$2:$A$301,0), Skills!M26+1)</f>
        <v/>
      </c>
      <c r="F982">
        <f>IF(Skills!N26=TRUE,(Skills!L26/10)*(E982/1000),Skills!L26/10)+Skills!O26</f>
        <v/>
      </c>
      <c r="G982">
        <f>Calc!G26</f>
        <v/>
      </c>
      <c r="H982">
        <f>Calc!H26</f>
        <v/>
      </c>
      <c r="I982">
        <f>IF(Skills!X26&lt;&gt;"",1+(Skills!X26/10)*(Z959/1000)/100,1)</f>
        <v/>
      </c>
      <c r="J982" t="inlineStr"/>
      <c r="K982" t="inlineStr"/>
      <c r="L982" t="inlineStr"/>
      <c r="M982" t="inlineStr"/>
      <c r="N982" t="inlineStr"/>
      <c r="O982" t="n">
        <v>0</v>
      </c>
      <c r="P982">
        <f>IF(B995=0,0,O982/B995)</f>
        <v/>
      </c>
      <c r="Q982">
        <f>IFERROR(1/IF(Inputs!$B$38="pvp",15,MAX(0.1,Skills!E26-IF(Skills!F26=TRUE,(Inputs!$B$32+1),0))),0)</f>
        <v/>
      </c>
      <c r="R982" t="n">
        <v>0</v>
      </c>
    </row>
    <row r="983">
      <c r="A983">
        <f>Skills!A27</f>
        <v/>
      </c>
      <c r="B983">
        <f>Skills!B27</f>
        <v/>
      </c>
      <c r="C983">
        <f>Inputs!$B$3&gt;=125</f>
        <v/>
      </c>
      <c r="D983">
        <f>IF(Skills!C27=1,60+Inputs!$B$25+Inputs!$B$29,IF(Skills!C27=2,90+Inputs!$B$26+Inputs!$B$29,IF(Skills!C27=3,120+Inputs!$B$27+Inputs!$B$29,MAX(0,(Inputs!$B$3-100)*3)+Inputs!$B$28+Inputs!$B$29)))</f>
        <v/>
      </c>
      <c r="E983">
        <f>INDEX(FactorTable!$B$2:$Y$301, MATCH(ROUND(MIN(300,MAX(1,D983)),0), FactorTable!$A$2:$A$301,0), Skills!M27+1)</f>
        <v/>
      </c>
      <c r="F983">
        <f>IF(Skills!N27=TRUE,(Skills!L27/10)*(E983/1000),Skills!L27/10)+Skills!O27</f>
        <v/>
      </c>
      <c r="G983">
        <f>Calc!G27</f>
        <v/>
      </c>
      <c r="H983">
        <f>Calc!H27</f>
        <v/>
      </c>
      <c r="I983">
        <f>IF(Skills!X27&lt;&gt;"",1+(Skills!X27/10)*(Z959/1000)/100,1)</f>
        <v/>
      </c>
      <c r="J983" t="inlineStr"/>
      <c r="K983" t="inlineStr"/>
      <c r="L983" t="inlineStr"/>
      <c r="M983" t="inlineStr"/>
      <c r="N983" t="inlineStr"/>
      <c r="O983" t="n">
        <v>0</v>
      </c>
      <c r="P983">
        <f>IF(B995=0,0,O983/B995)</f>
        <v/>
      </c>
      <c r="Q983">
        <f>IFERROR(1/IF(Inputs!$B$38="pvp",15,MAX(0.1,Skills!E27-IF(Skills!F27=TRUE,(Inputs!$B$32+1),0))),0)</f>
        <v/>
      </c>
      <c r="R983" t="n">
        <v>0</v>
      </c>
    </row>
    <row r="984">
      <c r="A984">
        <f>Skills!A28</f>
        <v/>
      </c>
      <c r="B984">
        <f>Skills!B28</f>
        <v/>
      </c>
      <c r="C984">
        <f>Inputs!$B$3&gt;=118</f>
        <v/>
      </c>
      <c r="D984">
        <f>IF(Skills!C28=1,60+Inputs!$B$25+Inputs!$B$29,IF(Skills!C28=2,90+Inputs!$B$26+Inputs!$B$29,IF(Skills!C28=3,120+Inputs!$B$27+Inputs!$B$29,MAX(0,(Inputs!$B$3-100)*3)+Inputs!$B$28+Inputs!$B$29)))</f>
        <v/>
      </c>
      <c r="E984">
        <f>INDEX(FactorTable!$B$2:$Y$301, MATCH(ROUND(MIN(300,MAX(1,D984)),0), FactorTable!$A$2:$A$301,0), Skills!M28+1)</f>
        <v/>
      </c>
      <c r="F984">
        <f>IF(Skills!N28=TRUE,(Skills!L28/10)*(E984/1000),Skills!L28/10)+Skills!O28</f>
        <v/>
      </c>
      <c r="G984">
        <f>Calc!G28</f>
        <v/>
      </c>
      <c r="H984">
        <f>Calc!H28</f>
        <v/>
      </c>
      <c r="I984">
        <f>IF(Skills!X28&lt;&gt;"",1+(Skills!X28/10)*(Z959/1000)/100,1)</f>
        <v/>
      </c>
      <c r="J984">
        <f>((Inputs!$B$6*(1+Inputs!$B$7/100))+(((Inputs!$B$12*(1+Inputs!$B$13/100))-(Inputs!$B$12*(1+Inputs!$B$13/100)))+0.25*(Inputs!$B$14-Inputs!$B$14))*(1+Inputs!$B$7/100))*(F984/100)</f>
        <v/>
      </c>
      <c r="K984">
        <f>J984*(1+((Inputs!$B$12*(1+Inputs!$B$13/100))*0.01+Inputs!$B$14*0.0025)/100)*(1+Inputs!$B$15/100)*(1+IF(Inputs!$B$38="pvp",0,(1-Summary!$B$56)*(Inputs!$B$20+Skills!P28)+Summary!$B$56*(Inputs!$B$21+Skills!Q28))/100)*(1+Inputs!$B$16/100)*(5000/(6000+Inputs!$B$42*(1-Inputs!$B$19/100)))*(1+Inputs!$B$24/100)*(1+F979/100)*(1+IF(Inputs!$B$3&gt;=120,F982,0)/100)^5*(1+(IF(Skills!A28="BASIC_ATTACK",Inputs!$B$17,Inputs!$B$18+IF(Inputs!$B$3&gt;=125,F983*5,0)))/100)*(B986*B987*B988*I984)</f>
        <v/>
      </c>
      <c r="L984">
        <f>K984*(MIN(Inputs!$B$22+(F978-Calc!F22),Inputs!$B$23)/100+Inputs!$B$23/100)/2</f>
        <v/>
      </c>
      <c r="M984">
        <f>L984*(1+(Inputs!$B$10+(F977-Calc!F21))/100)</f>
        <v/>
      </c>
      <c r="N984">
        <f>L984*(1-MIN(Inputs!$B$9+(F976-Calc!F20),100)/100)+M984*(MIN(Inputs!$B$9+(F976-Calc!F20),100)/100)</f>
        <v/>
      </c>
      <c r="O984">
        <f>IF(C984,H984*N984*IF(AND(Inputs!$B$38&lt;&gt;"pvp",Inputs!$B$43&gt;0),((Skills!G28*((R984-1)*IF(Skills!H28&gt;0,Skills!I28/Skills!H28,1)+IF(Skills!H28&gt;0,MIN(Skills!I28,MAX(0,Inputs!$B$43-((R984-1)*IF(Inputs!$B$38="pvp",15,MAX(0.1,Skills!E28-IF(Skills!F28=TRUE,(Inputs!$B$32+1),0))))))/Skills!H28,1)))/Inputs!$B$43),G984*Q984)*IF(Inputs!$B$38="pvp",1,(1-Summary!$B$56)*(1)+Summary!$B$56*(MIN(Skills!R28,Inputs!$B$37))),0)</f>
        <v/>
      </c>
      <c r="P984">
        <f>IF(B995=0,0,O984/B995)</f>
        <v/>
      </c>
      <c r="Q984">
        <f>IFERROR(1/IF(Inputs!$B$38="pvp",15,MAX(0.1,Skills!E28-IF(Skills!F28=TRUE,(Inputs!$B$32+1),0))),0)</f>
        <v/>
      </c>
      <c r="R984">
        <f>IF(AND(Inputs!$B$38&lt;&gt;"pvp",Inputs!$B$43&gt;0),(INT(Inputs!$B$43/IF(Inputs!$B$38="pvp",15,MAX(0.1,Skills!E28-IF(Skills!F28=TRUE,(Inputs!$B$32+1),0))))+1),0)</f>
        <v/>
      </c>
    </row>
    <row r="986">
      <c r="A986" t="inlineStr">
        <is>
          <t>Burning Magic Multiplier</t>
        </is>
      </c>
      <c r="B986">
        <f>1+(F967*Skills!Z11)/100</f>
        <v/>
      </c>
    </row>
    <row r="987">
      <c r="A987" t="inlineStr">
        <is>
          <t>Elemental Decrease Multiplier (always-on)</t>
        </is>
      </c>
      <c r="B987">
        <f>1+F968/100</f>
        <v/>
      </c>
    </row>
    <row r="988">
      <c r="A988" t="inlineStr">
        <is>
          <t>Average Buff Multiplier (Magic Guard + Meditation, summed; then Infinity)</t>
        </is>
      </c>
      <c r="B988">
        <f>(1+(F962*IF(AND(Inputs!$B$38&lt;&gt;"pvp",Inputs!$B$43&gt;0),(((R962-1)*(Skills!T6*(1+(Inputs!$B$34+IF(Inputs!$B$3&gt;=117,F981,0))/100))+MIN((Skills!T6*(1+(Inputs!$B$34+IF(Inputs!$B$3&gt;=117,F981,0))/100)),MAX(0,Inputs!$B$43-((R962-1)*Skills!E6))))/Inputs!$B$43),IF(Inputs!$B$38="pvp",MIN((Skills!T6*(1+(Inputs!$B$34+IF(Inputs!$B$3&gt;=117,F981,0))/100)),15)/15,(Skills!T6*(1+(Inputs!$B$34+IF(Inputs!$B$3&gt;=117,F981,0))/100))/Skills!E6))+F973*IF(AND(Inputs!$B$38&lt;&gt;"pvp",Inputs!$B$43&gt;0),(((R973-1)*(Skills!T17*(1+(Inputs!$B$34+IF(Inputs!$B$3&gt;=117,F981,0))/100))+MIN((Skills!T17*(1+(Inputs!$B$34+IF(Inputs!$B$3&gt;=117,F981,0))/100)),MAX(0,Inputs!$B$43-((R973-1)*Skills!E17))))/Inputs!$B$43),IF(Inputs!$B$38="pvp",MIN((Skills!T17*(1+(Inputs!$B$34+IF(Inputs!$B$3&gt;=117,F981,0))/100)),15)/15,(Skills!T17*(1+(Inputs!$B$34+IF(Inputs!$B$3&gt;=117,F981,0))/100))/Skills!E17)))/100)*IF(C975=TRUE,(1+F975*IF(AND(Inputs!$B$38&lt;&gt;"pvp",Inputs!$B$43&gt;0),(((R975-1)*(Skills!T19*(1+(Inputs!$B$34+IF(Inputs!$B$3&gt;=117,F981,0))/100))+MIN((Skills!T19*(1+(Inputs!$B$34+IF(Inputs!$B$3&gt;=117,F981,0))/100)),MAX(0,Inputs!$B$43-((R975-1)*Skills!E19))))/Inputs!$B$43),IF(Inputs!$B$38="pvp",MIN((Skills!T19*(1+(Inputs!$B$34+IF(Inputs!$B$3&gt;=117,F981,0))/100)),15)/15,(Skills!T19*(1+(Inputs!$B$34+IF(Inputs!$B$3&gt;=117,F981,0))/100))/Skills!E19))/100),1)</f>
        <v/>
      </c>
    </row>
    <row r="989">
      <c r="A989" t="inlineStr">
        <is>
          <t>Attack Speed Buff Bonus % (Nimble Feet, averaged)</t>
        </is>
      </c>
      <c r="B989">
        <f>F974*IF(AND(Inputs!$B$38&lt;&gt;"pvp",Inputs!$B$43&gt;0),(((R974-1)*(Skills!T18*(1+(Inputs!$B$34+IF(Inputs!$B$3&gt;=117,F981,0))/100))+MIN((Skills!T18*(1+(Inputs!$B$34+IF(Inputs!$B$3&gt;=117,F981,0))/100)),MAX(0,Inputs!$B$43-((R974-1)*Skills!E18))))/Inputs!$B$43),IF(Inputs!$B$38="pvp",MIN((Skills!T18*(1+(Inputs!$B$34+IF(Inputs!$B$3&gt;=117,F981,0))/100)),15)/15,(Skills!T18*(1+(Inputs!$B$34+IF(Inputs!$B$3&gt;=117,F981,0))/100))/Skills!E18))</f>
        <v/>
      </c>
    </row>
    <row r="990">
      <c r="A990" t="inlineStr">
        <is>
          <t>Actions Per Second</t>
        </is>
      </c>
      <c r="B990">
        <f>1+MIN(150,150*(1-(1-Inputs!$B$11/150)*(1-B989/150)))/100</f>
        <v/>
      </c>
    </row>
    <row r="991">
      <c r="A991" t="inlineStr">
        <is>
          <t>Skill + Buff Cast Rate</t>
        </is>
      </c>
      <c r="B991">
        <f>IF(AND(Inputs!$B$38&lt;&gt;"pvp",Inputs!$B$43&gt;0),SUMPRODUCT((Skills!F2:F28=TRUE)*(C958:C984=TRUE)*R958:R984)/Inputs!$B$43,SUMPRODUCT((Skills!F2:F28=TRUE)*(C958:C984=TRUE)*Q958:Q984))</f>
        <v/>
      </c>
    </row>
    <row r="992">
      <c r="A992" t="inlineStr">
        <is>
          <t>Basic Attacks Per Second</t>
        </is>
      </c>
      <c r="B992">
        <f>MAX(0,B990-B991)</f>
        <v/>
      </c>
    </row>
    <row r="993">
      <c r="A993" t="inlineStr">
        <is>
          <t>Meteor Proc — combined trigger cast rate</t>
        </is>
      </c>
      <c r="B993">
        <f>IF(AND(Inputs!$B$38&lt;&gt;"pvp",Inputs!$B$43&gt;0),SUMPRODUCT((Skills!V2:V28=TRUE)*(C958:C984=TRUE)*R958:R984*Skills!W2:W28)/Inputs!$B$43,SUMPRODUCT((Skills!V2:V28=TRUE)*(C958:C984=TRUE)*Q958:Q984*Skills!W2:W28))+B992</f>
        <v/>
      </c>
    </row>
    <row r="995">
      <c r="A995" s="5" t="inlineStr">
        <is>
          <t>TOTAL DPS</t>
        </is>
      </c>
      <c r="B995" s="5">
        <f>SUM(O958:O984)</f>
        <v/>
      </c>
    </row>
    <row r="998">
      <c r="A998" s="5" t="inlineStr">
        <is>
          <t>Stat: Basic Attack Target Increase (flat)</t>
        </is>
      </c>
    </row>
    <row r="999">
      <c r="A999" s="9" t="inlineStr">
        <is>
          <t>Key</t>
        </is>
      </c>
      <c r="B999" s="9" t="inlineStr">
        <is>
          <t>Name</t>
        </is>
      </c>
      <c r="C999" s="9" t="inlineStr">
        <is>
          <t>Unlocked</t>
        </is>
      </c>
      <c r="D999" s="9" t="inlineStr">
        <is>
          <t>InputLevel</t>
        </is>
      </c>
      <c r="E999" s="9" t="inlineStr">
        <is>
          <t>Factor</t>
        </is>
      </c>
      <c r="F999" s="9" t="inlineStr">
        <is>
          <t>CoefficientPercent</t>
        </is>
      </c>
      <c r="G999" s="9" t="inlineStr">
        <is>
          <t>EffectiveHits</t>
        </is>
      </c>
      <c r="H999" s="9" t="inlineStr">
        <is>
          <t>ProcProbability</t>
        </is>
      </c>
      <c r="I999" s="9" t="inlineStr">
        <is>
          <t>MapleHeroMultiplier</t>
        </is>
      </c>
      <c r="J999" s="9" t="inlineStr">
        <is>
          <t>BaseDamage</t>
        </is>
      </c>
      <c r="K999" s="9" t="inlineStr">
        <is>
          <t>BaseHitDamage</t>
        </is>
      </c>
      <c r="L999" s="9" t="inlineStr">
        <is>
          <t>NonCritAvg</t>
        </is>
      </c>
      <c r="M999" s="9" t="inlineStr">
        <is>
          <t>CritAvg</t>
        </is>
      </c>
      <c r="N999" s="9" t="inlineStr">
        <is>
          <t>ExpectedDamage(perHit)</t>
        </is>
      </c>
      <c r="O999" s="9" t="inlineStr">
        <is>
          <t>DPS</t>
        </is>
      </c>
      <c r="P999" s="9" t="inlineStr">
        <is>
          <t>% of Total</t>
        </is>
      </c>
      <c r="R999" t="inlineStr">
        <is>
          <t>helpers</t>
        </is>
      </c>
    </row>
    <row r="1000">
      <c r="A1000">
        <f>Skills!A2</f>
        <v/>
      </c>
      <c r="B1000">
        <f>Skills!B2</f>
        <v/>
      </c>
      <c r="C1000">
        <f>TRUE</f>
        <v/>
      </c>
      <c r="D1000" t="inlineStr"/>
      <c r="E1000" t="inlineStr"/>
      <c r="F1000">
        <f>T1002+Skills!O2</f>
        <v/>
      </c>
      <c r="G1000">
        <f>Calc!G2</f>
        <v/>
      </c>
      <c r="H1000">
        <f>Calc!H2</f>
        <v/>
      </c>
      <c r="I1000">
        <f>IF(Skills!X2&lt;&gt;"",1+(Skills!X2/10)*(Z1001/1000)/100,1)</f>
        <v/>
      </c>
      <c r="J1000">
        <f>((Inputs!$B$6*(1+Inputs!$B$7/100))+(((Inputs!$B$12*(1+Inputs!$B$13/100))-(Inputs!$B$12*(1+Inputs!$B$13/100)))+0.25*(Inputs!$B$14-Inputs!$B$14))*(1+Inputs!$B$7/100))*(F1000/100)</f>
        <v/>
      </c>
      <c r="K1000">
        <f>J1000*(1+((Inputs!$B$12*(1+Inputs!$B$13/100))*0.01+Inputs!$B$14*0.0025)/100)*(1+Inputs!$B$15/100)*(1+IF(Inputs!$B$38="pvp",0,(1-Summary!$B$56)*(Inputs!$B$20+Skills!P2)+Summary!$B$56*(Inputs!$B$21+Skills!Q2))/100)*(1+Inputs!$B$16/100)*(5000/(6000+Inputs!$B$42*(1-Inputs!$B$19/100)))*(1+Inputs!$B$24/100)*(1+F1021/100)*(1+IF(Inputs!$B$3&gt;=120,F1024,0)/100)^5*(1+(IF(Skills!A2="BASIC_ATTACK",Inputs!$B$17,Inputs!$B$18+IF(Inputs!$B$3&gt;=125,F1025*5,0)))/100)*(B1028*B1029*B1030*I1000)</f>
        <v/>
      </c>
      <c r="L1000">
        <f>K1000*(MIN(Inputs!$B$22+(F1020-Calc!F22),Inputs!$B$23)/100+Inputs!$B$23/100)/2</f>
        <v/>
      </c>
      <c r="M1000">
        <f>L1000*(1+(Inputs!$B$10+(F1019-Calc!F21))/100)</f>
        <v/>
      </c>
      <c r="N1000">
        <f>L1000*(1-MIN(Inputs!$B$9+(F1018-Calc!F20),100)/100)+M1000*(MIN(Inputs!$B$9+(F1018-Calc!F20),100)/100)</f>
        <v/>
      </c>
      <c r="O1000">
        <f>Skills!G2*N1000*B1034*IF(Inputs!$B$38="pvp",1,(1-Summary!$B$56)*(1)+Summary!$B$56*(MIN((6+(Inputs!$B$33+1)+IF(Inputs!$B$3&gt;=136,1,0)),Inputs!$B$37)))</f>
        <v/>
      </c>
      <c r="P1000">
        <f>IF(B1037=0,0,O1000/B1037)</f>
        <v/>
      </c>
      <c r="Q1000">
        <f>IFERROR(1/IF(Inputs!$B$38="pvp",15,MAX(0.1,Skills!E2-IF(Skills!F2=TRUE,Inputs!$B$32,0))),0)</f>
        <v/>
      </c>
      <c r="R1000" t="n">
        <v>0</v>
      </c>
      <c r="T1000">
        <f>MAX(0,(Inputs!$B$3-100)*3)+Inputs!$B$28+Inputs!$B$29</f>
        <v/>
      </c>
      <c r="Z1000">
        <f>MAX(0,(Inputs!$B$3-100)*3)+Inputs!$B$28+Inputs!$B$29</f>
        <v/>
      </c>
    </row>
    <row r="1001">
      <c r="A1001">
        <f>Skills!A3</f>
        <v/>
      </c>
      <c r="B1001">
        <f>Skills!B3</f>
        <v/>
      </c>
      <c r="C1001">
        <f>TRUE</f>
        <v/>
      </c>
      <c r="D1001">
        <f>IF(Skills!C3=1,60+Inputs!$B$25+Inputs!$B$29,IF(Skills!C3=2,90+Inputs!$B$26+Inputs!$B$29,IF(Skills!C3=3,120+Inputs!$B$27+Inputs!$B$29,MAX(0,(Inputs!$B$3-100)*3)+Inputs!$B$28+Inputs!$B$29)))</f>
        <v/>
      </c>
      <c r="E1001">
        <f>INDEX(FactorTable!$B$2:$Y$301, MATCH(ROUND(MIN(300,MAX(1,D1001)),0), FactorTable!$A$2:$A$301,0), Skills!M3+1)</f>
        <v/>
      </c>
      <c r="F1001">
        <f>IF(Skills!N3=TRUE,(Skills!L3/10)*(E1001/1000),Skills!L3/10)+Skills!O3</f>
        <v/>
      </c>
      <c r="G1001">
        <f>Calc!G3</f>
        <v/>
      </c>
      <c r="H1001">
        <f>Calc!H3</f>
        <v/>
      </c>
      <c r="I1001">
        <f>IF(Skills!X3&lt;&gt;"",1+(Skills!X3/10)*(Z1001/1000)/100,1)</f>
        <v/>
      </c>
      <c r="J1001">
        <f>((Inputs!$B$6*(1+Inputs!$B$7/100))+(((Inputs!$B$12*(1+Inputs!$B$13/100))-(Inputs!$B$12*(1+Inputs!$B$13/100)))+0.25*(Inputs!$B$14-Inputs!$B$14))*(1+Inputs!$B$7/100))*(F1001/100)</f>
        <v/>
      </c>
      <c r="K1001">
        <f>J1001*(1+((Inputs!$B$12*(1+Inputs!$B$13/100))*0.01+Inputs!$B$14*0.0025)/100)*(1+Inputs!$B$15/100)*(1+IF(Inputs!$B$38="pvp",0,(1-Summary!$B$56)*(Inputs!$B$20+Skills!P3)+Summary!$B$56*(Inputs!$B$21+Skills!Q3))/100)*(1+Inputs!$B$16/100)*(5000/(6000+Inputs!$B$42*(1-Inputs!$B$19/100)))*(1+Inputs!$B$24/100)*(1+F1021/100)*(1+IF(Inputs!$B$3&gt;=120,F1024,0)/100)^5*(1+(IF(Skills!A3="BASIC_ATTACK",Inputs!$B$17,Inputs!$B$18+IF(Inputs!$B$3&gt;=125,F1025*5,0)))/100)*(B1028*B1029*B1030*I1001)</f>
        <v/>
      </c>
      <c r="L1001">
        <f>K1001*(MIN(Inputs!$B$22+(F1020-Calc!F22),Inputs!$B$23)/100+Inputs!$B$23/100)/2</f>
        <v/>
      </c>
      <c r="M1001">
        <f>L1001*(1+(Inputs!$B$10+(F1019-Calc!F21))/100)</f>
        <v/>
      </c>
      <c r="N1001">
        <f>L1001*(1-MIN(Inputs!$B$9+(F1018-Calc!F20),100)/100)+M1001*(MIN(Inputs!$B$9+(F1018-Calc!F20),100)/100)</f>
        <v/>
      </c>
      <c r="O1001">
        <f>IF(C1001,H1001*N1001*IF(AND(Inputs!$B$38&lt;&gt;"pvp",Inputs!$B$43&gt;0),((Skills!G3*((R1001-1)*IF(Skills!H3&gt;0,Skills!I3/Skills!H3,1)+IF(Skills!H3&gt;0,MIN(Skills!I3,MAX(0,Inputs!$B$43-((R1001-1)*IF(Inputs!$B$38="pvp",15,MAX(0.1,Skills!E3-IF(Skills!F3=TRUE,Inputs!$B$32,0))))))/Skills!H3,1)))/Inputs!$B$43),G1001*Q1001)*IF(Inputs!$B$38="pvp",1,(1-Summary!$B$56)*(1)+Summary!$B$56*(MIN(Skills!R3,Inputs!$B$37))),0)</f>
        <v/>
      </c>
      <c r="P1001">
        <f>IF(B1037=0,0,O1001/B1037)</f>
        <v/>
      </c>
      <c r="Q1001">
        <f>IFERROR(1/IF(Inputs!$B$38="pvp",15,MAX(0.1,Skills!E3-IF(Skills!F3=TRUE,Inputs!$B$32,0))),0)</f>
        <v/>
      </c>
      <c r="R1001">
        <f>IF(AND(Inputs!$B$38&lt;&gt;"pvp",Inputs!$B$43&gt;0),(INT(Inputs!$B$43/IF(Inputs!$B$38="pvp",15,MAX(0.1,Skills!E3-IF(Skills!F3=TRUE,Inputs!$B$32,0))))+1),0)</f>
        <v/>
      </c>
      <c r="T1001">
        <f>INDEX(FactorTable!$B$2:$Y$301, MATCH(ROUND(MIN(300,MAX(1,T1000)),0), FactorTable!$A$2:$A$301,0), 22)</f>
        <v/>
      </c>
      <c r="Z1001">
        <f>INDEX(FactorTable!$B$2:$Y$301, MATCH(ROUND(MIN(300,MAX(1,Z1000)),0), FactorTable!$A$2:$A$301,0), 24)</f>
        <v/>
      </c>
    </row>
    <row r="1002">
      <c r="A1002">
        <f>Skills!A4</f>
        <v/>
      </c>
      <c r="B1002">
        <f>Skills!B4</f>
        <v/>
      </c>
      <c r="C1002">
        <f>TRUE</f>
        <v/>
      </c>
      <c r="D1002">
        <f>IF(Skills!C4=1,60+Inputs!$B$25+Inputs!$B$29,IF(Skills!C4=2,90+Inputs!$B$26+Inputs!$B$29,IF(Skills!C4=3,120+Inputs!$B$27+Inputs!$B$29,MAX(0,(Inputs!$B$3-100)*3)+Inputs!$B$28+Inputs!$B$29)))</f>
        <v/>
      </c>
      <c r="E1002">
        <f>INDEX(FactorTable!$B$2:$Y$301, MATCH(ROUND(MIN(300,MAX(1,D1002)),0), FactorTable!$A$2:$A$301,0), Skills!M4+1)</f>
        <v/>
      </c>
      <c r="F1002">
        <f>IF(Skills!N4=TRUE,(Skills!L4/10)*(E1002/1000),Skills!L4/10)+Skills!O4</f>
        <v/>
      </c>
      <c r="G1002">
        <f>Calc!G4</f>
        <v/>
      </c>
      <c r="H1002">
        <f>Calc!H4</f>
        <v/>
      </c>
      <c r="I1002">
        <f>IF(Skills!X4&lt;&gt;"",1+(Skills!X4/10)*(Z1001/1000)/100,1)</f>
        <v/>
      </c>
      <c r="J1002">
        <f>((Inputs!$B$6*(1+Inputs!$B$7/100))+(((Inputs!$B$12*(1+Inputs!$B$13/100))-(Inputs!$B$12*(1+Inputs!$B$13/100)))+0.25*(Inputs!$B$14-Inputs!$B$14))*(1+Inputs!$B$7/100))*(F1002/100)</f>
        <v/>
      </c>
      <c r="K1002">
        <f>J1002*(1+((Inputs!$B$12*(1+Inputs!$B$13/100))*0.01+Inputs!$B$14*0.0025)/100)*(1+Inputs!$B$15/100)*(1+IF(Inputs!$B$38="pvp",0,(1-Summary!$B$56)*(Inputs!$B$20+Skills!P4)+Summary!$B$56*(Inputs!$B$21+Skills!Q4))/100)*(1+Inputs!$B$16/100)*(5000/(6000+Inputs!$B$42*(1-Inputs!$B$19/100)))*(1+Inputs!$B$24/100)*(1+F1021/100)*(1+IF(Inputs!$B$3&gt;=120,F1024,0)/100)^5*(1+(IF(Skills!A4="BASIC_ATTACK",Inputs!$B$17,Inputs!$B$18+IF(Inputs!$B$3&gt;=125,F1025*5,0)))/100)*(B1028*B1029*B1030*I1002)</f>
        <v/>
      </c>
      <c r="L1002">
        <f>K1002*(MIN(Inputs!$B$22+(F1020-Calc!F22),Inputs!$B$23)/100+Inputs!$B$23/100)/2</f>
        <v/>
      </c>
      <c r="M1002">
        <f>L1002*(1+(Inputs!$B$10+(F1019-Calc!F21))/100)</f>
        <v/>
      </c>
      <c r="N1002">
        <f>L1002*(1-MIN(Inputs!$B$9+(F1018-Calc!F20),100)/100)+M1002*(MIN(Inputs!$B$9+(F1018-Calc!F20),100)/100)</f>
        <v/>
      </c>
      <c r="O1002">
        <f>IF(C1002,H1002*N1002*IF(AND(Inputs!$B$38&lt;&gt;"pvp",Inputs!$B$43&gt;0),((Skills!G4*((R1002-1)*IF(Skills!H4&gt;0,Skills!I4/Skills!H4,1)+IF(Skills!H4&gt;0,MIN(Skills!I4,MAX(0,Inputs!$B$43-((R1002-1)*IF(Inputs!$B$38="pvp",15,MAX(0.1,Skills!E4-IF(Skills!F4=TRUE,Inputs!$B$32,0))))))/Skills!H4,1)))/Inputs!$B$43),G1002*Q1002)*IF(Inputs!$B$38="pvp",1,(1-Summary!$B$56)*(1)+Summary!$B$56*(MIN(Skills!R4,Inputs!$B$37))),0)</f>
        <v/>
      </c>
      <c r="P1002">
        <f>IF(B1037=0,0,O1002/B1037)</f>
        <v/>
      </c>
      <c r="Q1002">
        <f>IFERROR(1/IF(Inputs!$B$38="pvp",15,MAX(0.1,Skills!E4-IF(Skills!F4=TRUE,Inputs!$B$32,0))),0)</f>
        <v/>
      </c>
      <c r="R1002">
        <f>IF(AND(Inputs!$B$38&lt;&gt;"pvp",Inputs!$B$43&gt;0),(INT(Inputs!$B$43/IF(Inputs!$B$38="pvp",15,MAX(0.1,Skills!E4-IF(Skills!F4=TRUE,Inputs!$B$32,0))))+1),0)</f>
        <v/>
      </c>
      <c r="T1002">
        <f>290*T1001/1000</f>
        <v/>
      </c>
    </row>
    <row r="1003">
      <c r="A1003">
        <f>Skills!A5</f>
        <v/>
      </c>
      <c r="B1003">
        <f>Skills!B5</f>
        <v/>
      </c>
      <c r="C1003">
        <f>TRUE</f>
        <v/>
      </c>
      <c r="D1003">
        <f>IF(Skills!C5=1,60+Inputs!$B$25+Inputs!$B$29,IF(Skills!C5=2,90+Inputs!$B$26+Inputs!$B$29,IF(Skills!C5=3,120+Inputs!$B$27+Inputs!$B$29,MAX(0,(Inputs!$B$3-100)*3)+Inputs!$B$28+Inputs!$B$29)))</f>
        <v/>
      </c>
      <c r="E1003">
        <f>INDEX(FactorTable!$B$2:$Y$301, MATCH(ROUND(MIN(300,MAX(1,D1003)),0), FactorTable!$A$2:$A$301,0), Skills!M5+1)</f>
        <v/>
      </c>
      <c r="F1003">
        <f>IF(Skills!N5=TRUE,(Skills!L5/10)*(E1003/1000),Skills!L5/10)+Skills!O5</f>
        <v/>
      </c>
      <c r="G1003">
        <f>Calc!G5</f>
        <v/>
      </c>
      <c r="H1003">
        <f>Calc!H5</f>
        <v/>
      </c>
      <c r="I1003">
        <f>IF(Skills!X5&lt;&gt;"",1+(Skills!X5/10)*(Z1001/1000)/100,1)</f>
        <v/>
      </c>
      <c r="J1003">
        <f>((Inputs!$B$6*(1+Inputs!$B$7/100))+(((Inputs!$B$12*(1+Inputs!$B$13/100))-(Inputs!$B$12*(1+Inputs!$B$13/100)))+0.25*(Inputs!$B$14-Inputs!$B$14))*(1+Inputs!$B$7/100))*(F1003/100)</f>
        <v/>
      </c>
      <c r="K1003">
        <f>J1003*(1+((Inputs!$B$12*(1+Inputs!$B$13/100))*0.01+Inputs!$B$14*0.0025)/100)*(1+Inputs!$B$15/100)*(1+IF(Inputs!$B$38="pvp",0,(1-Summary!$B$56)*(Inputs!$B$20+Skills!P5)+Summary!$B$56*(Inputs!$B$21+Skills!Q5))/100)*(1+Inputs!$B$16/100)*(5000/(6000+Inputs!$B$42*(1-Inputs!$B$19/100)))*(1+Inputs!$B$24/100)*(1+F1021/100)*(1+IF(Inputs!$B$3&gt;=120,F1024,0)/100)^5*(1+(IF(Skills!A5="BASIC_ATTACK",Inputs!$B$17,Inputs!$B$18+IF(Inputs!$B$3&gt;=125,F1025*5,0)))/100)*(B1028*B1029*B1030*I1003)</f>
        <v/>
      </c>
      <c r="L1003">
        <f>K1003*(MIN(Inputs!$B$22+(F1020-Calc!F22),Inputs!$B$23)/100+Inputs!$B$23/100)/2</f>
        <v/>
      </c>
      <c r="M1003">
        <f>L1003*(1+(Inputs!$B$10+(F1019-Calc!F21))/100)</f>
        <v/>
      </c>
      <c r="N1003">
        <f>L1003*(1-MIN(Inputs!$B$9+(F1018-Calc!F20),100)/100)+M1003*(MIN(Inputs!$B$9+(F1018-Calc!F20),100)/100)</f>
        <v/>
      </c>
      <c r="O1003">
        <f>IF(C1003,H1003*N1003*IF(AND(Inputs!$B$38&lt;&gt;"pvp",Inputs!$B$43&gt;0),((Skills!G5*((R1003-1)*IF(Skills!H5&gt;0,Skills!I5/Skills!H5,1)+IF(Skills!H5&gt;0,MIN(Skills!I5,MAX(0,Inputs!$B$43-((R1003-1)*IF(Inputs!$B$38="pvp",15,MAX(0.1,Skills!E5-IF(Skills!F5=TRUE,Inputs!$B$32,0))))))/Skills!H5,1)))/Inputs!$B$43),G1003*Q1003)*IF(Inputs!$B$38="pvp",1,(1-Summary!$B$56)*(1)+Summary!$B$56*(MIN(Skills!R5,Inputs!$B$37))),0)</f>
        <v/>
      </c>
      <c r="P1003">
        <f>IF(B1037=0,0,O1003/B1037)</f>
        <v/>
      </c>
      <c r="Q1003">
        <f>IFERROR(1/IF(Inputs!$B$38="pvp",15,MAX(0.1,Skills!E5-IF(Skills!F5=TRUE,Inputs!$B$32,0))),0)</f>
        <v/>
      </c>
      <c r="R1003">
        <f>IF(AND(Inputs!$B$38&lt;&gt;"pvp",Inputs!$B$43&gt;0),(INT(Inputs!$B$43/IF(Inputs!$B$38="pvp",15,MAX(0.1,Skills!E5-IF(Skills!F5=TRUE,Inputs!$B$32,0))))+1),0)</f>
        <v/>
      </c>
    </row>
    <row r="1004">
      <c r="A1004">
        <f>Skills!A6</f>
        <v/>
      </c>
      <c r="B1004">
        <f>Skills!B6</f>
        <v/>
      </c>
      <c r="C1004">
        <f>TRUE</f>
        <v/>
      </c>
      <c r="D1004">
        <f>IF(Skills!C6=1,60+Inputs!$B$25+Inputs!$B$29,IF(Skills!C6=2,90+Inputs!$B$26+Inputs!$B$29,IF(Skills!C6=3,120+Inputs!$B$27+Inputs!$B$29,MAX(0,(Inputs!$B$3-100)*3)+Inputs!$B$28+Inputs!$B$29)))</f>
        <v/>
      </c>
      <c r="E1004">
        <f>INDEX(FactorTable!$B$2:$Y$301, MATCH(ROUND(MIN(300,MAX(1,D1004)),0), FactorTable!$A$2:$A$301,0), Skills!M6+1)</f>
        <v/>
      </c>
      <c r="F1004">
        <f>IF(Skills!N6=TRUE,(Skills!L6/10)*(E1004/1000),Skills!L6/10)+Skills!O6</f>
        <v/>
      </c>
      <c r="G1004">
        <f>Calc!G6</f>
        <v/>
      </c>
      <c r="H1004">
        <f>Calc!H6</f>
        <v/>
      </c>
      <c r="I1004">
        <f>IF(Skills!X6&lt;&gt;"",1+(Skills!X6/10)*(Z1001/1000)/100,1)</f>
        <v/>
      </c>
      <c r="J1004" t="inlineStr"/>
      <c r="K1004" t="inlineStr"/>
      <c r="L1004" t="inlineStr"/>
      <c r="M1004" t="inlineStr"/>
      <c r="N1004" t="inlineStr"/>
      <c r="O1004" t="n">
        <v>0</v>
      </c>
      <c r="P1004">
        <f>IF(B1037=0,0,O1004/B1037)</f>
        <v/>
      </c>
      <c r="Q1004">
        <f>IFERROR(1/IF(Inputs!$B$38="pvp",15,MAX(0.1,Skills!E6-IF(Skills!F6=TRUE,Inputs!$B$32,0))),0)</f>
        <v/>
      </c>
      <c r="R1004">
        <f>IF(AND(Inputs!$B$38&lt;&gt;"pvp",Inputs!$B$43&gt;0),(INT(Inputs!$B$43/IF(Inputs!$B$38="pvp",15,MAX(0.1,Skills!E6-IF(Skills!F6=TRUE,Inputs!$B$32,0))))+1),0)</f>
        <v/>
      </c>
    </row>
    <row r="1005">
      <c r="A1005">
        <f>Skills!A7</f>
        <v/>
      </c>
      <c r="B1005">
        <f>Skills!B7</f>
        <v/>
      </c>
      <c r="C1005">
        <f>TRUE</f>
        <v/>
      </c>
      <c r="D1005">
        <f>IF(Skills!C7=1,60+Inputs!$B$25+Inputs!$B$29,IF(Skills!C7=2,90+Inputs!$B$26+Inputs!$B$29,IF(Skills!C7=3,120+Inputs!$B$27+Inputs!$B$29,MAX(0,(Inputs!$B$3-100)*3)+Inputs!$B$28+Inputs!$B$29)))</f>
        <v/>
      </c>
      <c r="E1005">
        <f>INDEX(FactorTable!$B$2:$Y$301, MATCH(ROUND(MIN(300,MAX(1,D1005)),0), FactorTable!$A$2:$A$301,0), Skills!M7+1)</f>
        <v/>
      </c>
      <c r="F1005">
        <f>IF(Skills!N7=TRUE,(Skills!L7/10)*(E1005/1000),Skills!L7/10)+Skills!O7</f>
        <v/>
      </c>
      <c r="G1005">
        <f>Calc!G7</f>
        <v/>
      </c>
      <c r="H1005">
        <f>Calc!H7</f>
        <v/>
      </c>
      <c r="I1005">
        <f>IF(Skills!X7&lt;&gt;"",1+(Skills!X7/10)*(Z1001/1000)/100,1)</f>
        <v/>
      </c>
      <c r="J1005">
        <f>((Inputs!$B$6*(1+Inputs!$B$7/100))+(((Inputs!$B$12*(1+Inputs!$B$13/100))-(Inputs!$B$12*(1+Inputs!$B$13/100)))+0.25*(Inputs!$B$14-Inputs!$B$14))*(1+Inputs!$B$7/100))*(F1005/100)</f>
        <v/>
      </c>
      <c r="K1005">
        <f>J1005*(1+((Inputs!$B$12*(1+Inputs!$B$13/100))*0.01+Inputs!$B$14*0.0025)/100)*(1+Inputs!$B$15/100)*(1+IF(Inputs!$B$38="pvp",0,(1-Summary!$B$56)*(Inputs!$B$20+Skills!P7)+Summary!$B$56*(Inputs!$B$21+Skills!Q7))/100)*(1+Inputs!$B$16/100)*(5000/(6000+Inputs!$B$42*(1-Inputs!$B$19/100)))*(1+Inputs!$B$24/100)*(1+F1021/100)*(1+IF(Inputs!$B$3&gt;=120,F1024,0)/100)^5*(1+(IF(Skills!A7="BASIC_ATTACK",Inputs!$B$17,Inputs!$B$18+IF(Inputs!$B$3&gt;=125,F1025*5,0)))/100)*(B1028*B1029*B1030*I1005)</f>
        <v/>
      </c>
      <c r="L1005">
        <f>K1005*(MIN(Inputs!$B$22+(F1020-Calc!F22),Inputs!$B$23)/100+Inputs!$B$23/100)/2</f>
        <v/>
      </c>
      <c r="M1005">
        <f>L1005*(1+(Inputs!$B$10+(F1019-Calc!F21))/100)</f>
        <v/>
      </c>
      <c r="N1005">
        <f>L1005*(1-MIN(Inputs!$B$9+(F1018-Calc!F20),100)/100)+M1005*(MIN(Inputs!$B$9+(F1018-Calc!F20),100)/100)</f>
        <v/>
      </c>
      <c r="O1005">
        <f>IF(C1005,H1005*N1005*IF(AND(Inputs!$B$38&lt;&gt;"pvp",Inputs!$B$43&gt;0),((Skills!G7*((R1005-1)*IF(Skills!H7&gt;0,Skills!I7/Skills!H7,1)+IF(Skills!H7&gt;0,MIN(Skills!I7,MAX(0,Inputs!$B$43-((R1005-1)*IF(Inputs!$B$38="pvp",15,MAX(0.1,Skills!E7-IF(Skills!F7=TRUE,Inputs!$B$32,0))))))/Skills!H7,1)))/Inputs!$B$43),G1005*Q1005)*IF(Inputs!$B$38="pvp",1,(1-Summary!$B$56)*(1)+Summary!$B$56*(MIN(Skills!R7,Inputs!$B$37))),0)</f>
        <v/>
      </c>
      <c r="P1005">
        <f>IF(B1037=0,0,O1005/B1037)</f>
        <v/>
      </c>
      <c r="Q1005">
        <f>IFERROR(1/IF(Inputs!$B$38="pvp",15,MAX(0.1,Skills!E7-IF(Skills!F7=TRUE,Inputs!$B$32,0))),0)</f>
        <v/>
      </c>
      <c r="R1005">
        <f>IF(AND(Inputs!$B$38&lt;&gt;"pvp",Inputs!$B$43&gt;0),(INT(Inputs!$B$43/IF(Inputs!$B$38="pvp",15,MAX(0.1,Skills!E7-IF(Skills!F7=TRUE,Inputs!$B$32,0))))+1),0)</f>
        <v/>
      </c>
    </row>
    <row r="1006">
      <c r="A1006">
        <f>Skills!A8</f>
        <v/>
      </c>
      <c r="B1006">
        <f>Skills!B8</f>
        <v/>
      </c>
      <c r="C1006">
        <f>TRUE</f>
        <v/>
      </c>
      <c r="D1006">
        <f>IF(Skills!C8=1,60+Inputs!$B$25+Inputs!$B$29,IF(Skills!C8=2,90+Inputs!$B$26+Inputs!$B$29,IF(Skills!C8=3,120+Inputs!$B$27+Inputs!$B$29,MAX(0,(Inputs!$B$3-100)*3)+Inputs!$B$28+Inputs!$B$29)))</f>
        <v/>
      </c>
      <c r="E1006">
        <f>INDEX(FactorTable!$B$2:$Y$301, MATCH(ROUND(MIN(300,MAX(1,D1006)),0), FactorTable!$A$2:$A$301,0), Skills!M8+1)</f>
        <v/>
      </c>
      <c r="F1006">
        <f>IF(Skills!N8=TRUE,(Skills!L8/10)*(E1006/1000),Skills!L8/10)+Skills!O8</f>
        <v/>
      </c>
      <c r="G1006">
        <f>Calc!G8</f>
        <v/>
      </c>
      <c r="H1006">
        <f>Calc!H8</f>
        <v/>
      </c>
      <c r="I1006">
        <f>IF(Skills!X8&lt;&gt;"",1+(Skills!X8/10)*(Z1001/1000)/100,1)</f>
        <v/>
      </c>
      <c r="J1006">
        <f>((Inputs!$B$6*(1+Inputs!$B$7/100))+(((Inputs!$B$12*(1+Inputs!$B$13/100))-(Inputs!$B$12*(1+Inputs!$B$13/100)))+0.25*(Inputs!$B$14-Inputs!$B$14))*(1+Inputs!$B$7/100))*(F1006/100)</f>
        <v/>
      </c>
      <c r="K1006">
        <f>J1006*(1+((Inputs!$B$12*(1+Inputs!$B$13/100))*0.01+Inputs!$B$14*0.0025)/100)*(1+Inputs!$B$15/100)*(1+IF(Inputs!$B$38="pvp",0,(1-Summary!$B$56)*(Inputs!$B$20+Skills!P8)+Summary!$B$56*(Inputs!$B$21+Skills!Q8))/100)*(1+Inputs!$B$16/100)*(5000/(6000+Inputs!$B$42*(1-Inputs!$B$19/100)))*(1+Inputs!$B$24/100)*(1+F1021/100)*(1+IF(Inputs!$B$3&gt;=120,F1024,0)/100)^5*(1+(IF(Skills!A8="BASIC_ATTACK",Inputs!$B$17,Inputs!$B$18+IF(Inputs!$B$3&gt;=125,F1025*5,0)))/100)*(B1028*B1029*B1030*I1006)</f>
        <v/>
      </c>
      <c r="L1006">
        <f>K1006*(MIN(Inputs!$B$22+(F1020-Calc!F22),Inputs!$B$23)/100+Inputs!$B$23/100)/2</f>
        <v/>
      </c>
      <c r="M1006">
        <f>L1006*(1+(Inputs!$B$10+(F1019-Calc!F21))/100)</f>
        <v/>
      </c>
      <c r="N1006">
        <f>L1006*(1-MIN(Inputs!$B$9+(F1018-Calc!F20),100)/100)+M1006*(MIN(Inputs!$B$9+(F1018-Calc!F20),100)/100)</f>
        <v/>
      </c>
      <c r="O1006">
        <f>IF(C1006,H1006*N1006*IF(AND(Inputs!$B$38&lt;&gt;"pvp",Inputs!$B$43&gt;0),((Skills!G8*((R1006-1)*IF(Skills!H8&gt;0,Skills!I8/Skills!H8,1)+IF(Skills!H8&gt;0,MIN(Skills!I8,MAX(0,Inputs!$B$43-((R1006-1)*IF(Inputs!$B$38="pvp",15,MAX(0.1,Skills!E8-IF(Skills!F8=TRUE,Inputs!$B$32,0))))))/Skills!H8,1)))/Inputs!$B$43),G1006*Q1006)*IF(Inputs!$B$38="pvp",1,(1-Summary!$B$56)*(1)+Summary!$B$56*(MIN(Skills!R8,Inputs!$B$37))),0)</f>
        <v/>
      </c>
      <c r="P1006">
        <f>IF(B1037=0,0,O1006/B1037)</f>
        <v/>
      </c>
      <c r="Q1006">
        <f>IFERROR(1/IF(Inputs!$B$38="pvp",15,MAX(0.1,Skills!E8-IF(Skills!F8=TRUE,Inputs!$B$32,0))),0)</f>
        <v/>
      </c>
      <c r="R1006">
        <f>IF(AND(Inputs!$B$38&lt;&gt;"pvp",Inputs!$B$43&gt;0),(INT(Inputs!$B$43/IF(Inputs!$B$38="pvp",15,MAX(0.1,Skills!E8-IF(Skills!F8=TRUE,Inputs!$B$32,0))))+1),0)</f>
        <v/>
      </c>
    </row>
    <row r="1007">
      <c r="A1007">
        <f>Skills!A9</f>
        <v/>
      </c>
      <c r="B1007">
        <f>Skills!B9</f>
        <v/>
      </c>
      <c r="C1007">
        <f>Inputs!$B$3&gt;=103</f>
        <v/>
      </c>
      <c r="D1007">
        <f>IF(Skills!C9=1,60+Inputs!$B$25+Inputs!$B$29,IF(Skills!C9=2,90+Inputs!$B$26+Inputs!$B$29,IF(Skills!C9=3,120+Inputs!$B$27+Inputs!$B$29,MAX(0,(Inputs!$B$3-100)*3)+Inputs!$B$28+Inputs!$B$29)))</f>
        <v/>
      </c>
      <c r="E1007">
        <f>INDEX(FactorTable!$B$2:$Y$301, MATCH(ROUND(MIN(300,MAX(1,D1007)),0), FactorTable!$A$2:$A$301,0), Skills!M9+1)</f>
        <v/>
      </c>
      <c r="F1007">
        <f>IF(Skills!N9=TRUE,(Skills!L9/10)*(E1007/1000),Skills!L9/10)+Skills!O9</f>
        <v/>
      </c>
      <c r="G1007">
        <f>Calc!G9</f>
        <v/>
      </c>
      <c r="H1007">
        <f>Calc!H9</f>
        <v/>
      </c>
      <c r="I1007">
        <f>IF(Skills!X9&lt;&gt;"",1+(Skills!X9/10)*(Z1001/1000)/100,1)</f>
        <v/>
      </c>
      <c r="J1007">
        <f>((Inputs!$B$6*(1+Inputs!$B$7/100))+(((Inputs!$B$12*(1+Inputs!$B$13/100))-(Inputs!$B$12*(1+Inputs!$B$13/100)))+0.25*(Inputs!$B$14-Inputs!$B$14))*(1+Inputs!$B$7/100))*(F1007/100)</f>
        <v/>
      </c>
      <c r="K1007">
        <f>J1007*(1+((Inputs!$B$12*(1+Inputs!$B$13/100))*0.01+Inputs!$B$14*0.0025)/100)*(1+Inputs!$B$15/100)*(1+IF(Inputs!$B$38="pvp",0,(1-Summary!$B$56)*(Inputs!$B$20+Skills!P9)+Summary!$B$56*(Inputs!$B$21+Skills!Q9))/100)*(1+Inputs!$B$16/100)*(5000/(6000+Inputs!$B$42*(1-Inputs!$B$19/100)))*(1+Inputs!$B$24/100)*(1+F1021/100)*(1+IF(Inputs!$B$3&gt;=120,F1024,0)/100)^5*(1+(IF(Skills!A9="BASIC_ATTACK",Inputs!$B$17,Inputs!$B$18+IF(Inputs!$B$3&gt;=125,F1025*5,0)))/100)*(B1028*B1029*B1030*I1007)</f>
        <v/>
      </c>
      <c r="L1007">
        <f>K1007*(MIN(Inputs!$B$22+(F1020-Calc!F22),Inputs!$B$23)/100+Inputs!$B$23/100)/2</f>
        <v/>
      </c>
      <c r="M1007">
        <f>L1007*(1+(Inputs!$B$10+(F1019-Calc!F21))/100)</f>
        <v/>
      </c>
      <c r="N1007">
        <f>L1007*(1-MIN(Inputs!$B$9+(F1018-Calc!F20),100)/100)+M1007*(MIN(Inputs!$B$9+(F1018-Calc!F20),100)/100)</f>
        <v/>
      </c>
      <c r="O1007">
        <f>IF(C1007,H1007*N1007*IF(AND(Inputs!$B$38&lt;&gt;"pvp",Inputs!$B$43&gt;0),((Skills!G9*((R1007-1)*IF(Skills!H9&gt;0,Skills!I9/Skills!H9,1)+IF(Skills!H9&gt;0,MIN(Skills!I9,MAX(0,Inputs!$B$43-((R1007-1)*IF(Inputs!$B$38="pvp",15,MAX(0.1,Skills!E9-IF(Skills!F7=TRUE,Inputs!$B$32,0))))))/Skills!H9,1)))/Inputs!$B$43),G1007*Q1007)*IF(Inputs!$B$38="pvp",1,(1-Summary!$B$56)*(1)+Summary!$B$56*(MIN(Skills!R9,Inputs!$B$37))),0)</f>
        <v/>
      </c>
      <c r="P1007">
        <f>IF(B1037=0,0,O1007/B1037)</f>
        <v/>
      </c>
      <c r="Q1007">
        <f>IFERROR(1/IF(Inputs!$B$38="pvp",15,MAX(0.1,Skills!E9-IF(Skills!F7=TRUE,Inputs!$B$32,0))),0)</f>
        <v/>
      </c>
      <c r="R1007">
        <f>IF(AND(Inputs!$B$38&lt;&gt;"pvp",Inputs!$B$43&gt;0),(INT(Inputs!$B$43/IF(Inputs!$B$38="pvp",15,MAX(0.1,Skills!E9-IF(Skills!F7=TRUE,Inputs!$B$32,0))))+1),0)</f>
        <v/>
      </c>
    </row>
    <row r="1008">
      <c r="A1008">
        <f>Skills!A10</f>
        <v/>
      </c>
      <c r="B1008">
        <f>Skills!B10</f>
        <v/>
      </c>
      <c r="C1008">
        <f>TRUE</f>
        <v/>
      </c>
      <c r="D1008">
        <f>IF(Skills!C10=1,60+Inputs!$B$25+Inputs!$B$29,IF(Skills!C10=2,90+Inputs!$B$26+Inputs!$B$29,IF(Skills!C10=3,120+Inputs!$B$27+Inputs!$B$29,MAX(0,(Inputs!$B$3-100)*3)+Inputs!$B$28+Inputs!$B$29)))</f>
        <v/>
      </c>
      <c r="E1008">
        <f>INDEX(FactorTable!$B$2:$Y$301, MATCH(ROUND(MIN(300,MAX(1,D1008)),0), FactorTable!$A$2:$A$301,0), Skills!M10+1)</f>
        <v/>
      </c>
      <c r="F1008">
        <f>IF(Skills!N10=TRUE,(Skills!L10/10)*(E1008/1000),Skills!L10/10)+Skills!O10</f>
        <v/>
      </c>
      <c r="G1008">
        <f>Calc!G10</f>
        <v/>
      </c>
      <c r="H1008">
        <f>Calc!H10</f>
        <v/>
      </c>
      <c r="I1008">
        <f>IF(Skills!X10&lt;&gt;"",1+(Skills!X10/10)*(Z1001/1000)/100,1)</f>
        <v/>
      </c>
      <c r="J1008">
        <f>((Inputs!$B$6*(1+Inputs!$B$7/100))+(((Inputs!$B$12*(1+Inputs!$B$13/100))-(Inputs!$B$12*(1+Inputs!$B$13/100)))+0.25*(Inputs!$B$14-Inputs!$B$14))*(1+Inputs!$B$7/100))*(F1008/100)</f>
        <v/>
      </c>
      <c r="K1008">
        <f>J1008*(1+((Inputs!$B$12*(1+Inputs!$B$13/100))*0.01+Inputs!$B$14*0.0025)/100)*(1+Inputs!$B$15/100)*(1+IF(Inputs!$B$38="pvp",0,(1-Summary!$B$56)*(Inputs!$B$20+Skills!P10)+Summary!$B$56*(Inputs!$B$21+Skills!Q10))/100)*(1+Inputs!$B$16/100)*(5000/(6000+Inputs!$B$42*(1-Inputs!$B$19/100)))*(1+Inputs!$B$24/100)*(1+F1021/100)*(1+IF(Inputs!$B$3&gt;=120,F1024,0)/100)^5*(1+(IF(Skills!A10="BASIC_ATTACK",Inputs!$B$17,Inputs!$B$18+IF(Inputs!$B$3&gt;=125,F1025*5,0)))/100)*(B1028*B1029*B1030*I1008)</f>
        <v/>
      </c>
      <c r="L1008">
        <f>K1008*(MIN(Inputs!$B$22+(F1020-Calc!F22),Inputs!$B$23)/100+Inputs!$B$23/100)/2</f>
        <v/>
      </c>
      <c r="M1008">
        <f>L1008*(1+(Inputs!$B$10+(F1019-Calc!F21))/100)</f>
        <v/>
      </c>
      <c r="N1008">
        <f>L1008*(1-MIN(Inputs!$B$9+(F1018-Calc!F20),100)/100)+M1008*(MIN(Inputs!$B$9+(F1018-Calc!F20),100)/100)</f>
        <v/>
      </c>
      <c r="O1008">
        <f>IF(C1008,H1008*N1008*IF(AND(Inputs!$B$38&lt;&gt;"pvp",Inputs!$B$43&gt;0),((Skills!G10*((R1008-1)*IF(Skills!H10&gt;0,Skills!I10/Skills!H10,1)+IF(Skills!H10&gt;0,MIN(Skills!I10,MAX(0,Inputs!$B$43-((R1008-1)*IF(Inputs!$B$38="pvp",15,MAX(0.1,Skills!E10-IF(Skills!F10=TRUE,Inputs!$B$32,0))))))/Skills!H10,1)))/Inputs!$B$43),G1008*Q1008)*IF(Inputs!$B$38="pvp",1,(1-Summary!$B$56)*(1)+Summary!$B$56*(MIN(Skills!R10,Inputs!$B$37))),0)</f>
        <v/>
      </c>
      <c r="P1008">
        <f>IF(B1037=0,0,O1008/B1037)</f>
        <v/>
      </c>
      <c r="Q1008">
        <f>IFERROR(1/IF(Inputs!$B$38="pvp",15,MAX(0.1,Skills!E10-IF(Skills!F10=TRUE,Inputs!$B$32,0))),0)</f>
        <v/>
      </c>
      <c r="R1008">
        <f>IF(AND(Inputs!$B$38&lt;&gt;"pvp",Inputs!$B$43&gt;0),(INT(Inputs!$B$43/IF(Inputs!$B$38="pvp",15,MAX(0.1,Skills!E10-IF(Skills!F10=TRUE,Inputs!$B$32,0))))+1),0)</f>
        <v/>
      </c>
    </row>
    <row r="1009">
      <c r="A1009">
        <f>Skills!A11</f>
        <v/>
      </c>
      <c r="B1009">
        <f>Skills!B11</f>
        <v/>
      </c>
      <c r="C1009">
        <f>TRUE</f>
        <v/>
      </c>
      <c r="D1009">
        <f>IF(Skills!C11=1,60+Inputs!$B$25+Inputs!$B$29,IF(Skills!C11=2,90+Inputs!$B$26+Inputs!$B$29,IF(Skills!C11=3,120+Inputs!$B$27+Inputs!$B$29,MAX(0,(Inputs!$B$3-100)*3)+Inputs!$B$28+Inputs!$B$29)))</f>
        <v/>
      </c>
      <c r="E1009">
        <f>INDEX(FactorTable!$B$2:$Y$301, MATCH(ROUND(MIN(300,MAX(1,D1009)),0), FactorTable!$A$2:$A$301,0), Skills!M11+1)</f>
        <v/>
      </c>
      <c r="F1009">
        <f>IF(Skills!N11=TRUE,(Skills!L11/10)*(E1009/1000),Skills!L11/10)+Skills!O11</f>
        <v/>
      </c>
      <c r="G1009">
        <f>Calc!G11</f>
        <v/>
      </c>
      <c r="H1009">
        <f>Calc!H11</f>
        <v/>
      </c>
      <c r="I1009">
        <f>IF(Skills!X11&lt;&gt;"",1+(Skills!X11/10)*(Z1001/1000)/100,1)</f>
        <v/>
      </c>
      <c r="J1009" t="inlineStr"/>
      <c r="K1009" t="inlineStr"/>
      <c r="L1009" t="inlineStr"/>
      <c r="M1009" t="inlineStr"/>
      <c r="N1009" t="inlineStr"/>
      <c r="O1009" t="n">
        <v>0</v>
      </c>
      <c r="P1009">
        <f>IF(B1037=0,0,O1009/B1037)</f>
        <v/>
      </c>
      <c r="Q1009">
        <f>IFERROR(1/IF(Inputs!$B$38="pvp",15,MAX(0.1,Skills!E11-IF(Skills!F11=TRUE,Inputs!$B$32,0))),0)</f>
        <v/>
      </c>
      <c r="R1009" t="n">
        <v>0</v>
      </c>
    </row>
    <row r="1010">
      <c r="A1010">
        <f>Skills!A12</f>
        <v/>
      </c>
      <c r="B1010">
        <f>Skills!B12</f>
        <v/>
      </c>
      <c r="C1010">
        <f>TRUE</f>
        <v/>
      </c>
      <c r="D1010">
        <f>IF(Skills!C12=1,60+Inputs!$B$25+Inputs!$B$29,IF(Skills!C12=2,90+Inputs!$B$26+Inputs!$B$29,IF(Skills!C12=3,120+Inputs!$B$27+Inputs!$B$29,MAX(0,(Inputs!$B$3-100)*3)+Inputs!$B$28+Inputs!$B$29)))</f>
        <v/>
      </c>
      <c r="E1010">
        <f>INDEX(FactorTable!$B$2:$Y$301, MATCH(ROUND(MIN(300,MAX(1,D1010)),0), FactorTable!$A$2:$A$301,0), Skills!M12+1)</f>
        <v/>
      </c>
      <c r="F1010">
        <f>IF(Skills!N12=TRUE,(Skills!L12/10)*(E1010/1000),Skills!L12/10)+Skills!O12</f>
        <v/>
      </c>
      <c r="G1010">
        <f>Calc!G12</f>
        <v/>
      </c>
      <c r="H1010">
        <f>Calc!H12</f>
        <v/>
      </c>
      <c r="I1010">
        <f>IF(Skills!X12&lt;&gt;"",1+(Skills!X12/10)*(Z1001/1000)/100,1)</f>
        <v/>
      </c>
      <c r="J1010" t="inlineStr"/>
      <c r="K1010" t="inlineStr"/>
      <c r="L1010" t="inlineStr"/>
      <c r="M1010" t="inlineStr"/>
      <c r="N1010" t="inlineStr"/>
      <c r="O1010" t="n">
        <v>0</v>
      </c>
      <c r="P1010">
        <f>IF(B1037=0,0,O1010/B1037)</f>
        <v/>
      </c>
      <c r="Q1010">
        <f>IFERROR(1/IF(Inputs!$B$38="pvp",15,MAX(0.1,Skills!E12-IF(Skills!F12=TRUE,Inputs!$B$32,0))),0)</f>
        <v/>
      </c>
      <c r="R1010" t="n">
        <v>0</v>
      </c>
    </row>
    <row r="1011">
      <c r="A1011">
        <f>Skills!A13</f>
        <v/>
      </c>
      <c r="B1011">
        <f>Skills!B13</f>
        <v/>
      </c>
      <c r="C1011">
        <f>Inputs!$B$3&gt;=105</f>
        <v/>
      </c>
      <c r="D1011">
        <f>IF(Skills!C13=1,60+Inputs!$B$25+Inputs!$B$29,IF(Skills!C13=2,90+Inputs!$B$26+Inputs!$B$29,IF(Skills!C13=3,120+Inputs!$B$27+Inputs!$B$29,MAX(0,(Inputs!$B$3-100)*3)+Inputs!$B$28+Inputs!$B$29)))</f>
        <v/>
      </c>
      <c r="E1011">
        <f>INDEX(FactorTable!$B$2:$Y$301, MATCH(ROUND(MIN(300,MAX(1,D1011)),0), FactorTable!$A$2:$A$301,0), Skills!M13+1)</f>
        <v/>
      </c>
      <c r="F1011">
        <f>IF(Skills!N13=TRUE,(Skills!L13/10)*(E1011/1000),Skills!L13/10)+Skills!O13</f>
        <v/>
      </c>
      <c r="G1011">
        <f>Calc!G13</f>
        <v/>
      </c>
      <c r="H1011">
        <f>Calc!H13</f>
        <v/>
      </c>
      <c r="I1011">
        <f>IF(Skills!X13&lt;&gt;"",1+(Skills!X13/10)*(Z1001/1000)/100,1)</f>
        <v/>
      </c>
      <c r="J1011">
        <f>((Inputs!$B$6*(1+Inputs!$B$7/100))+(((Inputs!$B$12*(1+Inputs!$B$13/100))-(Inputs!$B$12*(1+Inputs!$B$13/100)))+0.25*(Inputs!$B$14-Inputs!$B$14))*(1+Inputs!$B$7/100))*(F1011/100)</f>
        <v/>
      </c>
      <c r="K1011">
        <f>J1011*(1+((Inputs!$B$12*(1+Inputs!$B$13/100))*0.01+Inputs!$B$14*0.0025)/100)*(1+Inputs!$B$15/100)*(1+IF(Inputs!$B$38="pvp",0,(1-Summary!$B$56)*(Inputs!$B$20+Skills!P13)+Summary!$B$56*(Inputs!$B$21+Skills!Q13))/100)*(1+Inputs!$B$16/100)*(5000/(6000+Inputs!$B$42*(1-Inputs!$B$19/100)))*(1+Inputs!$B$24/100)*(1+F1021/100)*(1+IF(Inputs!$B$3&gt;=120,F1024,0)/100)^5*(1+(IF(Skills!A13="BASIC_ATTACK",Inputs!$B$17,Inputs!$B$18+IF(Inputs!$B$3&gt;=125,F1025*5,0)))/100)*(B1028*B1029*B1030*I1011)</f>
        <v/>
      </c>
      <c r="L1011">
        <f>K1011*(MIN(Inputs!$B$22+(F1020-Calc!F22),Inputs!$B$23)/100+Inputs!$B$23/100)/2</f>
        <v/>
      </c>
      <c r="M1011">
        <f>L1011*(1+(Inputs!$B$10+(F1019-Calc!F21))/100)</f>
        <v/>
      </c>
      <c r="N1011">
        <f>L1011*(1-MIN(Inputs!$B$9+(F1018-Calc!F20),100)/100)+M1011*(MIN(Inputs!$B$9+(F1018-Calc!F20),100)/100)</f>
        <v/>
      </c>
      <c r="O1011">
        <f>IF(C1011,H1011*N1011*IF(AND(Inputs!$B$38&lt;&gt;"pvp",Inputs!$B$43&gt;0),((Skills!G13*((R1011-1)*IF(Skills!H13&gt;0,Skills!I13/Skills!H13,1)+IF(Skills!H13&gt;0,MIN(Skills!I13,MAX(0,Inputs!$B$43-((R1011-1)*IF(Inputs!$B$38="pvp",15,MAX(0.1,Skills!E13-IF(Skills!F13=TRUE,Inputs!$B$32,0))))))/Skills!H13,1)))/Inputs!$B$43),G1011*Q1011)*IF(Inputs!$B$38="pvp",1,(1-Summary!$B$56)*(1)+Summary!$B$56*(MIN(Skills!R13,Inputs!$B$37))),0)</f>
        <v/>
      </c>
      <c r="P1011">
        <f>IF(B1037=0,0,O1011/B1037)</f>
        <v/>
      </c>
      <c r="Q1011">
        <f>IFERROR(1/IF(Inputs!$B$38="pvp",15,MAX(0.1,Skills!E13-IF(Skills!F13=TRUE,Inputs!$B$32,0))),0)</f>
        <v/>
      </c>
      <c r="R1011">
        <f>IF(AND(Inputs!$B$38&lt;&gt;"pvp",Inputs!$B$43&gt;0),(INT(Inputs!$B$43/IF(Inputs!$B$38="pvp",15,MAX(0.1,Skills!E13-IF(Skills!F13=TRUE,Inputs!$B$32,0))))+1),0)</f>
        <v/>
      </c>
    </row>
    <row r="1012">
      <c r="A1012">
        <f>Skills!A14</f>
        <v/>
      </c>
      <c r="B1012">
        <f>Skills!B14</f>
        <v/>
      </c>
      <c r="C1012">
        <f>Inputs!$B$3&gt;=113</f>
        <v/>
      </c>
      <c r="D1012">
        <f>IF(Skills!C14=1,60+Inputs!$B$25+Inputs!$B$29,IF(Skills!C14=2,90+Inputs!$B$26+Inputs!$B$29,IF(Skills!C14=3,120+Inputs!$B$27+Inputs!$B$29,MAX(0,(Inputs!$B$3-100)*3)+Inputs!$B$28+Inputs!$B$29)))</f>
        <v/>
      </c>
      <c r="E1012">
        <f>INDEX(FactorTable!$B$2:$Y$301, MATCH(ROUND(MIN(300,MAX(1,D1012)),0), FactorTable!$A$2:$A$301,0), Skills!M14+1)</f>
        <v/>
      </c>
      <c r="F1012">
        <f>IF(Skills!N14=TRUE,(Skills!L14/10)*(E1012/1000),Skills!L14/10)+Skills!O14</f>
        <v/>
      </c>
      <c r="G1012">
        <f>Calc!G14</f>
        <v/>
      </c>
      <c r="H1012">
        <f>Calc!H14</f>
        <v/>
      </c>
      <c r="I1012">
        <f>IF(Skills!X14&lt;&gt;"",1+(Skills!X14/10)*(Z1001/1000)/100,1)</f>
        <v/>
      </c>
      <c r="J1012">
        <f>((Inputs!$B$6*(1+Inputs!$B$7/100))+(((Inputs!$B$12*(1+Inputs!$B$13/100))-(Inputs!$B$12*(1+Inputs!$B$13/100)))+0.25*(Inputs!$B$14-Inputs!$B$14))*(1+Inputs!$B$7/100))*(F1012/100)</f>
        <v/>
      </c>
      <c r="K1012">
        <f>J1012*(1+((Inputs!$B$12*(1+Inputs!$B$13/100))*0.01+Inputs!$B$14*0.0025)/100)*(1+Inputs!$B$15/100)*(1+IF(Inputs!$B$38="pvp",0,(1-Summary!$B$56)*(Inputs!$B$20+Skills!P14)+Summary!$B$56*(Inputs!$B$21+Skills!Q14))/100)*(1+Inputs!$B$16/100)*(5000/(6000+Inputs!$B$42*(1-Inputs!$B$19/100)))*(1+Inputs!$B$24/100)*(1+F1021/100)*(1+IF(Inputs!$B$3&gt;=120,F1024,0)/100)^5*(1+(IF(Skills!A14="BASIC_ATTACK",Inputs!$B$17,Inputs!$B$18+IF(Inputs!$B$3&gt;=125,F1025*5,0)))/100)*(B1028*B1029*B1030*I1012)</f>
        <v/>
      </c>
      <c r="L1012">
        <f>K1012*(MIN(Inputs!$B$22+(F1020-Calc!F22),Inputs!$B$23)/100+Inputs!$B$23/100)/2</f>
        <v/>
      </c>
      <c r="M1012">
        <f>L1012*(1+(Inputs!$B$10+(F1019-Calc!F21))/100)</f>
        <v/>
      </c>
      <c r="N1012">
        <f>L1012*(1-MIN(Inputs!$B$9+(F1018-Calc!F20),100)/100)+M1012*(MIN(Inputs!$B$9+(F1018-Calc!F20),100)/100)</f>
        <v/>
      </c>
      <c r="O1012">
        <f>IF(C1012,(H1012*B1035)/(1+Skills!H14*H1012*B1035)*N1012*IF(Inputs!$B$38="pvp",1,(1-Summary!$B$56)*(1)+Summary!$B$56*(MIN(Skills!R14,Inputs!$B$37))),0)</f>
        <v/>
      </c>
      <c r="P1012">
        <f>IF(B1037=0,0,O1012/B1037)</f>
        <v/>
      </c>
      <c r="Q1012">
        <f>IFERROR(1/IF(Inputs!$B$38="pvp",15,MAX(0.1,Skills!E14-IF(Skills!F14=TRUE,Inputs!$B$32,0))),0)</f>
        <v/>
      </c>
      <c r="R1012" t="n">
        <v>0</v>
      </c>
    </row>
    <row r="1013">
      <c r="A1013">
        <f>Skills!A15</f>
        <v/>
      </c>
      <c r="B1013">
        <f>Skills!B15</f>
        <v/>
      </c>
      <c r="C1013">
        <f>Inputs!$B$3&gt;=107</f>
        <v/>
      </c>
      <c r="D1013">
        <f>IF(Skills!C15=1,60+Inputs!$B$25+Inputs!$B$29,IF(Skills!C15=2,90+Inputs!$B$26+Inputs!$B$29,IF(Skills!C15=3,120+Inputs!$B$27+Inputs!$B$29,MAX(0,(Inputs!$B$3-100)*3)+Inputs!$B$28+Inputs!$B$29)))</f>
        <v/>
      </c>
      <c r="E1013">
        <f>INDEX(FactorTable!$B$2:$Y$301, MATCH(ROUND(MIN(300,MAX(1,D1013)),0), FactorTable!$A$2:$A$301,0), Skills!M15+1)</f>
        <v/>
      </c>
      <c r="F1013">
        <f>IF(Skills!N15=TRUE,(Skills!L15/10)*(E1013/1000),Skills!L15/10)+Skills!O15</f>
        <v/>
      </c>
      <c r="G1013">
        <f>Calc!G15</f>
        <v/>
      </c>
      <c r="H1013">
        <f>Calc!H15</f>
        <v/>
      </c>
      <c r="I1013">
        <f>IF(Skills!X15&lt;&gt;"",1+(Skills!X15/10)*(Z1001/1000)/100,1)</f>
        <v/>
      </c>
      <c r="J1013">
        <f>((Inputs!$B$6*(1+Inputs!$B$7/100))+(((Inputs!$B$12*(1+Inputs!$B$13/100))-(Inputs!$B$12*(1+Inputs!$B$13/100)))+0.25*(Inputs!$B$14-Inputs!$B$14))*(1+Inputs!$B$7/100))*(F1013/100)</f>
        <v/>
      </c>
      <c r="K1013">
        <f>J1013*(1+((Inputs!$B$12*(1+Inputs!$B$13/100))*0.01+Inputs!$B$14*0.0025)/100)*(1+Inputs!$B$15/100)*(1+IF(Inputs!$B$38="pvp",0,(1-Summary!$B$56)*(Inputs!$B$20+Skills!P15)+Summary!$B$56*(Inputs!$B$21+Skills!Q15))/100)*(1+Inputs!$B$16/100)*(5000/(6000+Inputs!$B$42*(1-Inputs!$B$19/100)))*(1+Inputs!$B$24/100)*(1+F1021/100)*(1+IF(Inputs!$B$3&gt;=120,F1024,0)/100)^5*(1+(IF(Skills!A15="BASIC_ATTACK",Inputs!$B$17,Inputs!$B$18+IF(Inputs!$B$3&gt;=125,F1025*5,0)))/100)*(B1028*B1029*B1030*I1013)</f>
        <v/>
      </c>
      <c r="L1013">
        <f>K1013*(MIN(Inputs!$B$22+(F1020-Calc!F22),Inputs!$B$23)/100+Inputs!$B$23/100)/2</f>
        <v/>
      </c>
      <c r="M1013">
        <f>L1013*(1+(Inputs!$B$10+(F1019-Calc!F21))/100)</f>
        <v/>
      </c>
      <c r="N1013">
        <f>L1013*(1-MIN(Inputs!$B$9+(F1018-Calc!F20),100)/100)+M1013*(MIN(Inputs!$B$9+(F1018-Calc!F20),100)/100)</f>
        <v/>
      </c>
      <c r="O1013">
        <f>IF(C1013,H1013*N1013*IF(AND(Inputs!$B$38&lt;&gt;"pvp",Inputs!$B$43&gt;0),((Skills!G15*((R1013-1)*IF(Skills!H15&gt;0,Skills!I15/Skills!H15,1)+IF(Skills!H15&gt;0,MIN(Skills!I15,MAX(0,Inputs!$B$43-((R1013-1)*IF(Inputs!$B$38="pvp",15,MAX(0.1,Skills!E15-IF(Skills!F15=TRUE,Inputs!$B$32,0))))))/Skills!H15,1)))/Inputs!$B$43),G1013*Q1013)*IF(Inputs!$B$38="pvp",1,(1-Summary!$B$56)*(1)+Summary!$B$56*(MIN(Skills!R15,Inputs!$B$37))),0)</f>
        <v/>
      </c>
      <c r="P1013">
        <f>IF(B1037=0,0,O1013/B1037)</f>
        <v/>
      </c>
      <c r="Q1013">
        <f>IFERROR(1/IF(Inputs!$B$38="pvp",15,MAX(0.1,Skills!E15-IF(Skills!F15=TRUE,Inputs!$B$32,0))),0)</f>
        <v/>
      </c>
      <c r="R1013">
        <f>IF(AND(Inputs!$B$38&lt;&gt;"pvp",Inputs!$B$43&gt;0),(INT(Inputs!$B$43/IF(Inputs!$B$38="pvp",15,MAX(0.1,Skills!E15-IF(Skills!F15=TRUE,Inputs!$B$32,0))))+1),0)</f>
        <v/>
      </c>
    </row>
    <row r="1014">
      <c r="A1014">
        <f>Skills!A16</f>
        <v/>
      </c>
      <c r="B1014">
        <f>Skills!B16</f>
        <v/>
      </c>
      <c r="C1014">
        <f>Inputs!$B$3&gt;=107</f>
        <v/>
      </c>
      <c r="D1014">
        <f>IF(Skills!C16=1,60+Inputs!$B$25+Inputs!$B$29,IF(Skills!C16=2,90+Inputs!$B$26+Inputs!$B$29,IF(Skills!C16=3,120+Inputs!$B$27+Inputs!$B$29,MAX(0,(Inputs!$B$3-100)*3)+Inputs!$B$28+Inputs!$B$29)))</f>
        <v/>
      </c>
      <c r="E1014">
        <f>INDEX(FactorTable!$B$2:$Y$301, MATCH(ROUND(MIN(300,MAX(1,D1014)),0), FactorTable!$A$2:$A$301,0), Skills!M16+1)</f>
        <v/>
      </c>
      <c r="F1014">
        <f>IF(Skills!N16=TRUE,(Skills!L16/10)*(E1014/1000),Skills!L16/10)+Skills!O16</f>
        <v/>
      </c>
      <c r="G1014">
        <f>Calc!G16</f>
        <v/>
      </c>
      <c r="H1014">
        <f>Calc!H16</f>
        <v/>
      </c>
      <c r="I1014">
        <f>IF(Skills!X16&lt;&gt;"",1+(Skills!X16/10)*(Z1001/1000)/100,1)</f>
        <v/>
      </c>
      <c r="J1014">
        <f>((Inputs!$B$6*(1+Inputs!$B$7/100))+(((Inputs!$B$12*(1+Inputs!$B$13/100))-(Inputs!$B$12*(1+Inputs!$B$13/100)))+0.25*(Inputs!$B$14-Inputs!$B$14))*(1+Inputs!$B$7/100))*(F1014/100)</f>
        <v/>
      </c>
      <c r="K1014">
        <f>J1014*(1+((Inputs!$B$12*(1+Inputs!$B$13/100))*0.01+Inputs!$B$14*0.0025)/100)*(1+Inputs!$B$15/100)*(1+IF(Inputs!$B$38="pvp",0,(1-Summary!$B$56)*(Inputs!$B$20+Skills!P16)+Summary!$B$56*(Inputs!$B$21+Skills!Q16))/100)*(1+Inputs!$B$16/100)*(5000/(6000+Inputs!$B$42*(1-Inputs!$B$19/100)))*(1+Inputs!$B$24/100)*(1+F1021/100)*(1+IF(Inputs!$B$3&gt;=120,F1024,0)/100)^5*(1+(IF(Skills!A16="BASIC_ATTACK",Inputs!$B$17,Inputs!$B$18+IF(Inputs!$B$3&gt;=125,F1025*5,0)))/100)*(B1028*B1029*B1030*I1014)</f>
        <v/>
      </c>
      <c r="L1014">
        <f>K1014*(MIN(Inputs!$B$22+(F1020-Calc!F22),Inputs!$B$23)/100+Inputs!$B$23/100)/2</f>
        <v/>
      </c>
      <c r="M1014">
        <f>L1014*(1+(Inputs!$B$10+(F1019-Calc!F21))/100)</f>
        <v/>
      </c>
      <c r="N1014">
        <f>L1014*(1-MIN(Inputs!$B$9+(F1018-Calc!F20),100)/100)+M1014*(MIN(Inputs!$B$9+(F1018-Calc!F20),100)/100)</f>
        <v/>
      </c>
      <c r="O1014">
        <f>IF(C1014,H1014*N1014*IF(AND(Inputs!$B$38&lt;&gt;"pvp",Inputs!$B$43&gt;0),((Skills!G16*((R1014-1)*IF(Skills!H16&gt;0,Skills!I16/Skills!H16,1)+IF(Skills!H16&gt;0,MIN(Skills!I16,MAX(0,Inputs!$B$43-((R1014-1)*IF(Inputs!$B$38="pvp",15,MAX(0.1,Skills!E16-IF(Skills!F16=TRUE,Inputs!$B$32,0))))))/Skills!H16,1)))/Inputs!$B$43),G1014*Q1014)*(1+IF(Inputs!$B$3&gt;=126,0.05*(B1034+Q1011+(H1012*B1035)/(1+Skills!H14*H1012*B1035)+Q1022),0)*Skills!E15)*IF(Inputs!$B$38="pvp",1,(1-Summary!$B$56)*(1)+Summary!$B$56*(MIN(Skills!R16,Inputs!$B$37))),0)</f>
        <v/>
      </c>
      <c r="P1014">
        <f>IF(B1037=0,0,O1014/B1037)</f>
        <v/>
      </c>
      <c r="Q1014">
        <f>IFERROR(1/IF(Inputs!$B$38="pvp",15,MAX(0.1,Skills!E16-IF(Skills!F16=TRUE,Inputs!$B$32,0))),0)</f>
        <v/>
      </c>
      <c r="R1014">
        <f>IF(AND(Inputs!$B$38&lt;&gt;"pvp",Inputs!$B$43&gt;0),(INT(Inputs!$B$43/IF(Inputs!$B$38="pvp",15,MAX(0.1,Skills!E16-IF(Skills!F16=TRUE,Inputs!$B$32,0))))+1),0)</f>
        <v/>
      </c>
    </row>
    <row r="1015">
      <c r="A1015">
        <f>Skills!A17</f>
        <v/>
      </c>
      <c r="B1015">
        <f>Skills!B17</f>
        <v/>
      </c>
      <c r="C1015">
        <f>TRUE</f>
        <v/>
      </c>
      <c r="D1015">
        <f>IF(Skills!C17=1,60+Inputs!$B$25+Inputs!$B$29,IF(Skills!C17=2,90+Inputs!$B$26+Inputs!$B$29,IF(Skills!C17=3,120+Inputs!$B$27+Inputs!$B$29,MAX(0,(Inputs!$B$3-100)*3)+Inputs!$B$28+Inputs!$B$29)))</f>
        <v/>
      </c>
      <c r="E1015">
        <f>INDEX(FactorTable!$B$2:$Y$301, MATCH(ROUND(MIN(300,MAX(1,D1015)),0), FactorTable!$A$2:$A$301,0), Skills!M17+1)</f>
        <v/>
      </c>
      <c r="F1015">
        <f>IF(Skills!N17=TRUE,(Skills!L17/10)*(E1015/1000),Skills!L17/10)+Skills!O17</f>
        <v/>
      </c>
      <c r="G1015">
        <f>Calc!G17</f>
        <v/>
      </c>
      <c r="H1015">
        <f>Calc!H17</f>
        <v/>
      </c>
      <c r="I1015">
        <f>IF(Skills!X17&lt;&gt;"",1+(Skills!X17/10)*(Z1001/1000)/100,1)</f>
        <v/>
      </c>
      <c r="J1015" t="inlineStr"/>
      <c r="K1015" t="inlineStr"/>
      <c r="L1015" t="inlineStr"/>
      <c r="M1015" t="inlineStr"/>
      <c r="N1015" t="inlineStr"/>
      <c r="O1015" t="n">
        <v>0</v>
      </c>
      <c r="P1015">
        <f>IF(B1037=0,0,O1015/B1037)</f>
        <v/>
      </c>
      <c r="Q1015">
        <f>IFERROR(1/IF(Inputs!$B$38="pvp",15,MAX(0.1,Skills!E17-IF(Skills!F17=TRUE,Inputs!$B$32,0))),0)</f>
        <v/>
      </c>
      <c r="R1015">
        <f>IF(AND(Inputs!$B$38&lt;&gt;"pvp",Inputs!$B$43&gt;0),(INT(Inputs!$B$43/IF(Inputs!$B$38="pvp",15,MAX(0.1,Skills!E17-IF(Skills!F17=TRUE,Inputs!$B$32,0))))+1),0)</f>
        <v/>
      </c>
    </row>
    <row r="1016">
      <c r="A1016">
        <f>Skills!A18</f>
        <v/>
      </c>
      <c r="B1016">
        <f>Skills!B18</f>
        <v/>
      </c>
      <c r="C1016">
        <f>TRUE</f>
        <v/>
      </c>
      <c r="D1016">
        <f>IF(Skills!C18=1,60+Inputs!$B$25+Inputs!$B$29,IF(Skills!C18=2,90+Inputs!$B$26+Inputs!$B$29,IF(Skills!C18=3,120+Inputs!$B$27+Inputs!$B$29,MAX(0,(Inputs!$B$3-100)*3)+Inputs!$B$28+Inputs!$B$29)))</f>
        <v/>
      </c>
      <c r="E1016">
        <f>INDEX(FactorTable!$B$2:$Y$301, MATCH(ROUND(MIN(300,MAX(1,D1016)),0), FactorTable!$A$2:$A$301,0), Skills!M18+1)</f>
        <v/>
      </c>
      <c r="F1016">
        <f>IF(Skills!N18=TRUE,(Skills!L18/10)*(E1016/1000),Skills!L18/10)+Skills!O18</f>
        <v/>
      </c>
      <c r="G1016">
        <f>Calc!G18</f>
        <v/>
      </c>
      <c r="H1016">
        <f>Calc!H18</f>
        <v/>
      </c>
      <c r="I1016">
        <f>IF(Skills!X18&lt;&gt;"",1+(Skills!X18/10)*(Z1001/1000)/100,1)</f>
        <v/>
      </c>
      <c r="J1016" t="inlineStr"/>
      <c r="K1016" t="inlineStr"/>
      <c r="L1016" t="inlineStr"/>
      <c r="M1016" t="inlineStr"/>
      <c r="N1016" t="inlineStr"/>
      <c r="O1016" t="n">
        <v>0</v>
      </c>
      <c r="P1016">
        <f>IF(B1037=0,0,O1016/B1037)</f>
        <v/>
      </c>
      <c r="Q1016">
        <f>IFERROR(1/IF(Inputs!$B$38="pvp",15,MAX(0.1,Skills!E18-IF(Skills!F18=TRUE,Inputs!$B$32,0))),0)</f>
        <v/>
      </c>
      <c r="R1016">
        <f>IF(AND(Inputs!$B$38&lt;&gt;"pvp",Inputs!$B$43&gt;0),(INT(Inputs!$B$43/IF(Inputs!$B$38="pvp",15,MAX(0.1,Skills!E18-IF(Skills!F18=TRUE,Inputs!$B$32,0))))+1),0)</f>
        <v/>
      </c>
    </row>
    <row r="1017">
      <c r="A1017">
        <f>Skills!A19</f>
        <v/>
      </c>
      <c r="B1017">
        <f>Skills!B19</f>
        <v/>
      </c>
      <c r="C1017">
        <f>Inputs!$B$3&gt;=110</f>
        <v/>
      </c>
      <c r="D1017">
        <f>IF(Skills!C19=1,60+Inputs!$B$25+Inputs!$B$29,IF(Skills!C19=2,90+Inputs!$B$26+Inputs!$B$29,IF(Skills!C19=3,120+Inputs!$B$27+Inputs!$B$29,MAX(0,(Inputs!$B$3-100)*3)+Inputs!$B$28+Inputs!$B$29)))</f>
        <v/>
      </c>
      <c r="E1017">
        <f>INDEX(FactorTable!$B$2:$Y$301, MATCH(ROUND(MIN(300,MAX(1,D1017)),0), FactorTable!$A$2:$A$301,0), Skills!M19+1)</f>
        <v/>
      </c>
      <c r="F1017">
        <f>IF(Skills!N19=TRUE,(Skills!L19/10)*(E1017/1000),Skills!L19/10)+Skills!O19</f>
        <v/>
      </c>
      <c r="G1017">
        <f>Calc!G19</f>
        <v/>
      </c>
      <c r="H1017">
        <f>Calc!H19</f>
        <v/>
      </c>
      <c r="I1017">
        <f>IF(Skills!X19&lt;&gt;"",1+(Skills!X19/10)*(Z1001/1000)/100,1)</f>
        <v/>
      </c>
      <c r="J1017" t="inlineStr"/>
      <c r="K1017" t="inlineStr"/>
      <c r="L1017" t="inlineStr"/>
      <c r="M1017" t="inlineStr"/>
      <c r="N1017" t="inlineStr"/>
      <c r="O1017" t="n">
        <v>0</v>
      </c>
      <c r="P1017">
        <f>IF(B1037=0,0,O1017/B1037)</f>
        <v/>
      </c>
      <c r="Q1017">
        <f>IFERROR(1/IF(Inputs!$B$38="pvp",15,MAX(0.1,Skills!E19-IF(Skills!F19=TRUE,Inputs!$B$32,0))),0)</f>
        <v/>
      </c>
      <c r="R1017">
        <f>IF(AND(Inputs!$B$38&lt;&gt;"pvp",Inputs!$B$43&gt;0),(INT(Inputs!$B$43/IF(Inputs!$B$38="pvp",15,MAX(0.1,Skills!E19-IF(Skills!F19=TRUE,Inputs!$B$32,0))))+1),0)</f>
        <v/>
      </c>
    </row>
    <row r="1018">
      <c r="A1018">
        <f>Skills!A20</f>
        <v/>
      </c>
      <c r="B1018">
        <f>Skills!B20</f>
        <v/>
      </c>
      <c r="C1018">
        <f>TRUE</f>
        <v/>
      </c>
      <c r="D1018">
        <f>IF(Skills!C20=1,60+Inputs!$B$25+Inputs!$B$29,IF(Skills!C20=2,90+Inputs!$B$26+Inputs!$B$29,IF(Skills!C20=3,120+Inputs!$B$27+Inputs!$B$29,MAX(0,(Inputs!$B$3-100)*3)+Inputs!$B$28+Inputs!$B$29)))</f>
        <v/>
      </c>
      <c r="E1018">
        <f>INDEX(FactorTable!$B$2:$Y$301, MATCH(ROUND(MIN(300,MAX(1,D1018)),0), FactorTable!$A$2:$A$301,0), Skills!M20+1)</f>
        <v/>
      </c>
      <c r="F1018">
        <f>IF(Skills!N20=TRUE,(Skills!L20/10)*(E1018/1000),Skills!L20/10)+Skills!O20</f>
        <v/>
      </c>
      <c r="G1018">
        <f>Calc!G20</f>
        <v/>
      </c>
      <c r="H1018">
        <f>Calc!H20</f>
        <v/>
      </c>
      <c r="I1018">
        <f>IF(Skills!X20&lt;&gt;"",1+(Skills!X20/10)*(Z1001/1000)/100,1)</f>
        <v/>
      </c>
      <c r="J1018" t="inlineStr"/>
      <c r="K1018" t="inlineStr"/>
      <c r="L1018" t="inlineStr"/>
      <c r="M1018" t="inlineStr"/>
      <c r="N1018" t="inlineStr"/>
      <c r="O1018" t="n">
        <v>0</v>
      </c>
      <c r="P1018">
        <f>IF(B1037=0,0,O1018/B1037)</f>
        <v/>
      </c>
      <c r="Q1018">
        <f>IFERROR(1/IF(Inputs!$B$38="pvp",15,MAX(0.1,Skills!E20-IF(Skills!F20=TRUE,Inputs!$B$32,0))),0)</f>
        <v/>
      </c>
      <c r="R1018" t="n">
        <v>0</v>
      </c>
    </row>
    <row r="1019">
      <c r="A1019">
        <f>Skills!A21</f>
        <v/>
      </c>
      <c r="B1019">
        <f>Skills!B21</f>
        <v/>
      </c>
      <c r="C1019">
        <f>TRUE</f>
        <v/>
      </c>
      <c r="D1019">
        <f>IF(Skills!C21=1,60+Inputs!$B$25+Inputs!$B$29,IF(Skills!C21=2,90+Inputs!$B$26+Inputs!$B$29,IF(Skills!C21=3,120+Inputs!$B$27+Inputs!$B$29,MAX(0,(Inputs!$B$3-100)*3)+Inputs!$B$28+Inputs!$B$29)))</f>
        <v/>
      </c>
      <c r="E1019">
        <f>INDEX(FactorTable!$B$2:$Y$301, MATCH(ROUND(MIN(300,MAX(1,D1019)),0), FactorTable!$A$2:$A$301,0), Skills!M21+1)</f>
        <v/>
      </c>
      <c r="F1019">
        <f>IF(Skills!N21=TRUE,(Skills!L21/10)*(E1019/1000),Skills!L21/10)+Skills!O21</f>
        <v/>
      </c>
      <c r="G1019">
        <f>Calc!G21</f>
        <v/>
      </c>
      <c r="H1019">
        <f>Calc!H21</f>
        <v/>
      </c>
      <c r="I1019">
        <f>IF(Skills!X21&lt;&gt;"",1+(Skills!X21/10)*(Z1001/1000)/100,1)</f>
        <v/>
      </c>
      <c r="J1019" t="inlineStr"/>
      <c r="K1019" t="inlineStr"/>
      <c r="L1019" t="inlineStr"/>
      <c r="M1019" t="inlineStr"/>
      <c r="N1019" t="inlineStr"/>
      <c r="O1019" t="n">
        <v>0</v>
      </c>
      <c r="P1019">
        <f>IF(B1037=0,0,O1019/B1037)</f>
        <v/>
      </c>
      <c r="Q1019">
        <f>IFERROR(1/IF(Inputs!$B$38="pvp",15,MAX(0.1,Skills!E21-IF(Skills!F21=TRUE,Inputs!$B$32,0))),0)</f>
        <v/>
      </c>
      <c r="R1019" t="n">
        <v>0</v>
      </c>
    </row>
    <row r="1020">
      <c r="A1020">
        <f>Skills!A22</f>
        <v/>
      </c>
      <c r="B1020">
        <f>Skills!B22</f>
        <v/>
      </c>
      <c r="C1020">
        <f>TRUE</f>
        <v/>
      </c>
      <c r="D1020">
        <f>IF(Skills!C22=1,60+Inputs!$B$25+Inputs!$B$29,IF(Skills!C22=2,90+Inputs!$B$26+Inputs!$B$29,IF(Skills!C22=3,120+Inputs!$B$27+Inputs!$B$29,MAX(0,(Inputs!$B$3-100)*3)+Inputs!$B$28+Inputs!$B$29)))</f>
        <v/>
      </c>
      <c r="E1020">
        <f>INDEX(FactorTable!$B$2:$Y$301, MATCH(ROUND(MIN(300,MAX(1,D1020)),0), FactorTable!$A$2:$A$301,0), Skills!M22+1)</f>
        <v/>
      </c>
      <c r="F1020">
        <f>IF(Skills!N22=TRUE,(Skills!L22/10)*(E1020/1000),Skills!L22/10)+Skills!O22</f>
        <v/>
      </c>
      <c r="G1020">
        <f>Calc!G22</f>
        <v/>
      </c>
      <c r="H1020">
        <f>Calc!H22</f>
        <v/>
      </c>
      <c r="I1020">
        <f>IF(Skills!X22&lt;&gt;"",1+(Skills!X22/10)*(Z1001/1000)/100,1)</f>
        <v/>
      </c>
      <c r="J1020" t="inlineStr"/>
      <c r="K1020" t="inlineStr"/>
      <c r="L1020" t="inlineStr"/>
      <c r="M1020" t="inlineStr"/>
      <c r="N1020" t="inlineStr"/>
      <c r="O1020" t="n">
        <v>0</v>
      </c>
      <c r="P1020">
        <f>IF(B1037=0,0,O1020/B1037)</f>
        <v/>
      </c>
      <c r="Q1020">
        <f>IFERROR(1/IF(Inputs!$B$38="pvp",15,MAX(0.1,Skills!E22-IF(Skills!F22=TRUE,Inputs!$B$32,0))),0)</f>
        <v/>
      </c>
      <c r="R1020" t="n">
        <v>0</v>
      </c>
    </row>
    <row r="1021">
      <c r="A1021">
        <f>Skills!A23</f>
        <v/>
      </c>
      <c r="B1021">
        <f>Skills!B23</f>
        <v/>
      </c>
      <c r="C1021">
        <f>TRUE</f>
        <v/>
      </c>
      <c r="D1021">
        <f>IF(Skills!C23=1,60+Inputs!$B$25+Inputs!$B$29,IF(Skills!C23=2,90+Inputs!$B$26+Inputs!$B$29,IF(Skills!C23=3,120+Inputs!$B$27+Inputs!$B$29,MAX(0,(Inputs!$B$3-100)*3)+Inputs!$B$28+Inputs!$B$29)))</f>
        <v/>
      </c>
      <c r="E1021">
        <f>INDEX(FactorTable!$B$2:$Y$301, MATCH(ROUND(MIN(300,MAX(1,D1021)),0), FactorTable!$A$2:$A$301,0), Skills!M23+1)</f>
        <v/>
      </c>
      <c r="F1021">
        <f>IF(Skills!N23=TRUE,(Skills!L23/10)*(E1021/1000),Skills!L23/10)+Skills!O23</f>
        <v/>
      </c>
      <c r="G1021">
        <f>Calc!G23</f>
        <v/>
      </c>
      <c r="H1021">
        <f>Calc!H23</f>
        <v/>
      </c>
      <c r="I1021">
        <f>IF(Skills!X23&lt;&gt;"",1+(Skills!X23/10)*(Z1001/1000)/100,1)</f>
        <v/>
      </c>
      <c r="J1021" t="inlineStr"/>
      <c r="K1021" t="inlineStr"/>
      <c r="L1021" t="inlineStr"/>
      <c r="M1021" t="inlineStr"/>
      <c r="N1021" t="inlineStr"/>
      <c r="O1021" t="n">
        <v>0</v>
      </c>
      <c r="P1021">
        <f>IF(B1037=0,0,O1021/B1037)</f>
        <v/>
      </c>
      <c r="Q1021">
        <f>IFERROR(1/IF(Inputs!$B$38="pvp",15,MAX(0.1,Skills!E23-IF(Skills!F23=TRUE,Inputs!$B$32,0))),0)</f>
        <v/>
      </c>
      <c r="R1021" t="n">
        <v>0</v>
      </c>
    </row>
    <row r="1022">
      <c r="A1022">
        <f>Skills!A24</f>
        <v/>
      </c>
      <c r="B1022">
        <f>Skills!B24</f>
        <v/>
      </c>
      <c r="C1022">
        <f>Inputs!$B$3&gt;=115</f>
        <v/>
      </c>
      <c r="D1022">
        <f>IF(Skills!C24=1,60+Inputs!$B$25+Inputs!$B$29,IF(Skills!C24=2,90+Inputs!$B$26+Inputs!$B$29,IF(Skills!C24=3,120+Inputs!$B$27+Inputs!$B$29,MAX(0,(Inputs!$B$3-100)*3)+Inputs!$B$28+Inputs!$B$29)))</f>
        <v/>
      </c>
      <c r="E1022">
        <f>INDEX(FactorTable!$B$2:$Y$301, MATCH(ROUND(MIN(300,MAX(1,D1022)),0), FactorTable!$A$2:$A$301,0), Skills!M24+1)</f>
        <v/>
      </c>
      <c r="F1022">
        <f>IF(Skills!N24=TRUE,(Skills!L24/10)*(E1022/1000),Skills!L24/10)+Skills!O24</f>
        <v/>
      </c>
      <c r="G1022">
        <f>Calc!G24</f>
        <v/>
      </c>
      <c r="H1022">
        <f>Calc!H24</f>
        <v/>
      </c>
      <c r="I1022">
        <f>IF(Skills!X24&lt;&gt;"",1+(Skills!X24/10)*(Z1001/1000)/100,1)</f>
        <v/>
      </c>
      <c r="J1022">
        <f>((Inputs!$B$6*(1+Inputs!$B$7/100))+(((Inputs!$B$12*(1+Inputs!$B$13/100))-(Inputs!$B$12*(1+Inputs!$B$13/100)))+0.25*(Inputs!$B$14-Inputs!$B$14))*(1+Inputs!$B$7/100))*(F1022/100)</f>
        <v/>
      </c>
      <c r="K1022">
        <f>J1022*(1+((Inputs!$B$12*(1+Inputs!$B$13/100))*0.01+Inputs!$B$14*0.0025)/100)*(1+Inputs!$B$15/100)*(1+IF(Inputs!$B$38="pvp",0,(1-Summary!$B$56)*(Inputs!$B$20+Skills!P24)+Summary!$B$56*(Inputs!$B$21+Skills!Q24))/100)*(1+Inputs!$B$16/100)*(5000/(6000+Inputs!$B$42*(1-Inputs!$B$19/100)))*(1+Inputs!$B$24/100)*(1+F1021/100)*(1+IF(Inputs!$B$3&gt;=120,F1024,0)/100)^5*(1+(IF(Skills!A24="BASIC_ATTACK",Inputs!$B$17,Inputs!$B$18+IF(Inputs!$B$3&gt;=125,F1025*5,0)))/100)*(B1028*B1029*B1030*I1022)</f>
        <v/>
      </c>
      <c r="L1022">
        <f>K1022*(MIN(Inputs!$B$22+(F1020-Calc!F22),Inputs!$B$23)/100+Inputs!$B$23/100)/2</f>
        <v/>
      </c>
      <c r="M1022">
        <f>L1022*(1+(Inputs!$B$10+(F1019-Calc!F21))/100)</f>
        <v/>
      </c>
      <c r="N1022">
        <f>L1022*(1-MIN(Inputs!$B$9+(F1018-Calc!F20),100)/100)+M1022*(MIN(Inputs!$B$9+(F1018-Calc!F20),100)/100)</f>
        <v/>
      </c>
      <c r="O1022">
        <f>IF(C1022,H1022*N1022*IF(AND(Inputs!$B$38&lt;&gt;"pvp",Inputs!$B$43&gt;0),((Skills!G24*((R1022-1)*IF(Skills!H24&gt;0,Skills!I24/Skills!H24,1)+IF(Skills!H24&gt;0,MIN(Skills!I24,MAX(0,Inputs!$B$43-((R1022-1)*IF(Inputs!$B$38="pvp",15,MAX(0.1,Skills!E24-IF(Skills!F24=TRUE,Inputs!$B$32,0))))))/Skills!H24,1)))/Inputs!$B$43),G1022*Q1022)*(1+IF(Inputs!$B$3&gt;=130,0.2*(Skills!I16/Skills!E15+IF(Inputs!$B$3&gt;=126,0.05*(B1034+Q1011+(H1012*B1035)/(1+Skills!H14*H1012*B1035)+Q1022),0)*Skills!I16),0))*IF(Inputs!$B$38="pvp",1,(1-Summary!$B$56)*(1)+Summary!$B$56*(MIN(Skills!R24,Inputs!$B$37))),0)</f>
        <v/>
      </c>
      <c r="P1022">
        <f>IF(B1037=0,0,O1022/B1037)</f>
        <v/>
      </c>
      <c r="Q1022">
        <f>IFERROR(1/IF(Inputs!$B$38="pvp",15,MAX(0.1,Skills!E24-IF(Skills!F24=TRUE,Inputs!$B$32,0))),0)</f>
        <v/>
      </c>
      <c r="R1022">
        <f>IF(AND(Inputs!$B$38&lt;&gt;"pvp",Inputs!$B$43&gt;0),(INT(Inputs!$B$43/IF(Inputs!$B$38="pvp",15,MAX(0.1,Skills!E24-IF(Skills!F24=TRUE,Inputs!$B$32,0))))+1),0)</f>
        <v/>
      </c>
    </row>
    <row r="1023">
      <c r="A1023">
        <f>Skills!A25</f>
        <v/>
      </c>
      <c r="B1023">
        <f>Skills!B25</f>
        <v/>
      </c>
      <c r="C1023">
        <f>Inputs!$B$3&gt;=117</f>
        <v/>
      </c>
      <c r="D1023">
        <f>IF(Skills!C25=1,60+Inputs!$B$25+Inputs!$B$29,IF(Skills!C25=2,90+Inputs!$B$26+Inputs!$B$29,IF(Skills!C25=3,120+Inputs!$B$27+Inputs!$B$29,MAX(0,(Inputs!$B$3-100)*3)+Inputs!$B$28+Inputs!$B$29)))</f>
        <v/>
      </c>
      <c r="E1023">
        <f>INDEX(FactorTable!$B$2:$Y$301, MATCH(ROUND(MIN(300,MAX(1,D1023)),0), FactorTable!$A$2:$A$301,0), Skills!M25+1)</f>
        <v/>
      </c>
      <c r="F1023">
        <f>IF(Skills!N25=TRUE,(Skills!L25/10)*(E1023/1000),Skills!L25/10)+Skills!O25</f>
        <v/>
      </c>
      <c r="G1023">
        <f>Calc!G25</f>
        <v/>
      </c>
      <c r="H1023">
        <f>Calc!H25</f>
        <v/>
      </c>
      <c r="I1023">
        <f>IF(Skills!X25&lt;&gt;"",1+(Skills!X25/10)*(Z1001/1000)/100,1)</f>
        <v/>
      </c>
      <c r="J1023" t="inlineStr"/>
      <c r="K1023" t="inlineStr"/>
      <c r="L1023" t="inlineStr"/>
      <c r="M1023" t="inlineStr"/>
      <c r="N1023" t="inlineStr"/>
      <c r="O1023" t="n">
        <v>0</v>
      </c>
      <c r="P1023">
        <f>IF(B1037=0,0,O1023/B1037)</f>
        <v/>
      </c>
      <c r="Q1023">
        <f>IFERROR(1/IF(Inputs!$B$38="pvp",15,MAX(0.1,Skills!E25-IF(Skills!F25=TRUE,Inputs!$B$32,0))),0)</f>
        <v/>
      </c>
      <c r="R1023" t="n">
        <v>0</v>
      </c>
    </row>
    <row r="1024">
      <c r="A1024">
        <f>Skills!A26</f>
        <v/>
      </c>
      <c r="B1024">
        <f>Skills!B26</f>
        <v/>
      </c>
      <c r="C1024">
        <f>Inputs!$B$3&gt;=120</f>
        <v/>
      </c>
      <c r="D1024">
        <f>IF(Skills!C26=1,60+Inputs!$B$25+Inputs!$B$29,IF(Skills!C26=2,90+Inputs!$B$26+Inputs!$B$29,IF(Skills!C26=3,120+Inputs!$B$27+Inputs!$B$29,MAX(0,(Inputs!$B$3-100)*3)+Inputs!$B$28+Inputs!$B$29)))</f>
        <v/>
      </c>
      <c r="E1024">
        <f>INDEX(FactorTable!$B$2:$Y$301, MATCH(ROUND(MIN(300,MAX(1,D1024)),0), FactorTable!$A$2:$A$301,0), Skills!M26+1)</f>
        <v/>
      </c>
      <c r="F1024">
        <f>IF(Skills!N26=TRUE,(Skills!L26/10)*(E1024/1000),Skills!L26/10)+Skills!O26</f>
        <v/>
      </c>
      <c r="G1024">
        <f>Calc!G26</f>
        <v/>
      </c>
      <c r="H1024">
        <f>Calc!H26</f>
        <v/>
      </c>
      <c r="I1024">
        <f>IF(Skills!X26&lt;&gt;"",1+(Skills!X26/10)*(Z1001/1000)/100,1)</f>
        <v/>
      </c>
      <c r="J1024" t="inlineStr"/>
      <c r="K1024" t="inlineStr"/>
      <c r="L1024" t="inlineStr"/>
      <c r="M1024" t="inlineStr"/>
      <c r="N1024" t="inlineStr"/>
      <c r="O1024" t="n">
        <v>0</v>
      </c>
      <c r="P1024">
        <f>IF(B1037=0,0,O1024/B1037)</f>
        <v/>
      </c>
      <c r="Q1024">
        <f>IFERROR(1/IF(Inputs!$B$38="pvp",15,MAX(0.1,Skills!E26-IF(Skills!F26=TRUE,Inputs!$B$32,0))),0)</f>
        <v/>
      </c>
      <c r="R1024" t="n">
        <v>0</v>
      </c>
    </row>
    <row r="1025">
      <c r="A1025">
        <f>Skills!A27</f>
        <v/>
      </c>
      <c r="B1025">
        <f>Skills!B27</f>
        <v/>
      </c>
      <c r="C1025">
        <f>Inputs!$B$3&gt;=125</f>
        <v/>
      </c>
      <c r="D1025">
        <f>IF(Skills!C27=1,60+Inputs!$B$25+Inputs!$B$29,IF(Skills!C27=2,90+Inputs!$B$26+Inputs!$B$29,IF(Skills!C27=3,120+Inputs!$B$27+Inputs!$B$29,MAX(0,(Inputs!$B$3-100)*3)+Inputs!$B$28+Inputs!$B$29)))</f>
        <v/>
      </c>
      <c r="E1025">
        <f>INDEX(FactorTable!$B$2:$Y$301, MATCH(ROUND(MIN(300,MAX(1,D1025)),0), FactorTable!$A$2:$A$301,0), Skills!M27+1)</f>
        <v/>
      </c>
      <c r="F1025">
        <f>IF(Skills!N27=TRUE,(Skills!L27/10)*(E1025/1000),Skills!L27/10)+Skills!O27</f>
        <v/>
      </c>
      <c r="G1025">
        <f>Calc!G27</f>
        <v/>
      </c>
      <c r="H1025">
        <f>Calc!H27</f>
        <v/>
      </c>
      <c r="I1025">
        <f>IF(Skills!X27&lt;&gt;"",1+(Skills!X27/10)*(Z1001/1000)/100,1)</f>
        <v/>
      </c>
      <c r="J1025" t="inlineStr"/>
      <c r="K1025" t="inlineStr"/>
      <c r="L1025" t="inlineStr"/>
      <c r="M1025" t="inlineStr"/>
      <c r="N1025" t="inlineStr"/>
      <c r="O1025" t="n">
        <v>0</v>
      </c>
      <c r="P1025">
        <f>IF(B1037=0,0,O1025/B1037)</f>
        <v/>
      </c>
      <c r="Q1025">
        <f>IFERROR(1/IF(Inputs!$B$38="pvp",15,MAX(0.1,Skills!E27-IF(Skills!F27=TRUE,Inputs!$B$32,0))),0)</f>
        <v/>
      </c>
      <c r="R1025" t="n">
        <v>0</v>
      </c>
    </row>
    <row r="1026">
      <c r="A1026">
        <f>Skills!A28</f>
        <v/>
      </c>
      <c r="B1026">
        <f>Skills!B28</f>
        <v/>
      </c>
      <c r="C1026">
        <f>Inputs!$B$3&gt;=118</f>
        <v/>
      </c>
      <c r="D1026">
        <f>IF(Skills!C28=1,60+Inputs!$B$25+Inputs!$B$29,IF(Skills!C28=2,90+Inputs!$B$26+Inputs!$B$29,IF(Skills!C28=3,120+Inputs!$B$27+Inputs!$B$29,MAX(0,(Inputs!$B$3-100)*3)+Inputs!$B$28+Inputs!$B$29)))</f>
        <v/>
      </c>
      <c r="E1026">
        <f>INDEX(FactorTable!$B$2:$Y$301, MATCH(ROUND(MIN(300,MAX(1,D1026)),0), FactorTable!$A$2:$A$301,0), Skills!M28+1)</f>
        <v/>
      </c>
      <c r="F1026">
        <f>IF(Skills!N28=TRUE,(Skills!L28/10)*(E1026/1000),Skills!L28/10)+Skills!O28</f>
        <v/>
      </c>
      <c r="G1026">
        <f>Calc!G28</f>
        <v/>
      </c>
      <c r="H1026">
        <f>Calc!H28</f>
        <v/>
      </c>
      <c r="I1026">
        <f>IF(Skills!X28&lt;&gt;"",1+(Skills!X28/10)*(Z1001/1000)/100,1)</f>
        <v/>
      </c>
      <c r="J1026">
        <f>((Inputs!$B$6*(1+Inputs!$B$7/100))+(((Inputs!$B$12*(1+Inputs!$B$13/100))-(Inputs!$B$12*(1+Inputs!$B$13/100)))+0.25*(Inputs!$B$14-Inputs!$B$14))*(1+Inputs!$B$7/100))*(F1026/100)</f>
        <v/>
      </c>
      <c r="K1026">
        <f>J1026*(1+((Inputs!$B$12*(1+Inputs!$B$13/100))*0.01+Inputs!$B$14*0.0025)/100)*(1+Inputs!$B$15/100)*(1+IF(Inputs!$B$38="pvp",0,(1-Summary!$B$56)*(Inputs!$B$20+Skills!P28)+Summary!$B$56*(Inputs!$B$21+Skills!Q28))/100)*(1+Inputs!$B$16/100)*(5000/(6000+Inputs!$B$42*(1-Inputs!$B$19/100)))*(1+Inputs!$B$24/100)*(1+F1021/100)*(1+IF(Inputs!$B$3&gt;=120,F1024,0)/100)^5*(1+(IF(Skills!A28="BASIC_ATTACK",Inputs!$B$17,Inputs!$B$18+IF(Inputs!$B$3&gt;=125,F1025*5,0)))/100)*(B1028*B1029*B1030*I1026)</f>
        <v/>
      </c>
      <c r="L1026">
        <f>K1026*(MIN(Inputs!$B$22+(F1020-Calc!F22),Inputs!$B$23)/100+Inputs!$B$23/100)/2</f>
        <v/>
      </c>
      <c r="M1026">
        <f>L1026*(1+(Inputs!$B$10+(F1019-Calc!F21))/100)</f>
        <v/>
      </c>
      <c r="N1026">
        <f>L1026*(1-MIN(Inputs!$B$9+(F1018-Calc!F20),100)/100)+M1026*(MIN(Inputs!$B$9+(F1018-Calc!F20),100)/100)</f>
        <v/>
      </c>
      <c r="O1026">
        <f>IF(C1026,H1026*N1026*IF(AND(Inputs!$B$38&lt;&gt;"pvp",Inputs!$B$43&gt;0),((Skills!G28*((R1026-1)*IF(Skills!H28&gt;0,Skills!I28/Skills!H28,1)+IF(Skills!H28&gt;0,MIN(Skills!I28,MAX(0,Inputs!$B$43-((R1026-1)*IF(Inputs!$B$38="pvp",15,MAX(0.1,Skills!E28-IF(Skills!F28=TRUE,Inputs!$B$32,0))))))/Skills!H28,1)))/Inputs!$B$43),G1026*Q1026)*IF(Inputs!$B$38="pvp",1,(1-Summary!$B$56)*(1)+Summary!$B$56*(MIN(Skills!R28,Inputs!$B$37))),0)</f>
        <v/>
      </c>
      <c r="P1026">
        <f>IF(B1037=0,0,O1026/B1037)</f>
        <v/>
      </c>
      <c r="Q1026">
        <f>IFERROR(1/IF(Inputs!$B$38="pvp",15,MAX(0.1,Skills!E28-IF(Skills!F28=TRUE,Inputs!$B$32,0))),0)</f>
        <v/>
      </c>
      <c r="R1026">
        <f>IF(AND(Inputs!$B$38&lt;&gt;"pvp",Inputs!$B$43&gt;0),(INT(Inputs!$B$43/IF(Inputs!$B$38="pvp",15,MAX(0.1,Skills!E28-IF(Skills!F28=TRUE,Inputs!$B$32,0))))+1),0)</f>
        <v/>
      </c>
    </row>
    <row r="1028">
      <c r="A1028" t="inlineStr">
        <is>
          <t>Burning Magic Multiplier</t>
        </is>
      </c>
      <c r="B1028">
        <f>1+(F1009*Skills!Z11)/100</f>
        <v/>
      </c>
    </row>
    <row r="1029">
      <c r="A1029" t="inlineStr">
        <is>
          <t>Elemental Decrease Multiplier (always-on)</t>
        </is>
      </c>
      <c r="B1029">
        <f>1+F1010/100</f>
        <v/>
      </c>
    </row>
    <row r="1030">
      <c r="A1030" t="inlineStr">
        <is>
          <t>Average Buff Multiplier (Magic Guard + Meditation, summed; then Infinity)</t>
        </is>
      </c>
      <c r="B1030">
        <f>(1+(F1004*IF(AND(Inputs!$B$38&lt;&gt;"pvp",Inputs!$B$43&gt;0),(((R1004-1)*(Skills!T6*(1+(Inputs!$B$34+IF(Inputs!$B$3&gt;=117,F1023,0))/100))+MIN((Skills!T6*(1+(Inputs!$B$34+IF(Inputs!$B$3&gt;=117,F1023,0))/100)),MAX(0,Inputs!$B$43-((R1004-1)*Skills!E6))))/Inputs!$B$43),IF(Inputs!$B$38="pvp",MIN((Skills!T6*(1+(Inputs!$B$34+IF(Inputs!$B$3&gt;=117,F1023,0))/100)),15)/15,(Skills!T6*(1+(Inputs!$B$34+IF(Inputs!$B$3&gt;=117,F1023,0))/100))/Skills!E6))+F1015*IF(AND(Inputs!$B$38&lt;&gt;"pvp",Inputs!$B$43&gt;0),(((R1015-1)*(Skills!T17*(1+(Inputs!$B$34+IF(Inputs!$B$3&gt;=117,F1023,0))/100))+MIN((Skills!T17*(1+(Inputs!$B$34+IF(Inputs!$B$3&gt;=117,F1023,0))/100)),MAX(0,Inputs!$B$43-((R1015-1)*Skills!E17))))/Inputs!$B$43),IF(Inputs!$B$38="pvp",MIN((Skills!T17*(1+(Inputs!$B$34+IF(Inputs!$B$3&gt;=117,F1023,0))/100)),15)/15,(Skills!T17*(1+(Inputs!$B$34+IF(Inputs!$B$3&gt;=117,F1023,0))/100))/Skills!E17)))/100)*IF(C1017=TRUE,(1+F1017*IF(AND(Inputs!$B$38&lt;&gt;"pvp",Inputs!$B$43&gt;0),(((R1017-1)*(Skills!T19*(1+(Inputs!$B$34+IF(Inputs!$B$3&gt;=117,F1023,0))/100))+MIN((Skills!T19*(1+(Inputs!$B$34+IF(Inputs!$B$3&gt;=117,F1023,0))/100)),MAX(0,Inputs!$B$43-((R1017-1)*Skills!E19))))/Inputs!$B$43),IF(Inputs!$B$38="pvp",MIN((Skills!T19*(1+(Inputs!$B$34+IF(Inputs!$B$3&gt;=117,F1023,0))/100)),15)/15,(Skills!T19*(1+(Inputs!$B$34+IF(Inputs!$B$3&gt;=117,F1023,0))/100))/Skills!E19))/100),1)</f>
        <v/>
      </c>
    </row>
    <row r="1031">
      <c r="A1031" t="inlineStr">
        <is>
          <t>Attack Speed Buff Bonus % (Nimble Feet, averaged)</t>
        </is>
      </c>
      <c r="B1031">
        <f>F1016*IF(AND(Inputs!$B$38&lt;&gt;"pvp",Inputs!$B$43&gt;0),(((R1016-1)*(Skills!T18*(1+(Inputs!$B$34+IF(Inputs!$B$3&gt;=117,F1023,0))/100))+MIN((Skills!T18*(1+(Inputs!$B$34+IF(Inputs!$B$3&gt;=117,F1023,0))/100)),MAX(0,Inputs!$B$43-((R1016-1)*Skills!E18))))/Inputs!$B$43),IF(Inputs!$B$38="pvp",MIN((Skills!T18*(1+(Inputs!$B$34+IF(Inputs!$B$3&gt;=117,F1023,0))/100)),15)/15,(Skills!T18*(1+(Inputs!$B$34+IF(Inputs!$B$3&gt;=117,F1023,0))/100))/Skills!E18))</f>
        <v/>
      </c>
    </row>
    <row r="1032">
      <c r="A1032" t="inlineStr">
        <is>
          <t>Actions Per Second</t>
        </is>
      </c>
      <c r="B1032">
        <f>1+MIN(150,150*(1-(1-Inputs!$B$11/150)*(1-B1031/150)))/100</f>
        <v/>
      </c>
    </row>
    <row r="1033">
      <c r="A1033" t="inlineStr">
        <is>
          <t>Skill + Buff Cast Rate</t>
        </is>
      </c>
      <c r="B1033">
        <f>IF(AND(Inputs!$B$38&lt;&gt;"pvp",Inputs!$B$43&gt;0),SUMPRODUCT((Skills!F2:F28=TRUE)*(C1000:C1026=TRUE)*R1000:R1026)/Inputs!$B$43,SUMPRODUCT((Skills!F2:F28=TRUE)*(C1000:C1026=TRUE)*Q1000:Q1026))</f>
        <v/>
      </c>
    </row>
    <row r="1034">
      <c r="A1034" t="inlineStr">
        <is>
          <t>Basic Attacks Per Second</t>
        </is>
      </c>
      <c r="B1034">
        <f>MAX(0,B1032-B1033)</f>
        <v/>
      </c>
    </row>
    <row r="1035">
      <c r="A1035" t="inlineStr">
        <is>
          <t>Meteor Proc — combined trigger cast rate</t>
        </is>
      </c>
      <c r="B1035">
        <f>IF(AND(Inputs!$B$38&lt;&gt;"pvp",Inputs!$B$43&gt;0),SUMPRODUCT((Skills!V2:V28=TRUE)*(C1000:C1026=TRUE)*R1000:R1026*Skills!W2:W28)/Inputs!$B$43,SUMPRODUCT((Skills!V2:V28=TRUE)*(C1000:C1026=TRUE)*Q1000:Q1026*Skills!W2:W28))+B1034</f>
        <v/>
      </c>
    </row>
    <row r="1037">
      <c r="A1037" s="5" t="inlineStr">
        <is>
          <t>TOTAL DPS</t>
        </is>
      </c>
      <c r="B1037" s="5">
        <f>SUM(O1000:O1026)</f>
        <v/>
      </c>
    </row>
    <row r="1040">
      <c r="A1040" s="5" t="inlineStr">
        <is>
          <t>Stat: Buff Duration Increase %</t>
        </is>
      </c>
    </row>
    <row r="1041">
      <c r="A1041" s="9" t="inlineStr">
        <is>
          <t>Key</t>
        </is>
      </c>
      <c r="B1041" s="9" t="inlineStr">
        <is>
          <t>Name</t>
        </is>
      </c>
      <c r="C1041" s="9" t="inlineStr">
        <is>
          <t>Unlocked</t>
        </is>
      </c>
      <c r="D1041" s="9" t="inlineStr">
        <is>
          <t>InputLevel</t>
        </is>
      </c>
      <c r="E1041" s="9" t="inlineStr">
        <is>
          <t>Factor</t>
        </is>
      </c>
      <c r="F1041" s="9" t="inlineStr">
        <is>
          <t>CoefficientPercent</t>
        </is>
      </c>
      <c r="G1041" s="9" t="inlineStr">
        <is>
          <t>EffectiveHits</t>
        </is>
      </c>
      <c r="H1041" s="9" t="inlineStr">
        <is>
          <t>ProcProbability</t>
        </is>
      </c>
      <c r="I1041" s="9" t="inlineStr">
        <is>
          <t>MapleHeroMultiplier</t>
        </is>
      </c>
      <c r="J1041" s="9" t="inlineStr">
        <is>
          <t>BaseDamage</t>
        </is>
      </c>
      <c r="K1041" s="9" t="inlineStr">
        <is>
          <t>BaseHitDamage</t>
        </is>
      </c>
      <c r="L1041" s="9" t="inlineStr">
        <is>
          <t>NonCritAvg</t>
        </is>
      </c>
      <c r="M1041" s="9" t="inlineStr">
        <is>
          <t>CritAvg</t>
        </is>
      </c>
      <c r="N1041" s="9" t="inlineStr">
        <is>
          <t>ExpectedDamage(perHit)</t>
        </is>
      </c>
      <c r="O1041" s="9" t="inlineStr">
        <is>
          <t>DPS</t>
        </is>
      </c>
      <c r="P1041" s="9" t="inlineStr">
        <is>
          <t>% of Total</t>
        </is>
      </c>
      <c r="R1041" t="inlineStr">
        <is>
          <t>helpers</t>
        </is>
      </c>
    </row>
    <row r="1042">
      <c r="A1042">
        <f>Skills!A2</f>
        <v/>
      </c>
      <c r="B1042">
        <f>Skills!B2</f>
        <v/>
      </c>
      <c r="C1042">
        <f>TRUE</f>
        <v/>
      </c>
      <c r="D1042" t="inlineStr"/>
      <c r="E1042" t="inlineStr"/>
      <c r="F1042">
        <f>T1044+Skills!O2</f>
        <v/>
      </c>
      <c r="G1042">
        <f>Calc!G2</f>
        <v/>
      </c>
      <c r="H1042">
        <f>Calc!H2</f>
        <v/>
      </c>
      <c r="I1042">
        <f>IF(Skills!X2&lt;&gt;"",1+(Skills!X2/10)*(Z1043/1000)/100,1)</f>
        <v/>
      </c>
      <c r="J1042">
        <f>((Inputs!$B$6*(1+Inputs!$B$7/100))+(((Inputs!$B$12*(1+Inputs!$B$13/100))-(Inputs!$B$12*(1+Inputs!$B$13/100)))+0.25*(Inputs!$B$14-Inputs!$B$14))*(1+Inputs!$B$7/100))*(F1042/100)</f>
        <v/>
      </c>
      <c r="K1042">
        <f>J1042*(1+((Inputs!$B$12*(1+Inputs!$B$13/100))*0.01+Inputs!$B$14*0.0025)/100)*(1+Inputs!$B$15/100)*(1+IF(Inputs!$B$38="pvp",0,(1-Summary!$B$56)*(Inputs!$B$20+Skills!P2)+Summary!$B$56*(Inputs!$B$21+Skills!Q2))/100)*(1+Inputs!$B$16/100)*(5000/(6000+Inputs!$B$42*(1-Inputs!$B$19/100)))*(1+Inputs!$B$24/100)*(1+F1063/100)*(1+IF(Inputs!$B$3&gt;=120,F1066,0)/100)^5*(1+(IF(Skills!A2="BASIC_ATTACK",Inputs!$B$17,Inputs!$B$18+IF(Inputs!$B$3&gt;=125,F1067*5,0)))/100)*(B1070*B1071*B1072*I1042)</f>
        <v/>
      </c>
      <c r="L1042">
        <f>K1042*(MIN(Inputs!$B$22+(F1062-Calc!F22),Inputs!$B$23)/100+Inputs!$B$23/100)/2</f>
        <v/>
      </c>
      <c r="M1042">
        <f>L1042*(1+(Inputs!$B$10+(F1061-Calc!F21))/100)</f>
        <v/>
      </c>
      <c r="N1042">
        <f>L1042*(1-MIN(Inputs!$B$9+(F1060-Calc!F20),100)/100)+M1042*(MIN(Inputs!$B$9+(F1060-Calc!F20),100)/100)</f>
        <v/>
      </c>
      <c r="O1042">
        <f>Skills!G2*N1042*B1076*IF(Inputs!$B$38="pvp",1,(1-Summary!$B$56)*(1)+Summary!$B$56*(MIN((6+Inputs!$B$33+IF(Inputs!$B$3&gt;=136,1,0)),Inputs!$B$37)))</f>
        <v/>
      </c>
      <c r="P1042">
        <f>IF(B1079=0,0,O1042/B1079)</f>
        <v/>
      </c>
      <c r="Q1042">
        <f>IFERROR(1/IF(Inputs!$B$38="pvp",15,MAX(0.1,Skills!E2-IF(Skills!F2=TRUE,Inputs!$B$32,0))),0)</f>
        <v/>
      </c>
      <c r="R1042" t="n">
        <v>0</v>
      </c>
      <c r="T1042">
        <f>MAX(0,(Inputs!$B$3-100)*3)+Inputs!$B$28+Inputs!$B$29</f>
        <v/>
      </c>
      <c r="Z1042">
        <f>MAX(0,(Inputs!$B$3-100)*3)+Inputs!$B$28+Inputs!$B$29</f>
        <v/>
      </c>
    </row>
    <row r="1043">
      <c r="A1043">
        <f>Skills!A3</f>
        <v/>
      </c>
      <c r="B1043">
        <f>Skills!B3</f>
        <v/>
      </c>
      <c r="C1043">
        <f>TRUE</f>
        <v/>
      </c>
      <c r="D1043">
        <f>IF(Skills!C3=1,60+Inputs!$B$25+Inputs!$B$29,IF(Skills!C3=2,90+Inputs!$B$26+Inputs!$B$29,IF(Skills!C3=3,120+Inputs!$B$27+Inputs!$B$29,MAX(0,(Inputs!$B$3-100)*3)+Inputs!$B$28+Inputs!$B$29)))</f>
        <v/>
      </c>
      <c r="E1043">
        <f>INDEX(FactorTable!$B$2:$Y$301, MATCH(ROUND(MIN(300,MAX(1,D1043)),0), FactorTable!$A$2:$A$301,0), Skills!M3+1)</f>
        <v/>
      </c>
      <c r="F1043">
        <f>IF(Skills!N3=TRUE,(Skills!L3/10)*(E1043/1000),Skills!L3/10)+Skills!O3</f>
        <v/>
      </c>
      <c r="G1043">
        <f>Calc!G3</f>
        <v/>
      </c>
      <c r="H1043">
        <f>Calc!H3</f>
        <v/>
      </c>
      <c r="I1043">
        <f>IF(Skills!X3&lt;&gt;"",1+(Skills!X3/10)*(Z1043/1000)/100,1)</f>
        <v/>
      </c>
      <c r="J1043">
        <f>((Inputs!$B$6*(1+Inputs!$B$7/100))+(((Inputs!$B$12*(1+Inputs!$B$13/100))-(Inputs!$B$12*(1+Inputs!$B$13/100)))+0.25*(Inputs!$B$14-Inputs!$B$14))*(1+Inputs!$B$7/100))*(F1043/100)</f>
        <v/>
      </c>
      <c r="K1043">
        <f>J1043*(1+((Inputs!$B$12*(1+Inputs!$B$13/100))*0.01+Inputs!$B$14*0.0025)/100)*(1+Inputs!$B$15/100)*(1+IF(Inputs!$B$38="pvp",0,(1-Summary!$B$56)*(Inputs!$B$20+Skills!P3)+Summary!$B$56*(Inputs!$B$21+Skills!Q3))/100)*(1+Inputs!$B$16/100)*(5000/(6000+Inputs!$B$42*(1-Inputs!$B$19/100)))*(1+Inputs!$B$24/100)*(1+F1063/100)*(1+IF(Inputs!$B$3&gt;=120,F1066,0)/100)^5*(1+(IF(Skills!A3="BASIC_ATTACK",Inputs!$B$17,Inputs!$B$18+IF(Inputs!$B$3&gt;=125,F1067*5,0)))/100)*(B1070*B1071*B1072*I1043)</f>
        <v/>
      </c>
      <c r="L1043">
        <f>K1043*(MIN(Inputs!$B$22+(F1062-Calc!F22),Inputs!$B$23)/100+Inputs!$B$23/100)/2</f>
        <v/>
      </c>
      <c r="M1043">
        <f>L1043*(1+(Inputs!$B$10+(F1061-Calc!F21))/100)</f>
        <v/>
      </c>
      <c r="N1043">
        <f>L1043*(1-MIN(Inputs!$B$9+(F1060-Calc!F20),100)/100)+M1043*(MIN(Inputs!$B$9+(F1060-Calc!F20),100)/100)</f>
        <v/>
      </c>
      <c r="O1043">
        <f>IF(C1043,H1043*N1043*IF(AND(Inputs!$B$38&lt;&gt;"pvp",Inputs!$B$43&gt;0),((Skills!G3*((R1043-1)*IF(Skills!H3&gt;0,Skills!I3/Skills!H3,1)+IF(Skills!H3&gt;0,MIN(Skills!I3,MAX(0,Inputs!$B$43-((R1043-1)*IF(Inputs!$B$38="pvp",15,MAX(0.1,Skills!E3-IF(Skills!F3=TRUE,Inputs!$B$32,0))))))/Skills!H3,1)))/Inputs!$B$43),G1043*Q1043)*IF(Inputs!$B$38="pvp",1,(1-Summary!$B$56)*(1)+Summary!$B$56*(MIN(Skills!R3,Inputs!$B$37))),0)</f>
        <v/>
      </c>
      <c r="P1043">
        <f>IF(B1079=0,0,O1043/B1079)</f>
        <v/>
      </c>
      <c r="Q1043">
        <f>IFERROR(1/IF(Inputs!$B$38="pvp",15,MAX(0.1,Skills!E3-IF(Skills!F3=TRUE,Inputs!$B$32,0))),0)</f>
        <v/>
      </c>
      <c r="R1043">
        <f>IF(AND(Inputs!$B$38&lt;&gt;"pvp",Inputs!$B$43&gt;0),(INT(Inputs!$B$43/IF(Inputs!$B$38="pvp",15,MAX(0.1,Skills!E3-IF(Skills!F3=TRUE,Inputs!$B$32,0))))+1),0)</f>
        <v/>
      </c>
      <c r="T1043">
        <f>INDEX(FactorTable!$B$2:$Y$301, MATCH(ROUND(MIN(300,MAX(1,T1042)),0), FactorTable!$A$2:$A$301,0), 22)</f>
        <v/>
      </c>
      <c r="Z1043">
        <f>INDEX(FactorTable!$B$2:$Y$301, MATCH(ROUND(MIN(300,MAX(1,Z1042)),0), FactorTable!$A$2:$A$301,0), 24)</f>
        <v/>
      </c>
    </row>
    <row r="1044">
      <c r="A1044">
        <f>Skills!A4</f>
        <v/>
      </c>
      <c r="B1044">
        <f>Skills!B4</f>
        <v/>
      </c>
      <c r="C1044">
        <f>TRUE</f>
        <v/>
      </c>
      <c r="D1044">
        <f>IF(Skills!C4=1,60+Inputs!$B$25+Inputs!$B$29,IF(Skills!C4=2,90+Inputs!$B$26+Inputs!$B$29,IF(Skills!C4=3,120+Inputs!$B$27+Inputs!$B$29,MAX(0,(Inputs!$B$3-100)*3)+Inputs!$B$28+Inputs!$B$29)))</f>
        <v/>
      </c>
      <c r="E1044">
        <f>INDEX(FactorTable!$B$2:$Y$301, MATCH(ROUND(MIN(300,MAX(1,D1044)),0), FactorTable!$A$2:$A$301,0), Skills!M4+1)</f>
        <v/>
      </c>
      <c r="F1044">
        <f>IF(Skills!N4=TRUE,(Skills!L4/10)*(E1044/1000),Skills!L4/10)+Skills!O4</f>
        <v/>
      </c>
      <c r="G1044">
        <f>Calc!G4</f>
        <v/>
      </c>
      <c r="H1044">
        <f>Calc!H4</f>
        <v/>
      </c>
      <c r="I1044">
        <f>IF(Skills!X4&lt;&gt;"",1+(Skills!X4/10)*(Z1043/1000)/100,1)</f>
        <v/>
      </c>
      <c r="J1044">
        <f>((Inputs!$B$6*(1+Inputs!$B$7/100))+(((Inputs!$B$12*(1+Inputs!$B$13/100))-(Inputs!$B$12*(1+Inputs!$B$13/100)))+0.25*(Inputs!$B$14-Inputs!$B$14))*(1+Inputs!$B$7/100))*(F1044/100)</f>
        <v/>
      </c>
      <c r="K1044">
        <f>J1044*(1+((Inputs!$B$12*(1+Inputs!$B$13/100))*0.01+Inputs!$B$14*0.0025)/100)*(1+Inputs!$B$15/100)*(1+IF(Inputs!$B$38="pvp",0,(1-Summary!$B$56)*(Inputs!$B$20+Skills!P4)+Summary!$B$56*(Inputs!$B$21+Skills!Q4))/100)*(1+Inputs!$B$16/100)*(5000/(6000+Inputs!$B$42*(1-Inputs!$B$19/100)))*(1+Inputs!$B$24/100)*(1+F1063/100)*(1+IF(Inputs!$B$3&gt;=120,F1066,0)/100)^5*(1+(IF(Skills!A4="BASIC_ATTACK",Inputs!$B$17,Inputs!$B$18+IF(Inputs!$B$3&gt;=125,F1067*5,0)))/100)*(B1070*B1071*B1072*I1044)</f>
        <v/>
      </c>
      <c r="L1044">
        <f>K1044*(MIN(Inputs!$B$22+(F1062-Calc!F22),Inputs!$B$23)/100+Inputs!$B$23/100)/2</f>
        <v/>
      </c>
      <c r="M1044">
        <f>L1044*(1+(Inputs!$B$10+(F1061-Calc!F21))/100)</f>
        <v/>
      </c>
      <c r="N1044">
        <f>L1044*(1-MIN(Inputs!$B$9+(F1060-Calc!F20),100)/100)+M1044*(MIN(Inputs!$B$9+(F1060-Calc!F20),100)/100)</f>
        <v/>
      </c>
      <c r="O1044">
        <f>IF(C1044,H1044*N1044*IF(AND(Inputs!$B$38&lt;&gt;"pvp",Inputs!$B$43&gt;0),((Skills!G4*((R1044-1)*IF(Skills!H4&gt;0,Skills!I4/Skills!H4,1)+IF(Skills!H4&gt;0,MIN(Skills!I4,MAX(0,Inputs!$B$43-((R1044-1)*IF(Inputs!$B$38="pvp",15,MAX(0.1,Skills!E4-IF(Skills!F4=TRUE,Inputs!$B$32,0))))))/Skills!H4,1)))/Inputs!$B$43),G1044*Q1044)*IF(Inputs!$B$38="pvp",1,(1-Summary!$B$56)*(1)+Summary!$B$56*(MIN(Skills!R4,Inputs!$B$37))),0)</f>
        <v/>
      </c>
      <c r="P1044">
        <f>IF(B1079=0,0,O1044/B1079)</f>
        <v/>
      </c>
      <c r="Q1044">
        <f>IFERROR(1/IF(Inputs!$B$38="pvp",15,MAX(0.1,Skills!E4-IF(Skills!F4=TRUE,Inputs!$B$32,0))),0)</f>
        <v/>
      </c>
      <c r="R1044">
        <f>IF(AND(Inputs!$B$38&lt;&gt;"pvp",Inputs!$B$43&gt;0),(INT(Inputs!$B$43/IF(Inputs!$B$38="pvp",15,MAX(0.1,Skills!E4-IF(Skills!F4=TRUE,Inputs!$B$32,0))))+1),0)</f>
        <v/>
      </c>
      <c r="T1044">
        <f>290*T1043/1000</f>
        <v/>
      </c>
    </row>
    <row r="1045">
      <c r="A1045">
        <f>Skills!A5</f>
        <v/>
      </c>
      <c r="B1045">
        <f>Skills!B5</f>
        <v/>
      </c>
      <c r="C1045">
        <f>TRUE</f>
        <v/>
      </c>
      <c r="D1045">
        <f>IF(Skills!C5=1,60+Inputs!$B$25+Inputs!$B$29,IF(Skills!C5=2,90+Inputs!$B$26+Inputs!$B$29,IF(Skills!C5=3,120+Inputs!$B$27+Inputs!$B$29,MAX(0,(Inputs!$B$3-100)*3)+Inputs!$B$28+Inputs!$B$29)))</f>
        <v/>
      </c>
      <c r="E1045">
        <f>INDEX(FactorTable!$B$2:$Y$301, MATCH(ROUND(MIN(300,MAX(1,D1045)),0), FactorTable!$A$2:$A$301,0), Skills!M5+1)</f>
        <v/>
      </c>
      <c r="F1045">
        <f>IF(Skills!N5=TRUE,(Skills!L5/10)*(E1045/1000),Skills!L5/10)+Skills!O5</f>
        <v/>
      </c>
      <c r="G1045">
        <f>Calc!G5</f>
        <v/>
      </c>
      <c r="H1045">
        <f>Calc!H5</f>
        <v/>
      </c>
      <c r="I1045">
        <f>IF(Skills!X5&lt;&gt;"",1+(Skills!X5/10)*(Z1043/1000)/100,1)</f>
        <v/>
      </c>
      <c r="J1045">
        <f>((Inputs!$B$6*(1+Inputs!$B$7/100))+(((Inputs!$B$12*(1+Inputs!$B$13/100))-(Inputs!$B$12*(1+Inputs!$B$13/100)))+0.25*(Inputs!$B$14-Inputs!$B$14))*(1+Inputs!$B$7/100))*(F1045/100)</f>
        <v/>
      </c>
      <c r="K1045">
        <f>J1045*(1+((Inputs!$B$12*(1+Inputs!$B$13/100))*0.01+Inputs!$B$14*0.0025)/100)*(1+Inputs!$B$15/100)*(1+IF(Inputs!$B$38="pvp",0,(1-Summary!$B$56)*(Inputs!$B$20+Skills!P5)+Summary!$B$56*(Inputs!$B$21+Skills!Q5))/100)*(1+Inputs!$B$16/100)*(5000/(6000+Inputs!$B$42*(1-Inputs!$B$19/100)))*(1+Inputs!$B$24/100)*(1+F1063/100)*(1+IF(Inputs!$B$3&gt;=120,F1066,0)/100)^5*(1+(IF(Skills!A5="BASIC_ATTACK",Inputs!$B$17,Inputs!$B$18+IF(Inputs!$B$3&gt;=125,F1067*5,0)))/100)*(B1070*B1071*B1072*I1045)</f>
        <v/>
      </c>
      <c r="L1045">
        <f>K1045*(MIN(Inputs!$B$22+(F1062-Calc!F22),Inputs!$B$23)/100+Inputs!$B$23/100)/2</f>
        <v/>
      </c>
      <c r="M1045">
        <f>L1045*(1+(Inputs!$B$10+(F1061-Calc!F21))/100)</f>
        <v/>
      </c>
      <c r="N1045">
        <f>L1045*(1-MIN(Inputs!$B$9+(F1060-Calc!F20),100)/100)+M1045*(MIN(Inputs!$B$9+(F1060-Calc!F20),100)/100)</f>
        <v/>
      </c>
      <c r="O1045">
        <f>IF(C1045,H1045*N1045*IF(AND(Inputs!$B$38&lt;&gt;"pvp",Inputs!$B$43&gt;0),((Skills!G5*((R1045-1)*IF(Skills!H5&gt;0,Skills!I5/Skills!H5,1)+IF(Skills!H5&gt;0,MIN(Skills!I5,MAX(0,Inputs!$B$43-((R1045-1)*IF(Inputs!$B$38="pvp",15,MAX(0.1,Skills!E5-IF(Skills!F5=TRUE,Inputs!$B$32,0))))))/Skills!H5,1)))/Inputs!$B$43),G1045*Q1045)*IF(Inputs!$B$38="pvp",1,(1-Summary!$B$56)*(1)+Summary!$B$56*(MIN(Skills!R5,Inputs!$B$37))),0)</f>
        <v/>
      </c>
      <c r="P1045">
        <f>IF(B1079=0,0,O1045/B1079)</f>
        <v/>
      </c>
      <c r="Q1045">
        <f>IFERROR(1/IF(Inputs!$B$38="pvp",15,MAX(0.1,Skills!E5-IF(Skills!F5=TRUE,Inputs!$B$32,0))),0)</f>
        <v/>
      </c>
      <c r="R1045">
        <f>IF(AND(Inputs!$B$38&lt;&gt;"pvp",Inputs!$B$43&gt;0),(INT(Inputs!$B$43/IF(Inputs!$B$38="pvp",15,MAX(0.1,Skills!E5-IF(Skills!F5=TRUE,Inputs!$B$32,0))))+1),0)</f>
        <v/>
      </c>
    </row>
    <row r="1046">
      <c r="A1046">
        <f>Skills!A6</f>
        <v/>
      </c>
      <c r="B1046">
        <f>Skills!B6</f>
        <v/>
      </c>
      <c r="C1046">
        <f>TRUE</f>
        <v/>
      </c>
      <c r="D1046">
        <f>IF(Skills!C6=1,60+Inputs!$B$25+Inputs!$B$29,IF(Skills!C6=2,90+Inputs!$B$26+Inputs!$B$29,IF(Skills!C6=3,120+Inputs!$B$27+Inputs!$B$29,MAX(0,(Inputs!$B$3-100)*3)+Inputs!$B$28+Inputs!$B$29)))</f>
        <v/>
      </c>
      <c r="E1046">
        <f>INDEX(FactorTable!$B$2:$Y$301, MATCH(ROUND(MIN(300,MAX(1,D1046)),0), FactorTable!$A$2:$A$301,0), Skills!M6+1)</f>
        <v/>
      </c>
      <c r="F1046">
        <f>IF(Skills!N6=TRUE,(Skills!L6/10)*(E1046/1000),Skills!L6/10)+Skills!O6</f>
        <v/>
      </c>
      <c r="G1046">
        <f>Calc!G6</f>
        <v/>
      </c>
      <c r="H1046">
        <f>Calc!H6</f>
        <v/>
      </c>
      <c r="I1046">
        <f>IF(Skills!X6&lt;&gt;"",1+(Skills!X6/10)*(Z1043/1000)/100,1)</f>
        <v/>
      </c>
      <c r="J1046" t="inlineStr"/>
      <c r="K1046" t="inlineStr"/>
      <c r="L1046" t="inlineStr"/>
      <c r="M1046" t="inlineStr"/>
      <c r="N1046" t="inlineStr"/>
      <c r="O1046" t="n">
        <v>0</v>
      </c>
      <c r="P1046">
        <f>IF(B1079=0,0,O1046/B1079)</f>
        <v/>
      </c>
      <c r="Q1046">
        <f>IFERROR(1/IF(Inputs!$B$38="pvp",15,MAX(0.1,Skills!E6-IF(Skills!F6=TRUE,Inputs!$B$32,0))),0)</f>
        <v/>
      </c>
      <c r="R1046">
        <f>IF(AND(Inputs!$B$38&lt;&gt;"pvp",Inputs!$B$43&gt;0),(INT(Inputs!$B$43/IF(Inputs!$B$38="pvp",15,MAX(0.1,Skills!E6-IF(Skills!F6=TRUE,Inputs!$B$32,0))))+1),0)</f>
        <v/>
      </c>
    </row>
    <row r="1047">
      <c r="A1047">
        <f>Skills!A7</f>
        <v/>
      </c>
      <c r="B1047">
        <f>Skills!B7</f>
        <v/>
      </c>
      <c r="C1047">
        <f>TRUE</f>
        <v/>
      </c>
      <c r="D1047">
        <f>IF(Skills!C7=1,60+Inputs!$B$25+Inputs!$B$29,IF(Skills!C7=2,90+Inputs!$B$26+Inputs!$B$29,IF(Skills!C7=3,120+Inputs!$B$27+Inputs!$B$29,MAX(0,(Inputs!$B$3-100)*3)+Inputs!$B$28+Inputs!$B$29)))</f>
        <v/>
      </c>
      <c r="E1047">
        <f>INDEX(FactorTable!$B$2:$Y$301, MATCH(ROUND(MIN(300,MAX(1,D1047)),0), FactorTable!$A$2:$A$301,0), Skills!M7+1)</f>
        <v/>
      </c>
      <c r="F1047">
        <f>IF(Skills!N7=TRUE,(Skills!L7/10)*(E1047/1000),Skills!L7/10)+Skills!O7</f>
        <v/>
      </c>
      <c r="G1047">
        <f>Calc!G7</f>
        <v/>
      </c>
      <c r="H1047">
        <f>Calc!H7</f>
        <v/>
      </c>
      <c r="I1047">
        <f>IF(Skills!X7&lt;&gt;"",1+(Skills!X7/10)*(Z1043/1000)/100,1)</f>
        <v/>
      </c>
      <c r="J1047">
        <f>((Inputs!$B$6*(1+Inputs!$B$7/100))+(((Inputs!$B$12*(1+Inputs!$B$13/100))-(Inputs!$B$12*(1+Inputs!$B$13/100)))+0.25*(Inputs!$B$14-Inputs!$B$14))*(1+Inputs!$B$7/100))*(F1047/100)</f>
        <v/>
      </c>
      <c r="K1047">
        <f>J1047*(1+((Inputs!$B$12*(1+Inputs!$B$13/100))*0.01+Inputs!$B$14*0.0025)/100)*(1+Inputs!$B$15/100)*(1+IF(Inputs!$B$38="pvp",0,(1-Summary!$B$56)*(Inputs!$B$20+Skills!P7)+Summary!$B$56*(Inputs!$B$21+Skills!Q7))/100)*(1+Inputs!$B$16/100)*(5000/(6000+Inputs!$B$42*(1-Inputs!$B$19/100)))*(1+Inputs!$B$24/100)*(1+F1063/100)*(1+IF(Inputs!$B$3&gt;=120,F1066,0)/100)^5*(1+(IF(Skills!A7="BASIC_ATTACK",Inputs!$B$17,Inputs!$B$18+IF(Inputs!$B$3&gt;=125,F1067*5,0)))/100)*(B1070*B1071*B1072*I1047)</f>
        <v/>
      </c>
      <c r="L1047">
        <f>K1047*(MIN(Inputs!$B$22+(F1062-Calc!F22),Inputs!$B$23)/100+Inputs!$B$23/100)/2</f>
        <v/>
      </c>
      <c r="M1047">
        <f>L1047*(1+(Inputs!$B$10+(F1061-Calc!F21))/100)</f>
        <v/>
      </c>
      <c r="N1047">
        <f>L1047*(1-MIN(Inputs!$B$9+(F1060-Calc!F20),100)/100)+M1047*(MIN(Inputs!$B$9+(F1060-Calc!F20),100)/100)</f>
        <v/>
      </c>
      <c r="O1047">
        <f>IF(C1047,H1047*N1047*IF(AND(Inputs!$B$38&lt;&gt;"pvp",Inputs!$B$43&gt;0),((Skills!G7*((R1047-1)*IF(Skills!H7&gt;0,Skills!I7/Skills!H7,1)+IF(Skills!H7&gt;0,MIN(Skills!I7,MAX(0,Inputs!$B$43-((R1047-1)*IF(Inputs!$B$38="pvp",15,MAX(0.1,Skills!E7-IF(Skills!F7=TRUE,Inputs!$B$32,0))))))/Skills!H7,1)))/Inputs!$B$43),G1047*Q1047)*IF(Inputs!$B$38="pvp",1,(1-Summary!$B$56)*(1)+Summary!$B$56*(MIN(Skills!R7,Inputs!$B$37))),0)</f>
        <v/>
      </c>
      <c r="P1047">
        <f>IF(B1079=0,0,O1047/B1079)</f>
        <v/>
      </c>
      <c r="Q1047">
        <f>IFERROR(1/IF(Inputs!$B$38="pvp",15,MAX(0.1,Skills!E7-IF(Skills!F7=TRUE,Inputs!$B$32,0))),0)</f>
        <v/>
      </c>
      <c r="R1047">
        <f>IF(AND(Inputs!$B$38&lt;&gt;"pvp",Inputs!$B$43&gt;0),(INT(Inputs!$B$43/IF(Inputs!$B$38="pvp",15,MAX(0.1,Skills!E7-IF(Skills!F7=TRUE,Inputs!$B$32,0))))+1),0)</f>
        <v/>
      </c>
    </row>
    <row r="1048">
      <c r="A1048">
        <f>Skills!A8</f>
        <v/>
      </c>
      <c r="B1048">
        <f>Skills!B8</f>
        <v/>
      </c>
      <c r="C1048">
        <f>TRUE</f>
        <v/>
      </c>
      <c r="D1048">
        <f>IF(Skills!C8=1,60+Inputs!$B$25+Inputs!$B$29,IF(Skills!C8=2,90+Inputs!$B$26+Inputs!$B$29,IF(Skills!C8=3,120+Inputs!$B$27+Inputs!$B$29,MAX(0,(Inputs!$B$3-100)*3)+Inputs!$B$28+Inputs!$B$29)))</f>
        <v/>
      </c>
      <c r="E1048">
        <f>INDEX(FactorTable!$B$2:$Y$301, MATCH(ROUND(MIN(300,MAX(1,D1048)),0), FactorTable!$A$2:$A$301,0), Skills!M8+1)</f>
        <v/>
      </c>
      <c r="F1048">
        <f>IF(Skills!N8=TRUE,(Skills!L8/10)*(E1048/1000),Skills!L8/10)+Skills!O8</f>
        <v/>
      </c>
      <c r="G1048">
        <f>Calc!G8</f>
        <v/>
      </c>
      <c r="H1048">
        <f>Calc!H8</f>
        <v/>
      </c>
      <c r="I1048">
        <f>IF(Skills!X8&lt;&gt;"",1+(Skills!X8/10)*(Z1043/1000)/100,1)</f>
        <v/>
      </c>
      <c r="J1048">
        <f>((Inputs!$B$6*(1+Inputs!$B$7/100))+(((Inputs!$B$12*(1+Inputs!$B$13/100))-(Inputs!$B$12*(1+Inputs!$B$13/100)))+0.25*(Inputs!$B$14-Inputs!$B$14))*(1+Inputs!$B$7/100))*(F1048/100)</f>
        <v/>
      </c>
      <c r="K1048">
        <f>J1048*(1+((Inputs!$B$12*(1+Inputs!$B$13/100))*0.01+Inputs!$B$14*0.0025)/100)*(1+Inputs!$B$15/100)*(1+IF(Inputs!$B$38="pvp",0,(1-Summary!$B$56)*(Inputs!$B$20+Skills!P8)+Summary!$B$56*(Inputs!$B$21+Skills!Q8))/100)*(1+Inputs!$B$16/100)*(5000/(6000+Inputs!$B$42*(1-Inputs!$B$19/100)))*(1+Inputs!$B$24/100)*(1+F1063/100)*(1+IF(Inputs!$B$3&gt;=120,F1066,0)/100)^5*(1+(IF(Skills!A8="BASIC_ATTACK",Inputs!$B$17,Inputs!$B$18+IF(Inputs!$B$3&gt;=125,F1067*5,0)))/100)*(B1070*B1071*B1072*I1048)</f>
        <v/>
      </c>
      <c r="L1048">
        <f>K1048*(MIN(Inputs!$B$22+(F1062-Calc!F22),Inputs!$B$23)/100+Inputs!$B$23/100)/2</f>
        <v/>
      </c>
      <c r="M1048">
        <f>L1048*(1+(Inputs!$B$10+(F1061-Calc!F21))/100)</f>
        <v/>
      </c>
      <c r="N1048">
        <f>L1048*(1-MIN(Inputs!$B$9+(F1060-Calc!F20),100)/100)+M1048*(MIN(Inputs!$B$9+(F1060-Calc!F20),100)/100)</f>
        <v/>
      </c>
      <c r="O1048">
        <f>IF(C1048,H1048*N1048*IF(AND(Inputs!$B$38&lt;&gt;"pvp",Inputs!$B$43&gt;0),((Skills!G8*((R1048-1)*IF(Skills!H8&gt;0,Skills!I8/Skills!H8,1)+IF(Skills!H8&gt;0,MIN(Skills!I8,MAX(0,Inputs!$B$43-((R1048-1)*IF(Inputs!$B$38="pvp",15,MAX(0.1,Skills!E8-IF(Skills!F8=TRUE,Inputs!$B$32,0))))))/Skills!H8,1)))/Inputs!$B$43),G1048*Q1048)*IF(Inputs!$B$38="pvp",1,(1-Summary!$B$56)*(1)+Summary!$B$56*(MIN(Skills!R8,Inputs!$B$37))),0)</f>
        <v/>
      </c>
      <c r="P1048">
        <f>IF(B1079=0,0,O1048/B1079)</f>
        <v/>
      </c>
      <c r="Q1048">
        <f>IFERROR(1/IF(Inputs!$B$38="pvp",15,MAX(0.1,Skills!E8-IF(Skills!F8=TRUE,Inputs!$B$32,0))),0)</f>
        <v/>
      </c>
      <c r="R1048">
        <f>IF(AND(Inputs!$B$38&lt;&gt;"pvp",Inputs!$B$43&gt;0),(INT(Inputs!$B$43/IF(Inputs!$B$38="pvp",15,MAX(0.1,Skills!E8-IF(Skills!F8=TRUE,Inputs!$B$32,0))))+1),0)</f>
        <v/>
      </c>
    </row>
    <row r="1049">
      <c r="A1049">
        <f>Skills!A9</f>
        <v/>
      </c>
      <c r="B1049">
        <f>Skills!B9</f>
        <v/>
      </c>
      <c r="C1049">
        <f>Inputs!$B$3&gt;=103</f>
        <v/>
      </c>
      <c r="D1049">
        <f>IF(Skills!C9=1,60+Inputs!$B$25+Inputs!$B$29,IF(Skills!C9=2,90+Inputs!$B$26+Inputs!$B$29,IF(Skills!C9=3,120+Inputs!$B$27+Inputs!$B$29,MAX(0,(Inputs!$B$3-100)*3)+Inputs!$B$28+Inputs!$B$29)))</f>
        <v/>
      </c>
      <c r="E1049">
        <f>INDEX(FactorTable!$B$2:$Y$301, MATCH(ROUND(MIN(300,MAX(1,D1049)),0), FactorTable!$A$2:$A$301,0), Skills!M9+1)</f>
        <v/>
      </c>
      <c r="F1049">
        <f>IF(Skills!N9=TRUE,(Skills!L9/10)*(E1049/1000),Skills!L9/10)+Skills!O9</f>
        <v/>
      </c>
      <c r="G1049">
        <f>Calc!G9</f>
        <v/>
      </c>
      <c r="H1049">
        <f>Calc!H9</f>
        <v/>
      </c>
      <c r="I1049">
        <f>IF(Skills!X9&lt;&gt;"",1+(Skills!X9/10)*(Z1043/1000)/100,1)</f>
        <v/>
      </c>
      <c r="J1049">
        <f>((Inputs!$B$6*(1+Inputs!$B$7/100))+(((Inputs!$B$12*(1+Inputs!$B$13/100))-(Inputs!$B$12*(1+Inputs!$B$13/100)))+0.25*(Inputs!$B$14-Inputs!$B$14))*(1+Inputs!$B$7/100))*(F1049/100)</f>
        <v/>
      </c>
      <c r="K1049">
        <f>J1049*(1+((Inputs!$B$12*(1+Inputs!$B$13/100))*0.01+Inputs!$B$14*0.0025)/100)*(1+Inputs!$B$15/100)*(1+IF(Inputs!$B$38="pvp",0,(1-Summary!$B$56)*(Inputs!$B$20+Skills!P9)+Summary!$B$56*(Inputs!$B$21+Skills!Q9))/100)*(1+Inputs!$B$16/100)*(5000/(6000+Inputs!$B$42*(1-Inputs!$B$19/100)))*(1+Inputs!$B$24/100)*(1+F1063/100)*(1+IF(Inputs!$B$3&gt;=120,F1066,0)/100)^5*(1+(IF(Skills!A9="BASIC_ATTACK",Inputs!$B$17,Inputs!$B$18+IF(Inputs!$B$3&gt;=125,F1067*5,0)))/100)*(B1070*B1071*B1072*I1049)</f>
        <v/>
      </c>
      <c r="L1049">
        <f>K1049*(MIN(Inputs!$B$22+(F1062-Calc!F22),Inputs!$B$23)/100+Inputs!$B$23/100)/2</f>
        <v/>
      </c>
      <c r="M1049">
        <f>L1049*(1+(Inputs!$B$10+(F1061-Calc!F21))/100)</f>
        <v/>
      </c>
      <c r="N1049">
        <f>L1049*(1-MIN(Inputs!$B$9+(F1060-Calc!F20),100)/100)+M1049*(MIN(Inputs!$B$9+(F1060-Calc!F20),100)/100)</f>
        <v/>
      </c>
      <c r="O1049">
        <f>IF(C1049,H1049*N1049*IF(AND(Inputs!$B$38&lt;&gt;"pvp",Inputs!$B$43&gt;0),((Skills!G9*((R1049-1)*IF(Skills!H9&gt;0,Skills!I9/Skills!H9,1)+IF(Skills!H9&gt;0,MIN(Skills!I9,MAX(0,Inputs!$B$43-((R1049-1)*IF(Inputs!$B$38="pvp",15,MAX(0.1,Skills!E9-IF(Skills!F7=TRUE,Inputs!$B$32,0))))))/Skills!H9,1)))/Inputs!$B$43),G1049*Q1049)*IF(Inputs!$B$38="pvp",1,(1-Summary!$B$56)*(1)+Summary!$B$56*(MIN(Skills!R9,Inputs!$B$37))),0)</f>
        <v/>
      </c>
      <c r="P1049">
        <f>IF(B1079=0,0,O1049/B1079)</f>
        <v/>
      </c>
      <c r="Q1049">
        <f>IFERROR(1/IF(Inputs!$B$38="pvp",15,MAX(0.1,Skills!E9-IF(Skills!F7=TRUE,Inputs!$B$32,0))),0)</f>
        <v/>
      </c>
      <c r="R1049">
        <f>IF(AND(Inputs!$B$38&lt;&gt;"pvp",Inputs!$B$43&gt;0),(INT(Inputs!$B$43/IF(Inputs!$B$38="pvp",15,MAX(0.1,Skills!E9-IF(Skills!F7=TRUE,Inputs!$B$32,0))))+1),0)</f>
        <v/>
      </c>
    </row>
    <row r="1050">
      <c r="A1050">
        <f>Skills!A10</f>
        <v/>
      </c>
      <c r="B1050">
        <f>Skills!B10</f>
        <v/>
      </c>
      <c r="C1050">
        <f>TRUE</f>
        <v/>
      </c>
      <c r="D1050">
        <f>IF(Skills!C10=1,60+Inputs!$B$25+Inputs!$B$29,IF(Skills!C10=2,90+Inputs!$B$26+Inputs!$B$29,IF(Skills!C10=3,120+Inputs!$B$27+Inputs!$B$29,MAX(0,(Inputs!$B$3-100)*3)+Inputs!$B$28+Inputs!$B$29)))</f>
        <v/>
      </c>
      <c r="E1050">
        <f>INDEX(FactorTable!$B$2:$Y$301, MATCH(ROUND(MIN(300,MAX(1,D1050)),0), FactorTable!$A$2:$A$301,0), Skills!M10+1)</f>
        <v/>
      </c>
      <c r="F1050">
        <f>IF(Skills!N10=TRUE,(Skills!L10/10)*(E1050/1000),Skills!L10/10)+Skills!O10</f>
        <v/>
      </c>
      <c r="G1050">
        <f>Calc!G10</f>
        <v/>
      </c>
      <c r="H1050">
        <f>Calc!H10</f>
        <v/>
      </c>
      <c r="I1050">
        <f>IF(Skills!X10&lt;&gt;"",1+(Skills!X10/10)*(Z1043/1000)/100,1)</f>
        <v/>
      </c>
      <c r="J1050">
        <f>((Inputs!$B$6*(1+Inputs!$B$7/100))+(((Inputs!$B$12*(1+Inputs!$B$13/100))-(Inputs!$B$12*(1+Inputs!$B$13/100)))+0.25*(Inputs!$B$14-Inputs!$B$14))*(1+Inputs!$B$7/100))*(F1050/100)</f>
        <v/>
      </c>
      <c r="K1050">
        <f>J1050*(1+((Inputs!$B$12*(1+Inputs!$B$13/100))*0.01+Inputs!$B$14*0.0025)/100)*(1+Inputs!$B$15/100)*(1+IF(Inputs!$B$38="pvp",0,(1-Summary!$B$56)*(Inputs!$B$20+Skills!P10)+Summary!$B$56*(Inputs!$B$21+Skills!Q10))/100)*(1+Inputs!$B$16/100)*(5000/(6000+Inputs!$B$42*(1-Inputs!$B$19/100)))*(1+Inputs!$B$24/100)*(1+F1063/100)*(1+IF(Inputs!$B$3&gt;=120,F1066,0)/100)^5*(1+(IF(Skills!A10="BASIC_ATTACK",Inputs!$B$17,Inputs!$B$18+IF(Inputs!$B$3&gt;=125,F1067*5,0)))/100)*(B1070*B1071*B1072*I1050)</f>
        <v/>
      </c>
      <c r="L1050">
        <f>K1050*(MIN(Inputs!$B$22+(F1062-Calc!F22),Inputs!$B$23)/100+Inputs!$B$23/100)/2</f>
        <v/>
      </c>
      <c r="M1050">
        <f>L1050*(1+(Inputs!$B$10+(F1061-Calc!F21))/100)</f>
        <v/>
      </c>
      <c r="N1050">
        <f>L1050*(1-MIN(Inputs!$B$9+(F1060-Calc!F20),100)/100)+M1050*(MIN(Inputs!$B$9+(F1060-Calc!F20),100)/100)</f>
        <v/>
      </c>
      <c r="O1050">
        <f>IF(C1050,H1050*N1050*IF(AND(Inputs!$B$38&lt;&gt;"pvp",Inputs!$B$43&gt;0),((Skills!G10*((R1050-1)*IF(Skills!H10&gt;0,Skills!I10/Skills!H10,1)+IF(Skills!H10&gt;0,MIN(Skills!I10,MAX(0,Inputs!$B$43-((R1050-1)*IF(Inputs!$B$38="pvp",15,MAX(0.1,Skills!E10-IF(Skills!F10=TRUE,Inputs!$B$32,0))))))/Skills!H10,1)))/Inputs!$B$43),G1050*Q1050)*IF(Inputs!$B$38="pvp",1,(1-Summary!$B$56)*(1)+Summary!$B$56*(MIN(Skills!R10,Inputs!$B$37))),0)</f>
        <v/>
      </c>
      <c r="P1050">
        <f>IF(B1079=0,0,O1050/B1079)</f>
        <v/>
      </c>
      <c r="Q1050">
        <f>IFERROR(1/IF(Inputs!$B$38="pvp",15,MAX(0.1,Skills!E10-IF(Skills!F10=TRUE,Inputs!$B$32,0))),0)</f>
        <v/>
      </c>
      <c r="R1050">
        <f>IF(AND(Inputs!$B$38&lt;&gt;"pvp",Inputs!$B$43&gt;0),(INT(Inputs!$B$43/IF(Inputs!$B$38="pvp",15,MAX(0.1,Skills!E10-IF(Skills!F10=TRUE,Inputs!$B$32,0))))+1),0)</f>
        <v/>
      </c>
    </row>
    <row r="1051">
      <c r="A1051">
        <f>Skills!A11</f>
        <v/>
      </c>
      <c r="B1051">
        <f>Skills!B11</f>
        <v/>
      </c>
      <c r="C1051">
        <f>TRUE</f>
        <v/>
      </c>
      <c r="D1051">
        <f>IF(Skills!C11=1,60+Inputs!$B$25+Inputs!$B$29,IF(Skills!C11=2,90+Inputs!$B$26+Inputs!$B$29,IF(Skills!C11=3,120+Inputs!$B$27+Inputs!$B$29,MAX(0,(Inputs!$B$3-100)*3)+Inputs!$B$28+Inputs!$B$29)))</f>
        <v/>
      </c>
      <c r="E1051">
        <f>INDEX(FactorTable!$B$2:$Y$301, MATCH(ROUND(MIN(300,MAX(1,D1051)),0), FactorTable!$A$2:$A$301,0), Skills!M11+1)</f>
        <v/>
      </c>
      <c r="F1051">
        <f>IF(Skills!N11=TRUE,(Skills!L11/10)*(E1051/1000),Skills!L11/10)+Skills!O11</f>
        <v/>
      </c>
      <c r="G1051">
        <f>Calc!G11</f>
        <v/>
      </c>
      <c r="H1051">
        <f>Calc!H11</f>
        <v/>
      </c>
      <c r="I1051">
        <f>IF(Skills!X11&lt;&gt;"",1+(Skills!X11/10)*(Z1043/1000)/100,1)</f>
        <v/>
      </c>
      <c r="J1051" t="inlineStr"/>
      <c r="K1051" t="inlineStr"/>
      <c r="L1051" t="inlineStr"/>
      <c r="M1051" t="inlineStr"/>
      <c r="N1051" t="inlineStr"/>
      <c r="O1051" t="n">
        <v>0</v>
      </c>
      <c r="P1051">
        <f>IF(B1079=0,0,O1051/B1079)</f>
        <v/>
      </c>
      <c r="Q1051">
        <f>IFERROR(1/IF(Inputs!$B$38="pvp",15,MAX(0.1,Skills!E11-IF(Skills!F11=TRUE,Inputs!$B$32,0))),0)</f>
        <v/>
      </c>
      <c r="R1051" t="n">
        <v>0</v>
      </c>
    </row>
    <row r="1052">
      <c r="A1052">
        <f>Skills!A12</f>
        <v/>
      </c>
      <c r="B1052">
        <f>Skills!B12</f>
        <v/>
      </c>
      <c r="C1052">
        <f>TRUE</f>
        <v/>
      </c>
      <c r="D1052">
        <f>IF(Skills!C12=1,60+Inputs!$B$25+Inputs!$B$29,IF(Skills!C12=2,90+Inputs!$B$26+Inputs!$B$29,IF(Skills!C12=3,120+Inputs!$B$27+Inputs!$B$29,MAX(0,(Inputs!$B$3-100)*3)+Inputs!$B$28+Inputs!$B$29)))</f>
        <v/>
      </c>
      <c r="E1052">
        <f>INDEX(FactorTable!$B$2:$Y$301, MATCH(ROUND(MIN(300,MAX(1,D1052)),0), FactorTable!$A$2:$A$301,0), Skills!M12+1)</f>
        <v/>
      </c>
      <c r="F1052">
        <f>IF(Skills!N12=TRUE,(Skills!L12/10)*(E1052/1000),Skills!L12/10)+Skills!O12</f>
        <v/>
      </c>
      <c r="G1052">
        <f>Calc!G12</f>
        <v/>
      </c>
      <c r="H1052">
        <f>Calc!H12</f>
        <v/>
      </c>
      <c r="I1052">
        <f>IF(Skills!X12&lt;&gt;"",1+(Skills!X12/10)*(Z1043/1000)/100,1)</f>
        <v/>
      </c>
      <c r="J1052" t="inlineStr"/>
      <c r="K1052" t="inlineStr"/>
      <c r="L1052" t="inlineStr"/>
      <c r="M1052" t="inlineStr"/>
      <c r="N1052" t="inlineStr"/>
      <c r="O1052" t="n">
        <v>0</v>
      </c>
      <c r="P1052">
        <f>IF(B1079=0,0,O1052/B1079)</f>
        <v/>
      </c>
      <c r="Q1052">
        <f>IFERROR(1/IF(Inputs!$B$38="pvp",15,MAX(0.1,Skills!E12-IF(Skills!F12=TRUE,Inputs!$B$32,0))),0)</f>
        <v/>
      </c>
      <c r="R1052" t="n">
        <v>0</v>
      </c>
    </row>
    <row r="1053">
      <c r="A1053">
        <f>Skills!A13</f>
        <v/>
      </c>
      <c r="B1053">
        <f>Skills!B13</f>
        <v/>
      </c>
      <c r="C1053">
        <f>Inputs!$B$3&gt;=105</f>
        <v/>
      </c>
      <c r="D1053">
        <f>IF(Skills!C13=1,60+Inputs!$B$25+Inputs!$B$29,IF(Skills!C13=2,90+Inputs!$B$26+Inputs!$B$29,IF(Skills!C13=3,120+Inputs!$B$27+Inputs!$B$29,MAX(0,(Inputs!$B$3-100)*3)+Inputs!$B$28+Inputs!$B$29)))</f>
        <v/>
      </c>
      <c r="E1053">
        <f>INDEX(FactorTable!$B$2:$Y$301, MATCH(ROUND(MIN(300,MAX(1,D1053)),0), FactorTable!$A$2:$A$301,0), Skills!M13+1)</f>
        <v/>
      </c>
      <c r="F1053">
        <f>IF(Skills!N13=TRUE,(Skills!L13/10)*(E1053/1000),Skills!L13/10)+Skills!O13</f>
        <v/>
      </c>
      <c r="G1053">
        <f>Calc!G13</f>
        <v/>
      </c>
      <c r="H1053">
        <f>Calc!H13</f>
        <v/>
      </c>
      <c r="I1053">
        <f>IF(Skills!X13&lt;&gt;"",1+(Skills!X13/10)*(Z1043/1000)/100,1)</f>
        <v/>
      </c>
      <c r="J1053">
        <f>((Inputs!$B$6*(1+Inputs!$B$7/100))+(((Inputs!$B$12*(1+Inputs!$B$13/100))-(Inputs!$B$12*(1+Inputs!$B$13/100)))+0.25*(Inputs!$B$14-Inputs!$B$14))*(1+Inputs!$B$7/100))*(F1053/100)</f>
        <v/>
      </c>
      <c r="K1053">
        <f>J1053*(1+((Inputs!$B$12*(1+Inputs!$B$13/100))*0.01+Inputs!$B$14*0.0025)/100)*(1+Inputs!$B$15/100)*(1+IF(Inputs!$B$38="pvp",0,(1-Summary!$B$56)*(Inputs!$B$20+Skills!P13)+Summary!$B$56*(Inputs!$B$21+Skills!Q13))/100)*(1+Inputs!$B$16/100)*(5000/(6000+Inputs!$B$42*(1-Inputs!$B$19/100)))*(1+Inputs!$B$24/100)*(1+F1063/100)*(1+IF(Inputs!$B$3&gt;=120,F1066,0)/100)^5*(1+(IF(Skills!A13="BASIC_ATTACK",Inputs!$B$17,Inputs!$B$18+IF(Inputs!$B$3&gt;=125,F1067*5,0)))/100)*(B1070*B1071*B1072*I1053)</f>
        <v/>
      </c>
      <c r="L1053">
        <f>K1053*(MIN(Inputs!$B$22+(F1062-Calc!F22),Inputs!$B$23)/100+Inputs!$B$23/100)/2</f>
        <v/>
      </c>
      <c r="M1053">
        <f>L1053*(1+(Inputs!$B$10+(F1061-Calc!F21))/100)</f>
        <v/>
      </c>
      <c r="N1053">
        <f>L1053*(1-MIN(Inputs!$B$9+(F1060-Calc!F20),100)/100)+M1053*(MIN(Inputs!$B$9+(F1060-Calc!F20),100)/100)</f>
        <v/>
      </c>
      <c r="O1053">
        <f>IF(C1053,H1053*N1053*IF(AND(Inputs!$B$38&lt;&gt;"pvp",Inputs!$B$43&gt;0),((Skills!G13*((R1053-1)*IF(Skills!H13&gt;0,Skills!I13/Skills!H13,1)+IF(Skills!H13&gt;0,MIN(Skills!I13,MAX(0,Inputs!$B$43-((R1053-1)*IF(Inputs!$B$38="pvp",15,MAX(0.1,Skills!E13-IF(Skills!F13=TRUE,Inputs!$B$32,0))))))/Skills!H13,1)))/Inputs!$B$43),G1053*Q1053)*IF(Inputs!$B$38="pvp",1,(1-Summary!$B$56)*(1)+Summary!$B$56*(MIN(Skills!R13,Inputs!$B$37))),0)</f>
        <v/>
      </c>
      <c r="P1053">
        <f>IF(B1079=0,0,O1053/B1079)</f>
        <v/>
      </c>
      <c r="Q1053">
        <f>IFERROR(1/IF(Inputs!$B$38="pvp",15,MAX(0.1,Skills!E13-IF(Skills!F13=TRUE,Inputs!$B$32,0))),0)</f>
        <v/>
      </c>
      <c r="R1053">
        <f>IF(AND(Inputs!$B$38&lt;&gt;"pvp",Inputs!$B$43&gt;0),(INT(Inputs!$B$43/IF(Inputs!$B$38="pvp",15,MAX(0.1,Skills!E13-IF(Skills!F13=TRUE,Inputs!$B$32,0))))+1),0)</f>
        <v/>
      </c>
    </row>
    <row r="1054">
      <c r="A1054">
        <f>Skills!A14</f>
        <v/>
      </c>
      <c r="B1054">
        <f>Skills!B14</f>
        <v/>
      </c>
      <c r="C1054">
        <f>Inputs!$B$3&gt;=113</f>
        <v/>
      </c>
      <c r="D1054">
        <f>IF(Skills!C14=1,60+Inputs!$B$25+Inputs!$B$29,IF(Skills!C14=2,90+Inputs!$B$26+Inputs!$B$29,IF(Skills!C14=3,120+Inputs!$B$27+Inputs!$B$29,MAX(0,(Inputs!$B$3-100)*3)+Inputs!$B$28+Inputs!$B$29)))</f>
        <v/>
      </c>
      <c r="E1054">
        <f>INDEX(FactorTable!$B$2:$Y$301, MATCH(ROUND(MIN(300,MAX(1,D1054)),0), FactorTable!$A$2:$A$301,0), Skills!M14+1)</f>
        <v/>
      </c>
      <c r="F1054">
        <f>IF(Skills!N14=TRUE,(Skills!L14/10)*(E1054/1000),Skills!L14/10)+Skills!O14</f>
        <v/>
      </c>
      <c r="G1054">
        <f>Calc!G14</f>
        <v/>
      </c>
      <c r="H1054">
        <f>Calc!H14</f>
        <v/>
      </c>
      <c r="I1054">
        <f>IF(Skills!X14&lt;&gt;"",1+(Skills!X14/10)*(Z1043/1000)/100,1)</f>
        <v/>
      </c>
      <c r="J1054">
        <f>((Inputs!$B$6*(1+Inputs!$B$7/100))+(((Inputs!$B$12*(1+Inputs!$B$13/100))-(Inputs!$B$12*(1+Inputs!$B$13/100)))+0.25*(Inputs!$B$14-Inputs!$B$14))*(1+Inputs!$B$7/100))*(F1054/100)</f>
        <v/>
      </c>
      <c r="K1054">
        <f>J1054*(1+((Inputs!$B$12*(1+Inputs!$B$13/100))*0.01+Inputs!$B$14*0.0025)/100)*(1+Inputs!$B$15/100)*(1+IF(Inputs!$B$38="pvp",0,(1-Summary!$B$56)*(Inputs!$B$20+Skills!P14)+Summary!$B$56*(Inputs!$B$21+Skills!Q14))/100)*(1+Inputs!$B$16/100)*(5000/(6000+Inputs!$B$42*(1-Inputs!$B$19/100)))*(1+Inputs!$B$24/100)*(1+F1063/100)*(1+IF(Inputs!$B$3&gt;=120,F1066,0)/100)^5*(1+(IF(Skills!A14="BASIC_ATTACK",Inputs!$B$17,Inputs!$B$18+IF(Inputs!$B$3&gt;=125,F1067*5,0)))/100)*(B1070*B1071*B1072*I1054)</f>
        <v/>
      </c>
      <c r="L1054">
        <f>K1054*(MIN(Inputs!$B$22+(F1062-Calc!F22),Inputs!$B$23)/100+Inputs!$B$23/100)/2</f>
        <v/>
      </c>
      <c r="M1054">
        <f>L1054*(1+(Inputs!$B$10+(F1061-Calc!F21))/100)</f>
        <v/>
      </c>
      <c r="N1054">
        <f>L1054*(1-MIN(Inputs!$B$9+(F1060-Calc!F20),100)/100)+M1054*(MIN(Inputs!$B$9+(F1060-Calc!F20),100)/100)</f>
        <v/>
      </c>
      <c r="O1054">
        <f>IF(C1054,(H1054*B1077)/(1+Skills!H14*H1054*B1077)*N1054*IF(Inputs!$B$38="pvp",1,(1-Summary!$B$56)*(1)+Summary!$B$56*(MIN(Skills!R14,Inputs!$B$37))),0)</f>
        <v/>
      </c>
      <c r="P1054">
        <f>IF(B1079=0,0,O1054/B1079)</f>
        <v/>
      </c>
      <c r="Q1054">
        <f>IFERROR(1/IF(Inputs!$B$38="pvp",15,MAX(0.1,Skills!E14-IF(Skills!F14=TRUE,Inputs!$B$32,0))),0)</f>
        <v/>
      </c>
      <c r="R1054" t="n">
        <v>0</v>
      </c>
    </row>
    <row r="1055">
      <c r="A1055">
        <f>Skills!A15</f>
        <v/>
      </c>
      <c r="B1055">
        <f>Skills!B15</f>
        <v/>
      </c>
      <c r="C1055">
        <f>Inputs!$B$3&gt;=107</f>
        <v/>
      </c>
      <c r="D1055">
        <f>IF(Skills!C15=1,60+Inputs!$B$25+Inputs!$B$29,IF(Skills!C15=2,90+Inputs!$B$26+Inputs!$B$29,IF(Skills!C15=3,120+Inputs!$B$27+Inputs!$B$29,MAX(0,(Inputs!$B$3-100)*3)+Inputs!$B$28+Inputs!$B$29)))</f>
        <v/>
      </c>
      <c r="E1055">
        <f>INDEX(FactorTable!$B$2:$Y$301, MATCH(ROUND(MIN(300,MAX(1,D1055)),0), FactorTable!$A$2:$A$301,0), Skills!M15+1)</f>
        <v/>
      </c>
      <c r="F1055">
        <f>IF(Skills!N15=TRUE,(Skills!L15/10)*(E1055/1000),Skills!L15/10)+Skills!O15</f>
        <v/>
      </c>
      <c r="G1055">
        <f>Calc!G15</f>
        <v/>
      </c>
      <c r="H1055">
        <f>Calc!H15</f>
        <v/>
      </c>
      <c r="I1055">
        <f>IF(Skills!X15&lt;&gt;"",1+(Skills!X15/10)*(Z1043/1000)/100,1)</f>
        <v/>
      </c>
      <c r="J1055">
        <f>((Inputs!$B$6*(1+Inputs!$B$7/100))+(((Inputs!$B$12*(1+Inputs!$B$13/100))-(Inputs!$B$12*(1+Inputs!$B$13/100)))+0.25*(Inputs!$B$14-Inputs!$B$14))*(1+Inputs!$B$7/100))*(F1055/100)</f>
        <v/>
      </c>
      <c r="K1055">
        <f>J1055*(1+((Inputs!$B$12*(1+Inputs!$B$13/100))*0.01+Inputs!$B$14*0.0025)/100)*(1+Inputs!$B$15/100)*(1+IF(Inputs!$B$38="pvp",0,(1-Summary!$B$56)*(Inputs!$B$20+Skills!P15)+Summary!$B$56*(Inputs!$B$21+Skills!Q15))/100)*(1+Inputs!$B$16/100)*(5000/(6000+Inputs!$B$42*(1-Inputs!$B$19/100)))*(1+Inputs!$B$24/100)*(1+F1063/100)*(1+IF(Inputs!$B$3&gt;=120,F1066,0)/100)^5*(1+(IF(Skills!A15="BASIC_ATTACK",Inputs!$B$17,Inputs!$B$18+IF(Inputs!$B$3&gt;=125,F1067*5,0)))/100)*(B1070*B1071*B1072*I1055)</f>
        <v/>
      </c>
      <c r="L1055">
        <f>K1055*(MIN(Inputs!$B$22+(F1062-Calc!F22),Inputs!$B$23)/100+Inputs!$B$23/100)/2</f>
        <v/>
      </c>
      <c r="M1055">
        <f>L1055*(1+(Inputs!$B$10+(F1061-Calc!F21))/100)</f>
        <v/>
      </c>
      <c r="N1055">
        <f>L1055*(1-MIN(Inputs!$B$9+(F1060-Calc!F20),100)/100)+M1055*(MIN(Inputs!$B$9+(F1060-Calc!F20),100)/100)</f>
        <v/>
      </c>
      <c r="O1055">
        <f>IF(C1055,H1055*N1055*IF(AND(Inputs!$B$38&lt;&gt;"pvp",Inputs!$B$43&gt;0),((Skills!G15*((R1055-1)*IF(Skills!H15&gt;0,Skills!I15/Skills!H15,1)+IF(Skills!H15&gt;0,MIN(Skills!I15,MAX(0,Inputs!$B$43-((R1055-1)*IF(Inputs!$B$38="pvp",15,MAX(0.1,Skills!E15-IF(Skills!F15=TRUE,Inputs!$B$32,0))))))/Skills!H15,1)))/Inputs!$B$43),G1055*Q1055)*IF(Inputs!$B$38="pvp",1,(1-Summary!$B$56)*(1)+Summary!$B$56*(MIN(Skills!R15,Inputs!$B$37))),0)</f>
        <v/>
      </c>
      <c r="P1055">
        <f>IF(B1079=0,0,O1055/B1079)</f>
        <v/>
      </c>
      <c r="Q1055">
        <f>IFERROR(1/IF(Inputs!$B$38="pvp",15,MAX(0.1,Skills!E15-IF(Skills!F15=TRUE,Inputs!$B$32,0))),0)</f>
        <v/>
      </c>
      <c r="R1055">
        <f>IF(AND(Inputs!$B$38&lt;&gt;"pvp",Inputs!$B$43&gt;0),(INT(Inputs!$B$43/IF(Inputs!$B$38="pvp",15,MAX(0.1,Skills!E15-IF(Skills!F15=TRUE,Inputs!$B$32,0))))+1),0)</f>
        <v/>
      </c>
    </row>
    <row r="1056">
      <c r="A1056">
        <f>Skills!A16</f>
        <v/>
      </c>
      <c r="B1056">
        <f>Skills!B16</f>
        <v/>
      </c>
      <c r="C1056">
        <f>Inputs!$B$3&gt;=107</f>
        <v/>
      </c>
      <c r="D1056">
        <f>IF(Skills!C16=1,60+Inputs!$B$25+Inputs!$B$29,IF(Skills!C16=2,90+Inputs!$B$26+Inputs!$B$29,IF(Skills!C16=3,120+Inputs!$B$27+Inputs!$B$29,MAX(0,(Inputs!$B$3-100)*3)+Inputs!$B$28+Inputs!$B$29)))</f>
        <v/>
      </c>
      <c r="E1056">
        <f>INDEX(FactorTable!$B$2:$Y$301, MATCH(ROUND(MIN(300,MAX(1,D1056)),0), FactorTable!$A$2:$A$301,0), Skills!M16+1)</f>
        <v/>
      </c>
      <c r="F1056">
        <f>IF(Skills!N16=TRUE,(Skills!L16/10)*(E1056/1000),Skills!L16/10)+Skills!O16</f>
        <v/>
      </c>
      <c r="G1056">
        <f>Calc!G16</f>
        <v/>
      </c>
      <c r="H1056">
        <f>Calc!H16</f>
        <v/>
      </c>
      <c r="I1056">
        <f>IF(Skills!X16&lt;&gt;"",1+(Skills!X16/10)*(Z1043/1000)/100,1)</f>
        <v/>
      </c>
      <c r="J1056">
        <f>((Inputs!$B$6*(1+Inputs!$B$7/100))+(((Inputs!$B$12*(1+Inputs!$B$13/100))-(Inputs!$B$12*(1+Inputs!$B$13/100)))+0.25*(Inputs!$B$14-Inputs!$B$14))*(1+Inputs!$B$7/100))*(F1056/100)</f>
        <v/>
      </c>
      <c r="K1056">
        <f>J1056*(1+((Inputs!$B$12*(1+Inputs!$B$13/100))*0.01+Inputs!$B$14*0.0025)/100)*(1+Inputs!$B$15/100)*(1+IF(Inputs!$B$38="pvp",0,(1-Summary!$B$56)*(Inputs!$B$20+Skills!P16)+Summary!$B$56*(Inputs!$B$21+Skills!Q16))/100)*(1+Inputs!$B$16/100)*(5000/(6000+Inputs!$B$42*(1-Inputs!$B$19/100)))*(1+Inputs!$B$24/100)*(1+F1063/100)*(1+IF(Inputs!$B$3&gt;=120,F1066,0)/100)^5*(1+(IF(Skills!A16="BASIC_ATTACK",Inputs!$B$17,Inputs!$B$18+IF(Inputs!$B$3&gt;=125,F1067*5,0)))/100)*(B1070*B1071*B1072*I1056)</f>
        <v/>
      </c>
      <c r="L1056">
        <f>K1056*(MIN(Inputs!$B$22+(F1062-Calc!F22),Inputs!$B$23)/100+Inputs!$B$23/100)/2</f>
        <v/>
      </c>
      <c r="M1056">
        <f>L1056*(1+(Inputs!$B$10+(F1061-Calc!F21))/100)</f>
        <v/>
      </c>
      <c r="N1056">
        <f>L1056*(1-MIN(Inputs!$B$9+(F1060-Calc!F20),100)/100)+M1056*(MIN(Inputs!$B$9+(F1060-Calc!F20),100)/100)</f>
        <v/>
      </c>
      <c r="O1056">
        <f>IF(C1056,H1056*N1056*IF(AND(Inputs!$B$38&lt;&gt;"pvp",Inputs!$B$43&gt;0),((Skills!G16*((R1056-1)*IF(Skills!H16&gt;0,Skills!I16/Skills!H16,1)+IF(Skills!H16&gt;0,MIN(Skills!I16,MAX(0,Inputs!$B$43-((R1056-1)*IF(Inputs!$B$38="pvp",15,MAX(0.1,Skills!E16-IF(Skills!F16=TRUE,Inputs!$B$32,0))))))/Skills!H16,1)))/Inputs!$B$43),G1056*Q1056)*(1+IF(Inputs!$B$3&gt;=126,0.05*(B1076+Q1053+(H1054*B1077)/(1+Skills!H14*H1054*B1077)+Q1064),0)*Skills!E15)*IF(Inputs!$B$38="pvp",1,(1-Summary!$B$56)*(1)+Summary!$B$56*(MIN(Skills!R16,Inputs!$B$37))),0)</f>
        <v/>
      </c>
      <c r="P1056">
        <f>IF(B1079=0,0,O1056/B1079)</f>
        <v/>
      </c>
      <c r="Q1056">
        <f>IFERROR(1/IF(Inputs!$B$38="pvp",15,MAX(0.1,Skills!E16-IF(Skills!F16=TRUE,Inputs!$B$32,0))),0)</f>
        <v/>
      </c>
      <c r="R1056">
        <f>IF(AND(Inputs!$B$38&lt;&gt;"pvp",Inputs!$B$43&gt;0),(INT(Inputs!$B$43/IF(Inputs!$B$38="pvp",15,MAX(0.1,Skills!E16-IF(Skills!F16=TRUE,Inputs!$B$32,0))))+1),0)</f>
        <v/>
      </c>
    </row>
    <row r="1057">
      <c r="A1057">
        <f>Skills!A17</f>
        <v/>
      </c>
      <c r="B1057">
        <f>Skills!B17</f>
        <v/>
      </c>
      <c r="C1057">
        <f>TRUE</f>
        <v/>
      </c>
      <c r="D1057">
        <f>IF(Skills!C17=1,60+Inputs!$B$25+Inputs!$B$29,IF(Skills!C17=2,90+Inputs!$B$26+Inputs!$B$29,IF(Skills!C17=3,120+Inputs!$B$27+Inputs!$B$29,MAX(0,(Inputs!$B$3-100)*3)+Inputs!$B$28+Inputs!$B$29)))</f>
        <v/>
      </c>
      <c r="E1057">
        <f>INDEX(FactorTable!$B$2:$Y$301, MATCH(ROUND(MIN(300,MAX(1,D1057)),0), FactorTable!$A$2:$A$301,0), Skills!M17+1)</f>
        <v/>
      </c>
      <c r="F1057">
        <f>IF(Skills!N17=TRUE,(Skills!L17/10)*(E1057/1000),Skills!L17/10)+Skills!O17</f>
        <v/>
      </c>
      <c r="G1057">
        <f>Calc!G17</f>
        <v/>
      </c>
      <c r="H1057">
        <f>Calc!H17</f>
        <v/>
      </c>
      <c r="I1057">
        <f>IF(Skills!X17&lt;&gt;"",1+(Skills!X17/10)*(Z1043/1000)/100,1)</f>
        <v/>
      </c>
      <c r="J1057" t="inlineStr"/>
      <c r="K1057" t="inlineStr"/>
      <c r="L1057" t="inlineStr"/>
      <c r="M1057" t="inlineStr"/>
      <c r="N1057" t="inlineStr"/>
      <c r="O1057" t="n">
        <v>0</v>
      </c>
      <c r="P1057">
        <f>IF(B1079=0,0,O1057/B1079)</f>
        <v/>
      </c>
      <c r="Q1057">
        <f>IFERROR(1/IF(Inputs!$B$38="pvp",15,MAX(0.1,Skills!E17-IF(Skills!F17=TRUE,Inputs!$B$32,0))),0)</f>
        <v/>
      </c>
      <c r="R1057">
        <f>IF(AND(Inputs!$B$38&lt;&gt;"pvp",Inputs!$B$43&gt;0),(INT(Inputs!$B$43/IF(Inputs!$B$38="pvp",15,MAX(0.1,Skills!E17-IF(Skills!F17=TRUE,Inputs!$B$32,0))))+1),0)</f>
        <v/>
      </c>
    </row>
    <row r="1058">
      <c r="A1058">
        <f>Skills!A18</f>
        <v/>
      </c>
      <c r="B1058">
        <f>Skills!B18</f>
        <v/>
      </c>
      <c r="C1058">
        <f>TRUE</f>
        <v/>
      </c>
      <c r="D1058">
        <f>IF(Skills!C18=1,60+Inputs!$B$25+Inputs!$B$29,IF(Skills!C18=2,90+Inputs!$B$26+Inputs!$B$29,IF(Skills!C18=3,120+Inputs!$B$27+Inputs!$B$29,MAX(0,(Inputs!$B$3-100)*3)+Inputs!$B$28+Inputs!$B$29)))</f>
        <v/>
      </c>
      <c r="E1058">
        <f>INDEX(FactorTable!$B$2:$Y$301, MATCH(ROUND(MIN(300,MAX(1,D1058)),0), FactorTable!$A$2:$A$301,0), Skills!M18+1)</f>
        <v/>
      </c>
      <c r="F1058">
        <f>IF(Skills!N18=TRUE,(Skills!L18/10)*(E1058/1000),Skills!L18/10)+Skills!O18</f>
        <v/>
      </c>
      <c r="G1058">
        <f>Calc!G18</f>
        <v/>
      </c>
      <c r="H1058">
        <f>Calc!H18</f>
        <v/>
      </c>
      <c r="I1058">
        <f>IF(Skills!X18&lt;&gt;"",1+(Skills!X18/10)*(Z1043/1000)/100,1)</f>
        <v/>
      </c>
      <c r="J1058" t="inlineStr"/>
      <c r="K1058" t="inlineStr"/>
      <c r="L1058" t="inlineStr"/>
      <c r="M1058" t="inlineStr"/>
      <c r="N1058" t="inlineStr"/>
      <c r="O1058" t="n">
        <v>0</v>
      </c>
      <c r="P1058">
        <f>IF(B1079=0,0,O1058/B1079)</f>
        <v/>
      </c>
      <c r="Q1058">
        <f>IFERROR(1/IF(Inputs!$B$38="pvp",15,MAX(0.1,Skills!E18-IF(Skills!F18=TRUE,Inputs!$B$32,0))),0)</f>
        <v/>
      </c>
      <c r="R1058">
        <f>IF(AND(Inputs!$B$38&lt;&gt;"pvp",Inputs!$B$43&gt;0),(INT(Inputs!$B$43/IF(Inputs!$B$38="pvp",15,MAX(0.1,Skills!E18-IF(Skills!F18=TRUE,Inputs!$B$32,0))))+1),0)</f>
        <v/>
      </c>
    </row>
    <row r="1059">
      <c r="A1059">
        <f>Skills!A19</f>
        <v/>
      </c>
      <c r="B1059">
        <f>Skills!B19</f>
        <v/>
      </c>
      <c r="C1059">
        <f>Inputs!$B$3&gt;=110</f>
        <v/>
      </c>
      <c r="D1059">
        <f>IF(Skills!C19=1,60+Inputs!$B$25+Inputs!$B$29,IF(Skills!C19=2,90+Inputs!$B$26+Inputs!$B$29,IF(Skills!C19=3,120+Inputs!$B$27+Inputs!$B$29,MAX(0,(Inputs!$B$3-100)*3)+Inputs!$B$28+Inputs!$B$29)))</f>
        <v/>
      </c>
      <c r="E1059">
        <f>INDEX(FactorTable!$B$2:$Y$301, MATCH(ROUND(MIN(300,MAX(1,D1059)),0), FactorTable!$A$2:$A$301,0), Skills!M19+1)</f>
        <v/>
      </c>
      <c r="F1059">
        <f>IF(Skills!N19=TRUE,(Skills!L19/10)*(E1059/1000),Skills!L19/10)+Skills!O19</f>
        <v/>
      </c>
      <c r="G1059">
        <f>Calc!G19</f>
        <v/>
      </c>
      <c r="H1059">
        <f>Calc!H19</f>
        <v/>
      </c>
      <c r="I1059">
        <f>IF(Skills!X19&lt;&gt;"",1+(Skills!X19/10)*(Z1043/1000)/100,1)</f>
        <v/>
      </c>
      <c r="J1059" t="inlineStr"/>
      <c r="K1059" t="inlineStr"/>
      <c r="L1059" t="inlineStr"/>
      <c r="M1059" t="inlineStr"/>
      <c r="N1059" t="inlineStr"/>
      <c r="O1059" t="n">
        <v>0</v>
      </c>
      <c r="P1059">
        <f>IF(B1079=0,0,O1059/B1079)</f>
        <v/>
      </c>
      <c r="Q1059">
        <f>IFERROR(1/IF(Inputs!$B$38="pvp",15,MAX(0.1,Skills!E19-IF(Skills!F19=TRUE,Inputs!$B$32,0))),0)</f>
        <v/>
      </c>
      <c r="R1059">
        <f>IF(AND(Inputs!$B$38&lt;&gt;"pvp",Inputs!$B$43&gt;0),(INT(Inputs!$B$43/IF(Inputs!$B$38="pvp",15,MAX(0.1,Skills!E19-IF(Skills!F19=TRUE,Inputs!$B$32,0))))+1),0)</f>
        <v/>
      </c>
    </row>
    <row r="1060">
      <c r="A1060">
        <f>Skills!A20</f>
        <v/>
      </c>
      <c r="B1060">
        <f>Skills!B20</f>
        <v/>
      </c>
      <c r="C1060">
        <f>TRUE</f>
        <v/>
      </c>
      <c r="D1060">
        <f>IF(Skills!C20=1,60+Inputs!$B$25+Inputs!$B$29,IF(Skills!C20=2,90+Inputs!$B$26+Inputs!$B$29,IF(Skills!C20=3,120+Inputs!$B$27+Inputs!$B$29,MAX(0,(Inputs!$B$3-100)*3)+Inputs!$B$28+Inputs!$B$29)))</f>
        <v/>
      </c>
      <c r="E1060">
        <f>INDEX(FactorTable!$B$2:$Y$301, MATCH(ROUND(MIN(300,MAX(1,D1060)),0), FactorTable!$A$2:$A$301,0), Skills!M20+1)</f>
        <v/>
      </c>
      <c r="F1060">
        <f>IF(Skills!N20=TRUE,(Skills!L20/10)*(E1060/1000),Skills!L20/10)+Skills!O20</f>
        <v/>
      </c>
      <c r="G1060">
        <f>Calc!G20</f>
        <v/>
      </c>
      <c r="H1060">
        <f>Calc!H20</f>
        <v/>
      </c>
      <c r="I1060">
        <f>IF(Skills!X20&lt;&gt;"",1+(Skills!X20/10)*(Z1043/1000)/100,1)</f>
        <v/>
      </c>
      <c r="J1060" t="inlineStr"/>
      <c r="K1060" t="inlineStr"/>
      <c r="L1060" t="inlineStr"/>
      <c r="M1060" t="inlineStr"/>
      <c r="N1060" t="inlineStr"/>
      <c r="O1060" t="n">
        <v>0</v>
      </c>
      <c r="P1060">
        <f>IF(B1079=0,0,O1060/B1079)</f>
        <v/>
      </c>
      <c r="Q1060">
        <f>IFERROR(1/IF(Inputs!$B$38="pvp",15,MAX(0.1,Skills!E20-IF(Skills!F20=TRUE,Inputs!$B$32,0))),0)</f>
        <v/>
      </c>
      <c r="R1060" t="n">
        <v>0</v>
      </c>
    </row>
    <row r="1061">
      <c r="A1061">
        <f>Skills!A21</f>
        <v/>
      </c>
      <c r="B1061">
        <f>Skills!B21</f>
        <v/>
      </c>
      <c r="C1061">
        <f>TRUE</f>
        <v/>
      </c>
      <c r="D1061">
        <f>IF(Skills!C21=1,60+Inputs!$B$25+Inputs!$B$29,IF(Skills!C21=2,90+Inputs!$B$26+Inputs!$B$29,IF(Skills!C21=3,120+Inputs!$B$27+Inputs!$B$29,MAX(0,(Inputs!$B$3-100)*3)+Inputs!$B$28+Inputs!$B$29)))</f>
        <v/>
      </c>
      <c r="E1061">
        <f>INDEX(FactorTable!$B$2:$Y$301, MATCH(ROUND(MIN(300,MAX(1,D1061)),0), FactorTable!$A$2:$A$301,0), Skills!M21+1)</f>
        <v/>
      </c>
      <c r="F1061">
        <f>IF(Skills!N21=TRUE,(Skills!L21/10)*(E1061/1000),Skills!L21/10)+Skills!O21</f>
        <v/>
      </c>
      <c r="G1061">
        <f>Calc!G21</f>
        <v/>
      </c>
      <c r="H1061">
        <f>Calc!H21</f>
        <v/>
      </c>
      <c r="I1061">
        <f>IF(Skills!X21&lt;&gt;"",1+(Skills!X21/10)*(Z1043/1000)/100,1)</f>
        <v/>
      </c>
      <c r="J1061" t="inlineStr"/>
      <c r="K1061" t="inlineStr"/>
      <c r="L1061" t="inlineStr"/>
      <c r="M1061" t="inlineStr"/>
      <c r="N1061" t="inlineStr"/>
      <c r="O1061" t="n">
        <v>0</v>
      </c>
      <c r="P1061">
        <f>IF(B1079=0,0,O1061/B1079)</f>
        <v/>
      </c>
      <c r="Q1061">
        <f>IFERROR(1/IF(Inputs!$B$38="pvp",15,MAX(0.1,Skills!E21-IF(Skills!F21=TRUE,Inputs!$B$32,0))),0)</f>
        <v/>
      </c>
      <c r="R1061" t="n">
        <v>0</v>
      </c>
    </row>
    <row r="1062">
      <c r="A1062">
        <f>Skills!A22</f>
        <v/>
      </c>
      <c r="B1062">
        <f>Skills!B22</f>
        <v/>
      </c>
      <c r="C1062">
        <f>TRUE</f>
        <v/>
      </c>
      <c r="D1062">
        <f>IF(Skills!C22=1,60+Inputs!$B$25+Inputs!$B$29,IF(Skills!C22=2,90+Inputs!$B$26+Inputs!$B$29,IF(Skills!C22=3,120+Inputs!$B$27+Inputs!$B$29,MAX(0,(Inputs!$B$3-100)*3)+Inputs!$B$28+Inputs!$B$29)))</f>
        <v/>
      </c>
      <c r="E1062">
        <f>INDEX(FactorTable!$B$2:$Y$301, MATCH(ROUND(MIN(300,MAX(1,D1062)),0), FactorTable!$A$2:$A$301,0), Skills!M22+1)</f>
        <v/>
      </c>
      <c r="F1062">
        <f>IF(Skills!N22=TRUE,(Skills!L22/10)*(E1062/1000),Skills!L22/10)+Skills!O22</f>
        <v/>
      </c>
      <c r="G1062">
        <f>Calc!G22</f>
        <v/>
      </c>
      <c r="H1062">
        <f>Calc!H22</f>
        <v/>
      </c>
      <c r="I1062">
        <f>IF(Skills!X22&lt;&gt;"",1+(Skills!X22/10)*(Z1043/1000)/100,1)</f>
        <v/>
      </c>
      <c r="J1062" t="inlineStr"/>
      <c r="K1062" t="inlineStr"/>
      <c r="L1062" t="inlineStr"/>
      <c r="M1062" t="inlineStr"/>
      <c r="N1062" t="inlineStr"/>
      <c r="O1062" t="n">
        <v>0</v>
      </c>
      <c r="P1062">
        <f>IF(B1079=0,0,O1062/B1079)</f>
        <v/>
      </c>
      <c r="Q1062">
        <f>IFERROR(1/IF(Inputs!$B$38="pvp",15,MAX(0.1,Skills!E22-IF(Skills!F22=TRUE,Inputs!$B$32,0))),0)</f>
        <v/>
      </c>
      <c r="R1062" t="n">
        <v>0</v>
      </c>
    </row>
    <row r="1063">
      <c r="A1063">
        <f>Skills!A23</f>
        <v/>
      </c>
      <c r="B1063">
        <f>Skills!B23</f>
        <v/>
      </c>
      <c r="C1063">
        <f>TRUE</f>
        <v/>
      </c>
      <c r="D1063">
        <f>IF(Skills!C23=1,60+Inputs!$B$25+Inputs!$B$29,IF(Skills!C23=2,90+Inputs!$B$26+Inputs!$B$29,IF(Skills!C23=3,120+Inputs!$B$27+Inputs!$B$29,MAX(0,(Inputs!$B$3-100)*3)+Inputs!$B$28+Inputs!$B$29)))</f>
        <v/>
      </c>
      <c r="E1063">
        <f>INDEX(FactorTable!$B$2:$Y$301, MATCH(ROUND(MIN(300,MAX(1,D1063)),0), FactorTable!$A$2:$A$301,0), Skills!M23+1)</f>
        <v/>
      </c>
      <c r="F1063">
        <f>IF(Skills!N23=TRUE,(Skills!L23/10)*(E1063/1000),Skills!L23/10)+Skills!O23</f>
        <v/>
      </c>
      <c r="G1063">
        <f>Calc!G23</f>
        <v/>
      </c>
      <c r="H1063">
        <f>Calc!H23</f>
        <v/>
      </c>
      <c r="I1063">
        <f>IF(Skills!X23&lt;&gt;"",1+(Skills!X23/10)*(Z1043/1000)/100,1)</f>
        <v/>
      </c>
      <c r="J1063" t="inlineStr"/>
      <c r="K1063" t="inlineStr"/>
      <c r="L1063" t="inlineStr"/>
      <c r="M1063" t="inlineStr"/>
      <c r="N1063" t="inlineStr"/>
      <c r="O1063" t="n">
        <v>0</v>
      </c>
      <c r="P1063">
        <f>IF(B1079=0,0,O1063/B1079)</f>
        <v/>
      </c>
      <c r="Q1063">
        <f>IFERROR(1/IF(Inputs!$B$38="pvp",15,MAX(0.1,Skills!E23-IF(Skills!F23=TRUE,Inputs!$B$32,0))),0)</f>
        <v/>
      </c>
      <c r="R1063" t="n">
        <v>0</v>
      </c>
    </row>
    <row r="1064">
      <c r="A1064">
        <f>Skills!A24</f>
        <v/>
      </c>
      <c r="B1064">
        <f>Skills!B24</f>
        <v/>
      </c>
      <c r="C1064">
        <f>Inputs!$B$3&gt;=115</f>
        <v/>
      </c>
      <c r="D1064">
        <f>IF(Skills!C24=1,60+Inputs!$B$25+Inputs!$B$29,IF(Skills!C24=2,90+Inputs!$B$26+Inputs!$B$29,IF(Skills!C24=3,120+Inputs!$B$27+Inputs!$B$29,MAX(0,(Inputs!$B$3-100)*3)+Inputs!$B$28+Inputs!$B$29)))</f>
        <v/>
      </c>
      <c r="E1064">
        <f>INDEX(FactorTable!$B$2:$Y$301, MATCH(ROUND(MIN(300,MAX(1,D1064)),0), FactorTable!$A$2:$A$301,0), Skills!M24+1)</f>
        <v/>
      </c>
      <c r="F1064">
        <f>IF(Skills!N24=TRUE,(Skills!L24/10)*(E1064/1000),Skills!L24/10)+Skills!O24</f>
        <v/>
      </c>
      <c r="G1064">
        <f>Calc!G24</f>
        <v/>
      </c>
      <c r="H1064">
        <f>Calc!H24</f>
        <v/>
      </c>
      <c r="I1064">
        <f>IF(Skills!X24&lt;&gt;"",1+(Skills!X24/10)*(Z1043/1000)/100,1)</f>
        <v/>
      </c>
      <c r="J1064">
        <f>((Inputs!$B$6*(1+Inputs!$B$7/100))+(((Inputs!$B$12*(1+Inputs!$B$13/100))-(Inputs!$B$12*(1+Inputs!$B$13/100)))+0.25*(Inputs!$B$14-Inputs!$B$14))*(1+Inputs!$B$7/100))*(F1064/100)</f>
        <v/>
      </c>
      <c r="K1064">
        <f>J1064*(1+((Inputs!$B$12*(1+Inputs!$B$13/100))*0.01+Inputs!$B$14*0.0025)/100)*(1+Inputs!$B$15/100)*(1+IF(Inputs!$B$38="pvp",0,(1-Summary!$B$56)*(Inputs!$B$20+Skills!P24)+Summary!$B$56*(Inputs!$B$21+Skills!Q24))/100)*(1+Inputs!$B$16/100)*(5000/(6000+Inputs!$B$42*(1-Inputs!$B$19/100)))*(1+Inputs!$B$24/100)*(1+F1063/100)*(1+IF(Inputs!$B$3&gt;=120,F1066,0)/100)^5*(1+(IF(Skills!A24="BASIC_ATTACK",Inputs!$B$17,Inputs!$B$18+IF(Inputs!$B$3&gt;=125,F1067*5,0)))/100)*(B1070*B1071*B1072*I1064)</f>
        <v/>
      </c>
      <c r="L1064">
        <f>K1064*(MIN(Inputs!$B$22+(F1062-Calc!F22),Inputs!$B$23)/100+Inputs!$B$23/100)/2</f>
        <v/>
      </c>
      <c r="M1064">
        <f>L1064*(1+(Inputs!$B$10+(F1061-Calc!F21))/100)</f>
        <v/>
      </c>
      <c r="N1064">
        <f>L1064*(1-MIN(Inputs!$B$9+(F1060-Calc!F20),100)/100)+M1064*(MIN(Inputs!$B$9+(F1060-Calc!F20),100)/100)</f>
        <v/>
      </c>
      <c r="O1064">
        <f>IF(C1064,H1064*N1064*IF(AND(Inputs!$B$38&lt;&gt;"pvp",Inputs!$B$43&gt;0),((Skills!G24*((R1064-1)*IF(Skills!H24&gt;0,Skills!I24/Skills!H24,1)+IF(Skills!H24&gt;0,MIN(Skills!I24,MAX(0,Inputs!$B$43-((R1064-1)*IF(Inputs!$B$38="pvp",15,MAX(0.1,Skills!E24-IF(Skills!F24=TRUE,Inputs!$B$32,0))))))/Skills!H24,1)))/Inputs!$B$43),G1064*Q1064)*(1+IF(Inputs!$B$3&gt;=130,0.2*(Skills!I16/Skills!E15+IF(Inputs!$B$3&gt;=126,0.05*(B1076+Q1053+(H1054*B1077)/(1+Skills!H14*H1054*B1077)+Q1064),0)*Skills!I16),0))*IF(Inputs!$B$38="pvp",1,(1-Summary!$B$56)*(1)+Summary!$B$56*(MIN(Skills!R24,Inputs!$B$37))),0)</f>
        <v/>
      </c>
      <c r="P1064">
        <f>IF(B1079=0,0,O1064/B1079)</f>
        <v/>
      </c>
      <c r="Q1064">
        <f>IFERROR(1/IF(Inputs!$B$38="pvp",15,MAX(0.1,Skills!E24-IF(Skills!F24=TRUE,Inputs!$B$32,0))),0)</f>
        <v/>
      </c>
      <c r="R1064">
        <f>IF(AND(Inputs!$B$38&lt;&gt;"pvp",Inputs!$B$43&gt;0),(INT(Inputs!$B$43/IF(Inputs!$B$38="pvp",15,MAX(0.1,Skills!E24-IF(Skills!F24=TRUE,Inputs!$B$32,0))))+1),0)</f>
        <v/>
      </c>
    </row>
    <row r="1065">
      <c r="A1065">
        <f>Skills!A25</f>
        <v/>
      </c>
      <c r="B1065">
        <f>Skills!B25</f>
        <v/>
      </c>
      <c r="C1065">
        <f>Inputs!$B$3&gt;=117</f>
        <v/>
      </c>
      <c r="D1065">
        <f>IF(Skills!C25=1,60+Inputs!$B$25+Inputs!$B$29,IF(Skills!C25=2,90+Inputs!$B$26+Inputs!$B$29,IF(Skills!C25=3,120+Inputs!$B$27+Inputs!$B$29,MAX(0,(Inputs!$B$3-100)*3)+Inputs!$B$28+Inputs!$B$29)))</f>
        <v/>
      </c>
      <c r="E1065">
        <f>INDEX(FactorTable!$B$2:$Y$301, MATCH(ROUND(MIN(300,MAX(1,D1065)),0), FactorTable!$A$2:$A$301,0), Skills!M25+1)</f>
        <v/>
      </c>
      <c r="F1065">
        <f>IF(Skills!N25=TRUE,(Skills!L25/10)*(E1065/1000),Skills!L25/10)+Skills!O25</f>
        <v/>
      </c>
      <c r="G1065">
        <f>Calc!G25</f>
        <v/>
      </c>
      <c r="H1065">
        <f>Calc!H25</f>
        <v/>
      </c>
      <c r="I1065">
        <f>IF(Skills!X25&lt;&gt;"",1+(Skills!X25/10)*(Z1043/1000)/100,1)</f>
        <v/>
      </c>
      <c r="J1065" t="inlineStr"/>
      <c r="K1065" t="inlineStr"/>
      <c r="L1065" t="inlineStr"/>
      <c r="M1065" t="inlineStr"/>
      <c r="N1065" t="inlineStr"/>
      <c r="O1065" t="n">
        <v>0</v>
      </c>
      <c r="P1065">
        <f>IF(B1079=0,0,O1065/B1079)</f>
        <v/>
      </c>
      <c r="Q1065">
        <f>IFERROR(1/IF(Inputs!$B$38="pvp",15,MAX(0.1,Skills!E25-IF(Skills!F25=TRUE,Inputs!$B$32,0))),0)</f>
        <v/>
      </c>
      <c r="R1065" t="n">
        <v>0</v>
      </c>
    </row>
    <row r="1066">
      <c r="A1066">
        <f>Skills!A26</f>
        <v/>
      </c>
      <c r="B1066">
        <f>Skills!B26</f>
        <v/>
      </c>
      <c r="C1066">
        <f>Inputs!$B$3&gt;=120</f>
        <v/>
      </c>
      <c r="D1066">
        <f>IF(Skills!C26=1,60+Inputs!$B$25+Inputs!$B$29,IF(Skills!C26=2,90+Inputs!$B$26+Inputs!$B$29,IF(Skills!C26=3,120+Inputs!$B$27+Inputs!$B$29,MAX(0,(Inputs!$B$3-100)*3)+Inputs!$B$28+Inputs!$B$29)))</f>
        <v/>
      </c>
      <c r="E1066">
        <f>INDEX(FactorTable!$B$2:$Y$301, MATCH(ROUND(MIN(300,MAX(1,D1066)),0), FactorTable!$A$2:$A$301,0), Skills!M26+1)</f>
        <v/>
      </c>
      <c r="F1066">
        <f>IF(Skills!N26=TRUE,(Skills!L26/10)*(E1066/1000),Skills!L26/10)+Skills!O26</f>
        <v/>
      </c>
      <c r="G1066">
        <f>Calc!G26</f>
        <v/>
      </c>
      <c r="H1066">
        <f>Calc!H26</f>
        <v/>
      </c>
      <c r="I1066">
        <f>IF(Skills!X26&lt;&gt;"",1+(Skills!X26/10)*(Z1043/1000)/100,1)</f>
        <v/>
      </c>
      <c r="J1066" t="inlineStr"/>
      <c r="K1066" t="inlineStr"/>
      <c r="L1066" t="inlineStr"/>
      <c r="M1066" t="inlineStr"/>
      <c r="N1066" t="inlineStr"/>
      <c r="O1066" t="n">
        <v>0</v>
      </c>
      <c r="P1066">
        <f>IF(B1079=0,0,O1066/B1079)</f>
        <v/>
      </c>
      <c r="Q1066">
        <f>IFERROR(1/IF(Inputs!$B$38="pvp",15,MAX(0.1,Skills!E26-IF(Skills!F26=TRUE,Inputs!$B$32,0))),0)</f>
        <v/>
      </c>
      <c r="R1066" t="n">
        <v>0</v>
      </c>
    </row>
    <row r="1067">
      <c r="A1067">
        <f>Skills!A27</f>
        <v/>
      </c>
      <c r="B1067">
        <f>Skills!B27</f>
        <v/>
      </c>
      <c r="C1067">
        <f>Inputs!$B$3&gt;=125</f>
        <v/>
      </c>
      <c r="D1067">
        <f>IF(Skills!C27=1,60+Inputs!$B$25+Inputs!$B$29,IF(Skills!C27=2,90+Inputs!$B$26+Inputs!$B$29,IF(Skills!C27=3,120+Inputs!$B$27+Inputs!$B$29,MAX(0,(Inputs!$B$3-100)*3)+Inputs!$B$28+Inputs!$B$29)))</f>
        <v/>
      </c>
      <c r="E1067">
        <f>INDEX(FactorTable!$B$2:$Y$301, MATCH(ROUND(MIN(300,MAX(1,D1067)),0), FactorTable!$A$2:$A$301,0), Skills!M27+1)</f>
        <v/>
      </c>
      <c r="F1067">
        <f>IF(Skills!N27=TRUE,(Skills!L27/10)*(E1067/1000),Skills!L27/10)+Skills!O27</f>
        <v/>
      </c>
      <c r="G1067">
        <f>Calc!G27</f>
        <v/>
      </c>
      <c r="H1067">
        <f>Calc!H27</f>
        <v/>
      </c>
      <c r="I1067">
        <f>IF(Skills!X27&lt;&gt;"",1+(Skills!X27/10)*(Z1043/1000)/100,1)</f>
        <v/>
      </c>
      <c r="J1067" t="inlineStr"/>
      <c r="K1067" t="inlineStr"/>
      <c r="L1067" t="inlineStr"/>
      <c r="M1067" t="inlineStr"/>
      <c r="N1067" t="inlineStr"/>
      <c r="O1067" t="n">
        <v>0</v>
      </c>
      <c r="P1067">
        <f>IF(B1079=0,0,O1067/B1079)</f>
        <v/>
      </c>
      <c r="Q1067">
        <f>IFERROR(1/IF(Inputs!$B$38="pvp",15,MAX(0.1,Skills!E27-IF(Skills!F27=TRUE,Inputs!$B$32,0))),0)</f>
        <v/>
      </c>
      <c r="R1067" t="n">
        <v>0</v>
      </c>
    </row>
    <row r="1068">
      <c r="A1068">
        <f>Skills!A28</f>
        <v/>
      </c>
      <c r="B1068">
        <f>Skills!B28</f>
        <v/>
      </c>
      <c r="C1068">
        <f>Inputs!$B$3&gt;=118</f>
        <v/>
      </c>
      <c r="D1068">
        <f>IF(Skills!C28=1,60+Inputs!$B$25+Inputs!$B$29,IF(Skills!C28=2,90+Inputs!$B$26+Inputs!$B$29,IF(Skills!C28=3,120+Inputs!$B$27+Inputs!$B$29,MAX(0,(Inputs!$B$3-100)*3)+Inputs!$B$28+Inputs!$B$29)))</f>
        <v/>
      </c>
      <c r="E1068">
        <f>INDEX(FactorTable!$B$2:$Y$301, MATCH(ROUND(MIN(300,MAX(1,D1068)),0), FactorTable!$A$2:$A$301,0), Skills!M28+1)</f>
        <v/>
      </c>
      <c r="F1068">
        <f>IF(Skills!N28=TRUE,(Skills!L28/10)*(E1068/1000),Skills!L28/10)+Skills!O28</f>
        <v/>
      </c>
      <c r="G1068">
        <f>Calc!G28</f>
        <v/>
      </c>
      <c r="H1068">
        <f>Calc!H28</f>
        <v/>
      </c>
      <c r="I1068">
        <f>IF(Skills!X28&lt;&gt;"",1+(Skills!X28/10)*(Z1043/1000)/100,1)</f>
        <v/>
      </c>
      <c r="J1068">
        <f>((Inputs!$B$6*(1+Inputs!$B$7/100))+(((Inputs!$B$12*(1+Inputs!$B$13/100))-(Inputs!$B$12*(1+Inputs!$B$13/100)))+0.25*(Inputs!$B$14-Inputs!$B$14))*(1+Inputs!$B$7/100))*(F1068/100)</f>
        <v/>
      </c>
      <c r="K1068">
        <f>J1068*(1+((Inputs!$B$12*(1+Inputs!$B$13/100))*0.01+Inputs!$B$14*0.0025)/100)*(1+Inputs!$B$15/100)*(1+IF(Inputs!$B$38="pvp",0,(1-Summary!$B$56)*(Inputs!$B$20+Skills!P28)+Summary!$B$56*(Inputs!$B$21+Skills!Q28))/100)*(1+Inputs!$B$16/100)*(5000/(6000+Inputs!$B$42*(1-Inputs!$B$19/100)))*(1+Inputs!$B$24/100)*(1+F1063/100)*(1+IF(Inputs!$B$3&gt;=120,F1066,0)/100)^5*(1+(IF(Skills!A28="BASIC_ATTACK",Inputs!$B$17,Inputs!$B$18+IF(Inputs!$B$3&gt;=125,F1067*5,0)))/100)*(B1070*B1071*B1072*I1068)</f>
        <v/>
      </c>
      <c r="L1068">
        <f>K1068*(MIN(Inputs!$B$22+(F1062-Calc!F22),Inputs!$B$23)/100+Inputs!$B$23/100)/2</f>
        <v/>
      </c>
      <c r="M1068">
        <f>L1068*(1+(Inputs!$B$10+(F1061-Calc!F21))/100)</f>
        <v/>
      </c>
      <c r="N1068">
        <f>L1068*(1-MIN(Inputs!$B$9+(F1060-Calc!F20),100)/100)+M1068*(MIN(Inputs!$B$9+(F1060-Calc!F20),100)/100)</f>
        <v/>
      </c>
      <c r="O1068">
        <f>IF(C1068,H1068*N1068*IF(AND(Inputs!$B$38&lt;&gt;"pvp",Inputs!$B$43&gt;0),((Skills!G28*((R1068-1)*IF(Skills!H28&gt;0,Skills!I28/Skills!H28,1)+IF(Skills!H28&gt;0,MIN(Skills!I28,MAX(0,Inputs!$B$43-((R1068-1)*IF(Inputs!$B$38="pvp",15,MAX(0.1,Skills!E28-IF(Skills!F28=TRUE,Inputs!$B$32,0))))))/Skills!H28,1)))/Inputs!$B$43),G1068*Q1068)*IF(Inputs!$B$38="pvp",1,(1-Summary!$B$56)*(1)+Summary!$B$56*(MIN(Skills!R28,Inputs!$B$37))),0)</f>
        <v/>
      </c>
      <c r="P1068">
        <f>IF(B1079=0,0,O1068/B1079)</f>
        <v/>
      </c>
      <c r="Q1068">
        <f>IFERROR(1/IF(Inputs!$B$38="pvp",15,MAX(0.1,Skills!E28-IF(Skills!F28=TRUE,Inputs!$B$32,0))),0)</f>
        <v/>
      </c>
      <c r="R1068">
        <f>IF(AND(Inputs!$B$38&lt;&gt;"pvp",Inputs!$B$43&gt;0),(INT(Inputs!$B$43/IF(Inputs!$B$38="pvp",15,MAX(0.1,Skills!E28-IF(Skills!F28=TRUE,Inputs!$B$32,0))))+1),0)</f>
        <v/>
      </c>
    </row>
    <row r="1070">
      <c r="A1070" t="inlineStr">
        <is>
          <t>Burning Magic Multiplier</t>
        </is>
      </c>
      <c r="B1070">
        <f>1+(F1051*Skills!Z11)/100</f>
        <v/>
      </c>
    </row>
    <row r="1071">
      <c r="A1071" t="inlineStr">
        <is>
          <t>Elemental Decrease Multiplier (always-on)</t>
        </is>
      </c>
      <c r="B1071">
        <f>1+F1052/100</f>
        <v/>
      </c>
    </row>
    <row r="1072">
      <c r="A1072" t="inlineStr">
        <is>
          <t>Average Buff Multiplier (Magic Guard + Meditation, summed; then Infinity)</t>
        </is>
      </c>
      <c r="B1072">
        <f>(1+(F1046*IF(AND(Inputs!$B$38&lt;&gt;"pvp",Inputs!$B$43&gt;0),(((R1046-1)*(Skills!T6*(1+((Inputs!$B$34+1)+IF(Inputs!$B$3&gt;=117,F1065,0))/100))+MIN((Skills!T6*(1+((Inputs!$B$34+1)+IF(Inputs!$B$3&gt;=117,F1065,0))/100)),MAX(0,Inputs!$B$43-((R1046-1)*Skills!E6))))/Inputs!$B$43),IF(Inputs!$B$38="pvp",MIN((Skills!T6*(1+((Inputs!$B$34+1)+IF(Inputs!$B$3&gt;=117,F1065,0))/100)),15)/15,(Skills!T6*(1+((Inputs!$B$34+1)+IF(Inputs!$B$3&gt;=117,F1065,0))/100))/Skills!E6))+F1057*IF(AND(Inputs!$B$38&lt;&gt;"pvp",Inputs!$B$43&gt;0),(((R1057-1)*(Skills!T17*(1+((Inputs!$B$34+1)+IF(Inputs!$B$3&gt;=117,F1065,0))/100))+MIN((Skills!T17*(1+((Inputs!$B$34+1)+IF(Inputs!$B$3&gt;=117,F1065,0))/100)),MAX(0,Inputs!$B$43-((R1057-1)*Skills!E17))))/Inputs!$B$43),IF(Inputs!$B$38="pvp",MIN((Skills!T17*(1+((Inputs!$B$34+1)+IF(Inputs!$B$3&gt;=117,F1065,0))/100)),15)/15,(Skills!T17*(1+((Inputs!$B$34+1)+IF(Inputs!$B$3&gt;=117,F1065,0))/100))/Skills!E17)))/100)*IF(C1059=TRUE,(1+F1059*IF(AND(Inputs!$B$38&lt;&gt;"pvp",Inputs!$B$43&gt;0),(((R1059-1)*(Skills!T19*(1+((Inputs!$B$34+1)+IF(Inputs!$B$3&gt;=117,F1065,0))/100))+MIN((Skills!T19*(1+((Inputs!$B$34+1)+IF(Inputs!$B$3&gt;=117,F1065,0))/100)),MAX(0,Inputs!$B$43-((R1059-1)*Skills!E19))))/Inputs!$B$43),IF(Inputs!$B$38="pvp",MIN((Skills!T19*(1+((Inputs!$B$34+1)+IF(Inputs!$B$3&gt;=117,F1065,0))/100)),15)/15,(Skills!T19*(1+((Inputs!$B$34+1)+IF(Inputs!$B$3&gt;=117,F1065,0))/100))/Skills!E19))/100),1)</f>
        <v/>
      </c>
    </row>
    <row r="1073">
      <c r="A1073" t="inlineStr">
        <is>
          <t>Attack Speed Buff Bonus % (Nimble Feet, averaged)</t>
        </is>
      </c>
      <c r="B1073">
        <f>F1058*IF(AND(Inputs!$B$38&lt;&gt;"pvp",Inputs!$B$43&gt;0),(((R1058-1)*(Skills!T18*(1+((Inputs!$B$34+1)+IF(Inputs!$B$3&gt;=117,F1065,0))/100))+MIN((Skills!T18*(1+((Inputs!$B$34+1)+IF(Inputs!$B$3&gt;=117,F1065,0))/100)),MAX(0,Inputs!$B$43-((R1058-1)*Skills!E18))))/Inputs!$B$43),IF(Inputs!$B$38="pvp",MIN((Skills!T18*(1+((Inputs!$B$34+1)+IF(Inputs!$B$3&gt;=117,F1065,0))/100)),15)/15,(Skills!T18*(1+((Inputs!$B$34+1)+IF(Inputs!$B$3&gt;=117,F1065,0))/100))/Skills!E18))</f>
        <v/>
      </c>
    </row>
    <row r="1074">
      <c r="A1074" t="inlineStr">
        <is>
          <t>Actions Per Second</t>
        </is>
      </c>
      <c r="B1074">
        <f>1+MIN(150,150*(1-(1-Inputs!$B$11/150)*(1-B1073/150)))/100</f>
        <v/>
      </c>
    </row>
    <row r="1075">
      <c r="A1075" t="inlineStr">
        <is>
          <t>Skill + Buff Cast Rate</t>
        </is>
      </c>
      <c r="B1075">
        <f>IF(AND(Inputs!$B$38&lt;&gt;"pvp",Inputs!$B$43&gt;0),SUMPRODUCT((Skills!F2:F28=TRUE)*(C1042:C1068=TRUE)*R1042:R1068)/Inputs!$B$43,SUMPRODUCT((Skills!F2:F28=TRUE)*(C1042:C1068=TRUE)*Q1042:Q1068))</f>
        <v/>
      </c>
    </row>
    <row r="1076">
      <c r="A1076" t="inlineStr">
        <is>
          <t>Basic Attacks Per Second</t>
        </is>
      </c>
      <c r="B1076">
        <f>MAX(0,B1074-B1075)</f>
        <v/>
      </c>
    </row>
    <row r="1077">
      <c r="A1077" t="inlineStr">
        <is>
          <t>Meteor Proc — combined trigger cast rate</t>
        </is>
      </c>
      <c r="B1077">
        <f>IF(AND(Inputs!$B$38&lt;&gt;"pvp",Inputs!$B$43&gt;0),SUMPRODUCT((Skills!V2:V28=TRUE)*(C1042:C1068=TRUE)*R1042:R1068*Skills!W2:W28)/Inputs!$B$43,SUMPRODUCT((Skills!V2:V28=TRUE)*(C1042:C1068=TRUE)*Q1042:Q1068*Skills!W2:W28))+B1076</f>
        <v/>
      </c>
    </row>
    <row r="1079">
      <c r="A1079" s="5" t="inlineStr">
        <is>
          <t>TOTAL DPS</t>
        </is>
      </c>
      <c r="B1079" s="5">
        <f>SUM(O1042:O1068)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IF(Inputs!$B$9&gt;=100,Sensitivity!H15,Sensitivity!H14)</f>
        <v/>
      </c>
    </row>
    <row r="67">
      <c r="A67" t="inlineStr">
        <is>
          <t>ALL</t>
        </is>
      </c>
      <c r="B67" t="inlineStr">
        <is>
          <t>rare</t>
        </is>
      </c>
      <c r="C67" t="n">
        <v>2</v>
      </c>
      <c r="D67" t="inlineStr">
        <is>
          <t>Critical Rate %</t>
        </is>
      </c>
      <c r="E67" t="n">
        <v>4.5</v>
      </c>
      <c r="F67" t="n">
        <v>0.6</v>
      </c>
      <c r="G67" t="b">
        <v>1</v>
      </c>
      <c r="H67">
        <f>IF(Inputs!$B$9&gt;=100,Sensitivity!H15,Sensitivity!H14)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IF(Inputs!$B$9&gt;=100,Sensitivity!H15,Sensitivity!H14)</f>
        <v/>
      </c>
    </row>
    <row r="99">
      <c r="A99" t="inlineStr">
        <is>
          <t>ALL</t>
        </is>
      </c>
      <c r="B99" t="inlineStr">
        <is>
          <t>rare</t>
        </is>
      </c>
      <c r="C99" t="n">
        <v>3</v>
      </c>
      <c r="D99" t="inlineStr">
        <is>
          <t>Critical Rate %</t>
        </is>
      </c>
      <c r="E99" t="n">
        <v>4.5</v>
      </c>
      <c r="F99" t="n">
        <v>0.2</v>
      </c>
      <c r="G99" t="b">
        <v>1</v>
      </c>
      <c r="H99">
        <f>IF(Inputs!$B$9&gt;=100,Sensitivity!H15,Sensitivity!H14)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IF(Inputs!$B$9&gt;=100,Sensitivity!H15,Sensitivity!H14)</f>
        <v/>
      </c>
    </row>
    <row r="147">
      <c r="A147" t="inlineStr">
        <is>
          <t>ALL</t>
        </is>
      </c>
      <c r="B147" t="inlineStr">
        <is>
          <t>epic</t>
        </is>
      </c>
      <c r="C147" t="n">
        <v>2</v>
      </c>
      <c r="D147" t="inlineStr">
        <is>
          <t>Critical Rate %</t>
        </is>
      </c>
      <c r="E147" t="n">
        <v>6</v>
      </c>
      <c r="F147" t="n">
        <v>0.6</v>
      </c>
      <c r="G147" t="b">
        <v>1</v>
      </c>
      <c r="H147">
        <f>IF(Inputs!$B$9&gt;=100,Sensitivity!H15,Sensitivity!H14)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IF(Inputs!$B$9&gt;=100,Sensitivity!H15,Sensitivity!H14)</f>
        <v/>
      </c>
    </row>
    <row r="179">
      <c r="A179" t="inlineStr">
        <is>
          <t>ALL</t>
        </is>
      </c>
      <c r="B179" t="inlineStr">
        <is>
          <t>epic</t>
        </is>
      </c>
      <c r="C179" t="n">
        <v>3</v>
      </c>
      <c r="D179" t="inlineStr">
        <is>
          <t>Critical Rate %</t>
        </is>
      </c>
      <c r="E179" t="n">
        <v>6</v>
      </c>
      <c r="F179" t="n">
        <v>0.2</v>
      </c>
      <c r="G179" t="b">
        <v>1</v>
      </c>
      <c r="H179">
        <f>IF(Inputs!$B$9&gt;=100,Sensitivity!H15,Sensitivity!H14)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IF(Inputs!$B$9&gt;=100,Sensitivity!H15,Sensitivity!H14)</f>
        <v/>
      </c>
    </row>
    <row r="227">
      <c r="A227" t="inlineStr">
        <is>
          <t>ALL</t>
        </is>
      </c>
      <c r="B227" t="inlineStr">
        <is>
          <t>unique</t>
        </is>
      </c>
      <c r="C227" t="n">
        <v>2</v>
      </c>
      <c r="D227" t="inlineStr">
        <is>
          <t>Critical Rate %</t>
        </is>
      </c>
      <c r="E227" t="n">
        <v>9</v>
      </c>
      <c r="F227" t="n">
        <v>0.6</v>
      </c>
      <c r="G227" t="b">
        <v>1</v>
      </c>
      <c r="H227">
        <f>IF(Inputs!$B$9&gt;=100,Sensitivity!H15,Sensitivity!H14)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IF(Inputs!$B$9&gt;=100,Sensitivity!H15,Sensitivity!H14)</f>
        <v/>
      </c>
    </row>
    <row r="259">
      <c r="A259" t="inlineStr">
        <is>
          <t>ALL</t>
        </is>
      </c>
      <c r="B259" t="inlineStr">
        <is>
          <t>unique</t>
        </is>
      </c>
      <c r="C259" t="n">
        <v>3</v>
      </c>
      <c r="D259" t="inlineStr">
        <is>
          <t>Critical Rate %</t>
        </is>
      </c>
      <c r="E259" t="n">
        <v>9</v>
      </c>
      <c r="F259" t="n">
        <v>0.2</v>
      </c>
      <c r="G259" t="b">
        <v>1</v>
      </c>
      <c r="H259">
        <f>IF(Inputs!$B$9&gt;=100,Sensitivity!H15,Sensitivity!H14)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IF(Inputs!$B$9&gt;=100,Sensitivity!H15,Sensitivity!H14)</f>
        <v/>
      </c>
    </row>
    <row r="307">
      <c r="A307" t="inlineStr">
        <is>
          <t>ALL</t>
        </is>
      </c>
      <c r="B307" t="inlineStr">
        <is>
          <t>legendary</t>
        </is>
      </c>
      <c r="C307" t="n">
        <v>2</v>
      </c>
      <c r="D307" t="inlineStr">
        <is>
          <t>Critical Rate %</t>
        </is>
      </c>
      <c r="E307" t="n">
        <v>12</v>
      </c>
      <c r="F307" t="n">
        <v>0.6</v>
      </c>
      <c r="G307" t="b">
        <v>1</v>
      </c>
      <c r="H307">
        <f>IF(Inputs!$B$9&gt;=100,Sensitivity!H15,Sensitivity!H14)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IF(Inputs!$B$9&gt;=100,Sensitivity!H15,Sensitivity!H14)</f>
        <v/>
      </c>
    </row>
    <row r="339">
      <c r="A339" t="inlineStr">
        <is>
          <t>ALL</t>
        </is>
      </c>
      <c r="B339" t="inlineStr">
        <is>
          <t>legendary</t>
        </is>
      </c>
      <c r="C339" t="n">
        <v>3</v>
      </c>
      <c r="D339" t="inlineStr">
        <is>
          <t>Critical Rate %</t>
        </is>
      </c>
      <c r="E339" t="n">
        <v>12</v>
      </c>
      <c r="F339" t="n">
        <v>0.2</v>
      </c>
      <c r="G339" t="b">
        <v>1</v>
      </c>
      <c r="H339">
        <f>IF(Inputs!$B$9&gt;=100,Sensitivity!H15,Sensitivity!H14)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IF(Inputs!$B$9&gt;=100,Sensitivity!H15,Sensitivity!H14)</f>
        <v/>
      </c>
    </row>
    <row r="387">
      <c r="A387" t="inlineStr">
        <is>
          <t>ALL</t>
        </is>
      </c>
      <c r="B387" t="inlineStr">
        <is>
          <t>mystic</t>
        </is>
      </c>
      <c r="C387" t="n">
        <v>2</v>
      </c>
      <c r="D387" t="inlineStr">
        <is>
          <t>Critical Rate %</t>
        </is>
      </c>
      <c r="E387" t="n">
        <v>15</v>
      </c>
      <c r="F387" t="n">
        <v>0.6</v>
      </c>
      <c r="G387" t="b">
        <v>1</v>
      </c>
      <c r="H387">
        <f>IF(Inputs!$B$9&gt;=100,Sensitivity!H15,Sensitivity!H14)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IF(Inputs!$B$9&gt;=100,Sensitivity!H15,Sensitivity!H14)</f>
        <v/>
      </c>
    </row>
    <row r="419">
      <c r="A419" t="inlineStr">
        <is>
          <t>ALL</t>
        </is>
      </c>
      <c r="B419" t="inlineStr">
        <is>
          <t>mystic</t>
        </is>
      </c>
      <c r="C419" t="n">
        <v>3</v>
      </c>
      <c r="D419" t="inlineStr">
        <is>
          <t>Critical Rate %</t>
        </is>
      </c>
      <c r="E419" t="n">
        <v>15</v>
      </c>
      <c r="F419" t="n">
        <v>0.2</v>
      </c>
      <c r="G419" t="b">
        <v>1</v>
      </c>
      <c r="H419">
        <f>IF(Inputs!$B$9&gt;=100,Sensitivity!H15,Sensitivity!H14)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unique</t>
        </is>
      </c>
      <c r="D6" t="n">
        <v>49</v>
      </c>
      <c r="E6" t="inlineStr">
        <is>
          <t>Int %</t>
        </is>
      </c>
      <c r="F6" t="n">
        <v>9</v>
      </c>
      <c r="G6" t="inlineStr">
        <is>
          <t>Int %</t>
        </is>
      </c>
      <c r="H6" t="n">
        <v>6</v>
      </c>
      <c r="I6" t="inlineStr">
        <is>
          <t>Attack Speed %</t>
        </is>
      </c>
      <c r="J6" t="n">
        <v>4</v>
      </c>
    </row>
    <row r="7">
      <c r="A7" t="inlineStr">
        <is>
          <t>head</t>
        </is>
      </c>
      <c r="B7" t="inlineStr">
        <is>
          <t>Bonus Potential</t>
        </is>
      </c>
      <c r="C7" t="inlineStr">
        <is>
          <t>epic</t>
        </is>
      </c>
      <c r="D7" t="n">
        <v>49</v>
      </c>
      <c r="E7" t="inlineStr">
        <is>
          <t>Int %</t>
        </is>
      </c>
      <c r="F7" t="n">
        <v>9</v>
      </c>
      <c r="G7" t="inlineStr">
        <is>
          <t>Defense %</t>
        </is>
      </c>
      <c r="H7" t="n">
        <v>4.5</v>
      </c>
      <c r="I7" t="inlineStr">
        <is>
          <t>Min Damage Multiplier %</t>
        </is>
      </c>
      <c r="J7" t="n">
        <v>6</v>
      </c>
    </row>
    <row r="8">
      <c r="A8" t="inlineStr">
        <is>
          <t>cape</t>
        </is>
      </c>
      <c r="B8" t="inlineStr">
        <is>
          <t>Potential</t>
        </is>
      </c>
      <c r="C8" t="inlineStr">
        <is>
          <t>legendary</t>
        </is>
      </c>
      <c r="D8" t="n">
        <v>67</v>
      </c>
      <c r="E8" t="inlineStr">
        <is>
          <t>Final Damage %</t>
        </is>
      </c>
      <c r="F8" t="n">
        <v>8</v>
      </c>
      <c r="G8" t="inlineStr">
        <is>
          <t>Min Damage Multiplier %</t>
        </is>
      </c>
      <c r="H8" t="n">
        <v>15</v>
      </c>
      <c r="I8" t="inlineStr">
        <is>
          <t>Final Damage %</t>
        </is>
      </c>
      <c r="J8" t="n">
        <v>5</v>
      </c>
    </row>
    <row r="9">
      <c r="A9" t="inlineStr">
        <is>
          <t>cape</t>
        </is>
      </c>
      <c r="B9" t="inlineStr">
        <is>
          <t>Bonus Potential</t>
        </is>
      </c>
      <c r="C9" t="inlineStr">
        <is>
          <t>epic</t>
        </is>
      </c>
      <c r="D9" t="n">
        <v>14</v>
      </c>
      <c r="E9" t="inlineStr">
        <is>
          <t>Min Damage Multiplier %</t>
        </is>
      </c>
      <c r="F9" t="n">
        <v>8</v>
      </c>
      <c r="G9" t="inlineStr">
        <is>
          <t>Int %</t>
        </is>
      </c>
      <c r="H9" t="n">
        <v>4.5</v>
      </c>
      <c r="I9" t="inlineStr">
        <is>
          <t>Max Damage Multiplier %</t>
        </is>
      </c>
      <c r="J9" t="n">
        <v>6</v>
      </c>
    </row>
    <row r="10">
      <c r="A10" t="inlineStr">
        <is>
          <t>chest</t>
        </is>
      </c>
      <c r="B10" t="inlineStr">
        <is>
          <t>Potential</t>
        </is>
      </c>
      <c r="C10" t="inlineStr">
        <is>
          <t>mystic</t>
        </is>
      </c>
      <c r="D10" t="n">
        <v>0</v>
      </c>
      <c r="E10" t="inlineStr">
        <is>
          <t>Basic Attack Target Increase</t>
        </is>
      </c>
      <c r="F10" t="n">
        <v>3</v>
      </c>
      <c r="G10" t="inlineStr">
        <is>
          <t>Critical Rate %</t>
        </is>
      </c>
      <c r="H10" t="n">
        <v>12</v>
      </c>
      <c r="I10" t="inlineStr">
        <is>
          <t>Basic Attack Target Increase</t>
        </is>
      </c>
      <c r="J10" t="n">
        <v>2</v>
      </c>
    </row>
    <row r="11">
      <c r="A11" t="inlineStr">
        <is>
          <t>chest</t>
        </is>
      </c>
      <c r="B11" t="inlineStr">
        <is>
          <t>Bonus Potential</t>
        </is>
      </c>
      <c r="C11" t="inlineStr">
        <is>
          <t>unique</t>
        </is>
      </c>
      <c r="D11" t="n">
        <v>20</v>
      </c>
      <c r="E11" t="inlineStr">
        <is>
          <t>Int</t>
        </is>
      </c>
      <c r="F11" t="n">
        <v>400</v>
      </c>
      <c r="G11" t="inlineStr">
        <is>
          <t>Int %</t>
        </is>
      </c>
      <c r="H11" t="n">
        <v>9</v>
      </c>
      <c r="I11" t="inlineStr">
        <is>
          <t>Int %</t>
        </is>
      </c>
      <c r="J11" t="n">
        <v>6</v>
      </c>
    </row>
    <row r="12">
      <c r="A12" t="inlineStr">
        <is>
          <t>shoulders</t>
        </is>
      </c>
      <c r="B12" t="inlineStr">
        <is>
          <t>Potential</t>
        </is>
      </c>
      <c r="C12" t="inlineStr">
        <is>
          <t>legendary</t>
        </is>
      </c>
      <c r="D12" t="n">
        <v>44</v>
      </c>
      <c r="E12" t="inlineStr">
        <is>
          <t>Defense Penetration</t>
        </is>
      </c>
      <c r="F12" t="n">
        <v>12</v>
      </c>
      <c r="G12" t="inlineStr">
        <is>
          <t>Max Damage Multiplier %</t>
        </is>
      </c>
      <c r="H12" t="n">
        <v>10</v>
      </c>
      <c r="I12" t="inlineStr">
        <is>
          <t>Attack Speed %</t>
        </is>
      </c>
      <c r="J12" t="n">
        <v>5</v>
      </c>
    </row>
    <row r="13">
      <c r="A13" t="inlineStr">
        <is>
          <t>shoulders</t>
        </is>
      </c>
      <c r="B13" t="inlineStr">
        <is>
          <t>Bonus Potential</t>
        </is>
      </c>
      <c r="C13" t="inlineStr">
        <is>
          <t>rare</t>
        </is>
      </c>
      <c r="D13" t="n">
        <v>3</v>
      </c>
      <c r="E13" t="inlineStr">
        <is>
          <t>Max Damage Multiplier %</t>
        </is>
      </c>
      <c r="F13" t="n">
        <v>6</v>
      </c>
      <c r="G13" t="inlineStr">
        <is>
          <t>Int %</t>
        </is>
      </c>
      <c r="H13" t="n">
        <v>3</v>
      </c>
      <c r="I13" t="inlineStr">
        <is>
          <t>Attack Speed %</t>
        </is>
      </c>
      <c r="J13" t="n">
        <v>3</v>
      </c>
    </row>
    <row r="14">
      <c r="A14" t="inlineStr">
        <is>
          <t>legs</t>
        </is>
      </c>
      <c r="B14" t="inlineStr">
        <is>
          <t>Potential</t>
        </is>
      </c>
      <c r="C14" t="inlineStr">
        <is>
          <t>legendary</t>
        </is>
      </c>
      <c r="D14" t="n">
        <v>15</v>
      </c>
      <c r="E14" t="inlineStr">
        <is>
          <t>Min Damage Multiplier %</t>
        </is>
      </c>
      <c r="F14" t="n">
        <v>15</v>
      </c>
      <c r="G14" t="inlineStr">
        <is>
          <t>Final Damage %</t>
        </is>
      </c>
      <c r="H14" t="n">
        <v>8</v>
      </c>
      <c r="I14" t="inlineStr">
        <is>
          <t>Defense %</t>
        </is>
      </c>
      <c r="J14" t="n">
        <v>9</v>
      </c>
    </row>
    <row r="15">
      <c r="A15" t="inlineStr">
        <is>
          <t>legs</t>
        </is>
      </c>
      <c r="B15" t="inlineStr">
        <is>
          <t>Bonus Potential</t>
        </is>
      </c>
      <c r="C15" t="inlineStr">
        <is>
          <t>epic</t>
        </is>
      </c>
      <c r="D15" t="n">
        <v>38</v>
      </c>
      <c r="E15" t="inlineStr">
        <is>
          <t>Int</t>
        </is>
      </c>
      <c r="F15" t="n">
        <v>200</v>
      </c>
      <c r="G15" t="inlineStr">
        <is>
          <t>Int %</t>
        </is>
      </c>
      <c r="H15" t="n">
        <v>4.5</v>
      </c>
      <c r="I15" t="inlineStr">
        <is>
          <t>Int %</t>
        </is>
      </c>
      <c r="J15" t="n">
        <v>4.5</v>
      </c>
    </row>
    <row r="16">
      <c r="A16" t="inlineStr">
        <is>
          <t>belt</t>
        </is>
      </c>
      <c r="B16" t="inlineStr">
        <is>
          <t>Potential</t>
        </is>
      </c>
      <c r="C16" t="inlineStr">
        <is>
          <t>legendary</t>
        </is>
      </c>
      <c r="D16" t="n">
        <v>382</v>
      </c>
      <c r="E16" t="inlineStr">
        <is>
          <t>Min Damage Multiplier %</t>
        </is>
      </c>
      <c r="F16" t="n">
        <v>15</v>
      </c>
      <c r="G16" t="inlineStr">
        <is>
          <t>Int %</t>
        </is>
      </c>
      <c r="H16" t="n">
        <v>9</v>
      </c>
      <c r="I16" t="inlineStr">
        <is>
          <t>Damage %</t>
        </is>
      </c>
      <c r="J16" t="n">
        <v>18</v>
      </c>
    </row>
    <row r="17">
      <c r="A17" t="inlineStr">
        <is>
          <t>belt</t>
        </is>
      </c>
      <c r="B17" t="inlineStr">
        <is>
          <t>Bonus Potential</t>
        </is>
      </c>
      <c r="C17" t="inlineStr">
        <is>
          <t>rare</t>
        </is>
      </c>
      <c r="D17" t="n">
        <v>1</v>
      </c>
      <c r="E17" t="inlineStr">
        <is>
          <t>Int %</t>
        </is>
      </c>
      <c r="F17" t="n">
        <v>4.5</v>
      </c>
      <c r="G17" t="inlineStr">
        <is>
          <t>Damage %</t>
        </is>
      </c>
      <c r="H17" t="n">
        <v>5</v>
      </c>
      <c r="I17" t="inlineStr">
        <is>
          <t>Damage %</t>
        </is>
      </c>
      <c r="J17" t="n">
        <v>5</v>
      </c>
    </row>
    <row r="18">
      <c r="A18" t="inlineStr">
        <is>
          <t>gloves</t>
        </is>
      </c>
      <c r="B18" t="inlineStr">
        <is>
          <t>Potential</t>
        </is>
      </c>
      <c r="C18" t="inlineStr">
        <is>
          <t>legendary</t>
        </is>
      </c>
      <c r="D18" t="n">
        <v>64</v>
      </c>
      <c r="E18" t="inlineStr">
        <is>
          <t>Max MP %</t>
        </is>
      </c>
      <c r="F18" t="n">
        <v>12</v>
      </c>
      <c r="G18" t="inlineStr">
        <is>
          <t>Damage %</t>
        </is>
      </c>
      <c r="H18" t="n">
        <v>18</v>
      </c>
      <c r="I18" t="inlineStr">
        <is>
          <t>Critical Damage %</t>
        </is>
      </c>
      <c r="J18" t="n">
        <v>30</v>
      </c>
    </row>
    <row r="19">
      <c r="A19" t="inlineStr">
        <is>
          <t>gloves</t>
        </is>
      </c>
      <c r="B19" t="inlineStr">
        <is>
          <t>Bonus Potential</t>
        </is>
      </c>
      <c r="C19" t="inlineStr">
        <is>
          <t>epic</t>
        </is>
      </c>
      <c r="D19" t="n">
        <v>25</v>
      </c>
      <c r="E19" t="inlineStr">
        <is>
          <t>Critical Rate %</t>
        </is>
      </c>
      <c r="F19" t="n">
        <v>6</v>
      </c>
      <c r="G19" t="inlineStr">
        <is>
          <t>Max Damage Multiplier %</t>
        </is>
      </c>
      <c r="H19" t="n">
        <v>8</v>
      </c>
      <c r="I19" t="inlineStr">
        <is>
          <t>Int %</t>
        </is>
      </c>
      <c r="J19" t="n">
        <v>4.5</v>
      </c>
    </row>
    <row r="20">
      <c r="A20" t="inlineStr">
        <is>
          <t>boots</t>
        </is>
      </c>
      <c r="B20" t="inlineStr">
        <is>
          <t>Potential</t>
        </is>
      </c>
      <c r="C20" t="inlineStr">
        <is>
          <t>legendary</t>
        </is>
      </c>
      <c r="D20" t="n">
        <v>101</v>
      </c>
      <c r="E20" t="inlineStr">
        <is>
          <t>Damage %</t>
        </is>
      </c>
      <c r="F20" t="n">
        <v>25</v>
      </c>
      <c r="G20" t="inlineStr">
        <is>
          <t>Int %</t>
        </is>
      </c>
      <c r="H20" t="n">
        <v>12</v>
      </c>
      <c r="I20" t="inlineStr">
        <is>
          <t>Damage %</t>
        </is>
      </c>
      <c r="J20" t="n">
        <v>18</v>
      </c>
    </row>
    <row r="21">
      <c r="A21" t="inlineStr">
        <is>
          <t>boots</t>
        </is>
      </c>
      <c r="B21" t="inlineStr">
        <is>
          <t>Bonus Potential</t>
        </is>
      </c>
      <c r="C21" t="inlineStr">
        <is>
          <t>unique</t>
        </is>
      </c>
      <c r="D21" t="n">
        <v>151</v>
      </c>
      <c r="E21" t="inlineStr">
        <is>
          <t>Int %</t>
        </is>
      </c>
      <c r="F21" t="n">
        <v>9</v>
      </c>
      <c r="G21" t="inlineStr">
        <is>
          <t>Max Damage Multiplier %</t>
        </is>
      </c>
      <c r="H21" t="n">
        <v>8</v>
      </c>
      <c r="I21" t="inlineStr">
        <is>
          <t>Max HP %</t>
        </is>
      </c>
      <c r="J21" t="n">
        <v>12</v>
      </c>
    </row>
    <row r="22">
      <c r="A22" t="inlineStr">
        <is>
          <t>ring</t>
        </is>
      </c>
      <c r="B22" t="inlineStr">
        <is>
          <t>Potential</t>
        </is>
      </c>
      <c r="C22" t="inlineStr">
        <is>
          <t>unique</t>
        </is>
      </c>
      <c r="D22" t="n">
        <v>63</v>
      </c>
      <c r="E22" t="inlineStr">
        <is>
          <t>All Skill Level</t>
        </is>
      </c>
      <c r="F22" t="n">
        <v>8</v>
      </c>
      <c r="G22" t="inlineStr">
        <is>
          <t>Critical Rate %</t>
        </is>
      </c>
      <c r="H22" t="n">
        <v>6</v>
      </c>
      <c r="I22" t="inlineStr">
        <is>
          <t>Int %</t>
        </is>
      </c>
      <c r="J22" t="n">
        <v>6</v>
      </c>
    </row>
    <row r="23">
      <c r="A23" t="inlineStr">
        <is>
          <t>ring</t>
        </is>
      </c>
      <c r="B23" t="inlineStr">
        <is>
          <t>Bonus Potential</t>
        </is>
      </c>
      <c r="C23" t="inlineStr">
        <is>
          <t>unique</t>
        </is>
      </c>
      <c r="D23" t="n">
        <v>3</v>
      </c>
      <c r="E23" t="inlineStr">
        <is>
          <t>Int %</t>
        </is>
      </c>
      <c r="F23" t="n">
        <v>9</v>
      </c>
      <c r="G23" t="inlineStr">
        <is>
          <t>Damage %</t>
        </is>
      </c>
      <c r="H23" t="n">
        <v>12</v>
      </c>
      <c r="I23" t="inlineStr">
        <is>
          <t>Int</t>
        </is>
      </c>
      <c r="J23" t="n">
        <v>200</v>
      </c>
    </row>
    <row r="24">
      <c r="A24" t="inlineStr">
        <is>
          <t>neck</t>
        </is>
      </c>
      <c r="B24" t="inlineStr">
        <is>
          <t>Potential</t>
        </is>
      </c>
      <c r="C24" t="inlineStr">
        <is>
          <t>legendary</t>
        </is>
      </c>
      <c r="D24" t="n">
        <v>14</v>
      </c>
      <c r="E24" t="inlineStr">
        <is>
          <t>All Skill Level</t>
        </is>
      </c>
      <c r="F24" t="n">
        <v>12</v>
      </c>
      <c r="G24" t="inlineStr">
        <is>
          <t>Min Damage Multiplier %</t>
        </is>
      </c>
      <c r="H24" t="n">
        <v>15</v>
      </c>
      <c r="I24" t="inlineStr">
        <is>
          <t>Int %</t>
        </is>
      </c>
      <c r="J24" t="n">
        <v>9</v>
      </c>
    </row>
    <row r="25">
      <c r="A25" t="inlineStr">
        <is>
          <t>neck</t>
        </is>
      </c>
      <c r="B25" t="inlineStr">
        <is>
          <t>Bonus Potential</t>
        </is>
      </c>
      <c r="C25" t="inlineStr">
        <is>
          <t>legendary</t>
        </is>
      </c>
      <c r="D25" t="n">
        <v>66</v>
      </c>
      <c r="E25" t="inlineStr">
        <is>
          <t>Luk %</t>
        </is>
      </c>
      <c r="F25" t="n">
        <v>12</v>
      </c>
      <c r="G25" t="inlineStr">
        <is>
          <t>Int %</t>
        </is>
      </c>
      <c r="H25" t="n">
        <v>9</v>
      </c>
      <c r="I25" t="inlineStr">
        <is>
          <t>All Skill Level</t>
        </is>
      </c>
      <c r="J25" t="n">
        <v>8</v>
      </c>
    </row>
    <row r="26">
      <c r="A26" t="inlineStr">
        <is>
          <t>eye-accessory</t>
        </is>
      </c>
      <c r="B26" t="inlineStr">
        <is>
          <t>Potential</t>
        </is>
      </c>
      <c r="C26" t="inlineStr">
        <is>
          <t>legendary</t>
        </is>
      </c>
      <c r="D26" t="n">
        <v>331</v>
      </c>
      <c r="E26" t="inlineStr">
        <is>
          <t>Main Stat Per Level</t>
        </is>
      </c>
      <c r="F26" t="n">
        <v>35</v>
      </c>
      <c r="G26" t="inlineStr">
        <is>
          <t>Int</t>
        </is>
      </c>
      <c r="H26" t="n">
        <v>400</v>
      </c>
      <c r="I26" t="inlineStr">
        <is>
          <t>Int</t>
        </is>
      </c>
      <c r="J26" t="n">
        <v>400</v>
      </c>
    </row>
    <row r="27">
      <c r="A27" t="inlineStr">
        <is>
          <t>eye-accessory</t>
        </is>
      </c>
      <c r="B27" t="inlineStr">
        <is>
          <t>Bonus Potential</t>
        </is>
      </c>
      <c r="C27" t="inlineStr">
        <is>
          <t>unique</t>
        </is>
      </c>
      <c r="D27" t="n">
        <v>19</v>
      </c>
      <c r="E27" t="inlineStr">
        <is>
          <t>Main Stat Per Level</t>
        </is>
      </c>
      <c r="F27" t="n">
        <v>20</v>
      </c>
      <c r="G27" t="inlineStr">
        <is>
          <t>Max HP %</t>
        </is>
      </c>
      <c r="H27" t="n">
        <v>15</v>
      </c>
      <c r="I27" t="inlineStr">
        <is>
          <t>Max Damage Multiplier %</t>
        </is>
      </c>
      <c r="J27" t="n">
        <v>8</v>
      </c>
    </row>
    <row r="28">
      <c r="A28" t="inlineStr">
        <is>
          <t>ring2</t>
        </is>
      </c>
      <c r="B28" t="inlineStr">
        <is>
          <t>Potential</t>
        </is>
      </c>
      <c r="C28" t="inlineStr">
        <is>
          <t>legendary</t>
        </is>
      </c>
      <c r="D28" t="n">
        <v>72</v>
      </c>
      <c r="E28" t="inlineStr">
        <is>
          <t>Damage %</t>
        </is>
      </c>
      <c r="F28" t="n">
        <v>25</v>
      </c>
      <c r="G28" t="inlineStr">
        <is>
          <t>Damage %</t>
        </is>
      </c>
      <c r="H28" t="n">
        <v>18</v>
      </c>
      <c r="I28" t="inlineStr">
        <is>
          <t>Basic Attack Damage %</t>
        </is>
      </c>
      <c r="J28" t="n">
        <v>14</v>
      </c>
    </row>
    <row r="29">
      <c r="A29" t="inlineStr">
        <is>
          <t>ring2</t>
        </is>
      </c>
      <c r="B29" t="inlineStr">
        <is>
          <t>Bonus Potential</t>
        </is>
      </c>
      <c r="C29" t="inlineStr">
        <is>
          <t>unique</t>
        </is>
      </c>
      <c r="D29" t="n">
        <v>22</v>
      </c>
      <c r="E29" t="inlineStr">
        <is>
          <t>Int %</t>
        </is>
      </c>
      <c r="F29" t="n">
        <v>9</v>
      </c>
      <c r="G29" t="inlineStr">
        <is>
          <t>Max Damage Multiplier %</t>
        </is>
      </c>
      <c r="H29" t="n">
        <v>10</v>
      </c>
      <c r="I29" t="inlineStr">
        <is>
          <t>Luk</t>
        </is>
      </c>
      <c r="J29" t="n">
        <v>200</v>
      </c>
    </row>
    <row r="30">
      <c r="A30" t="inlineStr">
        <is>
          <t>face</t>
        </is>
      </c>
      <c r="B30" t="inlineStr">
        <is>
          <t>Potential</t>
        </is>
      </c>
      <c r="C30" t="inlineStr">
        <is>
          <t>unique</t>
        </is>
      </c>
      <c r="D30" t="n">
        <v>196</v>
      </c>
      <c r="E30" t="inlineStr">
        <is>
          <t>Int %</t>
        </is>
      </c>
      <c r="F30" t="n">
        <v>9</v>
      </c>
      <c r="G30" t="inlineStr">
        <is>
          <t>Final Damage %</t>
        </is>
      </c>
      <c r="H30" t="n">
        <v>5</v>
      </c>
      <c r="I30" t="inlineStr">
        <is>
          <t>Luk %</t>
        </is>
      </c>
      <c r="J30" t="n">
        <v>6</v>
      </c>
    </row>
    <row r="31">
      <c r="A31" t="inlineStr">
        <is>
          <t>face</t>
        </is>
      </c>
      <c r="B31" t="inlineStr">
        <is>
          <t>Bonus Potential</t>
        </is>
      </c>
      <c r="C31" t="inlineStr">
        <is>
          <t>unique</t>
        </is>
      </c>
      <c r="D31" t="n">
        <v>19</v>
      </c>
      <c r="E31" t="inlineStr">
        <is>
          <t>Damage %</t>
        </is>
      </c>
      <c r="F31" t="n">
        <v>18</v>
      </c>
      <c r="G31" t="inlineStr">
        <is>
          <t>Int %</t>
        </is>
      </c>
      <c r="H31" t="n">
        <v>9</v>
      </c>
      <c r="I31" t="inlineStr">
        <is>
          <t>Dex %</t>
        </is>
      </c>
      <c r="J31" t="n">
        <v>6</v>
      </c>
    </row>
    <row r="32">
      <c r="A32" t="inlineStr">
        <is>
          <t>earrings</t>
        </is>
      </c>
      <c r="B32" t="inlineStr">
        <is>
          <t>Potential</t>
        </is>
      </c>
      <c r="C32" t="inlineStr">
        <is>
          <t>mystic</t>
        </is>
      </c>
      <c r="D32" t="n">
        <v>0</v>
      </c>
      <c r="E32" t="inlineStr">
        <is>
          <t>Skill Damage %</t>
        </is>
      </c>
      <c r="F32" t="n">
        <v>30</v>
      </c>
      <c r="G32" t="inlineStr">
        <is>
          <t>Attack Speed %</t>
        </is>
      </c>
      <c r="H32" t="n">
        <v>7</v>
      </c>
      <c r="I32" t="inlineStr">
        <is>
          <t>Int %</t>
        </is>
      </c>
      <c r="J32" t="n">
        <v>12</v>
      </c>
    </row>
    <row r="33">
      <c r="A33" t="inlineStr">
        <is>
          <t>earrings</t>
        </is>
      </c>
      <c r="B33" t="inlineStr">
        <is>
          <t>Bonus Potential</t>
        </is>
      </c>
      <c r="C33" t="inlineStr">
        <is>
          <t>rare</t>
        </is>
      </c>
      <c r="D33" t="n">
        <v>5</v>
      </c>
      <c r="E33" t="inlineStr">
        <is>
          <t>Int %</t>
        </is>
      </c>
      <c r="F33" t="n">
        <v>4.5</v>
      </c>
      <c r="G33" t="inlineStr">
        <is>
          <t>Max MP %</t>
        </is>
      </c>
      <c r="H33" t="n">
        <v>3</v>
      </c>
      <c r="I33" t="inlineStr">
        <is>
          <t>Int %</t>
        </is>
      </c>
      <c r="J33" t="n">
        <v>3</v>
      </c>
    </row>
    <row r="34">
      <c r="A34" t="inlineStr">
        <is>
          <t>pocket</t>
        </is>
      </c>
      <c r="B34" t="inlineStr">
        <is>
          <t>Potential</t>
        </is>
      </c>
      <c r="C34" t="inlineStr">
        <is>
          <t>legendary</t>
        </is>
      </c>
      <c r="D34" t="n">
        <v>15</v>
      </c>
      <c r="E34" t="inlineStr">
        <is>
          <t>Str</t>
        </is>
      </c>
      <c r="F34" t="n">
        <v>400</v>
      </c>
      <c r="G34" t="inlineStr">
        <is>
          <t>Int</t>
        </is>
      </c>
      <c r="H34" t="n">
        <v>400</v>
      </c>
      <c r="I34" t="inlineStr">
        <is>
          <t>Main Stat % per 4 Levels</t>
        </is>
      </c>
      <c r="J34" t="n">
        <v>0.8</v>
      </c>
    </row>
    <row r="35">
      <c r="A35" t="inlineStr">
        <is>
          <t>pocket</t>
        </is>
      </c>
      <c r="B35" t="inlineStr">
        <is>
          <t>Bonus Potential</t>
        </is>
      </c>
      <c r="C35" t="inlineStr">
        <is>
          <t>epic</t>
        </is>
      </c>
      <c r="D35" t="n">
        <v>27</v>
      </c>
      <c r="E35" t="inlineStr">
        <is>
          <t>Main Stat % per 4 Levels</t>
        </is>
      </c>
      <c r="F35" t="n">
        <v>0.4</v>
      </c>
      <c r="G35" t="inlineStr">
        <is>
          <t>Str</t>
        </is>
      </c>
      <c r="H35" t="n">
        <v>200</v>
      </c>
      <c r="I35" t="inlineStr">
        <is>
          <t>Defense %</t>
        </is>
      </c>
      <c r="J35" t="n">
        <v>4.5</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2026-09-17T15:37:00Z</dcterms:created>
  <dcterms:modified xsi:type="dcterms:W3CDTF">2026-09-17T15:37:00Z</dcterms:modified>
</cp:coreProperties>
</file>